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50bc18d53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9eaf1dc401a463f"/>
    <x:sheet xmlns:r="http://schemas.openxmlformats.org/officeDocument/2006/relationships" name="年度汇率" sheetId="2" r:id="Ra093666e6f2e4700"/>
    <x:sheet xmlns:r="http://schemas.openxmlformats.org/officeDocument/2006/relationships" name="实际币名" sheetId="3" r:id="R583ca55e45cb47a4"/>
    <x:sheet xmlns:r="http://schemas.openxmlformats.org/officeDocument/2006/relationships" name="口径与来源" sheetId="4" r:id="Rd55bb226f2ef4368"/>
    <x:sheet xmlns:r="http://schemas.openxmlformats.org/officeDocument/2006/relationships" name="反向美元" sheetId="5" r:id="R45fd7eb2bf3d46d1"/>
    <x:sheet xmlns:r="http://schemas.openxmlformats.org/officeDocument/2006/relationships" name="交叉换算" sheetId="6" r:id="R710a49d68a6d45c0"/>
    <x:sheet xmlns:r="http://schemas.openxmlformats.org/officeDocument/2006/relationships" name="原始记录" sheetId="7" r:id="R68dc62a1db3c428a"/>
    <x:sheet xmlns:r="http://schemas.openxmlformats.org/officeDocument/2006/relationships" name="2026月度" sheetId="8" r:id="R02e9482fe15f498d"/>
    <x:sheet xmlns:r="http://schemas.openxmlformats.org/officeDocument/2006/relationships" name="历史定点补充" sheetId="9" r:id="R4a33ea0bb0484c58"/>
    <x:sheet xmlns:r="http://schemas.openxmlformats.org/officeDocument/2006/relationships" name="缺失清单" sheetId="10" r:id="R6fec2e86e9f84aa4"/>
    <x:sheet xmlns:r="http://schemas.openxmlformats.org/officeDocument/2006/relationships" name="币制说明" sheetId="11" r:id="Re21a8b94be5149da"/>
    <x:sheet xmlns:r="http://schemas.openxmlformats.org/officeDocument/2006/relationships" name="来源目录" sheetId="12" r:id="Rf5e437fc4234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00000"/>
    <x:numFmt numFmtId="202" formatCode="#,##0.00000000"/>
    <x:numFmt numFmtId="203" formatCode="#,##0.0000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6446"/>
      <x:name val="Carlito"/>
    </x:font>
    <x:font>
      <x:b/>
      <x:sz val="11"/>
      <x:color rgb="FF165AB5"/>
      <x:name val="Carlito"/>
    </x:font>
    <x:font>
      <x:b/>
      <x:sz val="11"/>
      <x:color rgb="FF142D4E"/>
      <x:name val="Carlito"/>
    </x:font>
    <x:font>
      <x:sz val="11"/>
      <x:color rgb="FF24364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AF4F4"/>
      </x:patternFill>
    </x:fill>
    <x:fill>
      <x:patternFill patternType="solid">
        <x:fgColor rgb="FFE4E7EB"/>
      </x:patternFill>
    </x:fill>
    <x:fill>
      <x:patternFill patternType="solid">
        <x:fgColor rgb="FFFFF1CD"/>
      </x:patternFill>
    </x:fill>
    <x:fill>
      <x:patternFill patternType="solid">
        <x:fgColor rgb="FFE5F0FF"/>
      </x:patternFill>
    </x:fill>
    <x:fill>
      <x:patternFill patternType="solid">
        <x:fgColor rgb="FFE6F0FF"/>
      </x:patternFill>
    </x:fill>
    <x:fill>
      <x:patternFill patternType="solid">
        <x:fgColor rgb="FF116C7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3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3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/>
    </x:xf>
    <x:xf numFmtId="203" fontId="0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/>
    </x:xf>
    <x:xf numFmtId="203" fontId="0" fillId="9" borderId="1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/>
    </x:xf>
    <x:xf numFmtId="203" fontId="0" fillId="4" borderId="1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/>
    </x:xf>
    <x:xf numFmtId="203" fontId="0" fillId="5" borderId="1" xfId="0" applyNumberFormat="1" applyFont="1" applyFill="1" applyBorder="1" applyAlignment="1">
      <x:alignment vertical="center"/>
    </x:xf>
    <x:xf numFmtId="203" fontId="0" fillId="6" borderId="0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E4E7EB"/>
        </x:patternFill>
      </x:fill>
    </x:dxf>
    <x:dxf>
      <x:fill>
        <x:patternFill patternType="solid">
          <x:bgColor rgb="FFFFF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c149f57da419e" /><Relationship Type="http://schemas.openxmlformats.org/officeDocument/2006/relationships/theme" Target="/xl/theme/theme1.xml" Id="Rfb8ef62468144118" /><Relationship Type="http://schemas.openxmlformats.org/officeDocument/2006/relationships/sharedStrings" Target="/xl/sharedStrings.xml" Id="R703d9a710c014e29" /><Relationship Type="http://schemas.openxmlformats.org/officeDocument/2006/relationships/worksheet" Target="/xl/worksheets/sheet1.xml" Id="Rb9eaf1dc401a463f" /><Relationship Type="http://schemas.openxmlformats.org/officeDocument/2006/relationships/worksheet" Target="/xl/worksheets/sheet2.xml" Id="Ra093666e6f2e4700" /><Relationship Type="http://schemas.openxmlformats.org/officeDocument/2006/relationships/worksheet" Target="/xl/worksheets/sheet3.xml" Id="R583ca55e45cb47a4" /><Relationship Type="http://schemas.openxmlformats.org/officeDocument/2006/relationships/worksheet" Target="/xl/worksheets/sheet4.xml" Id="Rd55bb226f2ef4368" /><Relationship Type="http://schemas.openxmlformats.org/officeDocument/2006/relationships/worksheet" Target="/xl/worksheets/sheet5.xml" Id="R45fd7eb2bf3d46d1" /><Relationship Type="http://schemas.openxmlformats.org/officeDocument/2006/relationships/worksheet" Target="/xl/worksheets/sheet6.xml" Id="R710a49d68a6d45c0" /><Relationship Type="http://schemas.openxmlformats.org/officeDocument/2006/relationships/worksheet" Target="/xl/worksheets/sheet7.xml" Id="R68dc62a1db3c428a" /><Relationship Type="http://schemas.openxmlformats.org/officeDocument/2006/relationships/worksheet" Target="/xl/worksheets/sheet8.xml" Id="R02e9482fe15f498d" /><Relationship Type="http://schemas.openxmlformats.org/officeDocument/2006/relationships/worksheet" Target="/xl/worksheets/sheet9.xml" Id="R4a33ea0bb0484c58" /><Relationship Type="http://schemas.openxmlformats.org/officeDocument/2006/relationships/worksheet" Target="/xl/worksheets/sheet10.xml" Id="R6fec2e86e9f84aa4" /><Relationship Type="http://schemas.openxmlformats.org/officeDocument/2006/relationships/worksheet" Target="/xl/worksheets/sheet11.xml" Id="Re21a8b94be5149da" /><Relationship Type="http://schemas.openxmlformats.org/officeDocument/2006/relationships/worksheet" Target="/xl/worksheets/sheet12.xml" Id="Rf5e437fc4234486d" /></Relationships>
</file>

<file path=xl/tables/table1.xml><?xml version="1.0" encoding="utf-8"?>
<x:table xmlns:x="http://schemas.openxmlformats.org/spreadsheetml/2006/main" id="2" name="AnnualReference" displayName="AnnualReference" ref="A5:N112" headerRowCount="1" totalsRowCount="0" totalsRowShown="0">
  <x:tableColumns count="14">
    <x:tableColumn id="1" name="年份"/>
    <x:tableColumn id="2" name="美元"/>
    <x:tableColumn id="3" name="英镑"/>
    <x:tableColumn id="4" name="加拿大元"/>
    <x:tableColumn id="5" name="法郎→欧元"/>
    <x:tableColumn id="6" name="马克→欧元"/>
    <x:tableColumn id="7" name="里拉→欧元"/>
    <x:tableColumn id="8" name="日元"/>
    <x:tableColumn id="9" name="瑞士法郎"/>
    <x:tableColumn id="10" name="印度卢比"/>
    <x:tableColumn id="11" name="卢布"/>
    <x:tableColumn id="12" name="中国币种"/>
    <x:tableColumn id="13" name="欧元／德国代理"/>
    <x:tableColumn id="14" name="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ctualUnits" displayName="ActualUnits" ref="A5:N112" headerRowCount="1" totalsRowCount="0" totalsRowShown="0">
  <x:tableColumns count="14">
    <x:tableColumn id="1" name="年份"/>
    <x:tableColumn id="2" name="美元"/>
    <x:tableColumn id="3" name="英镑"/>
    <x:tableColumn id="4" name="加拿大元"/>
    <x:tableColumn id="5" name="法郎→欧元"/>
    <x:tableColumn id="6" name="马克→欧元"/>
    <x:tableColumn id="7" name="里拉→欧元"/>
    <x:tableColumn id="8" name="日元"/>
    <x:tableColumn id="9" name="瑞士法郎"/>
    <x:tableColumn id="10" name="印度卢比"/>
    <x:tableColumn id="11" name="卢布"/>
    <x:tableColumn id="12" name="中国币种"/>
    <x:tableColumn id="13" name="欧元／德国代理"/>
    <x:tableColumn id="14" name="提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rovenanceGrid" displayName="ProvenanceGrid" ref="A5:N112" headerRowCount="1" totalsRowCount="0" totalsRowShown="0">
  <x:tableColumns count="14">
    <x:tableColumn id="1" name="年份"/>
    <x:tableColumn id="2" name="美元"/>
    <x:tableColumn id="3" name="英镑"/>
    <x:tableColumn id="4" name="加拿大元"/>
    <x:tableColumn id="5" name="法郎→欧元"/>
    <x:tableColumn id="6" name="马克→欧元"/>
    <x:tableColumn id="7" name="里拉→欧元"/>
    <x:tableColumn id="8" name="日元"/>
    <x:tableColumn id="9" name="瑞士法郎"/>
    <x:tableColumn id="10" name="印度卢比"/>
    <x:tableColumn id="11" name="卢布"/>
    <x:tableColumn id="12" name="中国币种"/>
    <x:tableColumn id="13" name="欧元／德国代理"/>
    <x:tableColumn id="14" name="提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InverseRates" displayName="InverseRates" ref="A5:N112" headerRowCount="1" totalsRowCount="0" totalsRowShown="0">
  <x:tableColumns count="14">
    <x:tableColumn id="1" name="年份"/>
    <x:tableColumn id="2" name="美元"/>
    <x:tableColumn id="3" name="英镑"/>
    <x:tableColumn id="4" name="加拿大元"/>
    <x:tableColumn id="5" name="法郎→欧元"/>
    <x:tableColumn id="6" name="马克→欧元"/>
    <x:tableColumn id="7" name="里拉→欧元"/>
    <x:tableColumn id="8" name="日元"/>
    <x:tableColumn id="9" name="瑞士法郎"/>
    <x:tableColumn id="10" name="印度卢比"/>
    <x:tableColumn id="11" name="卢布"/>
    <x:tableColumn id="12" name="中国币种"/>
    <x:tableColumn id="13" name="欧元／德国代理"/>
    <x:tableColumn id="14" name="提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RawObservations" displayName="RawObservations" ref="A5:M959" headerRowCount="1" totalsRowCount="0" totalsRowShown="0">
  <x:tableColumns count="13">
    <x:tableColumn id="1" name="年份"/>
    <x:tableColumn id="2" name="槽位"/>
    <x:tableColumn id="3" name="当年实际币名"/>
    <x:tableColumn id="4" name="原始报价"/>
    <x:tableColumn id="5" name="原始方向"/>
    <x:tableColumn id="6" name="转换倍率"/>
    <x:tableColumn id="7" name="1 USD兑本币"/>
    <x:tableColumn id="8" name="统计口径"/>
    <x:tableColumn id="9" name="观测期／日期"/>
    <x:tableColumn id="10" name="来源ID"/>
    <x:tableColumn id="11" name="来源URL"/>
    <x:tableColumn id="12" name="说明与限制"/>
    <x:tableColumn id="13" name="来源等级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resolvedGaps" displayName="UnresolvedGaps" ref="A5:F75" headerRowCount="1" totalsRowCount="0" totalsRowShown="0">
  <x:tableColumns count="6">
    <x:tableColumn id="1" name="年份"/>
    <x:tableColumn id="2" name="槽位"/>
    <x:tableColumn id="3" name="当年币种／过渡情况"/>
    <x:tableColumn id="4" name="缺失原因"/>
    <x:tableColumn id="5" name="是否代理重复"/>
    <x:tableColumn id="6" name="后续应核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a34ee8d71b47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90c08d716b43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f82aa72304e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96c4c268f4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60aa738061042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f4e7e546e243489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34" customHeight="1">
      <x:c r="A1" s="6" t="str">
        <x:v>历史汇率参考库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4" customHeight="1">
      <x:c r="A2" s="58" t="str">
        <x:v>107个年份 × 12个货币／地区栏；以1美元为基准，可反向及交叉换算。核对日期：2026-09-18。此版有缺口，并非所有格均为严格同口径年均。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</x:row>
    <x:row r="3" ht="24" customHeight="1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</x:row>
    <x:row r="5" ht="25" customHeight="1">
      <x:c r="A5" s="62" t="str">
        <x:v>已覆盖年份</x:v>
      </x:c>
      <x:c r="B5" s="62"/>
      <x:c r="C5" s="62"/>
      <x:c r="D5" s="62"/>
      <x:c r="F5" s="62" t="str">
        <x:v>有值的基础展示格</x:v>
      </x:c>
      <x:c r="G5" s="62"/>
      <x:c r="H5" s="62"/>
      <x:c r="I5" s="62"/>
      <x:c r="K5" s="62" t="str">
        <x:v>仍缺失的展示格</x:v>
      </x:c>
      <x:c r="L5" s="62"/>
      <x:c r="M5" s="62"/>
    </x:row>
    <x:row r="6" ht="27" customHeight="1">
      <x:c r="A6" s="68" t="n">
        <x:v>107</x:v>
      </x:c>
      <x:c r="B6" s="68"/>
      <x:c r="C6" s="68"/>
      <x:c r="D6" s="68"/>
      <x:c r="F6" s="68" t="n">
        <x:f>COUNT('年度汇率'!B6:M112)</x:f>
        <x:v>1214</x:v>
      </x:c>
      <x:c r="G6" s="68"/>
      <x:c r="H6" s="68"/>
      <x:c r="I6" s="68"/>
      <x:c r="K6" s="68" t="n">
        <x:f>ROWS('年度汇率'!B6:M112)*COLUMNS('年度汇率'!B6:M112)-COUNT('年度汇率'!B6:M112)</x:f>
        <x:v>70</x:v>
      </x:c>
      <x:c r="L6" s="68"/>
      <x:c r="M6" s="68"/>
    </x:row>
    <x:row r="7" ht="27" customHeight="1">
      <x:c r="A7" s="68"/>
      <x:c r="B7" s="68"/>
      <x:c r="C7" s="68"/>
      <x:c r="D7" s="68"/>
      <x:c r="F7" s="68"/>
      <x:c r="G7" s="68"/>
      <x:c r="H7" s="68"/>
      <x:c r="I7" s="68"/>
      <x:c r="K7" s="68"/>
      <x:c r="L7" s="68"/>
      <x:c r="M7" s="68"/>
    </x:row>
    <x:row r="9" ht="23" customHeight="1">
      <x:c r="A9" s="3" t="str">
        <x:v>先看口径，不只看数字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25" customHeight="1">
      <x:c r="A10" s="75" t="str">
        <x:v>主表共1,284格，有值1,214格，其中67个卢布年份是官价区间／定点参考，不是年均。计数包含107个美元恒等格和153个欧元／代理重复格；不等于1,214条独立历史观测。</x:v>
      </x:c>
      <x:c r="B10" s="75"/>
      <x:c r="C10" s="75"/>
      <x:c r="D10" s="75"/>
      <x:c r="E10" s="75"/>
      <x:c r="F10" s="75"/>
      <x:c r="G10" s="75"/>
      <x:c r="H10" s="75"/>
      <x:c r="I10" s="75"/>
      <x:c r="J10" s="75"/>
      <x:c r="K10" s="75"/>
      <x:c r="L10" s="75"/>
      <x:c r="M10" s="75"/>
    </x:row>
    <x:row r="11" ht="25" customHeight="1">
      <x:c r="A11" s="75"/>
      <x:c r="B11" s="75"/>
      <x:c r="C11" s="75"/>
      <x:c r="D11" s="75"/>
      <x:c r="E11" s="75"/>
      <x:c r="F11" s="75"/>
      <x:c r="G11" s="75"/>
      <x:c r="H11" s="75"/>
      <x:c r="I11" s="75"/>
      <x:c r="J11" s="75"/>
      <x:c r="K11" s="75"/>
      <x:c r="L11" s="75"/>
      <x:c r="M11" s="75"/>
    </x:row>
    <x:row r="12" ht="23" customHeight="1">
      <x:c r="A12" s="3" t="str">
        <x:v>最常用的三个页面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 ht="25" customHeight="1">
      <x:c r="A13" s="75" t="str">
        <x:v>“年度汇率”：筛选年份并查看1 USD兑换本币；“实际币名”：核对银两、旧币、新币和欧元；“交叉换算”：选年份，以行作为卖出币、列作为买入币，并可排除官价补充。</x:v>
      </x:c>
      <x:c r="B13" s="75"/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  <x:c r="M13" s="75"/>
    </x:row>
    <x:row r="14" ht="25" customHeight="1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</x:row>
    <x:row r="15" ht="23" customHeight="1">
      <x:c r="A15" s="3" t="str">
        <x:v>币种替代与1999年规则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25" customHeight="1">
      <x:c r="A16" s="75" t="str">
        <x:v>法郎指法国法郎，马克指德国币种，里拉指意大利里拉，卢比指印度卢比。1999年起法国、德国、意大利三栏全部直接使用EUR。1999年前的“欧元”栏采用德国本地区货币代理，明示代理而非伪造欧元。</x:v>
      </x:c>
      <x:c r="B16" s="75"/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</x:row>
    <x:row r="17" ht="25" customHeight="1">
      <x:c r="A17" s="75"/>
      <x:c r="B17" s="75"/>
      <x:c r="C17" s="75"/>
      <x:c r="D17" s="75"/>
      <x:c r="E17" s="75"/>
      <x:c r="F17" s="75"/>
      <x:c r="G17" s="75"/>
      <x:c r="H17" s="75"/>
      <x:c r="I17" s="75"/>
      <x:c r="J17" s="75"/>
      <x:c r="K17" s="75"/>
      <x:c r="L17" s="75"/>
      <x:c r="M17" s="75"/>
    </x:row>
    <x:row r="18" ht="23" customHeight="1">
      <x:c r="A18" s="3" t="str">
        <x:v>2026不是全年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5" customHeight="1">
      <x:c r="A19" s="75" t="str">
        <x:v>所有2026数值统一使用1—8月月均报价的等权平均，GBP和EUR按原报价方向取倒数。截止2026-08-31；不是按日数加权的年内均值，也不是2026全年均值或9月18日即期价。</x:v>
      </x:c>
      <x:c r="B19" s="75"/>
      <x:c r="C19" s="75"/>
      <x:c r="D19" s="75"/>
      <x:c r="E19" s="75"/>
      <x:c r="F19" s="75"/>
      <x:c r="G19" s="75"/>
      <x:c r="H19" s="75"/>
      <x:c r="I19" s="75"/>
      <x:c r="J19" s="75"/>
      <x:c r="K19" s="75"/>
      <x:c r="L19" s="75"/>
      <x:c r="M19" s="75"/>
    </x:row>
    <x:row r="20" ht="25" customHeight="1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</x:row>
    <x:row r="21" ht="23" customHeight="1">
      <x:c r="A21" s="3" t="str">
        <x:v>反向、交叉汇率与购买力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25" customHeight="1">
      <x:c r="A22" s="75" t="str">
        <x:v>1单位A兑换B＝(1 USD兑换B)/(1 USD兑换A)。年均报价的倒数不等于反向日度汇率的年均，两个年度值的比值也不等于逐日交叉汇率的年均；跨市场／官价的计算值不保证可以成交，更不是购买力平价。</x:v>
      </x:c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</x:row>
    <x:row r="23" ht="25" customHeight="1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</x:row>
    <x:row r="24" ht="23" customHeight="1">
      <x:c r="A24" s="3" t="str">
        <x:v>缺失与特殊年份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5" customHeight="1">
      <x:c r="A25" s="75" t="str">
        <x:v>灰格为空缺，不是0；橙格为官价区间／定点，蓝格为已知部分年或2026未完全年。法国1940、德／意／瑞／日1941及中国1933、1941有观测期限制。完整日期逐条保留在“原始记录”。</x:v>
      </x:c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</x:row>
    <x:row r="26" ht="25" customHeight="1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</x:row>
    <x:row r="27" ht="23" customHeight="1">
      <x:c r="A27" s="3" t="str">
        <x:v>来源与审计路径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5" customHeight="1">
      <x:c r="A28" s="75" t="str">
        <x:v>现代数据主要来自FRED所载美联储、OECD、PWT；战前主要来自MeasuringWorth及美联储原始统计表。苏联官价补充来自二手转引，原俄央行档案本次未能访问。“口径与来源”→“原始记录”→原URL可追溯。</x:v>
      </x:c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</x:row>
    <x:row r="29" ht="25" customHeight="1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</x:row>
    <x:row r="30" ht="23" customHeight="1">
      <x:c r="A30" s="3" t="str">
        <x:v>中国币制必须特别注意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5" customHeight="1">
      <x:c r="A31" s="75" t="str">
        <x:v>1920—1921采用上海两，绝不能读成一枚银元。人民币实际1948-12-01开始发行，而非1949年；1948属并行过渡，未强造统一年值。1952—1954为旧人民币面额，1955起为新单位，1新元＝10,000旧元。</x:v>
      </x:c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</x:row>
    <x:row r="32" ht="25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3" customHeight="1">
      <x:c r="A33" s="3" t="str">
        <x:v>精度及跨年比较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5" customHeight="1">
      <x:c r="A34" s="75" t="str">
        <x:v>保留来源原始精度，表面多位小数只为计算，不代表历史数据有同等测量精度。法国1960、人民币1955、俄罗斯1998等币改前后先核对面额；不能直接把数值突变解释成升贬值。</x:v>
      </x:c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25" customHeight="1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23" customHeight="1">
      <x:c r="A36" s="3" t="str">
        <x:v>配套CSV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5" customHeight="1">
      <x:c r="A37" s="75" t="str">
        <x:v>数据包包含年度宽表、逐条原始记录、全15,408个年份×有向币对组合（含自兑）、实际币名及口径、2026月度原值和缺失清单。缺失币对保持空白，绝不以0、上一年数值或插值代替。</x:v>
      </x:c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25" customHeight="1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</x:row>
  </x:sheetData>
  <x:mergeCells>
    <x:mergeCell ref="A1:M1"/>
    <x:mergeCell ref="A2:M3"/>
    <x:mergeCell ref="A5:D5"/>
    <x:mergeCell ref="F5:I5"/>
    <x:mergeCell ref="K5:M5"/>
    <x:mergeCell ref="A6:D7"/>
    <x:mergeCell ref="F6:I7"/>
    <x:mergeCell ref="K6:M7"/>
    <x:mergeCell ref="A9:M9"/>
    <x:mergeCell ref="A10:M11"/>
    <x:mergeCell ref="A12:M12"/>
    <x:mergeCell ref="A13:M14"/>
    <x:mergeCell ref="A15:M15"/>
    <x:mergeCell ref="A16:M17"/>
    <x:mergeCell ref="A18:M18"/>
    <x:mergeCell ref="A19:M20"/>
    <x:mergeCell ref="A21:M21"/>
    <x:mergeCell ref="A22:M23"/>
    <x:mergeCell ref="A24:M24"/>
    <x:mergeCell ref="A25:M26"/>
    <x:mergeCell ref="A27:M27"/>
    <x:mergeCell ref="A28:M29"/>
    <x:mergeCell ref="A30:M30"/>
    <x:mergeCell ref="A31:M32"/>
    <x:mergeCell ref="A33:M33"/>
    <x:mergeCell ref="A34:M35"/>
    <x:mergeCell ref="A36:M36"/>
    <x:mergeCell ref="A37:M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5" hidden="0" customWidth="1"/>
  </x:cols>
  <x:sheetData>
    <x:row r="1" ht="34" customHeight="1">
      <x:c r="A1" s="6" t="str">
        <x:v>年度汇率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1 USD兑换多少当年货币单位。年均／年频为主；橙色卢布格是官价区间或定点补充，绝非年均。灰色为空缺；1999年起法、德、意直接使用欧元；欧元栏1999年前是德国地区代理。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美元</x:v>
      </x:c>
      <x:c r="C5" s="6" t="str">
        <x:v>英镑</x:v>
      </x:c>
      <x:c r="D5" s="6" t="str">
        <x:v>加拿大元</x:v>
      </x:c>
      <x:c r="E5" s="6" t="str">
        <x:v>法郎→欧元</x:v>
      </x:c>
      <x:c r="F5" s="6" t="str">
        <x:v>马克→欧元</x:v>
      </x:c>
      <x:c r="G5" s="6" t="str">
        <x:v>里拉→欧元</x:v>
      </x:c>
      <x:c r="H5" s="6" t="str">
        <x:v>日元</x:v>
      </x:c>
      <x:c r="I5" s="6" t="str">
        <x:v>瑞士法郎</x:v>
      </x:c>
      <x:c r="J5" s="6" t="str">
        <x:v>印度卢比</x:v>
      </x:c>
      <x:c r="K5" s="6" t="str">
        <x:v>卢布</x:v>
      </x:c>
      <x:c r="L5" s="6" t="str">
        <x:v>中国币种</x:v>
      </x:c>
      <x:c r="M5" s="6" t="str">
        <x:v>欧元／德国代理</x:v>
      </x:c>
      <x:c r="N5" s="6" t="str">
        <x:v>提示</x:v>
      </x:c>
    </x:row>
    <x:row r="6" ht="32" customHeight="1">
      <x:c r="A6" s="86" t="n">
        <x:v>1920</x:v>
      </x:c>
      <x:c r="B6" s="87" t="n">
        <x:f>1</x:f>
        <x:v>1</x:v>
      </x:c>
      <x:c r="C6" s="87" t="n">
        <x:f>'原始记录'!G6</x:f>
        <x:v>0.2729</x:v>
      </x:c>
      <x:c r="D6" s="87" t="n">
        <x:f>'原始记录'!G7</x:f>
        <x:v>1.12</x:v>
      </x:c>
      <x:c r="E6" s="87" t="n">
        <x:f>'原始记录'!G8</x:f>
        <x:v>14.205</x:v>
      </x:c>
      <x:c r="F6" s="87" t="n">
        <x:f>'原始记录'!G9</x:f>
        <x:v>57.11</x:v>
      </x:c>
      <x:c r="G6" s="87" t="n">
        <x:f>'原始记录'!G10</x:f>
        <x:v>20.12072434607646</x:v>
      </x:c>
      <x:c r="H6" s="87" t="n">
        <x:f>'原始记录'!G11</x:f>
        <x:v>1.99</x:v>
      </x:c>
      <x:c r="I6" s="87" t="n">
        <x:f>'原始记录'!G12</x:f>
        <x:v>5.9161</x:v>
      </x:c>
      <x:c r="J6" s="87" t="n">
        <x:f>'原始记录'!G13</x:f>
        <x:v>2.57</x:v>
      </x:c>
      <x:c r="K6" s="92" t="str">
        <x:f>""</x:f>
      </x:c>
      <x:c r="L6" s="87" t="n">
        <x:f>'原始记录'!G14</x:f>
        <x:v>0.8431034976991706</x:v>
      </x:c>
      <x:c r="M6" s="87" t="n">
        <x:f>'原始记录'!G9</x:f>
        <x:v>57.11</x:v>
      </x:c>
      <x:c r="N6" s="88" t="str">
        <x:v>含缺失；欧元栏为德国代理</x:v>
      </x:c>
    </x:row>
    <x:row r="7" ht="32" customHeight="1">
      <x:c r="A7" s="86" t="n">
        <x:v>1921</x:v>
      </x:c>
      <x:c r="B7" s="87" t="n">
        <x:f>1</x:f>
        <x:v>1</x:v>
      </x:c>
      <x:c r="C7" s="87" t="n">
        <x:f>'原始记录'!G15</x:f>
        <x:v>0.2598</x:v>
      </x:c>
      <x:c r="D7" s="87" t="n">
        <x:f>'原始记录'!G16</x:f>
        <x:v>1.117</x:v>
      </x:c>
      <x:c r="E7" s="87" t="n">
        <x:f>'原始记录'!G17</x:f>
        <x:v>13.413</x:v>
      </x:c>
      <x:c r="F7" s="87" t="n">
        <x:f>'原始记录'!G18</x:f>
        <x:v>83.02</x:v>
      </x:c>
      <x:c r="G7" s="87" t="n">
        <x:f>'原始记录'!G19</x:f>
        <x:v>23.290478852245204</x:v>
      </x:c>
      <x:c r="H7" s="87" t="n">
        <x:f>'原始记录'!G20</x:f>
        <x:v>2.07</x:v>
      </x:c>
      <x:c r="I7" s="87" t="n">
        <x:f>'原始记录'!G21</x:f>
        <x:v>5.7624</x:v>
      </x:c>
      <x:c r="J7" s="87" t="n">
        <x:f>'原始记录'!G22</x:f>
        <x:v>3.81</x:v>
      </x:c>
      <x:c r="K7" s="92" t="str">
        <x:f>""</x:f>
      </x:c>
      <x:c r="L7" s="87" t="n">
        <x:f>'原始记录'!G23</x:f>
        <x:v>1.4129762083066046</x:v>
      </x:c>
      <x:c r="M7" s="87" t="n">
        <x:f>'原始记录'!G18</x:f>
        <x:v>83.02</x:v>
      </x:c>
      <x:c r="N7" s="88" t="str">
        <x:v>含缺失；欧元栏为德国代理</x:v>
      </x:c>
    </x:row>
    <x:row r="8" ht="32" customHeight="1">
      <x:c r="A8" s="86" t="n">
        <x:v>1922</x:v>
      </x:c>
      <x:c r="B8" s="87" t="n">
        <x:f>1</x:f>
        <x:v>1</x:v>
      </x:c>
      <x:c r="C8" s="87" t="n">
        <x:f>'原始记录'!G24</x:f>
        <x:v>0.2258</x:v>
      </x:c>
      <x:c r="D8" s="87" t="n">
        <x:f>'原始记录'!G25</x:f>
        <x:v>1.015</x:v>
      </x:c>
      <x:c r="E8" s="87" t="n">
        <x:f>'原始记录'!G26</x:f>
        <x:v>12.193</x:v>
      </x:c>
      <x:c r="F8" s="87" t="n">
        <x:f>'原始记录'!G27</x:f>
        <x:v>430.48</x:v>
      </x:c>
      <x:c r="G8" s="87" t="n">
        <x:f>'原始记录'!G28</x:f>
        <x:v>21.02651443470216</x:v>
      </x:c>
      <x:c r="H8" s="87" t="n">
        <x:f>'原始记录'!G29</x:f>
        <x:v>2.09</x:v>
      </x:c>
      <x:c r="I8" s="87" t="n">
        <x:f>'原始记录'!G30</x:f>
        <x:v>5.2452</x:v>
      </x:c>
      <x:c r="J8" s="87" t="n">
        <x:f>'原始记录'!G31</x:f>
        <x:v>3.48</x:v>
      </x:c>
      <x:c r="K8" s="92" t="str">
        <x:f>""</x:f>
      </x:c>
      <x:c r="L8" s="87" t="n">
        <x:f>'原始记录'!G32</x:f>
        <x:v>1.79745875281527</x:v>
      </x:c>
      <x:c r="M8" s="87" t="n">
        <x:f>'原始记录'!G27</x:f>
        <x:v>430.48</x:v>
      </x:c>
      <x:c r="N8" s="88" t="str">
        <x:v>含缺失；欧元栏为德国代理</x:v>
      </x:c>
    </x:row>
    <x:row r="9" ht="32" customHeight="1">
      <x:c r="A9" s="86" t="n">
        <x:v>1923</x:v>
      </x:c>
      <x:c r="B9" s="87" t="n">
        <x:f>1</x:f>
        <x:v>1</x:v>
      </x:c>
      <x:c r="C9" s="87" t="n">
        <x:f>'原始记录'!G33</x:f>
        <x:v>0.2186</x:v>
      </x:c>
      <x:c r="D9" s="87" t="n">
        <x:f>'原始记录'!G34</x:f>
        <x:v>1.02</x:v>
      </x:c>
      <x:c r="E9" s="87" t="n">
        <x:f>'原始记录'!G35</x:f>
        <x:v>16.444</x:v>
      </x:c>
      <x:c r="F9" s="92" t="str">
        <x:f>""</x:f>
      </x:c>
      <x:c r="G9" s="87" t="n">
        <x:f>'原始记录'!G36</x:f>
        <x:v>21.73157162726008</x:v>
      </x:c>
      <x:c r="H9" s="87" t="n">
        <x:f>'原始记录'!G37</x:f>
        <x:v>2.06</x:v>
      </x:c>
      <x:c r="I9" s="87" t="n">
        <x:f>'原始记录'!G38</x:f>
        <x:v>5.5371</x:v>
      </x:c>
      <x:c r="J9" s="87" t="n">
        <x:f>'原始记录'!G39</x:f>
        <x:v>3.21</x:v>
      </x:c>
      <x:c r="K9" s="92" t="str">
        <x:f>""</x:f>
      </x:c>
      <x:c r="L9" s="87" t="n">
        <x:f>'原始记录'!G40</x:f>
        <x:v>1.9003350290656242</x:v>
      </x:c>
      <x:c r="M9" s="92" t="str">
        <x:f>""</x:f>
      </x:c>
      <x:c r="N9" s="88" t="str">
        <x:v>含缺失；欧元栏为德国代理</x:v>
      </x:c>
    </x:row>
    <x:row r="10" ht="32" customHeight="1">
      <x:c r="A10" s="86" t="n">
        <x:v>1924</x:v>
      </x:c>
      <x:c r="B10" s="87" t="n">
        <x:f>1</x:f>
        <x:v>1</x:v>
      </x:c>
      <x:c r="C10" s="87" t="n">
        <x:f>'原始记录'!G41</x:f>
        <x:v>0.2264</x:v>
      </x:c>
      <x:c r="D10" s="87" t="n">
        <x:f>'原始记录'!G42</x:f>
        <x:v>1.013</x:v>
      </x:c>
      <x:c r="E10" s="87" t="n">
        <x:f>'原始记录'!G43</x:f>
        <x:v>19.096</x:v>
      </x:c>
      <x:c r="F10" s="92" t="str">
        <x:f>""</x:f>
      </x:c>
      <x:c r="G10" s="87" t="n">
        <x:f>'原始记录'!G44</x:f>
        <x:v>22.94630564479119</x:v>
      </x:c>
      <x:c r="H10" s="87" t="n">
        <x:f>'原始记录'!G45</x:f>
        <x:v>2.43</x:v>
      </x:c>
      <x:c r="I10" s="87" t="n">
        <x:f>'原始记录'!G46</x:f>
        <x:v>5.4876</x:v>
      </x:c>
      <x:c r="J10" s="87" t="n">
        <x:f>'原始记录'!G47</x:f>
        <x:v>3.15</x:v>
      </x:c>
      <x:c r="K10" s="94" t="n">
        <x:f>'原始记录'!G48</x:f>
        <x:v>1.9405</x:v>
      </x:c>
      <x:c r="L10" s="87" t="n">
        <x:f>'原始记录'!G49</x:f>
        <x:v>1.8976304288834533</x:v>
      </x:c>
      <x:c r="M10" s="92" t="str">
        <x:f>""</x:f>
      </x:c>
      <x:c r="N10" s="88" t="str">
        <x:v>含缺失；卢布含官价参考；欧元栏为德国代理</x:v>
      </x:c>
    </x:row>
    <x:row r="11" ht="32" customHeight="1">
      <x:c r="A11" s="86" t="n">
        <x:v>1925</x:v>
      </x:c>
      <x:c r="B11" s="87" t="n">
        <x:f>1</x:f>
        <x:v>1</x:v>
      </x:c>
      <x:c r="C11" s="87" t="n">
        <x:f>'原始记录'!G50</x:f>
        <x:v>0.2071</x:v>
      </x:c>
      <x:c r="D11" s="87" t="n">
        <x:f>'原始记录'!G51</x:f>
        <x:v>1</x:v>
      </x:c>
      <x:c r="E11" s="87" t="n">
        <x:f>'原始记录'!G52</x:f>
        <x:v>20.977</x:v>
      </x:c>
      <x:c r="F11" s="87" t="n">
        <x:f>'原始记录'!G53</x:f>
        <x:v>4.2</x:v>
      </x:c>
      <x:c r="G11" s="87" t="n">
        <x:f>'原始记录'!G54</x:f>
        <x:v>25.1407884151247</x:v>
      </x:c>
      <x:c r="H11" s="87" t="n">
        <x:f>'原始记录'!G55</x:f>
        <x:v>2.44</x:v>
      </x:c>
      <x:c r="I11" s="87" t="n">
        <x:f>'原始记录'!G56</x:f>
        <x:v>5.1742</x:v>
      </x:c>
      <x:c r="J11" s="87" t="n">
        <x:f>'原始记录'!G57</x:f>
        <x:v>2.76</x:v>
      </x:c>
      <x:c r="K11" s="92" t="str">
        <x:f>""</x:f>
      </x:c>
      <x:c r="L11" s="87" t="n">
        <x:f>'原始记录'!G58</x:f>
        <x:v>1.7572654138535777</x:v>
      </x:c>
      <x:c r="M11" s="87" t="n">
        <x:f>'原始记录'!G53</x:f>
        <x:v>4.2</x:v>
      </x:c>
      <x:c r="N11" s="88" t="str">
        <x:v>含缺失；欧元栏为德国代理</x:v>
      </x:c>
    </x:row>
    <x:row r="12" ht="32" customHeight="1">
      <x:c r="A12" s="86" t="n">
        <x:v>1926</x:v>
      </x:c>
      <x:c r="B12" s="87" t="n">
        <x:f>1</x:f>
        <x:v>1</x:v>
      </x:c>
      <x:c r="C12" s="87" t="n">
        <x:f>'原始记录'!G59</x:f>
        <x:v>0.2058</x:v>
      </x:c>
      <x:c r="D12" s="87" t="n">
        <x:f>'原始记录'!G60</x:f>
        <x:v>1</x:v>
      </x:c>
      <x:c r="E12" s="87" t="n">
        <x:f>'原始记录'!G61</x:f>
        <x:v>30.838</x:v>
      </x:c>
      <x:c r="F12" s="87" t="n">
        <x:f>'原始记录'!G62</x:f>
        <x:v>4.2</x:v>
      </x:c>
      <x:c r="G12" s="87" t="n">
        <x:f>'原始记录'!G63</x:f>
        <x:v>25.710906566565537</x:v>
      </x:c>
      <x:c r="H12" s="87" t="n">
        <x:f>'原始记录'!G64</x:f>
        <x:v>2.12</x:v>
      </x:c>
      <x:c r="I12" s="87" t="n">
        <x:f>'原始记录'!G65</x:f>
        <x:v>5.1779</x:v>
      </x:c>
      <x:c r="J12" s="87" t="n">
        <x:f>'原始记录'!G66</x:f>
        <x:v>2.75</x:v>
      </x:c>
      <x:c r="K12" s="92" t="str">
        <x:f>""</x:f>
      </x:c>
      <x:c r="L12" s="87" t="n">
        <x:f>'原始记录'!G67</x:f>
        <x:v>2.0007722981070692</x:v>
      </x:c>
      <x:c r="M12" s="87" t="n">
        <x:f>'原始记录'!G62</x:f>
        <x:v>4.2</x:v>
      </x:c>
      <x:c r="N12" s="88" t="str">
        <x:v>含缺失；欧元栏为德国代理</x:v>
      </x:c>
    </x:row>
    <x:row r="13" ht="32" customHeight="1">
      <x:c r="A13" s="86" t="n">
        <x:v>1927</x:v>
      </x:c>
      <x:c r="B13" s="87" t="n">
        <x:f>1</x:f>
        <x:v>1</x:v>
      </x:c>
      <x:c r="C13" s="87" t="n">
        <x:f>'原始记录'!G68</x:f>
        <x:v>0.2057</x:v>
      </x:c>
      <x:c r="D13" s="87" t="n">
        <x:f>'原始记录'!G69</x:f>
        <x:v>1</x:v>
      </x:c>
      <x:c r="E13" s="87" t="n">
        <x:f>'原始记录'!G70</x:f>
        <x:v>25.484</x:v>
      </x:c>
      <x:c r="F13" s="87" t="n">
        <x:f>'原始记录'!G71</x:f>
        <x:v>4.21</x:v>
      </x:c>
      <x:c r="G13" s="87" t="n">
        <x:f>'原始记录'!G72</x:f>
        <x:v>19.394879751745542</x:v>
      </x:c>
      <x:c r="H13" s="87" t="n">
        <x:f>'原始记录'!G73</x:f>
        <x:v>2.11</x:v>
      </x:c>
      <x:c r="I13" s="87" t="n">
        <x:f>'原始记录'!G74</x:f>
        <x:v>5.1916</x:v>
      </x:c>
      <x:c r="J13" s="87" t="n">
        <x:f>'原始记录'!G75</x:f>
        <x:v>2.75</x:v>
      </x:c>
      <x:c r="K13" s="94" t="n">
        <x:f>'原始记录'!G76</x:f>
        <x:v>1.945</x:v>
      </x:c>
      <x:c r="L13" s="87" t="n">
        <x:f>'原始记录'!G77</x:f>
        <x:v>2.275758168833947</x:v>
      </x:c>
      <x:c r="M13" s="87" t="n">
        <x:f>'原始记录'!G71</x:f>
        <x:v>4.21</x:v>
      </x:c>
      <x:c r="N13" s="88" t="str">
        <x:v>卢布含官价参考；欧元栏为德国代理</x:v>
      </x:c>
    </x:row>
    <x:row r="14" ht="32" customHeight="1">
      <x:c r="A14" s="86" t="n">
        <x:v>1928</x:v>
      </x:c>
      <x:c r="B14" s="87" t="n">
        <x:f>1</x:f>
        <x:v>1</x:v>
      </x:c>
      <x:c r="C14" s="87" t="n">
        <x:f>'原始记录'!G78</x:f>
        <x:v>0.2055</x:v>
      </x:c>
      <x:c r="D14" s="87" t="n">
        <x:f>'原始记录'!G79</x:f>
        <x:v>1.001</x:v>
      </x:c>
      <x:c r="E14" s="87" t="n">
        <x:f>'原始记录'!G80</x:f>
        <x:v>25.504</x:v>
      </x:c>
      <x:c r="F14" s="87" t="n">
        <x:f>'原始记录'!G81</x:f>
        <x:v>4.19</x:v>
      </x:c>
      <x:c r="G14" s="87" t="n">
        <x:f>'原始记录'!G82</x:f>
        <x:v>19.02189420022446</x:v>
      </x:c>
      <x:c r="H14" s="87" t="n">
        <x:f>'原始记录'!G83</x:f>
        <x:v>2.15</x:v>
      </x:c>
      <x:c r="I14" s="87" t="n">
        <x:f>'原始记录'!G84</x:f>
        <x:v>5.1922</x:v>
      </x:c>
      <x:c r="J14" s="87" t="n">
        <x:f>'原始记录'!G85</x:f>
        <x:v>2.74</x:v>
      </x:c>
      <x:c r="K14" s="94" t="n">
        <x:f>'原始记录'!G86</x:f>
        <x:v>1.9434</x:v>
      </x:c>
      <x:c r="L14" s="87" t="n">
        <x:f>'原始记录'!G87</x:f>
        <x:v>2.1674202064251005</x:v>
      </x:c>
      <x:c r="M14" s="87" t="n">
        <x:f>'原始记录'!G81</x:f>
        <x:v>4.19</x:v>
      </x:c>
      <x:c r="N14" s="88" t="str">
        <x:v>卢布含官价参考；欧元栏为德国代理</x:v>
      </x:c>
    </x:row>
    <x:row r="15" ht="32" customHeight="1">
      <x:c r="A15" s="86" t="n">
        <x:v>1929</x:v>
      </x:c>
      <x:c r="B15" s="87" t="n">
        <x:f>1</x:f>
        <x:v>1</x:v>
      </x:c>
      <x:c r="C15" s="87" t="n">
        <x:f>'原始记录'!G88</x:f>
        <x:v>0.2059</x:v>
      </x:c>
      <x:c r="D15" s="87" t="n">
        <x:f>'原始记录'!G89</x:f>
        <x:v>1.008</x:v>
      </x:c>
      <x:c r="E15" s="87" t="n">
        <x:f>'原始记录'!G90</x:f>
        <x:v>25.536</x:v>
      </x:c>
      <x:c r="F15" s="87" t="n">
        <x:f>'原始记录'!G91</x:f>
        <x:v>4.2</x:v>
      </x:c>
      <x:c r="G15" s="87" t="n">
        <x:f>'原始记录'!G92</x:f>
        <x:v>19.10803684029503</x:v>
      </x:c>
      <x:c r="H15" s="87" t="n">
        <x:f>'原始记录'!G93</x:f>
        <x:v>2.17</x:v>
      </x:c>
      <x:c r="I15" s="87" t="n">
        <x:f>'原始记录'!G94</x:f>
        <x:v>5.1869</x:v>
      </x:c>
      <x:c r="J15" s="87" t="n">
        <x:f>'原始记录'!G95</x:f>
        <x:v>2.76</x:v>
      </x:c>
      <x:c r="K15" s="94" t="n">
        <x:f>'原始记录'!G96</x:f>
        <x:v>1.9434</x:v>
      </x:c>
      <x:c r="L15" s="87" t="n">
        <x:f>'原始记录'!G97</x:f>
        <x:v>2.386594973353667</x:v>
      </x:c>
      <x:c r="M15" s="87" t="n">
        <x:f>'原始记录'!G91</x:f>
        <x:v>4.2</x:v>
      </x:c>
      <x:c r="N15" s="88" t="str">
        <x:v>卢布含官价参考；欧元栏为德国代理</x:v>
      </x:c>
    </x:row>
    <x:row r="16" ht="32" customHeight="1">
      <x:c r="A16" s="86" t="n">
        <x:v>1930</x:v>
      </x:c>
      <x:c r="B16" s="87" t="n">
        <x:f>1</x:f>
        <x:v>1</x:v>
      </x:c>
      <x:c r="C16" s="87" t="n">
        <x:f>'原始记录'!G98</x:f>
        <x:v>0.2057</x:v>
      </x:c>
      <x:c r="D16" s="87" t="n">
        <x:f>'原始记录'!G99</x:f>
        <x:v>1.002</x:v>
      </x:c>
      <x:c r="E16" s="87" t="n">
        <x:f>'原始记录'!G100</x:f>
        <x:v>25.478</x:v>
      </x:c>
      <x:c r="F16" s="87" t="n">
        <x:f>'原始记录'!G101</x:f>
        <x:v>4.19</x:v>
      </x:c>
      <x:c r="G16" s="87" t="n">
        <x:f>'原始记录'!G102</x:f>
        <x:v>19.09344331156681</x:v>
      </x:c>
      <x:c r="H16" s="87" t="n">
        <x:f>'原始记录'!G103</x:f>
        <x:v>2.02</x:v>
      </x:c>
      <x:c r="I16" s="87" t="n">
        <x:f>'原始记录'!G104</x:f>
        <x:v>5.1594</x:v>
      </x:c>
      <x:c r="J16" s="87" t="n">
        <x:f>'原始记录'!G105</x:f>
        <x:v>2.77</x:v>
      </x:c>
      <x:c r="K16" s="94" t="n">
        <x:f>'原始记录'!G106</x:f>
        <x:v>1.9434</x:v>
      </x:c>
      <x:c r="L16" s="87" t="n">
        <x:f>'原始记录'!G107</x:f>
        <x:v>3.342625833149489</x:v>
      </x:c>
      <x:c r="M16" s="87" t="n">
        <x:f>'原始记录'!G101</x:f>
        <x:v>4.19</x:v>
      </x:c>
      <x:c r="N16" s="88" t="str">
        <x:v>卢布含官价参考；欧元栏为德国代理</x:v>
      </x:c>
    </x:row>
    <x:row r="17" ht="32" customHeight="1">
      <x:c r="A17" s="86" t="n">
        <x:v>1931</x:v>
      </x:c>
      <x:c r="B17" s="87" t="n">
        <x:f>1</x:f>
        <x:v>1</x:v>
      </x:c>
      <x:c r="C17" s="87" t="n">
        <x:f>'原始记录'!G108</x:f>
        <x:v>0.2205</x:v>
      </x:c>
      <x:c r="D17" s="87" t="n">
        <x:f>'原始记录'!G109</x:f>
        <x:v>1.038</x:v>
      </x:c>
      <x:c r="E17" s="87" t="n">
        <x:f>'原始记录'!G110</x:f>
        <x:v>25.51</x:v>
      </x:c>
      <x:c r="F17" s="87" t="n">
        <x:f>'原始记录'!G111</x:f>
        <x:v>4.23</x:v>
      </x:c>
      <x:c r="G17" s="87" t="n">
        <x:f>'原始记录'!G112</x:f>
        <x:v>19.20749860745635</x:v>
      </x:c>
      <x:c r="H17" s="87" t="n">
        <x:f>'原始记录'!G113</x:f>
        <x:v>2.05</x:v>
      </x:c>
      <x:c r="I17" s="87" t="n">
        <x:f>'原始记录'!G114</x:f>
        <x:v>5.1544</x:v>
      </x:c>
      <x:c r="J17" s="87" t="n">
        <x:f>'原始记录'!G115</x:f>
        <x:v>2.97</x:v>
      </x:c>
      <x:c r="K17" s="94" t="n">
        <x:f>'原始记录'!G116</x:f>
        <x:v>1.9434</x:v>
      </x:c>
      <x:c r="L17" s="87" t="n">
        <x:f>'原始记录'!G117</x:f>
        <x:v>4.4569436954302954</x:v>
      </x:c>
      <x:c r="M17" s="87" t="n">
        <x:f>'原始记录'!G111</x:f>
        <x:v>4.23</x:v>
      </x:c>
      <x:c r="N17" s="88" t="str">
        <x:v>卢布含官价参考；欧元栏为德国代理</x:v>
      </x:c>
    </x:row>
    <x:row r="18" ht="32" customHeight="1">
      <x:c r="A18" s="86" t="n">
        <x:v>1932</x:v>
      </x:c>
      <x:c r="B18" s="87" t="n">
        <x:f>1</x:f>
        <x:v>1</x:v>
      </x:c>
      <x:c r="C18" s="87" t="n">
        <x:f>'原始记录'!G118</x:f>
        <x:v>0.2852</x:v>
      </x:c>
      <x:c r="D18" s="87" t="n">
        <x:f>'原始记录'!G119</x:f>
        <x:v>1.135</x:v>
      </x:c>
      <x:c r="E18" s="87" t="n">
        <x:f>'原始记录'!G120</x:f>
        <x:v>25.461</x:v>
      </x:c>
      <x:c r="F18" s="87" t="n">
        <x:f>'原始记录'!G121</x:f>
        <x:v>4.21</x:v>
      </x:c>
      <x:c r="G18" s="87" t="n">
        <x:f>'原始记录'!G122</x:f>
        <x:v>19.511053011531033</x:v>
      </x:c>
      <x:c r="H18" s="87" t="n">
        <x:f>'原始记录'!G123</x:f>
        <x:v>3.56</x:v>
      </x:c>
      <x:c r="I18" s="87" t="n">
        <x:f>'原始记录'!G124</x:f>
        <x:v>5.1533</x:v>
      </x:c>
      <x:c r="J18" s="87" t="n">
        <x:f>'原始记录'!G125</x:f>
        <x:v>3.8</x:v>
      </x:c>
      <x:c r="K18" s="94" t="n">
        <x:f>'原始记录'!G126</x:f>
        <x:v>1.9434</x:v>
      </x:c>
      <x:c r="L18" s="87" t="n">
        <x:f>'原始记录'!G127</x:f>
        <x:v>4.600725994561942</x:v>
      </x:c>
      <x:c r="M18" s="87" t="n">
        <x:f>'原始记录'!G121</x:f>
        <x:v>4.21</x:v>
      </x:c>
      <x:c r="N18" s="88" t="str">
        <x:v>卢布含官价参考；欧元栏为德国代理</x:v>
      </x:c>
    </x:row>
    <x:row r="19" ht="32" customHeight="1">
      <x:c r="A19" s="86" t="n">
        <x:v>1933</x:v>
      </x:c>
      <x:c r="B19" s="87" t="n">
        <x:f>1</x:f>
        <x:v>1</x:v>
      </x:c>
      <x:c r="C19" s="87" t="n">
        <x:f>'原始记录'!G128</x:f>
        <x:v>0.236</x:v>
      </x:c>
      <x:c r="D19" s="87" t="n">
        <x:f>'原始记录'!G129</x:f>
        <x:v>1.087</x:v>
      </x:c>
      <x:c r="E19" s="87" t="n">
        <x:f>'原始记录'!G130</x:f>
        <x:v>19.876</x:v>
      </x:c>
      <x:c r="F19" s="87" t="n">
        <x:f>'原始记录'!G131</x:f>
        <x:v>3.28</x:v>
      </x:c>
      <x:c r="G19" s="87" t="n">
        <x:f>'原始记录'!G132</x:f>
        <x:v>14.904462396041376</x:v>
      </x:c>
      <x:c r="H19" s="87" t="n">
        <x:f>'原始记录'!G133</x:f>
        <x:v>3.9</x:v>
      </x:c>
      <x:c r="I19" s="87" t="n">
        <x:f>'原始记录'!G134</x:f>
        <x:v>4.0265</x:v>
      </x:c>
      <x:c r="J19" s="87" t="n">
        <x:f>'原始记录'!G135</x:f>
        <x:v>3.14</x:v>
      </x:c>
      <x:c r="K19" s="94" t="n">
        <x:f>'原始记录'!G136</x:f>
        <x:v>1.9434</x:v>
      </x:c>
      <x:c r="L19" s="96" t="n">
        <x:f>'原始记录'!G137</x:f>
        <x:v>3.496760251626868</x:v>
      </x:c>
      <x:c r="M19" s="87" t="n">
        <x:f>'原始记录'!G131</x:f>
        <x:v>3.28</x:v>
      </x:c>
      <x:c r="N19" s="88" t="str">
        <x:v>卢布含官价参考；含部分年；欧元栏为德国代理</x:v>
      </x:c>
    </x:row>
    <x:row r="20" ht="32" customHeight="1">
      <x:c r="A20" s="86" t="n">
        <x:v>1934</x:v>
      </x:c>
      <x:c r="B20" s="87" t="n">
        <x:f>1</x:f>
        <x:v>1</x:v>
      </x:c>
      <x:c r="C20" s="87" t="n">
        <x:f>'原始记录'!G138</x:f>
        <x:v>0.1985</x:v>
      </x:c>
      <x:c r="D20" s="87" t="n">
        <x:f>'原始记录'!G139</x:f>
        <x:v>0.99</x:v>
      </x:c>
      <x:c r="E20" s="87" t="n">
        <x:f>'原始记录'!G140</x:f>
        <x:v>15.223</x:v>
      </x:c>
      <x:c r="F20" s="87" t="n">
        <x:f>'原始记录'!G141</x:f>
        <x:v>2.54</x:v>
      </x:c>
      <x:c r="G20" s="87" t="n">
        <x:f>'原始记录'!G142</x:f>
        <x:v>11.679923379702629</x:v>
      </x:c>
      <x:c r="H20" s="87" t="n">
        <x:f>'原始记录'!G143</x:f>
        <x:v>3.37</x:v>
      </x:c>
      <x:c r="I20" s="87" t="n">
        <x:f>'原始记录'!G144</x:f>
        <x:v>3.0896</x:v>
      </x:c>
      <x:c r="J20" s="87" t="n">
        <x:f>'原始记录'!G145</x:f>
        <x:v>2.64</x:v>
      </x:c>
      <x:c r="K20" s="94" t="n">
        <x:f>'原始记录'!G146</x:f>
        <x:v>1.2434</x:v>
      </x:c>
      <x:c r="L20" s="87" t="n">
        <x:f>'原始记录'!G147</x:f>
        <x:v>2.933093210769145</x:v>
      </x:c>
      <x:c r="M20" s="87" t="n">
        <x:f>'原始记录'!G141</x:f>
        <x:v>2.54</x:v>
      </x:c>
      <x:c r="N20" s="88" t="str">
        <x:v>卢布含官价参考；欧元栏为德国代理</x:v>
      </x:c>
    </x:row>
    <x:row r="21" ht="32" customHeight="1">
      <x:c r="A21" s="86" t="n">
        <x:v>1935</x:v>
      </x:c>
      <x:c r="B21" s="87" t="n">
        <x:f>1</x:f>
        <x:v>1</x:v>
      </x:c>
      <x:c r="C21" s="87" t="n">
        <x:f>'原始记录'!G148</x:f>
        <x:v>0.204</x:v>
      </x:c>
      <x:c r="D21" s="87" t="n">
        <x:f>'原始记录'!G149</x:f>
        <x:v>1.005</x:v>
      </x:c>
      <x:c r="E21" s="87" t="n">
        <x:f>'原始记录'!G150</x:f>
        <x:v>15.149</x:v>
      </x:c>
      <x:c r="F21" s="87" t="n">
        <x:f>'原始记录'!G151</x:f>
        <x:v>2.48</x:v>
      </x:c>
      <x:c r="G21" s="87" t="n">
        <x:f>'原始记录'!G152</x:f>
        <x:v>12.12547440918626</x:v>
      </x:c>
      <x:c r="H21" s="87" t="n">
        <x:f>'原始记录'!G153</x:f>
        <x:v>3.48</x:v>
      </x:c>
      <x:c r="I21" s="87" t="n">
        <x:f>'原始记录'!G154</x:f>
        <x:v>3.0772</x:v>
      </x:c>
      <x:c r="J21" s="87" t="n">
        <x:f>'原始记录'!G155</x:f>
        <x:v>2.71</x:v>
      </x:c>
      <x:c r="K21" s="94" t="n">
        <x:f>'原始记录'!G156</x:f>
        <x:v>1.1509</x:v>
      </x:c>
      <x:c r="L21" s="87" t="n">
        <x:f>'原始记录'!G157</x:f>
        <x:v>2.7344294749621962</x:v>
      </x:c>
      <x:c r="M21" s="87" t="n">
        <x:f>'原始记录'!G151</x:f>
        <x:v>2.48</x:v>
      </x:c>
      <x:c r="N21" s="88" t="str">
        <x:v>卢布含官价参考；欧元栏为德国代理</x:v>
      </x:c>
    </x:row>
    <x:row r="22" ht="32" customHeight="1">
      <x:c r="A22" s="86" t="n">
        <x:v>1936</x:v>
      </x:c>
      <x:c r="B22" s="87" t="n">
        <x:f>1</x:f>
        <x:v>1</x:v>
      </x:c>
      <x:c r="C22" s="87" t="n">
        <x:f>'原始记录'!G158</x:f>
        <x:v>0.2012</x:v>
      </x:c>
      <x:c r="D22" s="87" t="n">
        <x:f>'原始记录'!G159</x:f>
        <x:v>1.001</x:v>
      </x:c>
      <x:c r="E22" s="87" t="n">
        <x:f>'原始记录'!G160</x:f>
        <x:v>16.356</x:v>
      </x:c>
      <x:c r="F22" s="87" t="n">
        <x:f>'原始记录'!G161</x:f>
        <x:v>2.48</x:v>
      </x:c>
      <x:c r="G22" s="87" t="n">
        <x:f>'原始记录'!G162</x:f>
        <x:v>13.71441110318723</x:v>
      </x:c>
      <x:c r="H22" s="87" t="n">
        <x:f>'原始记录'!G163</x:f>
        <x:v>3.45</x:v>
      </x:c>
      <x:c r="I22" s="87" t="n">
        <x:f>'原始记录'!G164</x:f>
        <x:v>3.3125</x:v>
      </x:c>
      <x:c r="J22" s="87" t="n">
        <x:f>'原始记录'!G165</x:f>
        <x:v>2.67</x:v>
      </x:c>
      <x:c r="K22" s="94" t="n">
        <x:f>'原始记录'!G166</x:f>
        <x:v>1.1516</x:v>
      </x:c>
      <x:c r="L22" s="87" t="n">
        <x:f>'原始记录'!G167</x:f>
        <x:v>3.3612767473597174</x:v>
      </x:c>
      <x:c r="M22" s="87" t="n">
        <x:f>'原始记录'!G161</x:f>
        <x:v>2.48</x:v>
      </x:c>
      <x:c r="N22" s="88" t="str">
        <x:v>卢布含官价参考；欧元栏为德国代理</x:v>
      </x:c>
    </x:row>
    <x:row r="23" ht="32" customHeight="1">
      <x:c r="A23" s="86" t="n">
        <x:v>1937</x:v>
      </x:c>
      <x:c r="B23" s="87" t="n">
        <x:f>1</x:f>
        <x:v>1</x:v>
      </x:c>
      <x:c r="C23" s="87" t="n">
        <x:f>'原始记录'!G168</x:f>
        <x:v>0.2023</x:v>
      </x:c>
      <x:c r="D23" s="87" t="n">
        <x:f>'原始记录'!G169</x:f>
        <x:v>1</x:v>
      </x:c>
      <x:c r="E23" s="87" t="n">
        <x:f>'原始记录'!G170</x:f>
        <x:v>24.716</x:v>
      </x:c>
      <x:c r="F23" s="87" t="n">
        <x:f>'原始记录'!G171</x:f>
        <x:v>2.49</x:v>
      </x:c>
      <x:c r="G23" s="87" t="n">
        <x:f>'原始记录'!G172</x:f>
        <x:v>19.008877145627007</x:v>
      </x:c>
      <x:c r="H23" s="87" t="n">
        <x:f>'原始记录'!G173</x:f>
        <x:v>3.47</x:v>
      </x:c>
      <x:c r="I23" s="87" t="n">
        <x:f>'原始记录'!G174</x:f>
        <x:v>4.3596</x:v>
      </x:c>
      <x:c r="J23" s="87" t="n">
        <x:f>'原始记录'!G175</x:f>
        <x:v>2.68</x:v>
      </x:c>
      <x:c r="K23" s="94" t="n">
        <x:f>'原始记录'!G176</x:f>
        <x:v>5.04</x:v>
      </x:c>
      <x:c r="L23" s="87" t="n">
        <x:f>'原始记录'!G177</x:f>
        <x:v>3.377648076091656</x:v>
      </x:c>
      <x:c r="M23" s="87" t="n">
        <x:f>'原始记录'!G171</x:f>
        <x:v>2.49</x:v>
      </x:c>
      <x:c r="N23" s="88" t="str">
        <x:v>卢布含官价参考；欧元栏为德国代理</x:v>
      </x:c>
    </x:row>
    <x:row r="24" ht="32" customHeight="1">
      <x:c r="A24" s="86" t="n">
        <x:v>1938</x:v>
      </x:c>
      <x:c r="B24" s="87" t="n">
        <x:f>1</x:f>
        <x:v>1</x:v>
      </x:c>
      <x:c r="C24" s="87" t="n">
        <x:f>'原始记录'!G178</x:f>
        <x:v>0.2045</x:v>
      </x:c>
      <x:c r="D24" s="87" t="n">
        <x:f>'原始记录'!G179</x:f>
        <x:v>1.006</x:v>
      </x:c>
      <x:c r="E24" s="87" t="n">
        <x:f>'原始记录'!G180</x:f>
        <x:v>34.745</x:v>
      </x:c>
      <x:c r="F24" s="87" t="n">
        <x:f>'原始记录'!G181</x:f>
        <x:v>2.49</x:v>
      </x:c>
      <x:c r="G24" s="87" t="n">
        <x:f>'原始记录'!G182</x:f>
        <x:v>19.009599847923198</x:v>
      </x:c>
      <x:c r="H24" s="87" t="n">
        <x:f>'原始记录'!G183</x:f>
        <x:v>3.52</x:v>
      </x:c>
      <x:c r="I24" s="87" t="n">
        <x:f>'原始记录'!G184</x:f>
        <x:v>4.3723</x:v>
      </x:c>
      <x:c r="J24" s="87" t="n">
        <x:f>'原始记录'!G185</x:f>
        <x:v>2.73</x:v>
      </x:c>
      <x:c r="K24" s="94" t="n">
        <x:f>'原始记录'!G186</x:f>
        <x:v>5.3</x:v>
      </x:c>
      <x:c r="L24" s="87" t="n">
        <x:f>'原始记录'!G187</x:f>
        <x:v>4.681735613026461</x:v>
      </x:c>
      <x:c r="M24" s="87" t="n">
        <x:f>'原始记录'!G181</x:f>
        <x:v>2.49</x:v>
      </x:c>
      <x:c r="N24" s="88" t="str">
        <x:v>卢布含官价参考；欧元栏为德国代理</x:v>
      </x:c>
    </x:row>
    <x:row r="25" ht="32" customHeight="1">
      <x:c r="A25" s="86" t="n">
        <x:v>1939</x:v>
      </x:c>
      <x:c r="B25" s="87" t="n">
        <x:f>1</x:f>
        <x:v>1</x:v>
      </x:c>
      <x:c r="C25" s="87" t="n">
        <x:f>'原始记录'!G188</x:f>
        <x:v>0.2255</x:v>
      </x:c>
      <x:c r="D25" s="87" t="n">
        <x:f>'原始记录'!G189</x:f>
        <x:v>1.041</x:v>
      </x:c>
      <x:c r="E25" s="87" t="n">
        <x:f>'原始记录'!G190</x:f>
        <x:v>39.836</x:v>
      </x:c>
      <x:c r="F25" s="87" t="n">
        <x:f>'原始记录'!G191</x:f>
        <x:v>2.5</x:v>
      </x:c>
      <x:c r="G25" s="87" t="n">
        <x:f>'原始记录'!G192</x:f>
        <x:v>19.245943917319426</x:v>
      </x:c>
      <x:c r="H25" s="87" t="n">
        <x:f>'原始记录'!G193</x:f>
        <x:v>3.85</x:v>
      </x:c>
      <x:c r="I25" s="87" t="n">
        <x:f>'原始记录'!G194</x:f>
        <x:v>4.4396</x:v>
      </x:c>
      <x:c r="J25" s="87" t="n">
        <x:f>'原始记录'!G195</x:f>
        <x:v>3</x:v>
      </x:c>
      <x:c r="K25" s="94" t="n">
        <x:f>'原始记录'!G196</x:f>
        <x:v>5.3</x:v>
      </x:c>
      <x:c r="L25" s="87" t="n">
        <x:f>'原始记录'!G197</x:f>
        <x:v>8.41800442787033</x:v>
      </x:c>
      <x:c r="M25" s="87" t="n">
        <x:f>'原始记录'!G191</x:f>
        <x:v>2.5</x:v>
      </x:c>
      <x:c r="N25" s="88" t="str">
        <x:v>卢布含官价参考；欧元栏为德国代理</x:v>
      </x:c>
    </x:row>
    <x:row r="26" ht="32" customHeight="1">
      <x:c r="A26" s="86" t="n">
        <x:v>1940</x:v>
      </x:c>
      <x:c r="B26" s="87" t="n">
        <x:f>1</x:f>
        <x:v>1</x:v>
      </x:c>
      <x:c r="C26" s="87" t="n">
        <x:f>'原始记录'!G198</x:f>
        <x:v>0.2611</x:v>
      </x:c>
      <x:c r="D26" s="87" t="n">
        <x:f>'原始记录'!G199</x:f>
        <x:v>1.175</x:v>
      </x:c>
      <x:c r="E26" s="96" t="n">
        <x:f>'原始记录'!G200</x:f>
        <x:v>48.015</x:v>
      </x:c>
      <x:c r="F26" s="87" t="n">
        <x:f>'原始记录'!G201</x:f>
        <x:v>2.5</x:v>
      </x:c>
      <x:c r="G26" s="87" t="n">
        <x:f>'原始记录'!G202</x:f>
        <x:v>19.838514492034836</x:v>
      </x:c>
      <x:c r="H26" s="87" t="n">
        <x:f>'原始记录'!G203</x:f>
        <x:v>4.27</x:v>
      </x:c>
      <x:c r="I26" s="87" t="n">
        <x:f>'原始记录'!G204</x:f>
        <x:v>4.41</x:v>
      </x:c>
      <x:c r="J26" s="87" t="n">
        <x:f>'原始记录'!G205</x:f>
        <x:v>3.32</x:v>
      </x:c>
      <x:c r="K26" s="94" t="n">
        <x:f>'原始记录'!G206</x:f>
        <x:v>5.3</x:v>
      </x:c>
      <x:c r="L26" s="87" t="n">
        <x:f>'原始记录'!G207</x:f>
        <x:v>16.66722224074136</x:v>
      </x:c>
      <x:c r="M26" s="87" t="n">
        <x:f>'原始记录'!G201</x:f>
        <x:v>2.5</x:v>
      </x:c>
      <x:c r="N26" s="88" t="str">
        <x:v>卢布含官价参考；含部分年；欧元栏为德国代理</x:v>
      </x:c>
    </x:row>
    <x:row r="27" ht="32" customHeight="1">
      <x:c r="A27" s="86" t="n">
        <x:v>1941</x:v>
      </x:c>
      <x:c r="B27" s="87" t="n">
        <x:f>1</x:f>
        <x:v>1</x:v>
      </x:c>
      <x:c r="C27" s="87" t="n">
        <x:f>'原始记录'!G208</x:f>
        <x:v>0.248</x:v>
      </x:c>
      <x:c r="D27" s="87" t="n">
        <x:f>'原始记录'!G209</x:f>
        <x:v>1.1449</x:v>
      </x:c>
      <x:c r="E27" s="92" t="str">
        <x:f>""</x:f>
      </x:c>
      <x:c r="F27" s="96" t="n">
        <x:f>'原始记录'!G210</x:f>
        <x:v>2.5</x:v>
      </x:c>
      <x:c r="G27" s="96" t="n">
        <x:f>'原始记录'!G211</x:f>
        <x:v>19.722698854111197</x:v>
      </x:c>
      <x:c r="H27" s="96" t="n">
        <x:f>'原始记录'!G212</x:f>
        <x:v>4.27</x:v>
      </x:c>
      <x:c r="I27" s="96" t="n">
        <x:f>'原始记录'!G213</x:f>
        <x:v>4.3086</x:v>
      </x:c>
      <x:c r="J27" s="87" t="n">
        <x:f>'原始记录'!G214</x:f>
        <x:v>3.32</x:v>
      </x:c>
      <x:c r="K27" s="94" t="n">
        <x:f>'原始记录'!G215</x:f>
        <x:v>5.3</x:v>
      </x:c>
      <x:c r="L27" s="96" t="n">
        <x:f>'原始记录'!G216</x:f>
        <x:v>18.820695236482035</x:v>
      </x:c>
      <x:c r="M27" s="96" t="n">
        <x:f>'原始记录'!G210</x:f>
        <x:v>2.5</x:v>
      </x:c>
      <x:c r="N27" s="88" t="str">
        <x:v>含缺失；卢布含官价参考；含部分年；欧元栏为德国代理</x:v>
      </x:c>
    </x:row>
    <x:row r="28" ht="32" customHeight="1">
      <x:c r="A28" s="86" t="n">
        <x:v>1942</x:v>
      </x:c>
      <x:c r="B28" s="87" t="n">
        <x:f>1</x:f>
        <x:v>1</x:v>
      </x:c>
      <x:c r="C28" s="87" t="n">
        <x:f>'原始记录'!G217</x:f>
        <x:v>0.2478</x:v>
      </x:c>
      <x:c r="D28" s="92" t="str">
        <x:f>""</x:f>
      </x:c>
      <x:c r="E28" s="92" t="str">
        <x:f>""</x:f>
      </x:c>
      <x:c r="F28" s="92" t="str">
        <x:f>""</x:f>
      </x:c>
      <x:c r="G28" s="92" t="str">
        <x:f>""</x:f>
      </x:c>
      <x:c r="H28" s="92" t="str">
        <x:f>""</x:f>
      </x:c>
      <x:c r="I28" s="92" t="str">
        <x:f>""</x:f>
      </x:c>
      <x:c r="J28" s="87" t="n">
        <x:f>'原始记录'!G218</x:f>
        <x:v>3.32</x:v>
      </x:c>
      <x:c r="K28" s="94" t="n">
        <x:f>'原始记录'!G219</x:f>
        <x:v>5.3</x:v>
      </x:c>
      <x:c r="L28" s="92" t="str">
        <x:f>""</x:f>
      </x:c>
      <x:c r="M28" s="92" t="str">
        <x:f>""</x:f>
      </x:c>
      <x:c r="N28" s="88" t="str">
        <x:v>含缺失；卢布含官价参考；欧元栏为德国代理</x:v>
      </x:c>
    </x:row>
    <x:row r="29" ht="32" customHeight="1">
      <x:c r="A29" s="86" t="n">
        <x:v>1943</x:v>
      </x:c>
      <x:c r="B29" s="87" t="n">
        <x:f>1</x:f>
        <x:v>1</x:v>
      </x:c>
      <x:c r="C29" s="87" t="n">
        <x:f>'原始记录'!G220</x:f>
        <x:v>0.2478</x:v>
      </x:c>
      <x:c r="D29" s="92" t="str">
        <x:f>""</x:f>
      </x:c>
      <x:c r="E29" s="92" t="str">
        <x:f>""</x:f>
      </x:c>
      <x:c r="F29" s="92" t="str">
        <x:f>""</x:f>
      </x:c>
      <x:c r="G29" s="92" t="str">
        <x:f>""</x:f>
      </x:c>
      <x:c r="H29" s="92" t="str">
        <x:f>""</x:f>
      </x:c>
      <x:c r="I29" s="92" t="str">
        <x:f>""</x:f>
      </x:c>
      <x:c r="J29" s="87" t="n">
        <x:f>'原始记录'!G221</x:f>
        <x:v>3.32</x:v>
      </x:c>
      <x:c r="K29" s="94" t="n">
        <x:f>'原始记录'!G222</x:f>
        <x:v>5.3</x:v>
      </x:c>
      <x:c r="L29" s="92" t="str">
        <x:f>""</x:f>
      </x:c>
      <x:c r="M29" s="92" t="str">
        <x:f>""</x:f>
      </x:c>
      <x:c r="N29" s="88" t="str">
        <x:v>含缺失；卢布含官价参考；欧元栏为德国代理</x:v>
      </x:c>
    </x:row>
    <x:row r="30" ht="32" customHeight="1">
      <x:c r="A30" s="86" t="n">
        <x:v>1944</x:v>
      </x:c>
      <x:c r="B30" s="87" t="n">
        <x:f>1</x:f>
        <x:v>1</x:v>
      </x:c>
      <x:c r="C30" s="87" t="n">
        <x:f>'原始记录'!G223</x:f>
        <x:v>0.2478</x:v>
      </x:c>
      <x:c r="D30" s="92" t="str">
        <x:f>""</x:f>
      </x:c>
      <x:c r="E30" s="92" t="str">
        <x:f>""</x:f>
      </x:c>
      <x:c r="F30" s="92" t="str">
        <x:f>""</x:f>
      </x:c>
      <x:c r="G30" s="92" t="str">
        <x:f>""</x:f>
      </x:c>
      <x:c r="H30" s="92" t="str">
        <x:f>""</x:f>
      </x:c>
      <x:c r="I30" s="92" t="str">
        <x:f>""</x:f>
      </x:c>
      <x:c r="J30" s="87" t="n">
        <x:f>'原始记录'!G224</x:f>
        <x:v>3.32</x:v>
      </x:c>
      <x:c r="K30" s="94" t="n">
        <x:f>'原始记录'!G225</x:f>
        <x:v>5.3</x:v>
      </x:c>
      <x:c r="L30" s="92" t="str">
        <x:f>""</x:f>
      </x:c>
      <x:c r="M30" s="92" t="str">
        <x:f>""</x:f>
      </x:c>
      <x:c r="N30" s="88" t="str">
        <x:v>含缺失；卢布含官价参考；欧元栏为德国代理</x:v>
      </x:c>
    </x:row>
    <x:row r="31" ht="32" customHeight="1">
      <x:c r="A31" s="86" t="n">
        <x:v>1945</x:v>
      </x:c>
      <x:c r="B31" s="87" t="n">
        <x:f>1</x:f>
        <x:v>1</x:v>
      </x:c>
      <x:c r="C31" s="87" t="n">
        <x:f>'原始记录'!G226</x:f>
        <x:v>0.2481</x:v>
      </x:c>
      <x:c r="D31" s="92" t="str">
        <x:f>""</x:f>
      </x:c>
      <x:c r="E31" s="92" t="str">
        <x:f>""</x:f>
      </x:c>
      <x:c r="F31" s="92" t="str">
        <x:f>""</x:f>
      </x:c>
      <x:c r="G31" s="92" t="str">
        <x:f>""</x:f>
      </x:c>
      <x:c r="H31" s="92" t="str">
        <x:f>""</x:f>
      </x:c>
      <x:c r="I31" s="92" t="str">
        <x:f>""</x:f>
      </x:c>
      <x:c r="J31" s="87" t="n">
        <x:f>'原始记录'!G227</x:f>
        <x:v>3.32</x:v>
      </x:c>
      <x:c r="K31" s="94" t="n">
        <x:f>'原始记录'!G228</x:f>
        <x:v>5.3</x:v>
      </x:c>
      <x:c r="L31" s="92" t="str">
        <x:f>""</x:f>
      </x:c>
      <x:c r="M31" s="92" t="str">
        <x:f>""</x:f>
      </x:c>
      <x:c r="N31" s="88" t="str">
        <x:v>含缺失；卢布含官价参考；欧元栏为德国代理</x:v>
      </x:c>
    </x:row>
    <x:row r="32" ht="32" customHeight="1">
      <x:c r="A32" s="86" t="n">
        <x:v>1946</x:v>
      </x:c>
      <x:c r="B32" s="87" t="n">
        <x:f>1</x:f>
        <x:v>1</x:v>
      </x:c>
      <x:c r="C32" s="87" t="n">
        <x:f>'原始记录'!G229</x:f>
        <x:v>0.248</x:v>
      </x:c>
      <x:c r="D32" s="87" t="n">
        <x:f>'原始记录'!G230</x:f>
        <x:v>1.072</x:v>
      </x:c>
      <x:c r="E32" s="92" t="str">
        <x:f>""</x:f>
      </x:c>
      <x:c r="F32" s="92" t="str">
        <x:f>""</x:f>
      </x:c>
      <x:c r="G32" s="92" t="str">
        <x:f>""</x:f>
      </x:c>
      <x:c r="H32" s="92" t="str">
        <x:f>""</x:f>
      </x:c>
      <x:c r="I32" s="87" t="n">
        <x:f>'原始记录'!G231</x:f>
        <x:v>4.2803</x:v>
      </x:c>
      <x:c r="J32" s="87" t="n">
        <x:f>'原始记录'!G232</x:f>
        <x:v>3.32</x:v>
      </x:c>
      <x:c r="K32" s="94" t="n">
        <x:f>'原始记录'!G233</x:f>
        <x:v>5.3</x:v>
      </x:c>
      <x:c r="L32" s="92" t="str">
        <x:f>""</x:f>
      </x:c>
      <x:c r="M32" s="92" t="str">
        <x:f>""</x:f>
      </x:c>
      <x:c r="N32" s="88" t="str">
        <x:v>含缺失；卢布含官价参考；欧元栏为德国代理</x:v>
      </x:c>
    </x:row>
    <x:row r="33" ht="32" customHeight="1">
      <x:c r="A33" s="86" t="n">
        <x:v>1947</x:v>
      </x:c>
      <x:c r="B33" s="87" t="n">
        <x:f>1</x:f>
        <x:v>1</x:v>
      </x:c>
      <x:c r="C33" s="87" t="n">
        <x:f>'原始记录'!G234</x:f>
        <x:v>0.2482</x:v>
      </x:c>
      <x:c r="D33" s="87" t="n">
        <x:f>'原始记录'!G235</x:f>
        <x:v>1.087</x:v>
      </x:c>
      <x:c r="E33" s="92" t="str">
        <x:f>""</x:f>
      </x:c>
      <x:c r="F33" s="92" t="str">
        <x:f>""</x:f>
      </x:c>
      <x:c r="G33" s="92" t="str">
        <x:f>""</x:f>
      </x:c>
      <x:c r="H33" s="92" t="str">
        <x:f>""</x:f>
      </x:c>
      <x:c r="I33" s="87" t="n">
        <x:f>'原始记录'!G236</x:f>
        <x:v>4.2803</x:v>
      </x:c>
      <x:c r="J33" s="87" t="n">
        <x:f>'原始记录'!G237</x:f>
        <x:v>3.32</x:v>
      </x:c>
      <x:c r="K33" s="94" t="n">
        <x:f>'原始记录'!G238</x:f>
        <x:v>5.3</x:v>
      </x:c>
      <x:c r="L33" s="92" t="str">
        <x:f>""</x:f>
      </x:c>
      <x:c r="M33" s="92" t="str">
        <x:f>""</x:f>
      </x:c>
      <x:c r="N33" s="88" t="str">
        <x:v>含缺失；卢布含官价参考；欧元栏为德国代理</x:v>
      </x:c>
    </x:row>
    <x:row r="34" ht="32" customHeight="1">
      <x:c r="A34" s="86" t="n">
        <x:v>1948</x:v>
      </x:c>
      <x:c r="B34" s="87" t="n">
        <x:f>1</x:f>
        <x:v>1</x:v>
      </x:c>
      <x:c r="C34" s="87" t="n">
        <x:f>'原始记录'!G239</x:f>
        <x:v>0.2481</x:v>
      </x:c>
      <x:c r="D34" s="87" t="n">
        <x:f>'原始记录'!G240</x:f>
        <x:v>1.0906</x:v>
      </x:c>
      <x:c r="E34" s="92" t="str">
        <x:f>""</x:f>
      </x:c>
      <x:c r="F34" s="92" t="str">
        <x:f>""</x:f>
      </x:c>
      <x:c r="G34" s="92" t="str">
        <x:f>""</x:f>
      </x:c>
      <x:c r="H34" s="92" t="str">
        <x:f>""</x:f>
      </x:c>
      <x:c r="I34" s="87" t="n">
        <x:f>'原始记录'!G241</x:f>
        <x:v>4.2803</x:v>
      </x:c>
      <x:c r="J34" s="87" t="n">
        <x:f>'原始记录'!G242</x:f>
        <x:v>3.31</x:v>
      </x:c>
      <x:c r="K34" s="94" t="n">
        <x:f>'原始记录'!G243</x:f>
        <x:v>5.3</x:v>
      </x:c>
      <x:c r="L34" s="92" t="str">
        <x:f>""</x:f>
      </x:c>
      <x:c r="M34" s="92" t="str">
        <x:f>""</x:f>
      </x:c>
      <x:c r="N34" s="88" t="str">
        <x:v>含缺失；卢布含官价参考；欧元栏为德国代理</x:v>
      </x:c>
    </x:row>
    <x:row r="35" ht="32" customHeight="1">
      <x:c r="A35" s="86" t="n">
        <x:v>1949</x:v>
      </x:c>
      <x:c r="B35" s="87" t="n">
        <x:f>1</x:f>
        <x:v>1</x:v>
      </x:c>
      <x:c r="C35" s="87" t="n">
        <x:f>'原始记录'!G244</x:f>
        <x:v>0.2712</x:v>
      </x:c>
      <x:c r="D35" s="87" t="n">
        <x:f>'原始记录'!G245</x:f>
        <x:v>1.0767</x:v>
      </x:c>
      <x:c r="E35" s="92" t="str">
        <x:f>""</x:f>
      </x:c>
      <x:c r="F35" s="92" t="str">
        <x:f>""</x:f>
      </x:c>
      <x:c r="G35" s="92" t="str">
        <x:f>""</x:f>
      </x:c>
      <x:c r="H35" s="92" t="str">
        <x:f>""</x:f>
      </x:c>
      <x:c r="I35" s="87" t="n">
        <x:f>'原始记录'!G246</x:f>
        <x:v>4.2893</x:v>
      </x:c>
      <x:c r="J35" s="92" t="str">
        <x:f>""</x:f>
      </x:c>
      <x:c r="K35" s="94" t="n">
        <x:f>'原始记录'!G247</x:f>
        <x:v>5.3</x:v>
      </x:c>
      <x:c r="L35" s="92" t="str">
        <x:f>""</x:f>
      </x:c>
      <x:c r="M35" s="92" t="str">
        <x:f>""</x:f>
      </x:c>
      <x:c r="N35" s="88" t="str">
        <x:v>含缺失；卢布含官价参考；欧元栏为德国代理</x:v>
      </x:c>
    </x:row>
    <x:row r="36" ht="32" customHeight="1">
      <x:c r="A36" s="86" t="n">
        <x:v>1950</x:v>
      </x:c>
      <x:c r="B36" s="87" t="n">
        <x:f>1</x:f>
        <x:v>1</x:v>
      </x:c>
      <x:c r="C36" s="87" t="n">
        <x:f>'原始记录'!G248</x:f>
        <x:v>0.357371402609925</x:v>
      </x:c>
      <x:c r="D36" s="87" t="n">
        <x:f>'原始记录'!G249</x:f>
        <x:v>1.09182053511832</x:v>
      </x:c>
      <x:c r="E36" s="87" t="n">
        <x:f>'原始记录'!G250</x:f>
        <x:v>349.9049706901634</x:v>
      </x:c>
      <x:c r="F36" s="87" t="n">
        <x:f>'原始记录'!G251</x:f>
        <x:v>4.194982910195922</x:v>
      </x:c>
      <x:c r="G36" s="87" t="n">
        <x:f>'原始记录'!G252</x:f>
        <x:v>624.6851602690588</x:v>
      </x:c>
      <x:c r="H36" s="87" t="n">
        <x:f>'原始记录'!G253</x:f>
        <x:v>361.100006463613</x:v>
      </x:c>
      <x:c r="I36" s="87" t="n">
        <x:f>'原始记录'!G254</x:f>
        <x:v>4.3222</x:v>
      </x:c>
      <x:c r="J36" s="87" t="n">
        <x:f>'原始记录'!G255</x:f>
        <x:v>4.76289987976872</x:v>
      </x:c>
      <x:c r="K36" s="94" t="n">
        <x:f>'原始记录'!G256</x:f>
        <x:v>5.3</x:v>
      </x:c>
      <x:c r="L36" s="92" t="str">
        <x:f>""</x:f>
      </x:c>
      <x:c r="M36" s="87" t="n">
        <x:f>'原始记录'!G251</x:f>
        <x:v>4.194982910195922</x:v>
      </x:c>
      <x:c r="N36" s="88" t="str">
        <x:v>含缺失；卢布含官价参考；欧元栏为德国代理</x:v>
      </x:c>
    </x:row>
    <x:row r="37" ht="32" customHeight="1">
      <x:c r="A37" s="86" t="n">
        <x:v>1951</x:v>
      </x:c>
      <x:c r="B37" s="87" t="n">
        <x:f>1</x:f>
        <x:v>1</x:v>
      </x:c>
      <x:c r="C37" s="87" t="n">
        <x:f>'原始记录'!G257</x:f>
        <x:v>0.357271356210102</x:v>
      </x:c>
      <x:c r="D37" s="87" t="n">
        <x:f>'原始记录'!G258</x:f>
        <x:v>1.05576064080376</x:v>
      </x:c>
      <x:c r="E37" s="87" t="n">
        <x:f>'原始记录'!G259</x:f>
        <x:v>350.0049444884567</x:v>
      </x:c>
      <x:c r="F37" s="87" t="n">
        <x:f>'原始记录'!G260</x:f>
        <x:v>4.194982910195922</x:v>
      </x:c>
      <x:c r="G37" s="87" t="n">
        <x:f>'原始记录'!G261</x:f>
        <x:v>623.9863485552638</x:v>
      </x:c>
      <x:c r="H37" s="87" t="n">
        <x:f>'原始记录'!G262</x:f>
        <x:v>361.200012567228</x:v>
      </x:c>
      <x:c r="I37" s="87" t="n">
        <x:f>'原始记录'!G263</x:f>
        <x:v>4.3364</x:v>
      </x:c>
      <x:c r="J37" s="87" t="n">
        <x:f>'原始记录'!G264</x:f>
        <x:v>4.76289987976872</x:v>
      </x:c>
      <x:c r="K37" s="94" t="n">
        <x:f>'原始记录'!G265</x:f>
        <x:v>4</x:v>
      </x:c>
      <x:c r="L37" s="92" t="str">
        <x:f>""</x:f>
      </x:c>
      <x:c r="M37" s="87" t="n">
        <x:f>'原始记录'!G260</x:f>
        <x:v>4.194982910195922</x:v>
      </x:c>
      <x:c r="N37" s="88" t="str">
        <x:v>含缺失；卢布含官价参考；欧元栏为德国代理</x:v>
      </x:c>
    </x:row>
    <x:row r="38" ht="32" customHeight="1">
      <x:c r="A38" s="86" t="n">
        <x:v>1952</x:v>
      </x:c>
      <x:c r="B38" s="87" t="n">
        <x:f>1</x:f>
        <x:v>1</x:v>
      </x:c>
      <x:c r="C38" s="87" t="n">
        <x:f>'原始记录'!G266</x:f>
        <x:v>0.357271356210102</x:v>
      </x:c>
      <x:c r="D38" s="87" t="n">
        <x:f>'原始记录'!G267</x:f>
        <x:v>0.981035779927</x:v>
      </x:c>
      <x:c r="E38" s="87" t="n">
        <x:f>'原始记录'!G268</x:f>
        <x:v>350.0049444884567</x:v>
      </x:c>
      <x:c r="F38" s="87" t="n">
        <x:f>'原始记录'!G269</x:f>
        <x:v>4.194982910195922</x:v>
      </x:c>
      <x:c r="G38" s="87" t="n">
        <x:f>'原始记录'!G270</x:f>
        <x:v>623.8865183104361</x:v>
      </x:c>
      <x:c r="H38" s="87" t="n">
        <x:f>'原始记录'!G271</x:f>
        <x:v>361.100006463613</x:v>
      </x:c>
      <x:c r="I38" s="87" t="n">
        <x:f>'原始记录'!G272</x:f>
        <x:v>4.3201</x:v>
      </x:c>
      <x:c r="J38" s="87" t="n">
        <x:f>'原始记录'!G273</x:f>
        <x:v>4.76289987976872</x:v>
      </x:c>
      <x:c r="K38" s="94" t="n">
        <x:f>'原始记录'!G274</x:f>
        <x:v>4</x:v>
      </x:c>
      <x:c r="L38" s="87" t="n">
        <x:f>'原始记录'!G275</x:f>
        <x:v>24618.0842198822</x:v>
      </x:c>
      <x:c r="M38" s="87" t="n">
        <x:f>'原始记录'!G269</x:f>
        <x:v>4.194982910195922</x:v>
      </x:c>
      <x:c r="N38" s="88" t="str">
        <x:v>卢布含官价参考；欧元栏为德国代理</x:v>
      </x:c>
    </x:row>
    <x:row r="39" ht="32" customHeight="1">
      <x:c r="A39" s="86" t="n">
        <x:v>1953</x:v>
      </x:c>
      <x:c r="B39" s="87" t="n">
        <x:f>1</x:f>
        <x:v>1</x:v>
      </x:c>
      <x:c r="C39" s="87" t="n">
        <x:f>'原始记录'!G276</x:f>
        <x:v>0.357371402609925</x:v>
      </x:c>
      <x:c r="D39" s="87" t="n">
        <x:f>'原始记录'!G277</x:f>
        <x:v>0.985142603209434</x:v>
      </x:c>
      <x:c r="E39" s="87" t="n">
        <x:f>'原始记录'!G278</x:f>
        <x:v>350.0049444884567</x:v>
      </x:c>
      <x:c r="F39" s="87" t="n">
        <x:f>'原始记录'!G279</x:f>
        <x:v>4.199999713823369</x:v>
      </x:c>
      <x:c r="G39" s="87" t="n">
        <x:f>'原始记录'!G280</x:f>
        <x:v>623.8865183104361</x:v>
      </x:c>
      <x:c r="H39" s="87" t="n">
        <x:f>'原始记录'!G281</x:f>
        <x:v>360.000000359</x:v>
      </x:c>
      <x:c r="I39" s="87" t="n">
        <x:f>'原始记录'!G282</x:f>
        <x:v>4.2888</x:v>
      </x:c>
      <x:c r="J39" s="87" t="n">
        <x:f>'原始记录'!G283</x:f>
        <x:v>4.76289987976872</x:v>
      </x:c>
      <x:c r="K39" s="94" t="n">
        <x:f>'原始记录'!G284</x:f>
        <x:v>4</x:v>
      </x:c>
      <x:c r="L39" s="87" t="n">
        <x:f>'原始记录'!G285</x:f>
        <x:v>24618.0842198822</x:v>
      </x:c>
      <x:c r="M39" s="87" t="n">
        <x:f>'原始记录'!G279</x:f>
        <x:v>4.199999713823369</x:v>
      </x:c>
      <x:c r="N39" s="88" t="str">
        <x:v>卢布含官价参考；欧元栏为德国代理</x:v>
      </x:c>
    </x:row>
    <x:row r="40" ht="32" customHeight="1">
      <x:c r="A40" s="86" t="n">
        <x:v>1954</x:v>
      </x:c>
      <x:c r="B40" s="87" t="n">
        <x:f>1</x:f>
        <x:v>1</x:v>
      </x:c>
      <x:c r="C40" s="87" t="n">
        <x:f>'原始记录'!G286</x:f>
        <x:v>0.357271356210102</x:v>
      </x:c>
      <x:c r="D40" s="87" t="n">
        <x:f>'原始记录'!G287</x:f>
        <x:v>0.975426490830591</x:v>
      </x:c>
      <x:c r="E40" s="87" t="n">
        <x:f>'原始记录'!G288</x:f>
        <x:v>350.0049444884567</x:v>
      </x:c>
      <x:c r="F40" s="87" t="n">
        <x:f>'原始记录'!G289</x:f>
        <x:v>4.199999713823369</x:v>
      </x:c>
      <x:c r="G40" s="87" t="n">
        <x:f>'原始记录'!G290</x:f>
        <x:v>623.8865183104361</x:v>
      </x:c>
      <x:c r="H40" s="87" t="n">
        <x:f>'原始记录'!G291</x:f>
        <x:v>360.000000359</x:v>
      </x:c>
      <x:c r="I40" s="87" t="n">
        <x:f>'原始记录'!G292</x:f>
        <x:v>4.2878</x:v>
      </x:c>
      <x:c r="J40" s="87" t="n">
        <x:f>'原始记录'!G293</x:f>
        <x:v>4.76289987976872</x:v>
      </x:c>
      <x:c r="K40" s="94" t="n">
        <x:f>'原始记录'!G294</x:f>
        <x:v>4</x:v>
      </x:c>
      <x:c r="L40" s="87" t="n">
        <x:f>'原始记录'!G295</x:f>
        <x:v>24618.0842198822</x:v>
      </x:c>
      <x:c r="M40" s="87" t="n">
        <x:f>'原始记录'!G289</x:f>
        <x:v>4.199999713823369</x:v>
      </x:c>
      <x:c r="N40" s="88" t="str">
        <x:v>卢布含官价参考；欧元栏为德国代理</x:v>
      </x:c>
    </x:row>
    <x:row r="41" ht="32" customHeight="1">
      <x:c r="A41" s="86" t="n">
        <x:v>1955</x:v>
      </x:c>
      <x:c r="B41" s="87" t="n">
        <x:f>1</x:f>
        <x:v>1</x:v>
      </x:c>
      <x:c r="C41" s="87" t="n">
        <x:f>'原始记录'!G296</x:f>
        <x:v>0.357271356210102</x:v>
      </x:c>
      <x:c r="D41" s="87" t="n">
        <x:f>'原始记录'!G297</x:f>
        <x:v>0.988247723050954</x:v>
      </x:c>
      <x:c r="E41" s="87" t="n">
        <x:f>'原始记录'!G298</x:f>
        <x:v>350.0049444884567</x:v>
      </x:c>
      <x:c r="F41" s="87" t="n">
        <x:f>'原始记录'!G299</x:f>
        <x:v>4.199999713823369</x:v>
      </x:c>
      <x:c r="G41" s="87" t="n">
        <x:f>'原始记录'!G300</x:f>
        <x:v>623.8865183104361</x:v>
      </x:c>
      <x:c r="H41" s="87" t="n">
        <x:f>'原始记录'!G301</x:f>
        <x:v>360.000000359</x:v>
      </x:c>
      <x:c r="I41" s="87" t="n">
        <x:f>'原始记录'!G302</x:f>
        <x:v>4.2862</x:v>
      </x:c>
      <x:c r="J41" s="87" t="n">
        <x:f>'原始记录'!G303</x:f>
        <x:v>4.76389980729033</x:v>
      </x:c>
      <x:c r="K41" s="94" t="n">
        <x:f>'原始记录'!G304</x:f>
        <x:v>4</x:v>
      </x:c>
      <x:c r="L41" s="87" t="n">
        <x:f>'原始记录'!G305</x:f>
        <x:v>2.46180842198822</x:v>
      </x:c>
      <x:c r="M41" s="87" t="n">
        <x:f>'原始记录'!G299</x:f>
        <x:v>4.199999713823369</x:v>
      </x:c>
      <x:c r="N41" s="88" t="str">
        <x:v>卢布含官价参考；欧元栏为德国代理</x:v>
      </x:c>
    </x:row>
    <x:row r="42" ht="32" customHeight="1">
      <x:c r="A42" s="86" t="n">
        <x:v>1956</x:v>
      </x:c>
      <x:c r="B42" s="87" t="n">
        <x:f>1</x:f>
        <x:v>1</x:v>
      </x:c>
      <x:c r="C42" s="87" t="n">
        <x:f>'原始记录'!G306</x:f>
        <x:v>0.357371402609925</x:v>
      </x:c>
      <x:c r="D42" s="87" t="n">
        <x:f>'原始记录'!G307</x:f>
        <x:v>0.986144247085417</x:v>
      </x:c>
      <x:c r="E42" s="87" t="n">
        <x:f>'原始记录'!G308</x:f>
        <x:v>350.0049444884567</x:v>
      </x:c>
      <x:c r="F42" s="87" t="n">
        <x:f>'原始记录'!G309</x:f>
        <x:v>4.199999713823369</x:v>
      </x:c>
      <x:c r="G42" s="87" t="n">
        <x:f>'原始记录'!G310</x:f>
        <x:v>623.8865183104361</x:v>
      </x:c>
      <x:c r="H42" s="87" t="n">
        <x:f>'原始记录'!G311</x:f>
        <x:v>359.84</x:v>
      </x:c>
      <x:c r="I42" s="87" t="n">
        <x:f>'原始记录'!G312</x:f>
        <x:v>4.37300007127372</x:v>
      </x:c>
      <x:c r="J42" s="87" t="n">
        <x:f>'原始记录'!G313</x:f>
        <x:v>4.7618999522471</x:v>
      </x:c>
      <x:c r="K42" s="94" t="n">
        <x:f>'原始记录'!G314</x:f>
        <x:v>4</x:v>
      </x:c>
      <x:c r="L42" s="87" t="n">
        <x:f>'原始记录'!G315</x:f>
        <x:v>2.46180842198822</x:v>
      </x:c>
      <x:c r="M42" s="87" t="n">
        <x:f>'原始记录'!G309</x:f>
        <x:v>4.199999713823369</x:v>
      </x:c>
      <x:c r="N42" s="88" t="str">
        <x:v>卢布含官价参考；欧元栏为德国代理</x:v>
      </x:c>
    </x:row>
    <x:row r="43" ht="32" customHeight="1">
      <x:c r="A43" s="86" t="n">
        <x:v>1957</x:v>
      </x:c>
      <x:c r="B43" s="87" t="n">
        <x:f>1</x:f>
        <x:v>1</x:v>
      </x:c>
      <x:c r="C43" s="87" t="n">
        <x:f>'原始记录'!G316</x:f>
        <x:v>0.3579727017</x:v>
      </x:c>
      <x:c r="D43" s="87" t="n">
        <x:f>'原始记录'!G317</x:f>
        <x:v>0.9588333333</x:v>
      </x:c>
      <x:c r="E43" s="87" t="n">
        <x:f>'原始记录'!G318</x:f>
        <x:v>367.89166664589715</x:v>
      </x:c>
      <x:c r="F43" s="87" t="n">
        <x:f>'原始记录'!G319</x:f>
        <x:v>4.201960833357136</x:v>
      </x:c>
      <x:c r="G43" s="87" t="n">
        <x:f>'原始记录'!G320</x:f>
        <x:v>624.9999999401131</x:v>
      </x:c>
      <x:c r="H43" s="87" t="n">
        <x:f>'原始记录'!G321</x:f>
        <x:v>359.84</x:v>
      </x:c>
      <x:c r="I43" s="87" t="n">
        <x:f>'原始记录'!G322</x:f>
        <x:v>4.2863083333</x:v>
      </x:c>
      <x:c r="J43" s="87" t="n">
        <x:f>'原始记录'!G323</x:f>
        <x:v>4.7619</x:v>
      </x:c>
      <x:c r="K43" s="94" t="n">
        <x:f>'原始记录'!G324</x:f>
        <x:v>4</x:v>
      </x:c>
      <x:c r="L43" s="87" t="n">
        <x:f>'原始记录'!G325</x:f>
        <x:v>2.46181</x:v>
      </x:c>
      <x:c r="M43" s="87" t="n">
        <x:f>'原始记录'!G319</x:f>
        <x:v>4.201960833357136</x:v>
      </x:c>
      <x:c r="N43" s="88" t="str">
        <x:v>卢布含官价参考；欧元栏为德国代理</x:v>
      </x:c>
    </x:row>
    <x:row r="44" ht="32" customHeight="1">
      <x:c r="A44" s="86" t="n">
        <x:v>1958</x:v>
      </x:c>
      <x:c r="B44" s="87" t="n">
        <x:f>1</x:f>
        <x:v>1</x:v>
      </x:c>
      <x:c r="C44" s="87" t="n">
        <x:f>'原始记录'!G326</x:f>
        <x:v>0.3558868325</x:v>
      </x:c>
      <x:c r="D44" s="87" t="n">
        <x:f>'原始记录'!G327</x:f>
        <x:v>0.97075</x:v>
      </x:c>
      <x:c r="E44" s="87" t="n">
        <x:f>'原始记录'!G328</x:f>
        <x:v>425.6249999890272</x:v>
      </x:c>
      <x:c r="F44" s="87" t="n">
        <x:f>'原始记录'!G329</x:f>
        <x:v>4.193163333405687</x:v>
      </x:c>
      <x:c r="G44" s="87" t="n">
        <x:f>'原始记录'!G330</x:f>
        <x:v>624.739999928037</x:v>
      </x:c>
      <x:c r="H44" s="87" t="n">
        <x:f>'原始记录'!G331</x:f>
        <x:v>359.84</x:v>
      </x:c>
      <x:c r="I44" s="87" t="n">
        <x:f>'原始记录'!G332</x:f>
        <x:v>4.2867583333</x:v>
      </x:c>
      <x:c r="J44" s="87" t="n">
        <x:f>'原始记录'!G333</x:f>
        <x:v>4.7619</x:v>
      </x:c>
      <x:c r="K44" s="94" t="n">
        <x:f>'原始记录'!G334</x:f>
        <x:v>4</x:v>
      </x:c>
      <x:c r="L44" s="87" t="n">
        <x:f>'原始记录'!G335</x:f>
        <x:v>2.46181</x:v>
      </x:c>
      <x:c r="M44" s="87" t="n">
        <x:f>'原始记录'!G329</x:f>
        <x:v>4.193163333405687</x:v>
      </x:c>
      <x:c r="N44" s="88" t="str">
        <x:v>卢布含官价参考；欧元栏为德国代理</x:v>
      </x:c>
    </x:row>
    <x:row r="45" ht="32" customHeight="1">
      <x:c r="A45" s="86" t="n">
        <x:v>1959</x:v>
      </x:c>
      <x:c r="B45" s="87" t="n">
        <x:f>1</x:f>
        <x:v>1</x:v>
      </x:c>
      <x:c r="C45" s="87" t="n">
        <x:f>'原始记录'!G336</x:f>
        <x:v>0.3560166242</x:v>
      </x:c>
      <x:c r="D45" s="87" t="n">
        <x:f>'原始记录'!G337</x:f>
        <x:v>0.9591666667</x:v>
      </x:c>
      <x:c r="E45" s="87" t="n">
        <x:f>'原始记录'!G338</x:f>
        <x:v>490.449999973185</x:v>
      </x:c>
      <x:c r="F45" s="87" t="n">
        <x:f>'原始记录'!G339</x:f>
        <x:v>4.1793833332548616</x:v>
      </x:c>
      <x:c r="G45" s="87" t="n">
        <x:f>'原始记录'!G340</x:f>
        <x:v>621.086083399229</x:v>
      </x:c>
      <x:c r="H45" s="87" t="n">
        <x:f>'原始记录'!G341</x:f>
        <x:v>359.97</x:v>
      </x:c>
      <x:c r="I45" s="87" t="n">
        <x:f>'原始记录'!G342</x:f>
        <x:v>4.3214166667</x:v>
      </x:c>
      <x:c r="J45" s="87" t="n">
        <x:f>'原始记录'!G343</x:f>
        <x:v>4.7619</x:v>
      </x:c>
      <x:c r="K45" s="94" t="n">
        <x:f>'原始记录'!G344</x:f>
        <x:v>4</x:v>
      </x:c>
      <x:c r="L45" s="87" t="n">
        <x:f>'原始记录'!G345</x:f>
        <x:v>2.46181</x:v>
      </x:c>
      <x:c r="M45" s="87" t="n">
        <x:f>'原始记录'!G339</x:f>
        <x:v>4.1793833332548616</x:v>
      </x:c>
      <x:c r="N45" s="88" t="str">
        <x:v>卢布含官价参考；欧元栏为德国代理</x:v>
      </x:c>
    </x:row>
    <x:row r="46" ht="32" customHeight="1">
      <x:c r="A46" s="86" t="n">
        <x:v>1960</x:v>
      </x:c>
      <x:c r="B46" s="87" t="n">
        <x:f>1</x:f>
        <x:v>1</x:v>
      </x:c>
      <x:c r="C46" s="87" t="n">
        <x:f>'原始记录'!G346</x:f>
        <x:v>0.3561704625</x:v>
      </x:c>
      <x:c r="D46" s="87" t="n">
        <x:f>'原始记录'!G347</x:f>
        <x:v>0.9695</x:v>
      </x:c>
      <x:c r="E46" s="87" t="n">
        <x:f>'原始记录'!G348</x:f>
        <x:v>4.904607499932881</x:v>
      </x:c>
      <x:c r="F46" s="87" t="n">
        <x:f>'原始记录'!G349</x:f>
        <x:v>4.170794166750348</x:v>
      </x:c>
      <x:c r="G46" s="87" t="n">
        <x:f>'原始记录'!G350</x:f>
        <x:v>620.8928333909979</x:v>
      </x:c>
      <x:c r="H46" s="87" t="n">
        <x:f>'原始记录'!G351</x:f>
        <x:v>359.97</x:v>
      </x:c>
      <x:c r="I46" s="87" t="n">
        <x:f>'原始记录'!G352</x:f>
        <x:v>4.319325</x:v>
      </x:c>
      <x:c r="J46" s="87" t="n">
        <x:f>'原始记录'!G353</x:f>
        <x:v>4.7619</x:v>
      </x:c>
      <x:c r="K46" s="94" t="n">
        <x:f>'原始记录'!G354</x:f>
        <x:v>4</x:v>
      </x:c>
      <x:c r="L46" s="87" t="n">
        <x:f>'原始记录'!G355</x:f>
        <x:v>2.46181</x:v>
      </x:c>
      <x:c r="M46" s="87" t="n">
        <x:f>'原始记录'!G349</x:f>
        <x:v>4.170794166750348</x:v>
      </x:c>
      <x:c r="N46" s="88" t="str">
        <x:v>卢布含官价参考；欧元栏为德国代理</x:v>
      </x:c>
    </x:row>
    <x:row r="47" ht="32" customHeight="1">
      <x:c r="A47" s="86" t="n">
        <x:v>1961</x:v>
      </x:c>
      <x:c r="B47" s="87" t="n">
        <x:f>1</x:f>
        <x:v>1</x:v>
      </x:c>
      <x:c r="C47" s="87" t="n">
        <x:f>'原始记录'!G356</x:f>
        <x:v>0.3568565717</x:v>
      </x:c>
      <x:c r="D47" s="87" t="n">
        <x:f>'原始记录'!G357</x:f>
        <x:v>1.0130833333</x:v>
      </x:c>
      <x:c r="E47" s="87" t="n">
        <x:f>'原始记录'!G358</x:f>
        <x:v>4.905898333442772</x:v>
      </x:c>
      <x:c r="F47" s="87" t="n">
        <x:f>'原始记录'!G359</x:f>
        <x:v>4.018741666683044</x:v>
      </x:c>
      <x:c r="G47" s="87" t="n">
        <x:f>'原始记录'!G360</x:f>
        <x:v>621.086166658839</x:v>
      </x:c>
      <x:c r="H47" s="87" t="n">
        <x:f>'原始记录'!G361</x:f>
        <x:v>361.14</x:v>
      </x:c>
      <x:c r="I47" s="87" t="n">
        <x:f>'原始记录'!G362</x:f>
        <x:v>4.3195166667</x:v>
      </x:c>
      <x:c r="J47" s="87" t="n">
        <x:f>'原始记录'!G363</x:f>
        <x:v>4.7619</x:v>
      </x:c>
      <x:c r="K47" s="94" t="n">
        <x:f>'原始记录'!G364</x:f>
        <x:v>0.9</x:v>
      </x:c>
      <x:c r="L47" s="87" t="n">
        <x:f>'原始记录'!G365</x:f>
        <x:v>2.46181</x:v>
      </x:c>
      <x:c r="M47" s="87" t="n">
        <x:f>'原始记录'!G359</x:f>
        <x:v>4.018741666683044</x:v>
      </x:c>
      <x:c r="N47" s="88" t="str">
        <x:v>卢布含官价参考；欧元栏为德国代理</x:v>
      </x:c>
    </x:row>
    <x:row r="48" ht="32" customHeight="1">
      <x:c r="A48" s="86" t="n">
        <x:v>1962</x:v>
      </x:c>
      <x:c r="B48" s="87" t="n">
        <x:f>1</x:f>
        <x:v>1</x:v>
      </x:c>
      <x:c r="C48" s="87" t="n">
        <x:f>'原始记录'!G366</x:f>
        <x:v>0.3561508392</x:v>
      </x:c>
      <x:c r="D48" s="87" t="n">
        <x:f>'原始记录'!G367</x:f>
        <x:v>1.06891</x:v>
      </x:c>
      <x:c r="E48" s="87" t="n">
        <x:f>'原始记录'!G368</x:f>
        <x:v>4.9008800000099715</x:v>
      </x:c>
      <x:c r="F48" s="87" t="n">
        <x:f>'原始记录'!G369</x:f>
        <x:v>3.9980625000683436</x:v>
      </x:c>
      <x:c r="G48" s="87" t="n">
        <x:f>'原始记录'!G370</x:f>
        <x:v>620.82850004574</x:v>
      </x:c>
      <x:c r="H48" s="87" t="n">
        <x:f>'原始记录'!G371</x:f>
        <x:v>360.86</x:v>
      </x:c>
      <x:c r="I48" s="87" t="n">
        <x:f>'原始记录'!G372</x:f>
        <x:v>4.324425</x:v>
      </x:c>
      <x:c r="J48" s="87" t="n">
        <x:f>'原始记录'!G373</x:f>
        <x:v>4.7619</x:v>
      </x:c>
      <x:c r="K48" s="94" t="n">
        <x:f>'原始记录'!G374</x:f>
        <x:v>0.9</x:v>
      </x:c>
      <x:c r="L48" s="87" t="n">
        <x:f>'原始记录'!G375</x:f>
        <x:v>2.46181</x:v>
      </x:c>
      <x:c r="M48" s="87" t="n">
        <x:f>'原始记录'!G369</x:f>
        <x:v>3.9980625000683436</x:v>
      </x:c>
      <x:c r="N48" s="88" t="str">
        <x:v>卢布含官价参考；欧元栏为德国代理</x:v>
      </x:c>
    </x:row>
    <x:row r="49" ht="32" customHeight="1">
      <x:c r="A49" s="86" t="n">
        <x:v>1963</x:v>
      </x:c>
      <x:c r="B49" s="87" t="n">
        <x:f>1</x:f>
        <x:v>1</x:v>
      </x:c>
      <x:c r="C49" s="87" t="n">
        <x:f>'原始记录'!G376</x:f>
        <x:v>0.35710799</x:v>
      </x:c>
      <x:c r="D49" s="87" t="n">
        <x:f>'原始记录'!G377</x:f>
        <x:v>1.078745</x:v>
      </x:c>
      <x:c r="E49" s="87" t="n">
        <x:f>'原始记录'!G378</x:f>
        <x:v>4.900900000138902</x:v>
      </x:c>
      <x:c r="F49" s="87" t="n">
        <x:f>'原始记录'!G379</x:f>
        <x:v>3.9865099999852593</x:v>
      </x:c>
      <x:c r="G49" s="87" t="n">
        <x:f>'原始记录'!G380</x:f>
        <x:v>621.60124991258</x:v>
      </x:c>
      <x:c r="H49" s="87" t="n">
        <x:f>'原始记录'!G381</x:f>
        <x:v>361.49</x:v>
      </x:c>
      <x:c r="I49" s="87" t="n">
        <x:f>'原始记录'!G382</x:f>
        <x:v>4.321725</x:v>
      </x:c>
      <x:c r="J49" s="87" t="n">
        <x:f>'原始记录'!G383</x:f>
        <x:v>4.7619</x:v>
      </x:c>
      <x:c r="K49" s="94" t="n">
        <x:f>'原始记录'!G384</x:f>
        <x:v>0.9</x:v>
      </x:c>
      <x:c r="L49" s="87" t="n">
        <x:f>'原始记录'!G385</x:f>
        <x:v>2.46181</x:v>
      </x:c>
      <x:c r="M49" s="87" t="n">
        <x:f>'原始记录'!G379</x:f>
        <x:v>3.9865099999852593</x:v>
      </x:c>
      <x:c r="N49" s="88" t="str">
        <x:v>卢布含官价参考；欧元栏为德国代理</x:v>
      </x:c>
    </x:row>
    <x:row r="50" ht="32" customHeight="1">
      <x:c r="A50" s="86" t="n">
        <x:v>1964</x:v>
      </x:c>
      <x:c r="B50" s="87" t="n">
        <x:f>1</x:f>
        <x:v>1</x:v>
      </x:c>
      <x:c r="C50" s="87" t="n">
        <x:f>'原始记录'!G386</x:f>
        <x:v>0.3581004917</x:v>
      </x:c>
      <x:c r="D50" s="87" t="n">
        <x:f>'原始记录'!G387</x:f>
        <x:v>1.0787991667</x:v>
      </x:c>
      <x:c r="E50" s="87" t="n">
        <x:f>'原始记录'!G388</x:f>
        <x:v>4.901059999858428</x:v>
      </x:c>
      <x:c r="F50" s="87" t="n">
        <x:f>'原始记录'!G389</x:f>
        <x:v>3.9750366666198325</x:v>
      </x:c>
      <x:c r="G50" s="87" t="n">
        <x:f>'原始记录'!G390</x:f>
        <x:v>624.481083259026</x:v>
      </x:c>
      <x:c r="H50" s="87" t="n">
        <x:f>'原始记录'!G391</x:f>
        <x:v>361.99</x:v>
      </x:c>
      <x:c r="I50" s="87" t="n">
        <x:f>'原始记录'!G392</x:f>
        <x:v>4.3192583333</x:v>
      </x:c>
      <x:c r="J50" s="87" t="n">
        <x:f>'原始记录'!G393</x:f>
        <x:v>4.7619</x:v>
      </x:c>
      <x:c r="K50" s="94" t="n">
        <x:f>'原始记录'!G394</x:f>
        <x:v>0.9</x:v>
      </x:c>
      <x:c r="L50" s="87" t="n">
        <x:f>'原始记录'!G395</x:f>
        <x:v>2.46181</x:v>
      </x:c>
      <x:c r="M50" s="87" t="n">
        <x:f>'原始记录'!G389</x:f>
        <x:v>3.9750366666198325</x:v>
      </x:c>
      <x:c r="N50" s="88" t="str">
        <x:v>卢布含官价参考；欧元栏为德国代理</x:v>
      </x:c>
    </x:row>
    <x:row r="51" ht="32" customHeight="1">
      <x:c r="A51" s="86" t="n">
        <x:v>1965</x:v>
      </x:c>
      <x:c r="B51" s="87" t="n">
        <x:f>1</x:f>
        <x:v>1</x:v>
      </x:c>
      <x:c r="C51" s="87" t="n">
        <x:f>'原始记录'!G396</x:f>
        <x:v>0.3576260333</x:v>
      </x:c>
      <x:c r="D51" s="87" t="n">
        <x:f>'原始记录'!G397</x:f>
        <x:v>1.0781525</x:v>
      </x:c>
      <x:c r="E51" s="87" t="n">
        <x:f>'原始记录'!G398</x:f>
        <x:v>4.901620000188683</x:v>
      </x:c>
      <x:c r="F51" s="87" t="n">
        <x:f>'原始记录'!G399</x:f>
        <x:v>3.9942016666137197</x:v>
      </x:c>
      <x:c r="G51" s="87" t="n">
        <x:f>'原始记录'!G400</x:f>
        <x:v>624.902500032398</x:v>
      </x:c>
      <x:c r="H51" s="87" t="n">
        <x:f>'原始记录'!G401</x:f>
        <x:v>361.51</x:v>
      </x:c>
      <x:c r="I51" s="87" t="n">
        <x:f>'原始记录'!G402</x:f>
        <x:v>4.32775</x:v>
      </x:c>
      <x:c r="J51" s="87" t="n">
        <x:f>'原始记录'!G403</x:f>
        <x:v>4.7619</x:v>
      </x:c>
      <x:c r="K51" s="94" t="n">
        <x:f>'原始记录'!G404</x:f>
        <x:v>0.9</x:v>
      </x:c>
      <x:c r="L51" s="87" t="n">
        <x:f>'原始记录'!G405</x:f>
        <x:v>2.46181</x:v>
      </x:c>
      <x:c r="M51" s="87" t="n">
        <x:f>'原始记录'!G399</x:f>
        <x:v>3.9942016666137197</x:v>
      </x:c>
      <x:c r="N51" s="88" t="str">
        <x:v>卢布含官价参考；欧元栏为德国代理</x:v>
      </x:c>
    </x:row>
    <x:row r="52" ht="32" customHeight="1">
      <x:c r="A52" s="86" t="n">
        <x:v>1966</x:v>
      </x:c>
      <x:c r="B52" s="87" t="n">
        <x:f>1</x:f>
        <x:v>1</x:v>
      </x:c>
      <x:c r="C52" s="87" t="n">
        <x:f>'原始记录'!G406</x:f>
        <x:v>0.3580092042</x:v>
      </x:c>
      <x:c r="D52" s="87" t="n">
        <x:f>'原始记录'!G407</x:f>
        <x:v>1.0775258333</x:v>
      </x:c>
      <x:c r="E52" s="87" t="n">
        <x:f>'原始记录'!G408</x:f>
        <x:v>4.914113333596231</x:v>
      </x:c>
      <x:c r="F52" s="87" t="n">
        <x:f>'原始记录'!G409</x:f>
        <x:v>3.998702500060588</x:v>
      </x:c>
      <x:c r="G52" s="87" t="n">
        <x:f>'原始记录'!G410</x:f>
        <x:v>624.483333398393</x:v>
      </x:c>
      <x:c r="H52" s="87" t="n">
        <x:f>'原始记录'!G411</x:f>
        <x:v>362.35</x:v>
      </x:c>
      <x:c r="I52" s="87" t="n">
        <x:f>'原始记录'!G412</x:f>
        <x:v>4.3264</x:v>
      </x:c>
      <x:c r="J52" s="87" t="n">
        <x:f>'原始记录'!G413</x:f>
        <x:v>6.359125</x:v>
      </x:c>
      <x:c r="K52" s="94" t="n">
        <x:f>'原始记录'!G414</x:f>
        <x:v>0.9</x:v>
      </x:c>
      <x:c r="L52" s="87" t="n">
        <x:f>'原始记录'!G415</x:f>
        <x:v>2.46181</x:v>
      </x:c>
      <x:c r="M52" s="87" t="n">
        <x:f>'原始记录'!G409</x:f>
        <x:v>3.998702500060588</x:v>
      </x:c>
      <x:c r="N52" s="88" t="str">
        <x:v>卢布含官价参考；欧元栏为德国代理</x:v>
      </x:c>
    </x:row>
    <x:row r="53" ht="32" customHeight="1">
      <x:c r="A53" s="86" t="n">
        <x:v>1967</x:v>
      </x:c>
      <x:c r="B53" s="87" t="n">
        <x:f>1</x:f>
        <x:v>1</x:v>
      </x:c>
      <x:c r="C53" s="87" t="n">
        <x:f>'原始记录'!G416</x:f>
        <x:v>0.3647347542</x:v>
      </x:c>
      <x:c r="D53" s="87" t="n">
        <x:f>'原始记录'!G417</x:f>
        <x:v>1.0788616667</x:v>
      </x:c>
      <x:c r="E53" s="87" t="n">
        <x:f>'原始记录'!G418</x:f>
        <x:v>4.920572500193982</x:v>
      </x:c>
      <x:c r="F53" s="87" t="n">
        <x:f>'原始记录'!G419</x:f>
        <x:v>3.986507500043353</x:v>
      </x:c>
      <x:c r="G53" s="87" t="n">
        <x:f>'原始记录'!G420</x:f>
        <x:v>624.130333370082</x:v>
      </x:c>
      <x:c r="H53" s="87" t="n">
        <x:f>'原始记录'!G421</x:f>
        <x:v>362.15</x:v>
      </x:c>
      <x:c r="I53" s="87" t="n">
        <x:f>'原始记录'!G422</x:f>
        <x:v>4.3283166667</x:v>
      </x:c>
      <x:c r="J53" s="87" t="n">
        <x:f>'原始记录'!G423</x:f>
        <x:v>7.5</x:v>
      </x:c>
      <x:c r="K53" s="94" t="n">
        <x:f>'原始记录'!G424</x:f>
        <x:v>0.9</x:v>
      </x:c>
      <x:c r="L53" s="87" t="n">
        <x:f>'原始记录'!G425</x:f>
        <x:v>2.46181</x:v>
      </x:c>
      <x:c r="M53" s="87" t="n">
        <x:f>'原始记录'!G419</x:f>
        <x:v>3.986507500043353</x:v>
      </x:c>
      <x:c r="N53" s="88" t="str">
        <x:v>卢布含官价参考；欧元栏为德国代理</x:v>
      </x:c>
    </x:row>
    <x:row r="54" ht="32" customHeight="1">
      <x:c r="A54" s="86" t="n">
        <x:v>1968</x:v>
      </x:c>
      <x:c r="B54" s="87" t="n">
        <x:f>1</x:f>
        <x:v>1</x:v>
      </x:c>
      <x:c r="C54" s="87" t="n">
        <x:f>'原始记录'!G426</x:f>
        <x:v>0.4177686958</x:v>
      </x:c>
      <x:c r="D54" s="87" t="n">
        <x:f>'原始记录'!G427</x:f>
        <x:v>1.0776491667</x:v>
      </x:c>
      <x:c r="E54" s="87" t="n">
        <x:f>'原始记录'!G428</x:f>
        <x:v>4.952859999905015</x:v>
      </x:c>
      <x:c r="F54" s="87" t="n">
        <x:f>'原始记录'!G429</x:f>
        <x:v>3.9919633333991915</x:v>
      </x:c>
      <x:c r="G54" s="87" t="n">
        <x:f>'原始记录'!G430</x:f>
        <x:v>623.397916588223</x:v>
      </x:c>
      <x:c r="H54" s="87" t="n">
        <x:f>'原始记录'!G431</x:f>
        <x:v>360.56</x:v>
      </x:c>
      <x:c r="I54" s="87" t="n">
        <x:f>'原始记录'!G432</x:f>
        <x:v>4.316325</x:v>
      </x:c>
      <x:c r="J54" s="87" t="n">
        <x:f>'原始记录'!G433</x:f>
        <x:v>7.5</x:v>
      </x:c>
      <x:c r="K54" s="94" t="n">
        <x:f>'原始记录'!G434</x:f>
        <x:v>0.9</x:v>
      </x:c>
      <x:c r="L54" s="87" t="n">
        <x:f>'原始记录'!G435</x:f>
        <x:v>2.46181</x:v>
      </x:c>
      <x:c r="M54" s="87" t="n">
        <x:f>'原始记录'!G429</x:f>
        <x:v>3.9919633333991915</x:v>
      </x:c>
      <x:c r="N54" s="88" t="str">
        <x:v>卢布含官价参考；欧元栏为德国代理</x:v>
      </x:c>
    </x:row>
    <x:row r="55" ht="32" customHeight="1">
      <x:c r="A55" s="86" t="n">
        <x:v>1969</x:v>
      </x:c>
      <x:c r="B55" s="87" t="n">
        <x:f>1</x:f>
        <x:v>1</x:v>
      </x:c>
      <x:c r="C55" s="87" t="n">
        <x:f>'原始记录'!G436</x:f>
        <x:v>0.4183513617</x:v>
      </x:c>
      <x:c r="D55" s="87" t="n">
        <x:f>'原始记录'!G437</x:f>
        <x:v>1.0769308333</x:v>
      </x:c>
      <x:c r="E55" s="87" t="n">
        <x:f>'原始记录'!G438</x:f>
        <x:v>5.199895833145915</x:v>
      </x:c>
      <x:c r="F55" s="87" t="n">
        <x:f>'原始记录'!G439</x:f>
        <x:v>3.925083333427362</x:v>
      </x:c>
      <x:c r="G55" s="87" t="n">
        <x:f>'原始记录'!G440</x:f>
        <x:v>627.319583243409</x:v>
      </x:c>
      <x:c r="H55" s="87" t="n">
        <x:f>'原始记录'!G441</x:f>
        <x:v>358.38</x:v>
      </x:c>
      <x:c r="I55" s="87" t="n">
        <x:f>'原始记录'!G442</x:f>
        <x:v>4.31315</x:v>
      </x:c>
      <x:c r="J55" s="87" t="n">
        <x:f>'原始记录'!G443</x:f>
        <x:v>7.5</x:v>
      </x:c>
      <x:c r="K55" s="94" t="n">
        <x:f>'原始记录'!G444</x:f>
        <x:v>0.9</x:v>
      </x:c>
      <x:c r="L55" s="87" t="n">
        <x:f>'原始记录'!G445</x:f>
        <x:v>2.46181</x:v>
      </x:c>
      <x:c r="M55" s="87" t="n">
        <x:f>'原始记录'!G439</x:f>
        <x:v>3.925083333427362</x:v>
      </x:c>
      <x:c r="N55" s="88" t="str">
        <x:v>卢布含官价参考；欧元栏为德国代理</x:v>
      </x:c>
    </x:row>
    <x:row r="56" ht="32" customHeight="1">
      <x:c r="A56" s="86" t="n">
        <x:v>1970</x:v>
      </x:c>
      <x:c r="B56" s="87" t="n">
        <x:f>1</x:f>
        <x:v>1</x:v>
      </x:c>
      <x:c r="C56" s="87" t="n">
        <x:f>'原始记录'!G446</x:f>
        <x:v>0.4173694433</x:v>
      </x:c>
      <x:c r="D56" s="87" t="n">
        <x:f>'原始记录'!G447</x:f>
        <x:v>1.0441575</x:v>
      </x:c>
      <x:c r="E56" s="87" t="n">
        <x:f>'原始记录'!G448</x:f>
        <x:v>5.528858333585658</x:v>
      </x:c>
      <x:c r="F56" s="87" t="n">
        <x:f>'原始记录'!G449</x:f>
        <x:v>3.646516666640529</x:v>
      </x:c>
      <x:c r="G56" s="87" t="n">
        <x:f>'原始记录'!G450</x:f>
        <x:v>627.157833250046</x:v>
      </x:c>
      <x:c r="H56" s="87" t="n">
        <x:f>'原始记录'!G451</x:f>
        <x:v>358.15</x:v>
      </x:c>
      <x:c r="I56" s="87" t="n">
        <x:f>'原始记录'!G452</x:f>
        <x:v>4.3106416667</x:v>
      </x:c>
      <x:c r="J56" s="87" t="n">
        <x:f>'原始记录'!G453</x:f>
        <x:v>7.5</x:v>
      </x:c>
      <x:c r="K56" s="94" t="n">
        <x:f>'原始记录'!G454</x:f>
        <x:v>0.9</x:v>
      </x:c>
      <x:c r="L56" s="87" t="n">
        <x:f>'原始记录'!G455</x:f>
        <x:v>2.462</x:v>
      </x:c>
      <x:c r="M56" s="87" t="n">
        <x:f>'原始记录'!G449</x:f>
        <x:v>3.646516666640529</x:v>
      </x:c>
      <x:c r="N56" s="88" t="str">
        <x:v>卢布含官价参考；欧元栏为德国代理</x:v>
      </x:c>
    </x:row>
    <x:row r="57" ht="32" customHeight="1">
      <x:c r="A57" s="86" t="n">
        <x:v>1971</x:v>
      </x:c>
      <x:c r="B57" s="87" t="n">
        <x:f>1</x:f>
        <x:v>1</x:v>
      </x:c>
      <x:c r="C57" s="87" t="n">
        <x:f>'原始记录'!G456</x:f>
        <x:v>0.40913182227313644</x:v>
      </x:c>
      <x:c r="D57" s="87" t="n">
        <x:f>'原始记录'!G457</x:f>
        <x:v>1.0099</x:v>
      </x:c>
      <x:c r="E57" s="87" t="n">
        <x:f>'原始记录'!G458</x:f>
        <x:v>5.510441666486862</x:v>
      </x:c>
      <x:c r="F57" s="87" t="n">
        <x:f>'原始记录'!G459</x:f>
        <x:v>3.481475000024243</x:v>
      </x:c>
      <x:c r="G57" s="87" t="n">
        <x:f>'原始记录'!G460</x:f>
        <x:v>618.3579167264941</x:v>
      </x:c>
      <x:c r="H57" s="87" t="n">
        <x:f>'原始记录'!G461</x:f>
        <x:v>347.7857</x:v>
      </x:c>
      <x:c r="I57" s="87" t="n">
        <x:f>'原始记录'!G462</x:f>
        <x:v>4.1171</x:v>
      </x:c>
      <x:c r="J57" s="87" t="n">
        <x:f>'原始记录'!G463</x:f>
        <x:v>7.49193333333333</x:v>
      </x:c>
      <x:c r="K57" s="94" t="n">
        <x:f>'原始记录'!G464</x:f>
        <x:v>0.9</x:v>
      </x:c>
      <x:c r="L57" s="87" t="n">
        <x:f>'原始记录'!G465</x:f>
        <x:v>2.462</x:v>
      </x:c>
      <x:c r="M57" s="87" t="n">
        <x:f>'原始记录'!G459</x:f>
        <x:v>3.481475000024243</x:v>
      </x:c>
      <x:c r="N57" s="88" t="str">
        <x:v>卢布含官价参考；欧元栏为德国代理</x:v>
      </x:c>
    </x:row>
    <x:row r="58" ht="32" customHeight="1">
      <x:c r="A58" s="86" t="n">
        <x:v>1972</x:v>
      </x:c>
      <x:c r="B58" s="87" t="n">
        <x:f>1</x:f>
        <x:v>1</x:v>
      </x:c>
      <x:c r="C58" s="87" t="n">
        <x:f>'原始记录'!G466</x:f>
        <x:v>0.3994567388351841</x:v>
      </x:c>
      <x:c r="D58" s="87" t="n">
        <x:f>'原始记录'!G467</x:f>
        <x:v>0.9907</x:v>
      </x:c>
      <x:c r="E58" s="87" t="n">
        <x:f>'原始记录'!G468</x:f>
        <x:v>5.044250000001265</x:v>
      </x:c>
      <x:c r="F58" s="87" t="n">
        <x:f>'原始记录'!G469</x:f>
        <x:v>3.188999999932053</x:v>
      </x:c>
      <x:c r="G58" s="87" t="n">
        <x:f>'原始记录'!G470</x:f>
        <x:v>583.216749996034</x:v>
      </x:c>
      <x:c r="H58" s="87" t="n">
        <x:f>'原始记录'!G471</x:f>
        <x:v>303.125</x:v>
      </x:c>
      <x:c r="I58" s="87" t="n">
        <x:f>'原始记录'!G472</x:f>
        <x:v>3.8186</x:v>
      </x:c>
      <x:c r="J58" s="87" t="n">
        <x:f>'原始记录'!G473</x:f>
        <x:v>7.59445833333333</x:v>
      </x:c>
      <x:c r="K58" s="94" t="n">
        <x:f>'原始记录'!G474</x:f>
        <x:v>0.829</x:v>
      </x:c>
      <x:c r="L58" s="87" t="n">
        <x:f>'原始记录'!G475</x:f>
        <x:v>2.24475</x:v>
      </x:c>
      <x:c r="M58" s="87" t="n">
        <x:f>'原始记录'!G469</x:f>
        <x:v>3.188999999932053</x:v>
      </x:c>
      <x:c r="N58" s="88" t="str">
        <x:v>卢布含官价参考；欧元栏为德国代理</x:v>
      </x:c>
    </x:row>
    <x:row r="59" ht="32" customHeight="1">
      <x:c r="A59" s="86" t="n">
        <x:v>1973</x:v>
      </x:c>
      <x:c r="B59" s="87" t="n">
        <x:f>1</x:f>
        <x:v>1</x:v>
      </x:c>
      <x:c r="C59" s="87" t="n">
        <x:f>'原始记录'!G476</x:f>
        <x:v>0.4077471967380224</x:v>
      </x:c>
      <x:c r="D59" s="87" t="n">
        <x:f>'原始记录'!G477</x:f>
        <x:v>1.0002</x:v>
      </x:c>
      <x:c r="E59" s="87" t="n">
        <x:f>'原始记录'!G478</x:f>
        <x:v>4.453849999850178</x:v>
      </x:c>
      <x:c r="F59" s="87" t="n">
        <x:f>'原始记录'!G479</x:f>
        <x:v>2.6715833333871886</x:v>
      </x:c>
      <x:c r="G59" s="87" t="n">
        <x:f>'原始记录'!G480</x:f>
        <x:v>581.990466638959</x:v>
      </x:c>
      <x:c r="H59" s="87" t="n">
        <x:f>'原始记录'!G481</x:f>
        <x:v>271.3055</x:v>
      </x:c>
      <x:c r="I59" s="87" t="n">
        <x:f>'原始记录'!G482</x:f>
        <x:v>3.1688</x:v>
      </x:c>
      <x:c r="J59" s="87" t="n">
        <x:f>'原始记录'!G483</x:f>
        <x:v>7.6541</x:v>
      </x:c>
      <x:c r="K59" s="94" t="n">
        <x:f>'原始记录'!G484</x:f>
        <x:v>0.826</x:v>
      </x:c>
      <x:c r="L59" s="87" t="n">
        <x:f>'原始记录'!G485</x:f>
        <x:v>1.98925</x:v>
      </x:c>
      <x:c r="M59" s="87" t="n">
        <x:f>'原始记录'!G479</x:f>
        <x:v>2.6715833333871886</x:v>
      </x:c>
      <x:c r="N59" s="88" t="str">
        <x:v>卢布含官价参考；欧元栏为德国代理</x:v>
      </x:c>
    </x:row>
    <x:row r="60" ht="32" customHeight="1">
      <x:c r="A60" s="86" t="n">
        <x:v>1974</x:v>
      </x:c>
      <x:c r="B60" s="87" t="n">
        <x:f>1</x:f>
        <x:v>1</x:v>
      </x:c>
      <x:c r="C60" s="87" t="n">
        <x:f>'原始记录'!G486</x:f>
        <x:v>0.4272956458573687</x:v>
      </x:c>
      <x:c r="D60" s="87" t="n">
        <x:f>'原始记录'!G487</x:f>
        <x:v>0.978</x:v>
      </x:c>
      <x:c r="E60" s="87" t="n">
        <x:f>'原始记录'!G488</x:f>
        <x:v>4.809241666400749</x:v>
      </x:c>
      <x:c r="F60" s="87" t="n">
        <x:f>'原始记录'!G489</x:f>
        <x:v>2.586391666744464</x:v>
      </x:c>
      <x:c r="G60" s="87" t="n">
        <x:f>'原始记录'!G490</x:f>
        <x:v>650.322216611158</x:v>
      </x:c>
      <x:c r="H60" s="87" t="n">
        <x:f>'原始记录'!G491</x:f>
        <x:v>291.8446</x:v>
      </x:c>
      <x:c r="I60" s="87" t="n">
        <x:f>'原始记录'!G492</x:f>
        <x:v>2.9805</x:v>
      </x:c>
      <x:c r="J60" s="87" t="n">
        <x:f>'原始记录'!G493</x:f>
        <x:v>8.0289</x:v>
      </x:c>
      <x:c r="K60" s="94" t="n">
        <x:f>'原始记录'!G494</x:f>
        <x:v>0.7536</x:v>
      </x:c>
      <x:c r="L60" s="87" t="n">
        <x:f>'原始记录'!G495</x:f>
        <x:v>1.96116666666667</x:v>
      </x:c>
      <x:c r="M60" s="87" t="n">
        <x:f>'原始记录'!G489</x:f>
        <x:v>2.586391666744464</x:v>
      </x:c>
      <x:c r="N60" s="88" t="str">
        <x:v>卢布含官价参考；欧元栏为德国代理</x:v>
      </x:c>
    </x:row>
    <x:row r="61" ht="32" customHeight="1">
      <x:c r="A61" s="86" t="n">
        <x:v>1975</x:v>
      </x:c>
      <x:c r="B61" s="87" t="n">
        <x:f>1</x:f>
        <x:v>1</x:v>
      </x:c>
      <x:c r="C61" s="87" t="n">
        <x:f>'原始记录'!G496</x:f>
        <x:v>0.45010577485709147</x:v>
      </x:c>
      <x:c r="D61" s="87" t="n">
        <x:f>'原始记录'!G497</x:f>
        <x:v>1.0175</x:v>
      </x:c>
      <x:c r="E61" s="87" t="n">
        <x:f>'原始记录'!G498</x:f>
        <x:v>4.287224999831703</x:v>
      </x:c>
      <x:c r="F61" s="87" t="n">
        <x:f>'原始记录'!G499</x:f>
        <x:v>2.460366666603162</x:v>
      </x:c>
      <x:c r="G61" s="87" t="n">
        <x:f>'原始记录'!G500</x:f>
        <x:v>652.7194999124031</x:v>
      </x:c>
      <x:c r="H61" s="87" t="n">
        <x:f>'原始记录'!G501</x:f>
        <x:v>296.7849</x:v>
      </x:c>
      <x:c r="I61" s="87" t="n">
        <x:f>'原始记录'!G502</x:f>
        <x:v>2.5839</x:v>
      </x:c>
      <x:c r="J61" s="87" t="n">
        <x:f>'原始记录'!G503</x:f>
        <x:v>8.4086</x:v>
      </x:c>
      <x:c r="K61" s="94" t="n">
        <x:f>'原始记录'!G504</x:f>
        <x:v>0.73</x:v>
      </x:c>
      <x:c r="L61" s="87" t="n">
        <x:f>'原始记录'!G505</x:f>
        <x:v>1.85983333333333</x:v>
      </x:c>
      <x:c r="M61" s="87" t="n">
        <x:f>'原始记录'!G499</x:f>
        <x:v>2.460366666603162</x:v>
      </x:c>
      <x:c r="N61" s="88" t="str">
        <x:v>卢布含官价参考；欧元栏为德国代理</x:v>
      </x:c>
    </x:row>
    <x:row r="62" ht="32" customHeight="1">
      <x:c r="A62" s="86" t="n">
        <x:v>1976</x:v>
      </x:c>
      <x:c r="B62" s="87" t="n">
        <x:f>1</x:f>
        <x:v>1</x:v>
      </x:c>
      <x:c r="C62" s="87" t="n">
        <x:f>'原始记录'!G506</x:f>
        <x:v>0.5540780141843972</x:v>
      </x:c>
      <x:c r="D62" s="87" t="n">
        <x:f>'原始记录'!G507</x:f>
        <x:v>0.9863</x:v>
      </x:c>
      <x:c r="E62" s="87" t="n">
        <x:f>'原始记录'!G508</x:f>
        <x:v>4.780333333110959</x:v>
      </x:c>
      <x:c r="F62" s="87" t="n">
        <x:f>'原始记录'!G509</x:f>
        <x:v>2.518591666637096</x:v>
      </x:c>
      <x:c r="G62" s="87" t="n">
        <x:f>'原始记录'!G510</x:f>
        <x:v>832.1362333578489</x:v>
      </x:c>
      <x:c r="H62" s="87" t="n">
        <x:f>'原始记录'!G511</x:f>
        <x:v>296.4544</x:v>
      </x:c>
      <x:c r="I62" s="87" t="n">
        <x:f>'原始记录'!G512</x:f>
        <x:v>2.5002</x:v>
      </x:c>
      <x:c r="J62" s="87" t="n">
        <x:f>'原始记录'!G513</x:f>
        <x:v>8.9715</x:v>
      </x:c>
      <x:c r="K62" s="94" t="n">
        <x:f>'原始记录'!G514</x:f>
        <x:v>0.758</x:v>
      </x:c>
      <x:c r="L62" s="87" t="n">
        <x:f>'原始记录'!G515</x:f>
        <x:v>1.9415</x:v>
      </x:c>
      <x:c r="M62" s="87" t="n">
        <x:f>'原始记录'!G509</x:f>
        <x:v>2.518591666637096</x:v>
      </x:c>
      <x:c r="N62" s="88" t="str">
        <x:v>卢布含官价参考；欧元栏为德国代理</x:v>
      </x:c>
    </x:row>
    <x:row r="63" ht="32" customHeight="1">
      <x:c r="A63" s="86" t="n">
        <x:v>1977</x:v>
      </x:c>
      <x:c r="B63" s="87" t="n">
        <x:f>1</x:f>
        <x:v>1</x:v>
      </x:c>
      <x:c r="C63" s="87" t="n">
        <x:f>'原始记录'!G516</x:f>
        <x:v>0.5730987449137487</x:v>
      </x:c>
      <x:c r="D63" s="87" t="n">
        <x:f>'原始记录'!G517</x:f>
        <x:v>1.0633</x:v>
      </x:c>
      <x:c r="E63" s="87" t="n">
        <x:f>'原始记录'!G518</x:f>
        <x:v>4.913508333303862</x:v>
      </x:c>
      <x:c r="F63" s="87" t="n">
        <x:f>'原始记录'!G519</x:f>
        <x:v>2.322274999990322</x:v>
      </x:c>
      <x:c r="G63" s="87" t="n">
        <x:f>'原始记录'!G520</x:f>
        <x:v>882.350775066404</x:v>
      </x:c>
      <x:c r="H63" s="87" t="n">
        <x:f>'原始记录'!G521</x:f>
        <x:v>268.6194</x:v>
      </x:c>
      <x:c r="I63" s="87" t="n">
        <x:f>'原始记录'!G522</x:f>
        <x:v>2.4065</x:v>
      </x:c>
      <x:c r="J63" s="87" t="n">
        <x:f>'原始记录'!G523</x:f>
        <x:v>8.7683</x:v>
      </x:c>
      <x:c r="K63" s="94" t="n">
        <x:f>'原始记录'!G524</x:f>
        <x:v>0.742</x:v>
      </x:c>
      <x:c r="L63" s="87" t="n">
        <x:f>'原始记录'!G525</x:f>
        <x:v>1.83808333333333</x:v>
      </x:c>
      <x:c r="M63" s="87" t="n">
        <x:f>'原始记录'!G519</x:f>
        <x:v>2.322274999990322</x:v>
      </x:c>
      <x:c r="N63" s="88" t="str">
        <x:v>卢布含官价参考；欧元栏为德国代理</x:v>
      </x:c>
    </x:row>
    <x:row r="64" ht="32" customHeight="1">
      <x:c r="A64" s="86" t="n">
        <x:v>1978</x:v>
      </x:c>
      <x:c r="B64" s="87" t="n">
        <x:f>1</x:f>
        <x:v>1</x:v>
      </x:c>
      <x:c r="C64" s="87" t="n">
        <x:f>'原始记录'!G526</x:f>
        <x:v>0.5212677231025855</x:v>
      </x:c>
      <x:c r="D64" s="87" t="n">
        <x:f>'原始记录'!G527</x:f>
        <x:v>1.1405</x:v>
      </x:c>
      <x:c r="E64" s="87" t="n">
        <x:f>'原始记录'!G528</x:f>
        <x:v>4.511833333296233</x:v>
      </x:c>
      <x:c r="F64" s="87" t="n">
        <x:f>'原始记录'!G529</x:f>
        <x:v>2.0086916666800296</x:v>
      </x:c>
      <x:c r="G64" s="87" t="n">
        <x:f>'原始记录'!G530</x:f>
        <x:v>848.72613333809</x:v>
      </x:c>
      <x:c r="H64" s="87" t="n">
        <x:f>'原始记录'!G531</x:f>
        <x:v>210.3854</x:v>
      </x:c>
      <x:c r="I64" s="87" t="n">
        <x:f>'原始记录'!G532</x:f>
        <x:v>1.7907</x:v>
      </x:c>
      <x:c r="J64" s="87" t="n">
        <x:f>'原始记录'!G533</x:f>
        <x:v>8.1979</x:v>
      </x:c>
      <x:c r="K64" s="94" t="n">
        <x:f>'原始记录'!G534</x:f>
        <x:v>0.706</x:v>
      </x:c>
      <x:c r="L64" s="87" t="n">
        <x:f>'原始记录'!G535</x:f>
        <x:v>1.68358333333333</x:v>
      </x:c>
      <x:c r="M64" s="87" t="n">
        <x:f>'原始记录'!G529</x:f>
        <x:v>2.0086916666800296</x:v>
      </x:c>
      <x:c r="N64" s="88" t="str">
        <x:v>卢布含官价参考；欧元栏为德国代理</x:v>
      </x:c>
    </x:row>
    <x:row r="65" ht="32" customHeight="1">
      <x:c r="A65" s="86" t="n">
        <x:v>1979</x:v>
      </x:c>
      <x:c r="B65" s="87" t="n">
        <x:f>1</x:f>
        <x:v>1</x:v>
      </x:c>
      <x:c r="C65" s="87" t="n">
        <x:f>'原始记录'!G536</x:f>
        <x:v>0.4711647191858274</x:v>
      </x:c>
      <x:c r="D65" s="87" t="n">
        <x:f>'原始记录'!G537</x:f>
        <x:v>1.1713</x:v>
      </x:c>
      <x:c r="E65" s="87" t="n">
        <x:f>'原始记录'!G538</x:f>
        <x:v>4.254616666960272</x:v>
      </x:c>
      <x:c r="F65" s="87" t="n">
        <x:f>'原始记录'!G539</x:f>
        <x:v>1.8328749999070608</x:v>
      </x:c>
      <x:c r="G65" s="87" t="n">
        <x:f>'原始记录'!G540</x:f>
        <x:v>830.924008289109</x:v>
      </x:c>
      <x:c r="H65" s="87" t="n">
        <x:f>'原始记录'!G541</x:f>
        <x:v>219.0168</x:v>
      </x:c>
      <x:c r="I65" s="87" t="n">
        <x:f>'原始记录'!G542</x:f>
        <x:v>1.6644</x:v>
      </x:c>
      <x:c r="J65" s="87" t="n">
        <x:f>'原始记录'!G543</x:f>
        <x:v>8.1564</x:v>
      </x:c>
      <x:c r="K65" s="94" t="n">
        <x:f>'原始记录'!G544</x:f>
        <x:v>0.659</x:v>
      </x:c>
      <x:c r="L65" s="87" t="n">
        <x:f>'原始记录'!G545</x:f>
        <x:v>1.55516666666667</x:v>
      </x:c>
      <x:c r="M65" s="87" t="n">
        <x:f>'原始记录'!G539</x:f>
        <x:v>1.8328749999070608</x:v>
      </x:c>
      <x:c r="N65" s="88" t="str">
        <x:v>卢布含官价参考；欧元栏为德国代理</x:v>
      </x:c>
    </x:row>
    <x:row r="66" ht="32" customHeight="1">
      <x:c r="A66" s="86" t="n">
        <x:v>1980</x:v>
      </x:c>
      <x:c r="B66" s="87" t="n">
        <x:f>1</x:f>
        <x:v>1</x:v>
      </x:c>
      <x:c r="C66" s="87" t="n">
        <x:f>'原始记录'!G546</x:f>
        <x:v>0.4301815366084487</x:v>
      </x:c>
      <x:c r="D66" s="87" t="n">
        <x:f>'原始记录'!G547</x:f>
        <x:v>1.1693</x:v>
      </x:c>
      <x:c r="E66" s="87" t="n">
        <x:f>'原始记录'!G548</x:f>
        <x:v>4.226133333458438</x:v>
      </x:c>
      <x:c r="F66" s="87" t="n">
        <x:f>'原始记录'!G549</x:f>
        <x:v>1.817208333381359</x:v>
      </x:c>
      <x:c r="G66" s="87" t="n">
        <x:f>'原始记录'!G550</x:f>
        <x:v>856.438849940429</x:v>
      </x:c>
      <x:c r="H66" s="87" t="n">
        <x:f>'原始记录'!G551</x:f>
        <x:v>226.6309</x:v>
      </x:c>
      <x:c r="I66" s="87" t="n">
        <x:f>'原始记录'!G552</x:f>
        <x:v>1.6772</x:v>
      </x:c>
      <x:c r="J66" s="87" t="n">
        <x:f>'原始记录'!G553</x:f>
        <x:v>7.8868</x:v>
      </x:c>
      <x:c r="K66" s="94" t="n">
        <x:f>'原始记录'!G554</x:f>
        <x:v>0.6395</x:v>
      </x:c>
      <x:c r="L66" s="87" t="n">
        <x:f>'原始记录'!G555</x:f>
        <x:v>1.4985</x:v>
      </x:c>
      <x:c r="M66" s="87" t="n">
        <x:f>'原始记录'!G549</x:f>
        <x:v>1.817208333381359</x:v>
      </x:c>
      <x:c r="N66" s="88" t="str">
        <x:v>卢布含官价参考；欧元栏为德国代理</x:v>
      </x:c>
    </x:row>
    <x:row r="67" ht="32" customHeight="1">
      <x:c r="A67" s="86" t="n">
        <x:v>1981</x:v>
      </x:c>
      <x:c r="B67" s="87" t="n">
        <x:f>1</x:f>
        <x:v>1</x:v>
      </x:c>
      <x:c r="C67" s="87" t="n">
        <x:f>'原始记录'!G556</x:f>
        <x:v>0.49399792520871405</x:v>
      </x:c>
      <x:c r="D67" s="87" t="n">
        <x:f>'原始记录'!G557</x:f>
        <x:v>1.199</x:v>
      </x:c>
      <x:c r="E67" s="87" t="n">
        <x:f>'原始记录'!G558</x:f>
        <x:v>5.434366666397231</x:v>
      </x:c>
      <x:c r="F67" s="87" t="n">
        <x:f>'原始记录'!G559</x:f>
        <x:v>2.259275000020367</x:v>
      </x:c>
      <x:c r="G67" s="87" t="n">
        <x:f>'原始记录'!G560</x:f>
        <x:v>1136.548300032089</x:v>
      </x:c>
      <x:c r="H67" s="87" t="n">
        <x:f>'原始记录'!G561</x:f>
        <x:v>220.6281</x:v>
      </x:c>
      <x:c r="I67" s="87" t="n">
        <x:f>'原始记录'!G562</x:f>
        <x:v>1.9675</x:v>
      </x:c>
      <x:c r="J67" s="87" t="n">
        <x:f>'原始记录'!G563</x:f>
        <x:v>8.6807</x:v>
      </x:c>
      <x:c r="K67" s="94" t="n">
        <x:f>'原始记录'!G564</x:f>
        <x:v>0.675</x:v>
      </x:c>
      <x:c r="L67" s="87" t="n">
        <x:f>'原始记录'!G565</x:f>
        <x:v>1.71</x:v>
      </x:c>
      <x:c r="M67" s="87" t="n">
        <x:f>'原始记录'!G559</x:f>
        <x:v>2.259275000020367</x:v>
      </x:c>
      <x:c r="N67" s="88" t="str">
        <x:v>卢布含官价参考；欧元栏为德国代理</x:v>
      </x:c>
    </x:row>
    <x:row r="68" ht="32" customHeight="1">
      <x:c r="A68" s="86" t="n">
        <x:v>1982</x:v>
      </x:c>
      <x:c r="B68" s="87" t="n">
        <x:f>1</x:f>
        <x:v>1</x:v>
      </x:c>
      <x:c r="C68" s="87" t="n">
        <x:f>'原始记录'!G566</x:f>
        <x:v>0.5720823798627003</x:v>
      </x:c>
      <x:c r="D68" s="87" t="n">
        <x:f>'原始记录'!G567</x:f>
        <x:v>1.2344</x:v>
      </x:c>
      <x:c r="E68" s="87" t="n">
        <x:f>'原始记录'!G568</x:f>
        <x:v>6.5720583330473366</x:v>
      </x:c>
      <x:c r="F68" s="87" t="n">
        <x:f>'原始记录'!G569</x:f>
        <x:v>2.426674999996414</x:v>
      </x:c>
      <x:c r="G68" s="87" t="n">
        <x:f>'原始记录'!G570</x:f>
        <x:v>1352.661041669917</x:v>
      </x:c>
      <x:c r="H68" s="87" t="n">
        <x:f>'原始记录'!G571</x:f>
        <x:v>249.0601</x:v>
      </x:c>
      <x:c r="I68" s="87" t="n">
        <x:f>'原始记录'!G572</x:f>
        <x:v>2.0319</x:v>
      </x:c>
      <x:c r="J68" s="87" t="n">
        <x:f>'原始记录'!G573</x:f>
        <x:v>9.4847</x:v>
      </x:c>
      <x:c r="K68" s="94" t="n">
        <x:f>'原始记录'!G574</x:f>
        <x:v>0.708</x:v>
      </x:c>
      <x:c r="L68" s="87" t="n">
        <x:f>'原始记录'!G575</x:f>
        <x:v>1.8979</x:v>
      </x:c>
      <x:c r="M68" s="87" t="n">
        <x:f>'原始记录'!G569</x:f>
        <x:v>2.426674999996414</x:v>
      </x:c>
      <x:c r="N68" s="88" t="str">
        <x:v>卢布含官价参考；欧元栏为德国代理</x:v>
      </x:c>
    </x:row>
    <x:row r="69" ht="32" customHeight="1">
      <x:c r="A69" s="86" t="n">
        <x:v>1983</x:v>
      </x:c>
      <x:c r="B69" s="87" t="n">
        <x:f>1</x:f>
        <x:v>1</x:v>
      </x:c>
      <x:c r="C69" s="87" t="n">
        <x:f>'原始记录'!G576</x:f>
        <x:v>0.6596741209842337</x:v>
      </x:c>
      <x:c r="D69" s="87" t="n">
        <x:f>'原始记录'!G577</x:f>
        <x:v>1.2325</x:v>
      </x:c>
      <x:c r="E69" s="87" t="n">
        <x:f>'原始记录'!G578</x:f>
        <x:v>7.621291666909378</x:v>
      </x:c>
      <x:c r="F69" s="87" t="n">
        <x:f>'原始记录'!G579</x:f>
        <x:v>2.553366666698512</x:v>
      </x:c>
      <x:c r="G69" s="87" t="n">
        <x:f>'原始记录'!G580</x:f>
        <x:v>1518.944700096019</x:v>
      </x:c>
      <x:c r="H69" s="87" t="n">
        <x:f>'原始记录'!G581</x:f>
        <x:v>237.5535</x:v>
      </x:c>
      <x:c r="I69" s="87" t="n">
        <x:f>'原始记录'!G582</x:f>
        <x:v>2.1007</x:v>
      </x:c>
      <x:c r="J69" s="87" t="n">
        <x:f>'原始记录'!G583</x:f>
        <x:v>10.1041</x:v>
      </x:c>
      <x:c r="K69" s="94" t="n">
        <x:f>'原始记录'!G584</x:f>
        <x:v>0.707</x:v>
      </x:c>
      <x:c r="L69" s="87" t="n">
        <x:f>'原始记录'!G585</x:f>
        <x:v>1.981</x:v>
      </x:c>
      <x:c r="M69" s="87" t="n">
        <x:f>'原始记录'!G579</x:f>
        <x:v>2.553366666698512</x:v>
      </x:c>
      <x:c r="N69" s="88" t="str">
        <x:v>卢布含官价参考；欧元栏为德国代理</x:v>
      </x:c>
    </x:row>
    <x:row r="70" ht="32" customHeight="1">
      <x:c r="A70" s="86" t="n">
        <x:v>1984</x:v>
      </x:c>
      <x:c r="B70" s="87" t="n">
        <x:f>1</x:f>
        <x:v>1</x:v>
      </x:c>
      <x:c r="C70" s="87" t="n">
        <x:f>'原始记录'!G586</x:f>
        <x:v>0.7480550568521843</x:v>
      </x:c>
      <x:c r="D70" s="87" t="n">
        <x:f>'原始记录'!G587</x:f>
        <x:v>1.2952</x:v>
      </x:c>
      <x:c r="E70" s="87" t="n">
        <x:f>'原始记录'!G588</x:f>
        <x:v>8.739441666751881</x:v>
      </x:c>
      <x:c r="F70" s="87" t="n">
        <x:f>'原始记录'!G589</x:f>
        <x:v>2.8464333333340712</x:v>
      </x:c>
      <x:c r="G70" s="87" t="n">
        <x:f>'原始记录'!G590</x:f>
        <x:v>1756.734349951623</x:v>
      </x:c>
      <x:c r="H70" s="87" t="n">
        <x:f>'原始记录'!G591</x:f>
        <x:v>237.4622</x:v>
      </x:c>
      <x:c r="I70" s="87" t="n">
        <x:f>'原始记录'!G592</x:f>
        <x:v>2.35</x:v>
      </x:c>
      <x:c r="J70" s="87" t="n">
        <x:f>'原始记录'!G593</x:f>
        <x:v>11.3465</x:v>
      </x:c>
      <x:c r="K70" s="94" t="n">
        <x:f>'原始记录'!G594</x:f>
        <x:v>0.791</x:v>
      </x:c>
      <x:c r="L70" s="87" t="n">
        <x:f>'原始记录'!G595</x:f>
        <x:v>2.3303</x:v>
      </x:c>
      <x:c r="M70" s="87" t="n">
        <x:f>'原始记录'!G589</x:f>
        <x:v>2.8464333333340712</x:v>
      </x:c>
      <x:c r="N70" s="88" t="str">
        <x:v>卢布含官价参考；欧元栏为德国代理</x:v>
      </x:c>
    </x:row>
    <x:row r="71" ht="32" customHeight="1">
      <x:c r="A71" s="86" t="n">
        <x:v>1985</x:v>
      </x:c>
      <x:c r="B71" s="87" t="n">
        <x:f>1</x:f>
        <x:v>1</x:v>
      </x:c>
      <x:c r="C71" s="87" t="n">
        <x:f>'原始记录'!G596</x:f>
        <x:v>0.7707723138584861</x:v>
      </x:c>
      <x:c r="D71" s="87" t="n">
        <x:f>'原始记录'!G597</x:f>
        <x:v>1.3659</x:v>
      </x:c>
      <x:c r="E71" s="87" t="n">
        <x:f>'原始记录'!G598</x:f>
        <x:v>8.984158333189301</x:v>
      </x:c>
      <x:c r="F71" s="87" t="n">
        <x:f>'原始记录'!G599</x:f>
        <x:v>2.9437833332666887</x:v>
      </x:c>
      <x:c r="G71" s="87" t="n">
        <x:f>'原始记录'!G600</x:f>
        <x:v>1909.416833308936</x:v>
      </x:c>
      <x:c r="H71" s="87" t="n">
        <x:f>'原始记录'!G601</x:f>
        <x:v>238.4673</x:v>
      </x:c>
      <x:c r="I71" s="87" t="n">
        <x:f>'原始记录'!G602</x:f>
        <x:v>2.4552</x:v>
      </x:c>
      <x:c r="J71" s="87" t="n">
        <x:f>'原始记录'!G603</x:f>
        <x:v>12.3318</x:v>
      </x:c>
      <x:c r="K71" s="94" t="n">
        <x:f>'原始记录'!G604</x:f>
        <x:v>0.92</x:v>
      </x:c>
      <x:c r="L71" s="87" t="n">
        <x:f>'原始记录'!G605</x:f>
        <x:v>2.9434</x:v>
      </x:c>
      <x:c r="M71" s="87" t="n">
        <x:f>'原始记录'!G599</x:f>
        <x:v>2.9437833332666887</x:v>
      </x:c>
      <x:c r="N71" s="88" t="str">
        <x:v>卢布含官价参考；欧元栏为德国代理</x:v>
      </x:c>
    </x:row>
    <x:row r="72" ht="32" customHeight="1">
      <x:c r="A72" s="86" t="n">
        <x:v>1986</x:v>
      </x:c>
      <x:c r="B72" s="87" t="n">
        <x:f>1</x:f>
        <x:v>1</x:v>
      </x:c>
      <x:c r="C72" s="87" t="n">
        <x:f>'原始记录'!G606</x:f>
        <x:v>0.6813381481229134</x:v>
      </x:c>
      <x:c r="D72" s="87" t="n">
        <x:f>'原始记录'!G607</x:f>
        <x:v>1.3896</x:v>
      </x:c>
      <x:c r="E72" s="87" t="n">
        <x:f>'原始记录'!G608</x:f>
        <x:v>6.926941666376715</x:v>
      </x:c>
      <x:c r="F72" s="87" t="n">
        <x:f>'原始记录'!G609</x:f>
        <x:v>2.171941666669698</x:v>
      </x:c>
      <x:c r="G72" s="87" t="n">
        <x:f>'原始记录'!G610</x:f>
        <x:v>1491.048633405072</x:v>
      </x:c>
      <x:c r="H72" s="87" t="n">
        <x:f>'原始记录'!G611</x:f>
        <x:v>168.3496</x:v>
      </x:c>
      <x:c r="I72" s="87" t="n">
        <x:f>'原始记录'!G612</x:f>
        <x:v>1.7979</x:v>
      </x:c>
      <x:c r="J72" s="87" t="n">
        <x:f>'原始记录'!G613</x:f>
        <x:v>12.5967</x:v>
      </x:c>
      <x:c r="K72" s="94" t="n">
        <x:f>'原始记录'!G614</x:f>
        <x:v>0.7585</x:v>
      </x:c>
      <x:c r="L72" s="87" t="n">
        <x:f>'原始记录'!G615</x:f>
        <x:v>3.4616</x:v>
      </x:c>
      <x:c r="M72" s="87" t="n">
        <x:f>'原始记录'!G609</x:f>
        <x:v>2.171941666669698</x:v>
      </x:c>
      <x:c r="N72" s="88" t="str">
        <x:v>卢布含官价参考；欧元栏为德国代理</x:v>
      </x:c>
    </x:row>
    <x:row r="73" ht="32" customHeight="1">
      <x:c r="A73" s="86" t="n">
        <x:v>1987</x:v>
      </x:c>
      <x:c r="B73" s="87" t="n">
        <x:f>1</x:f>
        <x:v>1</x:v>
      </x:c>
      <x:c r="C73" s="87" t="n">
        <x:f>'原始记录'!G616</x:f>
        <x:v>0.6098304671301379</x:v>
      </x:c>
      <x:c r="D73" s="87" t="n">
        <x:f>'原始记录'!G617</x:f>
        <x:v>1.3259</x:v>
      </x:c>
      <x:c r="E73" s="87" t="n">
        <x:f>'原始记录'!G618</x:f>
        <x:v>6.008725000000927</x:v>
      </x:c>
      <x:c r="F73" s="87" t="n">
        <x:f>'原始记录'!G619</x:f>
        <x:v>1.797350000062541</x:v>
      </x:c>
      <x:c r="G73" s="87" t="n">
        <x:f>'原始记录'!G620</x:f>
        <x:v>1296.973133248702</x:v>
      </x:c>
      <x:c r="H73" s="87" t="n">
        <x:f>'原始记录'!G621</x:f>
        <x:v>144.6023</x:v>
      </x:c>
      <x:c r="I73" s="87" t="n">
        <x:f>'原始记录'!G622</x:f>
        <x:v>1.4918</x:v>
      </x:c>
      <x:c r="J73" s="87" t="n">
        <x:f>'原始记录'!G623</x:f>
        <x:v>12.9469</x:v>
      </x:c>
      <x:c r="K73" s="94" t="n">
        <x:f>'原始记录'!G624</x:f>
        <x:v>0.67</x:v>
      </x:c>
      <x:c r="L73" s="87" t="n">
        <x:f>'原始记录'!G625</x:f>
        <x:v>3.7314</x:v>
      </x:c>
      <x:c r="M73" s="87" t="n">
        <x:f>'原始记录'!G619</x:f>
        <x:v>1.797350000062541</x:v>
      </x:c>
      <x:c r="N73" s="88" t="str">
        <x:v>卢布含官价参考；欧元栏为德国代理</x:v>
      </x:c>
    </x:row>
    <x:row r="74" ht="32" customHeight="1">
      <x:c r="A74" s="86" t="n">
        <x:v>1988</x:v>
      </x:c>
      <x:c r="B74" s="87" t="n">
        <x:f>1</x:f>
        <x:v>1</x:v>
      </x:c>
      <x:c r="C74" s="87" t="n">
        <x:f>'原始记录'!G626</x:f>
        <x:v>0.5613877505192837</x:v>
      </x:c>
      <x:c r="D74" s="87" t="n">
        <x:f>'原始记录'!G627</x:f>
        <x:v>1.2306</x:v>
      </x:c>
      <x:c r="E74" s="87" t="n">
        <x:f>'原始记录'!G628</x:f>
        <x:v>5.957024999943033</x:v>
      </x:c>
      <x:c r="F74" s="87" t="n">
        <x:f>'原始记录'!G629</x:f>
        <x:v>1.756150000072876</x:v>
      </x:c>
      <x:c r="G74" s="87" t="n">
        <x:f>'原始记录'!G630</x:f>
        <x:v>1301.7060666344491</x:v>
      </x:c>
      <x:c r="H74" s="87" t="n">
        <x:f>'原始记录'!G631</x:f>
        <x:v>128.1742</x:v>
      </x:c>
      <x:c r="I74" s="87" t="n">
        <x:f>'原始记录'!G632</x:f>
        <x:v>1.4643</x:v>
      </x:c>
      <x:c r="J74" s="87" t="n">
        <x:f>'原始记录'!G633</x:f>
        <x:v>13.8995</x:v>
      </x:c>
      <x:c r="K74" s="94" t="n">
        <x:f>'原始记录'!G634</x:f>
        <x:v>0.5804</x:v>
      </x:c>
      <x:c r="L74" s="87" t="n">
        <x:f>'原始记录'!G635</x:f>
        <x:v>3.7314</x:v>
      </x:c>
      <x:c r="M74" s="87" t="n">
        <x:f>'原始记录'!G629</x:f>
        <x:v>1.756150000072876</x:v>
      </x:c>
      <x:c r="N74" s="88" t="str">
        <x:v>卢布含官价参考；欧元栏为德国代理</x:v>
      </x:c>
    </x:row>
    <x:row r="75" ht="32" customHeight="1">
      <x:c r="A75" s="86" t="n">
        <x:v>1989</x:v>
      </x:c>
      <x:c r="B75" s="87" t="n">
        <x:f>1</x:f>
        <x:v>1</x:v>
      </x:c>
      <x:c r="C75" s="87" t="n">
        <x:f>'原始记录'!G636</x:f>
        <x:v>0.6104260774020266</x:v>
      </x:c>
      <x:c r="D75" s="87" t="n">
        <x:f>'原始记录'!G637</x:f>
        <x:v>1.1842</x:v>
      </x:c>
      <x:c r="E75" s="87" t="n">
        <x:f>'原始记录'!G638</x:f>
        <x:v>6.380158333098889</x:v>
      </x:c>
      <x:c r="F75" s="87" t="n">
        <x:f>'原始记录'!G639</x:f>
        <x:v>1.879983333299033</x:v>
      </x:c>
      <x:c r="G75" s="87" t="n">
        <x:f>'原始记录'!G640</x:f>
        <x:v>1371.6875333623</x:v>
      </x:c>
      <x:c r="H75" s="87" t="n">
        <x:f>'原始记录'!G641</x:f>
        <x:v>138.0738</x:v>
      </x:c>
      <x:c r="I75" s="87" t="n">
        <x:f>'原始记录'!G642</x:f>
        <x:v>1.6369</x:v>
      </x:c>
      <x:c r="J75" s="87" t="n">
        <x:f>'原始记录'!G643</x:f>
        <x:v>16.2131</x:v>
      </x:c>
      <x:c r="K75" s="94" t="n">
        <x:f>'原始记录'!G644</x:f>
        <x:v>0.6059</x:v>
      </x:c>
      <x:c r="L75" s="87" t="n">
        <x:f>'原始记录'!G645</x:f>
        <x:v>3.7673</x:v>
      </x:c>
      <x:c r="M75" s="87" t="n">
        <x:f>'原始记录'!G639</x:f>
        <x:v>1.879983333299033</x:v>
      </x:c>
      <x:c r="N75" s="88" t="str">
        <x:v>卢布含官价参考；欧元栏为德国代理</x:v>
      </x:c>
    </x:row>
    <x:row r="76" ht="32" customHeight="1">
      <x:c r="A76" s="86" t="n">
        <x:v>1990</x:v>
      </x:c>
      <x:c r="B76" s="87" t="n">
        <x:f>1</x:f>
        <x:v>1</x:v>
      </x:c>
      <x:c r="C76" s="87" t="n">
        <x:f>'原始记录'!G646</x:f>
        <x:v>0.5605066980550417</x:v>
      </x:c>
      <x:c r="D76" s="87" t="n">
        <x:f>'原始记录'!G647</x:f>
        <x:v>1.1668</x:v>
      </x:c>
      <x:c r="E76" s="87" t="n">
        <x:f>'原始记录'!G648</x:f>
        <x:v>5.445949999842077</x:v>
      </x:c>
      <x:c r="F76" s="87" t="n">
        <x:f>'原始记录'!G649</x:f>
        <x:v>1.615874999945355</x:v>
      </x:c>
      <x:c r="G76" s="87" t="n">
        <x:f>'原始记录'!G650</x:f>
        <x:v>1198.375325009961</x:v>
      </x:c>
      <x:c r="H76" s="87" t="n">
        <x:f>'原始记录'!G651</x:f>
        <x:v>144.9987</x:v>
      </x:c>
      <x:c r="I76" s="87" t="n">
        <x:f>'原始记录'!G652</x:f>
        <x:v>1.3901</x:v>
      </x:c>
      <x:c r="J76" s="87" t="n">
        <x:f>'原始记录'!G653</x:f>
        <x:v>17.4922</x:v>
      </x:c>
      <x:c r="K76" s="94" t="n">
        <x:f>'原始记录'!G654</x:f>
        <x:v>0.6072</x:v>
      </x:c>
      <x:c r="L76" s="87" t="n">
        <x:f>'原始记录'!G655</x:f>
        <x:v>4.7921</x:v>
      </x:c>
      <x:c r="M76" s="87" t="n">
        <x:f>'原始记录'!G649</x:f>
        <x:v>1.615874999945355</x:v>
      </x:c>
      <x:c r="N76" s="88" t="str">
        <x:v>卢布含官价参考；欧元栏为德国代理</x:v>
      </x:c>
    </x:row>
    <x:row r="77" ht="32" customHeight="1">
      <x:c r="A77" s="86" t="n">
        <x:v>1991</x:v>
      </x:c>
      <x:c r="B77" s="87" t="n">
        <x:f>1</x:f>
        <x:v>1</x:v>
      </x:c>
      <x:c r="C77" s="87" t="n">
        <x:f>'原始记录'!G656</x:f>
        <x:v>0.5658028742786013</x:v>
      </x:c>
      <x:c r="D77" s="87" t="n">
        <x:f>'原始记录'!G657</x:f>
        <x:v>1.146</x:v>
      </x:c>
      <x:c r="E77" s="87" t="n">
        <x:f>'原始记录'!G658</x:f>
        <x:v>5.640850000107273</x:v>
      </x:c>
      <x:c r="F77" s="87" t="n">
        <x:f>'原始记录'!G659</x:f>
        <x:v>1.6588083333451389</x:v>
      </x:c>
      <x:c r="G77" s="87" t="n">
        <x:f>'原始记录'!G660</x:f>
        <x:v>1240.6457999295292</x:v>
      </x:c>
      <x:c r="H77" s="87" t="n">
        <x:f>'原始记录'!G661</x:f>
        <x:v>134.5909</x:v>
      </x:c>
      <x:c r="I77" s="87" t="n">
        <x:f>'原始记录'!G662</x:f>
        <x:v>1.4356</x:v>
      </x:c>
      <x:c r="J77" s="87" t="n">
        <x:f>'原始记录'!G663</x:f>
        <x:v>22.7116</x:v>
      </x:c>
      <x:c r="K77" s="94" t="n">
        <x:f>'原始记录'!G664</x:f>
        <x:v>0.5605</x:v>
      </x:c>
      <x:c r="L77" s="87" t="n">
        <x:f>'原始记录'!G665</x:f>
        <x:v>5.3337</x:v>
      </x:c>
      <x:c r="M77" s="87" t="n">
        <x:f>'原始记录'!G659</x:f>
        <x:v>1.6588083333451389</x:v>
      </x:c>
      <x:c r="N77" s="88" t="str">
        <x:v>卢布含官价参考；欧元栏为德国代理</x:v>
      </x:c>
    </x:row>
    <x:row r="78" ht="32" customHeight="1">
      <x:c r="A78" s="86" t="n">
        <x:v>1992</x:v>
      </x:c>
      <x:c r="B78" s="87" t="n">
        <x:f>1</x:f>
        <x:v>1</x:v>
      </x:c>
      <x:c r="C78" s="87" t="n">
        <x:f>'原始记录'!G666</x:f>
        <x:v>0.5661552397667441</x:v>
      </x:c>
      <x:c r="D78" s="87" t="n">
        <x:f>'原始记录'!G667</x:f>
        <x:v>1.2085</x:v>
      </x:c>
      <x:c r="E78" s="87" t="n">
        <x:f>'原始记录'!G668</x:f>
        <x:v>5.293699999674125</x:v>
      </x:c>
      <x:c r="F78" s="87" t="n">
        <x:f>'原始记录'!G669</x:f>
        <x:v>1.5619499999326538</x:v>
      </x:c>
      <x:c r="G78" s="87" t="n">
        <x:f>'原始记录'!G670</x:f>
        <x:v>1232.026925038231</x:v>
      </x:c>
      <x:c r="H78" s="87" t="n">
        <x:f>'原始记录'!G671</x:f>
        <x:v>126.7801</x:v>
      </x:c>
      <x:c r="I78" s="87" t="n">
        <x:f>'原始记录'!G672</x:f>
        <x:v>1.4064</x:v>
      </x:c>
      <x:c r="J78" s="87" t="n">
        <x:f>'原始记录'!G673</x:f>
        <x:v>28.1558</x:v>
      </x:c>
      <x:c r="K78" s="94" t="n">
        <x:f>'原始记录'!G674</x:f>
        <x:v>0.5549</x:v>
      </x:c>
      <x:c r="L78" s="87" t="n">
        <x:f>'原始记录'!G675</x:f>
        <x:v>5.5206</x:v>
      </x:c>
      <x:c r="M78" s="87" t="n">
        <x:f>'原始记录'!G669</x:f>
        <x:v>1.5619499999326538</x:v>
      </x:c>
      <x:c r="N78" s="88" t="str">
        <x:v>卢布含官价参考；欧元栏为德国代理</x:v>
      </x:c>
    </x:row>
    <x:row r="79" ht="32" customHeight="1">
      <x:c r="A79" s="86" t="n">
        <x:v>1993</x:v>
      </x:c>
      <x:c r="B79" s="87" t="n">
        <x:f>1</x:f>
        <x:v>1</x:v>
      </x:c>
      <x:c r="C79" s="87" t="n">
        <x:f>'原始记录'!G676</x:f>
        <x:v>0.6659563132658497</x:v>
      </x:c>
      <x:c r="D79" s="87" t="n">
        <x:f>'原始记录'!G677</x:f>
        <x:v>1.2902</x:v>
      </x:c>
      <x:c r="E79" s="87" t="n">
        <x:f>'原始记录'!G678</x:f>
        <x:v>5.6623166665332265</x:v>
      </x:c>
      <x:c r="F79" s="87" t="n">
        <x:f>'原始记录'!G679</x:f>
        <x:v>1.6533083332406568</x:v>
      </x:c>
      <x:c r="G79" s="87" t="n">
        <x:f>'原始记录'!G680</x:f>
        <x:v>1571.658166695064</x:v>
      </x:c>
      <x:c r="H79" s="87" t="n">
        <x:f>'原始记录'!G681</x:f>
        <x:v>111.0755</x:v>
      </x:c>
      <x:c r="I79" s="87" t="n">
        <x:f>'原始记录'!G682</x:f>
        <x:v>1.4781</x:v>
      </x:c>
      <x:c r="J79" s="87" t="n">
        <x:f>'原始记录'!G683</x:f>
        <x:v>31.2911</x:v>
      </x:c>
      <x:c r="K79" s="87" t="n">
        <x:f>'原始记录'!G684</x:f>
        <x:v>973.208815631083</x:v>
      </x:c>
      <x:c r="L79" s="87" t="n">
        <x:f>'原始记录'!G685</x:f>
        <x:v>5.7795</x:v>
      </x:c>
      <x:c r="M79" s="87" t="n">
        <x:f>'原始记录'!G679</x:f>
        <x:v>1.6533083332406568</x:v>
      </x:c>
      <x:c r="N79" s="88" t="str">
        <x:v>欧元栏为德国代理</x:v>
      </x:c>
    </x:row>
    <x:row r="80" ht="32" customHeight="1">
      <x:c r="A80" s="86" t="n">
        <x:v>1994</x:v>
      </x:c>
      <x:c r="B80" s="87" t="n">
        <x:f>1</x:f>
        <x:v>1</x:v>
      </x:c>
      <x:c r="C80" s="87" t="n">
        <x:f>'原始记录'!G686</x:f>
        <x:v>0.6527841242900972</x:v>
      </x:c>
      <x:c r="D80" s="87" t="n">
        <x:f>'原始记录'!G687</x:f>
        <x:v>1.3664</x:v>
      </x:c>
      <x:c r="E80" s="87" t="n">
        <x:f>'原始记录'!G688</x:f>
        <x:v>5.552058333586262</x:v>
      </x:c>
      <x:c r="F80" s="87" t="n">
        <x:f>'原始记录'!G689</x:f>
        <x:v>1.6229250000188291</x:v>
      </x:c>
      <x:c r="G80" s="87" t="n">
        <x:f>'原始记录'!G690</x:f>
        <x:v>1612.663725024009</x:v>
      </x:c>
      <x:c r="H80" s="87" t="n">
        <x:f>'原始记录'!G691</x:f>
        <x:v>102.179</x:v>
      </x:c>
      <x:c r="I80" s="87" t="n">
        <x:f>'原始记录'!G692</x:f>
        <x:v>1.3667</x:v>
      </x:c>
      <x:c r="J80" s="87" t="n">
        <x:f>'原始记录'!G693</x:f>
        <x:v>31.3939</x:v>
      </x:c>
      <x:c r="K80" s="87" t="n">
        <x:f>'原始记录'!G694</x:f>
        <x:v>2204.0725331000003</x:v>
      </x:c>
      <x:c r="L80" s="87" t="n">
        <x:f>'原始记录'!G695</x:f>
        <x:v>8.6397</x:v>
      </x:c>
      <x:c r="M80" s="87" t="n">
        <x:f>'原始记录'!G689</x:f>
        <x:v>1.6229250000188291</x:v>
      </x:c>
      <x:c r="N80" s="88" t="str">
        <x:v>欧元栏为德国代理</x:v>
      </x:c>
    </x:row>
    <x:row r="81" ht="32" customHeight="1">
      <x:c r="A81" s="86" t="n">
        <x:v>1995</x:v>
      </x:c>
      <x:c r="B81" s="87" t="n">
        <x:f>1</x:f>
        <x:v>1</x:v>
      </x:c>
      <x:c r="C81" s="87" t="n">
        <x:f>'原始记录'!G696</x:f>
        <x:v>0.6335128286347799</x:v>
      </x:c>
      <x:c r="D81" s="87" t="n">
        <x:f>'原始记录'!G697</x:f>
        <x:v>1.3725</x:v>
      </x:c>
      <x:c r="E81" s="87" t="n">
        <x:f>'原始记录'!G698</x:f>
        <x:v>4.99081666636872</x:v>
      </x:c>
      <x:c r="F81" s="87" t="n">
        <x:f>'原始记录'!G699</x:f>
        <x:v>1.433016666694959</x:v>
      </x:c>
      <x:c r="G81" s="87" t="n">
        <x:f>'原始记录'!G700</x:f>
        <x:v>1629.034841597156</x:v>
      </x:c>
      <x:c r="H81" s="87" t="n">
        <x:f>'原始记录'!G701</x:f>
        <x:v>93.9649</x:v>
      </x:c>
      <x:c r="I81" s="87" t="n">
        <x:f>'原始记录'!G702</x:f>
        <x:v>1.1812</x:v>
      </x:c>
      <x:c r="J81" s="87" t="n">
        <x:f>'原始记录'!G703</x:f>
        <x:v>32.4181</x:v>
      </x:c>
      <x:c r="K81" s="87" t="n">
        <x:f>'原始记录'!G704</x:f>
        <x:v>4560.50023843709</x:v>
      </x:c>
      <x:c r="L81" s="87" t="n">
        <x:f>'原始记录'!G705</x:f>
        <x:v>8.37</x:v>
      </x:c>
      <x:c r="M81" s="87" t="n">
        <x:f>'原始记录'!G699</x:f>
        <x:v>1.433016666694959</x:v>
      </x:c>
      <x:c r="N81" s="88" t="str">
        <x:v>欧元栏为德国代理</x:v>
      </x:c>
    </x:row>
    <x:row r="82" ht="32" customHeight="1">
      <x:c r="A82" s="86" t="n">
        <x:v>1996</x:v>
      </x:c>
      <x:c r="B82" s="87" t="n">
        <x:f>1</x:f>
        <x:v>1</x:v>
      </x:c>
      <x:c r="C82" s="87" t="n">
        <x:f>'原始记录'!G706</x:f>
        <x:v>0.6407381303261357</x:v>
      </x:c>
      <x:c r="D82" s="87" t="n">
        <x:f>'原始记录'!G707</x:f>
        <x:v>1.3638</x:v>
      </x:c>
      <x:c r="E82" s="87" t="n">
        <x:f>'原始记录'!G708</x:f>
        <x:v>5.115800000110569</x:v>
      </x:c>
      <x:c r="F82" s="87" t="n">
        <x:f>'原始记录'!G709</x:f>
        <x:v>1.504691666724807</x:v>
      </x:c>
      <x:c r="G82" s="87" t="n">
        <x:f>'原始记录'!G710</x:f>
        <x:v>1543.044224997212</x:v>
      </x:c>
      <x:c r="H82" s="87" t="n">
        <x:f>'原始记录'!G711</x:f>
        <x:v>108.78</x:v>
      </x:c>
      <x:c r="I82" s="87" t="n">
        <x:f>'原始记录'!G712</x:f>
        <x:v>1.2361</x:v>
      </x:c>
      <x:c r="J82" s="87" t="n">
        <x:f>'原始记录'!G713</x:f>
        <x:v>35.506</x:v>
      </x:c>
      <x:c r="K82" s="87" t="n">
        <x:f>'原始记录'!G714</x:f>
        <x:v>5125.47236845057</x:v>
      </x:c>
      <x:c r="L82" s="87" t="n">
        <x:f>'原始记录'!G715</x:f>
        <x:v>8.3389</x:v>
      </x:c>
      <x:c r="M82" s="87" t="n">
        <x:f>'原始记录'!G709</x:f>
        <x:v>1.504691666724807</x:v>
      </x:c>
      <x:c r="N82" s="88" t="str">
        <x:v>欧元栏为德国代理</x:v>
      </x:c>
    </x:row>
    <x:row r="83" ht="32" customHeight="1">
      <x:c r="A83" s="86" t="n">
        <x:v>1997</x:v>
      </x:c>
      <x:c r="B83" s="87" t="n">
        <x:f>1</x:f>
        <x:v>1</x:v>
      </x:c>
      <x:c r="C83" s="87" t="n">
        <x:f>'原始记录'!G716</x:f>
        <x:v>0.6106497313141183</x:v>
      </x:c>
      <x:c r="D83" s="87" t="n">
        <x:f>'原始记录'!G717</x:f>
        <x:v>1.3849</x:v>
      </x:c>
      <x:c r="E83" s="87" t="n">
        <x:f>'原始记录'!G718</x:f>
        <x:v>5.837316666424687</x:v>
      </x:c>
      <x:c r="F83" s="87" t="n">
        <x:f>'原始记录'!G719</x:f>
        <x:v>1.7341500000461139</x:v>
      </x:c>
      <x:c r="G83" s="87" t="n">
        <x:f>'原始记录'!G720</x:f>
        <x:v>1702.761416587497</x:v>
      </x:c>
      <x:c r="H83" s="87" t="n">
        <x:f>'原始记录'!G721</x:f>
        <x:v>121.0581</x:v>
      </x:c>
      <x:c r="I83" s="87" t="n">
        <x:f>'原始记录'!G722</x:f>
        <x:v>1.4514</x:v>
      </x:c>
      <x:c r="J83" s="87" t="n">
        <x:f>'原始记录'!G723</x:f>
        <x:v>36.3645</x:v>
      </x:c>
      <x:c r="K83" s="87" t="n">
        <x:f>'原始记录'!G724</x:f>
        <x:v>5783.53801296135</x:v>
      </x:c>
      <x:c r="L83" s="87" t="n">
        <x:f>'原始记录'!G725</x:f>
        <x:v>8.3193</x:v>
      </x:c>
      <x:c r="M83" s="87" t="n">
        <x:f>'原始记录'!G719</x:f>
        <x:v>1.7341500000461139</x:v>
      </x:c>
      <x:c r="N83" s="88" t="str">
        <x:v>欧元栏为德国代理</x:v>
      </x:c>
    </x:row>
    <x:row r="84" ht="32" customHeight="1">
      <x:c r="A84" s="86" t="n">
        <x:v>1998</x:v>
      </x:c>
      <x:c r="B84" s="87" t="n">
        <x:f>1</x:f>
        <x:v>1</x:v>
      </x:c>
      <x:c r="C84" s="87" t="n">
        <x:f>'原始记录'!G726</x:f>
        <x:v>0.6033910577445242</x:v>
      </x:c>
      <x:c r="D84" s="87" t="n">
        <x:f>'原始记录'!G727</x:f>
        <x:v>1.4836</x:v>
      </x:c>
      <x:c r="E84" s="87" t="n">
        <x:f>'原始记录'!G728</x:f>
        <x:v>5.899391666785383</x:v>
      </x:c>
      <x:c r="F84" s="87" t="n">
        <x:f>'原始记录'!G729</x:f>
        <x:v>1.7593750000399049</x:v>
      </x:c>
      <x:c r="G84" s="87" t="n">
        <x:f>'原始记录'!G730</x:f>
        <x:v>1736.3952666350501</x:v>
      </x:c>
      <x:c r="H84" s="87" t="n">
        <x:f>'原始记录'!G731</x:f>
        <x:v>130.9892</x:v>
      </x:c>
      <x:c r="I84" s="87" t="n">
        <x:f>'原始记录'!G732</x:f>
        <x:v>1.4506</x:v>
      </x:c>
      <x:c r="J84" s="87" t="n">
        <x:f>'原始记录'!G733</x:f>
        <x:v>41.3561</x:v>
      </x:c>
      <x:c r="K84" s="87" t="n">
        <x:f>'原始记录'!G734</x:f>
        <x:v>9.69179065234559</x:v>
      </x:c>
      <x:c r="L84" s="87" t="n">
        <x:f>'原始记录'!G735</x:f>
        <x:v>8.3008</x:v>
      </x:c>
      <x:c r="M84" s="87" t="n">
        <x:f>'原始记录'!G729</x:f>
        <x:v>1.7593750000399049</x:v>
      </x:c>
      <x:c r="N84" s="88" t="str">
        <x:v>欧元栏为德国代理</x:v>
      </x:c>
    </x:row>
    <x:row r="85" ht="32" customHeight="1">
      <x:c r="A85" s="86" t="n">
        <x:v>1999</x:v>
      </x:c>
      <x:c r="B85" s="87" t="n">
        <x:f>1</x:f>
        <x:v>1</x:v>
      </x:c>
      <x:c r="C85" s="87" t="n">
        <x:f>'原始记录'!G736</x:f>
        <x:v>0.6183527083848628</x:v>
      </x:c>
      <x:c r="D85" s="87" t="n">
        <x:f>'原始记录'!G737</x:f>
        <x:v>1.4858</x:v>
      </x:c>
      <x:c r="E85" s="87" t="n">
        <x:f>'原始记录'!G743</x:f>
        <x:v>0.9387027128508402</x:v>
      </x:c>
      <x:c r="F85" s="87" t="n">
        <x:f>'原始记录'!G743</x:f>
        <x:v>0.9387027128508402</x:v>
      </x:c>
      <x:c r="G85" s="87" t="n">
        <x:f>'原始记录'!G743</x:f>
        <x:v>0.9387027128508402</x:v>
      </x:c>
      <x:c r="H85" s="87" t="n">
        <x:f>'原始记录'!G738</x:f>
        <x:v>113.7342</x:v>
      </x:c>
      <x:c r="I85" s="87" t="n">
        <x:f>'原始记录'!G739</x:f>
        <x:v>1.5045</x:v>
      </x:c>
      <x:c r="J85" s="87" t="n">
        <x:f>'原始记录'!G740</x:f>
        <x:v>43.1274</x:v>
      </x:c>
      <x:c r="K85" s="87" t="n">
        <x:f>'原始记录'!G741</x:f>
        <x:v>24.6190096272511</x:v>
      </x:c>
      <x:c r="L85" s="87" t="n">
        <x:f>'原始记录'!G742</x:f>
        <x:v>8.2783</x:v>
      </x:c>
      <x:c r="M85" s="87" t="n">
        <x:f>'原始记录'!G743</x:f>
        <x:v>0.9387027128508402</x:v>
      </x:c>
      <x:c r="N85" s="88" t="str">
        <x:v>全年；请仍核对币名与原始口径</x:v>
      </x:c>
    </x:row>
    <x:row r="86" ht="32" customHeight="1">
      <x:c r="A86" s="86" t="n">
        <x:v>2000</x:v>
      </x:c>
      <x:c r="B86" s="87" t="n">
        <x:f>1</x:f>
        <x:v>1</x:v>
      </x:c>
      <x:c r="C86" s="87" t="n">
        <x:f>'原始记录'!G744</x:f>
        <x:v>0.6598046978094484</x:v>
      </x:c>
      <x:c r="D86" s="87" t="n">
        <x:f>'原始记录'!G745</x:f>
        <x:v>1.4855</x:v>
      </x:c>
      <x:c r="E86" s="87" t="n">
        <x:f>'原始记录'!G751</x:f>
        <x:v>1.0831889081455806</x:v>
      </x:c>
      <x:c r="F86" s="87" t="n">
        <x:f>'原始记录'!G751</x:f>
        <x:v>1.0831889081455806</x:v>
      </x:c>
      <x:c r="G86" s="87" t="n">
        <x:f>'原始记录'!G751</x:f>
        <x:v>1.0831889081455806</x:v>
      </x:c>
      <x:c r="H86" s="87" t="n">
        <x:f>'原始记录'!G746</x:f>
        <x:v>107.804</x:v>
      </x:c>
      <x:c r="I86" s="87" t="n">
        <x:f>'原始记录'!G747</x:f>
        <x:v>1.6904</x:v>
      </x:c>
      <x:c r="J86" s="87" t="n">
        <x:f>'原始记录'!G748</x:f>
        <x:v>44.9975</x:v>
      </x:c>
      <x:c r="K86" s="87" t="n">
        <x:f>'原始记录'!G749</x:f>
        <x:v>28.1170698145317</x:v>
      </x:c>
      <x:c r="L86" s="87" t="n">
        <x:f>'原始记录'!G750</x:f>
        <x:v>8.2784</x:v>
      </x:c>
      <x:c r="M86" s="87" t="n">
        <x:f>'原始记录'!G751</x:f>
        <x:v>1.0831889081455806</x:v>
      </x:c>
      <x:c r="N86" s="88" t="str">
        <x:v>全年；请仍核对币名与原始口径</x:v>
      </x:c>
    </x:row>
    <x:row r="87" ht="32" customHeight="1">
      <x:c r="A87" s="86" t="n">
        <x:v>2001</x:v>
      </x:c>
      <x:c r="B87" s="87" t="n">
        <x:f>1</x:f>
        <x:v>1</x:v>
      </x:c>
      <x:c r="C87" s="87" t="n">
        <x:f>'原始记录'!G752</x:f>
        <x:v>0.6946373992775771</x:v>
      </x:c>
      <x:c r="D87" s="87" t="n">
        <x:f>'原始记录'!G753</x:f>
        <x:v>1.5487</x:v>
      </x:c>
      <x:c r="E87" s="87" t="n">
        <x:f>'原始记录'!G759</x:f>
        <x:v>1.1170688114387846</x:v>
      </x:c>
      <x:c r="F87" s="87" t="n">
        <x:f>'原始记录'!G759</x:f>
        <x:v>1.1170688114387846</x:v>
      </x:c>
      <x:c r="G87" s="87" t="n">
        <x:f>'原始记录'!G759</x:f>
        <x:v>1.1170688114387846</x:v>
      </x:c>
      <x:c r="H87" s="87" t="n">
        <x:f>'原始记录'!G754</x:f>
        <x:v>121.568</x:v>
      </x:c>
      <x:c r="I87" s="87" t="n">
        <x:f>'原始记录'!G755</x:f>
        <x:v>1.6891</x:v>
      </x:c>
      <x:c r="J87" s="87" t="n">
        <x:f>'原始记录'!G756</x:f>
        <x:v>47.22</x:v>
      </x:c>
      <x:c r="K87" s="87" t="n">
        <x:f>'原始记录'!G757</x:f>
        <x:v>29.1752722645507</x:v>
      </x:c>
      <x:c r="L87" s="87" t="n">
        <x:f>'原始记录'!G758</x:f>
        <x:v>8.277</x:v>
      </x:c>
      <x:c r="M87" s="87" t="n">
        <x:f>'原始记录'!G759</x:f>
        <x:v>1.1170688114387846</x:v>
      </x:c>
      <x:c r="N87" s="88" t="str">
        <x:v>全年；请仍核对币名与原始口径</x:v>
      </x:c>
    </x:row>
    <x:row r="88" ht="32" customHeight="1">
      <x:c r="A88" s="86" t="n">
        <x:v>2002</x:v>
      </x:c>
      <x:c r="B88" s="87" t="n">
        <x:f>1</x:f>
        <x:v>1</x:v>
      </x:c>
      <x:c r="C88" s="87" t="n">
        <x:f>'原始记录'!G760</x:f>
        <x:v>0.6655574043261232</x:v>
      </x:c>
      <x:c r="D88" s="87" t="n">
        <x:f>'原始记录'!G761</x:f>
        <x:v>1.5704</x:v>
      </x:c>
      <x:c r="E88" s="87" t="n">
        <x:f>'原始记录'!G767</x:f>
        <x:v>1.0577533319229955</x:v>
      </x:c>
      <x:c r="F88" s="87" t="n">
        <x:f>'原始记录'!G767</x:f>
        <x:v>1.0577533319229955</x:v>
      </x:c>
      <x:c r="G88" s="87" t="n">
        <x:f>'原始记录'!G767</x:f>
        <x:v>1.0577533319229955</x:v>
      </x:c>
      <x:c r="H88" s="87" t="n">
        <x:f>'原始记录'!G762</x:f>
        <x:v>125.2204</x:v>
      </x:c>
      <x:c r="I88" s="87" t="n">
        <x:f>'原始记录'!G763</x:f>
        <x:v>1.5567</x:v>
      </x:c>
      <x:c r="J88" s="87" t="n">
        <x:f>'原始记录'!G764</x:f>
        <x:v>48.6257</x:v>
      </x:c>
      <x:c r="K88" s="87" t="n">
        <x:f>'原始记录'!G765</x:f>
        <x:v>31.3755425125802</x:v>
      </x:c>
      <x:c r="L88" s="87" t="n">
        <x:f>'原始记录'!G766</x:f>
        <x:v>8.2771</x:v>
      </x:c>
      <x:c r="M88" s="87" t="n">
        <x:f>'原始记录'!G767</x:f>
        <x:v>1.0577533319229955</x:v>
      </x:c>
      <x:c r="N88" s="88" t="str">
        <x:v>全年；请仍核对币名与原始口径</x:v>
      </x:c>
    </x:row>
    <x:row r="89" ht="32" customHeight="1">
      <x:c r="A89" s="86" t="n">
        <x:v>2003</x:v>
      </x:c>
      <x:c r="B89" s="87" t="n">
        <x:f>1</x:f>
        <x:v>1</x:v>
      </x:c>
      <x:c r="C89" s="87" t="n">
        <x:f>'原始记录'!G768</x:f>
        <x:v>0.6117330397014743</x:v>
      </x:c>
      <x:c r="D89" s="87" t="n">
        <x:f>'原始记录'!G769</x:f>
        <x:v>1.4008</x:v>
      </x:c>
      <x:c r="E89" s="87" t="n">
        <x:f>'原始记录'!G775</x:f>
        <x:v>0.8833141948591113</x:v>
      </x:c>
      <x:c r="F89" s="87" t="n">
        <x:f>'原始记录'!G775</x:f>
        <x:v>0.8833141948591113</x:v>
      </x:c>
      <x:c r="G89" s="87" t="n">
        <x:f>'原始记录'!G775</x:f>
        <x:v>0.8833141948591113</x:v>
      </x:c>
      <x:c r="H89" s="87" t="n">
        <x:f>'原始记录'!G770</x:f>
        <x:v>115.9387</x:v>
      </x:c>
      <x:c r="I89" s="87" t="n">
        <x:f>'原始记录'!G771</x:f>
        <x:v>1.345</x:v>
      </x:c>
      <x:c r="J89" s="87" t="n">
        <x:f>'原始记录'!G772</x:f>
        <x:v>46.5908</x:v>
      </x:c>
      <x:c r="K89" s="87" t="n">
        <x:f>'原始记录'!G773</x:f>
        <x:v>30.6915097450951</x:v>
      </x:c>
      <x:c r="L89" s="87" t="n">
        <x:f>'原始记录'!G774</x:f>
        <x:v>8.2772</x:v>
      </x:c>
      <x:c r="M89" s="87" t="n">
        <x:f>'原始记录'!G775</x:f>
        <x:v>0.8833141948591113</x:v>
      </x:c>
      <x:c r="N89" s="88" t="str">
        <x:v>全年；请仍核对币名与原始口径</x:v>
      </x:c>
    </x:row>
    <x:row r="90" ht="32" customHeight="1">
      <x:c r="A90" s="86" t="n">
        <x:v>2004</x:v>
      </x:c>
      <x:c r="B90" s="87" t="n">
        <x:f>1</x:f>
        <x:v>1</x:v>
      </x:c>
      <x:c r="C90" s="87" t="n">
        <x:f>'原始记录'!G776</x:f>
        <x:v>0.5455537370430987</x:v>
      </x:c>
      <x:c r="D90" s="87" t="n">
        <x:f>'原始记录'!G777</x:f>
        <x:v>1.3017</x:v>
      </x:c>
      <x:c r="E90" s="87" t="n">
        <x:f>'原始记录'!G783</x:f>
        <x:v>0.8039877793857533</x:v>
      </x:c>
      <x:c r="F90" s="87" t="n">
        <x:f>'原始记录'!G783</x:f>
        <x:v>0.8039877793857533</x:v>
      </x:c>
      <x:c r="G90" s="87" t="n">
        <x:f>'原始记录'!G783</x:f>
        <x:v>0.8039877793857533</x:v>
      </x:c>
      <x:c r="H90" s="87" t="n">
        <x:f>'原始记录'!G778</x:f>
        <x:v>108.1508</x:v>
      </x:c>
      <x:c r="I90" s="87" t="n">
        <x:f>'原始记录'!G779</x:f>
        <x:v>1.2428</x:v>
      </x:c>
      <x:c r="J90" s="87" t="n">
        <x:f>'原始记录'!G780</x:f>
        <x:v>45.261</x:v>
      </x:c>
      <x:c r="K90" s="87" t="n">
        <x:f>'原始记录'!G781</x:f>
        <x:v>28.7991634655537</x:v>
      </x:c>
      <x:c r="L90" s="87" t="n">
        <x:f>'原始记录'!G782</x:f>
        <x:v>8.2768</x:v>
      </x:c>
      <x:c r="M90" s="87" t="n">
        <x:f>'原始记录'!G783</x:f>
        <x:v>0.8039877793857533</x:v>
      </x:c>
      <x:c r="N90" s="88" t="str">
        <x:v>全年；请仍核对币名与原始口径</x:v>
      </x:c>
    </x:row>
    <x:row r="91" ht="32" customHeight="1">
      <x:c r="A91" s="86" t="n">
        <x:v>2005</x:v>
      </x:c>
      <x:c r="B91" s="87" t="n">
        <x:f>1</x:f>
        <x:v>1</x:v>
      </x:c>
      <x:c r="C91" s="87" t="n">
        <x:f>'原始记录'!G784</x:f>
        <x:v>0.5493298176225005</x:v>
      </x:c>
      <x:c r="D91" s="87" t="n">
        <x:f>'原始记录'!G785</x:f>
        <x:v>1.2115</x:v>
      </x:c>
      <x:c r="E91" s="87" t="n">
        <x:f>'原始记录'!G791</x:f>
        <x:v>0.80327737167644</x:v>
      </x:c>
      <x:c r="F91" s="87" t="n">
        <x:f>'原始记录'!G791</x:f>
        <x:v>0.80327737167644</x:v>
      </x:c>
      <x:c r="G91" s="87" t="n">
        <x:f>'原始记录'!G791</x:f>
        <x:v>0.80327737167644</x:v>
      </x:c>
      <x:c r="H91" s="87" t="n">
        <x:f>'原始记录'!G786</x:f>
        <x:v>110.1069</x:v>
      </x:c>
      <x:c r="I91" s="87" t="n">
        <x:f>'原始记录'!G787</x:f>
        <x:v>1.2459</x:v>
      </x:c>
      <x:c r="J91" s="87" t="n">
        <x:f>'原始记录'!G788</x:f>
        <x:v>44.0002</x:v>
      </x:c>
      <x:c r="K91" s="87" t="n">
        <x:f>'原始记录'!G789</x:f>
        <x:v>28.2446160282799</x:v>
      </x:c>
      <x:c r="L91" s="87" t="n">
        <x:f>'原始记录'!G790</x:f>
        <x:v>8.1936</x:v>
      </x:c>
      <x:c r="M91" s="87" t="n">
        <x:f>'原始记录'!G791</x:f>
        <x:v>0.80327737167644</x:v>
      </x:c>
      <x:c r="N91" s="88" t="str">
        <x:v>全年；请仍核对币名与原始口径</x:v>
      </x:c>
    </x:row>
    <x:row r="92" ht="32" customHeight="1">
      <x:c r="A92" s="86" t="n">
        <x:v>2006</x:v>
      </x:c>
      <x:c r="B92" s="87" t="n">
        <x:f>1</x:f>
        <x:v>1</x:v>
      </x:c>
      <x:c r="C92" s="87" t="n">
        <x:f>'原始记录'!G792</x:f>
        <x:v>0.5424758598242378</x:v>
      </x:c>
      <x:c r="D92" s="87" t="n">
        <x:f>'原始记录'!G793</x:f>
        <x:v>1.134</x:v>
      </x:c>
      <x:c r="E92" s="87" t="n">
        <x:f>'原始记录'!G799</x:f>
        <x:v>0.7959882193743533</x:v>
      </x:c>
      <x:c r="F92" s="87" t="n">
        <x:f>'原始记录'!G799</x:f>
        <x:v>0.7959882193743533</x:v>
      </x:c>
      <x:c r="G92" s="87" t="n">
        <x:f>'原始记录'!G799</x:f>
        <x:v>0.7959882193743533</x:v>
      </x:c>
      <x:c r="H92" s="87" t="n">
        <x:f>'原始记录'!G794</x:f>
        <x:v>116.3121</x:v>
      </x:c>
      <x:c r="I92" s="87" t="n">
        <x:f>'原始记录'!G795</x:f>
        <x:v>1.2532</x:v>
      </x:c>
      <x:c r="J92" s="87" t="n">
        <x:f>'原始记录'!G796</x:f>
        <x:v>45.1861</x:v>
      </x:c>
      <x:c r="K92" s="87" t="n">
        <x:f>'原始记录'!G797</x:f>
        <x:v>27.1751630496288</x:v>
      </x:c>
      <x:c r="L92" s="87" t="n">
        <x:f>'原始记录'!G798</x:f>
        <x:v>7.9723</x:v>
      </x:c>
      <x:c r="M92" s="87" t="n">
        <x:f>'原始记录'!G799</x:f>
        <x:v>0.7959882193743533</x:v>
      </x:c>
      <x:c r="N92" s="88" t="str">
        <x:v>全年；请仍核对币名与原始口径</x:v>
      </x:c>
    </x:row>
    <x:row r="93" ht="32" customHeight="1">
      <x:c r="A93" s="86" t="n">
        <x:v>2007</x:v>
      </x:c>
      <x:c r="B93" s="87" t="n">
        <x:f>1</x:f>
        <x:v>1</x:v>
      </x:c>
      <x:c r="C93" s="87" t="n">
        <x:f>'原始记录'!G800</x:f>
        <x:v>0.4995004995004996</x:v>
      </x:c>
      <x:c r="D93" s="87" t="n">
        <x:f>'原始记录'!G801</x:f>
        <x:v>1.0734</x:v>
      </x:c>
      <x:c r="E93" s="87" t="n">
        <x:f>'原始记录'!G807</x:f>
        <x:v>0.7293414047115455</x:v>
      </x:c>
      <x:c r="F93" s="87" t="n">
        <x:f>'原始记录'!G807</x:f>
        <x:v>0.7293414047115455</x:v>
      </x:c>
      <x:c r="G93" s="87" t="n">
        <x:f>'原始记录'!G807</x:f>
        <x:v>0.7293414047115455</x:v>
      </x:c>
      <x:c r="H93" s="87" t="n">
        <x:f>'原始记录'!G802</x:f>
        <x:v>117.7623</x:v>
      </x:c>
      <x:c r="I93" s="87" t="n">
        <x:f>'原始记录'!G803</x:f>
        <x:v>1.1999</x:v>
      </x:c>
      <x:c r="J93" s="87" t="n">
        <x:f>'原始记录'!G804</x:f>
        <x:v>41.1774</x:v>
      </x:c>
      <x:c r="K93" s="87" t="n">
        <x:f>'原始记录'!G805</x:f>
        <x:v>25.571011172508</x:v>
      </x:c>
      <x:c r="L93" s="87" t="n">
        <x:f>'原始记录'!G806</x:f>
        <x:v>7.6058</x:v>
      </x:c>
      <x:c r="M93" s="87" t="n">
        <x:f>'原始记录'!G807</x:f>
        <x:v>0.7293414047115455</x:v>
      </x:c>
      <x:c r="N93" s="88" t="str">
        <x:v>全年；请仍核对币名与原始口径</x:v>
      </x:c>
    </x:row>
    <x:row r="94" ht="32" customHeight="1">
      <x:c r="A94" s="86" t="n">
        <x:v>2008</x:v>
      </x:c>
      <x:c r="B94" s="87" t="n">
        <x:f>1</x:f>
        <x:v>1</x:v>
      </x:c>
      <x:c r="C94" s="87" t="n">
        <x:f>'原始记录'!G808</x:f>
        <x:v>0.5392289026691831</x:v>
      </x:c>
      <x:c r="D94" s="87" t="n">
        <x:f>'原始记录'!G809</x:f>
        <x:v>1.066</x:v>
      </x:c>
      <x:c r="E94" s="87" t="n">
        <x:f>'原始记录'!G815</x:f>
        <x:v>0.6790710308298249</x:v>
      </x:c>
      <x:c r="F94" s="87" t="n">
        <x:f>'原始记录'!G815</x:f>
        <x:v>0.6790710308298249</x:v>
      </x:c>
      <x:c r="G94" s="87" t="n">
        <x:f>'原始记录'!G815</x:f>
        <x:v>0.6790710308298249</x:v>
      </x:c>
      <x:c r="H94" s="87" t="n">
        <x:f>'原始记录'!G810</x:f>
        <x:v>103.3906</x:v>
      </x:c>
      <x:c r="I94" s="87" t="n">
        <x:f>'原始记录'!G811</x:f>
        <x:v>1.0816</x:v>
      </x:c>
      <x:c r="J94" s="87" t="n">
        <x:f>'原始记录'!G812</x:f>
        <x:v>43.3859</x:v>
      </x:c>
      <x:c r="K94" s="87" t="n">
        <x:f>'原始记录'!G813</x:f>
        <x:v>24.8668997183431</x:v>
      </x:c>
      <x:c r="L94" s="87" t="n">
        <x:f>'原始记录'!G814</x:f>
        <x:v>6.9477</x:v>
      </x:c>
      <x:c r="M94" s="87" t="n">
        <x:f>'原始记录'!G815</x:f>
        <x:v>0.6790710308298249</x:v>
      </x:c>
      <x:c r="N94" s="88" t="str">
        <x:v>全年；请仍核对币名与原始口径</x:v>
      </x:c>
    </x:row>
    <x:row r="95" ht="32" customHeight="1">
      <x:c r="A95" s="86" t="n">
        <x:v>2009</x:v>
      </x:c>
      <x:c r="B95" s="87" t="n">
        <x:f>1</x:f>
        <x:v>1</x:v>
      </x:c>
      <x:c r="C95" s="87" t="n">
        <x:f>'原始记录'!G816</x:f>
        <x:v>0.6385288295766554</x:v>
      </x:c>
      <x:c r="D95" s="87" t="n">
        <x:f>'原始记录'!G817</x:f>
        <x:v>1.1412</x:v>
      </x:c>
      <x:c r="E95" s="87" t="n">
        <x:f>'原始记录'!G823</x:f>
        <x:v>0.7176175098672408</x:v>
      </x:c>
      <x:c r="F95" s="87" t="n">
        <x:f>'原始记录'!G823</x:f>
        <x:v>0.7176175098672408</x:v>
      </x:c>
      <x:c r="G95" s="87" t="n">
        <x:f>'原始记录'!G823</x:f>
        <x:v>0.7176175098672408</x:v>
      </x:c>
      <x:c r="H95" s="87" t="n">
        <x:f>'原始记录'!G818</x:f>
        <x:v>93.6827</x:v>
      </x:c>
      <x:c r="I95" s="87" t="n">
        <x:f>'原始记录'!G819</x:f>
        <x:v>1.086</x:v>
      </x:c>
      <x:c r="J95" s="87" t="n">
        <x:f>'原始记录'!G820</x:f>
        <x:v>48.3324</x:v>
      </x:c>
      <x:c r="K95" s="87" t="n">
        <x:f>'原始记录'!G821</x:f>
        <x:v>31.7737463659284</x:v>
      </x:c>
      <x:c r="L95" s="87" t="n">
        <x:f>'原始记录'!G822</x:f>
        <x:v>6.8307</x:v>
      </x:c>
      <x:c r="M95" s="87" t="n">
        <x:f>'原始记录'!G823</x:f>
        <x:v>0.7176175098672408</x:v>
      </x:c>
      <x:c r="N95" s="88" t="str">
        <x:v>全年；请仍核对币名与原始口径</x:v>
      </x:c>
    </x:row>
    <x:row r="96" ht="32" customHeight="1">
      <x:c r="A96" s="86" t="n">
        <x:v>2010</x:v>
      </x:c>
      <x:c r="B96" s="87" t="n">
        <x:f>1</x:f>
        <x:v>1</x:v>
      </x:c>
      <x:c r="C96" s="87" t="n">
        <x:f>'原始记录'!G824</x:f>
        <x:v>0.6471654154801968</x:v>
      </x:c>
      <x:c r="D96" s="87" t="n">
        <x:f>'原始记录'!G825</x:f>
        <x:v>1.0298</x:v>
      </x:c>
      <x:c r="E96" s="87" t="n">
        <x:f>'原始记录'!G831</x:f>
        <x:v>0.7540909433677702</x:v>
      </x:c>
      <x:c r="F96" s="87" t="n">
        <x:f>'原始记录'!G831</x:f>
        <x:v>0.7540909433677702</x:v>
      </x:c>
      <x:c r="G96" s="87" t="n">
        <x:f>'原始记录'!G831</x:f>
        <x:v>0.7540909433677702</x:v>
      </x:c>
      <x:c r="H96" s="87" t="n">
        <x:f>'原始记录'!G826</x:f>
        <x:v>87.7817</x:v>
      </x:c>
      <x:c r="I96" s="87" t="n">
        <x:f>'原始记录'!G827</x:f>
        <x:v>1.0432</x:v>
      </x:c>
      <x:c r="J96" s="87" t="n">
        <x:f>'原始记录'!G828</x:f>
        <x:v>45.6507</x:v>
      </x:c>
      <x:c r="K96" s="87" t="n">
        <x:f>'原始记录'!G829</x:f>
        <x:v>30.3728609513991</x:v>
      </x:c>
      <x:c r="L96" s="87" t="n">
        <x:f>'原始记录'!G830</x:f>
        <x:v>6.7696</x:v>
      </x:c>
      <x:c r="M96" s="87" t="n">
        <x:f>'原始记录'!G831</x:f>
        <x:v>0.7540909433677702</x:v>
      </x:c>
      <x:c r="N96" s="88" t="str">
        <x:v>全年；请仍核对币名与原始口径</x:v>
      </x:c>
    </x:row>
    <x:row r="97" ht="32" customHeight="1">
      <x:c r="A97" s="86" t="n">
        <x:v>2011</x:v>
      </x:c>
      <x:c r="B97" s="87" t="n">
        <x:f>1</x:f>
        <x:v>1</x:v>
      </x:c>
      <x:c r="C97" s="87" t="n">
        <x:f>'原始记录'!G832</x:f>
        <x:v>0.6233248145608676</x:v>
      </x:c>
      <x:c r="D97" s="87" t="n">
        <x:f>'原始记录'!G833</x:f>
        <x:v>0.9887</x:v>
      </x:c>
      <x:c r="E97" s="87" t="n">
        <x:f>'原始记录'!G839</x:f>
        <x:v>0.7178235589692054</x:v>
      </x:c>
      <x:c r="F97" s="87" t="n">
        <x:f>'原始记录'!G839</x:f>
        <x:v>0.7178235589692054</x:v>
      </x:c>
      <x:c r="G97" s="87" t="n">
        <x:f>'原始记录'!G839</x:f>
        <x:v>0.7178235589692054</x:v>
      </x:c>
      <x:c r="H97" s="87" t="n">
        <x:f>'原始记录'!G834</x:f>
        <x:v>79.6967</x:v>
      </x:c>
      <x:c r="I97" s="87" t="n">
        <x:f>'原始记录'!G835</x:f>
        <x:v>0.8862</x:v>
      </x:c>
      <x:c r="J97" s="87" t="n">
        <x:f>'原始记录'!G836</x:f>
        <x:v>46.5782</x:v>
      </x:c>
      <x:c r="K97" s="87" t="n">
        <x:f>'原始记录'!G837</x:f>
        <x:v>29.4026144513222</x:v>
      </x:c>
      <x:c r="L97" s="87" t="n">
        <x:f>'原始记录'!G838</x:f>
        <x:v>6.463</x:v>
      </x:c>
      <x:c r="M97" s="87" t="n">
        <x:f>'原始记录'!G839</x:f>
        <x:v>0.7178235589692054</x:v>
      </x:c>
      <x:c r="N97" s="88" t="str">
        <x:v>全年；请仍核对币名与原始口径</x:v>
      </x:c>
    </x:row>
    <x:row r="98" ht="32" customHeight="1">
      <x:c r="A98" s="86" t="n">
        <x:v>2012</x:v>
      </x:c>
      <x:c r="B98" s="87" t="n">
        <x:f>1</x:f>
        <x:v>1</x:v>
      </x:c>
      <x:c r="C98" s="87" t="n">
        <x:f>'原始记录'!G840</x:f>
        <x:v>0.6307954330410648</x:v>
      </x:c>
      <x:c r="D98" s="87" t="n">
        <x:f>'原始记录'!G841</x:f>
        <x:v>0.9995</x:v>
      </x:c>
      <x:c r="E98" s="87" t="n">
        <x:f>'原始记录'!G847</x:f>
        <x:v>0.777665448324131</x:v>
      </x:c>
      <x:c r="F98" s="87" t="n">
        <x:f>'原始记录'!G847</x:f>
        <x:v>0.777665448324131</x:v>
      </x:c>
      <x:c r="G98" s="87" t="n">
        <x:f>'原始记录'!G847</x:f>
        <x:v>0.777665448324131</x:v>
      </x:c>
      <x:c r="H98" s="87" t="n">
        <x:f>'原始记录'!G842</x:f>
        <x:v>79.818</x:v>
      </x:c>
      <x:c r="I98" s="87" t="n">
        <x:f>'原始记录'!G843</x:f>
        <x:v>0.9377</x:v>
      </x:c>
      <x:c r="J98" s="87" t="n">
        <x:f>'原始记录'!G844</x:f>
        <x:v>53.3743</x:v>
      </x:c>
      <x:c r="K98" s="87" t="n">
        <x:f>'原始记录'!G845</x:f>
        <x:v>31.0482610512356</x:v>
      </x:c>
      <x:c r="L98" s="87" t="n">
        <x:f>'原始记录'!G846</x:f>
        <x:v>6.3093</x:v>
      </x:c>
      <x:c r="M98" s="87" t="n">
        <x:f>'原始记录'!G847</x:f>
        <x:v>0.777665448324131</x:v>
      </x:c>
      <x:c r="N98" s="88" t="str">
        <x:v>全年；请仍核对币名与原始口径</x:v>
      </x:c>
    </x:row>
    <x:row r="99" ht="32" customHeight="1">
      <x:c r="A99" s="86" t="n">
        <x:v>2013</x:v>
      </x:c>
      <x:c r="B99" s="87" t="n">
        <x:f>1</x:f>
        <x:v>1</x:v>
      </x:c>
      <x:c r="C99" s="87" t="n">
        <x:f>'原始记录'!G848</x:f>
        <x:v>0.6393044367727911</x:v>
      </x:c>
      <x:c r="D99" s="87" t="n">
        <x:f>'原始记录'!G849</x:f>
        <x:v>1.03</x:v>
      </x:c>
      <x:c r="E99" s="87" t="n">
        <x:f>'原始记录'!G855</x:f>
        <x:v>0.7529553497477599</x:v>
      </x:c>
      <x:c r="F99" s="87" t="n">
        <x:f>'原始记录'!G855</x:f>
        <x:v>0.7529553497477599</x:v>
      </x:c>
      <x:c r="G99" s="87" t="n">
        <x:f>'原始记录'!G855</x:f>
        <x:v>0.7529553497477599</x:v>
      </x:c>
      <x:c r="H99" s="87" t="n">
        <x:f>'原始记录'!G850</x:f>
        <x:v>97.5971</x:v>
      </x:c>
      <x:c r="I99" s="87" t="n">
        <x:f>'原始记录'!G851</x:f>
        <x:v>0.9269</x:v>
      </x:c>
      <x:c r="J99" s="87" t="n">
        <x:f>'原始记录'!G852</x:f>
        <x:v>58.5149</x:v>
      </x:c>
      <x:c r="K99" s="87" t="n">
        <x:f>'原始记录'!G853</x:f>
        <x:v>31.858979352391</x:v>
      </x:c>
      <x:c r="L99" s="87" t="n">
        <x:f>'原始记录'!G854</x:f>
        <x:v>6.1478</x:v>
      </x:c>
      <x:c r="M99" s="87" t="n">
        <x:f>'原始记录'!G855</x:f>
        <x:v>0.7529553497477599</x:v>
      </x:c>
      <x:c r="N99" s="88" t="str">
        <x:v>全年；请仍核对币名与原始口径</x:v>
      </x:c>
    </x:row>
    <x:row r="100" ht="32" customHeight="1">
      <x:c r="A100" s="86" t="n">
        <x:v>2014</x:v>
      </x:c>
      <x:c r="B100" s="87" t="n">
        <x:f>1</x:f>
        <x:v>1</x:v>
      </x:c>
      <x:c r="C100" s="87" t="n">
        <x:f>'原始记录'!G856</x:f>
        <x:v>0.6066488716330988</x:v>
      </x:c>
      <x:c r="D100" s="87" t="n">
        <x:f>'原始记录'!G857</x:f>
        <x:v>1.1043</x:v>
      </x:c>
      <x:c r="E100" s="87" t="n">
        <x:f>'原始记录'!G863</x:f>
        <x:v>0.7520493344363389</x:v>
      </x:c>
      <x:c r="F100" s="87" t="n">
        <x:f>'原始记录'!G863</x:f>
        <x:v>0.7520493344363389</x:v>
      </x:c>
      <x:c r="G100" s="87" t="n">
        <x:f>'原始记录'!G863</x:f>
        <x:v>0.7520493344363389</x:v>
      </x:c>
      <x:c r="H100" s="87" t="n">
        <x:f>'原始记录'!G858</x:f>
        <x:v>105.7398</x:v>
      </x:c>
      <x:c r="I100" s="87" t="n">
        <x:f>'原始记录'!G859</x:f>
        <x:v>0.9147</x:v>
      </x:c>
      <x:c r="J100" s="87" t="n">
        <x:f>'原始记录'!G860</x:f>
        <x:v>60.9953</x:v>
      </x:c>
      <x:c r="K100" s="87" t="n">
        <x:f>'原始记录'!G861</x:f>
        <x:v>38.5941504697754</x:v>
      </x:c>
      <x:c r="L100" s="87" t="n">
        <x:f>'原始记录'!G862</x:f>
        <x:v>6.162</x:v>
      </x:c>
      <x:c r="M100" s="87" t="n">
        <x:f>'原始记录'!G863</x:f>
        <x:v>0.7520493344363389</x:v>
      </x:c>
      <x:c r="N100" s="88" t="str">
        <x:v>全年；请仍核对币名与原始口径</x:v>
      </x:c>
    </x:row>
    <x:row r="101" ht="32" customHeight="1">
      <x:c r="A101" s="86" t="n">
        <x:v>2015</x:v>
      </x:c>
      <x:c r="B101" s="87" t="n">
        <x:f>1</x:f>
        <x:v>1</x:v>
      </x:c>
      <x:c r="C101" s="87" t="n">
        <x:f>'原始记录'!G864</x:f>
        <x:v>0.654278984559016</x:v>
      </x:c>
      <x:c r="D101" s="87" t="n">
        <x:f>'原始记录'!G865</x:f>
        <x:v>1.2791</x:v>
      </x:c>
      <x:c r="E101" s="87" t="n">
        <x:f>'原始记录'!G871</x:f>
        <x:v>0.9012256669069936</x:v>
      </x:c>
      <x:c r="F101" s="87" t="n">
        <x:f>'原始记录'!G871</x:f>
        <x:v>0.9012256669069936</x:v>
      </x:c>
      <x:c r="G101" s="87" t="n">
        <x:f>'原始记录'!G871</x:f>
        <x:v>0.9012256669069936</x:v>
      </x:c>
      <x:c r="H101" s="87" t="n">
        <x:f>'原始记录'!G866</x:f>
        <x:v>121.0491</x:v>
      </x:c>
      <x:c r="I101" s="87" t="n">
        <x:f>'原始记录'!G867</x:f>
        <x:v>0.9628</x:v>
      </x:c>
      <x:c r="J101" s="87" t="n">
        <x:f>'原始记录'!G868</x:f>
        <x:v>64.1073</x:v>
      </x:c>
      <x:c r="K101" s="87" t="n">
        <x:f>'原始记录'!G869</x:f>
        <x:v>61.2624989166965</x:v>
      </x:c>
      <x:c r="L101" s="87" t="n">
        <x:f>'原始记录'!G870</x:f>
        <x:v>6.2827</x:v>
      </x:c>
      <x:c r="M101" s="87" t="n">
        <x:f>'原始记录'!G871</x:f>
        <x:v>0.9012256669069936</x:v>
      </x:c>
      <x:c r="N101" s="88" t="str">
        <x:v>全年；请仍核对币名与原始口径</x:v>
      </x:c>
    </x:row>
    <x:row r="102" ht="32" customHeight="1">
      <x:c r="A102" s="86" t="n">
        <x:v>2016</x:v>
      </x:c>
      <x:c r="B102" s="87" t="n">
        <x:f>1</x:f>
        <x:v>1</x:v>
      </x:c>
      <x:c r="C102" s="87" t="n">
        <x:f>'原始记录'!G872</x:f>
        <x:v>0.7377351530800443</x:v>
      </x:c>
      <x:c r="D102" s="87" t="n">
        <x:f>'原始记录'!G873</x:f>
        <x:v>1.3243</x:v>
      </x:c>
      <x:c r="E102" s="87" t="n">
        <x:f>'原始记录'!G879</x:f>
        <x:v>0.9031791907514451</x:v>
      </x:c>
      <x:c r="F102" s="87" t="n">
        <x:f>'原始记录'!G879</x:f>
        <x:v>0.9031791907514451</x:v>
      </x:c>
      <x:c r="G102" s="87" t="n">
        <x:f>'原始记录'!G879</x:f>
        <x:v>0.9031791907514451</x:v>
      </x:c>
      <x:c r="H102" s="87" t="n">
        <x:f>'原始记录'!G874</x:f>
        <x:v>108.6569</x:v>
      </x:c>
      <x:c r="I102" s="87" t="n">
        <x:f>'原始记录'!G875</x:f>
        <x:v>0.9848</x:v>
      </x:c>
      <x:c r="J102" s="87" t="n">
        <x:f>'原始记录'!G876</x:f>
        <x:v>67.1572</x:v>
      </x:c>
      <x:c r="K102" s="87" t="n">
        <x:f>'原始记录'!G877</x:f>
        <x:v>67.0497423167645</x:v>
      </x:c>
      <x:c r="L102" s="87" t="n">
        <x:f>'原始记录'!G878</x:f>
        <x:v>6.64</x:v>
      </x:c>
      <x:c r="M102" s="87" t="n">
        <x:f>'原始记录'!G879</x:f>
        <x:v>0.9031791907514451</x:v>
      </x:c>
      <x:c r="N102" s="88" t="str">
        <x:v>全年；请仍核对币名与原始口径</x:v>
      </x:c>
    </x:row>
    <x:row r="103" ht="32" customHeight="1">
      <x:c r="A103" s="86" t="n">
        <x:v>2017</x:v>
      </x:c>
      <x:c r="B103" s="87" t="n">
        <x:f>1</x:f>
        <x:v>1</x:v>
      </x:c>
      <x:c r="C103" s="87" t="n">
        <x:f>'原始记录'!G880</x:f>
        <x:v>0.7757951900698216</x:v>
      </x:c>
      <x:c r="D103" s="87" t="n">
        <x:f>'原始记录'!G881</x:f>
        <x:v>1.2984</x:v>
      </x:c>
      <x:c r="E103" s="87" t="n">
        <x:f>'原始记录'!G887</x:f>
        <x:v>0.8848774444739402</x:v>
      </x:c>
      <x:c r="F103" s="87" t="n">
        <x:f>'原始记录'!G887</x:f>
        <x:v>0.8848774444739402</x:v>
      </x:c>
      <x:c r="G103" s="87" t="n">
        <x:f>'原始记录'!G887</x:f>
        <x:v>0.8848774444739402</x:v>
      </x:c>
      <x:c r="H103" s="87" t="n">
        <x:f>'原始记录'!G882</x:f>
        <x:v>112.0986</x:v>
      </x:c>
      <x:c r="I103" s="87" t="n">
        <x:f>'原始记录'!G883</x:f>
        <x:v>0.9842</x:v>
      </x:c>
      <x:c r="J103" s="87" t="n">
        <x:f>'原始记录'!G884</x:f>
        <x:v>65.0659</x:v>
      </x:c>
      <x:c r="K103" s="87" t="n">
        <x:f>'原始记录'!G885</x:f>
        <x:v>58.3254524101986</x:v>
      </x:c>
      <x:c r="L103" s="87" t="n">
        <x:f>'原始记录'!G886</x:f>
        <x:v>6.7569</x:v>
      </x:c>
      <x:c r="M103" s="87" t="n">
        <x:f>'原始记录'!G887</x:f>
        <x:v>0.8848774444739402</x:v>
      </x:c>
      <x:c r="N103" s="88" t="str">
        <x:v>全年；请仍核对币名与原始口径</x:v>
      </x:c>
    </x:row>
    <x:row r="104" ht="32" customHeight="1">
      <x:c r="A104" s="86" t="n">
        <x:v>2018</x:v>
      </x:c>
      <x:c r="B104" s="87" t="n">
        <x:f>1</x:f>
        <x:v>1</x:v>
      </x:c>
      <x:c r="C104" s="87" t="n">
        <x:f>'原始记录'!G888</x:f>
        <x:v>0.7483349547257352</x:v>
      </x:c>
      <x:c r="D104" s="87" t="n">
        <x:f>'原始记录'!G889</x:f>
        <x:v>1.2957</x:v>
      </x:c>
      <x:c r="E104" s="87" t="n">
        <x:f>'原始记录'!G895</x:f>
        <x:v>0.8462384700008463</x:v>
      </x:c>
      <x:c r="F104" s="87" t="n">
        <x:f>'原始记录'!G895</x:f>
        <x:v>0.8462384700008463</x:v>
      </x:c>
      <x:c r="G104" s="87" t="n">
        <x:f>'原始记录'!G895</x:f>
        <x:v>0.8462384700008463</x:v>
      </x:c>
      <x:c r="H104" s="87" t="n">
        <x:f>'原始记录'!G890</x:f>
        <x:v>110.3974</x:v>
      </x:c>
      <x:c r="I104" s="87" t="n">
        <x:f>'原始记录'!G891</x:f>
        <x:v>0.9784</x:v>
      </x:c>
      <x:c r="J104" s="87" t="n">
        <x:f>'原始记录'!G892</x:f>
        <x:v>68.3734</x:v>
      </x:c>
      <x:c r="K104" s="87" t="n">
        <x:f>'原始记录'!G893</x:f>
        <x:v>62.8053683632756</x:v>
      </x:c>
      <x:c r="L104" s="87" t="n">
        <x:f>'原始记录'!G894</x:f>
        <x:v>6.609</x:v>
      </x:c>
      <x:c r="M104" s="87" t="n">
        <x:f>'原始记录'!G895</x:f>
        <x:v>0.8462384700008463</x:v>
      </x:c>
      <x:c r="N104" s="88" t="str">
        <x:v>全年；请仍核对币名与原始口径</x:v>
      </x:c>
    </x:row>
    <x:row r="105" ht="32" customHeight="1">
      <x:c r="A105" s="86" t="n">
        <x:v>2019</x:v>
      </x:c>
      <x:c r="B105" s="87" t="n">
        <x:f>1</x:f>
        <x:v>1</x:v>
      </x:c>
      <x:c r="C105" s="87" t="n">
        <x:f>'原始记录'!G896</x:f>
        <x:v>0.7832080200501254</x:v>
      </x:c>
      <x:c r="D105" s="87" t="n">
        <x:f>'原始记录'!G897</x:f>
        <x:v>1.3269</x:v>
      </x:c>
      <x:c r="E105" s="87" t="n">
        <x:f>'原始记录'!G903</x:f>
        <x:v>0.8933357155619082</x:v>
      </x:c>
      <x:c r="F105" s="87" t="n">
        <x:f>'原始记录'!G903</x:f>
        <x:v>0.8933357155619082</x:v>
      </x:c>
      <x:c r="G105" s="87" t="n">
        <x:f>'原始记录'!G903</x:f>
        <x:v>0.8933357155619082</x:v>
      </x:c>
      <x:c r="H105" s="87" t="n">
        <x:f>'原始记录'!G898</x:f>
        <x:v>109.0188</x:v>
      </x:c>
      <x:c r="I105" s="87" t="n">
        <x:f>'原始记录'!G899</x:f>
        <x:v>0.9937</x:v>
      </x:c>
      <x:c r="J105" s="87" t="n">
        <x:f>'原始记录'!G900</x:f>
        <x:v>70.3777</x:v>
      </x:c>
      <x:c r="K105" s="87" t="n">
        <x:f>'原始记录'!G901</x:f>
        <x:v>64.7109272074236</x:v>
      </x:c>
      <x:c r="L105" s="87" t="n">
        <x:f>'原始记录'!G902</x:f>
        <x:v>6.9081</x:v>
      </x:c>
      <x:c r="M105" s="87" t="n">
        <x:f>'原始记录'!G903</x:f>
        <x:v>0.8933357155619082</x:v>
      </x:c>
      <x:c r="N105" s="88" t="str">
        <x:v>全年；请仍核对币名与原始口径</x:v>
      </x:c>
    </x:row>
    <x:row r="106" ht="32" customHeight="1">
      <x:c r="A106" s="86" t="n">
        <x:v>2020</x:v>
      </x:c>
      <x:c r="B106" s="87" t="n">
        <x:f>1</x:f>
        <x:v>1</x:v>
      </x:c>
      <x:c r="C106" s="87" t="n">
        <x:f>'原始记录'!G904</x:f>
        <x:v>0.7794839816041781</x:v>
      </x:c>
      <x:c r="D106" s="87" t="n">
        <x:f>'原始记录'!G905</x:f>
        <x:v>1.3422</x:v>
      </x:c>
      <x:c r="E106" s="87" t="n">
        <x:f>'原始记录'!G911</x:f>
        <x:v>0.8764241893076249</x:v>
      </x:c>
      <x:c r="F106" s="87" t="n">
        <x:f>'原始记录'!G911</x:f>
        <x:v>0.8764241893076249</x:v>
      </x:c>
      <x:c r="G106" s="87" t="n">
        <x:f>'原始记录'!G911</x:f>
        <x:v>0.8764241893076249</x:v>
      </x:c>
      <x:c r="H106" s="87" t="n">
        <x:f>'原始记录'!G906</x:f>
        <x:v>106.7754</x:v>
      </x:c>
      <x:c r="I106" s="87" t="n">
        <x:f>'原始记录'!G907</x:f>
        <x:v>0.9389</x:v>
      </x:c>
      <x:c r="J106" s="87" t="n">
        <x:f>'原始记录'!G908</x:f>
        <x:v>74.1429</x:v>
      </x:c>
      <x:c r="K106" s="87" t="n">
        <x:f>'原始记录'!G909</x:f>
        <x:v>72.3242987211008</x:v>
      </x:c>
      <x:c r="L106" s="87" t="n">
        <x:f>'原始记录'!G910</x:f>
        <x:v>6.9042</x:v>
      </x:c>
      <x:c r="M106" s="87" t="n">
        <x:f>'原始记录'!G911</x:f>
        <x:v>0.8764241893076249</x:v>
      </x:c>
      <x:c r="N106" s="88" t="str">
        <x:v>全年；请仍核对币名与原始口径</x:v>
      </x:c>
    </x:row>
    <x:row r="107" ht="32" customHeight="1">
      <x:c r="A107" s="86" t="n">
        <x:v>2021</x:v>
      </x:c>
      <x:c r="B107" s="87" t="n">
        <x:f>1</x:f>
        <x:v>1</x:v>
      </x:c>
      <x:c r="C107" s="87" t="n">
        <x:f>'原始记录'!G912</x:f>
        <x:v>0.7265329845975007</x:v>
      </x:c>
      <x:c r="D107" s="87" t="n">
        <x:f>'原始记录'!G913</x:f>
        <x:v>1.2533</x:v>
      </x:c>
      <x:c r="E107" s="87" t="n">
        <x:f>'原始记录'!G919</x:f>
        <x:v>0.8453085376162299</x:v>
      </x:c>
      <x:c r="F107" s="87" t="n">
        <x:f>'原始记录'!G919</x:f>
        <x:v>0.8453085376162299</x:v>
      </x:c>
      <x:c r="G107" s="87" t="n">
        <x:f>'原始记录'!G919</x:f>
        <x:v>0.8453085376162299</x:v>
      </x:c>
      <x:c r="H107" s="87" t="n">
        <x:f>'原始记录'!G914</x:f>
        <x:v>109.8429</x:v>
      </x:c>
      <x:c r="I107" s="87" t="n">
        <x:f>'原始记录'!G915</x:f>
        <x:v>0.9144</x:v>
      </x:c>
      <x:c r="J107" s="87" t="n">
        <x:f>'原始记录'!G916</x:f>
        <x:v>73.9351</x:v>
      </x:c>
      <x:c r="K107" s="87" t="n">
        <x:f>'原始记录'!G917</x:f>
        <x:v>73.7056430817413</x:v>
      </x:c>
      <x:c r="L107" s="87" t="n">
        <x:f>'原始记录'!G918</x:f>
        <x:v>6.4508</x:v>
      </x:c>
      <x:c r="M107" s="87" t="n">
        <x:f>'原始记录'!G919</x:f>
        <x:v>0.8453085376162299</x:v>
      </x:c>
      <x:c r="N107" s="88" t="str">
        <x:v>全年；请仍核对币名与原始口径</x:v>
      </x:c>
    </x:row>
    <x:row r="108" ht="32" customHeight="1">
      <x:c r="A108" s="86" t="n">
        <x:v>2022</x:v>
      </x:c>
      <x:c r="B108" s="87" t="n">
        <x:f>1</x:f>
        <x:v>1</x:v>
      </x:c>
      <x:c r="C108" s="87" t="n">
        <x:f>'原始记录'!G920</x:f>
        <x:v>0.8083420903726456</x:v>
      </x:c>
      <x:c r="D108" s="87" t="n">
        <x:f>'原始记录'!G921</x:f>
        <x:v>1.3014</x:v>
      </x:c>
      <x:c r="E108" s="87" t="n">
        <x:f>'原始记录'!G927</x:f>
        <x:v>0.9493070058857035</x:v>
      </x:c>
      <x:c r="F108" s="87" t="n">
        <x:f>'原始记录'!G927</x:f>
        <x:v>0.9493070058857035</x:v>
      </x:c>
      <x:c r="G108" s="87" t="n">
        <x:f>'原始记录'!G927</x:f>
        <x:v>0.9493070058857035</x:v>
      </x:c>
      <x:c r="H108" s="87" t="n">
        <x:f>'原始记录'!G922</x:f>
        <x:v>131.4589</x:v>
      </x:c>
      <x:c r="I108" s="87" t="n">
        <x:f>'原始记录'!G923</x:f>
        <x:v>0.955</x:v>
      </x:c>
      <x:c r="J108" s="87" t="n">
        <x:f>'原始记录'!G924</x:f>
        <x:v>78.5792</x:v>
      </x:c>
      <x:c r="K108" s="87" t="n">
        <x:f>'原始记录'!G925</x:f>
        <x:v>69.9168901377125</x:v>
      </x:c>
      <x:c r="L108" s="87" t="n">
        <x:f>'原始记录'!G926</x:f>
        <x:v>6.729</x:v>
      </x:c>
      <x:c r="M108" s="87" t="n">
        <x:f>'原始记录'!G927</x:f>
        <x:v>0.9493070058857035</x:v>
      </x:c>
      <x:c r="N108" s="88" t="str">
        <x:v>全年；请仍核对币名与原始口径</x:v>
      </x:c>
    </x:row>
    <x:row r="109" ht="32" customHeight="1">
      <x:c r="A109" s="86" t="n">
        <x:v>2023</x:v>
      </x:c>
      <x:c r="B109" s="87" t="n">
        <x:f>1</x:f>
        <x:v>1</x:v>
      </x:c>
      <x:c r="C109" s="87" t="n">
        <x:f>'原始记录'!G928</x:f>
        <x:v>0.8038585209003215</x:v>
      </x:c>
      <x:c r="D109" s="87" t="n">
        <x:f>'原始记录'!G929</x:f>
        <x:v>1.3494</x:v>
      </x:c>
      <x:c r="E109" s="87" t="n">
        <x:f>'原始记录'!G935</x:f>
        <x:v>0.924470740501063</x:v>
      </x:c>
      <x:c r="F109" s="87" t="n">
        <x:f>'原始记录'!G935</x:f>
        <x:v>0.924470740501063</x:v>
      </x:c>
      <x:c r="G109" s="87" t="n">
        <x:f>'原始记录'!G935</x:f>
        <x:v>0.924470740501063</x:v>
      </x:c>
      <x:c r="H109" s="87" t="n">
        <x:f>'原始记录'!G930</x:f>
        <x:v>140.5001</x:v>
      </x:c>
      <x:c r="I109" s="87" t="n">
        <x:f>'原始记录'!G931</x:f>
        <x:v>0.8984</x:v>
      </x:c>
      <x:c r="J109" s="87" t="n">
        <x:f>'原始记录'!G932</x:f>
        <x:v>82.5708</x:v>
      </x:c>
      <x:c r="K109" s="87" t="n">
        <x:f>'原始记录'!G933</x:f>
        <x:v>85.5356316526288</x:v>
      </x:c>
      <x:c r="L109" s="87" t="n">
        <x:f>'原始记录'!G934</x:f>
        <x:v>7.0809</x:v>
      </x:c>
      <x:c r="M109" s="87" t="n">
        <x:f>'原始记录'!G935</x:f>
        <x:v>0.924470740501063</x:v>
      </x:c>
      <x:c r="N109" s="88" t="str">
        <x:v>全年；请仍核对币名与原始口径</x:v>
      </x:c>
    </x:row>
    <x:row r="110" ht="32" customHeight="1">
      <x:c r="A110" s="86" t="n">
        <x:v>2024</x:v>
      </x:c>
      <x:c r="B110" s="87" t="n">
        <x:f>1</x:f>
        <x:v>1</x:v>
      </x:c>
      <x:c r="C110" s="87" t="n">
        <x:f>'原始记录'!G936</x:f>
        <x:v>0.7824113919098662</x:v>
      </x:c>
      <x:c r="D110" s="87" t="n">
        <x:f>'原始记录'!G937</x:f>
        <x:v>1.3699</x:v>
      </x:c>
      <x:c r="E110" s="87" t="n">
        <x:f>'原始记录'!G943</x:f>
        <x:v>0.9242144177449167</x:v>
      </x:c>
      <x:c r="F110" s="87" t="n">
        <x:f>'原始记录'!G943</x:f>
        <x:v>0.9242144177449167</x:v>
      </x:c>
      <x:c r="G110" s="87" t="n">
        <x:f>'原始记录'!G943</x:f>
        <x:v>0.9242144177449167</x:v>
      </x:c>
      <x:c r="H110" s="87" t="n">
        <x:f>'原始记录'!G938</x:f>
        <x:v>151.4551</x:v>
      </x:c>
      <x:c r="I110" s="87" t="n">
        <x:f>'原始记录'!G939</x:f>
        <x:v>0.8808</x:v>
      </x:c>
      <x:c r="J110" s="87" t="n">
        <x:f>'原始记录'!G940</x:f>
        <x:v>83.6566</x:v>
      </x:c>
      <x:c r="K110" s="87" t="n">
        <x:f>'原始记录'!G941</x:f>
        <x:v>92.8837619495656</x:v>
      </x:c>
      <x:c r="L110" s="87" t="n">
        <x:f>'原始记录'!G942</x:f>
        <x:v>7.1957</x:v>
      </x:c>
      <x:c r="M110" s="87" t="n">
        <x:f>'原始记录'!G943</x:f>
        <x:v>0.9242144177449167</x:v>
      </x:c>
      <x:c r="N110" s="88" t="str">
        <x:v>全年；请仍核对币名与原始口径</x:v>
      </x:c>
    </x:row>
    <x:row r="111" ht="32" customHeight="1">
      <x:c r="A111" s="86" t="n">
        <x:v>2025</x:v>
      </x:c>
      <x:c r="B111" s="87" t="n">
        <x:f>1</x:f>
        <x:v>1</x:v>
      </x:c>
      <x:c r="C111" s="87" t="n">
        <x:f>'原始记录'!G944</x:f>
        <x:v>0.7580351728320195</x:v>
      </x:c>
      <x:c r="D111" s="87" t="n">
        <x:f>'原始记录'!G945</x:f>
        <x:v>1.3973</x:v>
      </x:c>
      <x:c r="E111" s="87" t="n">
        <x:f>'原始记录'!G951</x:f>
        <x:v>0.884486113568017</x:v>
      </x:c>
      <x:c r="F111" s="87" t="n">
        <x:f>'原始记录'!G951</x:f>
        <x:v>0.884486113568017</x:v>
      </x:c>
      <x:c r="G111" s="87" t="n">
        <x:f>'原始记录'!G951</x:f>
        <x:v>0.884486113568017</x:v>
      </x:c>
      <x:c r="H111" s="87" t="n">
        <x:f>'原始记录'!G946</x:f>
        <x:v>149.5686</x:v>
      </x:c>
      <x:c r="I111" s="87" t="n">
        <x:f>'原始记录'!G947</x:f>
        <x:v>0.8305</x:v>
      </x:c>
      <x:c r="J111" s="87" t="n">
        <x:f>'原始记录'!G948</x:f>
        <x:v>87.1468</x:v>
      </x:c>
      <x:c r="K111" s="87" t="n">
        <x:f>'原始记录'!G949</x:f>
        <x:v>83.7826914235523</x:v>
      </x:c>
      <x:c r="L111" s="87" t="n">
        <x:f>'原始记录'!G950</x:f>
        <x:v>7.1875</x:v>
      </x:c>
      <x:c r="M111" s="87" t="n">
        <x:f>'原始记录'!G951</x:f>
        <x:v>0.884486113568017</x:v>
      </x:c>
      <x:c r="N111" s="88" t="str">
        <x:v>全年；请仍核对币名与原始口径</x:v>
      </x:c>
    </x:row>
    <x:row r="112" ht="32" customHeight="1">
      <x:c r="A112" s="86" t="n">
        <x:v>2026</x:v>
      </x:c>
      <x:c r="B112" s="87" t="n">
        <x:f>1</x:f>
        <x:v>1</x:v>
      </x:c>
      <x:c r="C112" s="96" t="n">
        <x:f>'原始记录'!G952</x:f>
        <x:v>0.7429834500436503</x:v>
      </x:c>
      <x:c r="D112" s="96" t="n">
        <x:f>'原始记录'!G953</x:f>
        <x:v>1.3831375000000001</x:v>
      </x:c>
      <x:c r="E112" s="96" t="n">
        <x:f>'原始记录'!G959</x:f>
        <x:v>0.859882196139129</x:v>
      </x:c>
      <x:c r="F112" s="96" t="n">
        <x:f>'原始记录'!G959</x:f>
        <x:v>0.859882196139129</x:v>
      </x:c>
      <x:c r="G112" s="96" t="n">
        <x:f>'原始记录'!G959</x:f>
        <x:v>0.859882196139129</x:v>
      </x:c>
      <x:c r="H112" s="96" t="n">
        <x:f>'原始记录'!G954</x:f>
        <x:v>158.706525</x:v>
      </x:c>
      <x:c r="I112" s="96" t="n">
        <x:f>'原始记录'!G955</x:f>
        <x:v>0.7922250000000001</x:v>
      </x:c>
      <x:c r="J112" s="96" t="n">
        <x:f>'原始记录'!G956</x:f>
        <x:v>93.7177625</x:v>
      </x:c>
      <x:c r="K112" s="96" t="n">
        <x:f>'原始记录'!G957</x:f>
        <x:v>77.53810877547994</x:v>
      </x:c>
      <x:c r="L112" s="96" t="n">
        <x:f>'原始记录'!G958</x:f>
        <x:v>6.8365</x:v>
      </x:c>
      <x:c r="M112" s="96" t="n">
        <x:f>'原始记录'!G959</x:f>
        <x:v>0.859882196139129</x:v>
      </x:c>
      <x:c r="N112" s="88" t="str">
        <x:v>仅1—8月</x:v>
      </x:c>
    </x:row>
  </x:sheetData>
  <x:mergeCells>
    <x:mergeCell ref="A1:M1"/>
    <x:mergeCell ref="A2:N3"/>
  </x:mergeCells>
  <x:pageMargins left="0.7" right="0.7" top="0.75" bottom="0.75" header="0.3" footer="0.3"/>
  <x:tableParts count="1">
    <x:tablePart xmlns:r="http://schemas.openxmlformats.org/officeDocument/2006/relationships" r:id="R6ca34ee8d71b47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35" hidden="0" customWidth="1"/>
  </x:cols>
  <x:sheetData>
    <x:row r="1" ht="34" customHeight="1">
      <x:c r="A1" s="6" t="str">
        <x:v>实际币名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不要把1920年的上海两读成人民币，也不要把法国1960年前后不同面额的法郎直接比较。1999年前欧元栏明示为德国代理。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美元</x:v>
      </x:c>
      <x:c r="C5" s="6" t="str">
        <x:v>英镑</x:v>
      </x:c>
      <x:c r="D5" s="6" t="str">
        <x:v>加拿大元</x:v>
      </x:c>
      <x:c r="E5" s="6" t="str">
        <x:v>法郎→欧元</x:v>
      </x:c>
      <x:c r="F5" s="6" t="str">
        <x:v>马克→欧元</x:v>
      </x:c>
      <x:c r="G5" s="6" t="str">
        <x:v>里拉→欧元</x:v>
      </x:c>
      <x:c r="H5" s="6" t="str">
        <x:v>日元</x:v>
      </x:c>
      <x:c r="I5" s="6" t="str">
        <x:v>瑞士法郎</x:v>
      </x:c>
      <x:c r="J5" s="6" t="str">
        <x:v>印度卢比</x:v>
      </x:c>
      <x:c r="K5" s="6" t="str">
        <x:v>卢布</x:v>
      </x:c>
      <x:c r="L5" s="6" t="str">
        <x:v>中国币种</x:v>
      </x:c>
      <x:c r="M5" s="6" t="str">
        <x:v>欧元／德国代理</x:v>
      </x:c>
      <x:c r="N5" s="6" t="str">
        <x:v>提示</x:v>
      </x:c>
    </x:row>
    <x:row r="6" ht="48" customHeight="1">
      <x:c r="A6" t="n">
        <x:v>1920</x:v>
      </x:c>
      <x:c r="B6" s="12" t="str">
        <x:v>美元（USD）</x:v>
      </x:c>
      <x:c r="C6" s="12" t="str">
        <x:v>英镑（GBP）</x:v>
      </x:c>
      <x:c r="D6" s="12" t="str">
        <x:v>加拿大元（CAD）</x:v>
      </x:c>
      <x:c r="E6" s="12" t="str">
        <x:v>法国旧法郎</x:v>
      </x:c>
      <x:c r="F6" s="12" t="str">
        <x:v>德国纸马克</x:v>
      </x:c>
      <x:c r="G6" s="12" t="str">
        <x:v>意大利里拉（ITL）</x:v>
      </x:c>
      <x:c r="H6" s="12" t="str">
        <x:v>日元（JPY）</x:v>
      </x:c>
      <x:c r="I6" s="12" t="str">
        <x:v>瑞士法郎（CHF）</x:v>
      </x:c>
      <x:c r="J6" s="12" t="str">
        <x:v>英属印度卢比</x:v>
      </x:c>
      <x:c r="K6" s="12" t="str">
        <x:v>苏俄纸卢布（多币并存）</x:v>
      </x:c>
      <x:c r="L6" s="12" t="str">
        <x:v>上海两（银两计价，非银元）</x:v>
      </x:c>
      <x:c r="M6" s="12" t="str">
        <x:v>德国代理：德国纸马克</x:v>
      </x:c>
      <x:c r="N6" s="12" t="str">
        <x:v>含缺失；欧元栏为德国代理</x:v>
      </x:c>
    </x:row>
    <x:row r="7" ht="48" customHeight="1">
      <x:c r="A7" t="n">
        <x:v>1921</x:v>
      </x:c>
      <x:c r="B7" s="12" t="str">
        <x:v>美元（USD）</x:v>
      </x:c>
      <x:c r="C7" s="12" t="str">
        <x:v>英镑（GBP）</x:v>
      </x:c>
      <x:c r="D7" s="12" t="str">
        <x:v>加拿大元（CAD）</x:v>
      </x:c>
      <x:c r="E7" s="12" t="str">
        <x:v>法国旧法郎</x:v>
      </x:c>
      <x:c r="F7" s="12" t="str">
        <x:v>德国纸马克</x:v>
      </x:c>
      <x:c r="G7" s="12" t="str">
        <x:v>意大利里拉（ITL）</x:v>
      </x:c>
      <x:c r="H7" s="12" t="str">
        <x:v>日元（JPY）</x:v>
      </x:c>
      <x:c r="I7" s="12" t="str">
        <x:v>瑞士法郎（CHF）</x:v>
      </x:c>
      <x:c r="J7" s="12" t="str">
        <x:v>英属印度卢比</x:v>
      </x:c>
      <x:c r="K7" s="12" t="str">
        <x:v>苏俄纸卢布（多币并存）</x:v>
      </x:c>
      <x:c r="L7" s="12" t="str">
        <x:v>上海两（银两计价，非银元）</x:v>
      </x:c>
      <x:c r="M7" s="12" t="str">
        <x:v>德国代理：德国纸马克</x:v>
      </x:c>
      <x:c r="N7" s="12" t="str">
        <x:v>含缺失；欧元栏为德国代理</x:v>
      </x:c>
    </x:row>
    <x:row r="8" ht="48" customHeight="1">
      <x:c r="A8" t="n">
        <x:v>1922</x:v>
      </x:c>
      <x:c r="B8" s="12" t="str">
        <x:v>美元（USD）</x:v>
      </x:c>
      <x:c r="C8" s="12" t="str">
        <x:v>英镑（GBP）</x:v>
      </x:c>
      <x:c r="D8" s="12" t="str">
        <x:v>加拿大元（CAD）</x:v>
      </x:c>
      <x:c r="E8" s="12" t="str">
        <x:v>法国旧法郎</x:v>
      </x:c>
      <x:c r="F8" s="12" t="str">
        <x:v>德国纸马克</x:v>
      </x:c>
      <x:c r="G8" s="12" t="str">
        <x:v>意大利里拉（ITL）</x:v>
      </x:c>
      <x:c r="H8" s="12" t="str">
        <x:v>日元（JPY）</x:v>
      </x:c>
      <x:c r="I8" s="12" t="str">
        <x:v>瑞士法郎（CHF）</x:v>
      </x:c>
      <x:c r="J8" s="12" t="str">
        <x:v>英属印度卢比</x:v>
      </x:c>
      <x:c r="K8" s="12" t="str">
        <x:v>1922卢布／切尔文券（并行）</x:v>
      </x:c>
      <x:c r="L8" s="12" t="str">
        <x:v>中国旧银元（元）</x:v>
      </x:c>
      <x:c r="M8" s="12" t="str">
        <x:v>德国代理：德国纸马克</x:v>
      </x:c>
      <x:c r="N8" s="12" t="str">
        <x:v>含缺失；欧元栏为德国代理</x:v>
      </x:c>
    </x:row>
    <x:row r="9" ht="48" customHeight="1">
      <x:c r="A9" t="n">
        <x:v>1923</x:v>
      </x:c>
      <x:c r="B9" s="12" t="str">
        <x:v>美元（USD）</x:v>
      </x:c>
      <x:c r="C9" s="12" t="str">
        <x:v>英镑（GBP）</x:v>
      </x:c>
      <x:c r="D9" s="12" t="str">
        <x:v>加拿大元（CAD）</x:v>
      </x:c>
      <x:c r="E9" s="12" t="str">
        <x:v>法国旧法郎</x:v>
      </x:c>
      <x:c r="F9" s="12" t="str">
        <x:v>纸马克／伦滕马克（过渡）</x:v>
      </x:c>
      <x:c r="G9" s="12" t="str">
        <x:v>意大利里拉（ITL）</x:v>
      </x:c>
      <x:c r="H9" s="12" t="str">
        <x:v>日元（JPY）</x:v>
      </x:c>
      <x:c r="I9" s="12" t="str">
        <x:v>瑞士法郎（CHF）</x:v>
      </x:c>
      <x:c r="J9" s="12" t="str">
        <x:v>英属印度卢比</x:v>
      </x:c>
      <x:c r="K9" s="12" t="str">
        <x:v>1923卢布／切尔文券（并行）</x:v>
      </x:c>
      <x:c r="L9" s="12" t="str">
        <x:v>中国旧银元（元）</x:v>
      </x:c>
      <x:c r="M9" s="12" t="str">
        <x:v>德国代理：纸马克／伦滕马克（过渡）</x:v>
      </x:c>
      <x:c r="N9" s="12" t="str">
        <x:v>含缺失；欧元栏为德国代理</x:v>
      </x:c>
    </x:row>
    <x:row r="10" ht="48" customHeight="1">
      <x:c r="A10" t="n">
        <x:v>1924</x:v>
      </x:c>
      <x:c r="B10" s="12" t="str">
        <x:v>美元（USD）</x:v>
      </x:c>
      <x:c r="C10" s="12" t="str">
        <x:v>英镑（GBP）</x:v>
      </x:c>
      <x:c r="D10" s="12" t="str">
        <x:v>加拿大元（CAD）</x:v>
      </x:c>
      <x:c r="E10" s="12" t="str">
        <x:v>法国旧法郎</x:v>
      </x:c>
      <x:c r="F10" s="12" t="str">
        <x:v>伦滕马克／帝国马克（过渡）</x:v>
      </x:c>
      <x:c r="G10" s="12" t="str">
        <x:v>意大利里拉（ITL）</x:v>
      </x:c>
      <x:c r="H10" s="12" t="str">
        <x:v>日元（JPY）</x:v>
      </x:c>
      <x:c r="I10" s="12" t="str">
        <x:v>瑞士法郎（CHF）</x:v>
      </x:c>
      <x:c r="J10" s="12" t="str">
        <x:v>英属印度卢比</x:v>
      </x:c>
      <x:c r="K10" s="12" t="str">
        <x:v>苏联卢布（1924币制）</x:v>
      </x:c>
      <x:c r="L10" s="12" t="str">
        <x:v>中国旧银元（元）</x:v>
      </x:c>
      <x:c r="M10" s="12" t="str">
        <x:v>德国代理：伦滕马克／帝国马克（过渡）</x:v>
      </x:c>
      <x:c r="N10" s="12" t="str">
        <x:v>含缺失；卢布含官价参考；欧元栏为德国代理</x:v>
      </x:c>
    </x:row>
    <x:row r="11" ht="48" customHeight="1">
      <x:c r="A11" t="n">
        <x:v>1925</x:v>
      </x:c>
      <x:c r="B11" s="12" t="str">
        <x:v>美元（USD）</x:v>
      </x:c>
      <x:c r="C11" s="12" t="str">
        <x:v>英镑（GBP）</x:v>
      </x:c>
      <x:c r="D11" s="12" t="str">
        <x:v>加拿大元（CAD）</x:v>
      </x:c>
      <x:c r="E11" s="12" t="str">
        <x:v>法国旧法郎</x:v>
      </x:c>
      <x:c r="F11" s="12" t="str">
        <x:v>帝国马克（Reichsmark）</x:v>
      </x:c>
      <x:c r="G11" s="12" t="str">
        <x:v>意大利里拉（ITL）</x:v>
      </x:c>
      <x:c r="H11" s="12" t="str">
        <x:v>日元（JPY）</x:v>
      </x:c>
      <x:c r="I11" s="12" t="str">
        <x:v>瑞士法郎（CHF）</x:v>
      </x:c>
      <x:c r="J11" s="12" t="str">
        <x:v>英属印度卢比</x:v>
      </x:c>
      <x:c r="K11" s="12" t="str">
        <x:v>苏联卢布（1924币制）</x:v>
      </x:c>
      <x:c r="L11" s="12" t="str">
        <x:v>中国旧银元（元）</x:v>
      </x:c>
      <x:c r="M11" s="12" t="str">
        <x:v>德国代理：帝国马克（Reichsmark）</x:v>
      </x:c>
      <x:c r="N11" s="12" t="str">
        <x:v>含缺失；欧元栏为德国代理</x:v>
      </x:c>
    </x:row>
    <x:row r="12" ht="48" customHeight="1">
      <x:c r="A12" t="n">
        <x:v>1926</x:v>
      </x:c>
      <x:c r="B12" s="12" t="str">
        <x:v>美元（USD）</x:v>
      </x:c>
      <x:c r="C12" s="12" t="str">
        <x:v>英镑（GBP）</x:v>
      </x:c>
      <x:c r="D12" s="12" t="str">
        <x:v>加拿大元（CAD）</x:v>
      </x:c>
      <x:c r="E12" s="12" t="str">
        <x:v>法国旧法郎</x:v>
      </x:c>
      <x:c r="F12" s="12" t="str">
        <x:v>帝国马克（Reichsmark）</x:v>
      </x:c>
      <x:c r="G12" s="12" t="str">
        <x:v>意大利里拉（ITL）</x:v>
      </x:c>
      <x:c r="H12" s="12" t="str">
        <x:v>日元（JPY）</x:v>
      </x:c>
      <x:c r="I12" s="12" t="str">
        <x:v>瑞士法郎（CHF）</x:v>
      </x:c>
      <x:c r="J12" s="12" t="str">
        <x:v>英属印度卢比</x:v>
      </x:c>
      <x:c r="K12" s="12" t="str">
        <x:v>苏联卢布（1924币制）</x:v>
      </x:c>
      <x:c r="L12" s="12" t="str">
        <x:v>中国旧银元（元）</x:v>
      </x:c>
      <x:c r="M12" s="12" t="str">
        <x:v>德国代理：帝国马克（Reichsmark）</x:v>
      </x:c>
      <x:c r="N12" s="12" t="str">
        <x:v>含缺失；欧元栏为德国代理</x:v>
      </x:c>
    </x:row>
    <x:row r="13" ht="48" customHeight="1">
      <x:c r="A13" t="n">
        <x:v>1927</x:v>
      </x:c>
      <x:c r="B13" s="12" t="str">
        <x:v>美元（USD）</x:v>
      </x:c>
      <x:c r="C13" s="12" t="str">
        <x:v>英镑（GBP）</x:v>
      </x:c>
      <x:c r="D13" s="12" t="str">
        <x:v>加拿大元（CAD）</x:v>
      </x:c>
      <x:c r="E13" s="12" t="str">
        <x:v>法国旧法郎</x:v>
      </x:c>
      <x:c r="F13" s="12" t="str">
        <x:v>帝国马克（Reichsmark）</x:v>
      </x:c>
      <x:c r="G13" s="12" t="str">
        <x:v>意大利里拉（ITL）</x:v>
      </x:c>
      <x:c r="H13" s="12" t="str">
        <x:v>日元（JPY）</x:v>
      </x:c>
      <x:c r="I13" s="12" t="str">
        <x:v>瑞士法郎（CHF）</x:v>
      </x:c>
      <x:c r="J13" s="12" t="str">
        <x:v>英属印度卢比</x:v>
      </x:c>
      <x:c r="K13" s="12" t="str">
        <x:v>苏联卢布（1924币制）</x:v>
      </x:c>
      <x:c r="L13" s="12" t="str">
        <x:v>中国旧银元（元）</x:v>
      </x:c>
      <x:c r="M13" s="12" t="str">
        <x:v>德国代理：帝国马克（Reichsmark）</x:v>
      </x:c>
      <x:c r="N13" s="12" t="str">
        <x:v>卢布含官价参考；欧元栏为德国代理</x:v>
      </x:c>
    </x:row>
    <x:row r="14" ht="48" customHeight="1">
      <x:c r="A14" t="n">
        <x:v>1928</x:v>
      </x:c>
      <x:c r="B14" s="12" t="str">
        <x:v>美元（USD）</x:v>
      </x:c>
      <x:c r="C14" s="12" t="str">
        <x:v>英镑（GBP）</x:v>
      </x:c>
      <x:c r="D14" s="12" t="str">
        <x:v>加拿大元（CAD）</x:v>
      </x:c>
      <x:c r="E14" s="12" t="str">
        <x:v>法国旧法郎</x:v>
      </x:c>
      <x:c r="F14" s="12" t="str">
        <x:v>帝国马克（Reichsmark）</x:v>
      </x:c>
      <x:c r="G14" s="12" t="str">
        <x:v>意大利里拉（ITL）</x:v>
      </x:c>
      <x:c r="H14" s="12" t="str">
        <x:v>日元（JPY）</x:v>
      </x:c>
      <x:c r="I14" s="12" t="str">
        <x:v>瑞士法郎（CHF）</x:v>
      </x:c>
      <x:c r="J14" s="12" t="str">
        <x:v>英属印度卢比</x:v>
      </x:c>
      <x:c r="K14" s="12" t="str">
        <x:v>苏联卢布（1924币制）</x:v>
      </x:c>
      <x:c r="L14" s="12" t="str">
        <x:v>中国旧银元（元）</x:v>
      </x:c>
      <x:c r="M14" s="12" t="str">
        <x:v>德国代理：帝国马克（Reichsmark）</x:v>
      </x:c>
      <x:c r="N14" s="12" t="str">
        <x:v>卢布含官价参考；欧元栏为德国代理</x:v>
      </x:c>
    </x:row>
    <x:row r="15" ht="48" customHeight="1">
      <x:c r="A15" t="n">
        <x:v>1929</x:v>
      </x:c>
      <x:c r="B15" s="12" t="str">
        <x:v>美元（USD）</x:v>
      </x:c>
      <x:c r="C15" s="12" t="str">
        <x:v>英镑（GBP）</x:v>
      </x:c>
      <x:c r="D15" s="12" t="str">
        <x:v>加拿大元（CAD）</x:v>
      </x:c>
      <x:c r="E15" s="12" t="str">
        <x:v>法国旧法郎</x:v>
      </x:c>
      <x:c r="F15" s="12" t="str">
        <x:v>帝国马克（Reichsmark）</x:v>
      </x:c>
      <x:c r="G15" s="12" t="str">
        <x:v>意大利里拉（ITL）</x:v>
      </x:c>
      <x:c r="H15" s="12" t="str">
        <x:v>日元（JPY）</x:v>
      </x:c>
      <x:c r="I15" s="12" t="str">
        <x:v>瑞士法郎（CHF）</x:v>
      </x:c>
      <x:c r="J15" s="12" t="str">
        <x:v>英属印度卢比</x:v>
      </x:c>
      <x:c r="K15" s="12" t="str">
        <x:v>苏联卢布（1924币制）</x:v>
      </x:c>
      <x:c r="L15" s="12" t="str">
        <x:v>中国旧银元（元）</x:v>
      </x:c>
      <x:c r="M15" s="12" t="str">
        <x:v>德国代理：帝国马克（Reichsmark）</x:v>
      </x:c>
      <x:c r="N15" s="12" t="str">
        <x:v>卢布含官价参考；欧元栏为德国代理</x:v>
      </x:c>
    </x:row>
    <x:row r="16" ht="48" customHeight="1">
      <x:c r="A16" t="n">
        <x:v>1930</x:v>
      </x:c>
      <x:c r="B16" s="12" t="str">
        <x:v>美元（USD）</x:v>
      </x:c>
      <x:c r="C16" s="12" t="str">
        <x:v>英镑（GBP）</x:v>
      </x:c>
      <x:c r="D16" s="12" t="str">
        <x:v>加拿大元（CAD）</x:v>
      </x:c>
      <x:c r="E16" s="12" t="str">
        <x:v>法国旧法郎</x:v>
      </x:c>
      <x:c r="F16" s="12" t="str">
        <x:v>帝国马克（Reichsmark）</x:v>
      </x:c>
      <x:c r="G16" s="12" t="str">
        <x:v>意大利里拉（ITL）</x:v>
      </x:c>
      <x:c r="H16" s="12" t="str">
        <x:v>日元（JPY）</x:v>
      </x:c>
      <x:c r="I16" s="12" t="str">
        <x:v>瑞士法郎（CHF）</x:v>
      </x:c>
      <x:c r="J16" s="12" t="str">
        <x:v>英属印度卢比</x:v>
      </x:c>
      <x:c r="K16" s="12" t="str">
        <x:v>苏联卢布（1924币制）</x:v>
      </x:c>
      <x:c r="L16" s="12" t="str">
        <x:v>中国旧银元（元）</x:v>
      </x:c>
      <x:c r="M16" s="12" t="str">
        <x:v>德国代理：帝国马克（Reichsmark）</x:v>
      </x:c>
      <x:c r="N16" s="12" t="str">
        <x:v>卢布含官价参考；欧元栏为德国代理</x:v>
      </x:c>
    </x:row>
    <x:row r="17" ht="48" customHeight="1">
      <x:c r="A17" t="n">
        <x:v>1931</x:v>
      </x:c>
      <x:c r="B17" s="12" t="str">
        <x:v>美元（USD）</x:v>
      </x:c>
      <x:c r="C17" s="12" t="str">
        <x:v>英镑（GBP）</x:v>
      </x:c>
      <x:c r="D17" s="12" t="str">
        <x:v>加拿大元（CAD）</x:v>
      </x:c>
      <x:c r="E17" s="12" t="str">
        <x:v>法国旧法郎</x:v>
      </x:c>
      <x:c r="F17" s="12" t="str">
        <x:v>帝国马克（Reichsmark）</x:v>
      </x:c>
      <x:c r="G17" s="12" t="str">
        <x:v>意大利里拉（ITL）</x:v>
      </x:c>
      <x:c r="H17" s="12" t="str">
        <x:v>日元（JPY）</x:v>
      </x:c>
      <x:c r="I17" s="12" t="str">
        <x:v>瑞士法郎（CHF）</x:v>
      </x:c>
      <x:c r="J17" s="12" t="str">
        <x:v>英属印度卢比</x:v>
      </x:c>
      <x:c r="K17" s="12" t="str">
        <x:v>苏联卢布（1924币制）</x:v>
      </x:c>
      <x:c r="L17" s="12" t="str">
        <x:v>中国旧银元（元）</x:v>
      </x:c>
      <x:c r="M17" s="12" t="str">
        <x:v>德国代理：帝国马克（Reichsmark）</x:v>
      </x:c>
      <x:c r="N17" s="12" t="str">
        <x:v>卢布含官价参考；欧元栏为德国代理</x:v>
      </x:c>
    </x:row>
    <x:row r="18" ht="48" customHeight="1">
      <x:c r="A18" t="n">
        <x:v>1932</x:v>
      </x:c>
      <x:c r="B18" s="12" t="str">
        <x:v>美元（USD）</x:v>
      </x:c>
      <x:c r="C18" s="12" t="str">
        <x:v>英镑（GBP）</x:v>
      </x:c>
      <x:c r="D18" s="12" t="str">
        <x:v>加拿大元（CAD）</x:v>
      </x:c>
      <x:c r="E18" s="12" t="str">
        <x:v>法国旧法郎</x:v>
      </x:c>
      <x:c r="F18" s="12" t="str">
        <x:v>帝国马克（Reichsmark）</x:v>
      </x:c>
      <x:c r="G18" s="12" t="str">
        <x:v>意大利里拉（ITL）</x:v>
      </x:c>
      <x:c r="H18" s="12" t="str">
        <x:v>日元（JPY）</x:v>
      </x:c>
      <x:c r="I18" s="12" t="str">
        <x:v>瑞士法郎（CHF）</x:v>
      </x:c>
      <x:c r="J18" s="12" t="str">
        <x:v>英属印度卢比</x:v>
      </x:c>
      <x:c r="K18" s="12" t="str">
        <x:v>苏联卢布（1924币制）</x:v>
      </x:c>
      <x:c r="L18" s="12" t="str">
        <x:v>中国旧银元（元）</x:v>
      </x:c>
      <x:c r="M18" s="12" t="str">
        <x:v>德国代理：帝国马克（Reichsmark）</x:v>
      </x:c>
      <x:c r="N18" s="12" t="str">
        <x:v>卢布含官价参考；欧元栏为德国代理</x:v>
      </x:c>
    </x:row>
    <x:row r="19" ht="48" customHeight="1">
      <x:c r="A19" t="n">
        <x:v>1933</x:v>
      </x:c>
      <x:c r="B19" s="12" t="str">
        <x:v>美元（USD）</x:v>
      </x:c>
      <x:c r="C19" s="12" t="str">
        <x:v>英镑（GBP）</x:v>
      </x:c>
      <x:c r="D19" s="12" t="str">
        <x:v>加拿大元（CAD）</x:v>
      </x:c>
      <x:c r="E19" s="12" t="str">
        <x:v>法国旧法郎</x:v>
      </x:c>
      <x:c r="F19" s="12" t="str">
        <x:v>帝国马克（Reichsmark）</x:v>
      </x:c>
      <x:c r="G19" s="12" t="str">
        <x:v>意大利里拉（ITL）</x:v>
      </x:c>
      <x:c r="H19" s="12" t="str">
        <x:v>日元（JPY）</x:v>
      </x:c>
      <x:c r="I19" s="12" t="str">
        <x:v>瑞士法郎（CHF）</x:v>
      </x:c>
      <x:c r="J19" s="12" t="str">
        <x:v>英属印度卢比</x:v>
      </x:c>
      <x:c r="K19" s="12" t="str">
        <x:v>苏联卢布（1924币制）</x:v>
      </x:c>
      <x:c r="L19" s="12" t="str">
        <x:v>中国新银元（元）</x:v>
      </x:c>
      <x:c r="M19" s="12" t="str">
        <x:v>德国代理：帝国马克（Reichsmark）</x:v>
      </x:c>
      <x:c r="N19" s="12" t="str">
        <x:v>卢布含官价参考；含部分年；欧元栏为德国代理</x:v>
      </x:c>
    </x:row>
    <x:row r="20" ht="48" customHeight="1">
      <x:c r="A20" t="n">
        <x:v>1934</x:v>
      </x:c>
      <x:c r="B20" s="12" t="str">
        <x:v>美元（USD）</x:v>
      </x:c>
      <x:c r="C20" s="12" t="str">
        <x:v>英镑（GBP）</x:v>
      </x:c>
      <x:c r="D20" s="12" t="str">
        <x:v>加拿大元（CAD）</x:v>
      </x:c>
      <x:c r="E20" s="12" t="str">
        <x:v>法国旧法郎</x:v>
      </x:c>
      <x:c r="F20" s="12" t="str">
        <x:v>帝国马克（Reichsmark）</x:v>
      </x:c>
      <x:c r="G20" s="12" t="str">
        <x:v>意大利里拉（ITL）</x:v>
      </x:c>
      <x:c r="H20" s="12" t="str">
        <x:v>日元（JPY）</x:v>
      </x:c>
      <x:c r="I20" s="12" t="str">
        <x:v>瑞士法郎（CHF）</x:v>
      </x:c>
      <x:c r="J20" s="12" t="str">
        <x:v>英属印度卢比</x:v>
      </x:c>
      <x:c r="K20" s="12" t="str">
        <x:v>苏联卢布（1924币制）</x:v>
      </x:c>
      <x:c r="L20" s="12" t="str">
        <x:v>中国新银元（元）</x:v>
      </x:c>
      <x:c r="M20" s="12" t="str">
        <x:v>德国代理：帝国马克（Reichsmark）</x:v>
      </x:c>
      <x:c r="N20" s="12" t="str">
        <x:v>卢布含官价参考；欧元栏为德国代理</x:v>
      </x:c>
    </x:row>
    <x:row r="21" ht="48" customHeight="1">
      <x:c r="A21" t="n">
        <x:v>1935</x:v>
      </x:c>
      <x:c r="B21" s="12" t="str">
        <x:v>美元（USD）</x:v>
      </x:c>
      <x:c r="C21" s="12" t="str">
        <x:v>英镑（GBP）</x:v>
      </x:c>
      <x:c r="D21" s="12" t="str">
        <x:v>加拿大元（CAD）</x:v>
      </x:c>
      <x:c r="E21" s="12" t="str">
        <x:v>法国旧法郎</x:v>
      </x:c>
      <x:c r="F21" s="12" t="str">
        <x:v>帝国马克（Reichsmark）</x:v>
      </x:c>
      <x:c r="G21" s="12" t="str">
        <x:v>意大利里拉（ITL）</x:v>
      </x:c>
      <x:c r="H21" s="12" t="str">
        <x:v>日元（JPY）</x:v>
      </x:c>
      <x:c r="I21" s="12" t="str">
        <x:v>瑞士法郎（CHF）</x:v>
      </x:c>
      <x:c r="J21" s="12" t="str">
        <x:v>英属印度卢比</x:v>
      </x:c>
      <x:c r="K21" s="12" t="str">
        <x:v>苏联卢布（1924币制）</x:v>
      </x:c>
      <x:c r="L21" s="12" t="str">
        <x:v>银元／法币（元，过渡年）</x:v>
      </x:c>
      <x:c r="M21" s="12" t="str">
        <x:v>德国代理：帝国马克（Reichsmark）</x:v>
      </x:c>
      <x:c r="N21" s="12" t="str">
        <x:v>卢布含官价参考；欧元栏为德国代理</x:v>
      </x:c>
    </x:row>
    <x:row r="22" ht="48" customHeight="1">
      <x:c r="A22" t="n">
        <x:v>1936</x:v>
      </x:c>
      <x:c r="B22" s="12" t="str">
        <x:v>美元（USD）</x:v>
      </x:c>
      <x:c r="C22" s="12" t="str">
        <x:v>英镑（GBP）</x:v>
      </x:c>
      <x:c r="D22" s="12" t="str">
        <x:v>加拿大元（CAD）</x:v>
      </x:c>
      <x:c r="E22" s="12" t="str">
        <x:v>法国旧法郎</x:v>
      </x:c>
      <x:c r="F22" s="12" t="str">
        <x:v>帝国马克（Reichsmark）</x:v>
      </x:c>
      <x:c r="G22" s="12" t="str">
        <x:v>意大利里拉（ITL）</x:v>
      </x:c>
      <x:c r="H22" s="12" t="str">
        <x:v>日元（JPY）</x:v>
      </x:c>
      <x:c r="I22" s="12" t="str">
        <x:v>瑞士法郎（CHF）</x:v>
      </x:c>
      <x:c r="J22" s="12" t="str">
        <x:v>英属印度卢比</x:v>
      </x:c>
      <x:c r="K22" s="12" t="str">
        <x:v>苏联卢布（1924币制）</x:v>
      </x:c>
      <x:c r="L22" s="12" t="str">
        <x:v>法币元</x:v>
      </x:c>
      <x:c r="M22" s="12" t="str">
        <x:v>德国代理：帝国马克（Reichsmark）</x:v>
      </x:c>
      <x:c r="N22" s="12" t="str">
        <x:v>卢布含官价参考；欧元栏为德国代理</x:v>
      </x:c>
    </x:row>
    <x:row r="23" ht="48" customHeight="1">
      <x:c r="A23" t="n">
        <x:v>1937</x:v>
      </x:c>
      <x:c r="B23" s="12" t="str">
        <x:v>美元（USD）</x:v>
      </x:c>
      <x:c r="C23" s="12" t="str">
        <x:v>英镑（GBP）</x:v>
      </x:c>
      <x:c r="D23" s="12" t="str">
        <x:v>加拿大元（CAD）</x:v>
      </x:c>
      <x:c r="E23" s="12" t="str">
        <x:v>法国旧法郎</x:v>
      </x:c>
      <x:c r="F23" s="12" t="str">
        <x:v>帝国马克（Reichsmark）</x:v>
      </x:c>
      <x:c r="G23" s="12" t="str">
        <x:v>意大利里拉（ITL）</x:v>
      </x:c>
      <x:c r="H23" s="12" t="str">
        <x:v>日元（JPY）</x:v>
      </x:c>
      <x:c r="I23" s="12" t="str">
        <x:v>瑞士法郎（CHF）</x:v>
      </x:c>
      <x:c r="J23" s="12" t="str">
        <x:v>英属印度卢比</x:v>
      </x:c>
      <x:c r="K23" s="12" t="str">
        <x:v>苏联卢布（1924币制）</x:v>
      </x:c>
      <x:c r="L23" s="12" t="str">
        <x:v>法币元</x:v>
      </x:c>
      <x:c r="M23" s="12" t="str">
        <x:v>德国代理：帝国马克（Reichsmark）</x:v>
      </x:c>
      <x:c r="N23" s="12" t="str">
        <x:v>卢布含官价参考；欧元栏为德国代理</x:v>
      </x:c>
    </x:row>
    <x:row r="24" ht="48" customHeight="1">
      <x:c r="A24" t="n">
        <x:v>1938</x:v>
      </x:c>
      <x:c r="B24" s="12" t="str">
        <x:v>美元（USD）</x:v>
      </x:c>
      <x:c r="C24" s="12" t="str">
        <x:v>英镑（GBP）</x:v>
      </x:c>
      <x:c r="D24" s="12" t="str">
        <x:v>加拿大元（CAD）</x:v>
      </x:c>
      <x:c r="E24" s="12" t="str">
        <x:v>法国旧法郎</x:v>
      </x:c>
      <x:c r="F24" s="12" t="str">
        <x:v>帝国马克（Reichsmark）</x:v>
      </x:c>
      <x:c r="G24" s="12" t="str">
        <x:v>意大利里拉（ITL）</x:v>
      </x:c>
      <x:c r="H24" s="12" t="str">
        <x:v>日元（JPY）</x:v>
      </x:c>
      <x:c r="I24" s="12" t="str">
        <x:v>瑞士法郎（CHF）</x:v>
      </x:c>
      <x:c r="J24" s="12" t="str">
        <x:v>英属印度卢比</x:v>
      </x:c>
      <x:c r="K24" s="12" t="str">
        <x:v>苏联卢布（1924币制）</x:v>
      </x:c>
      <x:c r="L24" s="12" t="str">
        <x:v>法币元</x:v>
      </x:c>
      <x:c r="M24" s="12" t="str">
        <x:v>德国代理：帝国马克（Reichsmark）</x:v>
      </x:c>
      <x:c r="N24" s="12" t="str">
        <x:v>卢布含官价参考；欧元栏为德国代理</x:v>
      </x:c>
    </x:row>
    <x:row r="25" ht="48" customHeight="1">
      <x:c r="A25" t="n">
        <x:v>1939</x:v>
      </x:c>
      <x:c r="B25" s="12" t="str">
        <x:v>美元（USD）</x:v>
      </x:c>
      <x:c r="C25" s="12" t="str">
        <x:v>英镑（GBP）</x:v>
      </x:c>
      <x:c r="D25" s="12" t="str">
        <x:v>加拿大元（CAD）</x:v>
      </x:c>
      <x:c r="E25" s="12" t="str">
        <x:v>法国旧法郎</x:v>
      </x:c>
      <x:c r="F25" s="12" t="str">
        <x:v>帝国马克（Reichsmark）</x:v>
      </x:c>
      <x:c r="G25" s="12" t="str">
        <x:v>意大利里拉（ITL）</x:v>
      </x:c>
      <x:c r="H25" s="12" t="str">
        <x:v>日元（JPY）</x:v>
      </x:c>
      <x:c r="I25" s="12" t="str">
        <x:v>瑞士法郎（CHF）</x:v>
      </x:c>
      <x:c r="J25" s="12" t="str">
        <x:v>英属印度卢比</x:v>
      </x:c>
      <x:c r="K25" s="12" t="str">
        <x:v>苏联卢布（1924币制）</x:v>
      </x:c>
      <x:c r="L25" s="12" t="str">
        <x:v>法币元</x:v>
      </x:c>
      <x:c r="M25" s="12" t="str">
        <x:v>德国代理：帝国马克（Reichsmark）</x:v>
      </x:c>
      <x:c r="N25" s="12" t="str">
        <x:v>卢布含官价参考；欧元栏为德国代理</x:v>
      </x:c>
    </x:row>
    <x:row r="26" ht="48" customHeight="1">
      <x:c r="A26" t="n">
        <x:v>1940</x:v>
      </x:c>
      <x:c r="B26" s="12" t="str">
        <x:v>美元（USD）</x:v>
      </x:c>
      <x:c r="C26" s="12" t="str">
        <x:v>英镑（GBP）</x:v>
      </x:c>
      <x:c r="D26" s="12" t="str">
        <x:v>加拿大元（CAD）</x:v>
      </x:c>
      <x:c r="E26" s="12" t="str">
        <x:v>法国旧法郎</x:v>
      </x:c>
      <x:c r="F26" s="12" t="str">
        <x:v>帝国马克（Reichsmark）</x:v>
      </x:c>
      <x:c r="G26" s="12" t="str">
        <x:v>意大利里拉（ITL）</x:v>
      </x:c>
      <x:c r="H26" s="12" t="str">
        <x:v>日元（JPY）</x:v>
      </x:c>
      <x:c r="I26" s="12" t="str">
        <x:v>瑞士法郎（CHF）</x:v>
      </x:c>
      <x:c r="J26" s="12" t="str">
        <x:v>英属印度卢比</x:v>
      </x:c>
      <x:c r="K26" s="12" t="str">
        <x:v>苏联卢布（1924币制）</x:v>
      </x:c>
      <x:c r="L26" s="12" t="str">
        <x:v>法币元</x:v>
      </x:c>
      <x:c r="M26" s="12" t="str">
        <x:v>德国代理：帝国马克（Reichsmark）</x:v>
      </x:c>
      <x:c r="N26" s="12" t="str">
        <x:v>卢布含官价参考；含部分年；欧元栏为德国代理</x:v>
      </x:c>
    </x:row>
    <x:row r="27" ht="48" customHeight="1">
      <x:c r="A27" t="n">
        <x:v>1941</x:v>
      </x:c>
      <x:c r="B27" s="12" t="str">
        <x:v>美元（USD）</x:v>
      </x:c>
      <x:c r="C27" s="12" t="str">
        <x:v>英镑（GBP）</x:v>
      </x:c>
      <x:c r="D27" s="12" t="str">
        <x:v>加拿大元（CAD）</x:v>
      </x:c>
      <x:c r="E27" s="12" t="str">
        <x:v>法国旧法郎</x:v>
      </x:c>
      <x:c r="F27" s="12" t="str">
        <x:v>帝国马克（Reichsmark）</x:v>
      </x:c>
      <x:c r="G27" s="12" t="str">
        <x:v>意大利里拉（ITL）</x:v>
      </x:c>
      <x:c r="H27" s="12" t="str">
        <x:v>日元（JPY）</x:v>
      </x:c>
      <x:c r="I27" s="12" t="str">
        <x:v>瑞士法郎（CHF）</x:v>
      </x:c>
      <x:c r="J27" s="12" t="str">
        <x:v>英属印度卢比</x:v>
      </x:c>
      <x:c r="K27" s="12" t="str">
        <x:v>苏联卢布（1924币制）</x:v>
      </x:c>
      <x:c r="L27" s="12" t="str">
        <x:v>法币元</x:v>
      </x:c>
      <x:c r="M27" s="12" t="str">
        <x:v>德国代理：帝国马克（Reichsmark）</x:v>
      </x:c>
      <x:c r="N27" s="12" t="str">
        <x:v>含缺失；卢布含官价参考；含部分年；欧元栏为德国代理</x:v>
      </x:c>
    </x:row>
    <x:row r="28" ht="48" customHeight="1">
      <x:c r="A28" t="n">
        <x:v>1942</x:v>
      </x:c>
      <x:c r="B28" s="12" t="str">
        <x:v>美元（USD）</x:v>
      </x:c>
      <x:c r="C28" s="12" t="str">
        <x:v>英镑（GBP）</x:v>
      </x:c>
      <x:c r="D28" s="12" t="str">
        <x:v>加拿大元（CAD）</x:v>
      </x:c>
      <x:c r="E28" s="12" t="str">
        <x:v>法国旧法郎</x:v>
      </x:c>
      <x:c r="F28" s="12" t="str">
        <x:v>帝国马克（Reichsmark）</x:v>
      </x:c>
      <x:c r="G28" s="12" t="str">
        <x:v>意大利里拉（ITL）</x:v>
      </x:c>
      <x:c r="H28" s="12" t="str">
        <x:v>日元（JPY）</x:v>
      </x:c>
      <x:c r="I28" s="12" t="str">
        <x:v>瑞士法郎（CHF）</x:v>
      </x:c>
      <x:c r="J28" s="12" t="str">
        <x:v>英属印度卢比</x:v>
      </x:c>
      <x:c r="K28" s="12" t="str">
        <x:v>苏联卢布（1924币制）</x:v>
      </x:c>
      <x:c r="L28" s="12" t="str">
        <x:v>法币元</x:v>
      </x:c>
      <x:c r="M28" s="12" t="str">
        <x:v>德国代理：帝国马克（Reichsmark）</x:v>
      </x:c>
      <x:c r="N28" s="12" t="str">
        <x:v>含缺失；卢布含官价参考；欧元栏为德国代理</x:v>
      </x:c>
    </x:row>
    <x:row r="29" ht="48" customHeight="1">
      <x:c r="A29" t="n">
        <x:v>1943</x:v>
      </x:c>
      <x:c r="B29" s="12" t="str">
        <x:v>美元（USD）</x:v>
      </x:c>
      <x:c r="C29" s="12" t="str">
        <x:v>英镑（GBP）</x:v>
      </x:c>
      <x:c r="D29" s="12" t="str">
        <x:v>加拿大元（CAD）</x:v>
      </x:c>
      <x:c r="E29" s="12" t="str">
        <x:v>法国旧法郎</x:v>
      </x:c>
      <x:c r="F29" s="12" t="str">
        <x:v>帝国马克（Reichsmark）</x:v>
      </x:c>
      <x:c r="G29" s="12" t="str">
        <x:v>意大利里拉（ITL）</x:v>
      </x:c>
      <x:c r="H29" s="12" t="str">
        <x:v>日元（JPY）</x:v>
      </x:c>
      <x:c r="I29" s="12" t="str">
        <x:v>瑞士法郎（CHF）</x:v>
      </x:c>
      <x:c r="J29" s="12" t="str">
        <x:v>英属印度卢比</x:v>
      </x:c>
      <x:c r="K29" s="12" t="str">
        <x:v>苏联卢布（1924币制）</x:v>
      </x:c>
      <x:c r="L29" s="12" t="str">
        <x:v>法币元</x:v>
      </x:c>
      <x:c r="M29" s="12" t="str">
        <x:v>德国代理：帝国马克（Reichsmark）</x:v>
      </x:c>
      <x:c r="N29" s="12" t="str">
        <x:v>含缺失；卢布含官价参考；欧元栏为德国代理</x:v>
      </x:c>
    </x:row>
    <x:row r="30" ht="48" customHeight="1">
      <x:c r="A30" t="n">
        <x:v>1944</x:v>
      </x:c>
      <x:c r="B30" s="12" t="str">
        <x:v>美元（USD）</x:v>
      </x:c>
      <x:c r="C30" s="12" t="str">
        <x:v>英镑（GBP）</x:v>
      </x:c>
      <x:c r="D30" s="12" t="str">
        <x:v>加拿大元（CAD）</x:v>
      </x:c>
      <x:c r="E30" s="12" t="str">
        <x:v>法国旧法郎</x:v>
      </x:c>
      <x:c r="F30" s="12" t="str">
        <x:v>帝国马克（Reichsmark）</x:v>
      </x:c>
      <x:c r="G30" s="12" t="str">
        <x:v>意大利里拉（ITL）</x:v>
      </x:c>
      <x:c r="H30" s="12" t="str">
        <x:v>日元（JPY）</x:v>
      </x:c>
      <x:c r="I30" s="12" t="str">
        <x:v>瑞士法郎（CHF）</x:v>
      </x:c>
      <x:c r="J30" s="12" t="str">
        <x:v>英属印度卢比</x:v>
      </x:c>
      <x:c r="K30" s="12" t="str">
        <x:v>苏联卢布（1924币制）</x:v>
      </x:c>
      <x:c r="L30" s="12" t="str">
        <x:v>法币元</x:v>
      </x:c>
      <x:c r="M30" s="12" t="str">
        <x:v>德国代理：帝国马克（Reichsmark）</x:v>
      </x:c>
      <x:c r="N30" s="12" t="str">
        <x:v>含缺失；卢布含官价参考；欧元栏为德国代理</x:v>
      </x:c>
    </x:row>
    <x:row r="31" ht="48" customHeight="1">
      <x:c r="A31" t="n">
        <x:v>1945</x:v>
      </x:c>
      <x:c r="B31" s="12" t="str">
        <x:v>美元（USD）</x:v>
      </x:c>
      <x:c r="C31" s="12" t="str">
        <x:v>英镑（GBP）</x:v>
      </x:c>
      <x:c r="D31" s="12" t="str">
        <x:v>加拿大元（CAD）</x:v>
      </x:c>
      <x:c r="E31" s="12" t="str">
        <x:v>法国旧法郎</x:v>
      </x:c>
      <x:c r="F31" s="12" t="str">
        <x:v>帝国马克（Reichsmark）</x:v>
      </x:c>
      <x:c r="G31" s="12" t="str">
        <x:v>意大利里拉（ITL）</x:v>
      </x:c>
      <x:c r="H31" s="12" t="str">
        <x:v>日元（JPY）</x:v>
      </x:c>
      <x:c r="I31" s="12" t="str">
        <x:v>瑞士法郎（CHF）</x:v>
      </x:c>
      <x:c r="J31" s="12" t="str">
        <x:v>英属印度卢比</x:v>
      </x:c>
      <x:c r="K31" s="12" t="str">
        <x:v>苏联卢布（1924币制）</x:v>
      </x:c>
      <x:c r="L31" s="12" t="str">
        <x:v>法币元</x:v>
      </x:c>
      <x:c r="M31" s="12" t="str">
        <x:v>德国代理：帝国马克（Reichsmark）</x:v>
      </x:c>
      <x:c r="N31" s="12" t="str">
        <x:v>含缺失；卢布含官价参考；欧元栏为德国代理</x:v>
      </x:c>
    </x:row>
    <x:row r="32" ht="48" customHeight="1">
      <x:c r="A32" t="n">
        <x:v>1946</x:v>
      </x:c>
      <x:c r="B32" s="12" t="str">
        <x:v>美元（USD）</x:v>
      </x:c>
      <x:c r="C32" s="12" t="str">
        <x:v>英镑（GBP）</x:v>
      </x:c>
      <x:c r="D32" s="12" t="str">
        <x:v>加拿大元（CAD）</x:v>
      </x:c>
      <x:c r="E32" s="12" t="str">
        <x:v>法国旧法郎</x:v>
      </x:c>
      <x:c r="F32" s="12" t="str">
        <x:v>帝国马克（Reichsmark）</x:v>
      </x:c>
      <x:c r="G32" s="12" t="str">
        <x:v>意大利里拉（ITL）</x:v>
      </x:c>
      <x:c r="H32" s="12" t="str">
        <x:v>日元（JPY）</x:v>
      </x:c>
      <x:c r="I32" s="12" t="str">
        <x:v>瑞士法郎（CHF）</x:v>
      </x:c>
      <x:c r="J32" s="12" t="str">
        <x:v>英属印度卢比</x:v>
      </x:c>
      <x:c r="K32" s="12" t="str">
        <x:v>苏联卢布（1924币制）</x:v>
      </x:c>
      <x:c r="L32" s="12" t="str">
        <x:v>法币元</x:v>
      </x:c>
      <x:c r="M32" s="12" t="str">
        <x:v>德国代理：帝国马克（Reichsmark）</x:v>
      </x:c>
      <x:c r="N32" s="12" t="str">
        <x:v>含缺失；卢布含官价参考；欧元栏为德国代理</x:v>
      </x:c>
    </x:row>
    <x:row r="33" ht="48" customHeight="1">
      <x:c r="A33" t="n">
        <x:v>1947</x:v>
      </x:c>
      <x:c r="B33" s="12" t="str">
        <x:v>美元（USD）</x:v>
      </x:c>
      <x:c r="C33" s="12" t="str">
        <x:v>英镑（GBP）</x:v>
      </x:c>
      <x:c r="D33" s="12" t="str">
        <x:v>加拿大元（CAD）</x:v>
      </x:c>
      <x:c r="E33" s="12" t="str">
        <x:v>法国旧法郎</x:v>
      </x:c>
      <x:c r="F33" s="12" t="str">
        <x:v>帝国马克（Reichsmark）</x:v>
      </x:c>
      <x:c r="G33" s="12" t="str">
        <x:v>意大利里拉（ITL）</x:v>
      </x:c>
      <x:c r="H33" s="12" t="str">
        <x:v>日元（JPY）</x:v>
      </x:c>
      <x:c r="I33" s="12" t="str">
        <x:v>瑞士法郎（CHF）</x:v>
      </x:c>
      <x:c r="J33" s="12" t="str">
        <x:v>印度卢比（独立过渡年）</x:v>
      </x:c>
      <x:c r="K33" s="12" t="str">
        <x:v>苏联卢布（1947改制过渡）</x:v>
      </x:c>
      <x:c r="L33" s="12" t="str">
        <x:v>法币元</x:v>
      </x:c>
      <x:c r="M33" s="12" t="str">
        <x:v>德国代理：帝国马克（Reichsmark）</x:v>
      </x:c>
      <x:c r="N33" s="12" t="str">
        <x:v>含缺失；卢布含官价参考；欧元栏为德国代理</x:v>
      </x:c>
    </x:row>
    <x:row r="34" ht="48" customHeight="1">
      <x:c r="A34" t="n">
        <x:v>1948</x:v>
      </x:c>
      <x:c r="B34" s="12" t="str">
        <x:v>美元（USD）</x:v>
      </x:c>
      <x:c r="C34" s="12" t="str">
        <x:v>英镑（GBP）</x:v>
      </x:c>
      <x:c r="D34" s="12" t="str">
        <x:v>加拿大元（CAD）</x:v>
      </x:c>
      <x:c r="E34" s="12" t="str">
        <x:v>法国旧法郎</x:v>
      </x:c>
      <x:c r="F34" s="12" t="str">
        <x:v>帝国马克／德国马克（西部过渡）</x:v>
      </x:c>
      <x:c r="G34" s="12" t="str">
        <x:v>意大利里拉（ITL）</x:v>
      </x:c>
      <x:c r="H34" s="12" t="str">
        <x:v>日元（JPY）</x:v>
      </x:c>
      <x:c r="I34" s="12" t="str">
        <x:v>瑞士法郎（CHF）</x:v>
      </x:c>
      <x:c r="J34" s="12" t="str">
        <x:v>印度卢比（INR）</x:v>
      </x:c>
      <x:c r="K34" s="12" t="str">
        <x:v>苏联卢布（1947币制）</x:v>
      </x:c>
      <x:c r="L34" s="12" t="str">
        <x:v>法币／金圆券；人民币局部始发</x:v>
      </x:c>
      <x:c r="M34" s="12" t="str">
        <x:v>德国代理：帝国马克／德国马克（西部过渡）</x:v>
      </x:c>
      <x:c r="N34" s="12" t="str">
        <x:v>含缺失；卢布含官价参考；欧元栏为德国代理</x:v>
      </x:c>
    </x:row>
    <x:row r="35" ht="48" customHeight="1">
      <x:c r="A35" t="n">
        <x:v>1949</x:v>
      </x:c>
      <x:c r="B35" s="12" t="str">
        <x:v>美元（USD）</x:v>
      </x:c>
      <x:c r="C35" s="12" t="str">
        <x:v>英镑（GBP）</x:v>
      </x:c>
      <x:c r="D35" s="12" t="str">
        <x:v>加拿大元（CAD）</x:v>
      </x:c>
      <x:c r="E35" s="12" t="str">
        <x:v>法国旧法郎</x:v>
      </x:c>
      <x:c r="F35" s="12" t="str">
        <x:v>西德德国马克（DEM）</x:v>
      </x:c>
      <x:c r="G35" s="12" t="str">
        <x:v>意大利里拉（ITL）</x:v>
      </x:c>
      <x:c r="H35" s="12" t="str">
        <x:v>日元（JPY）</x:v>
      </x:c>
      <x:c r="I35" s="12" t="str">
        <x:v>瑞士法郎（CHF）</x:v>
      </x:c>
      <x:c r="J35" s="12" t="str">
        <x:v>印度卢比（INR）</x:v>
      </x:c>
      <x:c r="K35" s="12" t="str">
        <x:v>苏联卢布（1947币制）</x:v>
      </x:c>
      <x:c r="L35" s="12" t="str">
        <x:v>第一套人民币元（旧币）</x:v>
      </x:c>
      <x:c r="M35" s="12" t="str">
        <x:v>德国代理：西德德国马克（DEM）</x:v>
      </x:c>
      <x:c r="N35" s="12" t="str">
        <x:v>含缺失；卢布含官价参考；欧元栏为德国代理</x:v>
      </x:c>
    </x:row>
    <x:row r="36" ht="48" customHeight="1">
      <x:c r="A36" t="n">
        <x:v>1950</x:v>
      </x:c>
      <x:c r="B36" s="12" t="str">
        <x:v>美元（USD）</x:v>
      </x:c>
      <x:c r="C36" s="12" t="str">
        <x:v>英镑（GBP）</x:v>
      </x:c>
      <x:c r="D36" s="12" t="str">
        <x:v>加拿大元（CAD）</x:v>
      </x:c>
      <x:c r="E36" s="12" t="str">
        <x:v>法国旧法郎</x:v>
      </x:c>
      <x:c r="F36" s="12" t="str">
        <x:v>西德德国马克（DEM）</x:v>
      </x:c>
      <x:c r="G36" s="12" t="str">
        <x:v>意大利里拉（ITL）</x:v>
      </x:c>
      <x:c r="H36" s="12" t="str">
        <x:v>日元（JPY）</x:v>
      </x:c>
      <x:c r="I36" s="12" t="str">
        <x:v>瑞士法郎（CHF）</x:v>
      </x:c>
      <x:c r="J36" s="12" t="str">
        <x:v>印度卢比（INR）</x:v>
      </x:c>
      <x:c r="K36" s="12" t="str">
        <x:v>苏联卢布（1947币制）</x:v>
      </x:c>
      <x:c r="L36" s="12" t="str">
        <x:v>第一套人民币元（旧币）</x:v>
      </x:c>
      <x:c r="M36" s="12" t="str">
        <x:v>德国代理：西德德国马克（DEM）</x:v>
      </x:c>
      <x:c r="N36" s="12" t="str">
        <x:v>含缺失；卢布含官价参考；欧元栏为德国代理</x:v>
      </x:c>
    </x:row>
    <x:row r="37" ht="48" customHeight="1">
      <x:c r="A37" t="n">
        <x:v>1951</x:v>
      </x:c>
      <x:c r="B37" s="12" t="str">
        <x:v>美元（USD）</x:v>
      </x:c>
      <x:c r="C37" s="12" t="str">
        <x:v>英镑（GBP）</x:v>
      </x:c>
      <x:c r="D37" s="12" t="str">
        <x:v>加拿大元（CAD）</x:v>
      </x:c>
      <x:c r="E37" s="12" t="str">
        <x:v>法国旧法郎</x:v>
      </x:c>
      <x:c r="F37" s="12" t="str">
        <x:v>西德德国马克（DEM）</x:v>
      </x:c>
      <x:c r="G37" s="12" t="str">
        <x:v>意大利里拉（ITL）</x:v>
      </x:c>
      <x:c r="H37" s="12" t="str">
        <x:v>日元（JPY）</x:v>
      </x:c>
      <x:c r="I37" s="12" t="str">
        <x:v>瑞士法郎（CHF）</x:v>
      </x:c>
      <x:c r="J37" s="12" t="str">
        <x:v>印度卢比（INR）</x:v>
      </x:c>
      <x:c r="K37" s="12" t="str">
        <x:v>苏联卢布（1947币制）</x:v>
      </x:c>
      <x:c r="L37" s="12" t="str">
        <x:v>第一套人民币元（旧币）</x:v>
      </x:c>
      <x:c r="M37" s="12" t="str">
        <x:v>德国代理：西德德国马克（DEM）</x:v>
      </x:c>
      <x:c r="N37" s="12" t="str">
        <x:v>含缺失；卢布含官价参考；欧元栏为德国代理</x:v>
      </x:c>
    </x:row>
    <x:row r="38" ht="48" customHeight="1">
      <x:c r="A38" t="n">
        <x:v>1952</x:v>
      </x:c>
      <x:c r="B38" s="12" t="str">
        <x:v>美元（USD）</x:v>
      </x:c>
      <x:c r="C38" s="12" t="str">
        <x:v>英镑（GBP）</x:v>
      </x:c>
      <x:c r="D38" s="12" t="str">
        <x:v>加拿大元（CAD）</x:v>
      </x:c>
      <x:c r="E38" s="12" t="str">
        <x:v>法国旧法郎</x:v>
      </x:c>
      <x:c r="F38" s="12" t="str">
        <x:v>西德德国马克（DEM）</x:v>
      </x:c>
      <x:c r="G38" s="12" t="str">
        <x:v>意大利里拉（ITL）</x:v>
      </x:c>
      <x:c r="H38" s="12" t="str">
        <x:v>日元（JPY）</x:v>
      </x:c>
      <x:c r="I38" s="12" t="str">
        <x:v>瑞士法郎（CHF）</x:v>
      </x:c>
      <x:c r="J38" s="12" t="str">
        <x:v>印度卢比（INR）</x:v>
      </x:c>
      <x:c r="K38" s="12" t="str">
        <x:v>苏联卢布（1947币制）</x:v>
      </x:c>
      <x:c r="L38" s="12" t="str">
        <x:v>第一套人民币元（旧币）</x:v>
      </x:c>
      <x:c r="M38" s="12" t="str">
        <x:v>德国代理：西德德国马克（DEM）</x:v>
      </x:c>
      <x:c r="N38" s="12" t="str">
        <x:v>卢布含官价参考；欧元栏为德国代理</x:v>
      </x:c>
    </x:row>
    <x:row r="39" ht="48" customHeight="1">
      <x:c r="A39" t="n">
        <x:v>1953</x:v>
      </x:c>
      <x:c r="B39" s="12" t="str">
        <x:v>美元（USD）</x:v>
      </x:c>
      <x:c r="C39" s="12" t="str">
        <x:v>英镑（GBP）</x:v>
      </x:c>
      <x:c r="D39" s="12" t="str">
        <x:v>加拿大元（CAD）</x:v>
      </x:c>
      <x:c r="E39" s="12" t="str">
        <x:v>法国旧法郎</x:v>
      </x:c>
      <x:c r="F39" s="12" t="str">
        <x:v>西德德国马克（DEM）</x:v>
      </x:c>
      <x:c r="G39" s="12" t="str">
        <x:v>意大利里拉（ITL）</x:v>
      </x:c>
      <x:c r="H39" s="12" t="str">
        <x:v>日元（JPY）</x:v>
      </x:c>
      <x:c r="I39" s="12" t="str">
        <x:v>瑞士法郎（CHF）</x:v>
      </x:c>
      <x:c r="J39" s="12" t="str">
        <x:v>印度卢比（INR）</x:v>
      </x:c>
      <x:c r="K39" s="12" t="str">
        <x:v>苏联卢布（1947币制）</x:v>
      </x:c>
      <x:c r="L39" s="12" t="str">
        <x:v>第一套人民币元（旧币）</x:v>
      </x:c>
      <x:c r="M39" s="12" t="str">
        <x:v>德国代理：西德德国马克（DEM）</x:v>
      </x:c>
      <x:c r="N39" s="12" t="str">
        <x:v>卢布含官价参考；欧元栏为德国代理</x:v>
      </x:c>
    </x:row>
    <x:row r="40" ht="48" customHeight="1">
      <x:c r="A40" t="n">
        <x:v>1954</x:v>
      </x:c>
      <x:c r="B40" s="12" t="str">
        <x:v>美元（USD）</x:v>
      </x:c>
      <x:c r="C40" s="12" t="str">
        <x:v>英镑（GBP）</x:v>
      </x:c>
      <x:c r="D40" s="12" t="str">
        <x:v>加拿大元（CAD）</x:v>
      </x:c>
      <x:c r="E40" s="12" t="str">
        <x:v>法国旧法郎</x:v>
      </x:c>
      <x:c r="F40" s="12" t="str">
        <x:v>西德德国马克（DEM）</x:v>
      </x:c>
      <x:c r="G40" s="12" t="str">
        <x:v>意大利里拉（ITL）</x:v>
      </x:c>
      <x:c r="H40" s="12" t="str">
        <x:v>日元（JPY）</x:v>
      </x:c>
      <x:c r="I40" s="12" t="str">
        <x:v>瑞士法郎（CHF）</x:v>
      </x:c>
      <x:c r="J40" s="12" t="str">
        <x:v>印度卢比（INR）</x:v>
      </x:c>
      <x:c r="K40" s="12" t="str">
        <x:v>苏联卢布（1947币制）</x:v>
      </x:c>
      <x:c r="L40" s="12" t="str">
        <x:v>第一套人民币元（旧币）</x:v>
      </x:c>
      <x:c r="M40" s="12" t="str">
        <x:v>德国代理：西德德国马克（DEM）</x:v>
      </x:c>
      <x:c r="N40" s="12" t="str">
        <x:v>卢布含官价参考；欧元栏为德国代理</x:v>
      </x:c>
    </x:row>
    <x:row r="41" ht="48" customHeight="1">
      <x:c r="A41" t="n">
        <x:v>1955</x:v>
      </x:c>
      <x:c r="B41" s="12" t="str">
        <x:v>美元（USD）</x:v>
      </x:c>
      <x:c r="C41" s="12" t="str">
        <x:v>英镑（GBP）</x:v>
      </x:c>
      <x:c r="D41" s="12" t="str">
        <x:v>加拿大元（CAD）</x:v>
      </x:c>
      <x:c r="E41" s="12" t="str">
        <x:v>法国旧法郎</x:v>
      </x:c>
      <x:c r="F41" s="12" t="str">
        <x:v>西德德国马克（DEM）</x:v>
      </x:c>
      <x:c r="G41" s="12" t="str">
        <x:v>意大利里拉（ITL）</x:v>
      </x:c>
      <x:c r="H41" s="12" t="str">
        <x:v>日元（JPY）</x:v>
      </x:c>
      <x:c r="I41" s="12" t="str">
        <x:v>瑞士法郎（CHF）</x:v>
      </x:c>
      <x:c r="J41" s="12" t="str">
        <x:v>印度卢比（INR）</x:v>
      </x:c>
      <x:c r="K41" s="12" t="str">
        <x:v>苏联卢布（1947币制）</x:v>
      </x:c>
      <x:c r="L41" s="12" t="str">
        <x:v>人民币元（1955币制；CNY）</x:v>
      </x:c>
      <x:c r="M41" s="12" t="str">
        <x:v>德国代理：西德德国马克（DEM）</x:v>
      </x:c>
      <x:c r="N41" s="12" t="str">
        <x:v>卢布含官价参考；欧元栏为德国代理</x:v>
      </x:c>
    </x:row>
    <x:row r="42" ht="48" customHeight="1">
      <x:c r="A42" t="n">
        <x:v>1956</x:v>
      </x:c>
      <x:c r="B42" s="12" t="str">
        <x:v>美元（USD）</x:v>
      </x:c>
      <x:c r="C42" s="12" t="str">
        <x:v>英镑（GBP）</x:v>
      </x:c>
      <x:c r="D42" s="12" t="str">
        <x:v>加拿大元（CAD）</x:v>
      </x:c>
      <x:c r="E42" s="12" t="str">
        <x:v>法国旧法郎</x:v>
      </x:c>
      <x:c r="F42" s="12" t="str">
        <x:v>西德德国马克（DEM）</x:v>
      </x:c>
      <x:c r="G42" s="12" t="str">
        <x:v>意大利里拉（ITL）</x:v>
      </x:c>
      <x:c r="H42" s="12" t="str">
        <x:v>日元（JPY）</x:v>
      </x:c>
      <x:c r="I42" s="12" t="str">
        <x:v>瑞士法郎（CHF）</x:v>
      </x:c>
      <x:c r="J42" s="12" t="str">
        <x:v>印度卢比（INR）</x:v>
      </x:c>
      <x:c r="K42" s="12" t="str">
        <x:v>苏联卢布（1947币制）</x:v>
      </x:c>
      <x:c r="L42" s="12" t="str">
        <x:v>人民币元（1955币制；CNY）</x:v>
      </x:c>
      <x:c r="M42" s="12" t="str">
        <x:v>德国代理：西德德国马克（DEM）</x:v>
      </x:c>
      <x:c r="N42" s="12" t="str">
        <x:v>卢布含官价参考；欧元栏为德国代理</x:v>
      </x:c>
    </x:row>
    <x:row r="43" ht="48" customHeight="1">
      <x:c r="A43" t="n">
        <x:v>1957</x:v>
      </x:c>
      <x:c r="B43" s="12" t="str">
        <x:v>美元（USD）</x:v>
      </x:c>
      <x:c r="C43" s="12" t="str">
        <x:v>英镑（GBP）</x:v>
      </x:c>
      <x:c r="D43" s="12" t="str">
        <x:v>加拿大元（CAD）</x:v>
      </x:c>
      <x:c r="E43" s="12" t="str">
        <x:v>法国旧法郎</x:v>
      </x:c>
      <x:c r="F43" s="12" t="str">
        <x:v>西德德国马克（DEM）</x:v>
      </x:c>
      <x:c r="G43" s="12" t="str">
        <x:v>意大利里拉（ITL）</x:v>
      </x:c>
      <x:c r="H43" s="12" t="str">
        <x:v>日元（JPY）</x:v>
      </x:c>
      <x:c r="I43" s="12" t="str">
        <x:v>瑞士法郎（CHF）</x:v>
      </x:c>
      <x:c r="J43" s="12" t="str">
        <x:v>印度卢比（INR）</x:v>
      </x:c>
      <x:c r="K43" s="12" t="str">
        <x:v>苏联卢布（1947币制）</x:v>
      </x:c>
      <x:c r="L43" s="12" t="str">
        <x:v>人民币元（1955币制；CNY）</x:v>
      </x:c>
      <x:c r="M43" s="12" t="str">
        <x:v>德国代理：西德德国马克（DEM）</x:v>
      </x:c>
      <x:c r="N43" s="12" t="str">
        <x:v>卢布含官价参考；欧元栏为德国代理</x:v>
      </x:c>
    </x:row>
    <x:row r="44" ht="48" customHeight="1">
      <x:c r="A44" t="n">
        <x:v>1958</x:v>
      </x:c>
      <x:c r="B44" s="12" t="str">
        <x:v>美元（USD）</x:v>
      </x:c>
      <x:c r="C44" s="12" t="str">
        <x:v>英镑（GBP）</x:v>
      </x:c>
      <x:c r="D44" s="12" t="str">
        <x:v>加拿大元（CAD）</x:v>
      </x:c>
      <x:c r="E44" s="12" t="str">
        <x:v>法国旧法郎</x:v>
      </x:c>
      <x:c r="F44" s="12" t="str">
        <x:v>西德德国马克（DEM）</x:v>
      </x:c>
      <x:c r="G44" s="12" t="str">
        <x:v>意大利里拉（ITL）</x:v>
      </x:c>
      <x:c r="H44" s="12" t="str">
        <x:v>日元（JPY）</x:v>
      </x:c>
      <x:c r="I44" s="12" t="str">
        <x:v>瑞士法郎（CHF）</x:v>
      </x:c>
      <x:c r="J44" s="12" t="str">
        <x:v>印度卢比（INR）</x:v>
      </x:c>
      <x:c r="K44" s="12" t="str">
        <x:v>苏联卢布（1947币制）</x:v>
      </x:c>
      <x:c r="L44" s="12" t="str">
        <x:v>人民币元（1955币制；CNY）</x:v>
      </x:c>
      <x:c r="M44" s="12" t="str">
        <x:v>德国代理：西德德国马克（DEM）</x:v>
      </x:c>
      <x:c r="N44" s="12" t="str">
        <x:v>卢布含官价参考；欧元栏为德国代理</x:v>
      </x:c>
    </x:row>
    <x:row r="45" ht="48" customHeight="1">
      <x:c r="A45" t="n">
        <x:v>1959</x:v>
      </x:c>
      <x:c r="B45" s="12" t="str">
        <x:v>美元（USD）</x:v>
      </x:c>
      <x:c r="C45" s="12" t="str">
        <x:v>英镑（GBP）</x:v>
      </x:c>
      <x:c r="D45" s="12" t="str">
        <x:v>加拿大元（CAD）</x:v>
      </x:c>
      <x:c r="E45" s="12" t="str">
        <x:v>法国旧法郎</x:v>
      </x:c>
      <x:c r="F45" s="12" t="str">
        <x:v>西德德国马克（DEM）</x:v>
      </x:c>
      <x:c r="G45" s="12" t="str">
        <x:v>意大利里拉（ITL）</x:v>
      </x:c>
      <x:c r="H45" s="12" t="str">
        <x:v>日元（JPY）</x:v>
      </x:c>
      <x:c r="I45" s="12" t="str">
        <x:v>瑞士法郎（CHF）</x:v>
      </x:c>
      <x:c r="J45" s="12" t="str">
        <x:v>印度卢比（INR）</x:v>
      </x:c>
      <x:c r="K45" s="12" t="str">
        <x:v>苏联卢布（1947币制）</x:v>
      </x:c>
      <x:c r="L45" s="12" t="str">
        <x:v>人民币元（1955币制；CNY）</x:v>
      </x:c>
      <x:c r="M45" s="12" t="str">
        <x:v>德国代理：西德德国马克（DEM）</x:v>
      </x:c>
      <x:c r="N45" s="12" t="str">
        <x:v>卢布含官价参考；欧元栏为德国代理</x:v>
      </x:c>
    </x:row>
    <x:row r="46" ht="48" customHeight="1">
      <x:c r="A46" t="n">
        <x:v>1960</x:v>
      </x:c>
      <x:c r="B46" s="12" t="str">
        <x:v>美元（USD）</x:v>
      </x:c>
      <x:c r="C46" s="12" t="str">
        <x:v>英镑（GBP）</x:v>
      </x:c>
      <x:c r="D46" s="12" t="str">
        <x:v>加拿大元（CAD）</x:v>
      </x:c>
      <x:c r="E46" s="12" t="str">
        <x:v>法国新法郎</x:v>
      </x:c>
      <x:c r="F46" s="12" t="str">
        <x:v>西德德国马克（DEM）</x:v>
      </x:c>
      <x:c r="G46" s="12" t="str">
        <x:v>意大利里拉（ITL）</x:v>
      </x:c>
      <x:c r="H46" s="12" t="str">
        <x:v>日元（JPY）</x:v>
      </x:c>
      <x:c r="I46" s="12" t="str">
        <x:v>瑞士法郎（CHF）</x:v>
      </x:c>
      <x:c r="J46" s="12" t="str">
        <x:v>印度卢比（INR）</x:v>
      </x:c>
      <x:c r="K46" s="12" t="str">
        <x:v>苏联卢布（1947币制）</x:v>
      </x:c>
      <x:c r="L46" s="12" t="str">
        <x:v>人民币元（1955币制；CNY）</x:v>
      </x:c>
      <x:c r="M46" s="12" t="str">
        <x:v>德国代理：西德德国马克（DEM）</x:v>
      </x:c>
      <x:c r="N46" s="12" t="str">
        <x:v>卢布含官价参考；欧元栏为德国代理</x:v>
      </x:c>
    </x:row>
    <x:row r="47" ht="48" customHeight="1">
      <x:c r="A47" t="n">
        <x:v>1961</x:v>
      </x:c>
      <x:c r="B47" s="12" t="str">
        <x:v>美元（USD）</x:v>
      </x:c>
      <x:c r="C47" s="12" t="str">
        <x:v>英镑（GBP）</x:v>
      </x:c>
      <x:c r="D47" s="12" t="str">
        <x:v>加拿大元（CAD）</x:v>
      </x:c>
      <x:c r="E47" s="12" t="str">
        <x:v>法国新法郎</x:v>
      </x:c>
      <x:c r="F47" s="12" t="str">
        <x:v>西德德国马克（DEM）</x:v>
      </x:c>
      <x:c r="G47" s="12" t="str">
        <x:v>意大利里拉（ITL）</x:v>
      </x:c>
      <x:c r="H47" s="12" t="str">
        <x:v>日元（JPY）</x:v>
      </x:c>
      <x:c r="I47" s="12" t="str">
        <x:v>瑞士法郎（CHF）</x:v>
      </x:c>
      <x:c r="J47" s="12" t="str">
        <x:v>印度卢比（INR）</x:v>
      </x:c>
      <x:c r="K47" s="12" t="str">
        <x:v>苏联卢布（1961币制）</x:v>
      </x:c>
      <x:c r="L47" s="12" t="str">
        <x:v>人民币元（1955币制；CNY）</x:v>
      </x:c>
      <x:c r="M47" s="12" t="str">
        <x:v>德国代理：西德德国马克（DEM）</x:v>
      </x:c>
      <x:c r="N47" s="12" t="str">
        <x:v>卢布含官价参考；欧元栏为德国代理</x:v>
      </x:c>
    </x:row>
    <x:row r="48" ht="48" customHeight="1">
      <x:c r="A48" t="n">
        <x:v>1962</x:v>
      </x:c>
      <x:c r="B48" s="12" t="str">
        <x:v>美元（USD）</x:v>
      </x:c>
      <x:c r="C48" s="12" t="str">
        <x:v>英镑（GBP）</x:v>
      </x:c>
      <x:c r="D48" s="12" t="str">
        <x:v>加拿大元（CAD）</x:v>
      </x:c>
      <x:c r="E48" s="12" t="str">
        <x:v>法国新法郎</x:v>
      </x:c>
      <x:c r="F48" s="12" t="str">
        <x:v>西德德国马克（DEM）</x:v>
      </x:c>
      <x:c r="G48" s="12" t="str">
        <x:v>意大利里拉（ITL）</x:v>
      </x:c>
      <x:c r="H48" s="12" t="str">
        <x:v>日元（JPY）</x:v>
      </x:c>
      <x:c r="I48" s="12" t="str">
        <x:v>瑞士法郎（CHF）</x:v>
      </x:c>
      <x:c r="J48" s="12" t="str">
        <x:v>印度卢比（INR）</x:v>
      </x:c>
      <x:c r="K48" s="12" t="str">
        <x:v>苏联卢布（1961币制）</x:v>
      </x:c>
      <x:c r="L48" s="12" t="str">
        <x:v>人民币元（1955币制；CNY）</x:v>
      </x:c>
      <x:c r="M48" s="12" t="str">
        <x:v>德国代理：西德德国马克（DEM）</x:v>
      </x:c>
      <x:c r="N48" s="12" t="str">
        <x:v>卢布含官价参考；欧元栏为德国代理</x:v>
      </x:c>
    </x:row>
    <x:row r="49" ht="48" customHeight="1">
      <x:c r="A49" t="n">
        <x:v>1963</x:v>
      </x:c>
      <x:c r="B49" s="12" t="str">
        <x:v>美元（USD）</x:v>
      </x:c>
      <x:c r="C49" s="12" t="str">
        <x:v>英镑（GBP）</x:v>
      </x:c>
      <x:c r="D49" s="12" t="str">
        <x:v>加拿大元（CAD）</x:v>
      </x:c>
      <x:c r="E49" s="12" t="str">
        <x:v>法国法郎（FRF；1960币制）</x:v>
      </x:c>
      <x:c r="F49" s="12" t="str">
        <x:v>西德德国马克（DEM）</x:v>
      </x:c>
      <x:c r="G49" s="12" t="str">
        <x:v>意大利里拉（ITL）</x:v>
      </x:c>
      <x:c r="H49" s="12" t="str">
        <x:v>日元（JPY）</x:v>
      </x:c>
      <x:c r="I49" s="12" t="str">
        <x:v>瑞士法郎（CHF）</x:v>
      </x:c>
      <x:c r="J49" s="12" t="str">
        <x:v>印度卢比（INR）</x:v>
      </x:c>
      <x:c r="K49" s="12" t="str">
        <x:v>苏联卢布（1961币制）</x:v>
      </x:c>
      <x:c r="L49" s="12" t="str">
        <x:v>人民币元（1955币制；CNY）</x:v>
      </x:c>
      <x:c r="M49" s="12" t="str">
        <x:v>德国代理：西德德国马克（DEM）</x:v>
      </x:c>
      <x:c r="N49" s="12" t="str">
        <x:v>卢布含官价参考；欧元栏为德国代理</x:v>
      </x:c>
    </x:row>
    <x:row r="50" ht="48" customHeight="1">
      <x:c r="A50" t="n">
        <x:v>1964</x:v>
      </x:c>
      <x:c r="B50" s="12" t="str">
        <x:v>美元（USD）</x:v>
      </x:c>
      <x:c r="C50" s="12" t="str">
        <x:v>英镑（GBP）</x:v>
      </x:c>
      <x:c r="D50" s="12" t="str">
        <x:v>加拿大元（CAD）</x:v>
      </x:c>
      <x:c r="E50" s="12" t="str">
        <x:v>法国法郎（FRF；1960币制）</x:v>
      </x:c>
      <x:c r="F50" s="12" t="str">
        <x:v>西德德国马克（DEM）</x:v>
      </x:c>
      <x:c r="G50" s="12" t="str">
        <x:v>意大利里拉（ITL）</x:v>
      </x:c>
      <x:c r="H50" s="12" t="str">
        <x:v>日元（JPY）</x:v>
      </x:c>
      <x:c r="I50" s="12" t="str">
        <x:v>瑞士法郎（CHF）</x:v>
      </x:c>
      <x:c r="J50" s="12" t="str">
        <x:v>印度卢比（INR）</x:v>
      </x:c>
      <x:c r="K50" s="12" t="str">
        <x:v>苏联卢布（1961币制）</x:v>
      </x:c>
      <x:c r="L50" s="12" t="str">
        <x:v>人民币元（1955币制；CNY）</x:v>
      </x:c>
      <x:c r="M50" s="12" t="str">
        <x:v>德国代理：西德德国马克（DEM）</x:v>
      </x:c>
      <x:c r="N50" s="12" t="str">
        <x:v>卢布含官价参考；欧元栏为德国代理</x:v>
      </x:c>
    </x:row>
    <x:row r="51" ht="48" customHeight="1">
      <x:c r="A51" t="n">
        <x:v>1965</x:v>
      </x:c>
      <x:c r="B51" s="12" t="str">
        <x:v>美元（USD）</x:v>
      </x:c>
      <x:c r="C51" s="12" t="str">
        <x:v>英镑（GBP）</x:v>
      </x:c>
      <x:c r="D51" s="12" t="str">
        <x:v>加拿大元（CAD）</x:v>
      </x:c>
      <x:c r="E51" s="12" t="str">
        <x:v>法国法郎（FRF；1960币制）</x:v>
      </x:c>
      <x:c r="F51" s="12" t="str">
        <x:v>西德德国马克（DEM）</x:v>
      </x:c>
      <x:c r="G51" s="12" t="str">
        <x:v>意大利里拉（ITL）</x:v>
      </x:c>
      <x:c r="H51" s="12" t="str">
        <x:v>日元（JPY）</x:v>
      </x:c>
      <x:c r="I51" s="12" t="str">
        <x:v>瑞士法郎（CHF）</x:v>
      </x:c>
      <x:c r="J51" s="12" t="str">
        <x:v>印度卢比（INR）</x:v>
      </x:c>
      <x:c r="K51" s="12" t="str">
        <x:v>苏联卢布（1961币制）</x:v>
      </x:c>
      <x:c r="L51" s="12" t="str">
        <x:v>人民币元（1955币制；CNY）</x:v>
      </x:c>
      <x:c r="M51" s="12" t="str">
        <x:v>德国代理：西德德国马克（DEM）</x:v>
      </x:c>
      <x:c r="N51" s="12" t="str">
        <x:v>卢布含官价参考；欧元栏为德国代理</x:v>
      </x:c>
    </x:row>
    <x:row r="52" ht="48" customHeight="1">
      <x:c r="A52" t="n">
        <x:v>1966</x:v>
      </x:c>
      <x:c r="B52" s="12" t="str">
        <x:v>美元（USD）</x:v>
      </x:c>
      <x:c r="C52" s="12" t="str">
        <x:v>英镑（GBP）</x:v>
      </x:c>
      <x:c r="D52" s="12" t="str">
        <x:v>加拿大元（CAD）</x:v>
      </x:c>
      <x:c r="E52" s="12" t="str">
        <x:v>法国法郎（FRF；1960币制）</x:v>
      </x:c>
      <x:c r="F52" s="12" t="str">
        <x:v>西德德国马克（DEM）</x:v>
      </x:c>
      <x:c r="G52" s="12" t="str">
        <x:v>意大利里拉（ITL）</x:v>
      </x:c>
      <x:c r="H52" s="12" t="str">
        <x:v>日元（JPY）</x:v>
      </x:c>
      <x:c r="I52" s="12" t="str">
        <x:v>瑞士法郎（CHF）</x:v>
      </x:c>
      <x:c r="J52" s="12" t="str">
        <x:v>印度卢比（INR）</x:v>
      </x:c>
      <x:c r="K52" s="12" t="str">
        <x:v>苏联卢布（1961币制）</x:v>
      </x:c>
      <x:c r="L52" s="12" t="str">
        <x:v>人民币元（1955币制；CNY）</x:v>
      </x:c>
      <x:c r="M52" s="12" t="str">
        <x:v>德国代理：西德德国马克（DEM）</x:v>
      </x:c>
      <x:c r="N52" s="12" t="str">
        <x:v>卢布含官价参考；欧元栏为德国代理</x:v>
      </x:c>
    </x:row>
    <x:row r="53" ht="48" customHeight="1">
      <x:c r="A53" t="n">
        <x:v>1967</x:v>
      </x:c>
      <x:c r="B53" s="12" t="str">
        <x:v>美元（USD）</x:v>
      </x:c>
      <x:c r="C53" s="12" t="str">
        <x:v>英镑（GBP）</x:v>
      </x:c>
      <x:c r="D53" s="12" t="str">
        <x:v>加拿大元（CAD）</x:v>
      </x:c>
      <x:c r="E53" s="12" t="str">
        <x:v>法国法郎（FRF；1960币制）</x:v>
      </x:c>
      <x:c r="F53" s="12" t="str">
        <x:v>西德德国马克（DEM）</x:v>
      </x:c>
      <x:c r="G53" s="12" t="str">
        <x:v>意大利里拉（ITL）</x:v>
      </x:c>
      <x:c r="H53" s="12" t="str">
        <x:v>日元（JPY）</x:v>
      </x:c>
      <x:c r="I53" s="12" t="str">
        <x:v>瑞士法郎（CHF）</x:v>
      </x:c>
      <x:c r="J53" s="12" t="str">
        <x:v>印度卢比（INR）</x:v>
      </x:c>
      <x:c r="K53" s="12" t="str">
        <x:v>苏联卢布（1961币制）</x:v>
      </x:c>
      <x:c r="L53" s="12" t="str">
        <x:v>人民币元（1955币制；CNY）</x:v>
      </x:c>
      <x:c r="M53" s="12" t="str">
        <x:v>德国代理：西德德国马克（DEM）</x:v>
      </x:c>
      <x:c r="N53" s="12" t="str">
        <x:v>卢布含官价参考；欧元栏为德国代理</x:v>
      </x:c>
    </x:row>
    <x:row r="54" ht="48" customHeight="1">
      <x:c r="A54" t="n">
        <x:v>1968</x:v>
      </x:c>
      <x:c r="B54" s="12" t="str">
        <x:v>美元（USD）</x:v>
      </x:c>
      <x:c r="C54" s="12" t="str">
        <x:v>英镑（GBP）</x:v>
      </x:c>
      <x:c r="D54" s="12" t="str">
        <x:v>加拿大元（CAD）</x:v>
      </x:c>
      <x:c r="E54" s="12" t="str">
        <x:v>法国法郎（FRF；1960币制）</x:v>
      </x:c>
      <x:c r="F54" s="12" t="str">
        <x:v>西德德国马克（DEM）</x:v>
      </x:c>
      <x:c r="G54" s="12" t="str">
        <x:v>意大利里拉（ITL）</x:v>
      </x:c>
      <x:c r="H54" s="12" t="str">
        <x:v>日元（JPY）</x:v>
      </x:c>
      <x:c r="I54" s="12" t="str">
        <x:v>瑞士法郎（CHF）</x:v>
      </x:c>
      <x:c r="J54" s="12" t="str">
        <x:v>印度卢比（INR）</x:v>
      </x:c>
      <x:c r="K54" s="12" t="str">
        <x:v>苏联卢布（1961币制）</x:v>
      </x:c>
      <x:c r="L54" s="12" t="str">
        <x:v>人民币元（1955币制；CNY）</x:v>
      </x:c>
      <x:c r="M54" s="12" t="str">
        <x:v>德国代理：西德德国马克（DEM）</x:v>
      </x:c>
      <x:c r="N54" s="12" t="str">
        <x:v>卢布含官价参考；欧元栏为德国代理</x:v>
      </x:c>
    </x:row>
    <x:row r="55" ht="48" customHeight="1">
      <x:c r="A55" t="n">
        <x:v>1969</x:v>
      </x:c>
      <x:c r="B55" s="12" t="str">
        <x:v>美元（USD）</x:v>
      </x:c>
      <x:c r="C55" s="12" t="str">
        <x:v>英镑（GBP）</x:v>
      </x:c>
      <x:c r="D55" s="12" t="str">
        <x:v>加拿大元（CAD）</x:v>
      </x:c>
      <x:c r="E55" s="12" t="str">
        <x:v>法国法郎（FRF；1960币制）</x:v>
      </x:c>
      <x:c r="F55" s="12" t="str">
        <x:v>西德德国马克（DEM）</x:v>
      </x:c>
      <x:c r="G55" s="12" t="str">
        <x:v>意大利里拉（ITL）</x:v>
      </x:c>
      <x:c r="H55" s="12" t="str">
        <x:v>日元（JPY）</x:v>
      </x:c>
      <x:c r="I55" s="12" t="str">
        <x:v>瑞士法郎（CHF）</x:v>
      </x:c>
      <x:c r="J55" s="12" t="str">
        <x:v>印度卢比（INR）</x:v>
      </x:c>
      <x:c r="K55" s="12" t="str">
        <x:v>苏联卢布（1961币制）</x:v>
      </x:c>
      <x:c r="L55" s="12" t="str">
        <x:v>人民币元（1955币制；CNY）</x:v>
      </x:c>
      <x:c r="M55" s="12" t="str">
        <x:v>德国代理：西德德国马克（DEM）</x:v>
      </x:c>
      <x:c r="N55" s="12" t="str">
        <x:v>卢布含官价参考；欧元栏为德国代理</x:v>
      </x:c>
    </x:row>
    <x:row r="56" ht="48" customHeight="1">
      <x:c r="A56" t="n">
        <x:v>1970</x:v>
      </x:c>
      <x:c r="B56" s="12" t="str">
        <x:v>美元（USD）</x:v>
      </x:c>
      <x:c r="C56" s="12" t="str">
        <x:v>英镑（GBP）</x:v>
      </x:c>
      <x:c r="D56" s="12" t="str">
        <x:v>加拿大元（CAD）</x:v>
      </x:c>
      <x:c r="E56" s="12" t="str">
        <x:v>法国法郎（FRF；1960币制）</x:v>
      </x:c>
      <x:c r="F56" s="12" t="str">
        <x:v>西德德国马克（DEM）</x:v>
      </x:c>
      <x:c r="G56" s="12" t="str">
        <x:v>意大利里拉（ITL）</x:v>
      </x:c>
      <x:c r="H56" s="12" t="str">
        <x:v>日元（JPY）</x:v>
      </x:c>
      <x:c r="I56" s="12" t="str">
        <x:v>瑞士法郎（CHF）</x:v>
      </x:c>
      <x:c r="J56" s="12" t="str">
        <x:v>印度卢比（INR）</x:v>
      </x:c>
      <x:c r="K56" s="12" t="str">
        <x:v>苏联卢布（1961币制）</x:v>
      </x:c>
      <x:c r="L56" s="12" t="str">
        <x:v>人民币元（1955币制；CNY）</x:v>
      </x:c>
      <x:c r="M56" s="12" t="str">
        <x:v>德国代理：西德德国马克（DEM）</x:v>
      </x:c>
      <x:c r="N56" s="12" t="str">
        <x:v>卢布含官价参考；欧元栏为德国代理</x:v>
      </x:c>
    </x:row>
    <x:row r="57" ht="48" customHeight="1">
      <x:c r="A57" t="n">
        <x:v>1971</x:v>
      </x:c>
      <x:c r="B57" s="12" t="str">
        <x:v>美元（USD）</x:v>
      </x:c>
      <x:c r="C57" s="12" t="str">
        <x:v>英镑（GBP）</x:v>
      </x:c>
      <x:c r="D57" s="12" t="str">
        <x:v>加拿大元（CAD）</x:v>
      </x:c>
      <x:c r="E57" s="12" t="str">
        <x:v>法国法郎（FRF；1960币制）</x:v>
      </x:c>
      <x:c r="F57" s="12" t="str">
        <x:v>西德德国马克（DEM）</x:v>
      </x:c>
      <x:c r="G57" s="12" t="str">
        <x:v>意大利里拉（ITL）</x:v>
      </x:c>
      <x:c r="H57" s="12" t="str">
        <x:v>日元（JPY）</x:v>
      </x:c>
      <x:c r="I57" s="12" t="str">
        <x:v>瑞士法郎（CHF）</x:v>
      </x:c>
      <x:c r="J57" s="12" t="str">
        <x:v>印度卢比（INR）</x:v>
      </x:c>
      <x:c r="K57" s="12" t="str">
        <x:v>苏联卢布（1961币制）</x:v>
      </x:c>
      <x:c r="L57" s="12" t="str">
        <x:v>人民币元（1955币制；CNY）</x:v>
      </x:c>
      <x:c r="M57" s="12" t="str">
        <x:v>德国代理：西德德国马克（DEM）</x:v>
      </x:c>
      <x:c r="N57" s="12" t="str">
        <x:v>卢布含官价参考；欧元栏为德国代理</x:v>
      </x:c>
    </x:row>
    <x:row r="58" ht="48" customHeight="1">
      <x:c r="A58" t="n">
        <x:v>1972</x:v>
      </x:c>
      <x:c r="B58" s="12" t="str">
        <x:v>美元（USD）</x:v>
      </x:c>
      <x:c r="C58" s="12" t="str">
        <x:v>英镑（GBP）</x:v>
      </x:c>
      <x:c r="D58" s="12" t="str">
        <x:v>加拿大元（CAD）</x:v>
      </x:c>
      <x:c r="E58" s="12" t="str">
        <x:v>法国法郎（FRF；1960币制）</x:v>
      </x:c>
      <x:c r="F58" s="12" t="str">
        <x:v>西德德国马克（DEM）</x:v>
      </x:c>
      <x:c r="G58" s="12" t="str">
        <x:v>意大利里拉（ITL）</x:v>
      </x:c>
      <x:c r="H58" s="12" t="str">
        <x:v>日元（JPY）</x:v>
      </x:c>
      <x:c r="I58" s="12" t="str">
        <x:v>瑞士法郎（CHF）</x:v>
      </x:c>
      <x:c r="J58" s="12" t="str">
        <x:v>印度卢比（INR）</x:v>
      </x:c>
      <x:c r="K58" s="12" t="str">
        <x:v>苏联卢布（1961币制）</x:v>
      </x:c>
      <x:c r="L58" s="12" t="str">
        <x:v>人民币元（1955币制；CNY）</x:v>
      </x:c>
      <x:c r="M58" s="12" t="str">
        <x:v>德国代理：西德德国马克（DEM）</x:v>
      </x:c>
      <x:c r="N58" s="12" t="str">
        <x:v>卢布含官价参考；欧元栏为德国代理</x:v>
      </x:c>
    </x:row>
    <x:row r="59" ht="48" customHeight="1">
      <x:c r="A59" t="n">
        <x:v>1973</x:v>
      </x:c>
      <x:c r="B59" s="12" t="str">
        <x:v>美元（USD）</x:v>
      </x:c>
      <x:c r="C59" s="12" t="str">
        <x:v>英镑（GBP）</x:v>
      </x:c>
      <x:c r="D59" s="12" t="str">
        <x:v>加拿大元（CAD）</x:v>
      </x:c>
      <x:c r="E59" s="12" t="str">
        <x:v>法国法郎（FRF；1960币制）</x:v>
      </x:c>
      <x:c r="F59" s="12" t="str">
        <x:v>西德德国马克（DEM）</x:v>
      </x:c>
      <x:c r="G59" s="12" t="str">
        <x:v>意大利里拉（ITL）</x:v>
      </x:c>
      <x:c r="H59" s="12" t="str">
        <x:v>日元（JPY）</x:v>
      </x:c>
      <x:c r="I59" s="12" t="str">
        <x:v>瑞士法郎（CHF）</x:v>
      </x:c>
      <x:c r="J59" s="12" t="str">
        <x:v>印度卢比（INR）</x:v>
      </x:c>
      <x:c r="K59" s="12" t="str">
        <x:v>苏联卢布（1961币制）</x:v>
      </x:c>
      <x:c r="L59" s="12" t="str">
        <x:v>人民币元（1955币制；CNY）</x:v>
      </x:c>
      <x:c r="M59" s="12" t="str">
        <x:v>德国代理：西德德国马克（DEM）</x:v>
      </x:c>
      <x:c r="N59" s="12" t="str">
        <x:v>卢布含官价参考；欧元栏为德国代理</x:v>
      </x:c>
    </x:row>
    <x:row r="60" ht="48" customHeight="1">
      <x:c r="A60" t="n">
        <x:v>1974</x:v>
      </x:c>
      <x:c r="B60" s="12" t="str">
        <x:v>美元（USD）</x:v>
      </x:c>
      <x:c r="C60" s="12" t="str">
        <x:v>英镑（GBP）</x:v>
      </x:c>
      <x:c r="D60" s="12" t="str">
        <x:v>加拿大元（CAD）</x:v>
      </x:c>
      <x:c r="E60" s="12" t="str">
        <x:v>法国法郎（FRF；1960币制）</x:v>
      </x:c>
      <x:c r="F60" s="12" t="str">
        <x:v>西德德国马克（DEM）</x:v>
      </x:c>
      <x:c r="G60" s="12" t="str">
        <x:v>意大利里拉（ITL）</x:v>
      </x:c>
      <x:c r="H60" s="12" t="str">
        <x:v>日元（JPY）</x:v>
      </x:c>
      <x:c r="I60" s="12" t="str">
        <x:v>瑞士法郎（CHF）</x:v>
      </x:c>
      <x:c r="J60" s="12" t="str">
        <x:v>印度卢比（INR）</x:v>
      </x:c>
      <x:c r="K60" s="12" t="str">
        <x:v>苏联卢布（1961币制）</x:v>
      </x:c>
      <x:c r="L60" s="12" t="str">
        <x:v>人民币元（1955币制；CNY）</x:v>
      </x:c>
      <x:c r="M60" s="12" t="str">
        <x:v>德国代理：西德德国马克（DEM）</x:v>
      </x:c>
      <x:c r="N60" s="12" t="str">
        <x:v>卢布含官价参考；欧元栏为德国代理</x:v>
      </x:c>
    </x:row>
    <x:row r="61" ht="48" customHeight="1">
      <x:c r="A61" t="n">
        <x:v>1975</x:v>
      </x:c>
      <x:c r="B61" s="12" t="str">
        <x:v>美元（USD）</x:v>
      </x:c>
      <x:c r="C61" s="12" t="str">
        <x:v>英镑（GBP）</x:v>
      </x:c>
      <x:c r="D61" s="12" t="str">
        <x:v>加拿大元（CAD）</x:v>
      </x:c>
      <x:c r="E61" s="12" t="str">
        <x:v>法国法郎（FRF；1960币制）</x:v>
      </x:c>
      <x:c r="F61" s="12" t="str">
        <x:v>西德德国马克（DEM）</x:v>
      </x:c>
      <x:c r="G61" s="12" t="str">
        <x:v>意大利里拉（ITL）</x:v>
      </x:c>
      <x:c r="H61" s="12" t="str">
        <x:v>日元（JPY）</x:v>
      </x:c>
      <x:c r="I61" s="12" t="str">
        <x:v>瑞士法郎（CHF）</x:v>
      </x:c>
      <x:c r="J61" s="12" t="str">
        <x:v>印度卢比（INR）</x:v>
      </x:c>
      <x:c r="K61" s="12" t="str">
        <x:v>苏联卢布（1961币制）</x:v>
      </x:c>
      <x:c r="L61" s="12" t="str">
        <x:v>人民币元（1955币制；CNY）</x:v>
      </x:c>
      <x:c r="M61" s="12" t="str">
        <x:v>德国代理：西德德国马克（DEM）</x:v>
      </x:c>
      <x:c r="N61" s="12" t="str">
        <x:v>卢布含官价参考；欧元栏为德国代理</x:v>
      </x:c>
    </x:row>
    <x:row r="62" ht="48" customHeight="1">
      <x:c r="A62" t="n">
        <x:v>1976</x:v>
      </x:c>
      <x:c r="B62" s="12" t="str">
        <x:v>美元（USD）</x:v>
      </x:c>
      <x:c r="C62" s="12" t="str">
        <x:v>英镑（GBP）</x:v>
      </x:c>
      <x:c r="D62" s="12" t="str">
        <x:v>加拿大元（CAD）</x:v>
      </x:c>
      <x:c r="E62" s="12" t="str">
        <x:v>法国法郎（FRF；1960币制）</x:v>
      </x:c>
      <x:c r="F62" s="12" t="str">
        <x:v>西德德国马克（DEM）</x:v>
      </x:c>
      <x:c r="G62" s="12" t="str">
        <x:v>意大利里拉（ITL）</x:v>
      </x:c>
      <x:c r="H62" s="12" t="str">
        <x:v>日元（JPY）</x:v>
      </x:c>
      <x:c r="I62" s="12" t="str">
        <x:v>瑞士法郎（CHF）</x:v>
      </x:c>
      <x:c r="J62" s="12" t="str">
        <x:v>印度卢比（INR）</x:v>
      </x:c>
      <x:c r="K62" s="12" t="str">
        <x:v>苏联卢布（1961币制）</x:v>
      </x:c>
      <x:c r="L62" s="12" t="str">
        <x:v>人民币元（1955币制；CNY）</x:v>
      </x:c>
      <x:c r="M62" s="12" t="str">
        <x:v>德国代理：西德德国马克（DEM）</x:v>
      </x:c>
      <x:c r="N62" s="12" t="str">
        <x:v>卢布含官价参考；欧元栏为德国代理</x:v>
      </x:c>
    </x:row>
    <x:row r="63" ht="48" customHeight="1">
      <x:c r="A63" t="n">
        <x:v>1977</x:v>
      </x:c>
      <x:c r="B63" s="12" t="str">
        <x:v>美元（USD）</x:v>
      </x:c>
      <x:c r="C63" s="12" t="str">
        <x:v>英镑（GBP）</x:v>
      </x:c>
      <x:c r="D63" s="12" t="str">
        <x:v>加拿大元（CAD）</x:v>
      </x:c>
      <x:c r="E63" s="12" t="str">
        <x:v>法国法郎（FRF；1960币制）</x:v>
      </x:c>
      <x:c r="F63" s="12" t="str">
        <x:v>西德德国马克（DEM）</x:v>
      </x:c>
      <x:c r="G63" s="12" t="str">
        <x:v>意大利里拉（ITL）</x:v>
      </x:c>
      <x:c r="H63" s="12" t="str">
        <x:v>日元（JPY）</x:v>
      </x:c>
      <x:c r="I63" s="12" t="str">
        <x:v>瑞士法郎（CHF）</x:v>
      </x:c>
      <x:c r="J63" s="12" t="str">
        <x:v>印度卢比（INR）</x:v>
      </x:c>
      <x:c r="K63" s="12" t="str">
        <x:v>苏联卢布（1961币制）</x:v>
      </x:c>
      <x:c r="L63" s="12" t="str">
        <x:v>人民币元（1955币制；CNY）</x:v>
      </x:c>
      <x:c r="M63" s="12" t="str">
        <x:v>德国代理：西德德国马克（DEM）</x:v>
      </x:c>
      <x:c r="N63" s="12" t="str">
        <x:v>卢布含官价参考；欧元栏为德国代理</x:v>
      </x:c>
    </x:row>
    <x:row r="64" ht="48" customHeight="1">
      <x:c r="A64" t="n">
        <x:v>1978</x:v>
      </x:c>
      <x:c r="B64" s="12" t="str">
        <x:v>美元（USD）</x:v>
      </x:c>
      <x:c r="C64" s="12" t="str">
        <x:v>英镑（GBP）</x:v>
      </x:c>
      <x:c r="D64" s="12" t="str">
        <x:v>加拿大元（CAD）</x:v>
      </x:c>
      <x:c r="E64" s="12" t="str">
        <x:v>法国法郎（FRF；1960币制）</x:v>
      </x:c>
      <x:c r="F64" s="12" t="str">
        <x:v>西德德国马克（DEM）</x:v>
      </x:c>
      <x:c r="G64" s="12" t="str">
        <x:v>意大利里拉（ITL）</x:v>
      </x:c>
      <x:c r="H64" s="12" t="str">
        <x:v>日元（JPY）</x:v>
      </x:c>
      <x:c r="I64" s="12" t="str">
        <x:v>瑞士法郎（CHF）</x:v>
      </x:c>
      <x:c r="J64" s="12" t="str">
        <x:v>印度卢比（INR）</x:v>
      </x:c>
      <x:c r="K64" s="12" t="str">
        <x:v>苏联卢布（1961币制）</x:v>
      </x:c>
      <x:c r="L64" s="12" t="str">
        <x:v>人民币元（1955币制；CNY）</x:v>
      </x:c>
      <x:c r="M64" s="12" t="str">
        <x:v>德国代理：西德德国马克（DEM）</x:v>
      </x:c>
      <x:c r="N64" s="12" t="str">
        <x:v>卢布含官价参考；欧元栏为德国代理</x:v>
      </x:c>
    </x:row>
    <x:row r="65" ht="48" customHeight="1">
      <x:c r="A65" t="n">
        <x:v>1979</x:v>
      </x:c>
      <x:c r="B65" s="12" t="str">
        <x:v>美元（USD）</x:v>
      </x:c>
      <x:c r="C65" s="12" t="str">
        <x:v>英镑（GBP）</x:v>
      </x:c>
      <x:c r="D65" s="12" t="str">
        <x:v>加拿大元（CAD）</x:v>
      </x:c>
      <x:c r="E65" s="12" t="str">
        <x:v>法国法郎（FRF；1960币制）</x:v>
      </x:c>
      <x:c r="F65" s="12" t="str">
        <x:v>西德德国马克（DEM）</x:v>
      </x:c>
      <x:c r="G65" s="12" t="str">
        <x:v>意大利里拉（ITL）</x:v>
      </x:c>
      <x:c r="H65" s="12" t="str">
        <x:v>日元（JPY）</x:v>
      </x:c>
      <x:c r="I65" s="12" t="str">
        <x:v>瑞士法郎（CHF）</x:v>
      </x:c>
      <x:c r="J65" s="12" t="str">
        <x:v>印度卢比（INR）</x:v>
      </x:c>
      <x:c r="K65" s="12" t="str">
        <x:v>苏联卢布（1961币制）</x:v>
      </x:c>
      <x:c r="L65" s="12" t="str">
        <x:v>人民币元（1955币制；CNY）</x:v>
      </x:c>
      <x:c r="M65" s="12" t="str">
        <x:v>德国代理：西德德国马克（DEM）</x:v>
      </x:c>
      <x:c r="N65" s="12" t="str">
        <x:v>卢布含官价参考；欧元栏为德国代理</x:v>
      </x:c>
    </x:row>
    <x:row r="66" ht="48" customHeight="1">
      <x:c r="A66" t="n">
        <x:v>1980</x:v>
      </x:c>
      <x:c r="B66" s="12" t="str">
        <x:v>美元（USD）</x:v>
      </x:c>
      <x:c r="C66" s="12" t="str">
        <x:v>英镑（GBP）</x:v>
      </x:c>
      <x:c r="D66" s="12" t="str">
        <x:v>加拿大元（CAD）</x:v>
      </x:c>
      <x:c r="E66" s="12" t="str">
        <x:v>法国法郎（FRF；1960币制）</x:v>
      </x:c>
      <x:c r="F66" s="12" t="str">
        <x:v>西德德国马克（DEM）</x:v>
      </x:c>
      <x:c r="G66" s="12" t="str">
        <x:v>意大利里拉（ITL）</x:v>
      </x:c>
      <x:c r="H66" s="12" t="str">
        <x:v>日元（JPY）</x:v>
      </x:c>
      <x:c r="I66" s="12" t="str">
        <x:v>瑞士法郎（CHF）</x:v>
      </x:c>
      <x:c r="J66" s="12" t="str">
        <x:v>印度卢比（INR）</x:v>
      </x:c>
      <x:c r="K66" s="12" t="str">
        <x:v>苏联卢布（1961币制）</x:v>
      </x:c>
      <x:c r="L66" s="12" t="str">
        <x:v>人民币元（1955币制；CNY）</x:v>
      </x:c>
      <x:c r="M66" s="12" t="str">
        <x:v>德国代理：西德德国马克（DEM）</x:v>
      </x:c>
      <x:c r="N66" s="12" t="str">
        <x:v>卢布含官价参考；欧元栏为德国代理</x:v>
      </x:c>
    </x:row>
    <x:row r="67" ht="48" customHeight="1">
      <x:c r="A67" t="n">
        <x:v>1981</x:v>
      </x:c>
      <x:c r="B67" s="12" t="str">
        <x:v>美元（USD）</x:v>
      </x:c>
      <x:c r="C67" s="12" t="str">
        <x:v>英镑（GBP）</x:v>
      </x:c>
      <x:c r="D67" s="12" t="str">
        <x:v>加拿大元（CAD）</x:v>
      </x:c>
      <x:c r="E67" s="12" t="str">
        <x:v>法国法郎（FRF；1960币制）</x:v>
      </x:c>
      <x:c r="F67" s="12" t="str">
        <x:v>西德德国马克（DEM）</x:v>
      </x:c>
      <x:c r="G67" s="12" t="str">
        <x:v>意大利里拉（ITL）</x:v>
      </x:c>
      <x:c r="H67" s="12" t="str">
        <x:v>日元（JPY）</x:v>
      </x:c>
      <x:c r="I67" s="12" t="str">
        <x:v>瑞士法郎（CHF）</x:v>
      </x:c>
      <x:c r="J67" s="12" t="str">
        <x:v>印度卢比（INR）</x:v>
      </x:c>
      <x:c r="K67" s="12" t="str">
        <x:v>苏联卢布（1961币制）</x:v>
      </x:c>
      <x:c r="L67" s="12" t="str">
        <x:v>人民币元（1955币制；CNY）</x:v>
      </x:c>
      <x:c r="M67" s="12" t="str">
        <x:v>德国代理：西德德国马克（DEM）</x:v>
      </x:c>
      <x:c r="N67" s="12" t="str">
        <x:v>卢布含官价参考；欧元栏为德国代理</x:v>
      </x:c>
    </x:row>
    <x:row r="68" ht="48" customHeight="1">
      <x:c r="A68" t="n">
        <x:v>1982</x:v>
      </x:c>
      <x:c r="B68" s="12" t="str">
        <x:v>美元（USD）</x:v>
      </x:c>
      <x:c r="C68" s="12" t="str">
        <x:v>英镑（GBP）</x:v>
      </x:c>
      <x:c r="D68" s="12" t="str">
        <x:v>加拿大元（CAD）</x:v>
      </x:c>
      <x:c r="E68" s="12" t="str">
        <x:v>法国法郎（FRF；1960币制）</x:v>
      </x:c>
      <x:c r="F68" s="12" t="str">
        <x:v>西德德国马克（DEM）</x:v>
      </x:c>
      <x:c r="G68" s="12" t="str">
        <x:v>意大利里拉（ITL）</x:v>
      </x:c>
      <x:c r="H68" s="12" t="str">
        <x:v>日元（JPY）</x:v>
      </x:c>
      <x:c r="I68" s="12" t="str">
        <x:v>瑞士法郎（CHF）</x:v>
      </x:c>
      <x:c r="J68" s="12" t="str">
        <x:v>印度卢比（INR）</x:v>
      </x:c>
      <x:c r="K68" s="12" t="str">
        <x:v>苏联卢布（1961币制）</x:v>
      </x:c>
      <x:c r="L68" s="12" t="str">
        <x:v>人民币元（1955币制；CNY）</x:v>
      </x:c>
      <x:c r="M68" s="12" t="str">
        <x:v>德国代理：西德德国马克（DEM）</x:v>
      </x:c>
      <x:c r="N68" s="12" t="str">
        <x:v>卢布含官价参考；欧元栏为德国代理</x:v>
      </x:c>
    </x:row>
    <x:row r="69" ht="48" customHeight="1">
      <x:c r="A69" t="n">
        <x:v>1983</x:v>
      </x:c>
      <x:c r="B69" s="12" t="str">
        <x:v>美元（USD）</x:v>
      </x:c>
      <x:c r="C69" s="12" t="str">
        <x:v>英镑（GBP）</x:v>
      </x:c>
      <x:c r="D69" s="12" t="str">
        <x:v>加拿大元（CAD）</x:v>
      </x:c>
      <x:c r="E69" s="12" t="str">
        <x:v>法国法郎（FRF；1960币制）</x:v>
      </x:c>
      <x:c r="F69" s="12" t="str">
        <x:v>西德德国马克（DEM）</x:v>
      </x:c>
      <x:c r="G69" s="12" t="str">
        <x:v>意大利里拉（ITL）</x:v>
      </x:c>
      <x:c r="H69" s="12" t="str">
        <x:v>日元（JPY）</x:v>
      </x:c>
      <x:c r="I69" s="12" t="str">
        <x:v>瑞士法郎（CHF）</x:v>
      </x:c>
      <x:c r="J69" s="12" t="str">
        <x:v>印度卢比（INR）</x:v>
      </x:c>
      <x:c r="K69" s="12" t="str">
        <x:v>苏联卢布（1961币制）</x:v>
      </x:c>
      <x:c r="L69" s="12" t="str">
        <x:v>人民币元（1955币制；CNY）</x:v>
      </x:c>
      <x:c r="M69" s="12" t="str">
        <x:v>德国代理：西德德国马克（DEM）</x:v>
      </x:c>
      <x:c r="N69" s="12" t="str">
        <x:v>卢布含官价参考；欧元栏为德国代理</x:v>
      </x:c>
    </x:row>
    <x:row r="70" ht="48" customHeight="1">
      <x:c r="A70" t="n">
        <x:v>1984</x:v>
      </x:c>
      <x:c r="B70" s="12" t="str">
        <x:v>美元（USD）</x:v>
      </x:c>
      <x:c r="C70" s="12" t="str">
        <x:v>英镑（GBP）</x:v>
      </x:c>
      <x:c r="D70" s="12" t="str">
        <x:v>加拿大元（CAD）</x:v>
      </x:c>
      <x:c r="E70" s="12" t="str">
        <x:v>法国法郎（FRF；1960币制）</x:v>
      </x:c>
      <x:c r="F70" s="12" t="str">
        <x:v>西德德国马克（DEM）</x:v>
      </x:c>
      <x:c r="G70" s="12" t="str">
        <x:v>意大利里拉（ITL）</x:v>
      </x:c>
      <x:c r="H70" s="12" t="str">
        <x:v>日元（JPY）</x:v>
      </x:c>
      <x:c r="I70" s="12" t="str">
        <x:v>瑞士法郎（CHF）</x:v>
      </x:c>
      <x:c r="J70" s="12" t="str">
        <x:v>印度卢比（INR）</x:v>
      </x:c>
      <x:c r="K70" s="12" t="str">
        <x:v>苏联卢布（1961币制）</x:v>
      </x:c>
      <x:c r="L70" s="12" t="str">
        <x:v>人民币元（1955币制；CNY）</x:v>
      </x:c>
      <x:c r="M70" s="12" t="str">
        <x:v>德国代理：西德德国马克（DEM）</x:v>
      </x:c>
      <x:c r="N70" s="12" t="str">
        <x:v>卢布含官价参考；欧元栏为德国代理</x:v>
      </x:c>
    </x:row>
    <x:row r="71" ht="48" customHeight="1">
      <x:c r="A71" t="n">
        <x:v>1985</x:v>
      </x:c>
      <x:c r="B71" s="12" t="str">
        <x:v>美元（USD）</x:v>
      </x:c>
      <x:c r="C71" s="12" t="str">
        <x:v>英镑（GBP）</x:v>
      </x:c>
      <x:c r="D71" s="12" t="str">
        <x:v>加拿大元（CAD）</x:v>
      </x:c>
      <x:c r="E71" s="12" t="str">
        <x:v>法国法郎（FRF；1960币制）</x:v>
      </x:c>
      <x:c r="F71" s="12" t="str">
        <x:v>西德德国马克（DEM）</x:v>
      </x:c>
      <x:c r="G71" s="12" t="str">
        <x:v>意大利里拉（ITL）</x:v>
      </x:c>
      <x:c r="H71" s="12" t="str">
        <x:v>日元（JPY）</x:v>
      </x:c>
      <x:c r="I71" s="12" t="str">
        <x:v>瑞士法郎（CHF）</x:v>
      </x:c>
      <x:c r="J71" s="12" t="str">
        <x:v>印度卢比（INR）</x:v>
      </x:c>
      <x:c r="K71" s="12" t="str">
        <x:v>苏联卢布（1961币制）</x:v>
      </x:c>
      <x:c r="L71" s="12" t="str">
        <x:v>人民币元（1955币制；CNY）</x:v>
      </x:c>
      <x:c r="M71" s="12" t="str">
        <x:v>德国代理：西德德国马克（DEM）</x:v>
      </x:c>
      <x:c r="N71" s="12" t="str">
        <x:v>卢布含官价参考；欧元栏为德国代理</x:v>
      </x:c>
    </x:row>
    <x:row r="72" ht="48" customHeight="1">
      <x:c r="A72" t="n">
        <x:v>1986</x:v>
      </x:c>
      <x:c r="B72" s="12" t="str">
        <x:v>美元（USD）</x:v>
      </x:c>
      <x:c r="C72" s="12" t="str">
        <x:v>英镑（GBP）</x:v>
      </x:c>
      <x:c r="D72" s="12" t="str">
        <x:v>加拿大元（CAD）</x:v>
      </x:c>
      <x:c r="E72" s="12" t="str">
        <x:v>法国法郎（FRF；1960币制）</x:v>
      </x:c>
      <x:c r="F72" s="12" t="str">
        <x:v>西德德国马克（DEM）</x:v>
      </x:c>
      <x:c r="G72" s="12" t="str">
        <x:v>意大利里拉（ITL）</x:v>
      </x:c>
      <x:c r="H72" s="12" t="str">
        <x:v>日元（JPY）</x:v>
      </x:c>
      <x:c r="I72" s="12" t="str">
        <x:v>瑞士法郎（CHF）</x:v>
      </x:c>
      <x:c r="J72" s="12" t="str">
        <x:v>印度卢比（INR）</x:v>
      </x:c>
      <x:c r="K72" s="12" t="str">
        <x:v>苏联卢布（1961币制）</x:v>
      </x:c>
      <x:c r="L72" s="12" t="str">
        <x:v>人民币元（1955币制；CNY）</x:v>
      </x:c>
      <x:c r="M72" s="12" t="str">
        <x:v>德国代理：西德德国马克（DEM）</x:v>
      </x:c>
      <x:c r="N72" s="12" t="str">
        <x:v>卢布含官价参考；欧元栏为德国代理</x:v>
      </x:c>
    </x:row>
    <x:row r="73" ht="48" customHeight="1">
      <x:c r="A73" t="n">
        <x:v>1987</x:v>
      </x:c>
      <x:c r="B73" s="12" t="str">
        <x:v>美元（USD）</x:v>
      </x:c>
      <x:c r="C73" s="12" t="str">
        <x:v>英镑（GBP）</x:v>
      </x:c>
      <x:c r="D73" s="12" t="str">
        <x:v>加拿大元（CAD）</x:v>
      </x:c>
      <x:c r="E73" s="12" t="str">
        <x:v>法国法郎（FRF；1960币制）</x:v>
      </x:c>
      <x:c r="F73" s="12" t="str">
        <x:v>西德德国马克（DEM）</x:v>
      </x:c>
      <x:c r="G73" s="12" t="str">
        <x:v>意大利里拉（ITL）</x:v>
      </x:c>
      <x:c r="H73" s="12" t="str">
        <x:v>日元（JPY）</x:v>
      </x:c>
      <x:c r="I73" s="12" t="str">
        <x:v>瑞士法郎（CHF）</x:v>
      </x:c>
      <x:c r="J73" s="12" t="str">
        <x:v>印度卢比（INR）</x:v>
      </x:c>
      <x:c r="K73" s="12" t="str">
        <x:v>苏联卢布（1961币制）</x:v>
      </x:c>
      <x:c r="L73" s="12" t="str">
        <x:v>人民币元（1955币制；CNY）</x:v>
      </x:c>
      <x:c r="M73" s="12" t="str">
        <x:v>德国代理：西德德国马克（DEM）</x:v>
      </x:c>
      <x:c r="N73" s="12" t="str">
        <x:v>卢布含官价参考；欧元栏为德国代理</x:v>
      </x:c>
    </x:row>
    <x:row r="74" ht="48" customHeight="1">
      <x:c r="A74" t="n">
        <x:v>1988</x:v>
      </x:c>
      <x:c r="B74" s="12" t="str">
        <x:v>美元（USD）</x:v>
      </x:c>
      <x:c r="C74" s="12" t="str">
        <x:v>英镑（GBP）</x:v>
      </x:c>
      <x:c r="D74" s="12" t="str">
        <x:v>加拿大元（CAD）</x:v>
      </x:c>
      <x:c r="E74" s="12" t="str">
        <x:v>法国法郎（FRF；1960币制）</x:v>
      </x:c>
      <x:c r="F74" s="12" t="str">
        <x:v>西德德国马克（DEM）</x:v>
      </x:c>
      <x:c r="G74" s="12" t="str">
        <x:v>意大利里拉（ITL）</x:v>
      </x:c>
      <x:c r="H74" s="12" t="str">
        <x:v>日元（JPY）</x:v>
      </x:c>
      <x:c r="I74" s="12" t="str">
        <x:v>瑞士法郎（CHF）</x:v>
      </x:c>
      <x:c r="J74" s="12" t="str">
        <x:v>印度卢比（INR）</x:v>
      </x:c>
      <x:c r="K74" s="12" t="str">
        <x:v>苏联卢布（1961币制）</x:v>
      </x:c>
      <x:c r="L74" s="12" t="str">
        <x:v>人民币元（1955币制；CNY）</x:v>
      </x:c>
      <x:c r="M74" s="12" t="str">
        <x:v>德国代理：西德德国马克（DEM）</x:v>
      </x:c>
      <x:c r="N74" s="12" t="str">
        <x:v>卢布含官价参考；欧元栏为德国代理</x:v>
      </x:c>
    </x:row>
    <x:row r="75" ht="48" customHeight="1">
      <x:c r="A75" t="n">
        <x:v>1989</x:v>
      </x:c>
      <x:c r="B75" s="12" t="str">
        <x:v>美元（USD）</x:v>
      </x:c>
      <x:c r="C75" s="12" t="str">
        <x:v>英镑（GBP）</x:v>
      </x:c>
      <x:c r="D75" s="12" t="str">
        <x:v>加拿大元（CAD）</x:v>
      </x:c>
      <x:c r="E75" s="12" t="str">
        <x:v>法国法郎（FRF；1960币制）</x:v>
      </x:c>
      <x:c r="F75" s="12" t="str">
        <x:v>西德德国马克（DEM）</x:v>
      </x:c>
      <x:c r="G75" s="12" t="str">
        <x:v>意大利里拉（ITL）</x:v>
      </x:c>
      <x:c r="H75" s="12" t="str">
        <x:v>日元（JPY）</x:v>
      </x:c>
      <x:c r="I75" s="12" t="str">
        <x:v>瑞士法郎（CHF）</x:v>
      </x:c>
      <x:c r="J75" s="12" t="str">
        <x:v>印度卢比（INR）</x:v>
      </x:c>
      <x:c r="K75" s="12" t="str">
        <x:v>苏联卢布（1961币制）</x:v>
      </x:c>
      <x:c r="L75" s="12" t="str">
        <x:v>人民币元（1955币制；CNY）</x:v>
      </x:c>
      <x:c r="M75" s="12" t="str">
        <x:v>德国代理：西德德国马克（DEM）</x:v>
      </x:c>
      <x:c r="N75" s="12" t="str">
        <x:v>卢布含官价参考；欧元栏为德国代理</x:v>
      </x:c>
    </x:row>
    <x:row r="76" ht="48" customHeight="1">
      <x:c r="A76" t="n">
        <x:v>1990</x:v>
      </x:c>
      <x:c r="B76" s="12" t="str">
        <x:v>美元（USD）</x:v>
      </x:c>
      <x:c r="C76" s="12" t="str">
        <x:v>英镑（GBP）</x:v>
      </x:c>
      <x:c r="D76" s="12" t="str">
        <x:v>加拿大元（CAD）</x:v>
      </x:c>
      <x:c r="E76" s="12" t="str">
        <x:v>法国法郎（FRF；1960币制）</x:v>
      </x:c>
      <x:c r="F76" s="12" t="str">
        <x:v>德国马克（DEM）</x:v>
      </x:c>
      <x:c r="G76" s="12" t="str">
        <x:v>意大利里拉（ITL）</x:v>
      </x:c>
      <x:c r="H76" s="12" t="str">
        <x:v>日元（JPY）</x:v>
      </x:c>
      <x:c r="I76" s="12" t="str">
        <x:v>瑞士法郎（CHF）</x:v>
      </x:c>
      <x:c r="J76" s="12" t="str">
        <x:v>印度卢比（INR）</x:v>
      </x:c>
      <x:c r="K76" s="12" t="str">
        <x:v>苏联卢布（1961币制）</x:v>
      </x:c>
      <x:c r="L76" s="12" t="str">
        <x:v>人民币元（1955币制；CNY）</x:v>
      </x:c>
      <x:c r="M76" s="12" t="str">
        <x:v>德国代理：德国马克（DEM）</x:v>
      </x:c>
      <x:c r="N76" s="12" t="str">
        <x:v>卢布含官价参考；欧元栏为德国代理</x:v>
      </x:c>
    </x:row>
    <x:row r="77" ht="48" customHeight="1">
      <x:c r="A77" t="n">
        <x:v>1991</x:v>
      </x:c>
      <x:c r="B77" s="12" t="str">
        <x:v>美元（USD）</x:v>
      </x:c>
      <x:c r="C77" s="12" t="str">
        <x:v>英镑（GBP）</x:v>
      </x:c>
      <x:c r="D77" s="12" t="str">
        <x:v>加拿大元（CAD）</x:v>
      </x:c>
      <x:c r="E77" s="12" t="str">
        <x:v>法国法郎（FRF；1960币制）</x:v>
      </x:c>
      <x:c r="F77" s="12" t="str">
        <x:v>德国马克（DEM）</x:v>
      </x:c>
      <x:c r="G77" s="12" t="str">
        <x:v>意大利里拉（ITL）</x:v>
      </x:c>
      <x:c r="H77" s="12" t="str">
        <x:v>日元（JPY）</x:v>
      </x:c>
      <x:c r="I77" s="12" t="str">
        <x:v>瑞士法郎（CHF）</x:v>
      </x:c>
      <x:c r="J77" s="12" t="str">
        <x:v>印度卢比（INR）</x:v>
      </x:c>
      <x:c r="K77" s="12" t="str">
        <x:v>苏联卢布（1961币制）</x:v>
      </x:c>
      <x:c r="L77" s="12" t="str">
        <x:v>人民币元（1955币制；CNY）</x:v>
      </x:c>
      <x:c r="M77" s="12" t="str">
        <x:v>德国代理：德国马克（DEM）</x:v>
      </x:c>
      <x:c r="N77" s="12" t="str">
        <x:v>卢布含官价参考；欧元栏为德国代理</x:v>
      </x:c>
    </x:row>
    <x:row r="78" ht="48" customHeight="1">
      <x:c r="A78" t="n">
        <x:v>1992</x:v>
      </x:c>
      <x:c r="B78" s="12" t="str">
        <x:v>美元（USD）</x:v>
      </x:c>
      <x:c r="C78" s="12" t="str">
        <x:v>英镑（GBP）</x:v>
      </x:c>
      <x:c r="D78" s="12" t="str">
        <x:v>加拿大元（CAD）</x:v>
      </x:c>
      <x:c r="E78" s="12" t="str">
        <x:v>法国法郎（FRF；1960币制）</x:v>
      </x:c>
      <x:c r="F78" s="12" t="str">
        <x:v>德国马克（DEM）</x:v>
      </x:c>
      <x:c r="G78" s="12" t="str">
        <x:v>意大利里拉（ITL）</x:v>
      </x:c>
      <x:c r="H78" s="12" t="str">
        <x:v>日元（JPY）</x:v>
      </x:c>
      <x:c r="I78" s="12" t="str">
        <x:v>瑞士法郎（CHF）</x:v>
      </x:c>
      <x:c r="J78" s="12" t="str">
        <x:v>印度卢比（INR）</x:v>
      </x:c>
      <x:c r="K78" s="12" t="str">
        <x:v>俄罗斯旧卢布（RUR）</x:v>
      </x:c>
      <x:c r="L78" s="12" t="str">
        <x:v>人民币元（1955币制；CNY）</x:v>
      </x:c>
      <x:c r="M78" s="12" t="str">
        <x:v>德国代理：德国马克（DEM）</x:v>
      </x:c>
      <x:c r="N78" s="12" t="str">
        <x:v>卢布含官价参考；欧元栏为德国代理</x:v>
      </x:c>
    </x:row>
    <x:row r="79" ht="48" customHeight="1">
      <x:c r="A79" t="n">
        <x:v>1993</x:v>
      </x:c>
      <x:c r="B79" s="12" t="str">
        <x:v>美元（USD）</x:v>
      </x:c>
      <x:c r="C79" s="12" t="str">
        <x:v>英镑（GBP）</x:v>
      </x:c>
      <x:c r="D79" s="12" t="str">
        <x:v>加拿大元（CAD）</x:v>
      </x:c>
      <x:c r="E79" s="12" t="str">
        <x:v>法国法郎（FRF；1960币制）</x:v>
      </x:c>
      <x:c r="F79" s="12" t="str">
        <x:v>德国马克（DEM）</x:v>
      </x:c>
      <x:c r="G79" s="12" t="str">
        <x:v>意大利里拉（ITL）</x:v>
      </x:c>
      <x:c r="H79" s="12" t="str">
        <x:v>日元（JPY）</x:v>
      </x:c>
      <x:c r="I79" s="12" t="str">
        <x:v>瑞士法郎（CHF）</x:v>
      </x:c>
      <x:c r="J79" s="12" t="str">
        <x:v>印度卢比（INR）</x:v>
      </x:c>
      <x:c r="K79" s="12" t="str">
        <x:v>俄罗斯旧卢布（RUR）</x:v>
      </x:c>
      <x:c r="L79" s="12" t="str">
        <x:v>人民币元（1955币制；CNY）</x:v>
      </x:c>
      <x:c r="M79" s="12" t="str">
        <x:v>德国代理：德国马克（DEM）</x:v>
      </x:c>
      <x:c r="N79" s="12" t="str">
        <x:v>欧元栏为德国代理</x:v>
      </x:c>
    </x:row>
    <x:row r="80" ht="48" customHeight="1">
      <x:c r="A80" t="n">
        <x:v>1994</x:v>
      </x:c>
      <x:c r="B80" s="12" t="str">
        <x:v>美元（USD）</x:v>
      </x:c>
      <x:c r="C80" s="12" t="str">
        <x:v>英镑（GBP）</x:v>
      </x:c>
      <x:c r="D80" s="12" t="str">
        <x:v>加拿大元（CAD）</x:v>
      </x:c>
      <x:c r="E80" s="12" t="str">
        <x:v>法国法郎（FRF；1960币制）</x:v>
      </x:c>
      <x:c r="F80" s="12" t="str">
        <x:v>德国马克（DEM）</x:v>
      </x:c>
      <x:c r="G80" s="12" t="str">
        <x:v>意大利里拉（ITL）</x:v>
      </x:c>
      <x:c r="H80" s="12" t="str">
        <x:v>日元（JPY）</x:v>
      </x:c>
      <x:c r="I80" s="12" t="str">
        <x:v>瑞士法郎（CHF）</x:v>
      </x:c>
      <x:c r="J80" s="12" t="str">
        <x:v>印度卢比（INR）</x:v>
      </x:c>
      <x:c r="K80" s="12" t="str">
        <x:v>俄罗斯旧卢布（RUR）</x:v>
      </x:c>
      <x:c r="L80" s="12" t="str">
        <x:v>人民币元（1955币制；CNY）</x:v>
      </x:c>
      <x:c r="M80" s="12" t="str">
        <x:v>德国代理：德国马克（DEM）</x:v>
      </x:c>
      <x:c r="N80" s="12" t="str">
        <x:v>欧元栏为德国代理</x:v>
      </x:c>
    </x:row>
    <x:row r="81" ht="48" customHeight="1">
      <x:c r="A81" t="n">
        <x:v>1995</x:v>
      </x:c>
      <x:c r="B81" s="12" t="str">
        <x:v>美元（USD）</x:v>
      </x:c>
      <x:c r="C81" s="12" t="str">
        <x:v>英镑（GBP）</x:v>
      </x:c>
      <x:c r="D81" s="12" t="str">
        <x:v>加拿大元（CAD）</x:v>
      </x:c>
      <x:c r="E81" s="12" t="str">
        <x:v>法国法郎（FRF；1960币制）</x:v>
      </x:c>
      <x:c r="F81" s="12" t="str">
        <x:v>德国马克（DEM）</x:v>
      </x:c>
      <x:c r="G81" s="12" t="str">
        <x:v>意大利里拉（ITL）</x:v>
      </x:c>
      <x:c r="H81" s="12" t="str">
        <x:v>日元（JPY）</x:v>
      </x:c>
      <x:c r="I81" s="12" t="str">
        <x:v>瑞士法郎（CHF）</x:v>
      </x:c>
      <x:c r="J81" s="12" t="str">
        <x:v>印度卢比（INR）</x:v>
      </x:c>
      <x:c r="K81" s="12" t="str">
        <x:v>俄罗斯旧卢布（RUR）</x:v>
      </x:c>
      <x:c r="L81" s="12" t="str">
        <x:v>人民币元（1955币制；CNY）</x:v>
      </x:c>
      <x:c r="M81" s="12" t="str">
        <x:v>德国代理：德国马克（DEM）</x:v>
      </x:c>
      <x:c r="N81" s="12" t="str">
        <x:v>欧元栏为德国代理</x:v>
      </x:c>
    </x:row>
    <x:row r="82" ht="48" customHeight="1">
      <x:c r="A82" t="n">
        <x:v>1996</x:v>
      </x:c>
      <x:c r="B82" s="12" t="str">
        <x:v>美元（USD）</x:v>
      </x:c>
      <x:c r="C82" s="12" t="str">
        <x:v>英镑（GBP）</x:v>
      </x:c>
      <x:c r="D82" s="12" t="str">
        <x:v>加拿大元（CAD）</x:v>
      </x:c>
      <x:c r="E82" s="12" t="str">
        <x:v>法国法郎（FRF；1960币制）</x:v>
      </x:c>
      <x:c r="F82" s="12" t="str">
        <x:v>德国马克（DEM）</x:v>
      </x:c>
      <x:c r="G82" s="12" t="str">
        <x:v>意大利里拉（ITL）</x:v>
      </x:c>
      <x:c r="H82" s="12" t="str">
        <x:v>日元（JPY）</x:v>
      </x:c>
      <x:c r="I82" s="12" t="str">
        <x:v>瑞士法郎（CHF）</x:v>
      </x:c>
      <x:c r="J82" s="12" t="str">
        <x:v>印度卢比（INR）</x:v>
      </x:c>
      <x:c r="K82" s="12" t="str">
        <x:v>俄罗斯旧卢布（RUR）</x:v>
      </x:c>
      <x:c r="L82" s="12" t="str">
        <x:v>人民币元（1955币制；CNY）</x:v>
      </x:c>
      <x:c r="M82" s="12" t="str">
        <x:v>德国代理：德国马克（DEM）</x:v>
      </x:c>
      <x:c r="N82" s="12" t="str">
        <x:v>欧元栏为德国代理</x:v>
      </x:c>
    </x:row>
    <x:row r="83" ht="48" customHeight="1">
      <x:c r="A83" t="n">
        <x:v>1997</x:v>
      </x:c>
      <x:c r="B83" s="12" t="str">
        <x:v>美元（USD）</x:v>
      </x:c>
      <x:c r="C83" s="12" t="str">
        <x:v>英镑（GBP）</x:v>
      </x:c>
      <x:c r="D83" s="12" t="str">
        <x:v>加拿大元（CAD）</x:v>
      </x:c>
      <x:c r="E83" s="12" t="str">
        <x:v>法国法郎（FRF；1960币制）</x:v>
      </x:c>
      <x:c r="F83" s="12" t="str">
        <x:v>德国马克（DEM）</x:v>
      </x:c>
      <x:c r="G83" s="12" t="str">
        <x:v>意大利里拉（ITL）</x:v>
      </x:c>
      <x:c r="H83" s="12" t="str">
        <x:v>日元（JPY）</x:v>
      </x:c>
      <x:c r="I83" s="12" t="str">
        <x:v>瑞士法郎（CHF）</x:v>
      </x:c>
      <x:c r="J83" s="12" t="str">
        <x:v>印度卢比（INR）</x:v>
      </x:c>
      <x:c r="K83" s="12" t="str">
        <x:v>俄罗斯旧卢布（RUR）</x:v>
      </x:c>
      <x:c r="L83" s="12" t="str">
        <x:v>人民币元（1955币制；CNY）</x:v>
      </x:c>
      <x:c r="M83" s="12" t="str">
        <x:v>德国代理：德国马克（DEM）</x:v>
      </x:c>
      <x:c r="N83" s="12" t="str">
        <x:v>欧元栏为德国代理</x:v>
      </x:c>
    </x:row>
    <x:row r="84" ht="48" customHeight="1">
      <x:c r="A84" t="n">
        <x:v>1998</x:v>
      </x:c>
      <x:c r="B84" s="12" t="str">
        <x:v>美元（USD）</x:v>
      </x:c>
      <x:c r="C84" s="12" t="str">
        <x:v>英镑（GBP）</x:v>
      </x:c>
      <x:c r="D84" s="12" t="str">
        <x:v>加拿大元（CAD）</x:v>
      </x:c>
      <x:c r="E84" s="12" t="str">
        <x:v>法国法郎（FRF；1960币制）</x:v>
      </x:c>
      <x:c r="F84" s="12" t="str">
        <x:v>德国马克（DEM）</x:v>
      </x:c>
      <x:c r="G84" s="12" t="str">
        <x:v>意大利里拉（ITL）</x:v>
      </x:c>
      <x:c r="H84" s="12" t="str">
        <x:v>日元（JPY）</x:v>
      </x:c>
      <x:c r="I84" s="12" t="str">
        <x:v>瑞士法郎（CHF）</x:v>
      </x:c>
      <x:c r="J84" s="12" t="str">
        <x:v>印度卢比（INR）</x:v>
      </x:c>
      <x:c r="K84" s="12" t="str">
        <x:v>俄罗斯卢布（RUB；1998币制）</x:v>
      </x:c>
      <x:c r="L84" s="12" t="str">
        <x:v>人民币元（1955币制；CNY）</x:v>
      </x:c>
      <x:c r="M84" s="12" t="str">
        <x:v>德国代理：德国马克（DEM）</x:v>
      </x:c>
      <x:c r="N84" s="12" t="str">
        <x:v>欧元栏为德国代理</x:v>
      </x:c>
    </x:row>
    <x:row r="85" ht="48" customHeight="1">
      <x:c r="A85" t="n">
        <x:v>1999</x:v>
      </x:c>
      <x:c r="B85" s="12" t="str">
        <x:v>美元（USD）</x:v>
      </x:c>
      <x:c r="C85" s="12" t="str">
        <x:v>英镑（GBP）</x:v>
      </x:c>
      <x:c r="D85" s="12" t="str">
        <x:v>加拿大元（CAD）</x:v>
      </x:c>
      <x:c r="E85" s="12" t="str">
        <x:v>欧元（EUR）</x:v>
      </x:c>
      <x:c r="F85" s="12" t="str">
        <x:v>欧元（EUR）</x:v>
      </x:c>
      <x:c r="G85" s="12" t="str">
        <x:v>欧元（EUR）</x:v>
      </x:c>
      <x:c r="H85" s="12" t="str">
        <x:v>日元（JPY）</x:v>
      </x:c>
      <x:c r="I85" s="12" t="str">
        <x:v>瑞士法郎（CHF）</x:v>
      </x:c>
      <x:c r="J85" s="12" t="str">
        <x:v>印度卢比（INR）</x:v>
      </x:c>
      <x:c r="K85" s="12" t="str">
        <x:v>俄罗斯卢布（RUB；1998币制）</x:v>
      </x:c>
      <x:c r="L85" s="12" t="str">
        <x:v>人民币元（1955币制；CNY）</x:v>
      </x:c>
      <x:c r="M85" s="12" t="str">
        <x:v>欧元（EUR）</x:v>
      </x:c>
      <x:c r="N85" s="12" t="str">
        <x:v>全年；请仍核对币名与原始口径</x:v>
      </x:c>
    </x:row>
    <x:row r="86" ht="48" customHeight="1">
      <x:c r="A86" t="n">
        <x:v>2000</x:v>
      </x:c>
      <x:c r="B86" s="12" t="str">
        <x:v>美元（USD）</x:v>
      </x:c>
      <x:c r="C86" s="12" t="str">
        <x:v>英镑（GBP）</x:v>
      </x:c>
      <x:c r="D86" s="12" t="str">
        <x:v>加拿大元（CAD）</x:v>
      </x:c>
      <x:c r="E86" s="12" t="str">
        <x:v>欧元（EUR）</x:v>
      </x:c>
      <x:c r="F86" s="12" t="str">
        <x:v>欧元（EUR）</x:v>
      </x:c>
      <x:c r="G86" s="12" t="str">
        <x:v>欧元（EUR）</x:v>
      </x:c>
      <x:c r="H86" s="12" t="str">
        <x:v>日元（JPY）</x:v>
      </x:c>
      <x:c r="I86" s="12" t="str">
        <x:v>瑞士法郎（CHF）</x:v>
      </x:c>
      <x:c r="J86" s="12" t="str">
        <x:v>印度卢比（INR）</x:v>
      </x:c>
      <x:c r="K86" s="12" t="str">
        <x:v>俄罗斯卢布（RUB；1998币制）</x:v>
      </x:c>
      <x:c r="L86" s="12" t="str">
        <x:v>人民币元（1955币制；CNY）</x:v>
      </x:c>
      <x:c r="M86" s="12" t="str">
        <x:v>欧元（EUR）</x:v>
      </x:c>
      <x:c r="N86" s="12" t="str">
        <x:v>全年；请仍核对币名与原始口径</x:v>
      </x:c>
    </x:row>
    <x:row r="87" ht="48" customHeight="1">
      <x:c r="A87" t="n">
        <x:v>2001</x:v>
      </x:c>
      <x:c r="B87" s="12" t="str">
        <x:v>美元（USD）</x:v>
      </x:c>
      <x:c r="C87" s="12" t="str">
        <x:v>英镑（GBP）</x:v>
      </x:c>
      <x:c r="D87" s="12" t="str">
        <x:v>加拿大元（CAD）</x:v>
      </x:c>
      <x:c r="E87" s="12" t="str">
        <x:v>欧元（EUR）</x:v>
      </x:c>
      <x:c r="F87" s="12" t="str">
        <x:v>欧元（EUR）</x:v>
      </x:c>
      <x:c r="G87" s="12" t="str">
        <x:v>欧元（EUR）</x:v>
      </x:c>
      <x:c r="H87" s="12" t="str">
        <x:v>日元（JPY）</x:v>
      </x:c>
      <x:c r="I87" s="12" t="str">
        <x:v>瑞士法郎（CHF）</x:v>
      </x:c>
      <x:c r="J87" s="12" t="str">
        <x:v>印度卢比（INR）</x:v>
      </x:c>
      <x:c r="K87" s="12" t="str">
        <x:v>俄罗斯卢布（RUB；1998币制）</x:v>
      </x:c>
      <x:c r="L87" s="12" t="str">
        <x:v>人民币元（1955币制；CNY）</x:v>
      </x:c>
      <x:c r="M87" s="12" t="str">
        <x:v>欧元（EUR）</x:v>
      </x:c>
      <x:c r="N87" s="12" t="str">
        <x:v>全年；请仍核对币名与原始口径</x:v>
      </x:c>
    </x:row>
    <x:row r="88" ht="48" customHeight="1">
      <x:c r="A88" t="n">
        <x:v>2002</x:v>
      </x:c>
      <x:c r="B88" s="12" t="str">
        <x:v>美元（USD）</x:v>
      </x:c>
      <x:c r="C88" s="12" t="str">
        <x:v>英镑（GBP）</x:v>
      </x:c>
      <x:c r="D88" s="12" t="str">
        <x:v>加拿大元（CAD）</x:v>
      </x:c>
      <x:c r="E88" s="12" t="str">
        <x:v>欧元（EUR）</x:v>
      </x:c>
      <x:c r="F88" s="12" t="str">
        <x:v>欧元（EUR）</x:v>
      </x:c>
      <x:c r="G88" s="12" t="str">
        <x:v>欧元（EUR）</x:v>
      </x:c>
      <x:c r="H88" s="12" t="str">
        <x:v>日元（JPY）</x:v>
      </x:c>
      <x:c r="I88" s="12" t="str">
        <x:v>瑞士法郎（CHF）</x:v>
      </x:c>
      <x:c r="J88" s="12" t="str">
        <x:v>印度卢比（INR）</x:v>
      </x:c>
      <x:c r="K88" s="12" t="str">
        <x:v>俄罗斯卢布（RUB；1998币制）</x:v>
      </x:c>
      <x:c r="L88" s="12" t="str">
        <x:v>人民币元（1955币制；CNY）</x:v>
      </x:c>
      <x:c r="M88" s="12" t="str">
        <x:v>欧元（EUR）</x:v>
      </x:c>
      <x:c r="N88" s="12" t="str">
        <x:v>全年；请仍核对币名与原始口径</x:v>
      </x:c>
    </x:row>
    <x:row r="89" ht="48" customHeight="1">
      <x:c r="A89" t="n">
        <x:v>2003</x:v>
      </x:c>
      <x:c r="B89" s="12" t="str">
        <x:v>美元（USD）</x:v>
      </x:c>
      <x:c r="C89" s="12" t="str">
        <x:v>英镑（GBP）</x:v>
      </x:c>
      <x:c r="D89" s="12" t="str">
        <x:v>加拿大元（CAD）</x:v>
      </x:c>
      <x:c r="E89" s="12" t="str">
        <x:v>欧元（EUR）</x:v>
      </x:c>
      <x:c r="F89" s="12" t="str">
        <x:v>欧元（EUR）</x:v>
      </x:c>
      <x:c r="G89" s="12" t="str">
        <x:v>欧元（EUR）</x:v>
      </x:c>
      <x:c r="H89" s="12" t="str">
        <x:v>日元（JPY）</x:v>
      </x:c>
      <x:c r="I89" s="12" t="str">
        <x:v>瑞士法郎（CHF）</x:v>
      </x:c>
      <x:c r="J89" s="12" t="str">
        <x:v>印度卢比（INR）</x:v>
      </x:c>
      <x:c r="K89" s="12" t="str">
        <x:v>俄罗斯卢布（RUB；1998币制）</x:v>
      </x:c>
      <x:c r="L89" s="12" t="str">
        <x:v>人民币元（1955币制；CNY）</x:v>
      </x:c>
      <x:c r="M89" s="12" t="str">
        <x:v>欧元（EUR）</x:v>
      </x:c>
      <x:c r="N89" s="12" t="str">
        <x:v>全年；请仍核对币名与原始口径</x:v>
      </x:c>
    </x:row>
    <x:row r="90" ht="48" customHeight="1">
      <x:c r="A90" t="n">
        <x:v>2004</x:v>
      </x:c>
      <x:c r="B90" s="12" t="str">
        <x:v>美元（USD）</x:v>
      </x:c>
      <x:c r="C90" s="12" t="str">
        <x:v>英镑（GBP）</x:v>
      </x:c>
      <x:c r="D90" s="12" t="str">
        <x:v>加拿大元（CAD）</x:v>
      </x:c>
      <x:c r="E90" s="12" t="str">
        <x:v>欧元（EUR）</x:v>
      </x:c>
      <x:c r="F90" s="12" t="str">
        <x:v>欧元（EUR）</x:v>
      </x:c>
      <x:c r="G90" s="12" t="str">
        <x:v>欧元（EUR）</x:v>
      </x:c>
      <x:c r="H90" s="12" t="str">
        <x:v>日元（JPY）</x:v>
      </x:c>
      <x:c r="I90" s="12" t="str">
        <x:v>瑞士法郎（CHF）</x:v>
      </x:c>
      <x:c r="J90" s="12" t="str">
        <x:v>印度卢比（INR）</x:v>
      </x:c>
      <x:c r="K90" s="12" t="str">
        <x:v>俄罗斯卢布（RUB；1998币制）</x:v>
      </x:c>
      <x:c r="L90" s="12" t="str">
        <x:v>人民币元（1955币制；CNY）</x:v>
      </x:c>
      <x:c r="M90" s="12" t="str">
        <x:v>欧元（EUR）</x:v>
      </x:c>
      <x:c r="N90" s="12" t="str">
        <x:v>全年；请仍核对币名与原始口径</x:v>
      </x:c>
    </x:row>
    <x:row r="91" ht="48" customHeight="1">
      <x:c r="A91" t="n">
        <x:v>2005</x:v>
      </x:c>
      <x:c r="B91" s="12" t="str">
        <x:v>美元（USD）</x:v>
      </x:c>
      <x:c r="C91" s="12" t="str">
        <x:v>英镑（GBP）</x:v>
      </x:c>
      <x:c r="D91" s="12" t="str">
        <x:v>加拿大元（CAD）</x:v>
      </x:c>
      <x:c r="E91" s="12" t="str">
        <x:v>欧元（EUR）</x:v>
      </x:c>
      <x:c r="F91" s="12" t="str">
        <x:v>欧元（EUR）</x:v>
      </x:c>
      <x:c r="G91" s="12" t="str">
        <x:v>欧元（EUR）</x:v>
      </x:c>
      <x:c r="H91" s="12" t="str">
        <x:v>日元（JPY）</x:v>
      </x:c>
      <x:c r="I91" s="12" t="str">
        <x:v>瑞士法郎（CHF）</x:v>
      </x:c>
      <x:c r="J91" s="12" t="str">
        <x:v>印度卢比（INR）</x:v>
      </x:c>
      <x:c r="K91" s="12" t="str">
        <x:v>俄罗斯卢布（RUB；1998币制）</x:v>
      </x:c>
      <x:c r="L91" s="12" t="str">
        <x:v>人民币元（1955币制；CNY）</x:v>
      </x:c>
      <x:c r="M91" s="12" t="str">
        <x:v>欧元（EUR）</x:v>
      </x:c>
      <x:c r="N91" s="12" t="str">
        <x:v>全年；请仍核对币名与原始口径</x:v>
      </x:c>
    </x:row>
    <x:row r="92" ht="48" customHeight="1">
      <x:c r="A92" t="n">
        <x:v>2006</x:v>
      </x:c>
      <x:c r="B92" s="12" t="str">
        <x:v>美元（USD）</x:v>
      </x:c>
      <x:c r="C92" s="12" t="str">
        <x:v>英镑（GBP）</x:v>
      </x:c>
      <x:c r="D92" s="12" t="str">
        <x:v>加拿大元（CAD）</x:v>
      </x:c>
      <x:c r="E92" s="12" t="str">
        <x:v>欧元（EUR）</x:v>
      </x:c>
      <x:c r="F92" s="12" t="str">
        <x:v>欧元（EUR）</x:v>
      </x:c>
      <x:c r="G92" s="12" t="str">
        <x:v>欧元（EUR）</x:v>
      </x:c>
      <x:c r="H92" s="12" t="str">
        <x:v>日元（JPY）</x:v>
      </x:c>
      <x:c r="I92" s="12" t="str">
        <x:v>瑞士法郎（CHF）</x:v>
      </x:c>
      <x:c r="J92" s="12" t="str">
        <x:v>印度卢比（INR）</x:v>
      </x:c>
      <x:c r="K92" s="12" t="str">
        <x:v>俄罗斯卢布（RUB；1998币制）</x:v>
      </x:c>
      <x:c r="L92" s="12" t="str">
        <x:v>人民币元（1955币制；CNY）</x:v>
      </x:c>
      <x:c r="M92" s="12" t="str">
        <x:v>欧元（EUR）</x:v>
      </x:c>
      <x:c r="N92" s="12" t="str">
        <x:v>全年；请仍核对币名与原始口径</x:v>
      </x:c>
    </x:row>
    <x:row r="93" ht="48" customHeight="1">
      <x:c r="A93" t="n">
        <x:v>2007</x:v>
      </x:c>
      <x:c r="B93" s="12" t="str">
        <x:v>美元（USD）</x:v>
      </x:c>
      <x:c r="C93" s="12" t="str">
        <x:v>英镑（GBP）</x:v>
      </x:c>
      <x:c r="D93" s="12" t="str">
        <x:v>加拿大元（CAD）</x:v>
      </x:c>
      <x:c r="E93" s="12" t="str">
        <x:v>欧元（EUR）</x:v>
      </x:c>
      <x:c r="F93" s="12" t="str">
        <x:v>欧元（EUR）</x:v>
      </x:c>
      <x:c r="G93" s="12" t="str">
        <x:v>欧元（EUR）</x:v>
      </x:c>
      <x:c r="H93" s="12" t="str">
        <x:v>日元（JPY）</x:v>
      </x:c>
      <x:c r="I93" s="12" t="str">
        <x:v>瑞士法郎（CHF）</x:v>
      </x:c>
      <x:c r="J93" s="12" t="str">
        <x:v>印度卢比（INR）</x:v>
      </x:c>
      <x:c r="K93" s="12" t="str">
        <x:v>俄罗斯卢布（RUB；1998币制）</x:v>
      </x:c>
      <x:c r="L93" s="12" t="str">
        <x:v>人民币元（1955币制；CNY）</x:v>
      </x:c>
      <x:c r="M93" s="12" t="str">
        <x:v>欧元（EUR）</x:v>
      </x:c>
      <x:c r="N93" s="12" t="str">
        <x:v>全年；请仍核对币名与原始口径</x:v>
      </x:c>
    </x:row>
    <x:row r="94" ht="48" customHeight="1">
      <x:c r="A94" t="n">
        <x:v>2008</x:v>
      </x:c>
      <x:c r="B94" s="12" t="str">
        <x:v>美元（USD）</x:v>
      </x:c>
      <x:c r="C94" s="12" t="str">
        <x:v>英镑（GBP）</x:v>
      </x:c>
      <x:c r="D94" s="12" t="str">
        <x:v>加拿大元（CAD）</x:v>
      </x:c>
      <x:c r="E94" s="12" t="str">
        <x:v>欧元（EUR）</x:v>
      </x:c>
      <x:c r="F94" s="12" t="str">
        <x:v>欧元（EUR）</x:v>
      </x:c>
      <x:c r="G94" s="12" t="str">
        <x:v>欧元（EUR）</x:v>
      </x:c>
      <x:c r="H94" s="12" t="str">
        <x:v>日元（JPY）</x:v>
      </x:c>
      <x:c r="I94" s="12" t="str">
        <x:v>瑞士法郎（CHF）</x:v>
      </x:c>
      <x:c r="J94" s="12" t="str">
        <x:v>印度卢比（INR）</x:v>
      </x:c>
      <x:c r="K94" s="12" t="str">
        <x:v>俄罗斯卢布（RUB；1998币制）</x:v>
      </x:c>
      <x:c r="L94" s="12" t="str">
        <x:v>人民币元（1955币制；CNY）</x:v>
      </x:c>
      <x:c r="M94" s="12" t="str">
        <x:v>欧元（EUR）</x:v>
      </x:c>
      <x:c r="N94" s="12" t="str">
        <x:v>全年；请仍核对币名与原始口径</x:v>
      </x:c>
    </x:row>
    <x:row r="95" ht="48" customHeight="1">
      <x:c r="A95" t="n">
        <x:v>2009</x:v>
      </x:c>
      <x:c r="B95" s="12" t="str">
        <x:v>美元（USD）</x:v>
      </x:c>
      <x:c r="C95" s="12" t="str">
        <x:v>英镑（GBP）</x:v>
      </x:c>
      <x:c r="D95" s="12" t="str">
        <x:v>加拿大元（CAD）</x:v>
      </x:c>
      <x:c r="E95" s="12" t="str">
        <x:v>欧元（EUR）</x:v>
      </x:c>
      <x:c r="F95" s="12" t="str">
        <x:v>欧元（EUR）</x:v>
      </x:c>
      <x:c r="G95" s="12" t="str">
        <x:v>欧元（EUR）</x:v>
      </x:c>
      <x:c r="H95" s="12" t="str">
        <x:v>日元（JPY）</x:v>
      </x:c>
      <x:c r="I95" s="12" t="str">
        <x:v>瑞士法郎（CHF）</x:v>
      </x:c>
      <x:c r="J95" s="12" t="str">
        <x:v>印度卢比（INR）</x:v>
      </x:c>
      <x:c r="K95" s="12" t="str">
        <x:v>俄罗斯卢布（RUB；1998币制）</x:v>
      </x:c>
      <x:c r="L95" s="12" t="str">
        <x:v>人民币元（1955币制；CNY）</x:v>
      </x:c>
      <x:c r="M95" s="12" t="str">
        <x:v>欧元（EUR）</x:v>
      </x:c>
      <x:c r="N95" s="12" t="str">
        <x:v>全年；请仍核对币名与原始口径</x:v>
      </x:c>
    </x:row>
    <x:row r="96" ht="48" customHeight="1">
      <x:c r="A96" t="n">
        <x:v>2010</x:v>
      </x:c>
      <x:c r="B96" s="12" t="str">
        <x:v>美元（USD）</x:v>
      </x:c>
      <x:c r="C96" s="12" t="str">
        <x:v>英镑（GBP）</x:v>
      </x:c>
      <x:c r="D96" s="12" t="str">
        <x:v>加拿大元（CAD）</x:v>
      </x:c>
      <x:c r="E96" s="12" t="str">
        <x:v>欧元（EUR）</x:v>
      </x:c>
      <x:c r="F96" s="12" t="str">
        <x:v>欧元（EUR）</x:v>
      </x:c>
      <x:c r="G96" s="12" t="str">
        <x:v>欧元（EUR）</x:v>
      </x:c>
      <x:c r="H96" s="12" t="str">
        <x:v>日元（JPY）</x:v>
      </x:c>
      <x:c r="I96" s="12" t="str">
        <x:v>瑞士法郎（CHF）</x:v>
      </x:c>
      <x:c r="J96" s="12" t="str">
        <x:v>印度卢比（INR）</x:v>
      </x:c>
      <x:c r="K96" s="12" t="str">
        <x:v>俄罗斯卢布（RUB；1998币制）</x:v>
      </x:c>
      <x:c r="L96" s="12" t="str">
        <x:v>人民币元（1955币制；CNY）</x:v>
      </x:c>
      <x:c r="M96" s="12" t="str">
        <x:v>欧元（EUR）</x:v>
      </x:c>
      <x:c r="N96" s="12" t="str">
        <x:v>全年；请仍核对币名与原始口径</x:v>
      </x:c>
    </x:row>
    <x:row r="97" ht="48" customHeight="1">
      <x:c r="A97" t="n">
        <x:v>2011</x:v>
      </x:c>
      <x:c r="B97" s="12" t="str">
        <x:v>美元（USD）</x:v>
      </x:c>
      <x:c r="C97" s="12" t="str">
        <x:v>英镑（GBP）</x:v>
      </x:c>
      <x:c r="D97" s="12" t="str">
        <x:v>加拿大元（CAD）</x:v>
      </x:c>
      <x:c r="E97" s="12" t="str">
        <x:v>欧元（EUR）</x:v>
      </x:c>
      <x:c r="F97" s="12" t="str">
        <x:v>欧元（EUR）</x:v>
      </x:c>
      <x:c r="G97" s="12" t="str">
        <x:v>欧元（EUR）</x:v>
      </x:c>
      <x:c r="H97" s="12" t="str">
        <x:v>日元（JPY）</x:v>
      </x:c>
      <x:c r="I97" s="12" t="str">
        <x:v>瑞士法郎（CHF）</x:v>
      </x:c>
      <x:c r="J97" s="12" t="str">
        <x:v>印度卢比（INR）</x:v>
      </x:c>
      <x:c r="K97" s="12" t="str">
        <x:v>俄罗斯卢布（RUB；1998币制）</x:v>
      </x:c>
      <x:c r="L97" s="12" t="str">
        <x:v>人民币元（1955币制；CNY）</x:v>
      </x:c>
      <x:c r="M97" s="12" t="str">
        <x:v>欧元（EUR）</x:v>
      </x:c>
      <x:c r="N97" s="12" t="str">
        <x:v>全年；请仍核对币名与原始口径</x:v>
      </x:c>
    </x:row>
    <x:row r="98" ht="48" customHeight="1">
      <x:c r="A98" t="n">
        <x:v>2012</x:v>
      </x:c>
      <x:c r="B98" s="12" t="str">
        <x:v>美元（USD）</x:v>
      </x:c>
      <x:c r="C98" s="12" t="str">
        <x:v>英镑（GBP）</x:v>
      </x:c>
      <x:c r="D98" s="12" t="str">
        <x:v>加拿大元（CAD）</x:v>
      </x:c>
      <x:c r="E98" s="12" t="str">
        <x:v>欧元（EUR）</x:v>
      </x:c>
      <x:c r="F98" s="12" t="str">
        <x:v>欧元（EUR）</x:v>
      </x:c>
      <x:c r="G98" s="12" t="str">
        <x:v>欧元（EUR）</x:v>
      </x:c>
      <x:c r="H98" s="12" t="str">
        <x:v>日元（JPY）</x:v>
      </x:c>
      <x:c r="I98" s="12" t="str">
        <x:v>瑞士法郎（CHF）</x:v>
      </x:c>
      <x:c r="J98" s="12" t="str">
        <x:v>印度卢比（INR）</x:v>
      </x:c>
      <x:c r="K98" s="12" t="str">
        <x:v>俄罗斯卢布（RUB；1998币制）</x:v>
      </x:c>
      <x:c r="L98" s="12" t="str">
        <x:v>人民币元（1955币制；CNY）</x:v>
      </x:c>
      <x:c r="M98" s="12" t="str">
        <x:v>欧元（EUR）</x:v>
      </x:c>
      <x:c r="N98" s="12" t="str">
        <x:v>全年；请仍核对币名与原始口径</x:v>
      </x:c>
    </x:row>
    <x:row r="99" ht="48" customHeight="1">
      <x:c r="A99" t="n">
        <x:v>2013</x:v>
      </x:c>
      <x:c r="B99" s="12" t="str">
        <x:v>美元（USD）</x:v>
      </x:c>
      <x:c r="C99" s="12" t="str">
        <x:v>英镑（GBP）</x:v>
      </x:c>
      <x:c r="D99" s="12" t="str">
        <x:v>加拿大元（CAD）</x:v>
      </x:c>
      <x:c r="E99" s="12" t="str">
        <x:v>欧元（EUR）</x:v>
      </x:c>
      <x:c r="F99" s="12" t="str">
        <x:v>欧元（EUR）</x:v>
      </x:c>
      <x:c r="G99" s="12" t="str">
        <x:v>欧元（EUR）</x:v>
      </x:c>
      <x:c r="H99" s="12" t="str">
        <x:v>日元（JPY）</x:v>
      </x:c>
      <x:c r="I99" s="12" t="str">
        <x:v>瑞士法郎（CHF）</x:v>
      </x:c>
      <x:c r="J99" s="12" t="str">
        <x:v>印度卢比（INR）</x:v>
      </x:c>
      <x:c r="K99" s="12" t="str">
        <x:v>俄罗斯卢布（RUB；1998币制）</x:v>
      </x:c>
      <x:c r="L99" s="12" t="str">
        <x:v>人民币元（1955币制；CNY）</x:v>
      </x:c>
      <x:c r="M99" s="12" t="str">
        <x:v>欧元（EUR）</x:v>
      </x:c>
      <x:c r="N99" s="12" t="str">
        <x:v>全年；请仍核对币名与原始口径</x:v>
      </x:c>
    </x:row>
    <x:row r="100" ht="48" customHeight="1">
      <x:c r="A100" t="n">
        <x:v>2014</x:v>
      </x:c>
      <x:c r="B100" s="12" t="str">
        <x:v>美元（USD）</x:v>
      </x:c>
      <x:c r="C100" s="12" t="str">
        <x:v>英镑（GBP）</x:v>
      </x:c>
      <x:c r="D100" s="12" t="str">
        <x:v>加拿大元（CAD）</x:v>
      </x:c>
      <x:c r="E100" s="12" t="str">
        <x:v>欧元（EUR）</x:v>
      </x:c>
      <x:c r="F100" s="12" t="str">
        <x:v>欧元（EUR）</x:v>
      </x:c>
      <x:c r="G100" s="12" t="str">
        <x:v>欧元（EUR）</x:v>
      </x:c>
      <x:c r="H100" s="12" t="str">
        <x:v>日元（JPY）</x:v>
      </x:c>
      <x:c r="I100" s="12" t="str">
        <x:v>瑞士法郎（CHF）</x:v>
      </x:c>
      <x:c r="J100" s="12" t="str">
        <x:v>印度卢比（INR）</x:v>
      </x:c>
      <x:c r="K100" s="12" t="str">
        <x:v>俄罗斯卢布（RUB；1998币制）</x:v>
      </x:c>
      <x:c r="L100" s="12" t="str">
        <x:v>人民币元（1955币制；CNY）</x:v>
      </x:c>
      <x:c r="M100" s="12" t="str">
        <x:v>欧元（EUR）</x:v>
      </x:c>
      <x:c r="N100" s="12" t="str">
        <x:v>全年；请仍核对币名与原始口径</x:v>
      </x:c>
    </x:row>
    <x:row r="101" ht="48" customHeight="1">
      <x:c r="A101" t="n">
        <x:v>2015</x:v>
      </x:c>
      <x:c r="B101" s="12" t="str">
        <x:v>美元（USD）</x:v>
      </x:c>
      <x:c r="C101" s="12" t="str">
        <x:v>英镑（GBP）</x:v>
      </x:c>
      <x:c r="D101" s="12" t="str">
        <x:v>加拿大元（CAD）</x:v>
      </x:c>
      <x:c r="E101" s="12" t="str">
        <x:v>欧元（EUR）</x:v>
      </x:c>
      <x:c r="F101" s="12" t="str">
        <x:v>欧元（EUR）</x:v>
      </x:c>
      <x:c r="G101" s="12" t="str">
        <x:v>欧元（EUR）</x:v>
      </x:c>
      <x:c r="H101" s="12" t="str">
        <x:v>日元（JPY）</x:v>
      </x:c>
      <x:c r="I101" s="12" t="str">
        <x:v>瑞士法郎（CHF）</x:v>
      </x:c>
      <x:c r="J101" s="12" t="str">
        <x:v>印度卢比（INR）</x:v>
      </x:c>
      <x:c r="K101" s="12" t="str">
        <x:v>俄罗斯卢布（RUB；1998币制）</x:v>
      </x:c>
      <x:c r="L101" s="12" t="str">
        <x:v>人民币元（1955币制；CNY）</x:v>
      </x:c>
      <x:c r="M101" s="12" t="str">
        <x:v>欧元（EUR）</x:v>
      </x:c>
      <x:c r="N101" s="12" t="str">
        <x:v>全年；请仍核对币名与原始口径</x:v>
      </x:c>
    </x:row>
    <x:row r="102" ht="48" customHeight="1">
      <x:c r="A102" t="n">
        <x:v>2016</x:v>
      </x:c>
      <x:c r="B102" s="12" t="str">
        <x:v>美元（USD）</x:v>
      </x:c>
      <x:c r="C102" s="12" t="str">
        <x:v>英镑（GBP）</x:v>
      </x:c>
      <x:c r="D102" s="12" t="str">
        <x:v>加拿大元（CAD）</x:v>
      </x:c>
      <x:c r="E102" s="12" t="str">
        <x:v>欧元（EUR）</x:v>
      </x:c>
      <x:c r="F102" s="12" t="str">
        <x:v>欧元（EUR）</x:v>
      </x:c>
      <x:c r="G102" s="12" t="str">
        <x:v>欧元（EUR）</x:v>
      </x:c>
      <x:c r="H102" s="12" t="str">
        <x:v>日元（JPY）</x:v>
      </x:c>
      <x:c r="I102" s="12" t="str">
        <x:v>瑞士法郎（CHF）</x:v>
      </x:c>
      <x:c r="J102" s="12" t="str">
        <x:v>印度卢比（INR）</x:v>
      </x:c>
      <x:c r="K102" s="12" t="str">
        <x:v>俄罗斯卢布（RUB；1998币制）</x:v>
      </x:c>
      <x:c r="L102" s="12" t="str">
        <x:v>人民币元（1955币制；CNY）</x:v>
      </x:c>
      <x:c r="M102" s="12" t="str">
        <x:v>欧元（EUR）</x:v>
      </x:c>
      <x:c r="N102" s="12" t="str">
        <x:v>全年；请仍核对币名与原始口径</x:v>
      </x:c>
    </x:row>
    <x:row r="103" ht="48" customHeight="1">
      <x:c r="A103" t="n">
        <x:v>2017</x:v>
      </x:c>
      <x:c r="B103" s="12" t="str">
        <x:v>美元（USD）</x:v>
      </x:c>
      <x:c r="C103" s="12" t="str">
        <x:v>英镑（GBP）</x:v>
      </x:c>
      <x:c r="D103" s="12" t="str">
        <x:v>加拿大元（CAD）</x:v>
      </x:c>
      <x:c r="E103" s="12" t="str">
        <x:v>欧元（EUR）</x:v>
      </x:c>
      <x:c r="F103" s="12" t="str">
        <x:v>欧元（EUR）</x:v>
      </x:c>
      <x:c r="G103" s="12" t="str">
        <x:v>欧元（EUR）</x:v>
      </x:c>
      <x:c r="H103" s="12" t="str">
        <x:v>日元（JPY）</x:v>
      </x:c>
      <x:c r="I103" s="12" t="str">
        <x:v>瑞士法郎（CHF）</x:v>
      </x:c>
      <x:c r="J103" s="12" t="str">
        <x:v>印度卢比（INR）</x:v>
      </x:c>
      <x:c r="K103" s="12" t="str">
        <x:v>俄罗斯卢布（RUB；1998币制）</x:v>
      </x:c>
      <x:c r="L103" s="12" t="str">
        <x:v>人民币元（1955币制；CNY）</x:v>
      </x:c>
      <x:c r="M103" s="12" t="str">
        <x:v>欧元（EUR）</x:v>
      </x:c>
      <x:c r="N103" s="12" t="str">
        <x:v>全年；请仍核对币名与原始口径</x:v>
      </x:c>
    </x:row>
    <x:row r="104" ht="48" customHeight="1">
      <x:c r="A104" t="n">
        <x:v>2018</x:v>
      </x:c>
      <x:c r="B104" s="12" t="str">
        <x:v>美元（USD）</x:v>
      </x:c>
      <x:c r="C104" s="12" t="str">
        <x:v>英镑（GBP）</x:v>
      </x:c>
      <x:c r="D104" s="12" t="str">
        <x:v>加拿大元（CAD）</x:v>
      </x:c>
      <x:c r="E104" s="12" t="str">
        <x:v>欧元（EUR）</x:v>
      </x:c>
      <x:c r="F104" s="12" t="str">
        <x:v>欧元（EUR）</x:v>
      </x:c>
      <x:c r="G104" s="12" t="str">
        <x:v>欧元（EUR）</x:v>
      </x:c>
      <x:c r="H104" s="12" t="str">
        <x:v>日元（JPY）</x:v>
      </x:c>
      <x:c r="I104" s="12" t="str">
        <x:v>瑞士法郎（CHF）</x:v>
      </x:c>
      <x:c r="J104" s="12" t="str">
        <x:v>印度卢比（INR）</x:v>
      </x:c>
      <x:c r="K104" s="12" t="str">
        <x:v>俄罗斯卢布（RUB；1998币制）</x:v>
      </x:c>
      <x:c r="L104" s="12" t="str">
        <x:v>人民币元（1955币制；CNY）</x:v>
      </x:c>
      <x:c r="M104" s="12" t="str">
        <x:v>欧元（EUR）</x:v>
      </x:c>
      <x:c r="N104" s="12" t="str">
        <x:v>全年；请仍核对币名与原始口径</x:v>
      </x:c>
    </x:row>
    <x:row r="105" ht="48" customHeight="1">
      <x:c r="A105" t="n">
        <x:v>2019</x:v>
      </x:c>
      <x:c r="B105" s="12" t="str">
        <x:v>美元（USD）</x:v>
      </x:c>
      <x:c r="C105" s="12" t="str">
        <x:v>英镑（GBP）</x:v>
      </x:c>
      <x:c r="D105" s="12" t="str">
        <x:v>加拿大元（CAD）</x:v>
      </x:c>
      <x:c r="E105" s="12" t="str">
        <x:v>欧元（EUR）</x:v>
      </x:c>
      <x:c r="F105" s="12" t="str">
        <x:v>欧元（EUR）</x:v>
      </x:c>
      <x:c r="G105" s="12" t="str">
        <x:v>欧元（EUR）</x:v>
      </x:c>
      <x:c r="H105" s="12" t="str">
        <x:v>日元（JPY）</x:v>
      </x:c>
      <x:c r="I105" s="12" t="str">
        <x:v>瑞士法郎（CHF）</x:v>
      </x:c>
      <x:c r="J105" s="12" t="str">
        <x:v>印度卢比（INR）</x:v>
      </x:c>
      <x:c r="K105" s="12" t="str">
        <x:v>俄罗斯卢布（RUB；1998币制）</x:v>
      </x:c>
      <x:c r="L105" s="12" t="str">
        <x:v>人民币元（1955币制；CNY）</x:v>
      </x:c>
      <x:c r="M105" s="12" t="str">
        <x:v>欧元（EUR）</x:v>
      </x:c>
      <x:c r="N105" s="12" t="str">
        <x:v>全年；请仍核对币名与原始口径</x:v>
      </x:c>
    </x:row>
    <x:row r="106" ht="48" customHeight="1">
      <x:c r="A106" t="n">
        <x:v>2020</x:v>
      </x:c>
      <x:c r="B106" s="12" t="str">
        <x:v>美元（USD）</x:v>
      </x:c>
      <x:c r="C106" s="12" t="str">
        <x:v>英镑（GBP）</x:v>
      </x:c>
      <x:c r="D106" s="12" t="str">
        <x:v>加拿大元（CAD）</x:v>
      </x:c>
      <x:c r="E106" s="12" t="str">
        <x:v>欧元（EUR）</x:v>
      </x:c>
      <x:c r="F106" s="12" t="str">
        <x:v>欧元（EUR）</x:v>
      </x:c>
      <x:c r="G106" s="12" t="str">
        <x:v>欧元（EUR）</x:v>
      </x:c>
      <x:c r="H106" s="12" t="str">
        <x:v>日元（JPY）</x:v>
      </x:c>
      <x:c r="I106" s="12" t="str">
        <x:v>瑞士法郎（CHF）</x:v>
      </x:c>
      <x:c r="J106" s="12" t="str">
        <x:v>印度卢比（INR）</x:v>
      </x:c>
      <x:c r="K106" s="12" t="str">
        <x:v>俄罗斯卢布（RUB；1998币制）</x:v>
      </x:c>
      <x:c r="L106" s="12" t="str">
        <x:v>人民币元（1955币制；CNY）</x:v>
      </x:c>
      <x:c r="M106" s="12" t="str">
        <x:v>欧元（EUR）</x:v>
      </x:c>
      <x:c r="N106" s="12" t="str">
        <x:v>全年；请仍核对币名与原始口径</x:v>
      </x:c>
    </x:row>
    <x:row r="107" ht="48" customHeight="1">
      <x:c r="A107" t="n">
        <x:v>2021</x:v>
      </x:c>
      <x:c r="B107" s="12" t="str">
        <x:v>美元（USD）</x:v>
      </x:c>
      <x:c r="C107" s="12" t="str">
        <x:v>英镑（GBP）</x:v>
      </x:c>
      <x:c r="D107" s="12" t="str">
        <x:v>加拿大元（CAD）</x:v>
      </x:c>
      <x:c r="E107" s="12" t="str">
        <x:v>欧元（EUR）</x:v>
      </x:c>
      <x:c r="F107" s="12" t="str">
        <x:v>欧元（EUR）</x:v>
      </x:c>
      <x:c r="G107" s="12" t="str">
        <x:v>欧元（EUR）</x:v>
      </x:c>
      <x:c r="H107" s="12" t="str">
        <x:v>日元（JPY）</x:v>
      </x:c>
      <x:c r="I107" s="12" t="str">
        <x:v>瑞士法郎（CHF）</x:v>
      </x:c>
      <x:c r="J107" s="12" t="str">
        <x:v>印度卢比（INR）</x:v>
      </x:c>
      <x:c r="K107" s="12" t="str">
        <x:v>俄罗斯卢布（RUB；1998币制）</x:v>
      </x:c>
      <x:c r="L107" s="12" t="str">
        <x:v>人民币元（1955币制；CNY）</x:v>
      </x:c>
      <x:c r="M107" s="12" t="str">
        <x:v>欧元（EUR）</x:v>
      </x:c>
      <x:c r="N107" s="12" t="str">
        <x:v>全年；请仍核对币名与原始口径</x:v>
      </x:c>
    </x:row>
    <x:row r="108" ht="48" customHeight="1">
      <x:c r="A108" t="n">
        <x:v>2022</x:v>
      </x:c>
      <x:c r="B108" s="12" t="str">
        <x:v>美元（USD）</x:v>
      </x:c>
      <x:c r="C108" s="12" t="str">
        <x:v>英镑（GBP）</x:v>
      </x:c>
      <x:c r="D108" s="12" t="str">
        <x:v>加拿大元（CAD）</x:v>
      </x:c>
      <x:c r="E108" s="12" t="str">
        <x:v>欧元（EUR）</x:v>
      </x:c>
      <x:c r="F108" s="12" t="str">
        <x:v>欧元（EUR）</x:v>
      </x:c>
      <x:c r="G108" s="12" t="str">
        <x:v>欧元（EUR）</x:v>
      </x:c>
      <x:c r="H108" s="12" t="str">
        <x:v>日元（JPY）</x:v>
      </x:c>
      <x:c r="I108" s="12" t="str">
        <x:v>瑞士法郎（CHF）</x:v>
      </x:c>
      <x:c r="J108" s="12" t="str">
        <x:v>印度卢比（INR）</x:v>
      </x:c>
      <x:c r="K108" s="12" t="str">
        <x:v>俄罗斯卢布（RUB；1998币制）</x:v>
      </x:c>
      <x:c r="L108" s="12" t="str">
        <x:v>人民币元（1955币制；CNY）</x:v>
      </x:c>
      <x:c r="M108" s="12" t="str">
        <x:v>欧元（EUR）</x:v>
      </x:c>
      <x:c r="N108" s="12" t="str">
        <x:v>全年；请仍核对币名与原始口径</x:v>
      </x:c>
    </x:row>
    <x:row r="109" ht="48" customHeight="1">
      <x:c r="A109" t="n">
        <x:v>2023</x:v>
      </x:c>
      <x:c r="B109" s="12" t="str">
        <x:v>美元（USD）</x:v>
      </x:c>
      <x:c r="C109" s="12" t="str">
        <x:v>英镑（GBP）</x:v>
      </x:c>
      <x:c r="D109" s="12" t="str">
        <x:v>加拿大元（CAD）</x:v>
      </x:c>
      <x:c r="E109" s="12" t="str">
        <x:v>欧元（EUR）</x:v>
      </x:c>
      <x:c r="F109" s="12" t="str">
        <x:v>欧元（EUR）</x:v>
      </x:c>
      <x:c r="G109" s="12" t="str">
        <x:v>欧元（EUR）</x:v>
      </x:c>
      <x:c r="H109" s="12" t="str">
        <x:v>日元（JPY）</x:v>
      </x:c>
      <x:c r="I109" s="12" t="str">
        <x:v>瑞士法郎（CHF）</x:v>
      </x:c>
      <x:c r="J109" s="12" t="str">
        <x:v>印度卢比（INR）</x:v>
      </x:c>
      <x:c r="K109" s="12" t="str">
        <x:v>俄罗斯卢布（RUB；1998币制）</x:v>
      </x:c>
      <x:c r="L109" s="12" t="str">
        <x:v>人民币元（1955币制；CNY）</x:v>
      </x:c>
      <x:c r="M109" s="12" t="str">
        <x:v>欧元（EUR）</x:v>
      </x:c>
      <x:c r="N109" s="12" t="str">
        <x:v>全年；请仍核对币名与原始口径</x:v>
      </x:c>
    </x:row>
    <x:row r="110" ht="48" customHeight="1">
      <x:c r="A110" t="n">
        <x:v>2024</x:v>
      </x:c>
      <x:c r="B110" s="12" t="str">
        <x:v>美元（USD）</x:v>
      </x:c>
      <x:c r="C110" s="12" t="str">
        <x:v>英镑（GBP）</x:v>
      </x:c>
      <x:c r="D110" s="12" t="str">
        <x:v>加拿大元（CAD）</x:v>
      </x:c>
      <x:c r="E110" s="12" t="str">
        <x:v>欧元（EUR）</x:v>
      </x:c>
      <x:c r="F110" s="12" t="str">
        <x:v>欧元（EUR）</x:v>
      </x:c>
      <x:c r="G110" s="12" t="str">
        <x:v>欧元（EUR）</x:v>
      </x:c>
      <x:c r="H110" s="12" t="str">
        <x:v>日元（JPY）</x:v>
      </x:c>
      <x:c r="I110" s="12" t="str">
        <x:v>瑞士法郎（CHF）</x:v>
      </x:c>
      <x:c r="J110" s="12" t="str">
        <x:v>印度卢比（INR）</x:v>
      </x:c>
      <x:c r="K110" s="12" t="str">
        <x:v>俄罗斯卢布（RUB；1998币制）</x:v>
      </x:c>
      <x:c r="L110" s="12" t="str">
        <x:v>人民币元（1955币制；CNY）</x:v>
      </x:c>
      <x:c r="M110" s="12" t="str">
        <x:v>欧元（EUR）</x:v>
      </x:c>
      <x:c r="N110" s="12" t="str">
        <x:v>全年；请仍核对币名与原始口径</x:v>
      </x:c>
    </x:row>
    <x:row r="111" ht="48" customHeight="1">
      <x:c r="A111" t="n">
        <x:v>2025</x:v>
      </x:c>
      <x:c r="B111" s="12" t="str">
        <x:v>美元（USD）</x:v>
      </x:c>
      <x:c r="C111" s="12" t="str">
        <x:v>英镑（GBP）</x:v>
      </x:c>
      <x:c r="D111" s="12" t="str">
        <x:v>加拿大元（CAD）</x:v>
      </x:c>
      <x:c r="E111" s="12" t="str">
        <x:v>欧元（EUR）</x:v>
      </x:c>
      <x:c r="F111" s="12" t="str">
        <x:v>欧元（EUR）</x:v>
      </x:c>
      <x:c r="G111" s="12" t="str">
        <x:v>欧元（EUR）</x:v>
      </x:c>
      <x:c r="H111" s="12" t="str">
        <x:v>日元（JPY）</x:v>
      </x:c>
      <x:c r="I111" s="12" t="str">
        <x:v>瑞士法郎（CHF）</x:v>
      </x:c>
      <x:c r="J111" s="12" t="str">
        <x:v>印度卢比（INR）</x:v>
      </x:c>
      <x:c r="K111" s="12" t="str">
        <x:v>俄罗斯卢布（RUB；1998币制）</x:v>
      </x:c>
      <x:c r="L111" s="12" t="str">
        <x:v>人民币元（1955币制；CNY）</x:v>
      </x:c>
      <x:c r="M111" s="12" t="str">
        <x:v>欧元（EUR）</x:v>
      </x:c>
      <x:c r="N111" s="12" t="str">
        <x:v>全年；请仍核对币名与原始口径</x:v>
      </x:c>
    </x:row>
    <x:row r="112" ht="48" customHeight="1">
      <x:c r="A112" t="n">
        <x:v>2026</x:v>
      </x:c>
      <x:c r="B112" s="12" t="str">
        <x:v>美元（USD）</x:v>
      </x:c>
      <x:c r="C112" s="12" t="str">
        <x:v>英镑（GBP）</x:v>
      </x:c>
      <x:c r="D112" s="12" t="str">
        <x:v>加拿大元（CAD）</x:v>
      </x:c>
      <x:c r="E112" s="12" t="str">
        <x:v>欧元（EUR）</x:v>
      </x:c>
      <x:c r="F112" s="12" t="str">
        <x:v>欧元（EUR）</x:v>
      </x:c>
      <x:c r="G112" s="12" t="str">
        <x:v>欧元（EUR）</x:v>
      </x:c>
      <x:c r="H112" s="12" t="str">
        <x:v>日元（JPY）</x:v>
      </x:c>
      <x:c r="I112" s="12" t="str">
        <x:v>瑞士法郎（CHF）</x:v>
      </x:c>
      <x:c r="J112" s="12" t="str">
        <x:v>印度卢比（INR）</x:v>
      </x:c>
      <x:c r="K112" s="12" t="str">
        <x:v>俄罗斯卢布（RUB；1998币制）</x:v>
      </x:c>
      <x:c r="L112" s="12" t="str">
        <x:v>人民币元（1955币制；CNY）</x:v>
      </x:c>
      <x:c r="M112" s="12" t="str">
        <x:v>欧元（EUR）</x:v>
      </x:c>
      <x:c r="N112" s="12" t="str">
        <x:v>仅1—8月</x:v>
      </x:c>
    </x:row>
  </x:sheetData>
  <x:mergeCells>
    <x:mergeCell ref="A1:M1"/>
    <x:mergeCell ref="A2:N3"/>
  </x:mergeCells>
  <x:pageMargins left="0.7" right="0.7" top="0.75" bottom="0.75" header="0.3" footer="0.3"/>
  <x:tableParts count="1">
    <x:tablePart xmlns:r="http://schemas.openxmlformats.org/officeDocument/2006/relationships" r:id="R4c90c08d716b43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</x:cols>
  <x:sheetData>
    <x:row r="1" ht="34" customHeight="1">
      <x:c r="A1" s="6" t="str">
        <x:v>口径与来源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每格与年度汇率主表一一对应：统计口径｜来源ID｜观测期。来源ID对应原始记录与来源目录；官价补充为C级二手资料。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美元</x:v>
      </x:c>
      <x:c r="C5" s="6" t="str">
        <x:v>英镑</x:v>
      </x:c>
      <x:c r="D5" s="6" t="str">
        <x:v>加拿大元</x:v>
      </x:c>
      <x:c r="E5" s="6" t="str">
        <x:v>法郎→欧元</x:v>
      </x:c>
      <x:c r="F5" s="6" t="str">
        <x:v>马克→欧元</x:v>
      </x:c>
      <x:c r="G5" s="6" t="str">
        <x:v>里拉→欧元</x:v>
      </x:c>
      <x:c r="H5" s="6" t="str">
        <x:v>日元</x:v>
      </x:c>
      <x:c r="I5" s="6" t="str">
        <x:v>瑞士法郎</x:v>
      </x:c>
      <x:c r="J5" s="6" t="str">
        <x:v>印度卢比</x:v>
      </x:c>
      <x:c r="K5" s="6" t="str">
        <x:v>卢布</x:v>
      </x:c>
      <x:c r="L5" s="6" t="str">
        <x:v>中国币种</x:v>
      </x:c>
      <x:c r="M5" s="6" t="str">
        <x:v>欧元／德国代理</x:v>
      </x:c>
      <x:c r="N5" s="6" t="str">
        <x:v>提示</x:v>
      </x:c>
    </x:row>
    <x:row r="6" ht="66" customHeight="1">
      <x:c r="A6" t="n">
        <x:v>1920</x:v>
      </x:c>
      <x:c r="B6" s="12" t="str">
        <x:v>基准恒等｜1 USD</x:v>
      </x:c>
      <x:c r="C6" s="12" t="str">
        <x:v>年均｜MW_GBP｜1920</x:v>
      </x:c>
      <x:c r="D6" s="12" t="str">
        <x:v>年均｜MW_CAD｜1920</x:v>
      </x:c>
      <x:c r="E6" s="12" t="str">
        <x:v>年均｜MW_FR｜1920</x:v>
      </x:c>
      <x:c r="F6" s="12" t="str">
        <x:v>年均｜UCSB_DE｜1920</x:v>
      </x:c>
      <x:c r="G6" s="12" t="str">
        <x:v>年均｜FRASER_IT｜1920</x:v>
      </x:c>
      <x:c r="H6" s="12" t="str">
        <x:v>年均｜MW_JPY｜1920</x:v>
      </x:c>
      <x:c r="I6" s="12" t="str">
        <x:v>年均｜MW_CHF｜1920</x:v>
      </x:c>
      <x:c r="J6" s="12" t="str">
        <x:v>年均｜MW_INR｜1920</x:v>
      </x:c>
      <x:c r="K6" s="12" t="str">
        <x:v>缺失／未核实</x:v>
      </x:c>
      <x:c r="L6" s="12" t="str">
        <x:v>年均｜FRASER_CN｜1920</x:v>
      </x:c>
      <x:c r="M6" s="12" t="str">
        <x:v>德国地区代理；非欧元｜年均｜UCSB_DE｜1920</x:v>
      </x:c>
      <x:c r="N6" s="12" t="str">
        <x:v>含缺失；欧元栏为德国代理</x:v>
      </x:c>
    </x:row>
    <x:row r="7" ht="66" customHeight="1">
      <x:c r="A7" t="n">
        <x:v>1921</x:v>
      </x:c>
      <x:c r="B7" s="12" t="str">
        <x:v>基准恒等｜1 USD</x:v>
      </x:c>
      <x:c r="C7" s="12" t="str">
        <x:v>年均｜MW_GBP｜1921</x:v>
      </x:c>
      <x:c r="D7" s="12" t="str">
        <x:v>年均｜MW_CAD｜1921</x:v>
      </x:c>
      <x:c r="E7" s="12" t="str">
        <x:v>年均｜MW_FR｜1921</x:v>
      </x:c>
      <x:c r="F7" s="12" t="str">
        <x:v>年均｜UCSB_DE｜1921</x:v>
      </x:c>
      <x:c r="G7" s="12" t="str">
        <x:v>年均｜FRASER_IT｜1921</x:v>
      </x:c>
      <x:c r="H7" s="12" t="str">
        <x:v>年均｜MW_JPY｜1921</x:v>
      </x:c>
      <x:c r="I7" s="12" t="str">
        <x:v>年均｜MW_CHF｜1921</x:v>
      </x:c>
      <x:c r="J7" s="12" t="str">
        <x:v>年均｜MW_INR｜1921</x:v>
      </x:c>
      <x:c r="K7" s="12" t="str">
        <x:v>缺失／未核实</x:v>
      </x:c>
      <x:c r="L7" s="12" t="str">
        <x:v>年均｜FRASER_CN｜1921</x:v>
      </x:c>
      <x:c r="M7" s="12" t="str">
        <x:v>德国地区代理；非欧元｜年均｜UCSB_DE｜1921</x:v>
      </x:c>
      <x:c r="N7" s="12" t="str">
        <x:v>含缺失；欧元栏为德国代理</x:v>
      </x:c>
    </x:row>
    <x:row r="8" ht="66" customHeight="1">
      <x:c r="A8" t="n">
        <x:v>1922</x:v>
      </x:c>
      <x:c r="B8" s="12" t="str">
        <x:v>基准恒等｜1 USD</x:v>
      </x:c>
      <x:c r="C8" s="12" t="str">
        <x:v>年均｜MW_GBP｜1922</x:v>
      </x:c>
      <x:c r="D8" s="12" t="str">
        <x:v>年均｜MW_CAD｜1922</x:v>
      </x:c>
      <x:c r="E8" s="12" t="str">
        <x:v>年均｜MW_FR｜1922</x:v>
      </x:c>
      <x:c r="F8" s="12" t="str">
        <x:v>年均｜UCSB_DE｜1922</x:v>
      </x:c>
      <x:c r="G8" s="12" t="str">
        <x:v>年均｜FRASER_IT｜1922</x:v>
      </x:c>
      <x:c r="H8" s="12" t="str">
        <x:v>年均｜MW_JPY｜1922</x:v>
      </x:c>
      <x:c r="I8" s="12" t="str">
        <x:v>年均｜MW_CHF｜1922</x:v>
      </x:c>
      <x:c r="J8" s="12" t="str">
        <x:v>年均｜MW_INR｜1922</x:v>
      </x:c>
      <x:c r="K8" s="12" t="str">
        <x:v>缺失／未核实</x:v>
      </x:c>
      <x:c r="L8" s="12" t="str">
        <x:v>年均｜FRASER_CN｜1922</x:v>
      </x:c>
      <x:c r="M8" s="12" t="str">
        <x:v>德国地区代理；非欧元｜年均｜UCSB_DE｜1922</x:v>
      </x:c>
      <x:c r="N8" s="12" t="str">
        <x:v>含缺失；欧元栏为德国代理</x:v>
      </x:c>
    </x:row>
    <x:row r="9" ht="66" customHeight="1">
      <x:c r="A9" t="n">
        <x:v>1923</x:v>
      </x:c>
      <x:c r="B9" s="12" t="str">
        <x:v>基准恒等｜1 USD</x:v>
      </x:c>
      <x:c r="C9" s="12" t="str">
        <x:v>年均｜MW_GBP｜1923</x:v>
      </x:c>
      <x:c r="D9" s="12" t="str">
        <x:v>年均｜MW_CAD｜1923</x:v>
      </x:c>
      <x:c r="E9" s="12" t="str">
        <x:v>年均｜MW_FR｜1923</x:v>
      </x:c>
      <x:c r="F9" s="12" t="str">
        <x:v>缺失／未核实</x:v>
      </x:c>
      <x:c r="G9" s="12" t="str">
        <x:v>年均｜FRASER_IT｜1923</x:v>
      </x:c>
      <x:c r="H9" s="12" t="str">
        <x:v>年均｜MW_JPY｜1923</x:v>
      </x:c>
      <x:c r="I9" s="12" t="str">
        <x:v>年均｜MW_CHF｜1923</x:v>
      </x:c>
      <x:c r="J9" s="12" t="str">
        <x:v>年均｜MW_INR｜1923</x:v>
      </x:c>
      <x:c r="K9" s="12" t="str">
        <x:v>缺失／未核实</x:v>
      </x:c>
      <x:c r="L9" s="12" t="str">
        <x:v>年均｜FRASER_CN｜1923</x:v>
      </x:c>
      <x:c r="M9" s="12" t="str">
        <x:v>德国地区代理；非欧元｜缺失／未核实</x:v>
      </x:c>
      <x:c r="N9" s="12" t="str">
        <x:v>含缺失；欧元栏为德国代理</x:v>
      </x:c>
    </x:row>
    <x:row r="10" ht="66" customHeight="1">
      <x:c r="A10" t="n">
        <x:v>1924</x:v>
      </x:c>
      <x:c r="B10" s="12" t="str">
        <x:v>基准恒等｜1 USD</x:v>
      </x:c>
      <x:c r="C10" s="12" t="str">
        <x:v>年均｜MW_GBP｜1924</x:v>
      </x:c>
      <x:c r="D10" s="12" t="str">
        <x:v>年均｜MW_CAD｜1924</x:v>
      </x:c>
      <x:c r="E10" s="12" t="str">
        <x:v>年均｜MW_FR｜1924</x:v>
      </x:c>
      <x:c r="F10" s="12" t="str">
        <x:v>缺失／未核实</x:v>
      </x:c>
      <x:c r="G10" s="12" t="str">
        <x:v>年均｜FRASER_IT｜1924</x:v>
      </x:c>
      <x:c r="H10" s="12" t="str">
        <x:v>年均｜MW_JPY｜1924</x:v>
      </x:c>
      <x:c r="I10" s="12" t="str">
        <x:v>年均｜MW_CHF｜1924</x:v>
      </x:c>
      <x:c r="J10" s="12" t="str">
        <x:v>年均｜MW_INR｜1924</x:v>
      </x:c>
      <x:c r="K10" s="12" t="str">
        <x:v>定点官价参考（非年均）｜SUR_OFFICIAL_SECONDARY｜1924-04-01</x:v>
      </x:c>
      <x:c r="L10" s="12" t="str">
        <x:v>年均｜FRASER_CN｜1924</x:v>
      </x:c>
      <x:c r="M10" s="12" t="str">
        <x:v>德国地区代理；非欧元｜缺失／未核实</x:v>
      </x:c>
      <x:c r="N10" s="12" t="str">
        <x:v>含缺失；卢布含官价参考；欧元栏为德国代理</x:v>
      </x:c>
    </x:row>
    <x:row r="11" ht="66" customHeight="1">
      <x:c r="A11" t="n">
        <x:v>1925</x:v>
      </x:c>
      <x:c r="B11" s="12" t="str">
        <x:v>基准恒等｜1 USD</x:v>
      </x:c>
      <x:c r="C11" s="12" t="str">
        <x:v>年均｜MW_GBP｜1925</x:v>
      </x:c>
      <x:c r="D11" s="12" t="str">
        <x:v>年均｜MW_CAD｜1925</x:v>
      </x:c>
      <x:c r="E11" s="12" t="str">
        <x:v>年均｜MW_FR｜1925</x:v>
      </x:c>
      <x:c r="F11" s="12" t="str">
        <x:v>年均｜UCSB_DE｜1925</x:v>
      </x:c>
      <x:c r="G11" s="12" t="str">
        <x:v>年均｜FRASER_IT｜1925</x:v>
      </x:c>
      <x:c r="H11" s="12" t="str">
        <x:v>年均｜MW_JPY｜1925</x:v>
      </x:c>
      <x:c r="I11" s="12" t="str">
        <x:v>年均｜MW_CHF｜1925</x:v>
      </x:c>
      <x:c r="J11" s="12" t="str">
        <x:v>年均｜MW_INR｜1925</x:v>
      </x:c>
      <x:c r="K11" s="12" t="str">
        <x:v>缺失／未核实</x:v>
      </x:c>
      <x:c r="L11" s="12" t="str">
        <x:v>年均｜FRASER_CN｜1925</x:v>
      </x:c>
      <x:c r="M11" s="12" t="str">
        <x:v>德国地区代理；非欧元｜年均｜UCSB_DE｜1925</x:v>
      </x:c>
      <x:c r="N11" s="12" t="str">
        <x:v>含缺失；欧元栏为德国代理</x:v>
      </x:c>
    </x:row>
    <x:row r="12" ht="66" customHeight="1">
      <x:c r="A12" t="n">
        <x:v>1926</x:v>
      </x:c>
      <x:c r="B12" s="12" t="str">
        <x:v>基准恒等｜1 USD</x:v>
      </x:c>
      <x:c r="C12" s="12" t="str">
        <x:v>年均｜MW_GBP｜1926</x:v>
      </x:c>
      <x:c r="D12" s="12" t="str">
        <x:v>年均｜MW_CAD｜1926</x:v>
      </x:c>
      <x:c r="E12" s="12" t="str">
        <x:v>年均｜MW_FR｜1926</x:v>
      </x:c>
      <x:c r="F12" s="12" t="str">
        <x:v>年均｜UCSB_DE｜1926</x:v>
      </x:c>
      <x:c r="G12" s="12" t="str">
        <x:v>年均｜FRASER_IT｜1926</x:v>
      </x:c>
      <x:c r="H12" s="12" t="str">
        <x:v>年均｜MW_JPY｜1926</x:v>
      </x:c>
      <x:c r="I12" s="12" t="str">
        <x:v>年均｜MW_CHF｜1926</x:v>
      </x:c>
      <x:c r="J12" s="12" t="str">
        <x:v>年均｜MW_INR｜1926</x:v>
      </x:c>
      <x:c r="K12" s="12" t="str">
        <x:v>缺失／未核实</x:v>
      </x:c>
      <x:c r="L12" s="12" t="str">
        <x:v>年均｜FRASER_CN｜1926</x:v>
      </x:c>
      <x:c r="M12" s="12" t="str">
        <x:v>德国地区代理；非欧元｜年均｜UCSB_DE｜1926</x:v>
      </x:c>
      <x:c r="N12" s="12" t="str">
        <x:v>含缺失；欧元栏为德国代理</x:v>
      </x:c>
    </x:row>
    <x:row r="13" ht="66" customHeight="1">
      <x:c r="A13" t="n">
        <x:v>1927</x:v>
      </x:c>
      <x:c r="B13" s="12" t="str">
        <x:v>基准恒等｜1 USD</x:v>
      </x:c>
      <x:c r="C13" s="12" t="str">
        <x:v>年均｜MW_GBP｜1927</x:v>
      </x:c>
      <x:c r="D13" s="12" t="str">
        <x:v>年均｜MW_CAD｜1927</x:v>
      </x:c>
      <x:c r="E13" s="12" t="str">
        <x:v>年均｜MW_FR｜1927</x:v>
      </x:c>
      <x:c r="F13" s="12" t="str">
        <x:v>年均｜UCSB_DE｜1927</x:v>
      </x:c>
      <x:c r="G13" s="12" t="str">
        <x:v>年均｜FRASER_IT｜1927</x:v>
      </x:c>
      <x:c r="H13" s="12" t="str">
        <x:v>年均｜MW_JPY｜1927</x:v>
      </x:c>
      <x:c r="I13" s="12" t="str">
        <x:v>年均｜MW_CHF｜1927</x:v>
      </x:c>
      <x:c r="J13" s="12" t="str">
        <x:v>年均｜MW_INR｜1927</x:v>
      </x:c>
      <x:c r="K13" s="12" t="str">
        <x:v>定点官价参考（非年均）｜SUR_OFFICIAL_SECONDARY｜1927-01-01</x:v>
      </x:c>
      <x:c r="L13" s="12" t="str">
        <x:v>年均｜FRASER_CN｜1927</x:v>
      </x:c>
      <x:c r="M13" s="12" t="str">
        <x:v>德国地区代理；非欧元｜年均｜UCSB_DE｜1927</x:v>
      </x:c>
      <x:c r="N13" s="12" t="str">
        <x:v>卢布含官价参考；欧元栏为德国代理</x:v>
      </x:c>
    </x:row>
    <x:row r="14" ht="66" customHeight="1">
      <x:c r="A14" t="n">
        <x:v>1928</x:v>
      </x:c>
      <x:c r="B14" s="12" t="str">
        <x:v>基准恒等｜1 USD</x:v>
      </x:c>
      <x:c r="C14" s="12" t="str">
        <x:v>年均｜MW_GBP｜1928</x:v>
      </x:c>
      <x:c r="D14" s="12" t="str">
        <x:v>年均｜MW_CAD｜1928</x:v>
      </x:c>
      <x:c r="E14" s="12" t="str">
        <x:v>年均｜MW_FR｜1928</x:v>
      </x:c>
      <x:c r="F14" s="12" t="str">
        <x:v>年均｜UCSB_DE｜1928</x:v>
      </x:c>
      <x:c r="G14" s="12" t="str">
        <x:v>年均｜FRASER_IT｜1928</x:v>
      </x:c>
      <x:c r="H14" s="12" t="str">
        <x:v>年均｜MW_JPY｜1928</x:v>
      </x:c>
      <x:c r="I14" s="12" t="str">
        <x:v>年均｜MW_CHF｜1928</x:v>
      </x:c>
      <x:c r="J14" s="12" t="str">
        <x:v>年均｜MW_INR｜1928</x:v>
      </x:c>
      <x:c r="K14" s="12" t="str">
        <x:v>定点官价参考（非年均）｜SUR_OFFICIAL_SECONDARY｜1928-02-01</x:v>
      </x:c>
      <x:c r="L14" s="12" t="str">
        <x:v>年均｜FRASER_CN｜1928</x:v>
      </x:c>
      <x:c r="M14" s="12" t="str">
        <x:v>德国地区代理；非欧元｜年均｜UCSB_DE｜1928</x:v>
      </x:c>
      <x:c r="N14" s="12" t="str">
        <x:v>卢布含官价参考；欧元栏为德国代理</x:v>
      </x:c>
    </x:row>
    <x:row r="15" ht="66" customHeight="1">
      <x:c r="A15" t="n">
        <x:v>1929</x:v>
      </x:c>
      <x:c r="B15" s="12" t="str">
        <x:v>基准恒等｜1 USD</x:v>
      </x:c>
      <x:c r="C15" s="12" t="str">
        <x:v>年均｜MW_GBP｜1929</x:v>
      </x:c>
      <x:c r="D15" s="12" t="str">
        <x:v>年均｜MW_CAD｜1929</x:v>
      </x:c>
      <x:c r="E15" s="12" t="str">
        <x:v>年均｜MW_FR｜1929</x:v>
      </x:c>
      <x:c r="F15" s="12" t="str">
        <x:v>年均｜UCSB_DE｜1929</x:v>
      </x:c>
      <x:c r="G15" s="12" t="str">
        <x:v>年均｜FRASER_IT｜1929</x:v>
      </x:c>
      <x:c r="H15" s="12" t="str">
        <x:v>年均｜MW_JPY｜1929</x:v>
      </x:c>
      <x:c r="I15" s="12" t="str">
        <x:v>年均｜MW_CHF｜1929</x:v>
      </x:c>
      <x:c r="J15" s="12" t="str">
        <x:v>年均｜MW_INR｜1929</x:v>
      </x:c>
      <x:c r="K15" s="12" t="str">
        <x:v>官价区间参考（非年均）｜SUR_OFFICIAL_SECONDARY｜1928-02-01—1933-04-01</x:v>
      </x:c>
      <x:c r="L15" s="12" t="str">
        <x:v>年均｜FRASER_CN｜1929</x:v>
      </x:c>
      <x:c r="M15" s="12" t="str">
        <x:v>德国地区代理；非欧元｜年均｜UCSB_DE｜1929</x:v>
      </x:c>
      <x:c r="N15" s="12" t="str">
        <x:v>卢布含官价参考；欧元栏为德国代理</x:v>
      </x:c>
    </x:row>
    <x:row r="16" ht="66" customHeight="1">
      <x:c r="A16" t="n">
        <x:v>1930</x:v>
      </x:c>
      <x:c r="B16" s="12" t="str">
        <x:v>基准恒等｜1 USD</x:v>
      </x:c>
      <x:c r="C16" s="12" t="str">
        <x:v>年均｜MW_GBP｜1930</x:v>
      </x:c>
      <x:c r="D16" s="12" t="str">
        <x:v>年均｜MW_CAD｜1930</x:v>
      </x:c>
      <x:c r="E16" s="12" t="str">
        <x:v>年均｜MW_FR｜1930</x:v>
      </x:c>
      <x:c r="F16" s="12" t="str">
        <x:v>年均｜UCSB_DE｜1930</x:v>
      </x:c>
      <x:c r="G16" s="12" t="str">
        <x:v>年均｜FRASER_IT｜1930</x:v>
      </x:c>
      <x:c r="H16" s="12" t="str">
        <x:v>年均｜MW_JPY｜1930</x:v>
      </x:c>
      <x:c r="I16" s="12" t="str">
        <x:v>年均｜MW_CHF｜1930</x:v>
      </x:c>
      <x:c r="J16" s="12" t="str">
        <x:v>年均｜MW_INR｜1930</x:v>
      </x:c>
      <x:c r="K16" s="12" t="str">
        <x:v>官价区间参考（非年均）｜SUR_OFFICIAL_SECONDARY｜1928-02-01—1933-04-01</x:v>
      </x:c>
      <x:c r="L16" s="12" t="str">
        <x:v>年均｜FRASER_CN｜1930</x:v>
      </x:c>
      <x:c r="M16" s="12" t="str">
        <x:v>德国地区代理；非欧元｜年均｜UCSB_DE｜1930</x:v>
      </x:c>
      <x:c r="N16" s="12" t="str">
        <x:v>卢布含官价参考；欧元栏为德国代理</x:v>
      </x:c>
    </x:row>
    <x:row r="17" ht="66" customHeight="1">
      <x:c r="A17" t="n">
        <x:v>1931</x:v>
      </x:c>
      <x:c r="B17" s="12" t="str">
        <x:v>基准恒等｜1 USD</x:v>
      </x:c>
      <x:c r="C17" s="12" t="str">
        <x:v>年均｜MW_GBP｜1931</x:v>
      </x:c>
      <x:c r="D17" s="12" t="str">
        <x:v>年均｜MW_CAD｜1931</x:v>
      </x:c>
      <x:c r="E17" s="12" t="str">
        <x:v>年均｜MW_FR｜1931</x:v>
      </x:c>
      <x:c r="F17" s="12" t="str">
        <x:v>年均｜UCSB_DE｜1931</x:v>
      </x:c>
      <x:c r="G17" s="12" t="str">
        <x:v>年均｜FRASER_IT｜1931</x:v>
      </x:c>
      <x:c r="H17" s="12" t="str">
        <x:v>年均｜MW_JPY｜1931</x:v>
      </x:c>
      <x:c r="I17" s="12" t="str">
        <x:v>年均｜MW_CHF｜1931</x:v>
      </x:c>
      <x:c r="J17" s="12" t="str">
        <x:v>年均｜MW_INR｜1931</x:v>
      </x:c>
      <x:c r="K17" s="12" t="str">
        <x:v>官价区间参考（非年均）｜SUR_OFFICIAL_SECONDARY｜1928-02-01—1933-04-01</x:v>
      </x:c>
      <x:c r="L17" s="12" t="str">
        <x:v>年均｜FRASER_CN｜1931</x:v>
      </x:c>
      <x:c r="M17" s="12" t="str">
        <x:v>德国地区代理；非欧元｜年均｜UCSB_DE｜1931</x:v>
      </x:c>
      <x:c r="N17" s="12" t="str">
        <x:v>卢布含官价参考；欧元栏为德国代理</x:v>
      </x:c>
    </x:row>
    <x:row r="18" ht="66" customHeight="1">
      <x:c r="A18" t="n">
        <x:v>1932</x:v>
      </x:c>
      <x:c r="B18" s="12" t="str">
        <x:v>基准恒等｜1 USD</x:v>
      </x:c>
      <x:c r="C18" s="12" t="str">
        <x:v>年均｜MW_GBP｜1932</x:v>
      </x:c>
      <x:c r="D18" s="12" t="str">
        <x:v>年均｜MW_CAD｜1932</x:v>
      </x:c>
      <x:c r="E18" s="12" t="str">
        <x:v>年均｜MW_FR｜1932</x:v>
      </x:c>
      <x:c r="F18" s="12" t="str">
        <x:v>年均｜UCSB_DE｜1932</x:v>
      </x:c>
      <x:c r="G18" s="12" t="str">
        <x:v>年均｜FRASER_IT｜1932</x:v>
      </x:c>
      <x:c r="H18" s="12" t="str">
        <x:v>年均｜MW_JPY｜1932</x:v>
      </x:c>
      <x:c r="I18" s="12" t="str">
        <x:v>年均｜MW_CHF｜1932</x:v>
      </x:c>
      <x:c r="J18" s="12" t="str">
        <x:v>年均｜MW_INR｜1932</x:v>
      </x:c>
      <x:c r="K18" s="12" t="str">
        <x:v>官价区间参考（非年均）｜SUR_OFFICIAL_SECONDARY｜1928-02-01—1933-04-01</x:v>
      </x:c>
      <x:c r="L18" s="12" t="str">
        <x:v>年均｜FRASER_CN｜1932</x:v>
      </x:c>
      <x:c r="M18" s="12" t="str">
        <x:v>德国地区代理；非欧元｜年均｜UCSB_DE｜1932</x:v>
      </x:c>
      <x:c r="N18" s="12" t="str">
        <x:v>卢布含官价参考；欧元栏为德国代理</x:v>
      </x:c>
    </x:row>
    <x:row r="19" ht="66" customHeight="1">
      <x:c r="A19" t="n">
        <x:v>1933</x:v>
      </x:c>
      <x:c r="B19" s="12" t="str">
        <x:v>基准恒等｜1 USD</x:v>
      </x:c>
      <x:c r="C19" s="12" t="str">
        <x:v>年均｜MW_GBP｜1933</x:v>
      </x:c>
      <x:c r="D19" s="12" t="str">
        <x:v>年均｜MW_CAD｜1933</x:v>
      </x:c>
      <x:c r="E19" s="12" t="str">
        <x:v>年均｜MW_FR｜1933</x:v>
      </x:c>
      <x:c r="F19" s="12" t="str">
        <x:v>年均｜UCSB_DE｜1933</x:v>
      </x:c>
      <x:c r="G19" s="12" t="str">
        <x:v>年均｜FRASER_IT｜1933</x:v>
      </x:c>
      <x:c r="H19" s="12" t="str">
        <x:v>年均｜MW_JPY｜1933</x:v>
      </x:c>
      <x:c r="I19" s="12" t="str">
        <x:v>年均｜MW_CHF｜1933</x:v>
      </x:c>
      <x:c r="J19" s="12" t="str">
        <x:v>年均｜MW_INR｜1933</x:v>
      </x:c>
      <x:c r="K19" s="12" t="str">
        <x:v>定点官价参考（非年均）｜SUR_OFFICIAL_SECONDARY｜1933-04-01</x:v>
      </x:c>
      <x:c r="L19" s="12" t="str">
        <x:v>年内部分期间均值｜FRASER_CN｜1933-04-10—1933-12-31</x:v>
      </x:c>
      <x:c r="M19" s="12" t="str">
        <x:v>德国地区代理；非欧元｜年均｜UCSB_DE｜1933</x:v>
      </x:c>
      <x:c r="N19" s="12" t="str">
        <x:v>卢布含官价参考；含部分年；欧元栏为德国代理</x:v>
      </x:c>
    </x:row>
    <x:row r="20" ht="66" customHeight="1">
      <x:c r="A20" t="n">
        <x:v>1934</x:v>
      </x:c>
      <x:c r="B20" s="12" t="str">
        <x:v>基准恒等｜1 USD</x:v>
      </x:c>
      <x:c r="C20" s="12" t="str">
        <x:v>年均｜MW_GBP｜1934</x:v>
      </x:c>
      <x:c r="D20" s="12" t="str">
        <x:v>年均｜MW_CAD｜1934</x:v>
      </x:c>
      <x:c r="E20" s="12" t="str">
        <x:v>年均｜MW_FR｜1934</x:v>
      </x:c>
      <x:c r="F20" s="12" t="str">
        <x:v>年均｜UCSB_DE｜1934</x:v>
      </x:c>
      <x:c r="G20" s="12" t="str">
        <x:v>年均｜FRASER_IT｜1934</x:v>
      </x:c>
      <x:c r="H20" s="12" t="str">
        <x:v>年均｜MW_JPY｜1934</x:v>
      </x:c>
      <x:c r="I20" s="12" t="str">
        <x:v>年均｜MW_CHF｜1934</x:v>
      </x:c>
      <x:c r="J20" s="12" t="str">
        <x:v>年均｜MW_INR｜1934</x:v>
      </x:c>
      <x:c r="K20" s="12" t="str">
        <x:v>定点官价参考（非年均）｜SUR_OFFICIAL_SECONDARY｜1934-01-01</x:v>
      </x:c>
      <x:c r="L20" s="12" t="str">
        <x:v>年均｜FRASER_CN｜1934</x:v>
      </x:c>
      <x:c r="M20" s="12" t="str">
        <x:v>德国地区代理；非欧元｜年均｜UCSB_DE｜1934</x:v>
      </x:c>
      <x:c r="N20" s="12" t="str">
        <x:v>卢布含官价参考；欧元栏为德国代理</x:v>
      </x:c>
    </x:row>
    <x:row r="21" ht="66" customHeight="1">
      <x:c r="A21" t="n">
        <x:v>1935</x:v>
      </x:c>
      <x:c r="B21" s="12" t="str">
        <x:v>基准恒等｜1 USD</x:v>
      </x:c>
      <x:c r="C21" s="12" t="str">
        <x:v>年均｜MW_GBP｜1935</x:v>
      </x:c>
      <x:c r="D21" s="12" t="str">
        <x:v>年均｜MW_CAD｜1935</x:v>
      </x:c>
      <x:c r="E21" s="12" t="str">
        <x:v>年均｜MW_FR｜1935</x:v>
      </x:c>
      <x:c r="F21" s="12" t="str">
        <x:v>年均｜UCSB_DE｜1935</x:v>
      </x:c>
      <x:c r="G21" s="12" t="str">
        <x:v>年均｜FRASER_IT｜1935</x:v>
      </x:c>
      <x:c r="H21" s="12" t="str">
        <x:v>年均｜MW_JPY｜1935</x:v>
      </x:c>
      <x:c r="I21" s="12" t="str">
        <x:v>年均｜MW_CHF｜1935</x:v>
      </x:c>
      <x:c r="J21" s="12" t="str">
        <x:v>年均｜MW_INR｜1935</x:v>
      </x:c>
      <x:c r="K21" s="12" t="str">
        <x:v>定点官价参考（非年均）｜SUR_OFFICIAL_SECONDARY｜1935-01-01</x:v>
      </x:c>
      <x:c r="L21" s="12" t="str">
        <x:v>年均｜FRASER_CN｜1935</x:v>
      </x:c>
      <x:c r="M21" s="12" t="str">
        <x:v>德国地区代理；非欧元｜年均｜UCSB_DE｜1935</x:v>
      </x:c>
      <x:c r="N21" s="12" t="str">
        <x:v>卢布含官价参考；欧元栏为德国代理</x:v>
      </x:c>
    </x:row>
    <x:row r="22" ht="66" customHeight="1">
      <x:c r="A22" t="n">
        <x:v>1936</x:v>
      </x:c>
      <x:c r="B22" s="12" t="str">
        <x:v>基准恒等｜1 USD</x:v>
      </x:c>
      <x:c r="C22" s="12" t="str">
        <x:v>年均｜MW_GBP｜1936</x:v>
      </x:c>
      <x:c r="D22" s="12" t="str">
        <x:v>年均｜MW_CAD｜1936</x:v>
      </x:c>
      <x:c r="E22" s="12" t="str">
        <x:v>年均｜MW_FR｜1936</x:v>
      </x:c>
      <x:c r="F22" s="12" t="str">
        <x:v>年均｜UCSB_DE｜1936</x:v>
      </x:c>
      <x:c r="G22" s="12" t="str">
        <x:v>年均｜FRASER_IT｜1936</x:v>
      </x:c>
      <x:c r="H22" s="12" t="str">
        <x:v>年均｜MW_JPY｜1936</x:v>
      </x:c>
      <x:c r="I22" s="12" t="str">
        <x:v>年均｜MW_CHF｜1936</x:v>
      </x:c>
      <x:c r="J22" s="12" t="str">
        <x:v>年均｜MW_INR｜1936</x:v>
      </x:c>
      <x:c r="K22" s="12" t="str">
        <x:v>定点官价参考（非年均）｜SUR_OFFICIAL_SECONDARY｜1936-01-01</x:v>
      </x:c>
      <x:c r="L22" s="12" t="str">
        <x:v>年均｜FRASER_CN｜1936</x:v>
      </x:c>
      <x:c r="M22" s="12" t="str">
        <x:v>德国地区代理；非欧元｜年均｜UCSB_DE｜1936</x:v>
      </x:c>
      <x:c r="N22" s="12" t="str">
        <x:v>卢布含官价参考；欧元栏为德国代理</x:v>
      </x:c>
    </x:row>
    <x:row r="23" ht="66" customHeight="1">
      <x:c r="A23" t="n">
        <x:v>1937</x:v>
      </x:c>
      <x:c r="B23" s="12" t="str">
        <x:v>基准恒等｜1 USD</x:v>
      </x:c>
      <x:c r="C23" s="12" t="str">
        <x:v>年均｜MW_GBP｜1937</x:v>
      </x:c>
      <x:c r="D23" s="12" t="str">
        <x:v>年均｜MW_CAD｜1937</x:v>
      </x:c>
      <x:c r="E23" s="12" t="str">
        <x:v>年均｜MW_FR｜1937</x:v>
      </x:c>
      <x:c r="F23" s="12" t="str">
        <x:v>年均｜UCSB_DE｜1937</x:v>
      </x:c>
      <x:c r="G23" s="12" t="str">
        <x:v>年均｜FRASER_IT｜1937</x:v>
      </x:c>
      <x:c r="H23" s="12" t="str">
        <x:v>年均｜MW_JPY｜1937</x:v>
      </x:c>
      <x:c r="I23" s="12" t="str">
        <x:v>年均｜MW_CHF｜1937</x:v>
      </x:c>
      <x:c r="J23" s="12" t="str">
        <x:v>年均｜MW_INR｜1937</x:v>
      </x:c>
      <x:c r="K23" s="12" t="str">
        <x:v>定点官价参考（非年均）｜SUR_OFFICIAL_SECONDARY｜1937-01-01</x:v>
      </x:c>
      <x:c r="L23" s="12" t="str">
        <x:v>年均｜FRASER_CN｜1937</x:v>
      </x:c>
      <x:c r="M23" s="12" t="str">
        <x:v>德国地区代理；非欧元｜年均｜UCSB_DE｜1937</x:v>
      </x:c>
      <x:c r="N23" s="12" t="str">
        <x:v>卢布含官价参考；欧元栏为德国代理</x:v>
      </x:c>
    </x:row>
    <x:row r="24" ht="66" customHeight="1">
      <x:c r="A24" t="n">
        <x:v>1938</x:v>
      </x:c>
      <x:c r="B24" s="12" t="str">
        <x:v>基准恒等｜1 USD</x:v>
      </x:c>
      <x:c r="C24" s="12" t="str">
        <x:v>年均｜MW_GBP｜1938</x:v>
      </x:c>
      <x:c r="D24" s="12" t="str">
        <x:v>年均｜MW_CAD｜1938</x:v>
      </x:c>
      <x:c r="E24" s="12" t="str">
        <x:v>年均｜MW_FR｜1938</x:v>
      </x:c>
      <x:c r="F24" s="12" t="str">
        <x:v>年均｜UCSB_DE｜1938</x:v>
      </x:c>
      <x:c r="G24" s="12" t="str">
        <x:v>年均｜FRASER_IT｜1938</x:v>
      </x:c>
      <x:c r="H24" s="12" t="str">
        <x:v>年均｜MW_JPY｜1938</x:v>
      </x:c>
      <x:c r="I24" s="12" t="str">
        <x:v>年均｜MW_CHF｜1938</x:v>
      </x:c>
      <x:c r="J24" s="12" t="str">
        <x:v>年均｜MW_INR｜1938</x:v>
      </x:c>
      <x:c r="K24" s="12" t="str">
        <x:v>官价区间参考（非年均）｜SUR_OFFICIAL_SECONDARY｜1937-07-19—1950-02-01</x:v>
      </x:c>
      <x:c r="L24" s="12" t="str">
        <x:v>年均｜FRASER_CN｜1938</x:v>
      </x:c>
      <x:c r="M24" s="12" t="str">
        <x:v>德国地区代理；非欧元｜年均｜UCSB_DE｜1938</x:v>
      </x:c>
      <x:c r="N24" s="12" t="str">
        <x:v>卢布含官价参考；欧元栏为德国代理</x:v>
      </x:c>
    </x:row>
    <x:row r="25" ht="66" customHeight="1">
      <x:c r="A25" t="n">
        <x:v>1939</x:v>
      </x:c>
      <x:c r="B25" s="12" t="str">
        <x:v>基准恒等｜1 USD</x:v>
      </x:c>
      <x:c r="C25" s="12" t="str">
        <x:v>年均｜MW_GBP｜1939</x:v>
      </x:c>
      <x:c r="D25" s="12" t="str">
        <x:v>年均｜MW_CAD｜1939</x:v>
      </x:c>
      <x:c r="E25" s="12" t="str">
        <x:v>年均｜MW_FR｜1939</x:v>
      </x:c>
      <x:c r="F25" s="12" t="str">
        <x:v>年均｜UCSB_DE｜1939</x:v>
      </x:c>
      <x:c r="G25" s="12" t="str">
        <x:v>年均｜FRASER_IT｜1939</x:v>
      </x:c>
      <x:c r="H25" s="12" t="str">
        <x:v>年均｜MW_JPY｜1939</x:v>
      </x:c>
      <x:c r="I25" s="12" t="str">
        <x:v>年均｜MW_CHF｜1939</x:v>
      </x:c>
      <x:c r="J25" s="12" t="str">
        <x:v>年均｜MW_INR｜1939</x:v>
      </x:c>
      <x:c r="K25" s="12" t="str">
        <x:v>官价区间参考（非年均）｜SUR_OFFICIAL_SECONDARY｜1937-07-19—1950-02-01</x:v>
      </x:c>
      <x:c r="L25" s="12" t="str">
        <x:v>年均｜FRASER_CN｜1939</x:v>
      </x:c>
      <x:c r="M25" s="12" t="str">
        <x:v>德国地区代理；非欧元｜年均｜UCSB_DE｜1939</x:v>
      </x:c>
      <x:c r="N25" s="12" t="str">
        <x:v>卢布含官价参考；欧元栏为德国代理</x:v>
      </x:c>
    </x:row>
    <x:row r="26" ht="66" customHeight="1">
      <x:c r="A26" t="n">
        <x:v>1940</x:v>
      </x:c>
      <x:c r="B26" s="12" t="str">
        <x:v>基准恒等｜1 USD</x:v>
      </x:c>
      <x:c r="C26" s="12" t="str">
        <x:v>年均｜MW_GBP｜1940</x:v>
      </x:c>
      <x:c r="D26" s="12" t="str">
        <x:v>年均｜MW_CAD｜1940</x:v>
      </x:c>
      <x:c r="E26" s="12" t="str">
        <x:v>部分年度均值｜MW_FR｜1940-01-01—1940-06-15</x:v>
      </x:c>
      <x:c r="F26" s="12" t="str">
        <x:v>年均｜UCSB_DE｜1940</x:v>
      </x:c>
      <x:c r="G26" s="12" t="str">
        <x:v>年均｜FRASER_IT｜1940</x:v>
      </x:c>
      <x:c r="H26" s="12" t="str">
        <x:v>年均｜MW_JPY｜1940</x:v>
      </x:c>
      <x:c r="I26" s="12" t="str">
        <x:v>年均｜MW_CHF｜1940</x:v>
      </x:c>
      <x:c r="J26" s="12" t="str">
        <x:v>年均｜MW_INR｜1940</x:v>
      </x:c>
      <x:c r="K26" s="12" t="str">
        <x:v>官价区间参考（非年均）｜SUR_OFFICIAL_SECONDARY｜1937-07-19—1950-02-01</x:v>
      </x:c>
      <x:c r="L26" s="12" t="str">
        <x:v>年均｜FRASER_CN｜1940</x:v>
      </x:c>
      <x:c r="M26" s="12" t="str">
        <x:v>德国地区代理；非欧元｜年均｜UCSB_DE｜1940</x:v>
      </x:c>
      <x:c r="N26" s="12" t="str">
        <x:v>卢布含官价参考；含部分年；欧元栏为德国代理</x:v>
      </x:c>
    </x:row>
    <x:row r="27" ht="66" customHeight="1">
      <x:c r="A27" t="n">
        <x:v>1941</x:v>
      </x:c>
      <x:c r="B27" s="12" t="str">
        <x:v>基准恒等｜1 USD</x:v>
      </x:c>
      <x:c r="C27" s="12" t="str">
        <x:v>年均｜MW_GBP｜1941</x:v>
      </x:c>
      <x:c r="D27" s="12" t="str">
        <x:v>年均｜MW_CAD｜1941</x:v>
      </x:c>
      <x:c r="E27" s="12" t="str">
        <x:v>缺失／未核实</x:v>
      </x:c>
      <x:c r="F27" s="12" t="str">
        <x:v>部分年度均值｜UCSB_DE｜1941-01-01—1941-06-14</x:v>
      </x:c>
      <x:c r="G27" s="12" t="str">
        <x:v>年内部分期间均值｜FRASER_IT｜1941-01-01—1941-06-14</x:v>
      </x:c>
      <x:c r="H27" s="12" t="str">
        <x:v>部分年度均值｜MW_JPY｜1941-01-01—1941-07-26</x:v>
      </x:c>
      <x:c r="I27" s="12" t="str">
        <x:v>部分年度均值｜MW_CHF｜1941-01-01—1941-06-14</x:v>
      </x:c>
      <x:c r="J27" s="12" t="str">
        <x:v>年均｜MW_INR｜1941</x:v>
      </x:c>
      <x:c r="K27" s="12" t="str">
        <x:v>官价区间参考（非年均）｜SUR_OFFICIAL_SECONDARY｜1937-07-19—1950-02-01</x:v>
      </x:c>
      <x:c r="L27" s="12" t="str">
        <x:v>年内部分期间均值｜FRASER_CN｜1941-01-01—1941-07-25</x:v>
      </x:c>
      <x:c r="M27" s="12" t="str">
        <x:v>德国地区代理；非欧元｜部分年度均值｜UCSB_DE｜1941-01-01—1941-06-14</x:v>
      </x:c>
      <x:c r="N27" s="12" t="str">
        <x:v>含缺失；卢布含官价参考；含部分年；欧元栏为德国代理</x:v>
      </x:c>
    </x:row>
    <x:row r="28" ht="66" customHeight="1">
      <x:c r="A28" t="n">
        <x:v>1942</x:v>
      </x:c>
      <x:c r="B28" s="12" t="str">
        <x:v>基准恒等｜1 USD</x:v>
      </x:c>
      <x:c r="C28" s="12" t="str">
        <x:v>年均｜MW_GBP｜1942</x:v>
      </x:c>
      <x:c r="D28" s="12" t="str">
        <x:v>缺失／未核实</x:v>
      </x:c>
      <x:c r="E28" s="12" t="str">
        <x:v>缺失／未核实</x:v>
      </x:c>
      <x:c r="F28" s="12" t="str">
        <x:v>缺失／未核实</x:v>
      </x:c>
      <x:c r="G28" s="12" t="str">
        <x:v>缺失／未核实</x:v>
      </x:c>
      <x:c r="H28" s="12" t="str">
        <x:v>缺失／未核实</x:v>
      </x:c>
      <x:c r="I28" s="12" t="str">
        <x:v>缺失／未核实</x:v>
      </x:c>
      <x:c r="J28" s="12" t="str">
        <x:v>年均｜MW_INR｜1942</x:v>
      </x:c>
      <x:c r="K28" s="12" t="str">
        <x:v>官价区间参考（非年均）｜SUR_OFFICIAL_SECONDARY｜1937-07-19—1950-02-01</x:v>
      </x:c>
      <x:c r="L28" s="12" t="str">
        <x:v>缺失／未核实</x:v>
      </x:c>
      <x:c r="M28" s="12" t="str">
        <x:v>德国地区代理；非欧元｜缺失／未核实</x:v>
      </x:c>
      <x:c r="N28" s="12" t="str">
        <x:v>含缺失；卢布含官价参考；欧元栏为德国代理</x:v>
      </x:c>
    </x:row>
    <x:row r="29" ht="66" customHeight="1">
      <x:c r="A29" t="n">
        <x:v>1943</x:v>
      </x:c>
      <x:c r="B29" s="12" t="str">
        <x:v>基准恒等｜1 USD</x:v>
      </x:c>
      <x:c r="C29" s="12" t="str">
        <x:v>年均｜MW_GBP｜1943</x:v>
      </x:c>
      <x:c r="D29" s="12" t="str">
        <x:v>缺失／未核实</x:v>
      </x:c>
      <x:c r="E29" s="12" t="str">
        <x:v>缺失／未核实</x:v>
      </x:c>
      <x:c r="F29" s="12" t="str">
        <x:v>缺失／未核实</x:v>
      </x:c>
      <x:c r="G29" s="12" t="str">
        <x:v>缺失／未核实</x:v>
      </x:c>
      <x:c r="H29" s="12" t="str">
        <x:v>缺失／未核实</x:v>
      </x:c>
      <x:c r="I29" s="12" t="str">
        <x:v>缺失／未核实</x:v>
      </x:c>
      <x:c r="J29" s="12" t="str">
        <x:v>年均｜MW_INR｜1943</x:v>
      </x:c>
      <x:c r="K29" s="12" t="str">
        <x:v>官价区间参考（非年均）｜SUR_OFFICIAL_SECONDARY｜1937-07-19—1950-02-01</x:v>
      </x:c>
      <x:c r="L29" s="12" t="str">
        <x:v>缺失／未核实</x:v>
      </x:c>
      <x:c r="M29" s="12" t="str">
        <x:v>德国地区代理；非欧元｜缺失／未核实</x:v>
      </x:c>
      <x:c r="N29" s="12" t="str">
        <x:v>含缺失；卢布含官价参考；欧元栏为德国代理</x:v>
      </x:c>
    </x:row>
    <x:row r="30" ht="66" customHeight="1">
      <x:c r="A30" t="n">
        <x:v>1944</x:v>
      </x:c>
      <x:c r="B30" s="12" t="str">
        <x:v>基准恒等｜1 USD</x:v>
      </x:c>
      <x:c r="C30" s="12" t="str">
        <x:v>年均｜MW_GBP｜1944</x:v>
      </x:c>
      <x:c r="D30" s="12" t="str">
        <x:v>缺失／未核实</x:v>
      </x:c>
      <x:c r="E30" s="12" t="str">
        <x:v>缺失／未核实</x:v>
      </x:c>
      <x:c r="F30" s="12" t="str">
        <x:v>缺失／未核实</x:v>
      </x:c>
      <x:c r="G30" s="12" t="str">
        <x:v>缺失／未核实</x:v>
      </x:c>
      <x:c r="H30" s="12" t="str">
        <x:v>缺失／未核实</x:v>
      </x:c>
      <x:c r="I30" s="12" t="str">
        <x:v>缺失／未核实</x:v>
      </x:c>
      <x:c r="J30" s="12" t="str">
        <x:v>年均｜MW_INR｜1944</x:v>
      </x:c>
      <x:c r="K30" s="12" t="str">
        <x:v>官价区间参考（非年均）｜SUR_OFFICIAL_SECONDARY｜1937-07-19—1950-02-01</x:v>
      </x:c>
      <x:c r="L30" s="12" t="str">
        <x:v>缺失／未核实</x:v>
      </x:c>
      <x:c r="M30" s="12" t="str">
        <x:v>德国地区代理；非欧元｜缺失／未核实</x:v>
      </x:c>
      <x:c r="N30" s="12" t="str">
        <x:v>含缺失；卢布含官价参考；欧元栏为德国代理</x:v>
      </x:c>
    </x:row>
    <x:row r="31" ht="66" customHeight="1">
      <x:c r="A31" t="n">
        <x:v>1945</x:v>
      </x:c>
      <x:c r="B31" s="12" t="str">
        <x:v>基准恒等｜1 USD</x:v>
      </x:c>
      <x:c r="C31" s="12" t="str">
        <x:v>年均｜MW_GBP｜1945</x:v>
      </x:c>
      <x:c r="D31" s="12" t="str">
        <x:v>缺失／未核实</x:v>
      </x:c>
      <x:c r="E31" s="12" t="str">
        <x:v>缺失／未核实</x:v>
      </x:c>
      <x:c r="F31" s="12" t="str">
        <x:v>缺失／未核实</x:v>
      </x:c>
      <x:c r="G31" s="12" t="str">
        <x:v>缺失／未核实</x:v>
      </x:c>
      <x:c r="H31" s="12" t="str">
        <x:v>缺失／未核实</x:v>
      </x:c>
      <x:c r="I31" s="12" t="str">
        <x:v>缺失／未核实</x:v>
      </x:c>
      <x:c r="J31" s="12" t="str">
        <x:v>年均｜MW_INR｜1945</x:v>
      </x:c>
      <x:c r="K31" s="12" t="str">
        <x:v>官价区间参考（非年均）｜SUR_OFFICIAL_SECONDARY｜1937-07-19—1950-02-01</x:v>
      </x:c>
      <x:c r="L31" s="12" t="str">
        <x:v>缺失／未核实</x:v>
      </x:c>
      <x:c r="M31" s="12" t="str">
        <x:v>德国地区代理；非欧元｜缺失／未核实</x:v>
      </x:c>
      <x:c r="N31" s="12" t="str">
        <x:v>含缺失；卢布含官价参考；欧元栏为德国代理</x:v>
      </x:c>
    </x:row>
    <x:row r="32" ht="66" customHeight="1">
      <x:c r="A32" t="n">
        <x:v>1946</x:v>
      </x:c>
      <x:c r="B32" s="12" t="str">
        <x:v>基准恒等｜1 USD</x:v>
      </x:c>
      <x:c r="C32" s="12" t="str">
        <x:v>年均｜MW_GBP｜1946</x:v>
      </x:c>
      <x:c r="D32" s="12" t="str">
        <x:v>年均｜MW_CAD｜1946</x:v>
      </x:c>
      <x:c r="E32" s="12" t="str">
        <x:v>缺失／未核实</x:v>
      </x:c>
      <x:c r="F32" s="12" t="str">
        <x:v>缺失／未核实</x:v>
      </x:c>
      <x:c r="G32" s="12" t="str">
        <x:v>缺失／未核实</x:v>
      </x:c>
      <x:c r="H32" s="12" t="str">
        <x:v>缺失／未核实</x:v>
      </x:c>
      <x:c r="I32" s="12" t="str">
        <x:v>年均｜MW_CHF｜1946</x:v>
      </x:c>
      <x:c r="J32" s="12" t="str">
        <x:v>年均｜MW_INR｜1946</x:v>
      </x:c>
      <x:c r="K32" s="12" t="str">
        <x:v>官价区间参考（非年均）｜SUR_OFFICIAL_SECONDARY｜1937-07-19—1950-02-01</x:v>
      </x:c>
      <x:c r="L32" s="12" t="str">
        <x:v>缺失／未核实</x:v>
      </x:c>
      <x:c r="M32" s="12" t="str">
        <x:v>德国地区代理；非欧元｜缺失／未核实</x:v>
      </x:c>
      <x:c r="N32" s="12" t="str">
        <x:v>含缺失；卢布含官价参考；欧元栏为德国代理</x:v>
      </x:c>
    </x:row>
    <x:row r="33" ht="66" customHeight="1">
      <x:c r="A33" t="n">
        <x:v>1947</x:v>
      </x:c>
      <x:c r="B33" s="12" t="str">
        <x:v>基准恒等｜1 USD</x:v>
      </x:c>
      <x:c r="C33" s="12" t="str">
        <x:v>年均｜MW_GBP｜1947</x:v>
      </x:c>
      <x:c r="D33" s="12" t="str">
        <x:v>年均｜MW_CAD｜1947</x:v>
      </x:c>
      <x:c r="E33" s="12" t="str">
        <x:v>缺失／未核实</x:v>
      </x:c>
      <x:c r="F33" s="12" t="str">
        <x:v>缺失／未核实</x:v>
      </x:c>
      <x:c r="G33" s="12" t="str">
        <x:v>缺失／未核实</x:v>
      </x:c>
      <x:c r="H33" s="12" t="str">
        <x:v>缺失／未核实</x:v>
      </x:c>
      <x:c r="I33" s="12" t="str">
        <x:v>年均｜MW_CHF｜1947</x:v>
      </x:c>
      <x:c r="J33" s="12" t="str">
        <x:v>年均｜MW_INR｜1947</x:v>
      </x:c>
      <x:c r="K33" s="12" t="str">
        <x:v>官价区间参考（非年均）｜SUR_OFFICIAL_SECONDARY｜1937-07-19—1950-02-01</x:v>
      </x:c>
      <x:c r="L33" s="12" t="str">
        <x:v>缺失／未核实</x:v>
      </x:c>
      <x:c r="M33" s="12" t="str">
        <x:v>德国地区代理；非欧元｜缺失／未核实</x:v>
      </x:c>
      <x:c r="N33" s="12" t="str">
        <x:v>含缺失；卢布含官价参考；欧元栏为德国代理</x:v>
      </x:c>
    </x:row>
    <x:row r="34" ht="66" customHeight="1">
      <x:c r="A34" t="n">
        <x:v>1948</x:v>
      </x:c>
      <x:c r="B34" s="12" t="str">
        <x:v>基准恒等｜1 USD</x:v>
      </x:c>
      <x:c r="C34" s="12" t="str">
        <x:v>年均｜MW_GBP｜1948</x:v>
      </x:c>
      <x:c r="D34" s="12" t="str">
        <x:v>年均｜MW_CAD｜1948</x:v>
      </x:c>
      <x:c r="E34" s="12" t="str">
        <x:v>缺失／未核实</x:v>
      </x:c>
      <x:c r="F34" s="12" t="str">
        <x:v>缺失／未核实</x:v>
      </x:c>
      <x:c r="G34" s="12" t="str">
        <x:v>缺失／未核实</x:v>
      </x:c>
      <x:c r="H34" s="12" t="str">
        <x:v>缺失／未核实</x:v>
      </x:c>
      <x:c r="I34" s="12" t="str">
        <x:v>年均｜MW_CHF｜1948</x:v>
      </x:c>
      <x:c r="J34" s="12" t="str">
        <x:v>年均｜MW_INR｜1948</x:v>
      </x:c>
      <x:c r="K34" s="12" t="str">
        <x:v>官价区间参考（非年均）｜SUR_OFFICIAL_SECONDARY｜1937-07-19—1950-02-01</x:v>
      </x:c>
      <x:c r="L34" s="12" t="str">
        <x:v>缺失／未核实</x:v>
      </x:c>
      <x:c r="M34" s="12" t="str">
        <x:v>德国地区代理；非欧元｜缺失／未核实</x:v>
      </x:c>
      <x:c r="N34" s="12" t="str">
        <x:v>含缺失；卢布含官价参考；欧元栏为德国代理</x:v>
      </x:c>
    </x:row>
    <x:row r="35" ht="66" customHeight="1">
      <x:c r="A35" t="n">
        <x:v>1949</x:v>
      </x:c>
      <x:c r="B35" s="12" t="str">
        <x:v>基准恒等｜1 USD</x:v>
      </x:c>
      <x:c r="C35" s="12" t="str">
        <x:v>年均｜MW_GBP｜1949</x:v>
      </x:c>
      <x:c r="D35" s="12" t="str">
        <x:v>年均｜MW_CAD｜1949</x:v>
      </x:c>
      <x:c r="E35" s="12" t="str">
        <x:v>缺失／未核实</x:v>
      </x:c>
      <x:c r="F35" s="12" t="str">
        <x:v>缺失／未核实</x:v>
      </x:c>
      <x:c r="G35" s="12" t="str">
        <x:v>缺失／未核实</x:v>
      </x:c>
      <x:c r="H35" s="12" t="str">
        <x:v>缺失／未核实</x:v>
      </x:c>
      <x:c r="I35" s="12" t="str">
        <x:v>年均｜MW_CHF｜1949</x:v>
      </x:c>
      <x:c r="J35" s="12" t="str">
        <x:v>缺失／未核实</x:v>
      </x:c>
      <x:c r="K35" s="12" t="str">
        <x:v>官价区间参考（非年均）｜SUR_OFFICIAL_SECONDARY｜1937-07-19—1950-02-01</x:v>
      </x:c>
      <x:c r="L35" s="12" t="str">
        <x:v>缺失／未核实</x:v>
      </x:c>
      <x:c r="M35" s="12" t="str">
        <x:v>德国地区代理；非欧元｜缺失／未核实</x:v>
      </x:c>
      <x:c r="N35" s="12" t="str">
        <x:v>含缺失；卢布含官价参考；欧元栏为德国代理</x:v>
      </x:c>
    </x:row>
    <x:row r="36" ht="66" customHeight="1">
      <x:c r="A36" t="n">
        <x:v>1950</x:v>
      </x:c>
      <x:c r="B36" s="12" t="str">
        <x:v>基准恒等｜1 USD</x:v>
      </x:c>
      <x:c r="C36" s="12" t="str">
        <x:v>年频（市场／估计）｜PWT_GBP｜1950</x:v>
      </x:c>
      <x:c r="D36" s="12" t="str">
        <x:v>年频（市场／估计）｜PWT_CAD｜1950</x:v>
      </x:c>
      <x:c r="E36" s="12" t="str">
        <x:v>年频（市场／估计）｜PWT_FR｜1950</x:v>
      </x:c>
      <x:c r="F36" s="12" t="str">
        <x:v>年频（市场／估计）｜PWT_DE｜1950</x:v>
      </x:c>
      <x:c r="G36" s="12" t="str">
        <x:v>年频（市场／估计）｜PWT_IT｜1950</x:v>
      </x:c>
      <x:c r="H36" s="12" t="str">
        <x:v>年频（市场／估计）｜PWT_JPY｜1950</x:v>
      </x:c>
      <x:c r="I36" s="12" t="str">
        <x:v>年均｜MW_CHF｜1950</x:v>
      </x:c>
      <x:c r="J36" s="12" t="str">
        <x:v>年频（市场／估计）｜PWT_INR｜1950</x:v>
      </x:c>
      <x:c r="K36" s="12" t="str">
        <x:v>定点官价参考（非年均）｜SUR_OFFICIAL_SECONDARY｜1950-02-01</x:v>
      </x:c>
      <x:c r="L36" s="12" t="str">
        <x:v>缺失／未核实</x:v>
      </x:c>
      <x:c r="M36" s="12" t="str">
        <x:v>德国地区代理；非欧元｜年频（市场／估计）｜PWT_DE｜1950</x:v>
      </x:c>
      <x:c r="N36" s="12" t="str">
        <x:v>含缺失；卢布含官价参考；欧元栏为德国代理</x:v>
      </x:c>
    </x:row>
    <x:row r="37" ht="66" customHeight="1">
      <x:c r="A37" t="n">
        <x:v>1951</x:v>
      </x:c>
      <x:c r="B37" s="12" t="str">
        <x:v>基准恒等｜1 USD</x:v>
      </x:c>
      <x:c r="C37" s="12" t="str">
        <x:v>年频（市场／估计）｜PWT_GBP｜1951</x:v>
      </x:c>
      <x:c r="D37" s="12" t="str">
        <x:v>年频（市场／估计）｜PWT_CAD｜1951</x:v>
      </x:c>
      <x:c r="E37" s="12" t="str">
        <x:v>年频（市场／估计）｜PWT_FR｜1951</x:v>
      </x:c>
      <x:c r="F37" s="12" t="str">
        <x:v>年频（市场／估计）｜PWT_DE｜1951</x:v>
      </x:c>
      <x:c r="G37" s="12" t="str">
        <x:v>年频（市场／估计）｜PWT_IT｜1951</x:v>
      </x:c>
      <x:c r="H37" s="12" t="str">
        <x:v>年频（市场／估计）｜PWT_JPY｜1951</x:v>
      </x:c>
      <x:c r="I37" s="12" t="str">
        <x:v>年均｜MW_CHF｜1951</x:v>
      </x:c>
      <x:c r="J37" s="12" t="str">
        <x:v>年频（市场／估计）｜PWT_INR｜1951</x:v>
      </x:c>
      <x:c r="K37" s="12" t="str">
        <x:v>官价区间参考（非年均）｜SUR_OFFICIAL_SECONDARY｜1950-03-01—1960-12-01</x:v>
      </x:c>
      <x:c r="L37" s="12" t="str">
        <x:v>缺失／未核实</x:v>
      </x:c>
      <x:c r="M37" s="12" t="str">
        <x:v>德国地区代理；非欧元｜年频（市场／估计）｜PWT_DE｜1951</x:v>
      </x:c>
      <x:c r="N37" s="12" t="str">
        <x:v>含缺失；卢布含官价参考；欧元栏为德国代理</x:v>
      </x:c>
    </x:row>
    <x:row r="38" ht="66" customHeight="1">
      <x:c r="A38" t="n">
        <x:v>1952</x:v>
      </x:c>
      <x:c r="B38" s="12" t="str">
        <x:v>基准恒等｜1 USD</x:v>
      </x:c>
      <x:c r="C38" s="12" t="str">
        <x:v>年频（市场／估计）｜PWT_GBP｜1952</x:v>
      </x:c>
      <x:c r="D38" s="12" t="str">
        <x:v>年频（市场／估计）｜PWT_CAD｜1952</x:v>
      </x:c>
      <x:c r="E38" s="12" t="str">
        <x:v>年频（市场／估计）｜PWT_FR｜1952</x:v>
      </x:c>
      <x:c r="F38" s="12" t="str">
        <x:v>年频（市场／估计）｜PWT_DE｜1952</x:v>
      </x:c>
      <x:c r="G38" s="12" t="str">
        <x:v>年频（市场／估计）｜PWT_IT｜1952</x:v>
      </x:c>
      <x:c r="H38" s="12" t="str">
        <x:v>年频（市场／估计）｜PWT_JPY｜1952</x:v>
      </x:c>
      <x:c r="I38" s="12" t="str">
        <x:v>年均｜MW_CHF｜1952</x:v>
      </x:c>
      <x:c r="J38" s="12" t="str">
        <x:v>年频（市场／估计）｜PWT_INR｜1952</x:v>
      </x:c>
      <x:c r="K38" s="12" t="str">
        <x:v>官价区间参考（非年均）｜SUR_OFFICIAL_SECONDARY｜1950-03-01—1960-12-01</x:v>
      </x:c>
      <x:c r="L38" s="12" t="str">
        <x:v>年频（市场／估计）｜PWT_CNY｜1952</x:v>
      </x:c>
      <x:c r="M38" s="12" t="str">
        <x:v>德国地区代理；非欧元｜年频（市场／估计）｜PWT_DE｜1952</x:v>
      </x:c>
      <x:c r="N38" s="12" t="str">
        <x:v>卢布含官价参考；欧元栏为德国代理</x:v>
      </x:c>
    </x:row>
    <x:row r="39" ht="66" customHeight="1">
      <x:c r="A39" t="n">
        <x:v>1953</x:v>
      </x:c>
      <x:c r="B39" s="12" t="str">
        <x:v>基准恒等｜1 USD</x:v>
      </x:c>
      <x:c r="C39" s="12" t="str">
        <x:v>年频（市场／估计）｜PWT_GBP｜1953</x:v>
      </x:c>
      <x:c r="D39" s="12" t="str">
        <x:v>年频（市场／估计）｜PWT_CAD｜1953</x:v>
      </x:c>
      <x:c r="E39" s="12" t="str">
        <x:v>年频（市场／估计）｜PWT_FR｜1953</x:v>
      </x:c>
      <x:c r="F39" s="12" t="str">
        <x:v>年频（市场／估计）｜PWT_DE｜1953</x:v>
      </x:c>
      <x:c r="G39" s="12" t="str">
        <x:v>年频（市场／估计）｜PWT_IT｜1953</x:v>
      </x:c>
      <x:c r="H39" s="12" t="str">
        <x:v>年频（市场／估计）｜PWT_JPY｜1953</x:v>
      </x:c>
      <x:c r="I39" s="12" t="str">
        <x:v>年均｜MW_CHF｜1953</x:v>
      </x:c>
      <x:c r="J39" s="12" t="str">
        <x:v>年频（市场／估计）｜PWT_INR｜1953</x:v>
      </x:c>
      <x:c r="K39" s="12" t="str">
        <x:v>官价区间参考（非年均）｜SUR_OFFICIAL_SECONDARY｜1950-03-01—1960-12-01</x:v>
      </x:c>
      <x:c r="L39" s="12" t="str">
        <x:v>年频（市场／估计）｜PWT_CNY｜1953</x:v>
      </x:c>
      <x:c r="M39" s="12" t="str">
        <x:v>德国地区代理；非欧元｜年频（市场／估计）｜PWT_DE｜1953</x:v>
      </x:c>
      <x:c r="N39" s="12" t="str">
        <x:v>卢布含官价参考；欧元栏为德国代理</x:v>
      </x:c>
    </x:row>
    <x:row r="40" ht="66" customHeight="1">
      <x:c r="A40" t="n">
        <x:v>1954</x:v>
      </x:c>
      <x:c r="B40" s="12" t="str">
        <x:v>基准恒等｜1 USD</x:v>
      </x:c>
      <x:c r="C40" s="12" t="str">
        <x:v>年频（市场／估计）｜PWT_GBP｜1954</x:v>
      </x:c>
      <x:c r="D40" s="12" t="str">
        <x:v>年频（市场／估计）｜PWT_CAD｜1954</x:v>
      </x:c>
      <x:c r="E40" s="12" t="str">
        <x:v>年频（市场／估计）｜PWT_FR｜1954</x:v>
      </x:c>
      <x:c r="F40" s="12" t="str">
        <x:v>年频（市场／估计）｜PWT_DE｜1954</x:v>
      </x:c>
      <x:c r="G40" s="12" t="str">
        <x:v>年频（市场／估计）｜PWT_IT｜1954</x:v>
      </x:c>
      <x:c r="H40" s="12" t="str">
        <x:v>年频（市场／估计）｜PWT_JPY｜1954</x:v>
      </x:c>
      <x:c r="I40" s="12" t="str">
        <x:v>年均｜MW_CHF｜1954</x:v>
      </x:c>
      <x:c r="J40" s="12" t="str">
        <x:v>年频（市场／估计）｜PWT_INR｜1954</x:v>
      </x:c>
      <x:c r="K40" s="12" t="str">
        <x:v>官价区间参考（非年均）｜SUR_OFFICIAL_SECONDARY｜1950-03-01—1960-12-01</x:v>
      </x:c>
      <x:c r="L40" s="12" t="str">
        <x:v>年频（市场／估计）｜PWT_CNY｜1954</x:v>
      </x:c>
      <x:c r="M40" s="12" t="str">
        <x:v>德国地区代理；非欧元｜年频（市场／估计）｜PWT_DE｜1954</x:v>
      </x:c>
      <x:c r="N40" s="12" t="str">
        <x:v>卢布含官价参考；欧元栏为德国代理</x:v>
      </x:c>
    </x:row>
    <x:row r="41" ht="66" customHeight="1">
      <x:c r="A41" t="n">
        <x:v>1955</x:v>
      </x:c>
      <x:c r="B41" s="12" t="str">
        <x:v>基准恒等｜1 USD</x:v>
      </x:c>
      <x:c r="C41" s="12" t="str">
        <x:v>年频（市场／估计）｜PWT_GBP｜1955</x:v>
      </x:c>
      <x:c r="D41" s="12" t="str">
        <x:v>年频（市场／估计）｜PWT_CAD｜1955</x:v>
      </x:c>
      <x:c r="E41" s="12" t="str">
        <x:v>年频（市场／估计）｜PWT_FR｜1955</x:v>
      </x:c>
      <x:c r="F41" s="12" t="str">
        <x:v>年频（市场／估计）｜PWT_DE｜1955</x:v>
      </x:c>
      <x:c r="G41" s="12" t="str">
        <x:v>年频（市场／估计）｜PWT_IT｜1955</x:v>
      </x:c>
      <x:c r="H41" s="12" t="str">
        <x:v>年频（市场／估计）｜PWT_JPY｜1955</x:v>
      </x:c>
      <x:c r="I41" s="12" t="str">
        <x:v>年均｜MW_CHF｜1955</x:v>
      </x:c>
      <x:c r="J41" s="12" t="str">
        <x:v>年频（市场／估计）｜PWT_INR｜1955</x:v>
      </x:c>
      <x:c r="K41" s="12" t="str">
        <x:v>官价区间参考（非年均）｜SUR_OFFICIAL_SECONDARY｜1950-03-01—1960-12-01</x:v>
      </x:c>
      <x:c r="L41" s="12" t="str">
        <x:v>年频（市场／估计）｜PWT_CNY｜1955</x:v>
      </x:c>
      <x:c r="M41" s="12" t="str">
        <x:v>德国地区代理；非欧元｜年频（市场／估计）｜PWT_DE｜1955</x:v>
      </x:c>
      <x:c r="N41" s="12" t="str">
        <x:v>卢布含官价参考；欧元栏为德国代理</x:v>
      </x:c>
    </x:row>
    <x:row r="42" ht="66" customHeight="1">
      <x:c r="A42" t="n">
        <x:v>1956</x:v>
      </x:c>
      <x:c r="B42" s="12" t="str">
        <x:v>基准恒等｜1 USD</x:v>
      </x:c>
      <x:c r="C42" s="12" t="str">
        <x:v>年频（市场／估计）｜PWT_GBP｜1956</x:v>
      </x:c>
      <x:c r="D42" s="12" t="str">
        <x:v>年频（市场／估计）｜PWT_CAD｜1956</x:v>
      </x:c>
      <x:c r="E42" s="12" t="str">
        <x:v>年频（市场／估计）｜PWT_FR｜1956</x:v>
      </x:c>
      <x:c r="F42" s="12" t="str">
        <x:v>年频（市场／估计）｜PWT_DE｜1956</x:v>
      </x:c>
      <x:c r="G42" s="12" t="str">
        <x:v>年频（市场／估计）｜PWT_IT｜1956</x:v>
      </x:c>
      <x:c r="H42" s="12" t="str">
        <x:v>年均｜MW_JPY｜1956</x:v>
      </x:c>
      <x:c r="I42" s="12" t="str">
        <x:v>年频（市场／估计）｜PWT_CHF｜1956</x:v>
      </x:c>
      <x:c r="J42" s="12" t="str">
        <x:v>年频（市场／估计）｜PWT_INR｜1956</x:v>
      </x:c>
      <x:c r="K42" s="12" t="str">
        <x:v>官价区间参考（非年均）｜SUR_OFFICIAL_SECONDARY｜1950-03-01—1960-12-01</x:v>
      </x:c>
      <x:c r="L42" s="12" t="str">
        <x:v>年频（市场／估计）｜PWT_CNY｜1956</x:v>
      </x:c>
      <x:c r="M42" s="12" t="str">
        <x:v>德国地区代理；非欧元｜年频（市场／估计）｜PWT_DE｜1956</x:v>
      </x:c>
      <x:c r="N42" s="12" t="str">
        <x:v>卢布含官价参考；欧元栏为德国代理</x:v>
      </x:c>
    </x:row>
    <x:row r="43" ht="66" customHeight="1">
      <x:c r="A43" t="n">
        <x:v>1957</x:v>
      </x:c>
      <x:c r="B43" s="12" t="str">
        <x:v>基准恒等｜1 USD</x:v>
      </x:c>
      <x:c r="C43" s="12" t="str">
        <x:v>年均｜OECD_GBP｜1957</x:v>
      </x:c>
      <x:c r="D43" s="12" t="str">
        <x:v>年均｜OECD_CAD｜1957</x:v>
      </x:c>
      <x:c r="E43" s="12" t="str">
        <x:v>年均｜OECD_FR｜1957</x:v>
      </x:c>
      <x:c r="F43" s="12" t="str">
        <x:v>年均｜OECD_DE｜1957</x:v>
      </x:c>
      <x:c r="G43" s="12" t="str">
        <x:v>年均｜OECD_IT｜1957</x:v>
      </x:c>
      <x:c r="H43" s="12" t="str">
        <x:v>年均｜MW_JPY｜1957</x:v>
      </x:c>
      <x:c r="I43" s="12" t="str">
        <x:v>年均｜OECD_CHF｜1957</x:v>
      </x:c>
      <x:c r="J43" s="12" t="str">
        <x:v>年均｜OECD_INR｜1957</x:v>
      </x:c>
      <x:c r="K43" s="12" t="str">
        <x:v>官价区间参考（非年均）｜SUR_OFFICIAL_SECONDARY｜1950-03-01—1960-12-01</x:v>
      </x:c>
      <x:c r="L43" s="12" t="str">
        <x:v>年均｜OECD_CNY｜1957</x:v>
      </x:c>
      <x:c r="M43" s="12" t="str">
        <x:v>德国地区代理；非欧元｜年均｜OECD_DE｜1957</x:v>
      </x:c>
      <x:c r="N43" s="12" t="str">
        <x:v>卢布含官价参考；欧元栏为德国代理</x:v>
      </x:c>
    </x:row>
    <x:row r="44" ht="66" customHeight="1">
      <x:c r="A44" t="n">
        <x:v>1958</x:v>
      </x:c>
      <x:c r="B44" s="12" t="str">
        <x:v>基准恒等｜1 USD</x:v>
      </x:c>
      <x:c r="C44" s="12" t="str">
        <x:v>年均｜OECD_GBP｜1958</x:v>
      </x:c>
      <x:c r="D44" s="12" t="str">
        <x:v>年均｜OECD_CAD｜1958</x:v>
      </x:c>
      <x:c r="E44" s="12" t="str">
        <x:v>年均｜OECD_FR｜1958</x:v>
      </x:c>
      <x:c r="F44" s="12" t="str">
        <x:v>年均｜OECD_DE｜1958</x:v>
      </x:c>
      <x:c r="G44" s="12" t="str">
        <x:v>年均｜OECD_IT｜1958</x:v>
      </x:c>
      <x:c r="H44" s="12" t="str">
        <x:v>年均｜MW_JPY｜1958</x:v>
      </x:c>
      <x:c r="I44" s="12" t="str">
        <x:v>年均｜OECD_CHF｜1958</x:v>
      </x:c>
      <x:c r="J44" s="12" t="str">
        <x:v>年均｜OECD_INR｜1958</x:v>
      </x:c>
      <x:c r="K44" s="12" t="str">
        <x:v>官价区间参考（非年均）｜SUR_OFFICIAL_SECONDARY｜1950-03-01—1960-12-01</x:v>
      </x:c>
      <x:c r="L44" s="12" t="str">
        <x:v>年均｜OECD_CNY｜1958</x:v>
      </x:c>
      <x:c r="M44" s="12" t="str">
        <x:v>德国地区代理；非欧元｜年均｜OECD_DE｜1958</x:v>
      </x:c>
      <x:c r="N44" s="12" t="str">
        <x:v>卢布含官价参考；欧元栏为德国代理</x:v>
      </x:c>
    </x:row>
    <x:row r="45" ht="66" customHeight="1">
      <x:c r="A45" t="n">
        <x:v>1959</x:v>
      </x:c>
      <x:c r="B45" s="12" t="str">
        <x:v>基准恒等｜1 USD</x:v>
      </x:c>
      <x:c r="C45" s="12" t="str">
        <x:v>年均｜OECD_GBP｜1959</x:v>
      </x:c>
      <x:c r="D45" s="12" t="str">
        <x:v>年均｜OECD_CAD｜1959</x:v>
      </x:c>
      <x:c r="E45" s="12" t="str">
        <x:v>年均｜OECD_FR｜1959</x:v>
      </x:c>
      <x:c r="F45" s="12" t="str">
        <x:v>年均｜OECD_DE｜1959</x:v>
      </x:c>
      <x:c r="G45" s="12" t="str">
        <x:v>年均｜OECD_IT｜1959</x:v>
      </x:c>
      <x:c r="H45" s="12" t="str">
        <x:v>年均｜MW_JPY｜1959</x:v>
      </x:c>
      <x:c r="I45" s="12" t="str">
        <x:v>年均｜OECD_CHF｜1959</x:v>
      </x:c>
      <x:c r="J45" s="12" t="str">
        <x:v>年均｜OECD_INR｜1959</x:v>
      </x:c>
      <x:c r="K45" s="12" t="str">
        <x:v>官价区间参考（非年均）｜SUR_OFFICIAL_SECONDARY｜1950-03-01—1960-12-01</x:v>
      </x:c>
      <x:c r="L45" s="12" t="str">
        <x:v>年均｜OECD_CNY｜1959</x:v>
      </x:c>
      <x:c r="M45" s="12" t="str">
        <x:v>德国地区代理；非欧元｜年均｜OECD_DE｜1959</x:v>
      </x:c>
      <x:c r="N45" s="12" t="str">
        <x:v>卢布含官价参考；欧元栏为德国代理</x:v>
      </x:c>
    </x:row>
    <x:row r="46" ht="66" customHeight="1">
      <x:c r="A46" t="n">
        <x:v>1960</x:v>
      </x:c>
      <x:c r="B46" s="12" t="str">
        <x:v>基准恒等｜1 USD</x:v>
      </x:c>
      <x:c r="C46" s="12" t="str">
        <x:v>年均｜OECD_GBP｜1960</x:v>
      </x:c>
      <x:c r="D46" s="12" t="str">
        <x:v>年均｜OECD_CAD｜1960</x:v>
      </x:c>
      <x:c r="E46" s="12" t="str">
        <x:v>年均｜OECD_FR｜1960</x:v>
      </x:c>
      <x:c r="F46" s="12" t="str">
        <x:v>年均｜OECD_DE｜1960</x:v>
      </x:c>
      <x:c r="G46" s="12" t="str">
        <x:v>年均｜OECD_IT｜1960</x:v>
      </x:c>
      <x:c r="H46" s="12" t="str">
        <x:v>年均｜MW_JPY｜1960</x:v>
      </x:c>
      <x:c r="I46" s="12" t="str">
        <x:v>年均｜OECD_CHF｜1960</x:v>
      </x:c>
      <x:c r="J46" s="12" t="str">
        <x:v>年均｜OECD_INR｜1960</x:v>
      </x:c>
      <x:c r="K46" s="12" t="str">
        <x:v>定点官价参考（非年均）｜SUR_OFFICIAL_SECONDARY｜1960-12-01</x:v>
      </x:c>
      <x:c r="L46" s="12" t="str">
        <x:v>年均｜OECD_CNY｜1960</x:v>
      </x:c>
      <x:c r="M46" s="12" t="str">
        <x:v>德国地区代理；非欧元｜年均｜OECD_DE｜1960</x:v>
      </x:c>
      <x:c r="N46" s="12" t="str">
        <x:v>卢布含官价参考；欧元栏为德国代理</x:v>
      </x:c>
    </x:row>
    <x:row r="47" ht="66" customHeight="1">
      <x:c r="A47" t="n">
        <x:v>1961</x:v>
      </x:c>
      <x:c r="B47" s="12" t="str">
        <x:v>基准恒等｜1 USD</x:v>
      </x:c>
      <x:c r="C47" s="12" t="str">
        <x:v>年均｜OECD_GBP｜1961</x:v>
      </x:c>
      <x:c r="D47" s="12" t="str">
        <x:v>年均｜OECD_CAD｜1961</x:v>
      </x:c>
      <x:c r="E47" s="12" t="str">
        <x:v>年均｜OECD_FR｜1961</x:v>
      </x:c>
      <x:c r="F47" s="12" t="str">
        <x:v>年均｜OECD_DE｜1961</x:v>
      </x:c>
      <x:c r="G47" s="12" t="str">
        <x:v>年均｜OECD_IT｜1961</x:v>
      </x:c>
      <x:c r="H47" s="12" t="str">
        <x:v>年均｜MW_JPY｜1961</x:v>
      </x:c>
      <x:c r="I47" s="12" t="str">
        <x:v>年均｜OECD_CHF｜1961</x:v>
      </x:c>
      <x:c r="J47" s="12" t="str">
        <x:v>年均｜OECD_INR｜1961</x:v>
      </x:c>
      <x:c r="K47" s="12" t="str">
        <x:v>官价区间参考（非年均）｜SUR_OFFICIAL_SECONDARY｜1961-01-01—1971-12-01</x:v>
      </x:c>
      <x:c r="L47" s="12" t="str">
        <x:v>年均｜OECD_CNY｜1961</x:v>
      </x:c>
      <x:c r="M47" s="12" t="str">
        <x:v>德国地区代理；非欧元｜年均｜OECD_DE｜1961</x:v>
      </x:c>
      <x:c r="N47" s="12" t="str">
        <x:v>卢布含官价参考；欧元栏为德国代理</x:v>
      </x:c>
    </x:row>
    <x:row r="48" ht="66" customHeight="1">
      <x:c r="A48" t="n">
        <x:v>1962</x:v>
      </x:c>
      <x:c r="B48" s="12" t="str">
        <x:v>基准恒等｜1 USD</x:v>
      </x:c>
      <x:c r="C48" s="12" t="str">
        <x:v>年均｜OECD_GBP｜1962</x:v>
      </x:c>
      <x:c r="D48" s="12" t="str">
        <x:v>年均｜OECD_CAD｜1962</x:v>
      </x:c>
      <x:c r="E48" s="12" t="str">
        <x:v>年均｜OECD_FR｜1962</x:v>
      </x:c>
      <x:c r="F48" s="12" t="str">
        <x:v>年均｜OECD_DE｜1962</x:v>
      </x:c>
      <x:c r="G48" s="12" t="str">
        <x:v>年均｜OECD_IT｜1962</x:v>
      </x:c>
      <x:c r="H48" s="12" t="str">
        <x:v>年均｜MW_JPY｜1962</x:v>
      </x:c>
      <x:c r="I48" s="12" t="str">
        <x:v>年均｜OECD_CHF｜1962</x:v>
      </x:c>
      <x:c r="J48" s="12" t="str">
        <x:v>年均｜OECD_INR｜1962</x:v>
      </x:c>
      <x:c r="K48" s="12" t="str">
        <x:v>官价区间参考（非年均）｜SUR_OFFICIAL_SECONDARY｜1961-01-01—1971-12-01</x:v>
      </x:c>
      <x:c r="L48" s="12" t="str">
        <x:v>年均｜OECD_CNY｜1962</x:v>
      </x:c>
      <x:c r="M48" s="12" t="str">
        <x:v>德国地区代理；非欧元｜年均｜OECD_DE｜1962</x:v>
      </x:c>
      <x:c r="N48" s="12" t="str">
        <x:v>卢布含官价参考；欧元栏为德国代理</x:v>
      </x:c>
    </x:row>
    <x:row r="49" ht="66" customHeight="1">
      <x:c r="A49" t="n">
        <x:v>1963</x:v>
      </x:c>
      <x:c r="B49" s="12" t="str">
        <x:v>基准恒等｜1 USD</x:v>
      </x:c>
      <x:c r="C49" s="12" t="str">
        <x:v>年均｜OECD_GBP｜1963</x:v>
      </x:c>
      <x:c r="D49" s="12" t="str">
        <x:v>年均｜OECD_CAD｜1963</x:v>
      </x:c>
      <x:c r="E49" s="12" t="str">
        <x:v>年均｜OECD_FR｜1963</x:v>
      </x:c>
      <x:c r="F49" s="12" t="str">
        <x:v>年均｜OECD_DE｜1963</x:v>
      </x:c>
      <x:c r="G49" s="12" t="str">
        <x:v>年均｜OECD_IT｜1963</x:v>
      </x:c>
      <x:c r="H49" s="12" t="str">
        <x:v>年均｜MW_JPY｜1963</x:v>
      </x:c>
      <x:c r="I49" s="12" t="str">
        <x:v>年均｜OECD_CHF｜1963</x:v>
      </x:c>
      <x:c r="J49" s="12" t="str">
        <x:v>年均｜OECD_INR｜1963</x:v>
      </x:c>
      <x:c r="K49" s="12" t="str">
        <x:v>官价区间参考（非年均）｜SUR_OFFICIAL_SECONDARY｜1961-01-01—1971-12-01</x:v>
      </x:c>
      <x:c r="L49" s="12" t="str">
        <x:v>年均｜OECD_CNY｜1963</x:v>
      </x:c>
      <x:c r="M49" s="12" t="str">
        <x:v>德国地区代理；非欧元｜年均｜OECD_DE｜1963</x:v>
      </x:c>
      <x:c r="N49" s="12" t="str">
        <x:v>卢布含官价参考；欧元栏为德国代理</x:v>
      </x:c>
    </x:row>
    <x:row r="50" ht="66" customHeight="1">
      <x:c r="A50" t="n">
        <x:v>1964</x:v>
      </x:c>
      <x:c r="B50" s="12" t="str">
        <x:v>基准恒等｜1 USD</x:v>
      </x:c>
      <x:c r="C50" s="12" t="str">
        <x:v>年均｜OECD_GBP｜1964</x:v>
      </x:c>
      <x:c r="D50" s="12" t="str">
        <x:v>年均｜OECD_CAD｜1964</x:v>
      </x:c>
      <x:c r="E50" s="12" t="str">
        <x:v>年均｜OECD_FR｜1964</x:v>
      </x:c>
      <x:c r="F50" s="12" t="str">
        <x:v>年均｜OECD_DE｜1964</x:v>
      </x:c>
      <x:c r="G50" s="12" t="str">
        <x:v>年均｜OECD_IT｜1964</x:v>
      </x:c>
      <x:c r="H50" s="12" t="str">
        <x:v>年均｜MW_JPY｜1964</x:v>
      </x:c>
      <x:c r="I50" s="12" t="str">
        <x:v>年均｜OECD_CHF｜1964</x:v>
      </x:c>
      <x:c r="J50" s="12" t="str">
        <x:v>年均｜OECD_INR｜1964</x:v>
      </x:c>
      <x:c r="K50" s="12" t="str">
        <x:v>官价区间参考（非年均）｜SUR_OFFICIAL_SECONDARY｜1961-01-01—1971-12-01</x:v>
      </x:c>
      <x:c r="L50" s="12" t="str">
        <x:v>年均｜OECD_CNY｜1964</x:v>
      </x:c>
      <x:c r="M50" s="12" t="str">
        <x:v>德国地区代理；非欧元｜年均｜OECD_DE｜1964</x:v>
      </x:c>
      <x:c r="N50" s="12" t="str">
        <x:v>卢布含官价参考；欧元栏为德国代理</x:v>
      </x:c>
    </x:row>
    <x:row r="51" ht="66" customHeight="1">
      <x:c r="A51" t="n">
        <x:v>1965</x:v>
      </x:c>
      <x:c r="B51" s="12" t="str">
        <x:v>基准恒等｜1 USD</x:v>
      </x:c>
      <x:c r="C51" s="12" t="str">
        <x:v>年均｜OECD_GBP｜1965</x:v>
      </x:c>
      <x:c r="D51" s="12" t="str">
        <x:v>年均｜OECD_CAD｜1965</x:v>
      </x:c>
      <x:c r="E51" s="12" t="str">
        <x:v>年均｜OECD_FR｜1965</x:v>
      </x:c>
      <x:c r="F51" s="12" t="str">
        <x:v>年均｜OECD_DE｜1965</x:v>
      </x:c>
      <x:c r="G51" s="12" t="str">
        <x:v>年均｜OECD_IT｜1965</x:v>
      </x:c>
      <x:c r="H51" s="12" t="str">
        <x:v>年均｜MW_JPY｜1965</x:v>
      </x:c>
      <x:c r="I51" s="12" t="str">
        <x:v>年均｜OECD_CHF｜1965</x:v>
      </x:c>
      <x:c r="J51" s="12" t="str">
        <x:v>年均｜OECD_INR｜1965</x:v>
      </x:c>
      <x:c r="K51" s="12" t="str">
        <x:v>官价区间参考（非年均）｜SUR_OFFICIAL_SECONDARY｜1961-01-01—1971-12-01</x:v>
      </x:c>
      <x:c r="L51" s="12" t="str">
        <x:v>年均｜OECD_CNY｜1965</x:v>
      </x:c>
      <x:c r="M51" s="12" t="str">
        <x:v>德国地区代理；非欧元｜年均｜OECD_DE｜1965</x:v>
      </x:c>
      <x:c r="N51" s="12" t="str">
        <x:v>卢布含官价参考；欧元栏为德国代理</x:v>
      </x:c>
    </x:row>
    <x:row r="52" ht="66" customHeight="1">
      <x:c r="A52" t="n">
        <x:v>1966</x:v>
      </x:c>
      <x:c r="B52" s="12" t="str">
        <x:v>基准恒等｜1 USD</x:v>
      </x:c>
      <x:c r="C52" s="12" t="str">
        <x:v>年均｜OECD_GBP｜1966</x:v>
      </x:c>
      <x:c r="D52" s="12" t="str">
        <x:v>年均｜OECD_CAD｜1966</x:v>
      </x:c>
      <x:c r="E52" s="12" t="str">
        <x:v>年均｜OECD_FR｜1966</x:v>
      </x:c>
      <x:c r="F52" s="12" t="str">
        <x:v>年均｜OECD_DE｜1966</x:v>
      </x:c>
      <x:c r="G52" s="12" t="str">
        <x:v>年均｜OECD_IT｜1966</x:v>
      </x:c>
      <x:c r="H52" s="12" t="str">
        <x:v>年均｜MW_JPY｜1966</x:v>
      </x:c>
      <x:c r="I52" s="12" t="str">
        <x:v>年均｜OECD_CHF｜1966</x:v>
      </x:c>
      <x:c r="J52" s="12" t="str">
        <x:v>年均｜OECD_INR｜1966</x:v>
      </x:c>
      <x:c r="K52" s="12" t="str">
        <x:v>官价区间参考（非年均）｜SUR_OFFICIAL_SECONDARY｜1961-01-01—1971-12-01</x:v>
      </x:c>
      <x:c r="L52" s="12" t="str">
        <x:v>年均｜OECD_CNY｜1966</x:v>
      </x:c>
      <x:c r="M52" s="12" t="str">
        <x:v>德国地区代理；非欧元｜年均｜OECD_DE｜1966</x:v>
      </x:c>
      <x:c r="N52" s="12" t="str">
        <x:v>卢布含官价参考；欧元栏为德国代理</x:v>
      </x:c>
    </x:row>
    <x:row r="53" ht="66" customHeight="1">
      <x:c r="A53" t="n">
        <x:v>1967</x:v>
      </x:c>
      <x:c r="B53" s="12" t="str">
        <x:v>基准恒等｜1 USD</x:v>
      </x:c>
      <x:c r="C53" s="12" t="str">
        <x:v>年均｜OECD_GBP｜1967</x:v>
      </x:c>
      <x:c r="D53" s="12" t="str">
        <x:v>年均｜OECD_CAD｜1967</x:v>
      </x:c>
      <x:c r="E53" s="12" t="str">
        <x:v>年均｜OECD_FR｜1967</x:v>
      </x:c>
      <x:c r="F53" s="12" t="str">
        <x:v>年均｜OECD_DE｜1967</x:v>
      </x:c>
      <x:c r="G53" s="12" t="str">
        <x:v>年均｜OECD_IT｜1967</x:v>
      </x:c>
      <x:c r="H53" s="12" t="str">
        <x:v>年均｜MW_JPY｜1967</x:v>
      </x:c>
      <x:c r="I53" s="12" t="str">
        <x:v>年均｜OECD_CHF｜1967</x:v>
      </x:c>
      <x:c r="J53" s="12" t="str">
        <x:v>年均｜OECD_INR｜1967</x:v>
      </x:c>
      <x:c r="K53" s="12" t="str">
        <x:v>官价区间参考（非年均）｜SUR_OFFICIAL_SECONDARY｜1961-01-01—1971-12-01</x:v>
      </x:c>
      <x:c r="L53" s="12" t="str">
        <x:v>年均｜OECD_CNY｜1967</x:v>
      </x:c>
      <x:c r="M53" s="12" t="str">
        <x:v>德国地区代理；非欧元｜年均｜OECD_DE｜1967</x:v>
      </x:c>
      <x:c r="N53" s="12" t="str">
        <x:v>卢布含官价参考；欧元栏为德国代理</x:v>
      </x:c>
    </x:row>
    <x:row r="54" ht="66" customHeight="1">
      <x:c r="A54" t="n">
        <x:v>1968</x:v>
      </x:c>
      <x:c r="B54" s="12" t="str">
        <x:v>基准恒等｜1 USD</x:v>
      </x:c>
      <x:c r="C54" s="12" t="str">
        <x:v>年均｜OECD_GBP｜1968</x:v>
      </x:c>
      <x:c r="D54" s="12" t="str">
        <x:v>年均｜OECD_CAD｜1968</x:v>
      </x:c>
      <x:c r="E54" s="12" t="str">
        <x:v>年均｜OECD_FR｜1968</x:v>
      </x:c>
      <x:c r="F54" s="12" t="str">
        <x:v>年均｜OECD_DE｜1968</x:v>
      </x:c>
      <x:c r="G54" s="12" t="str">
        <x:v>年均｜OECD_IT｜1968</x:v>
      </x:c>
      <x:c r="H54" s="12" t="str">
        <x:v>年均｜MW_JPY｜1968</x:v>
      </x:c>
      <x:c r="I54" s="12" t="str">
        <x:v>年均｜OECD_CHF｜1968</x:v>
      </x:c>
      <x:c r="J54" s="12" t="str">
        <x:v>年均｜OECD_INR｜1968</x:v>
      </x:c>
      <x:c r="K54" s="12" t="str">
        <x:v>官价区间参考（非年均）｜SUR_OFFICIAL_SECONDARY｜1961-01-01—1971-12-01</x:v>
      </x:c>
      <x:c r="L54" s="12" t="str">
        <x:v>年均｜OECD_CNY｜1968</x:v>
      </x:c>
      <x:c r="M54" s="12" t="str">
        <x:v>德国地区代理；非欧元｜年均｜OECD_DE｜1968</x:v>
      </x:c>
      <x:c r="N54" s="12" t="str">
        <x:v>卢布含官价参考；欧元栏为德国代理</x:v>
      </x:c>
    </x:row>
    <x:row r="55" ht="66" customHeight="1">
      <x:c r="A55" t="n">
        <x:v>1969</x:v>
      </x:c>
      <x:c r="B55" s="12" t="str">
        <x:v>基准恒等｜1 USD</x:v>
      </x:c>
      <x:c r="C55" s="12" t="str">
        <x:v>年均｜OECD_GBP｜1969</x:v>
      </x:c>
      <x:c r="D55" s="12" t="str">
        <x:v>年均｜OECD_CAD｜1969</x:v>
      </x:c>
      <x:c r="E55" s="12" t="str">
        <x:v>年均｜OECD_FR｜1969</x:v>
      </x:c>
      <x:c r="F55" s="12" t="str">
        <x:v>年均｜OECD_DE｜1969</x:v>
      </x:c>
      <x:c r="G55" s="12" t="str">
        <x:v>年均｜OECD_IT｜1969</x:v>
      </x:c>
      <x:c r="H55" s="12" t="str">
        <x:v>年均｜MW_JPY｜1969</x:v>
      </x:c>
      <x:c r="I55" s="12" t="str">
        <x:v>年均｜OECD_CHF｜1969</x:v>
      </x:c>
      <x:c r="J55" s="12" t="str">
        <x:v>年均｜OECD_INR｜1969</x:v>
      </x:c>
      <x:c r="K55" s="12" t="str">
        <x:v>官价区间参考（非年均）｜SUR_OFFICIAL_SECONDARY｜1961-01-01—1971-12-01</x:v>
      </x:c>
      <x:c r="L55" s="12" t="str">
        <x:v>年均｜OECD_CNY｜1969</x:v>
      </x:c>
      <x:c r="M55" s="12" t="str">
        <x:v>德国地区代理；非欧元｜年均｜OECD_DE｜1969</x:v>
      </x:c>
      <x:c r="N55" s="12" t="str">
        <x:v>卢布含官价参考；欧元栏为德国代理</x:v>
      </x:c>
    </x:row>
    <x:row r="56" ht="66" customHeight="1">
      <x:c r="A56" t="n">
        <x:v>1970</x:v>
      </x:c>
      <x:c r="B56" s="12" t="str">
        <x:v>基准恒等｜1 USD</x:v>
      </x:c>
      <x:c r="C56" s="12" t="str">
        <x:v>年均｜OECD_GBP｜1970</x:v>
      </x:c>
      <x:c r="D56" s="12" t="str">
        <x:v>年均｜OECD_CAD｜1970</x:v>
      </x:c>
      <x:c r="E56" s="12" t="str">
        <x:v>年均｜OECD_FR｜1970</x:v>
      </x:c>
      <x:c r="F56" s="12" t="str">
        <x:v>年均｜OECD_DE｜1970</x:v>
      </x:c>
      <x:c r="G56" s="12" t="str">
        <x:v>年均｜OECD_IT｜1970</x:v>
      </x:c>
      <x:c r="H56" s="12" t="str">
        <x:v>年均｜MW_JPY｜1970</x:v>
      </x:c>
      <x:c r="I56" s="12" t="str">
        <x:v>年均｜OECD_CHF｜1970</x:v>
      </x:c>
      <x:c r="J56" s="12" t="str">
        <x:v>年均｜OECD_INR｜1970</x:v>
      </x:c>
      <x:c r="K56" s="12" t="str">
        <x:v>官价区间参考（非年均）｜SUR_OFFICIAL_SECONDARY｜1961-01-01—1971-12-01</x:v>
      </x:c>
      <x:c r="L56" s="12" t="str">
        <x:v>年均｜OECD_CNY｜1970</x:v>
      </x:c>
      <x:c r="M56" s="12" t="str">
        <x:v>德国地区代理；非欧元｜年均｜OECD_DE｜1970</x:v>
      </x:c>
      <x:c r="N56" s="12" t="str">
        <x:v>卢布含官价参考；欧元栏为德国代理</x:v>
      </x:c>
    </x:row>
    <x:row r="57" ht="66" customHeight="1">
      <x:c r="A57" t="n">
        <x:v>1971</x:v>
      </x:c>
      <x:c r="B57" s="12" t="str">
        <x:v>基准恒等｜1 USD</x:v>
      </x:c>
      <x:c r="C57" s="12" t="str">
        <x:v>年均｜FRB_GBP｜1971</x:v>
      </x:c>
      <x:c r="D57" s="12" t="str">
        <x:v>年均｜FRB_CAD｜1971</x:v>
      </x:c>
      <x:c r="E57" s="12" t="str">
        <x:v>年均｜OECD_FR｜1971</x:v>
      </x:c>
      <x:c r="F57" s="12" t="str">
        <x:v>年均｜OECD_DE｜1971</x:v>
      </x:c>
      <x:c r="G57" s="12" t="str">
        <x:v>年均｜OECD_IT｜1971</x:v>
      </x:c>
      <x:c r="H57" s="12" t="str">
        <x:v>年均｜FRB_JPY｜1971</x:v>
      </x:c>
      <x:c r="I57" s="12" t="str">
        <x:v>年均｜FRB_CHF｜1971</x:v>
      </x:c>
      <x:c r="J57" s="12" t="str">
        <x:v>年均｜OECD_INR｜1971</x:v>
      </x:c>
      <x:c r="K57" s="12" t="str">
        <x:v>定点官价参考（非年均）｜SUR_OFFICIAL_SECONDARY｜1971-12-01</x:v>
      </x:c>
      <x:c r="L57" s="12" t="str">
        <x:v>年均｜OECD_CNY｜1971</x:v>
      </x:c>
      <x:c r="M57" s="12" t="str">
        <x:v>德国地区代理；非欧元｜年均｜OECD_DE｜1971</x:v>
      </x:c>
      <x:c r="N57" s="12" t="str">
        <x:v>卢布含官价参考；欧元栏为德国代理</x:v>
      </x:c>
    </x:row>
    <x:row r="58" ht="66" customHeight="1">
      <x:c r="A58" t="n">
        <x:v>1972</x:v>
      </x:c>
      <x:c r="B58" s="12" t="str">
        <x:v>基准恒等｜1 USD</x:v>
      </x:c>
      <x:c r="C58" s="12" t="str">
        <x:v>年均｜FRB_GBP｜1972</x:v>
      </x:c>
      <x:c r="D58" s="12" t="str">
        <x:v>年均｜FRB_CAD｜1972</x:v>
      </x:c>
      <x:c r="E58" s="12" t="str">
        <x:v>年均｜OECD_FR｜1972</x:v>
      </x:c>
      <x:c r="F58" s="12" t="str">
        <x:v>年均｜OECD_DE｜1972</x:v>
      </x:c>
      <x:c r="G58" s="12" t="str">
        <x:v>年均｜OECD_IT｜1972</x:v>
      </x:c>
      <x:c r="H58" s="12" t="str">
        <x:v>年均｜FRB_JPY｜1972</x:v>
      </x:c>
      <x:c r="I58" s="12" t="str">
        <x:v>年均｜FRB_CHF｜1972</x:v>
      </x:c>
      <x:c r="J58" s="12" t="str">
        <x:v>年均｜OECD_INR｜1972</x:v>
      </x:c>
      <x:c r="K58" s="12" t="str">
        <x:v>定点官价参考（非年均）｜SUR_OFFICIAL_SECONDARY｜1972-01-01</x:v>
      </x:c>
      <x:c r="L58" s="12" t="str">
        <x:v>年均｜OECD_CNY｜1972</x:v>
      </x:c>
      <x:c r="M58" s="12" t="str">
        <x:v>德国地区代理；非欧元｜年均｜OECD_DE｜1972</x:v>
      </x:c>
      <x:c r="N58" s="12" t="str">
        <x:v>卢布含官价参考；欧元栏为德国代理</x:v>
      </x:c>
    </x:row>
    <x:row r="59" ht="66" customHeight="1">
      <x:c r="A59" t="n">
        <x:v>1973</x:v>
      </x:c>
      <x:c r="B59" s="12" t="str">
        <x:v>基准恒等｜1 USD</x:v>
      </x:c>
      <x:c r="C59" s="12" t="str">
        <x:v>年均｜FRB_GBP｜1973</x:v>
      </x:c>
      <x:c r="D59" s="12" t="str">
        <x:v>年均｜FRB_CAD｜1973</x:v>
      </x:c>
      <x:c r="E59" s="12" t="str">
        <x:v>年均｜OECD_FR｜1973</x:v>
      </x:c>
      <x:c r="F59" s="12" t="str">
        <x:v>年均｜OECD_DE｜1973</x:v>
      </x:c>
      <x:c r="G59" s="12" t="str">
        <x:v>年均｜OECD_IT｜1973</x:v>
      </x:c>
      <x:c r="H59" s="12" t="str">
        <x:v>年均｜FRB_JPY｜1973</x:v>
      </x:c>
      <x:c r="I59" s="12" t="str">
        <x:v>年均｜FRB_CHF｜1973</x:v>
      </x:c>
      <x:c r="J59" s="12" t="str">
        <x:v>年均｜FRB_INR｜1973</x:v>
      </x:c>
      <x:c r="K59" s="12" t="str">
        <x:v>定点官价参考（非年均）｜SUR_OFFICIAL_SECONDARY｜1973-01-01</x:v>
      </x:c>
      <x:c r="L59" s="12" t="str">
        <x:v>年均｜OECD_CNY｜1973</x:v>
      </x:c>
      <x:c r="M59" s="12" t="str">
        <x:v>德国地区代理；非欧元｜年均｜OECD_DE｜1973</x:v>
      </x:c>
      <x:c r="N59" s="12" t="str">
        <x:v>卢布含官价参考；欧元栏为德国代理</x:v>
      </x:c>
    </x:row>
    <x:row r="60" ht="66" customHeight="1">
      <x:c r="A60" t="n">
        <x:v>1974</x:v>
      </x:c>
      <x:c r="B60" s="12" t="str">
        <x:v>基准恒等｜1 USD</x:v>
      </x:c>
      <x:c r="C60" s="12" t="str">
        <x:v>年均｜FRB_GBP｜1974</x:v>
      </x:c>
      <x:c r="D60" s="12" t="str">
        <x:v>年均｜FRB_CAD｜1974</x:v>
      </x:c>
      <x:c r="E60" s="12" t="str">
        <x:v>年均｜OECD_FR｜1974</x:v>
      </x:c>
      <x:c r="F60" s="12" t="str">
        <x:v>年均｜OECD_DE｜1974</x:v>
      </x:c>
      <x:c r="G60" s="12" t="str">
        <x:v>年均｜OECD_IT｜1974</x:v>
      </x:c>
      <x:c r="H60" s="12" t="str">
        <x:v>年均｜FRB_JPY｜1974</x:v>
      </x:c>
      <x:c r="I60" s="12" t="str">
        <x:v>年均｜FRB_CHF｜1974</x:v>
      </x:c>
      <x:c r="J60" s="12" t="str">
        <x:v>年均｜FRB_INR｜1974</x:v>
      </x:c>
      <x:c r="K60" s="12" t="str">
        <x:v>定点官价参考（非年均）｜SUR_OFFICIAL_SECONDARY｜1974-01-01</x:v>
      </x:c>
      <x:c r="L60" s="12" t="str">
        <x:v>年均｜OECD_CNY｜1974</x:v>
      </x:c>
      <x:c r="M60" s="12" t="str">
        <x:v>德国地区代理；非欧元｜年均｜OECD_DE｜1974</x:v>
      </x:c>
      <x:c r="N60" s="12" t="str">
        <x:v>卢布含官价参考；欧元栏为德国代理</x:v>
      </x:c>
    </x:row>
    <x:row r="61" ht="66" customHeight="1">
      <x:c r="A61" t="n">
        <x:v>1975</x:v>
      </x:c>
      <x:c r="B61" s="12" t="str">
        <x:v>基准恒等｜1 USD</x:v>
      </x:c>
      <x:c r="C61" s="12" t="str">
        <x:v>年均｜FRB_GBP｜1975</x:v>
      </x:c>
      <x:c r="D61" s="12" t="str">
        <x:v>年均｜FRB_CAD｜1975</x:v>
      </x:c>
      <x:c r="E61" s="12" t="str">
        <x:v>年均｜OECD_FR｜1975</x:v>
      </x:c>
      <x:c r="F61" s="12" t="str">
        <x:v>年均｜OECD_DE｜1975</x:v>
      </x:c>
      <x:c r="G61" s="12" t="str">
        <x:v>年均｜OECD_IT｜1975</x:v>
      </x:c>
      <x:c r="H61" s="12" t="str">
        <x:v>年均｜FRB_JPY｜1975</x:v>
      </x:c>
      <x:c r="I61" s="12" t="str">
        <x:v>年均｜FRB_CHF｜1975</x:v>
      </x:c>
      <x:c r="J61" s="12" t="str">
        <x:v>年均｜FRB_INR｜1975</x:v>
      </x:c>
      <x:c r="K61" s="12" t="str">
        <x:v>定点官价参考（非年均）｜SUR_OFFICIAL_SECONDARY｜1975-01-01</x:v>
      </x:c>
      <x:c r="L61" s="12" t="str">
        <x:v>年均｜OECD_CNY｜1975</x:v>
      </x:c>
      <x:c r="M61" s="12" t="str">
        <x:v>德国地区代理；非欧元｜年均｜OECD_DE｜1975</x:v>
      </x:c>
      <x:c r="N61" s="12" t="str">
        <x:v>卢布含官价参考；欧元栏为德国代理</x:v>
      </x:c>
    </x:row>
    <x:row r="62" ht="66" customHeight="1">
      <x:c r="A62" t="n">
        <x:v>1976</x:v>
      </x:c>
      <x:c r="B62" s="12" t="str">
        <x:v>基准恒等｜1 USD</x:v>
      </x:c>
      <x:c r="C62" s="12" t="str">
        <x:v>年均｜FRB_GBP｜1976</x:v>
      </x:c>
      <x:c r="D62" s="12" t="str">
        <x:v>年均｜FRB_CAD｜1976</x:v>
      </x:c>
      <x:c r="E62" s="12" t="str">
        <x:v>年均｜OECD_FR｜1976</x:v>
      </x:c>
      <x:c r="F62" s="12" t="str">
        <x:v>年均｜OECD_DE｜1976</x:v>
      </x:c>
      <x:c r="G62" s="12" t="str">
        <x:v>年均｜OECD_IT｜1976</x:v>
      </x:c>
      <x:c r="H62" s="12" t="str">
        <x:v>年均｜FRB_JPY｜1976</x:v>
      </x:c>
      <x:c r="I62" s="12" t="str">
        <x:v>年均｜FRB_CHF｜1976</x:v>
      </x:c>
      <x:c r="J62" s="12" t="str">
        <x:v>年均｜FRB_INR｜1976</x:v>
      </x:c>
      <x:c r="K62" s="12" t="str">
        <x:v>定点官价参考（非年均）｜SUR_OFFICIAL_SECONDARY｜1976-01-01</x:v>
      </x:c>
      <x:c r="L62" s="12" t="str">
        <x:v>年均｜OECD_CNY｜1976</x:v>
      </x:c>
      <x:c r="M62" s="12" t="str">
        <x:v>德国地区代理；非欧元｜年均｜OECD_DE｜1976</x:v>
      </x:c>
      <x:c r="N62" s="12" t="str">
        <x:v>卢布含官价参考；欧元栏为德国代理</x:v>
      </x:c>
    </x:row>
    <x:row r="63" ht="66" customHeight="1">
      <x:c r="A63" t="n">
        <x:v>1977</x:v>
      </x:c>
      <x:c r="B63" s="12" t="str">
        <x:v>基准恒等｜1 USD</x:v>
      </x:c>
      <x:c r="C63" s="12" t="str">
        <x:v>年均｜FRB_GBP｜1977</x:v>
      </x:c>
      <x:c r="D63" s="12" t="str">
        <x:v>年均｜FRB_CAD｜1977</x:v>
      </x:c>
      <x:c r="E63" s="12" t="str">
        <x:v>年均｜OECD_FR｜1977</x:v>
      </x:c>
      <x:c r="F63" s="12" t="str">
        <x:v>年均｜OECD_DE｜1977</x:v>
      </x:c>
      <x:c r="G63" s="12" t="str">
        <x:v>年均｜OECD_IT｜1977</x:v>
      </x:c>
      <x:c r="H63" s="12" t="str">
        <x:v>年均｜FRB_JPY｜1977</x:v>
      </x:c>
      <x:c r="I63" s="12" t="str">
        <x:v>年均｜FRB_CHF｜1977</x:v>
      </x:c>
      <x:c r="J63" s="12" t="str">
        <x:v>年均｜FRB_INR｜1977</x:v>
      </x:c>
      <x:c r="K63" s="12" t="str">
        <x:v>定点官价参考（非年均）｜SUR_OFFICIAL_SECONDARY｜1977-01-01</x:v>
      </x:c>
      <x:c r="L63" s="12" t="str">
        <x:v>年均｜OECD_CNY｜1977</x:v>
      </x:c>
      <x:c r="M63" s="12" t="str">
        <x:v>德国地区代理；非欧元｜年均｜OECD_DE｜1977</x:v>
      </x:c>
      <x:c r="N63" s="12" t="str">
        <x:v>卢布含官价参考；欧元栏为德国代理</x:v>
      </x:c>
    </x:row>
    <x:row r="64" ht="66" customHeight="1">
      <x:c r="A64" t="n">
        <x:v>1978</x:v>
      </x:c>
      <x:c r="B64" s="12" t="str">
        <x:v>基准恒等｜1 USD</x:v>
      </x:c>
      <x:c r="C64" s="12" t="str">
        <x:v>年均｜FRB_GBP｜1978</x:v>
      </x:c>
      <x:c r="D64" s="12" t="str">
        <x:v>年均｜FRB_CAD｜1978</x:v>
      </x:c>
      <x:c r="E64" s="12" t="str">
        <x:v>年均｜OECD_FR｜1978</x:v>
      </x:c>
      <x:c r="F64" s="12" t="str">
        <x:v>年均｜OECD_DE｜1978</x:v>
      </x:c>
      <x:c r="G64" s="12" t="str">
        <x:v>年均｜OECD_IT｜1978</x:v>
      </x:c>
      <x:c r="H64" s="12" t="str">
        <x:v>年均｜FRB_JPY｜1978</x:v>
      </x:c>
      <x:c r="I64" s="12" t="str">
        <x:v>年均｜FRB_CHF｜1978</x:v>
      </x:c>
      <x:c r="J64" s="12" t="str">
        <x:v>年均｜FRB_INR｜1978</x:v>
      </x:c>
      <x:c r="K64" s="12" t="str">
        <x:v>定点官价参考（非年均）｜SUR_OFFICIAL_SECONDARY｜1978-01-01</x:v>
      </x:c>
      <x:c r="L64" s="12" t="str">
        <x:v>年均｜OECD_CNY｜1978</x:v>
      </x:c>
      <x:c r="M64" s="12" t="str">
        <x:v>德国地区代理；非欧元｜年均｜OECD_DE｜1978</x:v>
      </x:c>
      <x:c r="N64" s="12" t="str">
        <x:v>卢布含官价参考；欧元栏为德国代理</x:v>
      </x:c>
    </x:row>
    <x:row r="65" ht="66" customHeight="1">
      <x:c r="A65" t="n">
        <x:v>1979</x:v>
      </x:c>
      <x:c r="B65" s="12" t="str">
        <x:v>基准恒等｜1 USD</x:v>
      </x:c>
      <x:c r="C65" s="12" t="str">
        <x:v>年均｜FRB_GBP｜1979</x:v>
      </x:c>
      <x:c r="D65" s="12" t="str">
        <x:v>年均｜FRB_CAD｜1979</x:v>
      </x:c>
      <x:c r="E65" s="12" t="str">
        <x:v>年均｜OECD_FR｜1979</x:v>
      </x:c>
      <x:c r="F65" s="12" t="str">
        <x:v>年均｜OECD_DE｜1979</x:v>
      </x:c>
      <x:c r="G65" s="12" t="str">
        <x:v>年均｜OECD_IT｜1979</x:v>
      </x:c>
      <x:c r="H65" s="12" t="str">
        <x:v>年均｜FRB_JPY｜1979</x:v>
      </x:c>
      <x:c r="I65" s="12" t="str">
        <x:v>年均｜FRB_CHF｜1979</x:v>
      </x:c>
      <x:c r="J65" s="12" t="str">
        <x:v>年均｜FRB_INR｜1979</x:v>
      </x:c>
      <x:c r="K65" s="12" t="str">
        <x:v>定点官价参考（非年均）｜SUR_OFFICIAL_SECONDARY｜1979-01-01</x:v>
      </x:c>
      <x:c r="L65" s="12" t="str">
        <x:v>年均｜OECD_CNY｜1979</x:v>
      </x:c>
      <x:c r="M65" s="12" t="str">
        <x:v>德国地区代理；非欧元｜年均｜OECD_DE｜1979</x:v>
      </x:c>
      <x:c r="N65" s="12" t="str">
        <x:v>卢布含官价参考；欧元栏为德国代理</x:v>
      </x:c>
    </x:row>
    <x:row r="66" ht="66" customHeight="1">
      <x:c r="A66" t="n">
        <x:v>1980</x:v>
      </x:c>
      <x:c r="B66" s="12" t="str">
        <x:v>基准恒等｜1 USD</x:v>
      </x:c>
      <x:c r="C66" s="12" t="str">
        <x:v>年均｜FRB_GBP｜1980</x:v>
      </x:c>
      <x:c r="D66" s="12" t="str">
        <x:v>年均｜FRB_CAD｜1980</x:v>
      </x:c>
      <x:c r="E66" s="12" t="str">
        <x:v>年均｜OECD_FR｜1980</x:v>
      </x:c>
      <x:c r="F66" s="12" t="str">
        <x:v>年均｜OECD_DE｜1980</x:v>
      </x:c>
      <x:c r="G66" s="12" t="str">
        <x:v>年均｜OECD_IT｜1980</x:v>
      </x:c>
      <x:c r="H66" s="12" t="str">
        <x:v>年均｜FRB_JPY｜1980</x:v>
      </x:c>
      <x:c r="I66" s="12" t="str">
        <x:v>年均｜FRB_CHF｜1980</x:v>
      </x:c>
      <x:c r="J66" s="12" t="str">
        <x:v>年均｜FRB_INR｜1980</x:v>
      </x:c>
      <x:c r="K66" s="12" t="str">
        <x:v>定点官价参考（非年均）｜SUR_OFFICIAL_SECONDARY｜1980-01-03</x:v>
      </x:c>
      <x:c r="L66" s="12" t="str">
        <x:v>年均｜OECD_CNY｜1980</x:v>
      </x:c>
      <x:c r="M66" s="12" t="str">
        <x:v>德国地区代理；非欧元｜年均｜OECD_DE｜1980</x:v>
      </x:c>
      <x:c r="N66" s="12" t="str">
        <x:v>卢布含官价参考；欧元栏为德国代理</x:v>
      </x:c>
    </x:row>
    <x:row r="67" ht="66" customHeight="1">
      <x:c r="A67" t="n">
        <x:v>1981</x:v>
      </x:c>
      <x:c r="B67" s="12" t="str">
        <x:v>基准恒等｜1 USD</x:v>
      </x:c>
      <x:c r="C67" s="12" t="str">
        <x:v>年均｜FRB_GBP｜1981</x:v>
      </x:c>
      <x:c r="D67" s="12" t="str">
        <x:v>年均｜FRB_CAD｜1981</x:v>
      </x:c>
      <x:c r="E67" s="12" t="str">
        <x:v>年均｜OECD_FR｜1981</x:v>
      </x:c>
      <x:c r="F67" s="12" t="str">
        <x:v>年均｜OECD_DE｜1981</x:v>
      </x:c>
      <x:c r="G67" s="12" t="str">
        <x:v>年均｜OECD_IT｜1981</x:v>
      </x:c>
      <x:c r="H67" s="12" t="str">
        <x:v>年均｜FRB_JPY｜1981</x:v>
      </x:c>
      <x:c r="I67" s="12" t="str">
        <x:v>年均｜FRB_CHF｜1981</x:v>
      </x:c>
      <x:c r="J67" s="12" t="str">
        <x:v>年均｜FRB_INR｜1981</x:v>
      </x:c>
      <x:c r="K67" s="12" t="str">
        <x:v>定点官价参考（非年均）｜SUR_OFFICIAL_SECONDARY｜1981-01-01</x:v>
      </x:c>
      <x:c r="L67" s="12" t="str">
        <x:v>年均｜FRB_CNY｜1981</x:v>
      </x:c>
      <x:c r="M67" s="12" t="str">
        <x:v>德国地区代理；非欧元｜年均｜OECD_DE｜1981</x:v>
      </x:c>
      <x:c r="N67" s="12" t="str">
        <x:v>卢布含官价参考；欧元栏为德国代理</x:v>
      </x:c>
    </x:row>
    <x:row r="68" ht="66" customHeight="1">
      <x:c r="A68" t="n">
        <x:v>1982</x:v>
      </x:c>
      <x:c r="B68" s="12" t="str">
        <x:v>基准恒等｜1 USD</x:v>
      </x:c>
      <x:c r="C68" s="12" t="str">
        <x:v>年均｜FRB_GBP｜1982</x:v>
      </x:c>
      <x:c r="D68" s="12" t="str">
        <x:v>年均｜FRB_CAD｜1982</x:v>
      </x:c>
      <x:c r="E68" s="12" t="str">
        <x:v>年均｜OECD_FR｜1982</x:v>
      </x:c>
      <x:c r="F68" s="12" t="str">
        <x:v>年均｜OECD_DE｜1982</x:v>
      </x:c>
      <x:c r="G68" s="12" t="str">
        <x:v>年均｜OECD_IT｜1982</x:v>
      </x:c>
      <x:c r="H68" s="12" t="str">
        <x:v>年均｜FRB_JPY｜1982</x:v>
      </x:c>
      <x:c r="I68" s="12" t="str">
        <x:v>年均｜FRB_CHF｜1982</x:v>
      </x:c>
      <x:c r="J68" s="12" t="str">
        <x:v>年均｜FRB_INR｜1982</x:v>
      </x:c>
      <x:c r="K68" s="12" t="str">
        <x:v>定点官价参考（非年均）｜SUR_OFFICIAL_SECONDARY｜1982-01-01</x:v>
      </x:c>
      <x:c r="L68" s="12" t="str">
        <x:v>年均｜FRB_CNY｜1982</x:v>
      </x:c>
      <x:c r="M68" s="12" t="str">
        <x:v>德国地区代理；非欧元｜年均｜OECD_DE｜1982</x:v>
      </x:c>
      <x:c r="N68" s="12" t="str">
        <x:v>卢布含官价参考；欧元栏为德国代理</x:v>
      </x:c>
    </x:row>
    <x:row r="69" ht="66" customHeight="1">
      <x:c r="A69" t="n">
        <x:v>1983</x:v>
      </x:c>
      <x:c r="B69" s="12" t="str">
        <x:v>基准恒等｜1 USD</x:v>
      </x:c>
      <x:c r="C69" s="12" t="str">
        <x:v>年均｜FRB_GBP｜1983</x:v>
      </x:c>
      <x:c r="D69" s="12" t="str">
        <x:v>年均｜FRB_CAD｜1983</x:v>
      </x:c>
      <x:c r="E69" s="12" t="str">
        <x:v>年均｜OECD_FR｜1983</x:v>
      </x:c>
      <x:c r="F69" s="12" t="str">
        <x:v>年均｜OECD_DE｜1983</x:v>
      </x:c>
      <x:c r="G69" s="12" t="str">
        <x:v>年均｜OECD_IT｜1983</x:v>
      </x:c>
      <x:c r="H69" s="12" t="str">
        <x:v>年均｜FRB_JPY｜1983</x:v>
      </x:c>
      <x:c r="I69" s="12" t="str">
        <x:v>年均｜FRB_CHF｜1983</x:v>
      </x:c>
      <x:c r="J69" s="12" t="str">
        <x:v>年均｜FRB_INR｜1983</x:v>
      </x:c>
      <x:c r="K69" s="12" t="str">
        <x:v>定点官价参考（非年均）｜SUR_OFFICIAL_SECONDARY｜1983-01-13</x:v>
      </x:c>
      <x:c r="L69" s="12" t="str">
        <x:v>年均｜FRB_CNY｜1983</x:v>
      </x:c>
      <x:c r="M69" s="12" t="str">
        <x:v>德国地区代理；非欧元｜年均｜OECD_DE｜1983</x:v>
      </x:c>
      <x:c r="N69" s="12" t="str">
        <x:v>卢布含官价参考；欧元栏为德国代理</x:v>
      </x:c>
    </x:row>
    <x:row r="70" ht="66" customHeight="1">
      <x:c r="A70" t="n">
        <x:v>1984</x:v>
      </x:c>
      <x:c r="B70" s="12" t="str">
        <x:v>基准恒等｜1 USD</x:v>
      </x:c>
      <x:c r="C70" s="12" t="str">
        <x:v>年均｜FRB_GBP｜1984</x:v>
      </x:c>
      <x:c r="D70" s="12" t="str">
        <x:v>年均｜FRB_CAD｜1984</x:v>
      </x:c>
      <x:c r="E70" s="12" t="str">
        <x:v>年均｜OECD_FR｜1984</x:v>
      </x:c>
      <x:c r="F70" s="12" t="str">
        <x:v>年均｜OECD_DE｜1984</x:v>
      </x:c>
      <x:c r="G70" s="12" t="str">
        <x:v>年均｜OECD_IT｜1984</x:v>
      </x:c>
      <x:c r="H70" s="12" t="str">
        <x:v>年均｜FRB_JPY｜1984</x:v>
      </x:c>
      <x:c r="I70" s="12" t="str">
        <x:v>年均｜FRB_CHF｜1984</x:v>
      </x:c>
      <x:c r="J70" s="12" t="str">
        <x:v>年均｜FRB_INR｜1984</x:v>
      </x:c>
      <x:c r="K70" s="12" t="str">
        <x:v>定点官价参考（非年均）｜SUR_OFFICIAL_SECONDARY｜1984-01-01</x:v>
      </x:c>
      <x:c r="L70" s="12" t="str">
        <x:v>年均｜FRB_CNY｜1984</x:v>
      </x:c>
      <x:c r="M70" s="12" t="str">
        <x:v>德国地区代理；非欧元｜年均｜OECD_DE｜1984</x:v>
      </x:c>
      <x:c r="N70" s="12" t="str">
        <x:v>卢布含官价参考；欧元栏为德国代理</x:v>
      </x:c>
    </x:row>
    <x:row r="71" ht="66" customHeight="1">
      <x:c r="A71" t="n">
        <x:v>1985</x:v>
      </x:c>
      <x:c r="B71" s="12" t="str">
        <x:v>基准恒等｜1 USD</x:v>
      </x:c>
      <x:c r="C71" s="12" t="str">
        <x:v>年均｜FRB_GBP｜1985</x:v>
      </x:c>
      <x:c r="D71" s="12" t="str">
        <x:v>年均｜FRB_CAD｜1985</x:v>
      </x:c>
      <x:c r="E71" s="12" t="str">
        <x:v>年均｜OECD_FR｜1985</x:v>
      </x:c>
      <x:c r="F71" s="12" t="str">
        <x:v>年均｜OECD_DE｜1985</x:v>
      </x:c>
      <x:c r="G71" s="12" t="str">
        <x:v>年均｜OECD_IT｜1985</x:v>
      </x:c>
      <x:c r="H71" s="12" t="str">
        <x:v>年均｜FRB_JPY｜1985</x:v>
      </x:c>
      <x:c r="I71" s="12" t="str">
        <x:v>年均｜FRB_CHF｜1985</x:v>
      </x:c>
      <x:c r="J71" s="12" t="str">
        <x:v>年均｜FRB_INR｜1985</x:v>
      </x:c>
      <x:c r="K71" s="12" t="str">
        <x:v>定点官价参考（非年均）｜SUR_OFFICIAL_SECONDARY｜1985-02-28</x:v>
      </x:c>
      <x:c r="L71" s="12" t="str">
        <x:v>年均｜FRB_CNY｜1985</x:v>
      </x:c>
      <x:c r="M71" s="12" t="str">
        <x:v>德国地区代理；非欧元｜年均｜OECD_DE｜1985</x:v>
      </x:c>
      <x:c r="N71" s="12" t="str">
        <x:v>卢布含官价参考；欧元栏为德国代理</x:v>
      </x:c>
    </x:row>
    <x:row r="72" ht="66" customHeight="1">
      <x:c r="A72" t="n">
        <x:v>1986</x:v>
      </x:c>
      <x:c r="B72" s="12" t="str">
        <x:v>基准恒等｜1 USD</x:v>
      </x:c>
      <x:c r="C72" s="12" t="str">
        <x:v>年均｜FRB_GBP｜1986</x:v>
      </x:c>
      <x:c r="D72" s="12" t="str">
        <x:v>年均｜FRB_CAD｜1986</x:v>
      </x:c>
      <x:c r="E72" s="12" t="str">
        <x:v>年均｜OECD_FR｜1986</x:v>
      </x:c>
      <x:c r="F72" s="12" t="str">
        <x:v>年均｜OECD_DE｜1986</x:v>
      </x:c>
      <x:c r="G72" s="12" t="str">
        <x:v>年均｜OECD_IT｜1986</x:v>
      </x:c>
      <x:c r="H72" s="12" t="str">
        <x:v>年均｜FRB_JPY｜1986</x:v>
      </x:c>
      <x:c r="I72" s="12" t="str">
        <x:v>年均｜FRB_CHF｜1986</x:v>
      </x:c>
      <x:c r="J72" s="12" t="str">
        <x:v>年均｜FRB_INR｜1986</x:v>
      </x:c>
      <x:c r="K72" s="12" t="str">
        <x:v>定点官价参考（非年均）｜SUR_OFFICIAL_SECONDARY｜1986-01-01</x:v>
      </x:c>
      <x:c r="L72" s="12" t="str">
        <x:v>年均｜FRB_CNY｜1986</x:v>
      </x:c>
      <x:c r="M72" s="12" t="str">
        <x:v>德国地区代理；非欧元｜年均｜OECD_DE｜1986</x:v>
      </x:c>
      <x:c r="N72" s="12" t="str">
        <x:v>卢布含官价参考；欧元栏为德国代理</x:v>
      </x:c>
    </x:row>
    <x:row r="73" ht="66" customHeight="1">
      <x:c r="A73" t="n">
        <x:v>1987</x:v>
      </x:c>
      <x:c r="B73" s="12" t="str">
        <x:v>基准恒等｜1 USD</x:v>
      </x:c>
      <x:c r="C73" s="12" t="str">
        <x:v>年均｜FRB_GBP｜1987</x:v>
      </x:c>
      <x:c r="D73" s="12" t="str">
        <x:v>年均｜FRB_CAD｜1987</x:v>
      </x:c>
      <x:c r="E73" s="12" t="str">
        <x:v>年均｜OECD_FR｜1987</x:v>
      </x:c>
      <x:c r="F73" s="12" t="str">
        <x:v>年均｜OECD_DE｜1987</x:v>
      </x:c>
      <x:c r="G73" s="12" t="str">
        <x:v>年均｜OECD_IT｜1987</x:v>
      </x:c>
      <x:c r="H73" s="12" t="str">
        <x:v>年均｜FRB_JPY｜1987</x:v>
      </x:c>
      <x:c r="I73" s="12" t="str">
        <x:v>年均｜FRB_CHF｜1987</x:v>
      </x:c>
      <x:c r="J73" s="12" t="str">
        <x:v>年均｜FRB_INR｜1987</x:v>
      </x:c>
      <x:c r="K73" s="12" t="str">
        <x:v>定点官价参考（非年均）｜SUR_OFFICIAL_SECONDARY｜1987-01-01</x:v>
      </x:c>
      <x:c r="L73" s="12" t="str">
        <x:v>年均｜FRB_CNY｜1987</x:v>
      </x:c>
      <x:c r="M73" s="12" t="str">
        <x:v>德国地区代理；非欧元｜年均｜OECD_DE｜1987</x:v>
      </x:c>
      <x:c r="N73" s="12" t="str">
        <x:v>卢布含官价参考；欧元栏为德国代理</x:v>
      </x:c>
    </x:row>
    <x:row r="74" ht="66" customHeight="1">
      <x:c r="A74" t="n">
        <x:v>1988</x:v>
      </x:c>
      <x:c r="B74" s="12" t="str">
        <x:v>基准恒等｜1 USD</x:v>
      </x:c>
      <x:c r="C74" s="12" t="str">
        <x:v>年均｜FRB_GBP｜1988</x:v>
      </x:c>
      <x:c r="D74" s="12" t="str">
        <x:v>年均｜FRB_CAD｜1988</x:v>
      </x:c>
      <x:c r="E74" s="12" t="str">
        <x:v>年均｜OECD_FR｜1988</x:v>
      </x:c>
      <x:c r="F74" s="12" t="str">
        <x:v>年均｜OECD_DE｜1988</x:v>
      </x:c>
      <x:c r="G74" s="12" t="str">
        <x:v>年均｜OECD_IT｜1988</x:v>
      </x:c>
      <x:c r="H74" s="12" t="str">
        <x:v>年均｜FRB_JPY｜1988</x:v>
      </x:c>
      <x:c r="I74" s="12" t="str">
        <x:v>年均｜FRB_CHF｜1988</x:v>
      </x:c>
      <x:c r="J74" s="12" t="str">
        <x:v>年均｜FRB_INR｜1988</x:v>
      </x:c>
      <x:c r="K74" s="12" t="str">
        <x:v>定点官价参考（非年均）｜SUR_OFFICIAL_SECONDARY｜1988-01-06</x:v>
      </x:c>
      <x:c r="L74" s="12" t="str">
        <x:v>年均｜FRB_CNY｜1988</x:v>
      </x:c>
      <x:c r="M74" s="12" t="str">
        <x:v>德国地区代理；非欧元｜年均｜OECD_DE｜1988</x:v>
      </x:c>
      <x:c r="N74" s="12" t="str">
        <x:v>卢布含官价参考；欧元栏为德国代理</x:v>
      </x:c>
    </x:row>
    <x:row r="75" ht="66" customHeight="1">
      <x:c r="A75" t="n">
        <x:v>1989</x:v>
      </x:c>
      <x:c r="B75" s="12" t="str">
        <x:v>基准恒等｜1 USD</x:v>
      </x:c>
      <x:c r="C75" s="12" t="str">
        <x:v>年均｜FRB_GBP｜1989</x:v>
      </x:c>
      <x:c r="D75" s="12" t="str">
        <x:v>年均｜FRB_CAD｜1989</x:v>
      </x:c>
      <x:c r="E75" s="12" t="str">
        <x:v>年均｜OECD_FR｜1989</x:v>
      </x:c>
      <x:c r="F75" s="12" t="str">
        <x:v>年均｜OECD_DE｜1989</x:v>
      </x:c>
      <x:c r="G75" s="12" t="str">
        <x:v>年均｜OECD_IT｜1989</x:v>
      </x:c>
      <x:c r="H75" s="12" t="str">
        <x:v>年均｜FRB_JPY｜1989</x:v>
      </x:c>
      <x:c r="I75" s="12" t="str">
        <x:v>年均｜FRB_CHF｜1989</x:v>
      </x:c>
      <x:c r="J75" s="12" t="str">
        <x:v>年均｜FRB_INR｜1989</x:v>
      </x:c>
      <x:c r="K75" s="12" t="str">
        <x:v>定点官价参考（非年均）｜SUR_OFFICIAL_SECONDARY｜1989-01-04</x:v>
      </x:c>
      <x:c r="L75" s="12" t="str">
        <x:v>年均｜FRB_CNY｜1989</x:v>
      </x:c>
      <x:c r="M75" s="12" t="str">
        <x:v>德国地区代理；非欧元｜年均｜OECD_DE｜1989</x:v>
      </x:c>
      <x:c r="N75" s="12" t="str">
        <x:v>卢布含官价参考；欧元栏为德国代理</x:v>
      </x:c>
    </x:row>
    <x:row r="76" ht="66" customHeight="1">
      <x:c r="A76" t="n">
        <x:v>1990</x:v>
      </x:c>
      <x:c r="B76" s="12" t="str">
        <x:v>基准恒等｜1 USD</x:v>
      </x:c>
      <x:c r="C76" s="12" t="str">
        <x:v>年均｜FRB_GBP｜1990</x:v>
      </x:c>
      <x:c r="D76" s="12" t="str">
        <x:v>年均｜FRB_CAD｜1990</x:v>
      </x:c>
      <x:c r="E76" s="12" t="str">
        <x:v>年均｜OECD_FR｜1990</x:v>
      </x:c>
      <x:c r="F76" s="12" t="str">
        <x:v>年均｜OECD_DE｜1990</x:v>
      </x:c>
      <x:c r="G76" s="12" t="str">
        <x:v>年均｜OECD_IT｜1990</x:v>
      </x:c>
      <x:c r="H76" s="12" t="str">
        <x:v>年均｜FRB_JPY｜1990</x:v>
      </x:c>
      <x:c r="I76" s="12" t="str">
        <x:v>年均｜FRB_CHF｜1990</x:v>
      </x:c>
      <x:c r="J76" s="12" t="str">
        <x:v>年均｜FRB_INR｜1990</x:v>
      </x:c>
      <x:c r="K76" s="12" t="str">
        <x:v>定点官价参考（非年均）｜SUR_OFFICIAL_SECONDARY｜1990-01-03</x:v>
      </x:c>
      <x:c r="L76" s="12" t="str">
        <x:v>年均｜FRB_CNY｜1990</x:v>
      </x:c>
      <x:c r="M76" s="12" t="str">
        <x:v>德国地区代理；非欧元｜年均｜OECD_DE｜1990</x:v>
      </x:c>
      <x:c r="N76" s="12" t="str">
        <x:v>卢布含官价参考；欧元栏为德国代理</x:v>
      </x:c>
    </x:row>
    <x:row r="77" ht="66" customHeight="1">
      <x:c r="A77" t="n">
        <x:v>1991</x:v>
      </x:c>
      <x:c r="B77" s="12" t="str">
        <x:v>基准恒等｜1 USD</x:v>
      </x:c>
      <x:c r="C77" s="12" t="str">
        <x:v>年均｜FRB_GBP｜1991</x:v>
      </x:c>
      <x:c r="D77" s="12" t="str">
        <x:v>年均｜FRB_CAD｜1991</x:v>
      </x:c>
      <x:c r="E77" s="12" t="str">
        <x:v>年均｜OECD_FR｜1991</x:v>
      </x:c>
      <x:c r="F77" s="12" t="str">
        <x:v>年均｜OECD_DE｜1991</x:v>
      </x:c>
      <x:c r="G77" s="12" t="str">
        <x:v>年均｜OECD_IT｜1991</x:v>
      </x:c>
      <x:c r="H77" s="12" t="str">
        <x:v>年均｜FRB_JPY｜1991</x:v>
      </x:c>
      <x:c r="I77" s="12" t="str">
        <x:v>年均｜FRB_CHF｜1991</x:v>
      </x:c>
      <x:c r="J77" s="12" t="str">
        <x:v>年均｜FRB_INR｜1991</x:v>
      </x:c>
      <x:c r="K77" s="12" t="str">
        <x:v>定点官价参考（非年均）｜SUR_OFFICIAL_SECONDARY｜1991-01-02</x:v>
      </x:c>
      <x:c r="L77" s="12" t="str">
        <x:v>年均｜FRB_CNY｜1991</x:v>
      </x:c>
      <x:c r="M77" s="12" t="str">
        <x:v>德国地区代理；非欧元｜年均｜OECD_DE｜1991</x:v>
      </x:c>
      <x:c r="N77" s="12" t="str">
        <x:v>卢布含官价参考；欧元栏为德国代理</x:v>
      </x:c>
    </x:row>
    <x:row r="78" ht="66" customHeight="1">
      <x:c r="A78" t="n">
        <x:v>1992</x:v>
      </x:c>
      <x:c r="B78" s="12" t="str">
        <x:v>基准恒等｜1 USD</x:v>
      </x:c>
      <x:c r="C78" s="12" t="str">
        <x:v>年均｜FRB_GBP｜1992</x:v>
      </x:c>
      <x:c r="D78" s="12" t="str">
        <x:v>年均｜FRB_CAD｜1992</x:v>
      </x:c>
      <x:c r="E78" s="12" t="str">
        <x:v>年均｜OECD_FR｜1992</x:v>
      </x:c>
      <x:c r="F78" s="12" t="str">
        <x:v>年均｜OECD_DE｜1992</x:v>
      </x:c>
      <x:c r="G78" s="12" t="str">
        <x:v>年均｜OECD_IT｜1992</x:v>
      </x:c>
      <x:c r="H78" s="12" t="str">
        <x:v>年均｜FRB_JPY｜1992</x:v>
      </x:c>
      <x:c r="I78" s="12" t="str">
        <x:v>年均｜FRB_CHF｜1992</x:v>
      </x:c>
      <x:c r="J78" s="12" t="str">
        <x:v>年均｜FRB_INR｜1992</x:v>
      </x:c>
      <x:c r="K78" s="12" t="str">
        <x:v>定点官价参考（非年均）｜SUR_OFFICIAL_SECONDARY｜1992-01-01</x:v>
      </x:c>
      <x:c r="L78" s="12" t="str">
        <x:v>年均｜FRB_CNY｜1992</x:v>
      </x:c>
      <x:c r="M78" s="12" t="str">
        <x:v>德国地区代理；非欧元｜年均｜OECD_DE｜1992</x:v>
      </x:c>
      <x:c r="N78" s="12" t="str">
        <x:v>卢布含官价参考；欧元栏为德国代理</x:v>
      </x:c>
    </x:row>
    <x:row r="79" ht="66" customHeight="1">
      <x:c r="A79" t="n">
        <x:v>1993</x:v>
      </x:c>
      <x:c r="B79" s="12" t="str">
        <x:v>基准恒等｜1 USD</x:v>
      </x:c>
      <x:c r="C79" s="12" t="str">
        <x:v>年均｜FRB_GBP｜1993</x:v>
      </x:c>
      <x:c r="D79" s="12" t="str">
        <x:v>年均｜FRB_CAD｜1993</x:v>
      </x:c>
      <x:c r="E79" s="12" t="str">
        <x:v>年均｜OECD_FR｜1993</x:v>
      </x:c>
      <x:c r="F79" s="12" t="str">
        <x:v>年均｜OECD_DE｜1993</x:v>
      </x:c>
      <x:c r="G79" s="12" t="str">
        <x:v>年均｜OECD_IT｜1993</x:v>
      </x:c>
      <x:c r="H79" s="12" t="str">
        <x:v>年均｜FRB_JPY｜1993</x:v>
      </x:c>
      <x:c r="I79" s="12" t="str">
        <x:v>年均｜FRB_CHF｜1993</x:v>
      </x:c>
      <x:c r="J79" s="12" t="str">
        <x:v>年均｜FRB_INR｜1993</x:v>
      </x:c>
      <x:c r="K79" s="12" t="str">
        <x:v>年均｜OECD_RUB｜1993</x:v>
      </x:c>
      <x:c r="L79" s="12" t="str">
        <x:v>年均｜FRB_CNY｜1993</x:v>
      </x:c>
      <x:c r="M79" s="12" t="str">
        <x:v>德国地区代理；非欧元｜年均｜OECD_DE｜1993</x:v>
      </x:c>
      <x:c r="N79" s="12" t="str">
        <x:v>欧元栏为德国代理</x:v>
      </x:c>
    </x:row>
    <x:row r="80" ht="66" customHeight="1">
      <x:c r="A80" t="n">
        <x:v>1994</x:v>
      </x:c>
      <x:c r="B80" s="12" t="str">
        <x:v>基准恒等｜1 USD</x:v>
      </x:c>
      <x:c r="C80" s="12" t="str">
        <x:v>年均｜FRB_GBP｜1994</x:v>
      </x:c>
      <x:c r="D80" s="12" t="str">
        <x:v>年均｜FRB_CAD｜1994</x:v>
      </x:c>
      <x:c r="E80" s="12" t="str">
        <x:v>年均｜OECD_FR｜1994</x:v>
      </x:c>
      <x:c r="F80" s="12" t="str">
        <x:v>年均｜OECD_DE｜1994</x:v>
      </x:c>
      <x:c r="G80" s="12" t="str">
        <x:v>年均｜OECD_IT｜1994</x:v>
      </x:c>
      <x:c r="H80" s="12" t="str">
        <x:v>年均｜FRB_JPY｜1994</x:v>
      </x:c>
      <x:c r="I80" s="12" t="str">
        <x:v>年均｜FRB_CHF｜1994</x:v>
      </x:c>
      <x:c r="J80" s="12" t="str">
        <x:v>年均｜FRB_INR｜1994</x:v>
      </x:c>
      <x:c r="K80" s="12" t="str">
        <x:v>年均｜OECD_RUB｜1994</x:v>
      </x:c>
      <x:c r="L80" s="12" t="str">
        <x:v>年均｜FRB_CNY｜1994</x:v>
      </x:c>
      <x:c r="M80" s="12" t="str">
        <x:v>德国地区代理；非欧元｜年均｜OECD_DE｜1994</x:v>
      </x:c>
      <x:c r="N80" s="12" t="str">
        <x:v>欧元栏为德国代理</x:v>
      </x:c>
    </x:row>
    <x:row r="81" ht="66" customHeight="1">
      <x:c r="A81" t="n">
        <x:v>1995</x:v>
      </x:c>
      <x:c r="B81" s="12" t="str">
        <x:v>基准恒等｜1 USD</x:v>
      </x:c>
      <x:c r="C81" s="12" t="str">
        <x:v>年均｜FRB_GBP｜1995</x:v>
      </x:c>
      <x:c r="D81" s="12" t="str">
        <x:v>年均｜FRB_CAD｜1995</x:v>
      </x:c>
      <x:c r="E81" s="12" t="str">
        <x:v>年均｜OECD_FR｜1995</x:v>
      </x:c>
      <x:c r="F81" s="12" t="str">
        <x:v>年均｜OECD_DE｜1995</x:v>
      </x:c>
      <x:c r="G81" s="12" t="str">
        <x:v>年均｜OECD_IT｜1995</x:v>
      </x:c>
      <x:c r="H81" s="12" t="str">
        <x:v>年均｜FRB_JPY｜1995</x:v>
      </x:c>
      <x:c r="I81" s="12" t="str">
        <x:v>年均｜FRB_CHF｜1995</x:v>
      </x:c>
      <x:c r="J81" s="12" t="str">
        <x:v>年均｜FRB_INR｜1995</x:v>
      </x:c>
      <x:c r="K81" s="12" t="str">
        <x:v>年均｜OECD_RUB｜1995</x:v>
      </x:c>
      <x:c r="L81" s="12" t="str">
        <x:v>年均｜FRB_CNY｜1995</x:v>
      </x:c>
      <x:c r="M81" s="12" t="str">
        <x:v>德国地区代理；非欧元｜年均｜OECD_DE｜1995</x:v>
      </x:c>
      <x:c r="N81" s="12" t="str">
        <x:v>欧元栏为德国代理</x:v>
      </x:c>
    </x:row>
    <x:row r="82" ht="66" customHeight="1">
      <x:c r="A82" t="n">
        <x:v>1996</x:v>
      </x:c>
      <x:c r="B82" s="12" t="str">
        <x:v>基准恒等｜1 USD</x:v>
      </x:c>
      <x:c r="C82" s="12" t="str">
        <x:v>年均｜FRB_GBP｜1996</x:v>
      </x:c>
      <x:c r="D82" s="12" t="str">
        <x:v>年均｜FRB_CAD｜1996</x:v>
      </x:c>
      <x:c r="E82" s="12" t="str">
        <x:v>年均｜OECD_FR｜1996</x:v>
      </x:c>
      <x:c r="F82" s="12" t="str">
        <x:v>年均｜OECD_DE｜1996</x:v>
      </x:c>
      <x:c r="G82" s="12" t="str">
        <x:v>年均｜OECD_IT｜1996</x:v>
      </x:c>
      <x:c r="H82" s="12" t="str">
        <x:v>年均｜FRB_JPY｜1996</x:v>
      </x:c>
      <x:c r="I82" s="12" t="str">
        <x:v>年均｜FRB_CHF｜1996</x:v>
      </x:c>
      <x:c r="J82" s="12" t="str">
        <x:v>年均｜FRB_INR｜1996</x:v>
      </x:c>
      <x:c r="K82" s="12" t="str">
        <x:v>年均｜OECD_RUB｜1996</x:v>
      </x:c>
      <x:c r="L82" s="12" t="str">
        <x:v>年均｜FRB_CNY｜1996</x:v>
      </x:c>
      <x:c r="M82" s="12" t="str">
        <x:v>德国地区代理；非欧元｜年均｜OECD_DE｜1996</x:v>
      </x:c>
      <x:c r="N82" s="12" t="str">
        <x:v>欧元栏为德国代理</x:v>
      </x:c>
    </x:row>
    <x:row r="83" ht="66" customHeight="1">
      <x:c r="A83" t="n">
        <x:v>1997</x:v>
      </x:c>
      <x:c r="B83" s="12" t="str">
        <x:v>基准恒等｜1 USD</x:v>
      </x:c>
      <x:c r="C83" s="12" t="str">
        <x:v>年均｜FRB_GBP｜1997</x:v>
      </x:c>
      <x:c r="D83" s="12" t="str">
        <x:v>年均｜FRB_CAD｜1997</x:v>
      </x:c>
      <x:c r="E83" s="12" t="str">
        <x:v>年均｜OECD_FR｜1997</x:v>
      </x:c>
      <x:c r="F83" s="12" t="str">
        <x:v>年均｜OECD_DE｜1997</x:v>
      </x:c>
      <x:c r="G83" s="12" t="str">
        <x:v>年均｜OECD_IT｜1997</x:v>
      </x:c>
      <x:c r="H83" s="12" t="str">
        <x:v>年均｜FRB_JPY｜1997</x:v>
      </x:c>
      <x:c r="I83" s="12" t="str">
        <x:v>年均｜FRB_CHF｜1997</x:v>
      </x:c>
      <x:c r="J83" s="12" t="str">
        <x:v>年均｜FRB_INR｜1997</x:v>
      </x:c>
      <x:c r="K83" s="12" t="str">
        <x:v>年均｜OECD_RUB｜1997</x:v>
      </x:c>
      <x:c r="L83" s="12" t="str">
        <x:v>年均｜FRB_CNY｜1997</x:v>
      </x:c>
      <x:c r="M83" s="12" t="str">
        <x:v>德国地区代理；非欧元｜年均｜OECD_DE｜1997</x:v>
      </x:c>
      <x:c r="N83" s="12" t="str">
        <x:v>欧元栏为德国代理</x:v>
      </x:c>
    </x:row>
    <x:row r="84" ht="66" customHeight="1">
      <x:c r="A84" t="n">
        <x:v>1998</x:v>
      </x:c>
      <x:c r="B84" s="12" t="str">
        <x:v>基准恒等｜1 USD</x:v>
      </x:c>
      <x:c r="C84" s="12" t="str">
        <x:v>年均｜FRB_GBP｜1998</x:v>
      </x:c>
      <x:c r="D84" s="12" t="str">
        <x:v>年均｜FRB_CAD｜1998</x:v>
      </x:c>
      <x:c r="E84" s="12" t="str">
        <x:v>年均｜OECD_FR｜1998</x:v>
      </x:c>
      <x:c r="F84" s="12" t="str">
        <x:v>年均｜OECD_DE｜1998</x:v>
      </x:c>
      <x:c r="G84" s="12" t="str">
        <x:v>年均｜OECD_IT｜1998</x:v>
      </x:c>
      <x:c r="H84" s="12" t="str">
        <x:v>年均｜FRB_JPY｜1998</x:v>
      </x:c>
      <x:c r="I84" s="12" t="str">
        <x:v>年均｜FRB_CHF｜1998</x:v>
      </x:c>
      <x:c r="J84" s="12" t="str">
        <x:v>年均｜FRB_INR｜1998</x:v>
      </x:c>
      <x:c r="K84" s="12" t="str">
        <x:v>年均｜OECD_RUB｜1998</x:v>
      </x:c>
      <x:c r="L84" s="12" t="str">
        <x:v>年均｜FRB_CNY｜1998</x:v>
      </x:c>
      <x:c r="M84" s="12" t="str">
        <x:v>德国地区代理；非欧元｜年均｜OECD_DE｜1998</x:v>
      </x:c>
      <x:c r="N84" s="12" t="str">
        <x:v>欧元栏为德国代理</x:v>
      </x:c>
    </x:row>
    <x:row r="85" ht="66" customHeight="1">
      <x:c r="A85" t="n">
        <x:v>1999</x:v>
      </x:c>
      <x:c r="B85" s="12" t="str">
        <x:v>基准恒等｜1 USD</x:v>
      </x:c>
      <x:c r="C85" s="12" t="str">
        <x:v>年均｜FRB_GBP｜1999</x:v>
      </x:c>
      <x:c r="D85" s="12" t="str">
        <x:v>年均｜FRB_CAD｜1999</x:v>
      </x:c>
      <x:c r="E85" s="12" t="str">
        <x:v>使用EUR｜年均｜FRB_EUR｜1999</x:v>
      </x:c>
      <x:c r="F85" s="12" t="str">
        <x:v>使用EUR｜年均｜FRB_EUR｜1999</x:v>
      </x:c>
      <x:c r="G85" s="12" t="str">
        <x:v>使用EUR｜年均｜FRB_EUR｜1999</x:v>
      </x:c>
      <x:c r="H85" s="12" t="str">
        <x:v>年均｜FRB_JPY｜1999</x:v>
      </x:c>
      <x:c r="I85" s="12" t="str">
        <x:v>年均｜FRB_CHF｜1999</x:v>
      </x:c>
      <x:c r="J85" s="12" t="str">
        <x:v>年均｜FRB_INR｜1999</x:v>
      </x:c>
      <x:c r="K85" s="12" t="str">
        <x:v>年均｜OECD_RUB｜1999</x:v>
      </x:c>
      <x:c r="L85" s="12" t="str">
        <x:v>年均｜FRB_CNY｜1999</x:v>
      </x:c>
      <x:c r="M85" s="12" t="str">
        <x:v>年均｜FRB_EUR｜1999</x:v>
      </x:c>
      <x:c r="N85" s="12" t="str">
        <x:v>全年；请仍核对币名与原始口径</x:v>
      </x:c>
    </x:row>
    <x:row r="86" ht="66" customHeight="1">
      <x:c r="A86" t="n">
        <x:v>2000</x:v>
      </x:c>
      <x:c r="B86" s="12" t="str">
        <x:v>基准恒等｜1 USD</x:v>
      </x:c>
      <x:c r="C86" s="12" t="str">
        <x:v>年均｜FRB_GBP｜2000</x:v>
      </x:c>
      <x:c r="D86" s="12" t="str">
        <x:v>年均｜FRB_CAD｜2000</x:v>
      </x:c>
      <x:c r="E86" s="12" t="str">
        <x:v>使用EUR｜年均｜FRB_EUR｜2000</x:v>
      </x:c>
      <x:c r="F86" s="12" t="str">
        <x:v>使用EUR｜年均｜FRB_EUR｜2000</x:v>
      </x:c>
      <x:c r="G86" s="12" t="str">
        <x:v>使用EUR｜年均｜FRB_EUR｜2000</x:v>
      </x:c>
      <x:c r="H86" s="12" t="str">
        <x:v>年均｜FRB_JPY｜2000</x:v>
      </x:c>
      <x:c r="I86" s="12" t="str">
        <x:v>年均｜FRB_CHF｜2000</x:v>
      </x:c>
      <x:c r="J86" s="12" t="str">
        <x:v>年均｜FRB_INR｜2000</x:v>
      </x:c>
      <x:c r="K86" s="12" t="str">
        <x:v>年均｜OECD_RUB｜2000</x:v>
      </x:c>
      <x:c r="L86" s="12" t="str">
        <x:v>年均｜FRB_CNY｜2000</x:v>
      </x:c>
      <x:c r="M86" s="12" t="str">
        <x:v>年均｜FRB_EUR｜2000</x:v>
      </x:c>
      <x:c r="N86" s="12" t="str">
        <x:v>全年；请仍核对币名与原始口径</x:v>
      </x:c>
    </x:row>
    <x:row r="87" ht="66" customHeight="1">
      <x:c r="A87" t="n">
        <x:v>2001</x:v>
      </x:c>
      <x:c r="B87" s="12" t="str">
        <x:v>基准恒等｜1 USD</x:v>
      </x:c>
      <x:c r="C87" s="12" t="str">
        <x:v>年均｜FRB_GBP｜2001</x:v>
      </x:c>
      <x:c r="D87" s="12" t="str">
        <x:v>年均｜FRB_CAD｜2001</x:v>
      </x:c>
      <x:c r="E87" s="12" t="str">
        <x:v>使用EUR｜年均｜FRB_EUR｜2001</x:v>
      </x:c>
      <x:c r="F87" s="12" t="str">
        <x:v>使用EUR｜年均｜FRB_EUR｜2001</x:v>
      </x:c>
      <x:c r="G87" s="12" t="str">
        <x:v>使用EUR｜年均｜FRB_EUR｜2001</x:v>
      </x:c>
      <x:c r="H87" s="12" t="str">
        <x:v>年均｜FRB_JPY｜2001</x:v>
      </x:c>
      <x:c r="I87" s="12" t="str">
        <x:v>年均｜FRB_CHF｜2001</x:v>
      </x:c>
      <x:c r="J87" s="12" t="str">
        <x:v>年均｜FRB_INR｜2001</x:v>
      </x:c>
      <x:c r="K87" s="12" t="str">
        <x:v>年均｜OECD_RUB｜2001</x:v>
      </x:c>
      <x:c r="L87" s="12" t="str">
        <x:v>年均｜FRB_CNY｜2001</x:v>
      </x:c>
      <x:c r="M87" s="12" t="str">
        <x:v>年均｜FRB_EUR｜2001</x:v>
      </x:c>
      <x:c r="N87" s="12" t="str">
        <x:v>全年；请仍核对币名与原始口径</x:v>
      </x:c>
    </x:row>
    <x:row r="88" ht="66" customHeight="1">
      <x:c r="A88" t="n">
        <x:v>2002</x:v>
      </x:c>
      <x:c r="B88" s="12" t="str">
        <x:v>基准恒等｜1 USD</x:v>
      </x:c>
      <x:c r="C88" s="12" t="str">
        <x:v>年均｜FRB_GBP｜2002</x:v>
      </x:c>
      <x:c r="D88" s="12" t="str">
        <x:v>年均｜FRB_CAD｜2002</x:v>
      </x:c>
      <x:c r="E88" s="12" t="str">
        <x:v>使用EUR｜年均｜FRB_EUR｜2002</x:v>
      </x:c>
      <x:c r="F88" s="12" t="str">
        <x:v>使用EUR｜年均｜FRB_EUR｜2002</x:v>
      </x:c>
      <x:c r="G88" s="12" t="str">
        <x:v>使用EUR｜年均｜FRB_EUR｜2002</x:v>
      </x:c>
      <x:c r="H88" s="12" t="str">
        <x:v>年均｜FRB_JPY｜2002</x:v>
      </x:c>
      <x:c r="I88" s="12" t="str">
        <x:v>年均｜FRB_CHF｜2002</x:v>
      </x:c>
      <x:c r="J88" s="12" t="str">
        <x:v>年均｜FRB_INR｜2002</x:v>
      </x:c>
      <x:c r="K88" s="12" t="str">
        <x:v>年均｜OECD_RUB｜2002</x:v>
      </x:c>
      <x:c r="L88" s="12" t="str">
        <x:v>年均｜FRB_CNY｜2002</x:v>
      </x:c>
      <x:c r="M88" s="12" t="str">
        <x:v>年均｜FRB_EUR｜2002</x:v>
      </x:c>
      <x:c r="N88" s="12" t="str">
        <x:v>全年；请仍核对币名与原始口径</x:v>
      </x:c>
    </x:row>
    <x:row r="89" ht="66" customHeight="1">
      <x:c r="A89" t="n">
        <x:v>2003</x:v>
      </x:c>
      <x:c r="B89" s="12" t="str">
        <x:v>基准恒等｜1 USD</x:v>
      </x:c>
      <x:c r="C89" s="12" t="str">
        <x:v>年均｜FRB_GBP｜2003</x:v>
      </x:c>
      <x:c r="D89" s="12" t="str">
        <x:v>年均｜FRB_CAD｜2003</x:v>
      </x:c>
      <x:c r="E89" s="12" t="str">
        <x:v>使用EUR｜年均｜FRB_EUR｜2003</x:v>
      </x:c>
      <x:c r="F89" s="12" t="str">
        <x:v>使用EUR｜年均｜FRB_EUR｜2003</x:v>
      </x:c>
      <x:c r="G89" s="12" t="str">
        <x:v>使用EUR｜年均｜FRB_EUR｜2003</x:v>
      </x:c>
      <x:c r="H89" s="12" t="str">
        <x:v>年均｜FRB_JPY｜2003</x:v>
      </x:c>
      <x:c r="I89" s="12" t="str">
        <x:v>年均｜FRB_CHF｜2003</x:v>
      </x:c>
      <x:c r="J89" s="12" t="str">
        <x:v>年均｜FRB_INR｜2003</x:v>
      </x:c>
      <x:c r="K89" s="12" t="str">
        <x:v>年均｜OECD_RUB｜2003</x:v>
      </x:c>
      <x:c r="L89" s="12" t="str">
        <x:v>年均｜FRB_CNY｜2003</x:v>
      </x:c>
      <x:c r="M89" s="12" t="str">
        <x:v>年均｜FRB_EUR｜2003</x:v>
      </x:c>
      <x:c r="N89" s="12" t="str">
        <x:v>全年；请仍核对币名与原始口径</x:v>
      </x:c>
    </x:row>
    <x:row r="90" ht="66" customHeight="1">
      <x:c r="A90" t="n">
        <x:v>2004</x:v>
      </x:c>
      <x:c r="B90" s="12" t="str">
        <x:v>基准恒等｜1 USD</x:v>
      </x:c>
      <x:c r="C90" s="12" t="str">
        <x:v>年均｜FRB_GBP｜2004</x:v>
      </x:c>
      <x:c r="D90" s="12" t="str">
        <x:v>年均｜FRB_CAD｜2004</x:v>
      </x:c>
      <x:c r="E90" s="12" t="str">
        <x:v>使用EUR｜年均｜FRB_EUR｜2004</x:v>
      </x:c>
      <x:c r="F90" s="12" t="str">
        <x:v>使用EUR｜年均｜FRB_EUR｜2004</x:v>
      </x:c>
      <x:c r="G90" s="12" t="str">
        <x:v>使用EUR｜年均｜FRB_EUR｜2004</x:v>
      </x:c>
      <x:c r="H90" s="12" t="str">
        <x:v>年均｜FRB_JPY｜2004</x:v>
      </x:c>
      <x:c r="I90" s="12" t="str">
        <x:v>年均｜FRB_CHF｜2004</x:v>
      </x:c>
      <x:c r="J90" s="12" t="str">
        <x:v>年均｜FRB_INR｜2004</x:v>
      </x:c>
      <x:c r="K90" s="12" t="str">
        <x:v>年均｜OECD_RUB｜2004</x:v>
      </x:c>
      <x:c r="L90" s="12" t="str">
        <x:v>年均｜FRB_CNY｜2004</x:v>
      </x:c>
      <x:c r="M90" s="12" t="str">
        <x:v>年均｜FRB_EUR｜2004</x:v>
      </x:c>
      <x:c r="N90" s="12" t="str">
        <x:v>全年；请仍核对币名与原始口径</x:v>
      </x:c>
    </x:row>
    <x:row r="91" ht="66" customHeight="1">
      <x:c r="A91" t="n">
        <x:v>2005</x:v>
      </x:c>
      <x:c r="B91" s="12" t="str">
        <x:v>基准恒等｜1 USD</x:v>
      </x:c>
      <x:c r="C91" s="12" t="str">
        <x:v>年均｜FRB_GBP｜2005</x:v>
      </x:c>
      <x:c r="D91" s="12" t="str">
        <x:v>年均｜FRB_CAD｜2005</x:v>
      </x:c>
      <x:c r="E91" s="12" t="str">
        <x:v>使用EUR｜年均｜FRB_EUR｜2005</x:v>
      </x:c>
      <x:c r="F91" s="12" t="str">
        <x:v>使用EUR｜年均｜FRB_EUR｜2005</x:v>
      </x:c>
      <x:c r="G91" s="12" t="str">
        <x:v>使用EUR｜年均｜FRB_EUR｜2005</x:v>
      </x:c>
      <x:c r="H91" s="12" t="str">
        <x:v>年均｜FRB_JPY｜2005</x:v>
      </x:c>
      <x:c r="I91" s="12" t="str">
        <x:v>年均｜FRB_CHF｜2005</x:v>
      </x:c>
      <x:c r="J91" s="12" t="str">
        <x:v>年均｜FRB_INR｜2005</x:v>
      </x:c>
      <x:c r="K91" s="12" t="str">
        <x:v>年均｜OECD_RUB｜2005</x:v>
      </x:c>
      <x:c r="L91" s="12" t="str">
        <x:v>年均｜FRB_CNY｜2005</x:v>
      </x:c>
      <x:c r="M91" s="12" t="str">
        <x:v>年均｜FRB_EUR｜2005</x:v>
      </x:c>
      <x:c r="N91" s="12" t="str">
        <x:v>全年；请仍核对币名与原始口径</x:v>
      </x:c>
    </x:row>
    <x:row r="92" ht="66" customHeight="1">
      <x:c r="A92" t="n">
        <x:v>2006</x:v>
      </x:c>
      <x:c r="B92" s="12" t="str">
        <x:v>基准恒等｜1 USD</x:v>
      </x:c>
      <x:c r="C92" s="12" t="str">
        <x:v>年均｜FRB_GBP｜2006</x:v>
      </x:c>
      <x:c r="D92" s="12" t="str">
        <x:v>年均｜FRB_CAD｜2006</x:v>
      </x:c>
      <x:c r="E92" s="12" t="str">
        <x:v>使用EUR｜年均｜FRB_EUR｜2006</x:v>
      </x:c>
      <x:c r="F92" s="12" t="str">
        <x:v>使用EUR｜年均｜FRB_EUR｜2006</x:v>
      </x:c>
      <x:c r="G92" s="12" t="str">
        <x:v>使用EUR｜年均｜FRB_EUR｜2006</x:v>
      </x:c>
      <x:c r="H92" s="12" t="str">
        <x:v>年均｜FRB_JPY｜2006</x:v>
      </x:c>
      <x:c r="I92" s="12" t="str">
        <x:v>年均｜FRB_CHF｜2006</x:v>
      </x:c>
      <x:c r="J92" s="12" t="str">
        <x:v>年均｜FRB_INR｜2006</x:v>
      </x:c>
      <x:c r="K92" s="12" t="str">
        <x:v>年均｜OECD_RUB｜2006</x:v>
      </x:c>
      <x:c r="L92" s="12" t="str">
        <x:v>年均｜FRB_CNY｜2006</x:v>
      </x:c>
      <x:c r="M92" s="12" t="str">
        <x:v>年均｜FRB_EUR｜2006</x:v>
      </x:c>
      <x:c r="N92" s="12" t="str">
        <x:v>全年；请仍核对币名与原始口径</x:v>
      </x:c>
    </x:row>
    <x:row r="93" ht="66" customHeight="1">
      <x:c r="A93" t="n">
        <x:v>2007</x:v>
      </x:c>
      <x:c r="B93" s="12" t="str">
        <x:v>基准恒等｜1 USD</x:v>
      </x:c>
      <x:c r="C93" s="12" t="str">
        <x:v>年均｜FRB_GBP｜2007</x:v>
      </x:c>
      <x:c r="D93" s="12" t="str">
        <x:v>年均｜FRB_CAD｜2007</x:v>
      </x:c>
      <x:c r="E93" s="12" t="str">
        <x:v>使用EUR｜年均｜FRB_EUR｜2007</x:v>
      </x:c>
      <x:c r="F93" s="12" t="str">
        <x:v>使用EUR｜年均｜FRB_EUR｜2007</x:v>
      </x:c>
      <x:c r="G93" s="12" t="str">
        <x:v>使用EUR｜年均｜FRB_EUR｜2007</x:v>
      </x:c>
      <x:c r="H93" s="12" t="str">
        <x:v>年均｜FRB_JPY｜2007</x:v>
      </x:c>
      <x:c r="I93" s="12" t="str">
        <x:v>年均｜FRB_CHF｜2007</x:v>
      </x:c>
      <x:c r="J93" s="12" t="str">
        <x:v>年均｜FRB_INR｜2007</x:v>
      </x:c>
      <x:c r="K93" s="12" t="str">
        <x:v>年均｜OECD_RUB｜2007</x:v>
      </x:c>
      <x:c r="L93" s="12" t="str">
        <x:v>年均｜FRB_CNY｜2007</x:v>
      </x:c>
      <x:c r="M93" s="12" t="str">
        <x:v>年均｜FRB_EUR｜2007</x:v>
      </x:c>
      <x:c r="N93" s="12" t="str">
        <x:v>全年；请仍核对币名与原始口径</x:v>
      </x:c>
    </x:row>
    <x:row r="94" ht="66" customHeight="1">
      <x:c r="A94" t="n">
        <x:v>2008</x:v>
      </x:c>
      <x:c r="B94" s="12" t="str">
        <x:v>基准恒等｜1 USD</x:v>
      </x:c>
      <x:c r="C94" s="12" t="str">
        <x:v>年均｜FRB_GBP｜2008</x:v>
      </x:c>
      <x:c r="D94" s="12" t="str">
        <x:v>年均｜FRB_CAD｜2008</x:v>
      </x:c>
      <x:c r="E94" s="12" t="str">
        <x:v>使用EUR｜年均｜FRB_EUR｜2008</x:v>
      </x:c>
      <x:c r="F94" s="12" t="str">
        <x:v>使用EUR｜年均｜FRB_EUR｜2008</x:v>
      </x:c>
      <x:c r="G94" s="12" t="str">
        <x:v>使用EUR｜年均｜FRB_EUR｜2008</x:v>
      </x:c>
      <x:c r="H94" s="12" t="str">
        <x:v>年均｜FRB_JPY｜2008</x:v>
      </x:c>
      <x:c r="I94" s="12" t="str">
        <x:v>年均｜FRB_CHF｜2008</x:v>
      </x:c>
      <x:c r="J94" s="12" t="str">
        <x:v>年均｜FRB_INR｜2008</x:v>
      </x:c>
      <x:c r="K94" s="12" t="str">
        <x:v>年均｜OECD_RUB｜2008</x:v>
      </x:c>
      <x:c r="L94" s="12" t="str">
        <x:v>年均｜FRB_CNY｜2008</x:v>
      </x:c>
      <x:c r="M94" s="12" t="str">
        <x:v>年均｜FRB_EUR｜2008</x:v>
      </x:c>
      <x:c r="N94" s="12" t="str">
        <x:v>全年；请仍核对币名与原始口径</x:v>
      </x:c>
    </x:row>
    <x:row r="95" ht="66" customHeight="1">
      <x:c r="A95" t="n">
        <x:v>2009</x:v>
      </x:c>
      <x:c r="B95" s="12" t="str">
        <x:v>基准恒等｜1 USD</x:v>
      </x:c>
      <x:c r="C95" s="12" t="str">
        <x:v>年均｜FRB_GBP｜2009</x:v>
      </x:c>
      <x:c r="D95" s="12" t="str">
        <x:v>年均｜FRB_CAD｜2009</x:v>
      </x:c>
      <x:c r="E95" s="12" t="str">
        <x:v>使用EUR｜年均｜FRB_EUR｜2009</x:v>
      </x:c>
      <x:c r="F95" s="12" t="str">
        <x:v>使用EUR｜年均｜FRB_EUR｜2009</x:v>
      </x:c>
      <x:c r="G95" s="12" t="str">
        <x:v>使用EUR｜年均｜FRB_EUR｜2009</x:v>
      </x:c>
      <x:c r="H95" s="12" t="str">
        <x:v>年均｜FRB_JPY｜2009</x:v>
      </x:c>
      <x:c r="I95" s="12" t="str">
        <x:v>年均｜FRB_CHF｜2009</x:v>
      </x:c>
      <x:c r="J95" s="12" t="str">
        <x:v>年均｜FRB_INR｜2009</x:v>
      </x:c>
      <x:c r="K95" s="12" t="str">
        <x:v>年均｜OECD_RUB｜2009</x:v>
      </x:c>
      <x:c r="L95" s="12" t="str">
        <x:v>年均｜FRB_CNY｜2009</x:v>
      </x:c>
      <x:c r="M95" s="12" t="str">
        <x:v>年均｜FRB_EUR｜2009</x:v>
      </x:c>
      <x:c r="N95" s="12" t="str">
        <x:v>全年；请仍核对币名与原始口径</x:v>
      </x:c>
    </x:row>
    <x:row r="96" ht="66" customHeight="1">
      <x:c r="A96" t="n">
        <x:v>2010</x:v>
      </x:c>
      <x:c r="B96" s="12" t="str">
        <x:v>基准恒等｜1 USD</x:v>
      </x:c>
      <x:c r="C96" s="12" t="str">
        <x:v>年均｜FRB_GBP｜2010</x:v>
      </x:c>
      <x:c r="D96" s="12" t="str">
        <x:v>年均｜FRB_CAD｜2010</x:v>
      </x:c>
      <x:c r="E96" s="12" t="str">
        <x:v>使用EUR｜年均｜FRB_EUR｜2010</x:v>
      </x:c>
      <x:c r="F96" s="12" t="str">
        <x:v>使用EUR｜年均｜FRB_EUR｜2010</x:v>
      </x:c>
      <x:c r="G96" s="12" t="str">
        <x:v>使用EUR｜年均｜FRB_EUR｜2010</x:v>
      </x:c>
      <x:c r="H96" s="12" t="str">
        <x:v>年均｜FRB_JPY｜2010</x:v>
      </x:c>
      <x:c r="I96" s="12" t="str">
        <x:v>年均｜FRB_CHF｜2010</x:v>
      </x:c>
      <x:c r="J96" s="12" t="str">
        <x:v>年均｜FRB_INR｜2010</x:v>
      </x:c>
      <x:c r="K96" s="12" t="str">
        <x:v>年均｜OECD_RUB｜2010</x:v>
      </x:c>
      <x:c r="L96" s="12" t="str">
        <x:v>年均｜FRB_CNY｜2010</x:v>
      </x:c>
      <x:c r="M96" s="12" t="str">
        <x:v>年均｜FRB_EUR｜2010</x:v>
      </x:c>
      <x:c r="N96" s="12" t="str">
        <x:v>全年；请仍核对币名与原始口径</x:v>
      </x:c>
    </x:row>
    <x:row r="97" ht="66" customHeight="1">
      <x:c r="A97" t="n">
        <x:v>2011</x:v>
      </x:c>
      <x:c r="B97" s="12" t="str">
        <x:v>基准恒等｜1 USD</x:v>
      </x:c>
      <x:c r="C97" s="12" t="str">
        <x:v>年均｜FRB_GBP｜2011</x:v>
      </x:c>
      <x:c r="D97" s="12" t="str">
        <x:v>年均｜FRB_CAD｜2011</x:v>
      </x:c>
      <x:c r="E97" s="12" t="str">
        <x:v>使用EUR｜年均｜FRB_EUR｜2011</x:v>
      </x:c>
      <x:c r="F97" s="12" t="str">
        <x:v>使用EUR｜年均｜FRB_EUR｜2011</x:v>
      </x:c>
      <x:c r="G97" s="12" t="str">
        <x:v>使用EUR｜年均｜FRB_EUR｜2011</x:v>
      </x:c>
      <x:c r="H97" s="12" t="str">
        <x:v>年均｜FRB_JPY｜2011</x:v>
      </x:c>
      <x:c r="I97" s="12" t="str">
        <x:v>年均｜FRB_CHF｜2011</x:v>
      </x:c>
      <x:c r="J97" s="12" t="str">
        <x:v>年均｜FRB_INR｜2011</x:v>
      </x:c>
      <x:c r="K97" s="12" t="str">
        <x:v>年均｜OECD_RUB｜2011</x:v>
      </x:c>
      <x:c r="L97" s="12" t="str">
        <x:v>年均｜FRB_CNY｜2011</x:v>
      </x:c>
      <x:c r="M97" s="12" t="str">
        <x:v>年均｜FRB_EUR｜2011</x:v>
      </x:c>
      <x:c r="N97" s="12" t="str">
        <x:v>全年；请仍核对币名与原始口径</x:v>
      </x:c>
    </x:row>
    <x:row r="98" ht="66" customHeight="1">
      <x:c r="A98" t="n">
        <x:v>2012</x:v>
      </x:c>
      <x:c r="B98" s="12" t="str">
        <x:v>基准恒等｜1 USD</x:v>
      </x:c>
      <x:c r="C98" s="12" t="str">
        <x:v>年均｜FRB_GBP｜2012</x:v>
      </x:c>
      <x:c r="D98" s="12" t="str">
        <x:v>年均｜FRB_CAD｜2012</x:v>
      </x:c>
      <x:c r="E98" s="12" t="str">
        <x:v>使用EUR｜年均｜FRB_EUR｜2012</x:v>
      </x:c>
      <x:c r="F98" s="12" t="str">
        <x:v>使用EUR｜年均｜FRB_EUR｜2012</x:v>
      </x:c>
      <x:c r="G98" s="12" t="str">
        <x:v>使用EUR｜年均｜FRB_EUR｜2012</x:v>
      </x:c>
      <x:c r="H98" s="12" t="str">
        <x:v>年均｜FRB_JPY｜2012</x:v>
      </x:c>
      <x:c r="I98" s="12" t="str">
        <x:v>年均｜FRB_CHF｜2012</x:v>
      </x:c>
      <x:c r="J98" s="12" t="str">
        <x:v>年均｜FRB_INR｜2012</x:v>
      </x:c>
      <x:c r="K98" s="12" t="str">
        <x:v>年均｜OECD_RUB｜2012</x:v>
      </x:c>
      <x:c r="L98" s="12" t="str">
        <x:v>年均｜FRB_CNY｜2012</x:v>
      </x:c>
      <x:c r="M98" s="12" t="str">
        <x:v>年均｜FRB_EUR｜2012</x:v>
      </x:c>
      <x:c r="N98" s="12" t="str">
        <x:v>全年；请仍核对币名与原始口径</x:v>
      </x:c>
    </x:row>
    <x:row r="99" ht="66" customHeight="1">
      <x:c r="A99" t="n">
        <x:v>2013</x:v>
      </x:c>
      <x:c r="B99" s="12" t="str">
        <x:v>基准恒等｜1 USD</x:v>
      </x:c>
      <x:c r="C99" s="12" t="str">
        <x:v>年均｜FRB_GBP｜2013</x:v>
      </x:c>
      <x:c r="D99" s="12" t="str">
        <x:v>年均｜FRB_CAD｜2013</x:v>
      </x:c>
      <x:c r="E99" s="12" t="str">
        <x:v>使用EUR｜年均｜FRB_EUR｜2013</x:v>
      </x:c>
      <x:c r="F99" s="12" t="str">
        <x:v>使用EUR｜年均｜FRB_EUR｜2013</x:v>
      </x:c>
      <x:c r="G99" s="12" t="str">
        <x:v>使用EUR｜年均｜FRB_EUR｜2013</x:v>
      </x:c>
      <x:c r="H99" s="12" t="str">
        <x:v>年均｜FRB_JPY｜2013</x:v>
      </x:c>
      <x:c r="I99" s="12" t="str">
        <x:v>年均｜FRB_CHF｜2013</x:v>
      </x:c>
      <x:c r="J99" s="12" t="str">
        <x:v>年均｜FRB_INR｜2013</x:v>
      </x:c>
      <x:c r="K99" s="12" t="str">
        <x:v>年均｜OECD_RUB｜2013</x:v>
      </x:c>
      <x:c r="L99" s="12" t="str">
        <x:v>年均｜FRB_CNY｜2013</x:v>
      </x:c>
      <x:c r="M99" s="12" t="str">
        <x:v>年均｜FRB_EUR｜2013</x:v>
      </x:c>
      <x:c r="N99" s="12" t="str">
        <x:v>全年；请仍核对币名与原始口径</x:v>
      </x:c>
    </x:row>
    <x:row r="100" ht="66" customHeight="1">
      <x:c r="A100" t="n">
        <x:v>2014</x:v>
      </x:c>
      <x:c r="B100" s="12" t="str">
        <x:v>基准恒等｜1 USD</x:v>
      </x:c>
      <x:c r="C100" s="12" t="str">
        <x:v>年均｜FRB_GBP｜2014</x:v>
      </x:c>
      <x:c r="D100" s="12" t="str">
        <x:v>年均｜FRB_CAD｜2014</x:v>
      </x:c>
      <x:c r="E100" s="12" t="str">
        <x:v>使用EUR｜年均｜FRB_EUR｜2014</x:v>
      </x:c>
      <x:c r="F100" s="12" t="str">
        <x:v>使用EUR｜年均｜FRB_EUR｜2014</x:v>
      </x:c>
      <x:c r="G100" s="12" t="str">
        <x:v>使用EUR｜年均｜FRB_EUR｜2014</x:v>
      </x:c>
      <x:c r="H100" s="12" t="str">
        <x:v>年均｜FRB_JPY｜2014</x:v>
      </x:c>
      <x:c r="I100" s="12" t="str">
        <x:v>年均｜FRB_CHF｜2014</x:v>
      </x:c>
      <x:c r="J100" s="12" t="str">
        <x:v>年均｜FRB_INR｜2014</x:v>
      </x:c>
      <x:c r="K100" s="12" t="str">
        <x:v>年均｜OECD_RUB｜2014</x:v>
      </x:c>
      <x:c r="L100" s="12" t="str">
        <x:v>年均｜FRB_CNY｜2014</x:v>
      </x:c>
      <x:c r="M100" s="12" t="str">
        <x:v>年均｜FRB_EUR｜2014</x:v>
      </x:c>
      <x:c r="N100" s="12" t="str">
        <x:v>全年；请仍核对币名与原始口径</x:v>
      </x:c>
    </x:row>
    <x:row r="101" ht="66" customHeight="1">
      <x:c r="A101" t="n">
        <x:v>2015</x:v>
      </x:c>
      <x:c r="B101" s="12" t="str">
        <x:v>基准恒等｜1 USD</x:v>
      </x:c>
      <x:c r="C101" s="12" t="str">
        <x:v>年均｜FRB_GBP｜2015</x:v>
      </x:c>
      <x:c r="D101" s="12" t="str">
        <x:v>年均｜FRB_CAD｜2015</x:v>
      </x:c>
      <x:c r="E101" s="12" t="str">
        <x:v>使用EUR｜年均｜FRB_EUR｜2015</x:v>
      </x:c>
      <x:c r="F101" s="12" t="str">
        <x:v>使用EUR｜年均｜FRB_EUR｜2015</x:v>
      </x:c>
      <x:c r="G101" s="12" t="str">
        <x:v>使用EUR｜年均｜FRB_EUR｜2015</x:v>
      </x:c>
      <x:c r="H101" s="12" t="str">
        <x:v>年均｜FRB_JPY｜2015</x:v>
      </x:c>
      <x:c r="I101" s="12" t="str">
        <x:v>年均｜FRB_CHF｜2015</x:v>
      </x:c>
      <x:c r="J101" s="12" t="str">
        <x:v>年均｜FRB_INR｜2015</x:v>
      </x:c>
      <x:c r="K101" s="12" t="str">
        <x:v>年均｜OECD_RUB｜2015</x:v>
      </x:c>
      <x:c r="L101" s="12" t="str">
        <x:v>年均｜FRB_CNY｜2015</x:v>
      </x:c>
      <x:c r="M101" s="12" t="str">
        <x:v>年均｜FRB_EUR｜2015</x:v>
      </x:c>
      <x:c r="N101" s="12" t="str">
        <x:v>全年；请仍核对币名与原始口径</x:v>
      </x:c>
    </x:row>
    <x:row r="102" ht="66" customHeight="1">
      <x:c r="A102" t="n">
        <x:v>2016</x:v>
      </x:c>
      <x:c r="B102" s="12" t="str">
        <x:v>基准恒等｜1 USD</x:v>
      </x:c>
      <x:c r="C102" s="12" t="str">
        <x:v>年均｜FRB_GBP｜2016</x:v>
      </x:c>
      <x:c r="D102" s="12" t="str">
        <x:v>年均｜FRB_CAD｜2016</x:v>
      </x:c>
      <x:c r="E102" s="12" t="str">
        <x:v>使用EUR｜年均｜FRB_EUR｜2016</x:v>
      </x:c>
      <x:c r="F102" s="12" t="str">
        <x:v>使用EUR｜年均｜FRB_EUR｜2016</x:v>
      </x:c>
      <x:c r="G102" s="12" t="str">
        <x:v>使用EUR｜年均｜FRB_EUR｜2016</x:v>
      </x:c>
      <x:c r="H102" s="12" t="str">
        <x:v>年均｜FRB_JPY｜2016</x:v>
      </x:c>
      <x:c r="I102" s="12" t="str">
        <x:v>年均｜FRB_CHF｜2016</x:v>
      </x:c>
      <x:c r="J102" s="12" t="str">
        <x:v>年均｜FRB_INR｜2016</x:v>
      </x:c>
      <x:c r="K102" s="12" t="str">
        <x:v>年均｜OECD_RUB｜2016</x:v>
      </x:c>
      <x:c r="L102" s="12" t="str">
        <x:v>年均｜FRB_CNY｜2016</x:v>
      </x:c>
      <x:c r="M102" s="12" t="str">
        <x:v>年均｜FRB_EUR｜2016</x:v>
      </x:c>
      <x:c r="N102" s="12" t="str">
        <x:v>全年；请仍核对币名与原始口径</x:v>
      </x:c>
    </x:row>
    <x:row r="103" ht="66" customHeight="1">
      <x:c r="A103" t="n">
        <x:v>2017</x:v>
      </x:c>
      <x:c r="B103" s="12" t="str">
        <x:v>基准恒等｜1 USD</x:v>
      </x:c>
      <x:c r="C103" s="12" t="str">
        <x:v>年均｜FRB_GBP｜2017</x:v>
      </x:c>
      <x:c r="D103" s="12" t="str">
        <x:v>年均｜FRB_CAD｜2017</x:v>
      </x:c>
      <x:c r="E103" s="12" t="str">
        <x:v>使用EUR｜年均｜FRB_EUR｜2017</x:v>
      </x:c>
      <x:c r="F103" s="12" t="str">
        <x:v>使用EUR｜年均｜FRB_EUR｜2017</x:v>
      </x:c>
      <x:c r="G103" s="12" t="str">
        <x:v>使用EUR｜年均｜FRB_EUR｜2017</x:v>
      </x:c>
      <x:c r="H103" s="12" t="str">
        <x:v>年均｜FRB_JPY｜2017</x:v>
      </x:c>
      <x:c r="I103" s="12" t="str">
        <x:v>年均｜FRB_CHF｜2017</x:v>
      </x:c>
      <x:c r="J103" s="12" t="str">
        <x:v>年均｜FRB_INR｜2017</x:v>
      </x:c>
      <x:c r="K103" s="12" t="str">
        <x:v>年均｜OECD_RUB｜2017</x:v>
      </x:c>
      <x:c r="L103" s="12" t="str">
        <x:v>年均｜FRB_CNY｜2017</x:v>
      </x:c>
      <x:c r="M103" s="12" t="str">
        <x:v>年均｜FRB_EUR｜2017</x:v>
      </x:c>
      <x:c r="N103" s="12" t="str">
        <x:v>全年；请仍核对币名与原始口径</x:v>
      </x:c>
    </x:row>
    <x:row r="104" ht="66" customHeight="1">
      <x:c r="A104" t="n">
        <x:v>2018</x:v>
      </x:c>
      <x:c r="B104" s="12" t="str">
        <x:v>基准恒等｜1 USD</x:v>
      </x:c>
      <x:c r="C104" s="12" t="str">
        <x:v>年均｜FRB_GBP｜2018</x:v>
      </x:c>
      <x:c r="D104" s="12" t="str">
        <x:v>年均｜FRB_CAD｜2018</x:v>
      </x:c>
      <x:c r="E104" s="12" t="str">
        <x:v>使用EUR｜年均｜FRB_EUR｜2018</x:v>
      </x:c>
      <x:c r="F104" s="12" t="str">
        <x:v>使用EUR｜年均｜FRB_EUR｜2018</x:v>
      </x:c>
      <x:c r="G104" s="12" t="str">
        <x:v>使用EUR｜年均｜FRB_EUR｜2018</x:v>
      </x:c>
      <x:c r="H104" s="12" t="str">
        <x:v>年均｜FRB_JPY｜2018</x:v>
      </x:c>
      <x:c r="I104" s="12" t="str">
        <x:v>年均｜FRB_CHF｜2018</x:v>
      </x:c>
      <x:c r="J104" s="12" t="str">
        <x:v>年均｜FRB_INR｜2018</x:v>
      </x:c>
      <x:c r="K104" s="12" t="str">
        <x:v>年均｜OECD_RUB｜2018</x:v>
      </x:c>
      <x:c r="L104" s="12" t="str">
        <x:v>年均｜FRB_CNY｜2018</x:v>
      </x:c>
      <x:c r="M104" s="12" t="str">
        <x:v>年均｜FRB_EUR｜2018</x:v>
      </x:c>
      <x:c r="N104" s="12" t="str">
        <x:v>全年；请仍核对币名与原始口径</x:v>
      </x:c>
    </x:row>
    <x:row r="105" ht="66" customHeight="1">
      <x:c r="A105" t="n">
        <x:v>2019</x:v>
      </x:c>
      <x:c r="B105" s="12" t="str">
        <x:v>基准恒等｜1 USD</x:v>
      </x:c>
      <x:c r="C105" s="12" t="str">
        <x:v>年均｜FRB_GBP｜2019</x:v>
      </x:c>
      <x:c r="D105" s="12" t="str">
        <x:v>年均｜FRB_CAD｜2019</x:v>
      </x:c>
      <x:c r="E105" s="12" t="str">
        <x:v>使用EUR｜年均｜FRB_EUR｜2019</x:v>
      </x:c>
      <x:c r="F105" s="12" t="str">
        <x:v>使用EUR｜年均｜FRB_EUR｜2019</x:v>
      </x:c>
      <x:c r="G105" s="12" t="str">
        <x:v>使用EUR｜年均｜FRB_EUR｜2019</x:v>
      </x:c>
      <x:c r="H105" s="12" t="str">
        <x:v>年均｜FRB_JPY｜2019</x:v>
      </x:c>
      <x:c r="I105" s="12" t="str">
        <x:v>年均｜FRB_CHF｜2019</x:v>
      </x:c>
      <x:c r="J105" s="12" t="str">
        <x:v>年均｜FRB_INR｜2019</x:v>
      </x:c>
      <x:c r="K105" s="12" t="str">
        <x:v>年均｜OECD_RUB｜2019</x:v>
      </x:c>
      <x:c r="L105" s="12" t="str">
        <x:v>年均｜FRB_CNY｜2019</x:v>
      </x:c>
      <x:c r="M105" s="12" t="str">
        <x:v>年均｜FRB_EUR｜2019</x:v>
      </x:c>
      <x:c r="N105" s="12" t="str">
        <x:v>全年；请仍核对币名与原始口径</x:v>
      </x:c>
    </x:row>
    <x:row r="106" ht="66" customHeight="1">
      <x:c r="A106" t="n">
        <x:v>2020</x:v>
      </x:c>
      <x:c r="B106" s="12" t="str">
        <x:v>基准恒等｜1 USD</x:v>
      </x:c>
      <x:c r="C106" s="12" t="str">
        <x:v>年均｜FRB_GBP｜2020</x:v>
      </x:c>
      <x:c r="D106" s="12" t="str">
        <x:v>年均｜FRB_CAD｜2020</x:v>
      </x:c>
      <x:c r="E106" s="12" t="str">
        <x:v>使用EUR｜年均｜FRB_EUR｜2020</x:v>
      </x:c>
      <x:c r="F106" s="12" t="str">
        <x:v>使用EUR｜年均｜FRB_EUR｜2020</x:v>
      </x:c>
      <x:c r="G106" s="12" t="str">
        <x:v>使用EUR｜年均｜FRB_EUR｜2020</x:v>
      </x:c>
      <x:c r="H106" s="12" t="str">
        <x:v>年均｜FRB_JPY｜2020</x:v>
      </x:c>
      <x:c r="I106" s="12" t="str">
        <x:v>年均｜FRB_CHF｜2020</x:v>
      </x:c>
      <x:c r="J106" s="12" t="str">
        <x:v>年均｜FRB_INR｜2020</x:v>
      </x:c>
      <x:c r="K106" s="12" t="str">
        <x:v>年均｜OECD_RUB｜2020</x:v>
      </x:c>
      <x:c r="L106" s="12" t="str">
        <x:v>年均｜FRB_CNY｜2020</x:v>
      </x:c>
      <x:c r="M106" s="12" t="str">
        <x:v>年均｜FRB_EUR｜2020</x:v>
      </x:c>
      <x:c r="N106" s="12" t="str">
        <x:v>全年；请仍核对币名与原始口径</x:v>
      </x:c>
    </x:row>
    <x:row r="107" ht="66" customHeight="1">
      <x:c r="A107" t="n">
        <x:v>2021</x:v>
      </x:c>
      <x:c r="B107" s="12" t="str">
        <x:v>基准恒等｜1 USD</x:v>
      </x:c>
      <x:c r="C107" s="12" t="str">
        <x:v>年均｜FRB_GBP｜2021</x:v>
      </x:c>
      <x:c r="D107" s="12" t="str">
        <x:v>年均｜FRB_CAD｜2021</x:v>
      </x:c>
      <x:c r="E107" s="12" t="str">
        <x:v>使用EUR｜年均｜FRB_EUR｜2021</x:v>
      </x:c>
      <x:c r="F107" s="12" t="str">
        <x:v>使用EUR｜年均｜FRB_EUR｜2021</x:v>
      </x:c>
      <x:c r="G107" s="12" t="str">
        <x:v>使用EUR｜年均｜FRB_EUR｜2021</x:v>
      </x:c>
      <x:c r="H107" s="12" t="str">
        <x:v>年均｜FRB_JPY｜2021</x:v>
      </x:c>
      <x:c r="I107" s="12" t="str">
        <x:v>年均｜FRB_CHF｜2021</x:v>
      </x:c>
      <x:c r="J107" s="12" t="str">
        <x:v>年均｜FRB_INR｜2021</x:v>
      </x:c>
      <x:c r="K107" s="12" t="str">
        <x:v>年均｜OECD_RUB｜2021</x:v>
      </x:c>
      <x:c r="L107" s="12" t="str">
        <x:v>年均｜FRB_CNY｜2021</x:v>
      </x:c>
      <x:c r="M107" s="12" t="str">
        <x:v>年均｜FRB_EUR｜2021</x:v>
      </x:c>
      <x:c r="N107" s="12" t="str">
        <x:v>全年；请仍核对币名与原始口径</x:v>
      </x:c>
    </x:row>
    <x:row r="108" ht="66" customHeight="1">
      <x:c r="A108" t="n">
        <x:v>2022</x:v>
      </x:c>
      <x:c r="B108" s="12" t="str">
        <x:v>基准恒等｜1 USD</x:v>
      </x:c>
      <x:c r="C108" s="12" t="str">
        <x:v>年均｜FRB_GBP｜2022</x:v>
      </x:c>
      <x:c r="D108" s="12" t="str">
        <x:v>年均｜FRB_CAD｜2022</x:v>
      </x:c>
      <x:c r="E108" s="12" t="str">
        <x:v>使用EUR｜年均｜FRB_EUR｜2022</x:v>
      </x:c>
      <x:c r="F108" s="12" t="str">
        <x:v>使用EUR｜年均｜FRB_EUR｜2022</x:v>
      </x:c>
      <x:c r="G108" s="12" t="str">
        <x:v>使用EUR｜年均｜FRB_EUR｜2022</x:v>
      </x:c>
      <x:c r="H108" s="12" t="str">
        <x:v>年均｜FRB_JPY｜2022</x:v>
      </x:c>
      <x:c r="I108" s="12" t="str">
        <x:v>年均｜FRB_CHF｜2022</x:v>
      </x:c>
      <x:c r="J108" s="12" t="str">
        <x:v>年均｜FRB_INR｜2022</x:v>
      </x:c>
      <x:c r="K108" s="12" t="str">
        <x:v>年均｜OECD_RUB｜2022</x:v>
      </x:c>
      <x:c r="L108" s="12" t="str">
        <x:v>年均｜FRB_CNY｜2022</x:v>
      </x:c>
      <x:c r="M108" s="12" t="str">
        <x:v>年均｜FRB_EUR｜2022</x:v>
      </x:c>
      <x:c r="N108" s="12" t="str">
        <x:v>全年；请仍核对币名与原始口径</x:v>
      </x:c>
    </x:row>
    <x:row r="109" ht="66" customHeight="1">
      <x:c r="A109" t="n">
        <x:v>2023</x:v>
      </x:c>
      <x:c r="B109" s="12" t="str">
        <x:v>基准恒等｜1 USD</x:v>
      </x:c>
      <x:c r="C109" s="12" t="str">
        <x:v>年均｜FRB_GBP｜2023</x:v>
      </x:c>
      <x:c r="D109" s="12" t="str">
        <x:v>年均｜FRB_CAD｜2023</x:v>
      </x:c>
      <x:c r="E109" s="12" t="str">
        <x:v>使用EUR｜年均｜FRB_EUR｜2023</x:v>
      </x:c>
      <x:c r="F109" s="12" t="str">
        <x:v>使用EUR｜年均｜FRB_EUR｜2023</x:v>
      </x:c>
      <x:c r="G109" s="12" t="str">
        <x:v>使用EUR｜年均｜FRB_EUR｜2023</x:v>
      </x:c>
      <x:c r="H109" s="12" t="str">
        <x:v>年均｜FRB_JPY｜2023</x:v>
      </x:c>
      <x:c r="I109" s="12" t="str">
        <x:v>年均｜FRB_CHF｜2023</x:v>
      </x:c>
      <x:c r="J109" s="12" t="str">
        <x:v>年均｜FRB_INR｜2023</x:v>
      </x:c>
      <x:c r="K109" s="12" t="str">
        <x:v>年均｜OECD_RUB｜2023</x:v>
      </x:c>
      <x:c r="L109" s="12" t="str">
        <x:v>年均｜FRB_CNY｜2023</x:v>
      </x:c>
      <x:c r="M109" s="12" t="str">
        <x:v>年均｜FRB_EUR｜2023</x:v>
      </x:c>
      <x:c r="N109" s="12" t="str">
        <x:v>全年；请仍核对币名与原始口径</x:v>
      </x:c>
    </x:row>
    <x:row r="110" ht="66" customHeight="1">
      <x:c r="A110" t="n">
        <x:v>2024</x:v>
      </x:c>
      <x:c r="B110" s="12" t="str">
        <x:v>基准恒等｜1 USD</x:v>
      </x:c>
      <x:c r="C110" s="12" t="str">
        <x:v>年均｜FRB_GBP｜2024</x:v>
      </x:c>
      <x:c r="D110" s="12" t="str">
        <x:v>年均｜FRB_CAD｜2024</x:v>
      </x:c>
      <x:c r="E110" s="12" t="str">
        <x:v>使用EUR｜年均｜FRB_EUR｜2024</x:v>
      </x:c>
      <x:c r="F110" s="12" t="str">
        <x:v>使用EUR｜年均｜FRB_EUR｜2024</x:v>
      </x:c>
      <x:c r="G110" s="12" t="str">
        <x:v>使用EUR｜年均｜FRB_EUR｜2024</x:v>
      </x:c>
      <x:c r="H110" s="12" t="str">
        <x:v>年均｜FRB_JPY｜2024</x:v>
      </x:c>
      <x:c r="I110" s="12" t="str">
        <x:v>年均｜FRB_CHF｜2024</x:v>
      </x:c>
      <x:c r="J110" s="12" t="str">
        <x:v>年均｜FRB_INR｜2024</x:v>
      </x:c>
      <x:c r="K110" s="12" t="str">
        <x:v>年均｜OECD_RUB｜2024</x:v>
      </x:c>
      <x:c r="L110" s="12" t="str">
        <x:v>年均｜FRB_CNY｜2024</x:v>
      </x:c>
      <x:c r="M110" s="12" t="str">
        <x:v>年均｜FRB_EUR｜2024</x:v>
      </x:c>
      <x:c r="N110" s="12" t="str">
        <x:v>全年；请仍核对币名与原始口径</x:v>
      </x:c>
    </x:row>
    <x:row r="111" ht="66" customHeight="1">
      <x:c r="A111" t="n">
        <x:v>2025</x:v>
      </x:c>
      <x:c r="B111" s="12" t="str">
        <x:v>基准恒等｜1 USD</x:v>
      </x:c>
      <x:c r="C111" s="12" t="str">
        <x:v>年均｜FRB_GBP｜2025</x:v>
      </x:c>
      <x:c r="D111" s="12" t="str">
        <x:v>年均｜FRB_CAD｜2025</x:v>
      </x:c>
      <x:c r="E111" s="12" t="str">
        <x:v>使用EUR｜年均｜FRB_EUR｜2025</x:v>
      </x:c>
      <x:c r="F111" s="12" t="str">
        <x:v>使用EUR｜年均｜FRB_EUR｜2025</x:v>
      </x:c>
      <x:c r="G111" s="12" t="str">
        <x:v>使用EUR｜年均｜FRB_EUR｜2025</x:v>
      </x:c>
      <x:c r="H111" s="12" t="str">
        <x:v>年均｜FRB_JPY｜2025</x:v>
      </x:c>
      <x:c r="I111" s="12" t="str">
        <x:v>年均｜FRB_CHF｜2025</x:v>
      </x:c>
      <x:c r="J111" s="12" t="str">
        <x:v>年均｜FRB_INR｜2025</x:v>
      </x:c>
      <x:c r="K111" s="12" t="str">
        <x:v>年均｜OECD_RUB｜2025</x:v>
      </x:c>
      <x:c r="L111" s="12" t="str">
        <x:v>年均｜FRB_CNY｜2025</x:v>
      </x:c>
      <x:c r="M111" s="12" t="str">
        <x:v>年均｜FRB_EUR｜2025</x:v>
      </x:c>
      <x:c r="N111" s="12" t="str">
        <x:v>全年；请仍核对币名与原始口径</x:v>
      </x:c>
    </x:row>
    <x:row r="112" ht="66" customHeight="1">
      <x:c r="A112" t="n">
        <x:v>2026</x:v>
      </x:c>
      <x:c r="B112" s="12" t="str">
        <x:v>基准恒等｜1 USD</x:v>
      </x:c>
      <x:c r="C112" s="12" t="str">
        <x:v>2026年1—8月月均值等权平均｜YTD_GBP｜2026-01-01—2026-08-31</x:v>
      </x:c>
      <x:c r="D112" s="12" t="str">
        <x:v>2026年1—8月月均值等权平均｜YTD_CAD｜2026-01-01—2026-08-31</x:v>
      </x:c>
      <x:c r="E112" s="12" t="str">
        <x:v>使用EUR｜2026年1—8月月均值等权平均｜YTD_EUR｜2026-01-01—2026-08-31</x:v>
      </x:c>
      <x:c r="F112" s="12" t="str">
        <x:v>使用EUR｜2026年1—8月月均值等权平均｜YTD_EUR｜2026-01-01—2026-08-31</x:v>
      </x:c>
      <x:c r="G112" s="12" t="str">
        <x:v>使用EUR｜2026年1—8月月均值等权平均｜YTD_EUR｜2026-01-01—2026-08-31</x:v>
      </x:c>
      <x:c r="H112" s="12" t="str">
        <x:v>2026年1—8月月均值等权平均｜YTD_JPY｜2026-01-01—2026-08-31</x:v>
      </x:c>
      <x:c r="I112" s="12" t="str">
        <x:v>2026年1—8月月均值等权平均｜YTD_CHF｜2026-01-01—2026-08-31</x:v>
      </x:c>
      <x:c r="J112" s="12" t="str">
        <x:v>2026年1—8月月均值等权平均｜YTD_INR｜2026-01-01—2026-08-31</x:v>
      </x:c>
      <x:c r="K112" s="12" t="str">
        <x:v>2026年1—8月月均值等权平均｜YTD_RUB｜2026-01-01—2026-08-31</x:v>
      </x:c>
      <x:c r="L112" s="12" t="str">
        <x:v>2026年1—8月月均值等权平均｜YTD_CNY｜2026-01-01—2026-08-31</x:v>
      </x:c>
      <x:c r="M112" s="12" t="str">
        <x:v>2026年1—8月月均值等权平均｜YTD_EUR｜2026-01-01—2026-08-31</x:v>
      </x:c>
      <x:c r="N112" s="12" t="str">
        <x:v>仅1—8月</x:v>
      </x:c>
    </x:row>
  </x:sheetData>
  <x:mergeCells>
    <x:mergeCell ref="A1:M1"/>
    <x:mergeCell ref="A2:N3"/>
  </x:mergeCells>
  <x:pageMargins left="0.7" right="0.7" top="0.75" bottom="0.75" header="0.3" footer="0.3"/>
  <x:tableParts count="1">
    <x:tablePart xmlns:r="http://schemas.openxmlformats.org/officeDocument/2006/relationships" r:id="Rbdef82aa72304e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5" hidden="0" customWidth="1"/>
  </x:cols>
  <x:sheetData>
    <x:row r="1" ht="34" customHeight="1">
      <x:c r="A1" s="6" t="str">
        <x:v>反向美元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1单位当年本币兑换多少美元；是年度参考值的倒数，不是反向日度汇率的另一次算术年均。空白表示基础值缺失。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美元</x:v>
      </x:c>
      <x:c r="C5" s="6" t="str">
        <x:v>英镑</x:v>
      </x:c>
      <x:c r="D5" s="6" t="str">
        <x:v>加拿大元</x:v>
      </x:c>
      <x:c r="E5" s="6" t="str">
        <x:v>法郎→欧元</x:v>
      </x:c>
      <x:c r="F5" s="6" t="str">
        <x:v>马克→欧元</x:v>
      </x:c>
      <x:c r="G5" s="6" t="str">
        <x:v>里拉→欧元</x:v>
      </x:c>
      <x:c r="H5" s="6" t="str">
        <x:v>日元</x:v>
      </x:c>
      <x:c r="I5" s="6" t="str">
        <x:v>瑞士法郎</x:v>
      </x:c>
      <x:c r="J5" s="6" t="str">
        <x:v>印度卢比</x:v>
      </x:c>
      <x:c r="K5" s="6" t="str">
        <x:v>卢布</x:v>
      </x:c>
      <x:c r="L5" s="6" t="str">
        <x:v>中国币种</x:v>
      </x:c>
      <x:c r="M5" s="6" t="str">
        <x:v>欧元／德国代理</x:v>
      </x:c>
      <x:c r="N5" s="6" t="str">
        <x:v>提示</x:v>
      </x:c>
    </x:row>
    <x:row r="6" ht="32" customHeight="1">
      <x:c r="A6" t="n">
        <x:v>1920</x:v>
      </x:c>
      <x:c r="B6" s="28" t="n">
        <x:f>IF(ISNUMBER('年度汇率'!B6),1/'年度汇率'!B6,"")</x:f>
        <x:v>1</x:v>
      </x:c>
      <x:c r="C6" s="28" t="n">
        <x:f>IF(ISNUMBER('年度汇率'!C6),1/'年度汇率'!C6,"")</x:f>
        <x:v>3.664345914254306</x:v>
      </x:c>
      <x:c r="D6" s="28" t="n">
        <x:f>IF(ISNUMBER('年度汇率'!D6),1/'年度汇率'!D6,"")</x:f>
        <x:v>0.8928571428571428</x:v>
      </x:c>
      <x:c r="E6" s="28" t="n">
        <x:f>IF(ISNUMBER('年度汇率'!E6),1/'年度汇率'!E6,"")</x:f>
        <x:v>0.0703977472720873</x:v>
      </x:c>
      <x:c r="F6" s="28" t="n">
        <x:f>IF(ISNUMBER('年度汇率'!F6),1/'年度汇率'!F6,"")</x:f>
        <x:v>0.01751006828926633</x:v>
      </x:c>
      <x:c r="G6" s="28" t="n">
        <x:f>IF(ISNUMBER('年度汇率'!G6),1/'年度汇率'!G6,"")</x:f>
        <x:v>0.049699999999999994</x:v>
      </x:c>
      <x:c r="H6" s="28" t="n">
        <x:f>IF(ISNUMBER('年度汇率'!H6),1/'年度汇率'!H6,"")</x:f>
        <x:v>0.5025125628140703</x:v>
      </x:c>
      <x:c r="I6" s="28" t="n">
        <x:f>IF(ISNUMBER('年度汇率'!I6),1/'年度汇率'!I6,"")</x:f>
        <x:v>0.16903027332195195</x:v>
      </x:c>
      <x:c r="J6" s="28" t="n">
        <x:f>IF(ISNUMBER('年度汇率'!J6),1/'年度汇率'!J6,"")</x:f>
        <x:v>0.38910505836575876</x:v>
      </x:c>
      <x:c r="K6" s="28" t="str">
        <x:f>IF(ISNUMBER('年度汇率'!K6),1/'年度汇率'!K6,"")</x:f>
      </x:c>
      <x:c r="L6" s="28" t="n">
        <x:f>IF(ISNUMBER('年度汇率'!L6),1/'年度汇率'!L6,"")</x:f>
        <x:v>1.186094</x:v>
      </x:c>
      <x:c r="M6" s="28" t="n">
        <x:f>IF(ISNUMBER('年度汇率'!M6),1/'年度汇率'!M6,"")</x:f>
        <x:v>0.01751006828926633</x:v>
      </x:c>
      <x:c r="N6" s="12" t="str">
        <x:v>含缺失；欧元栏为德国代理</x:v>
      </x:c>
    </x:row>
    <x:row r="7" ht="32" customHeight="1">
      <x:c r="A7" t="n">
        <x:v>1921</x:v>
      </x:c>
      <x:c r="B7" s="28" t="n">
        <x:f>IF(ISNUMBER('年度汇率'!B7),1/'年度汇率'!B7,"")</x:f>
        <x:v>1</x:v>
      </x:c>
      <x:c r="C7" s="28" t="n">
        <x:f>IF(ISNUMBER('年度汇率'!C7),1/'年度汇率'!C7,"")</x:f>
        <x:v>3.8491147036181683</x:v>
      </x:c>
      <x:c r="D7" s="28" t="n">
        <x:f>IF(ISNUMBER('年度汇率'!D7),1/'年度汇率'!D7,"")</x:f>
        <x:v>0.8952551477170994</x:v>
      </x:c>
      <x:c r="E7" s="28" t="n">
        <x:f>IF(ISNUMBER('年度汇率'!E7),1/'年度汇率'!E7,"")</x:f>
        <x:v>0.07455453664355476</x:v>
      </x:c>
      <x:c r="F7" s="28" t="n">
        <x:f>IF(ISNUMBER('年度汇率'!F7),1/'年度汇率'!F7,"")</x:f>
        <x:v>0.012045290291496025</x:v>
      </x:c>
      <x:c r="G7" s="28" t="n">
        <x:f>IF(ISNUMBER('年度汇率'!G7),1/'年度汇率'!G7,"")</x:f>
        <x:v>0.042935999999999995</x:v>
      </x:c>
      <x:c r="H7" s="28" t="n">
        <x:f>IF(ISNUMBER('年度汇率'!H7),1/'年度汇率'!H7,"")</x:f>
        <x:v>0.48309178743961356</x:v>
      </x:c>
      <x:c r="I7" s="28" t="n">
        <x:f>IF(ISNUMBER('年度汇率'!I7),1/'年度汇率'!I7,"")</x:f>
        <x:v>0.1735388032764126</x:v>
      </x:c>
      <x:c r="J7" s="28" t="n">
        <x:f>IF(ISNUMBER('年度汇率'!J7),1/'年度汇率'!J7,"")</x:f>
        <x:v>0.26246719160104987</x:v>
      </x:c>
      <x:c r="K7" s="28" t="str">
        <x:f>IF(ISNUMBER('年度汇率'!K7),1/'年度汇率'!K7,"")</x:f>
      </x:c>
      <x:c r="L7" s="28" t="n">
        <x:f>IF(ISNUMBER('年度汇率'!L7),1/'年度汇率'!L7,"")</x:f>
        <x:v>0.707726</x:v>
      </x:c>
      <x:c r="M7" s="28" t="n">
        <x:f>IF(ISNUMBER('年度汇率'!M7),1/'年度汇率'!M7,"")</x:f>
        <x:v>0.012045290291496025</x:v>
      </x:c>
      <x:c r="N7" s="12" t="str">
        <x:v>含缺失；欧元栏为德国代理</x:v>
      </x:c>
    </x:row>
    <x:row r="8" ht="32" customHeight="1">
      <x:c r="A8" t="n">
        <x:v>1922</x:v>
      </x:c>
      <x:c r="B8" s="28" t="n">
        <x:f>IF(ISNUMBER('年度汇率'!B8),1/'年度汇率'!B8,"")</x:f>
        <x:v>1</x:v>
      </x:c>
      <x:c r="C8" s="28" t="n">
        <x:f>IF(ISNUMBER('年度汇率'!C8),1/'年度汇率'!C8,"")</x:f>
        <x:v>4.428697962798937</x:v>
      </x:c>
      <x:c r="D8" s="28" t="n">
        <x:f>IF(ISNUMBER('年度汇率'!D8),1/'年度汇率'!D8,"")</x:f>
        <x:v>0.9852216748768474</x:v>
      </x:c>
      <x:c r="E8" s="28" t="n">
        <x:f>IF(ISNUMBER('年度汇率'!E8),1/'年度汇率'!E8,"")</x:f>
        <x:v>0.08201427048306406</x:v>
      </x:c>
      <x:c r="F8" s="28" t="n">
        <x:f>IF(ISNUMBER('年度汇率'!F8),1/'年度汇率'!F8,"")</x:f>
        <x:v>0.0023229882921390077</x:v>
      </x:c>
      <x:c r="G8" s="28" t="n">
        <x:f>IF(ISNUMBER('年度汇率'!G8),1/'年度汇率'!G8,"")</x:f>
        <x:v>0.047559</x:v>
      </x:c>
      <x:c r="H8" s="28" t="n">
        <x:f>IF(ISNUMBER('年度汇率'!H8),1/'年度汇率'!H8,"")</x:f>
        <x:v>0.47846889952153115</x:v>
      </x:c>
      <x:c r="I8" s="28" t="n">
        <x:f>IF(ISNUMBER('年度汇率'!I8),1/'年度汇率'!I8,"")</x:f>
        <x:v>0.1906504995043087</x:v>
      </x:c>
      <x:c r="J8" s="28" t="n">
        <x:f>IF(ISNUMBER('年度汇率'!J8),1/'年度汇率'!J8,"")</x:f>
        <x:v>0.28735632183908044</x:v>
      </x:c>
      <x:c r="K8" s="28" t="str">
        <x:f>IF(ISNUMBER('年度汇率'!K8),1/'年度汇率'!K8,"")</x:f>
      </x:c>
      <x:c r="L8" s="28" t="n">
        <x:f>IF(ISNUMBER('年度汇率'!L8),1/'年度汇率'!L8,"")</x:f>
        <x:v>0.556341</x:v>
      </x:c>
      <x:c r="M8" s="28" t="n">
        <x:f>IF(ISNUMBER('年度汇率'!M8),1/'年度汇率'!M8,"")</x:f>
        <x:v>0.0023229882921390077</x:v>
      </x:c>
      <x:c r="N8" s="12" t="str">
        <x:v>含缺失；欧元栏为德国代理</x:v>
      </x:c>
    </x:row>
    <x:row r="9" ht="32" customHeight="1">
      <x:c r="A9" t="n">
        <x:v>1923</x:v>
      </x:c>
      <x:c r="B9" s="28" t="n">
        <x:f>IF(ISNUMBER('年度汇率'!B9),1/'年度汇率'!B9,"")</x:f>
        <x:v>1</x:v>
      </x:c>
      <x:c r="C9" s="28" t="n">
        <x:f>IF(ISNUMBER('年度汇率'!C9),1/'年度汇率'!C9,"")</x:f>
        <x:v>4.574565416285453</x:v>
      </x:c>
      <x:c r="D9" s="28" t="n">
        <x:f>IF(ISNUMBER('年度汇率'!D9),1/'年度汇率'!D9,"")</x:f>
        <x:v>0.9803921568627451</x:v>
      </x:c>
      <x:c r="E9" s="28" t="n">
        <x:f>IF(ISNUMBER('年度汇率'!E9),1/'年度汇率'!E9,"")</x:f>
        <x:v>0.06081245439065921</x:v>
      </x:c>
      <x:c r="F9" s="28" t="str">
        <x:f>IF(ISNUMBER('年度汇率'!F9),1/'年度汇率'!F9,"")</x:f>
      </x:c>
      <x:c r="G9" s="28" t="n">
        <x:f>IF(ISNUMBER('年度汇率'!G9),1/'年度汇率'!G9,"")</x:f>
        <x:v>0.04601600000000001</x:v>
      </x:c>
      <x:c r="H9" s="28" t="n">
        <x:f>IF(ISNUMBER('年度汇率'!H9),1/'年度汇率'!H9,"")</x:f>
        <x:v>0.4854368932038835</x:v>
      </x:c>
      <x:c r="I9" s="28" t="n">
        <x:f>IF(ISNUMBER('年度汇率'!I9),1/'年度汇率'!I9,"")</x:f>
        <x:v>0.18059995304401222</x:v>
      </x:c>
      <x:c r="J9" s="28" t="n">
        <x:f>IF(ISNUMBER('年度汇率'!J9),1/'年度汇率'!J9,"")</x:f>
        <x:v>0.3115264797507788</x:v>
      </x:c>
      <x:c r="K9" s="28" t="str">
        <x:f>IF(ISNUMBER('年度汇率'!K9),1/'年度汇率'!K9,"")</x:f>
      </x:c>
      <x:c r="L9" s="28" t="n">
        <x:f>IF(ISNUMBER('年度汇率'!L9),1/'年度汇率'!L9,"")</x:f>
        <x:v>0.526223</x:v>
      </x:c>
      <x:c r="M9" s="28" t="str">
        <x:f>IF(ISNUMBER('年度汇率'!M9),1/'年度汇率'!M9,"")</x:f>
      </x:c>
      <x:c r="N9" s="12" t="str">
        <x:v>含缺失；欧元栏为德国代理</x:v>
      </x:c>
    </x:row>
    <x:row r="10" ht="32" customHeight="1">
      <x:c r="A10" t="n">
        <x:v>1924</x:v>
      </x:c>
      <x:c r="B10" s="28" t="n">
        <x:f>IF(ISNUMBER('年度汇率'!B10),1/'年度汇率'!B10,"")</x:f>
        <x:v>1</x:v>
      </x:c>
      <x:c r="C10" s="28" t="n">
        <x:f>IF(ISNUMBER('年度汇率'!C10),1/'年度汇率'!C10,"")</x:f>
        <x:v>4.41696113074205</x:v>
      </x:c>
      <x:c r="D10" s="28" t="n">
        <x:f>IF(ISNUMBER('年度汇率'!D10),1/'年度汇率'!D10,"")</x:f>
        <x:v>0.987166831194472</x:v>
      </x:c>
      <x:c r="E10" s="28" t="n">
        <x:f>IF(ISNUMBER('年度汇率'!E10),1/'年度汇率'!E10,"")</x:f>
        <x:v>0.05236698785085882</x:v>
      </x:c>
      <x:c r="F10" s="28" t="str">
        <x:f>IF(ISNUMBER('年度汇率'!F10),1/'年度汇率'!F10,"")</x:f>
      </x:c>
      <x:c r="G10" s="28" t="n">
        <x:f>IF(ISNUMBER('年度汇率'!G10),1/'年度汇率'!G10,"")</x:f>
        <x:v>0.043579999999999994</x:v>
      </x:c>
      <x:c r="H10" s="28" t="n">
        <x:f>IF(ISNUMBER('年度汇率'!H10),1/'年度汇率'!H10,"")</x:f>
        <x:v>0.4115226337448559</x:v>
      </x:c>
      <x:c r="I10" s="28" t="n">
        <x:f>IF(ISNUMBER('年度汇率'!I10),1/'年度汇率'!I10,"")</x:f>
        <x:v>0.18222902543917197</x:v>
      </x:c>
      <x:c r="J10" s="28" t="n">
        <x:f>IF(ISNUMBER('年度汇率'!J10),1/'年度汇率'!J10,"")</x:f>
        <x:v>0.31746031746031744</x:v>
      </x:c>
      <x:c r="K10" s="28" t="n">
        <x:f>IF(ISNUMBER('年度汇率'!K10),1/'年度汇率'!K10,"")</x:f>
        <x:v>0.515331100231899</x:v>
      </x:c>
      <x:c r="L10" s="28" t="n">
        <x:f>IF(ISNUMBER('年度汇率'!L10),1/'年度汇率'!L10,"")</x:f>
        <x:v>0.5269729999999999</x:v>
      </x:c>
      <x:c r="M10" s="28" t="str">
        <x:f>IF(ISNUMBER('年度汇率'!M10),1/'年度汇率'!M10,"")</x:f>
      </x:c>
      <x:c r="N10" s="12" t="str">
        <x:v>含缺失；卢布含官价参考；欧元栏为德国代理</x:v>
      </x:c>
    </x:row>
    <x:row r="11" ht="32" customHeight="1">
      <x:c r="A11" t="n">
        <x:v>1925</x:v>
      </x:c>
      <x:c r="B11" s="28" t="n">
        <x:f>IF(ISNUMBER('年度汇率'!B11),1/'年度汇率'!B11,"")</x:f>
        <x:v>1</x:v>
      </x:c>
      <x:c r="C11" s="28" t="n">
        <x:f>IF(ISNUMBER('年度汇率'!C11),1/'年度汇率'!C11,"")</x:f>
        <x:v>4.8285852245292125</x:v>
      </x:c>
      <x:c r="D11" s="28" t="n">
        <x:f>IF(ISNUMBER('年度汇率'!D11),1/'年度汇率'!D11,"")</x:f>
        <x:v>1</x:v>
      </x:c>
      <x:c r="E11" s="28" t="n">
        <x:f>IF(ISNUMBER('年度汇率'!E11),1/'年度汇率'!E11,"")</x:f>
        <x:v>0.04767125899795013</x:v>
      </x:c>
      <x:c r="F11" s="28" t="n">
        <x:f>IF(ISNUMBER('年度汇率'!F11),1/'年度汇率'!F11,"")</x:f>
        <x:v>0.23809523809523808</x:v>
      </x:c>
      <x:c r="G11" s="28" t="n">
        <x:f>IF(ISNUMBER('年度汇率'!G11),1/'年度汇率'!G11,"")</x:f>
        <x:v>0.039776</x:v>
      </x:c>
      <x:c r="H11" s="28" t="n">
        <x:f>IF(ISNUMBER('年度汇率'!H11),1/'年度汇率'!H11,"")</x:f>
        <x:v>0.4098360655737705</x:v>
      </x:c>
      <x:c r="I11" s="28" t="n">
        <x:f>IF(ISNUMBER('年度汇率'!I11),1/'年度汇率'!I11,"")</x:f>
        <x:v>0.19326659193691778</x:v>
      </x:c>
      <x:c r="J11" s="28" t="n">
        <x:f>IF(ISNUMBER('年度汇率'!J11),1/'年度汇率'!J11,"")</x:f>
        <x:v>0.3623188405797102</x:v>
      </x:c>
      <x:c r="K11" s="28" t="str">
        <x:f>IF(ISNUMBER('年度汇率'!K11),1/'年度汇率'!K11,"")</x:f>
      </x:c>
      <x:c r="L11" s="28" t="n">
        <x:f>IF(ISNUMBER('年度汇率'!L11),1/'年度汇率'!L11,"")</x:f>
        <x:v>0.569066</x:v>
      </x:c>
      <x:c r="M11" s="28" t="n">
        <x:f>IF(ISNUMBER('年度汇率'!M11),1/'年度汇率'!M11,"")</x:f>
        <x:v>0.23809523809523808</x:v>
      </x:c>
      <x:c r="N11" s="12" t="str">
        <x:v>含缺失；欧元栏为德国代理</x:v>
      </x:c>
    </x:row>
    <x:row r="12" ht="32" customHeight="1">
      <x:c r="A12" t="n">
        <x:v>1926</x:v>
      </x:c>
      <x:c r="B12" s="28" t="n">
        <x:f>IF(ISNUMBER('年度汇率'!B12),1/'年度汇率'!B12,"")</x:f>
        <x:v>1</x:v>
      </x:c>
      <x:c r="C12" s="28" t="n">
        <x:f>IF(ISNUMBER('年度汇率'!C12),1/'年度汇率'!C12,"")</x:f>
        <x:v>4.859086491739553</x:v>
      </x:c>
      <x:c r="D12" s="28" t="n">
        <x:f>IF(ISNUMBER('年度汇率'!D12),1/'年度汇率'!D12,"")</x:f>
        <x:v>1</x:v>
      </x:c>
      <x:c r="E12" s="28" t="n">
        <x:f>IF(ISNUMBER('年度汇率'!E12),1/'年度汇率'!E12,"")</x:f>
        <x:v>0.03242752448278098</x:v>
      </x:c>
      <x:c r="F12" s="28" t="n">
        <x:f>IF(ISNUMBER('年度汇率'!F12),1/'年度汇率'!F12,"")</x:f>
        <x:v>0.23809523809523808</x:v>
      </x:c>
      <x:c r="G12" s="28" t="n">
        <x:f>IF(ISNUMBER('年度汇率'!G12),1/'年度汇率'!G12,"")</x:f>
        <x:v>0.038894</x:v>
      </x:c>
      <x:c r="H12" s="28" t="n">
        <x:f>IF(ISNUMBER('年度汇率'!H12),1/'年度汇率'!H12,"")</x:f>
        <x:v>0.4716981132075471</x:v>
      </x:c>
      <x:c r="I12" s="28" t="n">
        <x:f>IF(ISNUMBER('年度汇率'!I12),1/'年度汇率'!I12,"")</x:f>
        <x:v>0.19312848838332142</x:v>
      </x:c>
      <x:c r="J12" s="28" t="n">
        <x:f>IF(ISNUMBER('年度汇率'!J12),1/'年度汇率'!J12,"")</x:f>
        <x:v>0.36363636363636365</x:v>
      </x:c>
      <x:c r="K12" s="28" t="str">
        <x:f>IF(ISNUMBER('年度汇率'!K12),1/'年度汇率'!K12,"")</x:f>
      </x:c>
      <x:c r="L12" s="28" t="n">
        <x:f>IF(ISNUMBER('年度汇率'!L12),1/'年度汇率'!L12,"")</x:f>
        <x:v>0.499807</x:v>
      </x:c>
      <x:c r="M12" s="28" t="n">
        <x:f>IF(ISNUMBER('年度汇率'!M12),1/'年度汇率'!M12,"")</x:f>
        <x:v>0.23809523809523808</x:v>
      </x:c>
      <x:c r="N12" s="12" t="str">
        <x:v>含缺失；欧元栏为德国代理</x:v>
      </x:c>
    </x:row>
    <x:row r="13" ht="32" customHeight="1">
      <x:c r="A13" t="n">
        <x:v>1927</x:v>
      </x:c>
      <x:c r="B13" s="28" t="n">
        <x:f>IF(ISNUMBER('年度汇率'!B13),1/'年度汇率'!B13,"")</x:f>
        <x:v>1</x:v>
      </x:c>
      <x:c r="C13" s="28" t="n">
        <x:f>IF(ISNUMBER('年度汇率'!C13),1/'年度汇率'!C13,"")</x:f>
        <x:v>4.861448711716092</x:v>
      </x:c>
      <x:c r="D13" s="28" t="n">
        <x:f>IF(ISNUMBER('年度汇率'!D13),1/'年度汇率'!D13,"")</x:f>
        <x:v>1</x:v>
      </x:c>
      <x:c r="E13" s="28" t="n">
        <x:f>IF(ISNUMBER('年度汇率'!E13),1/'年度汇率'!E13,"")</x:f>
        <x:v>0.03924030764401193</x:v>
      </x:c>
      <x:c r="F13" s="28" t="n">
        <x:f>IF(ISNUMBER('年度汇率'!F13),1/'年度汇率'!F13,"")</x:f>
        <x:v>0.23752969121140144</x:v>
      </x:c>
      <x:c r="G13" s="28" t="n">
        <x:f>IF(ISNUMBER('年度汇率'!G13),1/'年度汇率'!G13,"")</x:f>
        <x:v>0.051559999999999995</x:v>
      </x:c>
      <x:c r="H13" s="28" t="n">
        <x:f>IF(ISNUMBER('年度汇率'!H13),1/'年度汇率'!H13,"")</x:f>
        <x:v>0.47393364928909953</x:v>
      </x:c>
      <x:c r="I13" s="28" t="n">
        <x:f>IF(ISNUMBER('年度汇率'!I13),1/'年度汇率'!I13,"")</x:f>
        <x:v>0.19261884582787578</x:v>
      </x:c>
      <x:c r="J13" s="28" t="n">
        <x:f>IF(ISNUMBER('年度汇率'!J13),1/'年度汇率'!J13,"")</x:f>
        <x:v>0.36363636363636365</x:v>
      </x:c>
      <x:c r="K13" s="28" t="n">
        <x:f>IF(ISNUMBER('年度汇率'!K13),1/'年度汇率'!K13,"")</x:f>
        <x:v>0.5141388174807198</x:v>
      </x:c>
      <x:c r="L13" s="28" t="n">
        <x:f>IF(ISNUMBER('年度汇率'!L13),1/'年度汇率'!L13,"")</x:f>
        <x:v>0.439414</x:v>
      </x:c>
      <x:c r="M13" s="28" t="n">
        <x:f>IF(ISNUMBER('年度汇率'!M13),1/'年度汇率'!M13,"")</x:f>
        <x:v>0.23752969121140144</x:v>
      </x:c>
      <x:c r="N13" s="12" t="str">
        <x:v>卢布含官价参考；欧元栏为德国代理</x:v>
      </x:c>
    </x:row>
    <x:row r="14" ht="32" customHeight="1">
      <x:c r="A14" t="n">
        <x:v>1928</x:v>
      </x:c>
      <x:c r="B14" s="28" t="n">
        <x:f>IF(ISNUMBER('年度汇率'!B14),1/'年度汇率'!B14,"")</x:f>
        <x:v>1</x:v>
      </x:c>
      <x:c r="C14" s="28" t="n">
        <x:f>IF(ISNUMBER('年度汇率'!C14),1/'年度汇率'!C14,"")</x:f>
        <x:v>4.866180048661801</x:v>
      </x:c>
      <x:c r="D14" s="28" t="n">
        <x:f>IF(ISNUMBER('年度汇率'!D14),1/'年度汇率'!D14,"")</x:f>
        <x:v>0.9990009990009991</x:v>
      </x:c>
      <x:c r="E14" s="28" t="n">
        <x:f>IF(ISNUMBER('年度汇率'!E14),1/'年度汇率'!E14,"")</x:f>
        <x:v>0.03920953575909661</x:v>
      </x:c>
      <x:c r="F14" s="28" t="n">
        <x:f>IF(ISNUMBER('年度汇率'!F14),1/'年度汇率'!F14,"")</x:f>
        <x:v>0.2386634844868735</x:v>
      </x:c>
      <x:c r="G14" s="28" t="n">
        <x:f>IF(ISNUMBER('年度汇率'!G14),1/'年度汇率'!G14,"")</x:f>
        <x:v>0.052571</x:v>
      </x:c>
      <x:c r="H14" s="28" t="n">
        <x:f>IF(ISNUMBER('年度汇率'!H14),1/'年度汇率'!H14,"")</x:f>
        <x:v>0.46511627906976744</x:v>
      </x:c>
      <x:c r="I14" s="28" t="n">
        <x:f>IF(ISNUMBER('年度汇率'!I14),1/'年度汇率'!I14,"")</x:f>
        <x:v>0.19259658718847503</x:v>
      </x:c>
      <x:c r="J14" s="28" t="n">
        <x:f>IF(ISNUMBER('年度汇率'!J14),1/'年度汇率'!J14,"")</x:f>
        <x:v>0.36496350364963503</x:v>
      </x:c>
      <x:c r="K14" s="28" t="n">
        <x:f>IF(ISNUMBER('年度汇率'!K14),1/'年度汇率'!K14,"")</x:f>
        <x:v>0.5145621076463929</x:v>
      </x:c>
      <x:c r="L14" s="28" t="n">
        <x:f>IF(ISNUMBER('年度汇率'!L14),1/'年度汇率'!L14,"")</x:f>
        <x:v>0.461378</x:v>
      </x:c>
      <x:c r="M14" s="28" t="n">
        <x:f>IF(ISNUMBER('年度汇率'!M14),1/'年度汇率'!M14,"")</x:f>
        <x:v>0.2386634844868735</x:v>
      </x:c>
      <x:c r="N14" s="12" t="str">
        <x:v>卢布含官价参考；欧元栏为德国代理</x:v>
      </x:c>
    </x:row>
    <x:row r="15" ht="32" customHeight="1">
      <x:c r="A15" t="n">
        <x:v>1929</x:v>
      </x:c>
      <x:c r="B15" s="28" t="n">
        <x:f>IF(ISNUMBER('年度汇率'!B15),1/'年度汇率'!B15,"")</x:f>
        <x:v>1</x:v>
      </x:c>
      <x:c r="C15" s="28" t="n">
        <x:f>IF(ISNUMBER('年度汇率'!C15),1/'年度汇率'!C15,"")</x:f>
        <x:v>4.856726566294317</x:v>
      </x:c>
      <x:c r="D15" s="28" t="n">
        <x:f>IF(ISNUMBER('年度汇率'!D15),1/'年度汇率'!D15,"")</x:f>
        <x:v>0.9920634920634921</x:v>
      </x:c>
      <x:c r="E15" s="28" t="n">
        <x:f>IF(ISNUMBER('年度汇率'!E15),1/'年度汇率'!E15,"")</x:f>
        <x:v>0.039160401002506263</x:v>
      </x:c>
      <x:c r="F15" s="28" t="n">
        <x:f>IF(ISNUMBER('年度汇率'!F15),1/'年度汇率'!F15,"")</x:f>
        <x:v>0.23809523809523808</x:v>
      </x:c>
      <x:c r="G15" s="28" t="n">
        <x:f>IF(ISNUMBER('年度汇率'!G15),1/'年度汇率'!G15,"")</x:f>
        <x:v>0.052334</x:v>
      </x:c>
      <x:c r="H15" s="28" t="n">
        <x:f>IF(ISNUMBER('年度汇率'!H15),1/'年度汇率'!H15,"")</x:f>
        <x:v>0.4608294930875576</x:v>
      </x:c>
      <x:c r="I15" s="28" t="n">
        <x:f>IF(ISNUMBER('年度汇率'!I15),1/'年度汇率'!I15,"")</x:f>
        <x:v>0.1927933833310841</x:v>
      </x:c>
      <x:c r="J15" s="28" t="n">
        <x:f>IF(ISNUMBER('年度汇率'!J15),1/'年度汇率'!J15,"")</x:f>
        <x:v>0.3623188405797102</x:v>
      </x:c>
      <x:c r="K15" s="28" t="n">
        <x:f>IF(ISNUMBER('年度汇率'!K15),1/'年度汇率'!K15,"")</x:f>
        <x:v>0.5145621076463929</x:v>
      </x:c>
      <x:c r="L15" s="28" t="n">
        <x:f>IF(ISNUMBER('年度汇率'!L15),1/'年度汇率'!L15,"")</x:f>
        <x:v>0.419007</x:v>
      </x:c>
      <x:c r="M15" s="28" t="n">
        <x:f>IF(ISNUMBER('年度汇率'!M15),1/'年度汇率'!M15,"")</x:f>
        <x:v>0.23809523809523808</x:v>
      </x:c>
      <x:c r="N15" s="12" t="str">
        <x:v>卢布含官价参考；欧元栏为德国代理</x:v>
      </x:c>
    </x:row>
    <x:row r="16" ht="32" customHeight="1">
      <x:c r="A16" t="n">
        <x:v>1930</x:v>
      </x:c>
      <x:c r="B16" s="28" t="n">
        <x:f>IF(ISNUMBER('年度汇率'!B16),1/'年度汇率'!B16,"")</x:f>
        <x:v>1</x:v>
      </x:c>
      <x:c r="C16" s="28" t="n">
        <x:f>IF(ISNUMBER('年度汇率'!C16),1/'年度汇率'!C16,"")</x:f>
        <x:v>4.861448711716092</x:v>
      </x:c>
      <x:c r="D16" s="28" t="n">
        <x:f>IF(ISNUMBER('年度汇率'!D16),1/'年度汇率'!D16,"")</x:f>
        <x:v>0.998003992015968</x:v>
      </x:c>
      <x:c r="E16" s="28" t="n">
        <x:f>IF(ISNUMBER('年度汇率'!E16),1/'年度汇率'!E16,"")</x:f>
        <x:v>0.03924954863019075</x:v>
      </x:c>
      <x:c r="F16" s="28" t="n">
        <x:f>IF(ISNUMBER('年度汇率'!F16),1/'年度汇率'!F16,"")</x:f>
        <x:v>0.2386634844868735</x:v>
      </x:c>
      <x:c r="G16" s="28" t="n">
        <x:f>IF(ISNUMBER('年度汇率'!G16),1/'年度汇率'!G16,"")</x:f>
        <x:v>0.052374</x:v>
      </x:c>
      <x:c r="H16" s="28" t="n">
        <x:f>IF(ISNUMBER('年度汇率'!H16),1/'年度汇率'!H16,"")</x:f>
        <x:v>0.49504950495049505</x:v>
      </x:c>
      <x:c r="I16" s="28" t="n">
        <x:f>IF(ISNUMBER('年度汇率'!I16),1/'年度汇率'!I16,"")</x:f>
        <x:v>0.1938209869364655</x:v>
      </x:c>
      <x:c r="J16" s="28" t="n">
        <x:f>IF(ISNUMBER('年度汇率'!J16),1/'年度汇率'!J16,"")</x:f>
        <x:v>0.36101083032490977</x:v>
      </x:c>
      <x:c r="K16" s="28" t="n">
        <x:f>IF(ISNUMBER('年度汇率'!K16),1/'年度汇率'!K16,"")</x:f>
        <x:v>0.5145621076463929</x:v>
      </x:c>
      <x:c r="L16" s="28" t="n">
        <x:f>IF(ISNUMBER('年度汇率'!L16),1/'年度汇率'!L16,"")</x:f>
        <x:v>0.299166</x:v>
      </x:c>
      <x:c r="M16" s="28" t="n">
        <x:f>IF(ISNUMBER('年度汇率'!M16),1/'年度汇率'!M16,"")</x:f>
        <x:v>0.2386634844868735</x:v>
      </x:c>
      <x:c r="N16" s="12" t="str">
        <x:v>卢布含官价参考；欧元栏为德国代理</x:v>
      </x:c>
    </x:row>
    <x:row r="17" ht="32" customHeight="1">
      <x:c r="A17" t="n">
        <x:v>1931</x:v>
      </x:c>
      <x:c r="B17" s="28" t="n">
        <x:f>IF(ISNUMBER('年度汇率'!B17),1/'年度汇率'!B17,"")</x:f>
        <x:v>1</x:v>
      </x:c>
      <x:c r="C17" s="28" t="n">
        <x:f>IF(ISNUMBER('年度汇率'!C17),1/'年度汇率'!C17,"")</x:f>
        <x:v>4.535147392290249</x:v>
      </x:c>
      <x:c r="D17" s="28" t="n">
        <x:f>IF(ISNUMBER('年度汇率'!D17),1/'年度汇率'!D17,"")</x:f>
        <x:v>0.9633911368015414</x:v>
      </x:c>
      <x:c r="E17" s="28" t="n">
        <x:f>IF(ISNUMBER('年度汇率'!E17),1/'年度汇率'!E17,"")</x:f>
        <x:v>0.03920031360250882</x:v>
      </x:c>
      <x:c r="F17" s="28" t="n">
        <x:f>IF(ISNUMBER('年度汇率'!F17),1/'年度汇率'!F17,"")</x:f>
        <x:v>0.23640661938534277</x:v>
      </x:c>
      <x:c r="G17" s="28" t="n">
        <x:f>IF(ISNUMBER('年度汇率'!G17),1/'年度汇率'!G17,"")</x:f>
        <x:v>0.052063</x:v>
      </x:c>
      <x:c r="H17" s="28" t="n">
        <x:f>IF(ISNUMBER('年度汇率'!H17),1/'年度汇率'!H17,"")</x:f>
        <x:v>0.48780487804878053</x:v>
      </x:c>
      <x:c r="I17" s="28" t="n">
        <x:f>IF(ISNUMBER('年度汇率'!I17),1/'年度汇率'!I17,"")</x:f>
        <x:v>0.19400900201769364</x:v>
      </x:c>
      <x:c r="J17" s="28" t="n">
        <x:f>IF(ISNUMBER('年度汇率'!J17),1/'年度汇率'!J17,"")</x:f>
        <x:v>0.33670033670033667</x:v>
      </x:c>
      <x:c r="K17" s="28" t="n">
        <x:f>IF(ISNUMBER('年度汇率'!K17),1/'年度汇率'!K17,"")</x:f>
        <x:v>0.5145621076463929</x:v>
      </x:c>
      <x:c r="L17" s="28" t="n">
        <x:f>IF(ISNUMBER('年度汇率'!L17),1/'年度汇率'!L17,"")</x:f>
        <x:v>0.224369</x:v>
      </x:c>
      <x:c r="M17" s="28" t="n">
        <x:f>IF(ISNUMBER('年度汇率'!M17),1/'年度汇率'!M17,"")</x:f>
        <x:v>0.23640661938534277</x:v>
      </x:c>
      <x:c r="N17" s="12" t="str">
        <x:v>卢布含官价参考；欧元栏为德国代理</x:v>
      </x:c>
    </x:row>
    <x:row r="18" ht="32" customHeight="1">
      <x:c r="A18" t="n">
        <x:v>1932</x:v>
      </x:c>
      <x:c r="B18" s="28" t="n">
        <x:f>IF(ISNUMBER('年度汇率'!B18),1/'年度汇率'!B18,"")</x:f>
        <x:v>1</x:v>
      </x:c>
      <x:c r="C18" s="28" t="n">
        <x:f>IF(ISNUMBER('年度汇率'!C18),1/'年度汇率'!C18,"")</x:f>
        <x:v>3.506311360448808</x:v>
      </x:c>
      <x:c r="D18" s="28" t="n">
        <x:f>IF(ISNUMBER('年度汇率'!D18),1/'年度汇率'!D18,"")</x:f>
        <x:v>0.8810572687224669</x:v>
      </x:c>
      <x:c r="E18" s="28" t="n">
        <x:f>IF(ISNUMBER('年度汇率'!E18),1/'年度汇率'!E18,"")</x:f>
        <x:v>0.03927575507639135</x:v>
      </x:c>
      <x:c r="F18" s="28" t="n">
        <x:f>IF(ISNUMBER('年度汇率'!F18),1/'年度汇率'!F18,"")</x:f>
        <x:v>0.23752969121140144</x:v>
      </x:c>
      <x:c r="G18" s="28" t="n">
        <x:f>IF(ISNUMBER('年度汇率'!G18),1/'年度汇率'!G18,"")</x:f>
        <x:v>0.051253</x:v>
      </x:c>
      <x:c r="H18" s="28" t="n">
        <x:f>IF(ISNUMBER('年度汇率'!H18),1/'年度汇率'!H18,"")</x:f>
        <x:v>0.2808988764044944</x:v>
      </x:c>
      <x:c r="I18" s="28" t="n">
        <x:f>IF(ISNUMBER('年度汇率'!I18),1/'年度汇率'!I18,"")</x:f>
        <x:v>0.19405041429763453</x:v>
      </x:c>
      <x:c r="J18" s="28" t="n">
        <x:f>IF(ISNUMBER('年度汇率'!J18),1/'年度汇率'!J18,"")</x:f>
        <x:v>0.2631578947368421</x:v>
      </x:c>
      <x:c r="K18" s="28" t="n">
        <x:f>IF(ISNUMBER('年度汇率'!K18),1/'年度汇率'!K18,"")</x:f>
        <x:v>0.5145621076463929</x:v>
      </x:c>
      <x:c r="L18" s="28" t="n">
        <x:f>IF(ISNUMBER('年度汇率'!L18),1/'年度汇率'!L18,"")</x:f>
        <x:v>0.217357</x:v>
      </x:c>
      <x:c r="M18" s="28" t="n">
        <x:f>IF(ISNUMBER('年度汇率'!M18),1/'年度汇率'!M18,"")</x:f>
        <x:v>0.23752969121140144</x:v>
      </x:c>
      <x:c r="N18" s="12" t="str">
        <x:v>卢布含官价参考；欧元栏为德国代理</x:v>
      </x:c>
    </x:row>
    <x:row r="19" ht="32" customHeight="1">
      <x:c r="A19" t="n">
        <x:v>1933</x:v>
      </x:c>
      <x:c r="B19" s="28" t="n">
        <x:f>IF(ISNUMBER('年度汇率'!B19),1/'年度汇率'!B19,"")</x:f>
        <x:v>1</x:v>
      </x:c>
      <x:c r="C19" s="28" t="n">
        <x:f>IF(ISNUMBER('年度汇率'!C19),1/'年度汇率'!C19,"")</x:f>
        <x:v>4.237288135593221</x:v>
      </x:c>
      <x:c r="D19" s="28" t="n">
        <x:f>IF(ISNUMBER('年度汇率'!D19),1/'年度汇率'!D19,"")</x:f>
        <x:v>0.9199632014719411</x:v>
      </x:c>
      <x:c r="E19" s="28" t="n">
        <x:f>IF(ISNUMBER('年度汇率'!E19),1/'年度汇率'!E19,"")</x:f>
        <x:v>0.0503119339907426</x:v>
      </x:c>
      <x:c r="F19" s="28" t="n">
        <x:f>IF(ISNUMBER('年度汇率'!F19),1/'年度汇率'!F19,"")</x:f>
        <x:v>0.3048780487804878</x:v>
      </x:c>
      <x:c r="G19" s="28" t="n">
        <x:f>IF(ISNUMBER('年度汇率'!G19),1/'年度汇率'!G19,"")</x:f>
        <x:v>0.06709399999999999</x:v>
      </x:c>
      <x:c r="H19" s="28" t="n">
        <x:f>IF(ISNUMBER('年度汇率'!H19),1/'年度汇率'!H19,"")</x:f>
        <x:v>0.25641025641025644</x:v>
      </x:c>
      <x:c r="I19" s="28" t="n">
        <x:f>IF(ISNUMBER('年度汇率'!I19),1/'年度汇率'!I19,"")</x:f>
        <x:v>0.24835465044082947</x:v>
      </x:c>
      <x:c r="J19" s="28" t="n">
        <x:f>IF(ISNUMBER('年度汇率'!J19),1/'年度汇率'!J19,"")</x:f>
        <x:v>0.3184713375796178</x:v>
      </x:c>
      <x:c r="K19" s="28" t="n">
        <x:f>IF(ISNUMBER('年度汇率'!K19),1/'年度汇率'!K19,"")</x:f>
        <x:v>0.5145621076463929</x:v>
      </x:c>
      <x:c r="L19" s="28" t="n">
        <x:f>IF(ISNUMBER('年度汇率'!L19),1/'年度汇率'!L19,"")</x:f>
        <x:v>0.285979</x:v>
      </x:c>
      <x:c r="M19" s="28" t="n">
        <x:f>IF(ISNUMBER('年度汇率'!M19),1/'年度汇率'!M19,"")</x:f>
        <x:v>0.3048780487804878</x:v>
      </x:c>
      <x:c r="N19" s="12" t="str">
        <x:v>卢布含官价参考；含部分年；欧元栏为德国代理</x:v>
      </x:c>
    </x:row>
    <x:row r="20" ht="32" customHeight="1">
      <x:c r="A20" t="n">
        <x:v>1934</x:v>
      </x:c>
      <x:c r="B20" s="28" t="n">
        <x:f>IF(ISNUMBER('年度汇率'!B20),1/'年度汇率'!B20,"")</x:f>
        <x:v>1</x:v>
      </x:c>
      <x:c r="C20" s="28" t="n">
        <x:f>IF(ISNUMBER('年度汇率'!C20),1/'年度汇率'!C20,"")</x:f>
        <x:v>5.037783375314861</x:v>
      </x:c>
      <x:c r="D20" s="28" t="n">
        <x:f>IF(ISNUMBER('年度汇率'!D20),1/'年度汇率'!D20,"")</x:f>
        <x:v>1.0101010101010102</x:v>
      </x:c>
      <x:c r="E20" s="28" t="n">
        <x:f>IF(ISNUMBER('年度汇率'!E20),1/'年度汇率'!E20,"")</x:f>
        <x:v>0.06569007422978387</x:v>
      </x:c>
      <x:c r="F20" s="28" t="n">
        <x:f>IF(ISNUMBER('年度汇率'!F20),1/'年度汇率'!F20,"")</x:f>
        <x:v>0.39370078740157477</x:v>
      </x:c>
      <x:c r="G20" s="28" t="n">
        <x:f>IF(ISNUMBER('年度汇率'!G20),1/'年度汇率'!G20,"")</x:f>
        <x:v>0.085617</x:v>
      </x:c>
      <x:c r="H20" s="28" t="n">
        <x:f>IF(ISNUMBER('年度汇率'!H20),1/'年度汇率'!H20,"")</x:f>
        <x:v>0.29673590504451036</x:v>
      </x:c>
      <x:c r="I20" s="28" t="n">
        <x:f>IF(ISNUMBER('年度汇率'!I20),1/'年度汇率'!I20,"")</x:f>
        <x:v>0.3236664940445365</x:v>
      </x:c>
      <x:c r="J20" s="28" t="n">
        <x:f>IF(ISNUMBER('年度汇率'!J20),1/'年度汇率'!J20,"")</x:f>
        <x:v>0.3787878787878788</x:v>
      </x:c>
      <x:c r="K20" s="28" t="n">
        <x:f>IF(ISNUMBER('年度汇率'!K20),1/'年度汇率'!K20,"")</x:f>
        <x:v>0.804246421103426</x:v>
      </x:c>
      <x:c r="L20" s="28" t="n">
        <x:f>IF(ISNUMBER('年度汇率'!L20),1/'年度汇率'!L20,"")</x:f>
        <x:v>0.340937</x:v>
      </x:c>
      <x:c r="M20" s="28" t="n">
        <x:f>IF(ISNUMBER('年度汇率'!M20),1/'年度汇率'!M20,"")</x:f>
        <x:v>0.39370078740157477</x:v>
      </x:c>
      <x:c r="N20" s="12" t="str">
        <x:v>卢布含官价参考；欧元栏为德国代理</x:v>
      </x:c>
    </x:row>
    <x:row r="21" ht="32" customHeight="1">
      <x:c r="A21" t="n">
        <x:v>1935</x:v>
      </x:c>
      <x:c r="B21" s="28" t="n">
        <x:f>IF(ISNUMBER('年度汇率'!B21),1/'年度汇率'!B21,"")</x:f>
        <x:v>1</x:v>
      </x:c>
      <x:c r="C21" s="28" t="n">
        <x:f>IF(ISNUMBER('年度汇率'!C21),1/'年度汇率'!C21,"")</x:f>
        <x:v>4.901960784313726</x:v>
      </x:c>
      <x:c r="D21" s="28" t="n">
        <x:f>IF(ISNUMBER('年度汇率'!D21),1/'年度汇率'!D21,"")</x:f>
        <x:v>0.9950248756218907</x:v>
      </x:c>
      <x:c r="E21" s="28" t="n">
        <x:f>IF(ISNUMBER('年度汇率'!E21),1/'年度汇率'!E21,"")</x:f>
        <x:v>0.06601095781899796</x:v>
      </x:c>
      <x:c r="F21" s="28" t="n">
        <x:f>IF(ISNUMBER('年度汇率'!F21),1/'年度汇率'!F21,"")</x:f>
        <x:v>0.40322580645161293</x:v>
      </x:c>
      <x:c r="G21" s="28" t="n">
        <x:f>IF(ISNUMBER('年度汇率'!G21),1/'年度汇率'!G21,"")</x:f>
        <x:v>0.08247099999999999</x:v>
      </x:c>
      <x:c r="H21" s="28" t="n">
        <x:f>IF(ISNUMBER('年度汇率'!H21),1/'年度汇率'!H21,"")</x:f>
        <x:v>0.28735632183908044</x:v>
      </x:c>
      <x:c r="I21" s="28" t="n">
        <x:f>IF(ISNUMBER('年度汇率'!I21),1/'年度汇率'!I21,"")</x:f>
        <x:v>0.3249707526322631</x:v>
      </x:c>
      <x:c r="J21" s="28" t="n">
        <x:f>IF(ISNUMBER('年度汇率'!J21),1/'年度汇率'!J21,"")</x:f>
        <x:v>0.36900369003690037</x:v>
      </x:c>
      <x:c r="K21" s="28" t="n">
        <x:f>IF(ISNUMBER('年度汇率'!K21),1/'年度汇率'!K21,"")</x:f>
        <x:v>0.8688852202624033</x:v>
      </x:c>
      <x:c r="L21" s="28" t="n">
        <x:f>IF(ISNUMBER('年度汇率'!L21),1/'年度汇率'!L21,"")</x:f>
        <x:v>0.36570700000000006</x:v>
      </x:c>
      <x:c r="M21" s="28" t="n">
        <x:f>IF(ISNUMBER('年度汇率'!M21),1/'年度汇率'!M21,"")</x:f>
        <x:v>0.40322580645161293</x:v>
      </x:c>
      <x:c r="N21" s="12" t="str">
        <x:v>卢布含官价参考；欧元栏为德国代理</x:v>
      </x:c>
    </x:row>
    <x:row r="22" ht="32" customHeight="1">
      <x:c r="A22" t="n">
        <x:v>1936</x:v>
      </x:c>
      <x:c r="B22" s="28" t="n">
        <x:f>IF(ISNUMBER('年度汇率'!B22),1/'年度汇率'!B22,"")</x:f>
        <x:v>1</x:v>
      </x:c>
      <x:c r="C22" s="28" t="n">
        <x:f>IF(ISNUMBER('年度汇率'!C22),1/'年度汇率'!C22,"")</x:f>
        <x:v>4.970178926441352</x:v>
      </x:c>
      <x:c r="D22" s="28" t="n">
        <x:f>IF(ISNUMBER('年度汇率'!D22),1/'年度汇率'!D22,"")</x:f>
        <x:v>0.9990009990009991</x:v>
      </x:c>
      <x:c r="E22" s="28" t="n">
        <x:f>IF(ISNUMBER('年度汇率'!E22),1/'年度汇率'!E22,"")</x:f>
        <x:v>0.0611396429444852</x:v>
      </x:c>
      <x:c r="F22" s="28" t="n">
        <x:f>IF(ISNUMBER('年度汇率'!F22),1/'年度汇率'!F22,"")</x:f>
        <x:v>0.40322580645161293</x:v>
      </x:c>
      <x:c r="G22" s="28" t="n">
        <x:f>IF(ISNUMBER('年度汇率'!G22),1/'年度汇率'!G22,"")</x:f>
        <x:v>0.072916</x:v>
      </x:c>
      <x:c r="H22" s="28" t="n">
        <x:f>IF(ISNUMBER('年度汇率'!H22),1/'年度汇率'!H22,"")</x:f>
        <x:v>0.2898550724637681</x:v>
      </x:c>
      <x:c r="I22" s="28" t="n">
        <x:f>IF(ISNUMBER('年度汇率'!I22),1/'年度汇率'!I22,"")</x:f>
        <x:v>0.3018867924528302</x:v>
      </x:c>
      <x:c r="J22" s="28" t="n">
        <x:f>IF(ISNUMBER('年度汇率'!J22),1/'年度汇率'!J22,"")</x:f>
        <x:v>0.37453183520599254</x:v>
      </x:c>
      <x:c r="K22" s="28" t="n">
        <x:f>IF(ISNUMBER('年度汇率'!K22),1/'年度汇率'!K22,"")</x:f>
        <x:v>0.868357068426537</x:v>
      </x:c>
      <x:c r="L22" s="28" t="n">
        <x:f>IF(ISNUMBER('年度汇率'!L22),1/'年度汇率'!L22,"")</x:f>
        <x:v>0.297506</x:v>
      </x:c>
      <x:c r="M22" s="28" t="n">
        <x:f>IF(ISNUMBER('年度汇率'!M22),1/'年度汇率'!M22,"")</x:f>
        <x:v>0.40322580645161293</x:v>
      </x:c>
      <x:c r="N22" s="12" t="str">
        <x:v>卢布含官价参考；欧元栏为德国代理</x:v>
      </x:c>
    </x:row>
    <x:row r="23" ht="32" customHeight="1">
      <x:c r="A23" t="n">
        <x:v>1937</x:v>
      </x:c>
      <x:c r="B23" s="28" t="n">
        <x:f>IF(ISNUMBER('年度汇率'!B23),1/'年度汇率'!B23,"")</x:f>
        <x:v>1</x:v>
      </x:c>
      <x:c r="C23" s="28" t="n">
        <x:f>IF(ISNUMBER('年度汇率'!C23),1/'年度汇率'!C23,"")</x:f>
        <x:v>4.9431537320810675</x:v>
      </x:c>
      <x:c r="D23" s="28" t="n">
        <x:f>IF(ISNUMBER('年度汇率'!D23),1/'年度汇率'!D23,"")</x:f>
        <x:v>1</x:v>
      </x:c>
      <x:c r="E23" s="28" t="n">
        <x:f>IF(ISNUMBER('年度汇率'!E23),1/'年度汇率'!E23,"")</x:f>
        <x:v>0.04045962129794465</x:v>
      </x:c>
      <x:c r="F23" s="28" t="n">
        <x:f>IF(ISNUMBER('年度汇率'!F23),1/'年度汇率'!F23,"")</x:f>
        <x:v>0.4016064257028112</x:v>
      </x:c>
      <x:c r="G23" s="28" t="n">
        <x:f>IF(ISNUMBER('年度汇率'!G23),1/'年度汇率'!G23,"")</x:f>
        <x:v>0.052607</x:v>
      </x:c>
      <x:c r="H23" s="28" t="n">
        <x:f>IF(ISNUMBER('年度汇率'!H23),1/'年度汇率'!H23,"")</x:f>
        <x:v>0.2881844380403458</x:v>
      </x:c>
      <x:c r="I23" s="28" t="n">
        <x:f>IF(ISNUMBER('年度汇率'!I23),1/'年度汇率'!I23,"")</x:f>
        <x:v>0.22937884209560508</x:v>
      </x:c>
      <x:c r="J23" s="28" t="n">
        <x:f>IF(ISNUMBER('年度汇率'!J23),1/'年度汇率'!J23,"")</x:f>
        <x:v>0.3731343283582089</x:v>
      </x:c>
      <x:c r="K23" s="28" t="n">
        <x:f>IF(ISNUMBER('年度汇率'!K23),1/'年度汇率'!K23,"")</x:f>
        <x:v>0.1984126984126984</x:v>
      </x:c>
      <x:c r="L23" s="28" t="n">
        <x:f>IF(ISNUMBER('年度汇率'!L23),1/'年度汇率'!L23,"")</x:f>
        <x:v>0.296064</x:v>
      </x:c>
      <x:c r="M23" s="28" t="n">
        <x:f>IF(ISNUMBER('年度汇率'!M23),1/'年度汇率'!M23,"")</x:f>
        <x:v>0.4016064257028112</x:v>
      </x:c>
      <x:c r="N23" s="12" t="str">
        <x:v>卢布含官价参考；欧元栏为德国代理</x:v>
      </x:c>
    </x:row>
    <x:row r="24" ht="32" customHeight="1">
      <x:c r="A24" t="n">
        <x:v>1938</x:v>
      </x:c>
      <x:c r="B24" s="28" t="n">
        <x:f>IF(ISNUMBER('年度汇率'!B24),1/'年度汇率'!B24,"")</x:f>
        <x:v>1</x:v>
      </x:c>
      <x:c r="C24" s="28" t="n">
        <x:f>IF(ISNUMBER('年度汇率'!C24),1/'年度汇率'!C24,"")</x:f>
        <x:v>4.88997555012225</x:v>
      </x:c>
      <x:c r="D24" s="28" t="n">
        <x:f>IF(ISNUMBER('年度汇率'!D24),1/'年度汇率'!D24,"")</x:f>
        <x:v>0.9940357852882704</x:v>
      </x:c>
      <x:c r="E24" s="28" t="n">
        <x:f>IF(ISNUMBER('年度汇率'!E24),1/'年度汇率'!E24,"")</x:f>
        <x:v>0.02878111958555188</x:v>
      </x:c>
      <x:c r="F24" s="28" t="n">
        <x:f>IF(ISNUMBER('年度汇率'!F24),1/'年度汇率'!F24,"")</x:f>
        <x:v>0.4016064257028112</x:v>
      </x:c>
      <x:c r="G24" s="28" t="n">
        <x:f>IF(ISNUMBER('年度汇率'!G24),1/'年度汇率'!G24,"")</x:f>
        <x:v>0.052605000000000006</x:v>
      </x:c>
      <x:c r="H24" s="28" t="n">
        <x:f>IF(ISNUMBER('年度汇率'!H24),1/'年度汇率'!H24,"")</x:f>
        <x:v>0.2840909090909091</x:v>
      </x:c>
      <x:c r="I24" s="28" t="n">
        <x:f>IF(ISNUMBER('年度汇率'!I24),1/'年度汇率'!I24,"")</x:f>
        <x:v>0.22871257690460398</x:v>
      </x:c>
      <x:c r="J24" s="28" t="n">
        <x:f>IF(ISNUMBER('年度汇率'!J24),1/'年度汇率'!J24,"")</x:f>
        <x:v>0.3663003663003663</x:v>
      </x:c>
      <x:c r="K24" s="28" t="n">
        <x:f>IF(ISNUMBER('年度汇率'!K24),1/'年度汇率'!K24,"")</x:f>
        <x:v>0.18867924528301888</x:v>
      </x:c>
      <x:c r="L24" s="28" t="n">
        <x:f>IF(ISNUMBER('年度汇率'!L24),1/'年度汇率'!L24,"")</x:f>
        <x:v>0.21359599999999998</x:v>
      </x:c>
      <x:c r="M24" s="28" t="n">
        <x:f>IF(ISNUMBER('年度汇率'!M24),1/'年度汇率'!M24,"")</x:f>
        <x:v>0.4016064257028112</x:v>
      </x:c>
      <x:c r="N24" s="12" t="str">
        <x:v>卢布含官价参考；欧元栏为德国代理</x:v>
      </x:c>
    </x:row>
    <x:row r="25" ht="32" customHeight="1">
      <x:c r="A25" t="n">
        <x:v>1939</x:v>
      </x:c>
      <x:c r="B25" s="28" t="n">
        <x:f>IF(ISNUMBER('年度汇率'!B25),1/'年度汇率'!B25,"")</x:f>
        <x:v>1</x:v>
      </x:c>
      <x:c r="C25" s="28" t="n">
        <x:f>IF(ISNUMBER('年度汇率'!C25),1/'年度汇率'!C25,"")</x:f>
        <x:v>4.434589800443459</x:v>
      </x:c>
      <x:c r="D25" s="28" t="n">
        <x:f>IF(ISNUMBER('年度汇率'!D25),1/'年度汇率'!D25,"")</x:f>
        <x:v>0.9606147934678195</x:v>
      </x:c>
      <x:c r="E25" s="28" t="n">
        <x:f>IF(ISNUMBER('年度汇率'!E25),1/'年度汇率'!E25,"")</x:f>
        <x:v>0.025102921980118487</x:v>
      </x:c>
      <x:c r="F25" s="28" t="n">
        <x:f>IF(ISNUMBER('年度汇率'!F25),1/'年度汇率'!F25,"")</x:f>
        <x:v>0.4</x:v>
      </x:c>
      <x:c r="G25" s="28" t="n">
        <x:f>IF(ISNUMBER('年度汇率'!G25),1/'年度汇率'!G25,"")</x:f>
        <x:v>0.051959</x:v>
      </x:c>
      <x:c r="H25" s="28" t="n">
        <x:f>IF(ISNUMBER('年度汇率'!H25),1/'年度汇率'!H25,"")</x:f>
        <x:v>0.2597402597402597</x:v>
      </x:c>
      <x:c r="I25" s="28" t="n">
        <x:f>IF(ISNUMBER('年度汇率'!I25),1/'年度汇率'!I25,"")</x:f>
        <x:v>0.22524551761419945</x:v>
      </x:c>
      <x:c r="J25" s="28" t="n">
        <x:f>IF(ISNUMBER('年度汇率'!J25),1/'年度汇率'!J25,"")</x:f>
        <x:v>0.3333333333333333</x:v>
      </x:c>
      <x:c r="K25" s="28" t="n">
        <x:f>IF(ISNUMBER('年度汇率'!K25),1/'年度汇率'!K25,"")</x:f>
        <x:v>0.18867924528301888</x:v>
      </x:c>
      <x:c r="L25" s="28" t="n">
        <x:f>IF(ISNUMBER('年度汇率'!L25),1/'年度汇率'!L25,"")</x:f>
        <x:v>0.118793</x:v>
      </x:c>
      <x:c r="M25" s="28" t="n">
        <x:f>IF(ISNUMBER('年度汇率'!M25),1/'年度汇率'!M25,"")</x:f>
        <x:v>0.4</x:v>
      </x:c>
      <x:c r="N25" s="12" t="str">
        <x:v>卢布含官价参考；欧元栏为德国代理</x:v>
      </x:c>
    </x:row>
    <x:row r="26" ht="32" customHeight="1">
      <x:c r="A26" t="n">
        <x:v>1940</x:v>
      </x:c>
      <x:c r="B26" s="28" t="n">
        <x:f>IF(ISNUMBER('年度汇率'!B26),1/'年度汇率'!B26,"")</x:f>
        <x:v>1</x:v>
      </x:c>
      <x:c r="C26" s="28" t="n">
        <x:f>IF(ISNUMBER('年度汇率'!C26),1/'年度汇率'!C26,"")</x:f>
        <x:v>3.8299502106472616</x:v>
      </x:c>
      <x:c r="D26" s="28" t="n">
        <x:f>IF(ISNUMBER('年度汇率'!D26),1/'年度汇率'!D26,"")</x:f>
        <x:v>0.851063829787234</x:v>
      </x:c>
      <x:c r="E26" s="28" t="n">
        <x:f>IF(ISNUMBER('年度汇率'!E26),1/'年度汇率'!E26,"")</x:f>
        <x:v>0.02082682495053629</x:v>
      </x:c>
      <x:c r="F26" s="28" t="n">
        <x:f>IF(ISNUMBER('年度汇率'!F26),1/'年度汇率'!F26,"")</x:f>
        <x:v>0.4</x:v>
      </x:c>
      <x:c r="G26" s="28" t="n">
        <x:f>IF(ISNUMBER('年度汇率'!G26),1/'年度汇率'!G26,"")</x:f>
        <x:v>0.050407</x:v>
      </x:c>
      <x:c r="H26" s="28" t="n">
        <x:f>IF(ISNUMBER('年度汇率'!H26),1/'年度汇率'!H26,"")</x:f>
        <x:v>0.234192037470726</x:v>
      </x:c>
      <x:c r="I26" s="28" t="n">
        <x:f>IF(ISNUMBER('年度汇率'!I26),1/'年度汇率'!I26,"")</x:f>
        <x:v>0.22675736961451246</x:v>
      </x:c>
      <x:c r="J26" s="28" t="n">
        <x:f>IF(ISNUMBER('年度汇率'!J26),1/'年度汇率'!J26,"")</x:f>
        <x:v>0.30120481927710846</x:v>
      </x:c>
      <x:c r="K26" s="28" t="n">
        <x:f>IF(ISNUMBER('年度汇率'!K26),1/'年度汇率'!K26,"")</x:f>
        <x:v>0.18867924528301888</x:v>
      </x:c>
      <x:c r="L26" s="28" t="n">
        <x:f>IF(ISNUMBER('年度汇率'!L26),1/'年度汇率'!L26,"")</x:f>
        <x:v>0.059997999999999996</x:v>
      </x:c>
      <x:c r="M26" s="28" t="n">
        <x:f>IF(ISNUMBER('年度汇率'!M26),1/'年度汇率'!M26,"")</x:f>
        <x:v>0.4</x:v>
      </x:c>
      <x:c r="N26" s="12" t="str">
        <x:v>卢布含官价参考；含部分年；欧元栏为德国代理</x:v>
      </x:c>
    </x:row>
    <x:row r="27" ht="32" customHeight="1">
      <x:c r="A27" t="n">
        <x:v>1941</x:v>
      </x:c>
      <x:c r="B27" s="28" t="n">
        <x:f>IF(ISNUMBER('年度汇率'!B27),1/'年度汇率'!B27,"")</x:f>
        <x:v>1</x:v>
      </x:c>
      <x:c r="C27" s="28" t="n">
        <x:f>IF(ISNUMBER('年度汇率'!C27),1/'年度汇率'!C27,"")</x:f>
        <x:v>4.032258064516129</x:v>
      </x:c>
      <x:c r="D27" s="28" t="n">
        <x:f>IF(ISNUMBER('年度汇率'!D27),1/'年度汇率'!D27,"")</x:f>
        <x:v>0.8734387282732116</x:v>
      </x:c>
      <x:c r="E27" s="28" t="str">
        <x:f>IF(ISNUMBER('年度汇率'!E27),1/'年度汇率'!E27,"")</x:f>
      </x:c>
      <x:c r="F27" s="28" t="n">
        <x:f>IF(ISNUMBER('年度汇率'!F27),1/'年度汇率'!F27,"")</x:f>
        <x:v>0.4</x:v>
      </x:c>
      <x:c r="G27" s="28" t="n">
        <x:f>IF(ISNUMBER('年度汇率'!G27),1/'年度汇率'!G27,"")</x:f>
        <x:v>0.050703</x:v>
      </x:c>
      <x:c r="H27" s="28" t="n">
        <x:f>IF(ISNUMBER('年度汇率'!H27),1/'年度汇率'!H27,"")</x:f>
        <x:v>0.234192037470726</x:v>
      </x:c>
      <x:c r="I27" s="28" t="n">
        <x:f>IF(ISNUMBER('年度汇率'!I27),1/'年度汇率'!I27,"")</x:f>
        <x:v>0.23209395163162047</x:v>
      </x:c>
      <x:c r="J27" s="28" t="n">
        <x:f>IF(ISNUMBER('年度汇率'!J27),1/'年度汇率'!J27,"")</x:f>
        <x:v>0.30120481927710846</x:v>
      </x:c>
      <x:c r="K27" s="28" t="n">
        <x:f>IF(ISNUMBER('年度汇率'!K27),1/'年度汇率'!K27,"")</x:f>
        <x:v>0.18867924528301888</x:v>
      </x:c>
      <x:c r="L27" s="28" t="n">
        <x:f>IF(ISNUMBER('年度汇率'!L27),1/'年度汇率'!L27,"")</x:f>
        <x:v>0.053133</x:v>
      </x:c>
      <x:c r="M27" s="28" t="n">
        <x:f>IF(ISNUMBER('年度汇率'!M27),1/'年度汇率'!M27,"")</x:f>
        <x:v>0.4</x:v>
      </x:c>
      <x:c r="N27" s="12" t="str">
        <x:v>含缺失；卢布含官价参考；含部分年；欧元栏为德国代理</x:v>
      </x:c>
    </x:row>
    <x:row r="28" ht="32" customHeight="1">
      <x:c r="A28" t="n">
        <x:v>1942</x:v>
      </x:c>
      <x:c r="B28" s="28" t="n">
        <x:f>IF(ISNUMBER('年度汇率'!B28),1/'年度汇率'!B28,"")</x:f>
        <x:v>1</x:v>
      </x:c>
      <x:c r="C28" s="28" t="n">
        <x:f>IF(ISNUMBER('年度汇率'!C28),1/'年度汇率'!C28,"")</x:f>
        <x:v>4.035512510088782</x:v>
      </x:c>
      <x:c r="D28" s="28" t="str">
        <x:f>IF(ISNUMBER('年度汇率'!D28),1/'年度汇率'!D28,"")</x:f>
      </x:c>
      <x:c r="E28" s="28" t="str">
        <x:f>IF(ISNUMBER('年度汇率'!E28),1/'年度汇率'!E28,"")</x:f>
      </x:c>
      <x:c r="F28" s="28" t="str">
        <x:f>IF(ISNUMBER('年度汇率'!F28),1/'年度汇率'!F28,"")</x:f>
      </x:c>
      <x:c r="G28" s="28" t="str">
        <x:f>IF(ISNUMBER('年度汇率'!G28),1/'年度汇率'!G28,"")</x:f>
      </x:c>
      <x:c r="H28" s="28" t="str">
        <x:f>IF(ISNUMBER('年度汇率'!H28),1/'年度汇率'!H28,"")</x:f>
      </x:c>
      <x:c r="I28" s="28" t="str">
        <x:f>IF(ISNUMBER('年度汇率'!I28),1/'年度汇率'!I28,"")</x:f>
      </x:c>
      <x:c r="J28" s="28" t="n">
        <x:f>IF(ISNUMBER('年度汇率'!J28),1/'年度汇率'!J28,"")</x:f>
        <x:v>0.30120481927710846</x:v>
      </x:c>
      <x:c r="K28" s="28" t="n">
        <x:f>IF(ISNUMBER('年度汇率'!K28),1/'年度汇率'!K28,"")</x:f>
        <x:v>0.18867924528301888</x:v>
      </x:c>
      <x:c r="L28" s="28" t="str">
        <x:f>IF(ISNUMBER('年度汇率'!L28),1/'年度汇率'!L28,"")</x:f>
      </x:c>
      <x:c r="M28" s="28" t="str">
        <x:f>IF(ISNUMBER('年度汇率'!M28),1/'年度汇率'!M28,"")</x:f>
      </x:c>
      <x:c r="N28" s="12" t="str">
        <x:v>含缺失；卢布含官价参考；欧元栏为德国代理</x:v>
      </x:c>
    </x:row>
    <x:row r="29" ht="32" customHeight="1">
      <x:c r="A29" t="n">
        <x:v>1943</x:v>
      </x:c>
      <x:c r="B29" s="28" t="n">
        <x:f>IF(ISNUMBER('年度汇率'!B29),1/'年度汇率'!B29,"")</x:f>
        <x:v>1</x:v>
      </x:c>
      <x:c r="C29" s="28" t="n">
        <x:f>IF(ISNUMBER('年度汇率'!C29),1/'年度汇率'!C29,"")</x:f>
        <x:v>4.035512510088782</x:v>
      </x:c>
      <x:c r="D29" s="28" t="str">
        <x:f>IF(ISNUMBER('年度汇率'!D29),1/'年度汇率'!D29,"")</x:f>
      </x:c>
      <x:c r="E29" s="28" t="str">
        <x:f>IF(ISNUMBER('年度汇率'!E29),1/'年度汇率'!E29,"")</x:f>
      </x:c>
      <x:c r="F29" s="28" t="str">
        <x:f>IF(ISNUMBER('年度汇率'!F29),1/'年度汇率'!F29,"")</x:f>
      </x:c>
      <x:c r="G29" s="28" t="str">
        <x:f>IF(ISNUMBER('年度汇率'!G29),1/'年度汇率'!G29,"")</x:f>
      </x:c>
      <x:c r="H29" s="28" t="str">
        <x:f>IF(ISNUMBER('年度汇率'!H29),1/'年度汇率'!H29,"")</x:f>
      </x:c>
      <x:c r="I29" s="28" t="str">
        <x:f>IF(ISNUMBER('年度汇率'!I29),1/'年度汇率'!I29,"")</x:f>
      </x:c>
      <x:c r="J29" s="28" t="n">
        <x:f>IF(ISNUMBER('年度汇率'!J29),1/'年度汇率'!J29,"")</x:f>
        <x:v>0.30120481927710846</x:v>
      </x:c>
      <x:c r="K29" s="28" t="n">
        <x:f>IF(ISNUMBER('年度汇率'!K29),1/'年度汇率'!K29,"")</x:f>
        <x:v>0.18867924528301888</x:v>
      </x:c>
      <x:c r="L29" s="28" t="str">
        <x:f>IF(ISNUMBER('年度汇率'!L29),1/'年度汇率'!L29,"")</x:f>
      </x:c>
      <x:c r="M29" s="28" t="str">
        <x:f>IF(ISNUMBER('年度汇率'!M29),1/'年度汇率'!M29,"")</x:f>
      </x:c>
      <x:c r="N29" s="12" t="str">
        <x:v>含缺失；卢布含官价参考；欧元栏为德国代理</x:v>
      </x:c>
    </x:row>
    <x:row r="30" ht="32" customHeight="1">
      <x:c r="A30" t="n">
        <x:v>1944</x:v>
      </x:c>
      <x:c r="B30" s="28" t="n">
        <x:f>IF(ISNUMBER('年度汇率'!B30),1/'年度汇率'!B30,"")</x:f>
        <x:v>1</x:v>
      </x:c>
      <x:c r="C30" s="28" t="n">
        <x:f>IF(ISNUMBER('年度汇率'!C30),1/'年度汇率'!C30,"")</x:f>
        <x:v>4.035512510088782</x:v>
      </x:c>
      <x:c r="D30" s="28" t="str">
        <x:f>IF(ISNUMBER('年度汇率'!D30),1/'年度汇率'!D30,"")</x:f>
      </x:c>
      <x:c r="E30" s="28" t="str">
        <x:f>IF(ISNUMBER('年度汇率'!E30),1/'年度汇率'!E30,"")</x:f>
      </x:c>
      <x:c r="F30" s="28" t="str">
        <x:f>IF(ISNUMBER('年度汇率'!F30),1/'年度汇率'!F30,"")</x:f>
      </x:c>
      <x:c r="G30" s="28" t="str">
        <x:f>IF(ISNUMBER('年度汇率'!G30),1/'年度汇率'!G30,"")</x:f>
      </x:c>
      <x:c r="H30" s="28" t="str">
        <x:f>IF(ISNUMBER('年度汇率'!H30),1/'年度汇率'!H30,"")</x:f>
      </x:c>
      <x:c r="I30" s="28" t="str">
        <x:f>IF(ISNUMBER('年度汇率'!I30),1/'年度汇率'!I30,"")</x:f>
      </x:c>
      <x:c r="J30" s="28" t="n">
        <x:f>IF(ISNUMBER('年度汇率'!J30),1/'年度汇率'!J30,"")</x:f>
        <x:v>0.30120481927710846</x:v>
      </x:c>
      <x:c r="K30" s="28" t="n">
        <x:f>IF(ISNUMBER('年度汇率'!K30),1/'年度汇率'!K30,"")</x:f>
        <x:v>0.18867924528301888</x:v>
      </x:c>
      <x:c r="L30" s="28" t="str">
        <x:f>IF(ISNUMBER('年度汇率'!L30),1/'年度汇率'!L30,"")</x:f>
      </x:c>
      <x:c r="M30" s="28" t="str">
        <x:f>IF(ISNUMBER('年度汇率'!M30),1/'年度汇率'!M30,"")</x:f>
      </x:c>
      <x:c r="N30" s="12" t="str">
        <x:v>含缺失；卢布含官价参考；欧元栏为德国代理</x:v>
      </x:c>
    </x:row>
    <x:row r="31" ht="32" customHeight="1">
      <x:c r="A31" t="n">
        <x:v>1945</x:v>
      </x:c>
      <x:c r="B31" s="28" t="n">
        <x:f>IF(ISNUMBER('年度汇率'!B31),1/'年度汇率'!B31,"")</x:f>
        <x:v>1</x:v>
      </x:c>
      <x:c r="C31" s="28" t="n">
        <x:f>IF(ISNUMBER('年度汇率'!C31),1/'年度汇率'!C31,"")</x:f>
        <x:v>4.030632809351069</x:v>
      </x:c>
      <x:c r="D31" s="28" t="str">
        <x:f>IF(ISNUMBER('年度汇率'!D31),1/'年度汇率'!D31,"")</x:f>
      </x:c>
      <x:c r="E31" s="28" t="str">
        <x:f>IF(ISNUMBER('年度汇率'!E31),1/'年度汇率'!E31,"")</x:f>
      </x:c>
      <x:c r="F31" s="28" t="str">
        <x:f>IF(ISNUMBER('年度汇率'!F31),1/'年度汇率'!F31,"")</x:f>
      </x:c>
      <x:c r="G31" s="28" t="str">
        <x:f>IF(ISNUMBER('年度汇率'!G31),1/'年度汇率'!G31,"")</x:f>
      </x:c>
      <x:c r="H31" s="28" t="str">
        <x:f>IF(ISNUMBER('年度汇率'!H31),1/'年度汇率'!H31,"")</x:f>
      </x:c>
      <x:c r="I31" s="28" t="str">
        <x:f>IF(ISNUMBER('年度汇率'!I31),1/'年度汇率'!I31,"")</x:f>
      </x:c>
      <x:c r="J31" s="28" t="n">
        <x:f>IF(ISNUMBER('年度汇率'!J31),1/'年度汇率'!J31,"")</x:f>
        <x:v>0.30120481927710846</x:v>
      </x:c>
      <x:c r="K31" s="28" t="n">
        <x:f>IF(ISNUMBER('年度汇率'!K31),1/'年度汇率'!K31,"")</x:f>
        <x:v>0.18867924528301888</x:v>
      </x:c>
      <x:c r="L31" s="28" t="str">
        <x:f>IF(ISNUMBER('年度汇率'!L31),1/'年度汇率'!L31,"")</x:f>
      </x:c>
      <x:c r="M31" s="28" t="str">
        <x:f>IF(ISNUMBER('年度汇率'!M31),1/'年度汇率'!M31,"")</x:f>
      </x:c>
      <x:c r="N31" s="12" t="str">
        <x:v>含缺失；卢布含官价参考；欧元栏为德国代理</x:v>
      </x:c>
    </x:row>
    <x:row r="32" ht="32" customHeight="1">
      <x:c r="A32" t="n">
        <x:v>1946</x:v>
      </x:c>
      <x:c r="B32" s="28" t="n">
        <x:f>IF(ISNUMBER('年度汇率'!B32),1/'年度汇率'!B32,"")</x:f>
        <x:v>1</x:v>
      </x:c>
      <x:c r="C32" s="28" t="n">
        <x:f>IF(ISNUMBER('年度汇率'!C32),1/'年度汇率'!C32,"")</x:f>
        <x:v>4.032258064516129</x:v>
      </x:c>
      <x:c r="D32" s="28" t="n">
        <x:f>IF(ISNUMBER('年度汇率'!D32),1/'年度汇率'!D32,"")</x:f>
        <x:v>0.9328358208955223</x:v>
      </x:c>
      <x:c r="E32" s="28" t="str">
        <x:f>IF(ISNUMBER('年度汇率'!E32),1/'年度汇率'!E32,"")</x:f>
      </x:c>
      <x:c r="F32" s="28" t="str">
        <x:f>IF(ISNUMBER('年度汇率'!F32),1/'年度汇率'!F32,"")</x:f>
      </x:c>
      <x:c r="G32" s="28" t="str">
        <x:f>IF(ISNUMBER('年度汇率'!G32),1/'年度汇率'!G32,"")</x:f>
      </x:c>
      <x:c r="H32" s="28" t="str">
        <x:f>IF(ISNUMBER('年度汇率'!H32),1/'年度汇率'!H32,"")</x:f>
      </x:c>
      <x:c r="I32" s="28" t="n">
        <x:f>IF(ISNUMBER('年度汇率'!I32),1/'年度汇率'!I32,"")</x:f>
        <x:v>0.2336284839847674</x:v>
      </x:c>
      <x:c r="J32" s="28" t="n">
        <x:f>IF(ISNUMBER('年度汇率'!J32),1/'年度汇率'!J32,"")</x:f>
        <x:v>0.30120481927710846</x:v>
      </x:c>
      <x:c r="K32" s="28" t="n">
        <x:f>IF(ISNUMBER('年度汇率'!K32),1/'年度汇率'!K32,"")</x:f>
        <x:v>0.18867924528301888</x:v>
      </x:c>
      <x:c r="L32" s="28" t="str">
        <x:f>IF(ISNUMBER('年度汇率'!L32),1/'年度汇率'!L32,"")</x:f>
      </x:c>
      <x:c r="M32" s="28" t="str">
        <x:f>IF(ISNUMBER('年度汇率'!M32),1/'年度汇率'!M32,"")</x:f>
      </x:c>
      <x:c r="N32" s="12" t="str">
        <x:v>含缺失；卢布含官价参考；欧元栏为德国代理</x:v>
      </x:c>
    </x:row>
    <x:row r="33" ht="32" customHeight="1">
      <x:c r="A33" t="n">
        <x:v>1947</x:v>
      </x:c>
      <x:c r="B33" s="28" t="n">
        <x:f>IF(ISNUMBER('年度汇率'!B33),1/'年度汇率'!B33,"")</x:f>
        <x:v>1</x:v>
      </x:c>
      <x:c r="C33" s="28" t="n">
        <x:f>IF(ISNUMBER('年度汇率'!C33),1/'年度汇率'!C33,"")</x:f>
        <x:v>4.0290088638195005</x:v>
      </x:c>
      <x:c r="D33" s="28" t="n">
        <x:f>IF(ISNUMBER('年度汇率'!D33),1/'年度汇率'!D33,"")</x:f>
        <x:v>0.9199632014719411</x:v>
      </x:c>
      <x:c r="E33" s="28" t="str">
        <x:f>IF(ISNUMBER('年度汇率'!E33),1/'年度汇率'!E33,"")</x:f>
      </x:c>
      <x:c r="F33" s="28" t="str">
        <x:f>IF(ISNUMBER('年度汇率'!F33),1/'年度汇率'!F33,"")</x:f>
      </x:c>
      <x:c r="G33" s="28" t="str">
        <x:f>IF(ISNUMBER('年度汇率'!G33),1/'年度汇率'!G33,"")</x:f>
      </x:c>
      <x:c r="H33" s="28" t="str">
        <x:f>IF(ISNUMBER('年度汇率'!H33),1/'年度汇率'!H33,"")</x:f>
      </x:c>
      <x:c r="I33" s="28" t="n">
        <x:f>IF(ISNUMBER('年度汇率'!I33),1/'年度汇率'!I33,"")</x:f>
        <x:v>0.2336284839847674</x:v>
      </x:c>
      <x:c r="J33" s="28" t="n">
        <x:f>IF(ISNUMBER('年度汇率'!J33),1/'年度汇率'!J33,"")</x:f>
        <x:v>0.30120481927710846</x:v>
      </x:c>
      <x:c r="K33" s="28" t="n">
        <x:f>IF(ISNUMBER('年度汇率'!K33),1/'年度汇率'!K33,"")</x:f>
        <x:v>0.18867924528301888</x:v>
      </x:c>
      <x:c r="L33" s="28" t="str">
        <x:f>IF(ISNUMBER('年度汇率'!L33),1/'年度汇率'!L33,"")</x:f>
      </x:c>
      <x:c r="M33" s="28" t="str">
        <x:f>IF(ISNUMBER('年度汇率'!M33),1/'年度汇率'!M33,"")</x:f>
      </x:c>
      <x:c r="N33" s="12" t="str">
        <x:v>含缺失；卢布含官价参考；欧元栏为德国代理</x:v>
      </x:c>
    </x:row>
    <x:row r="34" ht="32" customHeight="1">
      <x:c r="A34" t="n">
        <x:v>1948</x:v>
      </x:c>
      <x:c r="B34" s="28" t="n">
        <x:f>IF(ISNUMBER('年度汇率'!B34),1/'年度汇率'!B34,"")</x:f>
        <x:v>1</x:v>
      </x:c>
      <x:c r="C34" s="28" t="n">
        <x:f>IF(ISNUMBER('年度汇率'!C34),1/'年度汇率'!C34,"")</x:f>
        <x:v>4.030632809351069</x:v>
      </x:c>
      <x:c r="D34" s="28" t="n">
        <x:f>IF(ISNUMBER('年度汇率'!D34),1/'年度汇率'!D34,"")</x:f>
        <x:v>0.9169264624977077</x:v>
      </x:c>
      <x:c r="E34" s="28" t="str">
        <x:f>IF(ISNUMBER('年度汇率'!E34),1/'年度汇率'!E34,"")</x:f>
      </x:c>
      <x:c r="F34" s="28" t="str">
        <x:f>IF(ISNUMBER('年度汇率'!F34),1/'年度汇率'!F34,"")</x:f>
      </x:c>
      <x:c r="G34" s="28" t="str">
        <x:f>IF(ISNUMBER('年度汇率'!G34),1/'年度汇率'!G34,"")</x:f>
      </x:c>
      <x:c r="H34" s="28" t="str">
        <x:f>IF(ISNUMBER('年度汇率'!H34),1/'年度汇率'!H34,"")</x:f>
      </x:c>
      <x:c r="I34" s="28" t="n">
        <x:f>IF(ISNUMBER('年度汇率'!I34),1/'年度汇率'!I34,"")</x:f>
        <x:v>0.2336284839847674</x:v>
      </x:c>
      <x:c r="J34" s="28" t="n">
        <x:f>IF(ISNUMBER('年度汇率'!J34),1/'年度汇率'!J34,"")</x:f>
        <x:v>0.3021148036253776</x:v>
      </x:c>
      <x:c r="K34" s="28" t="n">
        <x:f>IF(ISNUMBER('年度汇率'!K34),1/'年度汇率'!K34,"")</x:f>
        <x:v>0.18867924528301888</x:v>
      </x:c>
      <x:c r="L34" s="28" t="str">
        <x:f>IF(ISNUMBER('年度汇率'!L34),1/'年度汇率'!L34,"")</x:f>
      </x:c>
      <x:c r="M34" s="28" t="str">
        <x:f>IF(ISNUMBER('年度汇率'!M34),1/'年度汇率'!M34,"")</x:f>
      </x:c>
      <x:c r="N34" s="12" t="str">
        <x:v>含缺失；卢布含官价参考；欧元栏为德国代理</x:v>
      </x:c>
    </x:row>
    <x:row r="35" ht="32" customHeight="1">
      <x:c r="A35" t="n">
        <x:v>1949</x:v>
      </x:c>
      <x:c r="B35" s="28" t="n">
        <x:f>IF(ISNUMBER('年度汇率'!B35),1/'年度汇率'!B35,"")</x:f>
        <x:v>1</x:v>
      </x:c>
      <x:c r="C35" s="28" t="n">
        <x:f>IF(ISNUMBER('年度汇率'!C35),1/'年度汇率'!C35,"")</x:f>
        <x:v>3.6873156342182893</x:v>
      </x:c>
      <x:c r="D35" s="28" t="n">
        <x:f>IF(ISNUMBER('年度汇率'!D35),1/'年度汇率'!D35,"")</x:f>
        <x:v>0.9287638153617536</x:v>
      </x:c>
      <x:c r="E35" s="28" t="str">
        <x:f>IF(ISNUMBER('年度汇率'!E35),1/'年度汇率'!E35,"")</x:f>
      </x:c>
      <x:c r="F35" s="28" t="str">
        <x:f>IF(ISNUMBER('年度汇率'!F35),1/'年度汇率'!F35,"")</x:f>
      </x:c>
      <x:c r="G35" s="28" t="str">
        <x:f>IF(ISNUMBER('年度汇率'!G35),1/'年度汇率'!G35,"")</x:f>
      </x:c>
      <x:c r="H35" s="28" t="str">
        <x:f>IF(ISNUMBER('年度汇率'!H35),1/'年度汇率'!H35,"")</x:f>
      </x:c>
      <x:c r="I35" s="28" t="n">
        <x:f>IF(ISNUMBER('年度汇率'!I35),1/'年度汇率'!I35,"")</x:f>
        <x:v>0.23313827431049355</x:v>
      </x:c>
      <x:c r="J35" s="28" t="str">
        <x:f>IF(ISNUMBER('年度汇率'!J35),1/'年度汇率'!J35,"")</x:f>
      </x:c>
      <x:c r="K35" s="28" t="n">
        <x:f>IF(ISNUMBER('年度汇率'!K35),1/'年度汇率'!K35,"")</x:f>
        <x:v>0.18867924528301888</x:v>
      </x:c>
      <x:c r="L35" s="28" t="str">
        <x:f>IF(ISNUMBER('年度汇率'!L35),1/'年度汇率'!L35,"")</x:f>
      </x:c>
      <x:c r="M35" s="28" t="str">
        <x:f>IF(ISNUMBER('年度汇率'!M35),1/'年度汇率'!M35,"")</x:f>
      </x:c>
      <x:c r="N35" s="12" t="str">
        <x:v>含缺失；卢布含官价参考；欧元栏为德国代理</x:v>
      </x:c>
    </x:row>
    <x:row r="36" ht="32" customHeight="1">
      <x:c r="A36" t="n">
        <x:v>1950</x:v>
      </x:c>
      <x:c r="B36" s="28" t="n">
        <x:f>IF(ISNUMBER('年度汇率'!B36),1/'年度汇率'!B36,"")</x:f>
        <x:v>1</x:v>
      </x:c>
      <x:c r="C36" s="28" t="n">
        <x:f>IF(ISNUMBER('年度汇率'!C36),1/'年度汇率'!C36,"")</x:f>
        <x:v>2.79820934942439</x:v>
      </x:c>
      <x:c r="D36" s="28" t="n">
        <x:f>IF(ISNUMBER('年度汇率'!D36),1/'年度汇率'!D36,"")</x:f>
        <x:v>0.9159014396918543</x:v>
      </x:c>
      <x:c r="E36" s="28" t="n">
        <x:f>IF(ISNUMBER('年度汇率'!E36),1/'年度汇率'!E36,"")</x:f>
        <x:v>0.002857918817293647</x:v>
      </x:c>
      <x:c r="F36" s="28" t="n">
        <x:f>IF(ISNUMBER('年度汇率'!F36),1/'年度汇率'!F36,"")</x:f>
        <x:v>0.2383799937705339</x:v>
      </x:c>
      <x:c r="G36" s="28" t="n">
        <x:f>IF(ISNUMBER('年度汇率'!G36),1/'年度汇率'!G36,"")</x:f>
        <x:v>0.0016008063959279727</x:v>
      </x:c>
      <x:c r="H36" s="28" t="n">
        <x:f>IF(ISNUMBER('年度汇率'!H36),1/'年度汇率'!H36,"")</x:f>
        <x:v>0.002769315929383034</x:v>
      </x:c>
      <x:c r="I36" s="28" t="n">
        <x:f>IF(ISNUMBER('年度汇率'!I36),1/'年度汇率'!I36,"")</x:f>
        <x:v>0.23136365739669615</x:v>
      </x:c>
      <x:c r="J36" s="28" t="n">
        <x:f>IF(ISNUMBER('年度汇率'!J36),1/'年度汇率'!J36,"")</x:f>
        <x:v>0.2099561244710772</x:v>
      </x:c>
      <x:c r="K36" s="28" t="n">
        <x:f>IF(ISNUMBER('年度汇率'!K36),1/'年度汇率'!K36,"")</x:f>
        <x:v>0.18867924528301888</x:v>
      </x:c>
      <x:c r="L36" s="28" t="str">
        <x:f>IF(ISNUMBER('年度汇率'!L36),1/'年度汇率'!L36,"")</x:f>
      </x:c>
      <x:c r="M36" s="28" t="n">
        <x:f>IF(ISNUMBER('年度汇率'!M36),1/'年度汇率'!M36,"")</x:f>
        <x:v>0.2383799937705339</x:v>
      </x:c>
      <x:c r="N36" s="12" t="str">
        <x:v>含缺失；卢布含官价参考；欧元栏为德国代理</x:v>
      </x:c>
    </x:row>
    <x:row r="37" ht="32" customHeight="1">
      <x:c r="A37" t="n">
        <x:v>1951</x:v>
      </x:c>
      <x:c r="B37" s="28" t="n">
        <x:f>IF(ISNUMBER('年度汇率'!B37),1/'年度汇率'!B37,"")</x:f>
        <x:v>1</x:v>
      </x:c>
      <x:c r="C37" s="28" t="n">
        <x:f>IF(ISNUMBER('年度汇率'!C37),1/'年度汇率'!C37,"")</x:f>
        <x:v>2.798992929654081</x:v>
      </x:c>
      <x:c r="D37" s="28" t="n">
        <x:f>IF(ISNUMBER('年度汇率'!D37),1/'年度汇率'!D37,"")</x:f>
        <x:v>0.9471843913774727</x:v>
      </x:c>
      <x:c r="E37" s="28" t="n">
        <x:f>IF(ISNUMBER('年度汇率'!E37),1/'年度汇率'!E37,"")</x:f>
        <x:v>0.0028571024945419888</x:v>
      </x:c>
      <x:c r="F37" s="28" t="n">
        <x:f>IF(ISNUMBER('年度汇率'!F37),1/'年度汇率'!F37,"")</x:f>
        <x:v>0.2383799937705339</x:v>
      </x:c>
      <x:c r="G37" s="28" t="n">
        <x:f>IF(ISNUMBER('年度汇率'!G37),1/'年度汇率'!G37,"")</x:f>
        <x:v>0.0016025991631312656</x:v>
      </x:c>
      <x:c r="H37" s="28" t="n">
        <x:f>IF(ISNUMBER('年度汇率'!H37),1/'年度汇率'!H37,"")</x:f>
        <x:v>0.002768549183851083</x:v>
      </x:c>
      <x:c r="I37" s="28" t="n">
        <x:f>IF(ISNUMBER('年度汇率'!I37),1/'年度汇率'!I37,"")</x:f>
        <x:v>0.2306060326538142</x:v>
      </x:c>
      <x:c r="J37" s="28" t="n">
        <x:f>IF(ISNUMBER('年度汇率'!J37),1/'年度汇率'!J37,"")</x:f>
        <x:v>0.2099561244710772</x:v>
      </x:c>
      <x:c r="K37" s="28" t="n">
        <x:f>IF(ISNUMBER('年度汇率'!K37),1/'年度汇率'!K37,"")</x:f>
        <x:v>0.25</x:v>
      </x:c>
      <x:c r="L37" s="28" t="str">
        <x:f>IF(ISNUMBER('年度汇率'!L37),1/'年度汇率'!L37,"")</x:f>
      </x:c>
      <x:c r="M37" s="28" t="n">
        <x:f>IF(ISNUMBER('年度汇率'!M37),1/'年度汇率'!M37,"")</x:f>
        <x:v>0.2383799937705339</x:v>
      </x:c>
      <x:c r="N37" s="12" t="str">
        <x:v>含缺失；卢布含官价参考；欧元栏为德国代理</x:v>
      </x:c>
    </x:row>
    <x:row r="38" ht="32" customHeight="1">
      <x:c r="A38" t="n">
        <x:v>1952</x:v>
      </x:c>
      <x:c r="B38" s="28" t="n">
        <x:f>IF(ISNUMBER('年度汇率'!B38),1/'年度汇率'!B38,"")</x:f>
        <x:v>1</x:v>
      </x:c>
      <x:c r="C38" s="28" t="n">
        <x:f>IF(ISNUMBER('年度汇率'!C38),1/'年度汇率'!C38,"")</x:f>
        <x:v>2.798992929654081</x:v>
      </x:c>
      <x:c r="D38" s="28" t="n">
        <x:f>IF(ISNUMBER('年度汇率'!D38),1/'年度汇率'!D38,"")</x:f>
        <x:v>1.0193308138816417</x:v>
      </x:c>
      <x:c r="E38" s="28" t="n">
        <x:f>IF(ISNUMBER('年度汇率'!E38),1/'年度汇率'!E38,"")</x:f>
        <x:v>0.0028571024945419888</x:v>
      </x:c>
      <x:c r="F38" s="28" t="n">
        <x:f>IF(ISNUMBER('年度汇率'!F38),1/'年度汇率'!F38,"")</x:f>
        <x:v>0.2383799937705339</x:v>
      </x:c>
      <x:c r="G38" s="28" t="n">
        <x:f>IF(ISNUMBER('年度汇率'!G38),1/'年度汇率'!G38,"")</x:f>
        <x:v>0.0016028556005796165</x:v>
      </x:c>
      <x:c r="H38" s="28" t="n">
        <x:f>IF(ISNUMBER('年度汇率'!H38),1/'年度汇率'!H38,"")</x:f>
        <x:v>0.002769315929383034</x:v>
      </x:c>
      <x:c r="I38" s="28" t="n">
        <x:f>IF(ISNUMBER('年度汇率'!I38),1/'年度汇率'!I38,"")</x:f>
        <x:v>0.23147612323788802</x:v>
      </x:c>
      <x:c r="J38" s="28" t="n">
        <x:f>IF(ISNUMBER('年度汇率'!J38),1/'年度汇率'!J38,"")</x:f>
        <x:v>0.2099561244710772</x:v>
      </x:c>
      <x:c r="K38" s="28" t="n">
        <x:f>IF(ISNUMBER('年度汇率'!K38),1/'年度汇率'!K38,"")</x:f>
        <x:v>0.25</x:v>
      </x:c>
      <x:c r="L38" s="28" t="n">
        <x:f>IF(ISNUMBER('年度汇率'!L38),1/'年度汇率'!L38,"")</x:f>
        <x:v>0.00004062054508662271</x:v>
      </x:c>
      <x:c r="M38" s="28" t="n">
        <x:f>IF(ISNUMBER('年度汇率'!M38),1/'年度汇率'!M38,"")</x:f>
        <x:v>0.2383799937705339</x:v>
      </x:c>
      <x:c r="N38" s="12" t="str">
        <x:v>卢布含官价参考；欧元栏为德国代理</x:v>
      </x:c>
    </x:row>
    <x:row r="39" ht="32" customHeight="1">
      <x:c r="A39" t="n">
        <x:v>1953</x:v>
      </x:c>
      <x:c r="B39" s="28" t="n">
        <x:f>IF(ISNUMBER('年度汇率'!B39),1/'年度汇率'!B39,"")</x:f>
        <x:v>1</x:v>
      </x:c>
      <x:c r="C39" s="28" t="n">
        <x:f>IF(ISNUMBER('年度汇率'!C39),1/'年度汇率'!C39,"")</x:f>
        <x:v>2.79820934942439</x:v>
      </x:c>
      <x:c r="D39" s="28" t="n">
        <x:f>IF(ISNUMBER('年度汇率'!D39),1/'年度汇率'!D39,"")</x:f>
        <x:v>1.0150814681470104</x:v>
      </x:c>
      <x:c r="E39" s="28" t="n">
        <x:f>IF(ISNUMBER('年度汇率'!E39),1/'年度汇率'!E39,"")</x:f>
        <x:v>0.0028571024945419888</x:v>
      </x:c>
      <x:c r="F39" s="28" t="n">
        <x:f>IF(ISNUMBER('年度汇率'!F39),1/'年度汇率'!F39,"")</x:f>
        <x:v>0.2380952543184042</x:v>
      </x:c>
      <x:c r="G39" s="28" t="n">
        <x:f>IF(ISNUMBER('年度汇率'!G39),1/'年度汇率'!G39,"")</x:f>
        <x:v>0.0016028556005796165</x:v>
      </x:c>
      <x:c r="H39" s="28" t="n">
        <x:f>IF(ISNUMBER('年度汇率'!H39),1/'年度汇率'!H39,"")</x:f>
        <x:v>0.002777777775007716</x:v>
      </x:c>
      <x:c r="I39" s="28" t="n">
        <x:f>IF(ISNUMBER('年度汇率'!I39),1/'年度汇率'!I39,"")</x:f>
        <x:v>0.23316545420630477</x:v>
      </x:c>
      <x:c r="J39" s="28" t="n">
        <x:f>IF(ISNUMBER('年度汇率'!J39),1/'年度汇率'!J39,"")</x:f>
        <x:v>0.2099561244710772</x:v>
      </x:c>
      <x:c r="K39" s="28" t="n">
        <x:f>IF(ISNUMBER('年度汇率'!K39),1/'年度汇率'!K39,"")</x:f>
        <x:v>0.25</x:v>
      </x:c>
      <x:c r="L39" s="28" t="n">
        <x:f>IF(ISNUMBER('年度汇率'!L39),1/'年度汇率'!L39,"")</x:f>
        <x:v>0.00004062054508662271</x:v>
      </x:c>
      <x:c r="M39" s="28" t="n">
        <x:f>IF(ISNUMBER('年度汇率'!M39),1/'年度汇率'!M39,"")</x:f>
        <x:v>0.2380952543184042</x:v>
      </x:c>
      <x:c r="N39" s="12" t="str">
        <x:v>卢布含官价参考；欧元栏为德国代理</x:v>
      </x:c>
    </x:row>
    <x:row r="40" ht="32" customHeight="1">
      <x:c r="A40" t="n">
        <x:v>1954</x:v>
      </x:c>
      <x:c r="B40" s="28" t="n">
        <x:f>IF(ISNUMBER('年度汇率'!B40),1/'年度汇率'!B40,"")</x:f>
        <x:v>1</x:v>
      </x:c>
      <x:c r="C40" s="28" t="n">
        <x:f>IF(ISNUMBER('年度汇率'!C40),1/'年度汇率'!C40,"")</x:f>
        <x:v>2.798992929654081</x:v>
      </x:c>
      <x:c r="D40" s="28" t="n">
        <x:f>IF(ISNUMBER('年度汇率'!D40),1/'年度汇率'!D40,"")</x:f>
        <x:v>1.0251925792465246</x:v>
      </x:c>
      <x:c r="E40" s="28" t="n">
        <x:f>IF(ISNUMBER('年度汇率'!E40),1/'年度汇率'!E40,"")</x:f>
        <x:v>0.0028571024945419888</x:v>
      </x:c>
      <x:c r="F40" s="28" t="n">
        <x:f>IF(ISNUMBER('年度汇率'!F40),1/'年度汇率'!F40,"")</x:f>
        <x:v>0.2380952543184042</x:v>
      </x:c>
      <x:c r="G40" s="28" t="n">
        <x:f>IF(ISNUMBER('年度汇率'!G40),1/'年度汇率'!G40,"")</x:f>
        <x:v>0.0016028556005796165</x:v>
      </x:c>
      <x:c r="H40" s="28" t="n">
        <x:f>IF(ISNUMBER('年度汇率'!H40),1/'年度汇率'!H40,"")</x:f>
        <x:v>0.002777777775007716</x:v>
      </x:c>
      <x:c r="I40" s="28" t="n">
        <x:f>IF(ISNUMBER('年度汇率'!I40),1/'年度汇率'!I40,"")</x:f>
        <x:v>0.23321983301459956</x:v>
      </x:c>
      <x:c r="J40" s="28" t="n">
        <x:f>IF(ISNUMBER('年度汇率'!J40),1/'年度汇率'!J40,"")</x:f>
        <x:v>0.2099561244710772</x:v>
      </x:c>
      <x:c r="K40" s="28" t="n">
        <x:f>IF(ISNUMBER('年度汇率'!K40),1/'年度汇率'!K40,"")</x:f>
        <x:v>0.25</x:v>
      </x:c>
      <x:c r="L40" s="28" t="n">
        <x:f>IF(ISNUMBER('年度汇率'!L40),1/'年度汇率'!L40,"")</x:f>
        <x:v>0.00004062054508662271</x:v>
      </x:c>
      <x:c r="M40" s="28" t="n">
        <x:f>IF(ISNUMBER('年度汇率'!M40),1/'年度汇率'!M40,"")</x:f>
        <x:v>0.2380952543184042</x:v>
      </x:c>
      <x:c r="N40" s="12" t="str">
        <x:v>卢布含官价参考；欧元栏为德国代理</x:v>
      </x:c>
    </x:row>
    <x:row r="41" ht="32" customHeight="1">
      <x:c r="A41" t="n">
        <x:v>1955</x:v>
      </x:c>
      <x:c r="B41" s="28" t="n">
        <x:f>IF(ISNUMBER('年度汇率'!B41),1/'年度汇率'!B41,"")</x:f>
        <x:v>1</x:v>
      </x:c>
      <x:c r="C41" s="28" t="n">
        <x:f>IF(ISNUMBER('年度汇率'!C41),1/'年度汇率'!C41,"")</x:f>
        <x:v>2.798992929654081</x:v>
      </x:c>
      <x:c r="D41" s="28" t="n">
        <x:f>IF(ISNUMBER('年度汇率'!D41),1/'年度汇率'!D41,"")</x:f>
        <x:v>1.0118920354430607</x:v>
      </x:c>
      <x:c r="E41" s="28" t="n">
        <x:f>IF(ISNUMBER('年度汇率'!E41),1/'年度汇率'!E41,"")</x:f>
        <x:v>0.0028571024945419888</x:v>
      </x:c>
      <x:c r="F41" s="28" t="n">
        <x:f>IF(ISNUMBER('年度汇率'!F41),1/'年度汇率'!F41,"")</x:f>
        <x:v>0.2380952543184042</x:v>
      </x:c>
      <x:c r="G41" s="28" t="n">
        <x:f>IF(ISNUMBER('年度汇率'!G41),1/'年度汇率'!G41,"")</x:f>
        <x:v>0.0016028556005796165</x:v>
      </x:c>
      <x:c r="H41" s="28" t="n">
        <x:f>IF(ISNUMBER('年度汇率'!H41),1/'年度汇率'!H41,"")</x:f>
        <x:v>0.002777777775007716</x:v>
      </x:c>
      <x:c r="I41" s="28" t="n">
        <x:f>IF(ISNUMBER('年度汇率'!I41),1/'年度汇率'!I41,"")</x:f>
        <x:v>0.2333068918855863</x:v>
      </x:c>
      <x:c r="J41" s="28" t="n">
        <x:f>IF(ISNUMBER('年度汇率'!J41),1/'年度汇率'!J41,"")</x:f>
        <x:v>0.20991205534374838</x:v>
      </x:c>
      <x:c r="K41" s="28" t="n">
        <x:f>IF(ISNUMBER('年度汇率'!K41),1/'年度汇率'!K41,"")</x:f>
        <x:v>0.25</x:v>
      </x:c>
      <x:c r="L41" s="28" t="n">
        <x:f>IF(ISNUMBER('年度汇率'!L41),1/'年度汇率'!L41,"")</x:f>
        <x:v>0.4062054508662271</x:v>
      </x:c>
      <x:c r="M41" s="28" t="n">
        <x:f>IF(ISNUMBER('年度汇率'!M41),1/'年度汇率'!M41,"")</x:f>
        <x:v>0.2380952543184042</x:v>
      </x:c>
      <x:c r="N41" s="12" t="str">
        <x:v>卢布含官价参考；欧元栏为德国代理</x:v>
      </x:c>
    </x:row>
    <x:row r="42" ht="32" customHeight="1">
      <x:c r="A42" t="n">
        <x:v>1956</x:v>
      </x:c>
      <x:c r="B42" s="28" t="n">
        <x:f>IF(ISNUMBER('年度汇率'!B42),1/'年度汇率'!B42,"")</x:f>
        <x:v>1</x:v>
      </x:c>
      <x:c r="C42" s="28" t="n">
        <x:f>IF(ISNUMBER('年度汇率'!C42),1/'年度汇率'!C42,"")</x:f>
        <x:v>2.79820934942439</x:v>
      </x:c>
      <x:c r="D42" s="28" t="n">
        <x:f>IF(ISNUMBER('年度汇率'!D42),1/'年度汇率'!D42,"")</x:f>
        <x:v>1.0140504322319317</x:v>
      </x:c>
      <x:c r="E42" s="28" t="n">
        <x:f>IF(ISNUMBER('年度汇率'!E42),1/'年度汇率'!E42,"")</x:f>
        <x:v>0.0028571024945419888</x:v>
      </x:c>
      <x:c r="F42" s="28" t="n">
        <x:f>IF(ISNUMBER('年度汇率'!F42),1/'年度汇率'!F42,"")</x:f>
        <x:v>0.2380952543184042</x:v>
      </x:c>
      <x:c r="G42" s="28" t="n">
        <x:f>IF(ISNUMBER('年度汇率'!G42),1/'年度汇率'!G42,"")</x:f>
        <x:v>0.0016028556005796165</x:v>
      </x:c>
      <x:c r="H42" s="28" t="n">
        <x:f>IF(ISNUMBER('年度汇率'!H42),1/'年度汇率'!H42,"")</x:f>
        <x:v>0.0027790128946198313</x:v>
      </x:c>
      <x:c r="I42" s="28" t="n">
        <x:f>IF(ISNUMBER('年度汇率'!I42),1/'年度汇率'!I42,"")</x:f>
        <x:v>0.228675962428862</x:v>
      </x:c>
      <x:c r="J42" s="28" t="n">
        <x:f>IF(ISNUMBER('年度汇率'!J42),1/'年度汇率'!J42,"")</x:f>
        <x:v>0.2100002121061171</x:v>
      </x:c>
      <x:c r="K42" s="28" t="n">
        <x:f>IF(ISNUMBER('年度汇率'!K42),1/'年度汇率'!K42,"")</x:f>
        <x:v>0.25</x:v>
      </x:c>
      <x:c r="L42" s="28" t="n">
        <x:f>IF(ISNUMBER('年度汇率'!L42),1/'年度汇率'!L42,"")</x:f>
        <x:v>0.4062054508662271</x:v>
      </x:c>
      <x:c r="M42" s="28" t="n">
        <x:f>IF(ISNUMBER('年度汇率'!M42),1/'年度汇率'!M42,"")</x:f>
        <x:v>0.2380952543184042</x:v>
      </x:c>
      <x:c r="N42" s="12" t="str">
        <x:v>卢布含官价参考；欧元栏为德国代理</x:v>
      </x:c>
    </x:row>
    <x:row r="43" ht="32" customHeight="1">
      <x:c r="A43" t="n">
        <x:v>1957</x:v>
      </x:c>
      <x:c r="B43" s="28" t="n">
        <x:f>IF(ISNUMBER('年度汇率'!B43),1/'年度汇率'!B43,"")</x:f>
        <x:v>1</x:v>
      </x:c>
      <x:c r="C43" s="28" t="n">
        <x:f>IF(ISNUMBER('年度汇率'!C43),1/'年度汇率'!C43,"")</x:f>
        <x:v>2.7935091006968813</x:v>
      </x:c>
      <x:c r="D43" s="28" t="n">
        <x:f>IF(ISNUMBER('年度汇率'!D43),1/'年度汇率'!D43,"")</x:f>
        <x:v>1.0429341213642598</x:v>
      </x:c>
      <x:c r="E43" s="28" t="n">
        <x:f>IF(ISNUMBER('年度汇率'!E43),1/'年度汇率'!E43,"")</x:f>
        <x:v>0.0027181914967443917</x:v>
      </x:c>
      <x:c r="F43" s="28" t="n">
        <x:f>IF(ISNUMBER('年度汇率'!F43),1/'年度汇率'!F43,"")</x:f>
        <x:v>0.23798413161339604</x:v>
      </x:c>
      <x:c r="G43" s="28" t="n">
        <x:f>IF(ISNUMBER('年度汇率'!G43),1/'年度汇率'!G43,"")</x:f>
        <x:v>0.0016000000001533106</x:v>
      </x:c>
      <x:c r="H43" s="28" t="n">
        <x:f>IF(ISNUMBER('年度汇率'!H43),1/'年度汇率'!H43,"")</x:f>
        <x:v>0.0027790128946198313</x:v>
      </x:c>
      <x:c r="I43" s="28" t="n">
        <x:f>IF(ISNUMBER('年度汇率'!I43),1/'年度汇率'!I43,"")</x:f>
        <x:v>0.23330099522497644</x:v>
      </x:c>
      <x:c r="J43" s="28" t="n">
        <x:f>IF(ISNUMBER('年度汇率'!J43),1/'年度汇率'!J43,"")</x:f>
        <x:v>0.21000021000021002</x:v>
      </x:c>
      <x:c r="K43" s="28" t="n">
        <x:f>IF(ISNUMBER('年度汇率'!K43),1/'年度汇率'!K43,"")</x:f>
        <x:v>0.25</x:v>
      </x:c>
      <x:c r="L43" s="28" t="n">
        <x:f>IF(ISNUMBER('年度汇率'!L43),1/'年度汇率'!L43,"")</x:f>
        <x:v>0.4062051904899241</x:v>
      </x:c>
      <x:c r="M43" s="28" t="n">
        <x:f>IF(ISNUMBER('年度汇率'!M43),1/'年度汇率'!M43,"")</x:f>
        <x:v>0.23798413161339604</x:v>
      </x:c>
      <x:c r="N43" s="12" t="str">
        <x:v>卢布含官价参考；欧元栏为德国代理</x:v>
      </x:c>
    </x:row>
    <x:row r="44" ht="32" customHeight="1">
      <x:c r="A44" t="n">
        <x:v>1958</x:v>
      </x:c>
      <x:c r="B44" s="28" t="n">
        <x:f>IF(ISNUMBER('年度汇率'!B44),1/'年度汇率'!B44,"")</x:f>
        <x:v>1</x:v>
      </x:c>
      <x:c r="C44" s="28" t="n">
        <x:f>IF(ISNUMBER('年度汇率'!C44),1/'年度汇率'!C44,"")</x:f>
        <x:v>2.809881986853222</x:v>
      </x:c>
      <x:c r="D44" s="28" t="n">
        <x:f>IF(ISNUMBER('年度汇率'!D44),1/'年度汇率'!D44,"")</x:f>
        <x:v>1.0301313417460727</x:v>
      </x:c>
      <x:c r="E44" s="28" t="n">
        <x:f>IF(ISNUMBER('年度汇率'!E44),1/'年度汇率'!E44,"")</x:f>
        <x:v>0.0023494860499871494</x:v>
      </x:c>
      <x:c r="F44" s="28" t="n">
        <x:f>IF(ISNUMBER('年度汇率'!F44),1/'年度汇率'!F44,"")</x:f>
        <x:v>0.2384834361288283</x:v>
      </x:c>
      <x:c r="G44" s="28" t="n">
        <x:f>IF(ISNUMBER('年度汇率'!G44),1/'年度汇率'!G44,"")</x:f>
        <x:v>0.0016006658771892126</x:v>
      </x:c>
      <x:c r="H44" s="28" t="n">
        <x:f>IF(ISNUMBER('年度汇率'!H44),1/'年度汇率'!H44,"")</x:f>
        <x:v>0.0027790128946198313</x:v>
      </x:c>
      <x:c r="I44" s="28" t="n">
        <x:f>IF(ISNUMBER('年度汇率'!I44),1/'年度汇率'!I44,"")</x:f>
        <x:v>0.23327650458666924</x:v>
      </x:c>
      <x:c r="J44" s="28" t="n">
        <x:f>IF(ISNUMBER('年度汇率'!J44),1/'年度汇率'!J44,"")</x:f>
        <x:v>0.21000021000021002</x:v>
      </x:c>
      <x:c r="K44" s="28" t="n">
        <x:f>IF(ISNUMBER('年度汇率'!K44),1/'年度汇率'!K44,"")</x:f>
        <x:v>0.25</x:v>
      </x:c>
      <x:c r="L44" s="28" t="n">
        <x:f>IF(ISNUMBER('年度汇率'!L44),1/'年度汇率'!L44,"")</x:f>
        <x:v>0.4062051904899241</x:v>
      </x:c>
      <x:c r="M44" s="28" t="n">
        <x:f>IF(ISNUMBER('年度汇率'!M44),1/'年度汇率'!M44,"")</x:f>
        <x:v>0.2384834361288283</x:v>
      </x:c>
      <x:c r="N44" s="12" t="str">
        <x:v>卢布含官价参考；欧元栏为德国代理</x:v>
      </x:c>
    </x:row>
    <x:row r="45" ht="32" customHeight="1">
      <x:c r="A45" t="n">
        <x:v>1959</x:v>
      </x:c>
      <x:c r="B45" s="28" t="n">
        <x:f>IF(ISNUMBER('年度汇率'!B45),1/'年度汇率'!B45,"")</x:f>
        <x:v>1</x:v>
      </x:c>
      <x:c r="C45" s="28" t="n">
        <x:f>IF(ISNUMBER('年度汇率'!C45),1/'年度汇率'!C45,"")</x:f>
        <x:v>2.808857598285153</x:v>
      </x:c>
      <x:c r="D45" s="28" t="n">
        <x:f>IF(ISNUMBER('年度汇率'!D45),1/'年度汇率'!D45,"")</x:f>
        <x:v>1.0425716767665485</x:v>
      </x:c>
      <x:c r="E45" s="28" t="n">
        <x:f>IF(ISNUMBER('年度汇率'!E45),1/'年度汇率'!E45,"")</x:f>
        <x:v>0.0020389438272090414</x:v>
      </x:c>
      <x:c r="F45" s="28" t="n">
        <x:f>IF(ISNUMBER('年度汇率'!F45),1/'年度汇率'!F45,"")</x:f>
        <x:v>0.23926974873137805</x:v>
      </x:c>
      <x:c r="G45" s="28" t="n">
        <x:f>IF(ISNUMBER('年度汇率'!G45),1/'年度汇率'!G45,"")</x:f>
        <x:v>0.0016100827674755808</x:v>
      </x:c>
      <x:c r="H45" s="28" t="n">
        <x:f>IF(ISNUMBER('年度汇率'!H45),1/'年度汇率'!H45,"")</x:f>
        <x:v>0.00277800927855099</x:v>
      </x:c>
      <x:c r="I45" s="28" t="n">
        <x:f>IF(ISNUMBER('年度汇率'!I45),1/'年度汇率'!I45,"")</x:f>
        <x:v>0.23140559615688214</x:v>
      </x:c>
      <x:c r="J45" s="28" t="n">
        <x:f>IF(ISNUMBER('年度汇率'!J45),1/'年度汇率'!J45,"")</x:f>
        <x:v>0.21000021000021002</x:v>
      </x:c>
      <x:c r="K45" s="28" t="n">
        <x:f>IF(ISNUMBER('年度汇率'!K45),1/'年度汇率'!K45,"")</x:f>
        <x:v>0.25</x:v>
      </x:c>
      <x:c r="L45" s="28" t="n">
        <x:f>IF(ISNUMBER('年度汇率'!L45),1/'年度汇率'!L45,"")</x:f>
        <x:v>0.4062051904899241</x:v>
      </x:c>
      <x:c r="M45" s="28" t="n">
        <x:f>IF(ISNUMBER('年度汇率'!M45),1/'年度汇率'!M45,"")</x:f>
        <x:v>0.23926974873137805</x:v>
      </x:c>
      <x:c r="N45" s="12" t="str">
        <x:v>卢布含官价参考；欧元栏为德国代理</x:v>
      </x:c>
    </x:row>
    <x:row r="46" ht="32" customHeight="1">
      <x:c r="A46" t="n">
        <x:v>1960</x:v>
      </x:c>
      <x:c r="B46" s="28" t="n">
        <x:f>IF(ISNUMBER('年度汇率'!B46),1/'年度汇率'!B46,"")</x:f>
        <x:v>1</x:v>
      </x:c>
      <x:c r="C46" s="28" t="n">
        <x:f>IF(ISNUMBER('年度汇率'!C46),1/'年度汇率'!C46,"")</x:f>
        <x:v>2.807644387411828</x:v>
      </x:c>
      <x:c r="D46" s="28" t="n">
        <x:f>IF(ISNUMBER('年度汇率'!D46),1/'年度汇率'!D46,"")</x:f>
        <x:v>1.0314595152140278</x:v>
      </x:c>
      <x:c r="E46" s="28" t="n">
        <x:f>IF(ISNUMBER('年度汇率'!E46),1/'年度汇率'!E46,"")</x:f>
        <x:v>0.20388991372167597</x:v>
      </x:c>
      <x:c r="F46" s="28" t="n">
        <x:f>IF(ISNUMBER('年度汇率'!F46),1/'年度汇率'!F46,"")</x:f>
        <x:v>0.23976249127133137</x:v>
      </x:c>
      <x:c r="G46" s="28" t="n">
        <x:f>IF(ISNUMBER('年度汇率'!G46),1/'年度汇率'!G46,"")</x:f>
        <x:v>0.0016105838982526394</x:v>
      </x:c>
      <x:c r="H46" s="28" t="n">
        <x:f>IF(ISNUMBER('年度汇率'!H46),1/'年度汇率'!H46,"")</x:f>
        <x:v>0.00277800927855099</x:v>
      </x:c>
      <x:c r="I46" s="28" t="n">
        <x:f>IF(ISNUMBER('年度汇率'!I46),1/'年度汇率'!I46,"")</x:f>
        <x:v>0.2315176561152495</x:v>
      </x:c>
      <x:c r="J46" s="28" t="n">
        <x:f>IF(ISNUMBER('年度汇率'!J46),1/'年度汇率'!J46,"")</x:f>
        <x:v>0.21000021000021002</x:v>
      </x:c>
      <x:c r="K46" s="28" t="n">
        <x:f>IF(ISNUMBER('年度汇率'!K46),1/'年度汇率'!K46,"")</x:f>
        <x:v>0.25</x:v>
      </x:c>
      <x:c r="L46" s="28" t="n">
        <x:f>IF(ISNUMBER('年度汇率'!L46),1/'年度汇率'!L46,"")</x:f>
        <x:v>0.4062051904899241</x:v>
      </x:c>
      <x:c r="M46" s="28" t="n">
        <x:f>IF(ISNUMBER('年度汇率'!M46),1/'年度汇率'!M46,"")</x:f>
        <x:v>0.23976249127133137</x:v>
      </x:c>
      <x:c r="N46" s="12" t="str">
        <x:v>卢布含官价参考；欧元栏为德国代理</x:v>
      </x:c>
    </x:row>
    <x:row r="47" ht="32" customHeight="1">
      <x:c r="A47" t="n">
        <x:v>1961</x:v>
      </x:c>
      <x:c r="B47" s="28" t="n">
        <x:f>IF(ISNUMBER('年度汇率'!B47),1/'年度汇率'!B47,"")</x:f>
        <x:v>1</x:v>
      </x:c>
      <x:c r="C47" s="28" t="n">
        <x:f>IF(ISNUMBER('年度汇率'!C47),1/'年度汇率'!C47,"")</x:f>
        <x:v>2.802246278487128</x:v>
      </x:c>
      <x:c r="D47" s="28" t="n">
        <x:f>IF(ISNUMBER('年度汇率'!D47),1/'年度汇率'!D47,"")</x:f>
        <x:v>0.9870856297108526</x:v>
      </x:c>
      <x:c r="E47" s="28" t="n">
        <x:f>IF(ISNUMBER('年度汇率'!E47),1/'年度汇率'!E47,"")</x:f>
        <x:v>0.20383626647603972</x:v>
      </x:c>
      <x:c r="F47" s="28" t="n">
        <x:f>IF(ISNUMBER('年度汇率'!F47),1/'年度汇率'!F47,"")</x:f>
        <x:v>0.2488341085196879</x:v>
      </x:c>
      <x:c r="G47" s="28" t="n">
        <x:f>IF(ISNUMBER('年度汇率'!G47),1/'年度汇率'!G47,"")</x:f>
        <x:v>0.0016100825516361843</x:v>
      </x:c>
      <x:c r="H47" s="28" t="n">
        <x:f>IF(ISNUMBER('年度汇率'!H47),1/'年度汇率'!H47,"")</x:f>
        <x:v>0.00276900924849089</x:v>
      </x:c>
      <x:c r="I47" s="28" t="n">
        <x:f>IF(ISNUMBER('年度汇率'!I47),1/'年度汇率'!I47,"")</x:f>
        <x:v>0.23150738315450795</x:v>
      </x:c>
      <x:c r="J47" s="28" t="n">
        <x:f>IF(ISNUMBER('年度汇率'!J47),1/'年度汇率'!J47,"")</x:f>
        <x:v>0.21000021000021002</x:v>
      </x:c>
      <x:c r="K47" s="28" t="n">
        <x:f>IF(ISNUMBER('年度汇率'!K47),1/'年度汇率'!K47,"")</x:f>
        <x:v>1.1111111111111112</x:v>
      </x:c>
      <x:c r="L47" s="28" t="n">
        <x:f>IF(ISNUMBER('年度汇率'!L47),1/'年度汇率'!L47,"")</x:f>
        <x:v>0.4062051904899241</x:v>
      </x:c>
      <x:c r="M47" s="28" t="n">
        <x:f>IF(ISNUMBER('年度汇率'!M47),1/'年度汇率'!M47,"")</x:f>
        <x:v>0.2488341085196879</x:v>
      </x:c>
      <x:c r="N47" s="12" t="str">
        <x:v>卢布含官价参考；欧元栏为德国代理</x:v>
      </x:c>
    </x:row>
    <x:row r="48" ht="32" customHeight="1">
      <x:c r="A48" t="n">
        <x:v>1962</x:v>
      </x:c>
      <x:c r="B48" s="28" t="n">
        <x:f>IF(ISNUMBER('年度汇率'!B48),1/'年度汇率'!B48,"")</x:f>
        <x:v>1</x:v>
      </x:c>
      <x:c r="C48" s="28" t="n">
        <x:f>IF(ISNUMBER('年度汇率'!C48),1/'年度汇率'!C48,"")</x:f>
        <x:v>2.807799083798986</x:v>
      </x:c>
      <x:c r="D48" s="28" t="n">
        <x:f>IF(ISNUMBER('年度汇率'!D48),1/'年度汇率'!D48,"")</x:f>
        <x:v>0.9355324582986406</x:v>
      </x:c>
      <x:c r="E48" s="28" t="n">
        <x:f>IF(ISNUMBER('年度汇率'!E48),1/'年度汇率'!E48,"")</x:f>
        <x:v>0.20404498783850356</x:v>
      </x:c>
      <x:c r="F48" s="28" t="n">
        <x:f>IF(ISNUMBER('年度汇率'!F48),1/'年度汇率'!F48,"")</x:f>
        <x:v>0.25012115242893423</x:v>
      </x:c>
      <x:c r="G48" s="28" t="n">
        <x:f>IF(ISNUMBER('年度汇率'!G48),1/'年度汇率'!G48,"")</x:f>
        <x:v>0.001610750794988188</x:v>
      </x:c>
      <x:c r="H48" s="28" t="n">
        <x:f>IF(ISNUMBER('年度汇率'!H48),1/'年度汇率'!H48,"")</x:f>
        <x:v>0.002771157789724547</x:v>
      </x:c>
      <x:c r="I48" s="28" t="n">
        <x:f>IF(ISNUMBER('年度汇率'!I48),1/'年度汇率'!I48,"")</x:f>
        <x:v>0.23124461633627594</x:v>
      </x:c>
      <x:c r="J48" s="28" t="n">
        <x:f>IF(ISNUMBER('年度汇率'!J48),1/'年度汇率'!J48,"")</x:f>
        <x:v>0.21000021000021002</x:v>
      </x:c>
      <x:c r="K48" s="28" t="n">
        <x:f>IF(ISNUMBER('年度汇率'!K48),1/'年度汇率'!K48,"")</x:f>
        <x:v>1.1111111111111112</x:v>
      </x:c>
      <x:c r="L48" s="28" t="n">
        <x:f>IF(ISNUMBER('年度汇率'!L48),1/'年度汇率'!L48,"")</x:f>
        <x:v>0.4062051904899241</x:v>
      </x:c>
      <x:c r="M48" s="28" t="n">
        <x:f>IF(ISNUMBER('年度汇率'!M48),1/'年度汇率'!M48,"")</x:f>
        <x:v>0.25012115242893423</x:v>
      </x:c>
      <x:c r="N48" s="12" t="str">
        <x:v>卢布含官价参考；欧元栏为德国代理</x:v>
      </x:c>
    </x:row>
    <x:row r="49" ht="32" customHeight="1">
      <x:c r="A49" t="n">
        <x:v>1963</x:v>
      </x:c>
      <x:c r="B49" s="28" t="n">
        <x:f>IF(ISNUMBER('年度汇率'!B49),1/'年度汇率'!B49,"")</x:f>
        <x:v>1</x:v>
      </x:c>
      <x:c r="C49" s="28" t="n">
        <x:f>IF(ISNUMBER('年度汇率'!C49),1/'年度汇率'!C49,"")</x:f>
        <x:v>2.8002733850900396</x:v>
      </x:c>
      <x:c r="D49" s="28" t="n">
        <x:f>IF(ISNUMBER('年度汇率'!D49),1/'年度汇率'!D49,"")</x:f>
        <x:v>0.9270031379056217</x:v>
      </x:c>
      <x:c r="E49" s="28" t="n">
        <x:f>IF(ISNUMBER('年度汇率'!E49),1/'年度汇率'!E49,"")</x:f>
        <x:v>0.20404415514939253</x:v>
      </x:c>
      <x:c r="F49" s="28" t="n">
        <x:f>IF(ISNUMBER('年度汇率'!F49),1/'年度汇率'!F49,"")</x:f>
        <x:v>0.2508459780619383</x:v>
      </x:c>
      <x:c r="G49" s="28" t="n">
        <x:f>IF(ISNUMBER('年度汇率'!G49),1/'年度汇率'!G49,"")</x:f>
        <x:v>0.0016087483738821903</x:v>
      </x:c>
      <x:c r="H49" s="28" t="n">
        <x:f>IF(ISNUMBER('年度汇率'!H49),1/'年度汇率'!H49,"")</x:f>
        <x:v>0.002766328252510443</x:v>
      </x:c>
      <x:c r="I49" s="28" t="n">
        <x:f>IF(ISNUMBER('年度汇率'!I49),1/'年度汇率'!I49,"")</x:f>
        <x:v>0.23138908653373363</x:v>
      </x:c>
      <x:c r="J49" s="28" t="n">
        <x:f>IF(ISNUMBER('年度汇率'!J49),1/'年度汇率'!J49,"")</x:f>
        <x:v>0.21000021000021002</x:v>
      </x:c>
      <x:c r="K49" s="28" t="n">
        <x:f>IF(ISNUMBER('年度汇率'!K49),1/'年度汇率'!K49,"")</x:f>
        <x:v>1.1111111111111112</x:v>
      </x:c>
      <x:c r="L49" s="28" t="n">
        <x:f>IF(ISNUMBER('年度汇率'!L49),1/'年度汇率'!L49,"")</x:f>
        <x:v>0.4062051904899241</x:v>
      </x:c>
      <x:c r="M49" s="28" t="n">
        <x:f>IF(ISNUMBER('年度汇率'!M49),1/'年度汇率'!M49,"")</x:f>
        <x:v>0.2508459780619383</x:v>
      </x:c>
      <x:c r="N49" s="12" t="str">
        <x:v>卢布含官价参考；欧元栏为德国代理</x:v>
      </x:c>
    </x:row>
    <x:row r="50" ht="32" customHeight="1">
      <x:c r="A50" t="n">
        <x:v>1964</x:v>
      </x:c>
      <x:c r="B50" s="28" t="n">
        <x:f>IF(ISNUMBER('年度汇率'!B50),1/'年度汇率'!B50,"")</x:f>
        <x:v>1</x:v>
      </x:c>
      <x:c r="C50" s="28" t="n">
        <x:f>IF(ISNUMBER('年度汇率'!C50),1/'年度汇率'!C50,"")</x:f>
        <x:v>2.7925122226242394</x:v>
      </x:c>
      <x:c r="D50" s="28" t="n">
        <x:f>IF(ISNUMBER('年度汇率'!D50),1/'年度汇率'!D50,"")</x:f>
        <x:v>0.9269565929115025</x:v>
      </x:c>
      <x:c r="E50" s="28" t="n">
        <x:f>IF(ISNUMBER('年度汇率'!E50),1/'年度汇率'!E50,"")</x:f>
        <x:v>0.20403749393577839</x:v>
      </x:c>
      <x:c r="F50" s="28" t="n">
        <x:f>IF(ISNUMBER('年度汇率'!F50),1/'年度汇率'!F50,"")</x:f>
        <x:v>0.25157000648508454</x:v>
      </x:c>
      <x:c r="G50" s="28" t="n">
        <x:f>IF(ISNUMBER('年度汇率'!G50),1/'年度汇率'!G50,"")</x:f>
        <x:v>0.0016013295307220922</x:v>
      </x:c>
      <x:c r="H50" s="28" t="n">
        <x:f>IF(ISNUMBER('年度汇率'!H50),1/'年度汇率'!H50,"")</x:f>
        <x:v>0.0027625072515815355</x:v>
      </x:c>
      <x:c r="I50" s="28" t="n">
        <x:f>IF(ISNUMBER('年度汇率'!I50),1/'年度汇率'!I50,"")</x:f>
        <x:v>0.23152122953386306</x:v>
      </x:c>
      <x:c r="J50" s="28" t="n">
        <x:f>IF(ISNUMBER('年度汇率'!J50),1/'年度汇率'!J50,"")</x:f>
        <x:v>0.21000021000021002</x:v>
      </x:c>
      <x:c r="K50" s="28" t="n">
        <x:f>IF(ISNUMBER('年度汇率'!K50),1/'年度汇率'!K50,"")</x:f>
        <x:v>1.1111111111111112</x:v>
      </x:c>
      <x:c r="L50" s="28" t="n">
        <x:f>IF(ISNUMBER('年度汇率'!L50),1/'年度汇率'!L50,"")</x:f>
        <x:v>0.4062051904899241</x:v>
      </x:c>
      <x:c r="M50" s="28" t="n">
        <x:f>IF(ISNUMBER('年度汇率'!M50),1/'年度汇率'!M50,"")</x:f>
        <x:v>0.25157000648508454</x:v>
      </x:c>
      <x:c r="N50" s="12" t="str">
        <x:v>卢布含官价参考；欧元栏为德国代理</x:v>
      </x:c>
    </x:row>
    <x:row r="51" ht="32" customHeight="1">
      <x:c r="A51" t="n">
        <x:v>1965</x:v>
      </x:c>
      <x:c r="B51" s="28" t="n">
        <x:f>IF(ISNUMBER('年度汇率'!B51),1/'年度汇率'!B51,"")</x:f>
        <x:v>1</x:v>
      </x:c>
      <x:c r="C51" s="28" t="n">
        <x:f>IF(ISNUMBER('年度汇率'!C51),1/'年度汇率'!C51,"")</x:f>
        <x:v>2.796217016900263</x:v>
      </x:c>
      <x:c r="D51" s="28" t="n">
        <x:f>IF(ISNUMBER('年度汇率'!D51),1/'年度汇率'!D51,"")</x:f>
        <x:v>0.9275125735923258</x:v>
      </x:c>
      <x:c r="E51" s="28" t="n">
        <x:f>IF(ISNUMBER('年度汇率'!E51),1/'年度汇率'!E51,"")</x:f>
        <x:v>0.20401418305815341</x:v>
      </x:c>
      <x:c r="F51" s="28" t="n">
        <x:f>IF(ISNUMBER('年度汇率'!F51),1/'年度汇率'!F51,"")</x:f>
        <x:v>0.2503629219222171</x:v>
      </x:c>
      <x:c r="G51" s="28" t="n">
        <x:f>IF(ISNUMBER('年度汇率'!G51),1/'年度汇率'!G51,"")</x:f>
        <x:v>0.0016002496388607104</x:v>
      </x:c>
      <x:c r="H51" s="28" t="n">
        <x:f>IF(ISNUMBER('年度汇率'!H51),1/'年度汇率'!H51,"")</x:f>
        <x:v>0.002766175209537772</x:v>
      </x:c>
      <x:c r="I51" s="28" t="n">
        <x:f>IF(ISNUMBER('年度汇率'!I51),1/'年度汇率'!I51,"")</x:f>
        <x:v>0.23106695164924038</x:v>
      </x:c>
      <x:c r="J51" s="28" t="n">
        <x:f>IF(ISNUMBER('年度汇率'!J51),1/'年度汇率'!J51,"")</x:f>
        <x:v>0.21000021000021002</x:v>
      </x:c>
      <x:c r="K51" s="28" t="n">
        <x:f>IF(ISNUMBER('年度汇率'!K51),1/'年度汇率'!K51,"")</x:f>
        <x:v>1.1111111111111112</x:v>
      </x:c>
      <x:c r="L51" s="28" t="n">
        <x:f>IF(ISNUMBER('年度汇率'!L51),1/'年度汇率'!L51,"")</x:f>
        <x:v>0.4062051904899241</x:v>
      </x:c>
      <x:c r="M51" s="28" t="n">
        <x:f>IF(ISNUMBER('年度汇率'!M51),1/'年度汇率'!M51,"")</x:f>
        <x:v>0.2503629219222171</x:v>
      </x:c>
      <x:c r="N51" s="12" t="str">
        <x:v>卢布含官价参考；欧元栏为德国代理</x:v>
      </x:c>
    </x:row>
    <x:row r="52" ht="32" customHeight="1">
      <x:c r="A52" t="n">
        <x:v>1966</x:v>
      </x:c>
      <x:c r="B52" s="28" t="n">
        <x:f>IF(ISNUMBER('年度汇率'!B52),1/'年度汇率'!B52,"")</x:f>
        <x:v>1</x:v>
      </x:c>
      <x:c r="C52" s="28" t="n">
        <x:f>IF(ISNUMBER('年度汇率'!C52),1/'年度汇率'!C52,"")</x:f>
        <x:v>2.7932242754333076</x:v>
      </x:c>
      <x:c r="D52" s="28" t="n">
        <x:f>IF(ISNUMBER('年度汇率'!D52),1/'年度汇率'!D52,"")</x:f>
        <x:v>0.9280519956885196</x:v>
      </x:c>
      <x:c r="E52" s="28" t="n">
        <x:f>IF(ISNUMBER('年度汇率'!E52),1/'年度汇率'!E52,"")</x:f>
        <x:v>0.2034955101998397</x:v>
      </x:c>
      <x:c r="F52" s="28" t="n">
        <x:f>IF(ISNUMBER('年度汇率'!F52),1/'年度汇率'!F52,"")</x:f>
        <x:v>0.25008112005953137</x:v>
      </x:c>
      <x:c r="G52" s="28" t="n">
        <x:f>IF(ISNUMBER('年度汇率'!G52),1/'年度汇率'!G52,"")</x:f>
        <x:v>0.0016013237608089115</x:v>
      </x:c>
      <x:c r="H52" s="28" t="n">
        <x:f>IF(ISNUMBER('年度汇率'!H52),1/'年度汇率'!H52,"")</x:f>
        <x:v>0.0027597626604112043</x:v>
      </x:c>
      <x:c r="I52" s="28" t="n">
        <x:f>IF(ISNUMBER('年度汇率'!I52),1/'年度汇率'!I52,"")</x:f>
        <x:v>0.2311390532544379</x:v>
      </x:c>
      <x:c r="J52" s="28" t="n">
        <x:f>IF(ISNUMBER('年度汇率'!J52),1/'年度汇率'!J52,"")</x:f>
        <x:v>0.15725433923692334</x:v>
      </x:c>
      <x:c r="K52" s="28" t="n">
        <x:f>IF(ISNUMBER('年度汇率'!K52),1/'年度汇率'!K52,"")</x:f>
        <x:v>1.1111111111111112</x:v>
      </x:c>
      <x:c r="L52" s="28" t="n">
        <x:f>IF(ISNUMBER('年度汇率'!L52),1/'年度汇率'!L52,"")</x:f>
        <x:v>0.4062051904899241</x:v>
      </x:c>
      <x:c r="M52" s="28" t="n">
        <x:f>IF(ISNUMBER('年度汇率'!M52),1/'年度汇率'!M52,"")</x:f>
        <x:v>0.25008112005953137</x:v>
      </x:c>
      <x:c r="N52" s="12" t="str">
        <x:v>卢布含官价参考；欧元栏为德国代理</x:v>
      </x:c>
    </x:row>
    <x:row r="53" ht="32" customHeight="1">
      <x:c r="A53" t="n">
        <x:v>1967</x:v>
      </x:c>
      <x:c r="B53" s="28" t="n">
        <x:f>IF(ISNUMBER('年度汇率'!B53),1/'年度汇率'!B53,"")</x:f>
        <x:v>1</x:v>
      </x:c>
      <x:c r="C53" s="28" t="n">
        <x:f>IF(ISNUMBER('年度汇率'!C53),1/'年度汇率'!C53,"")</x:f>
        <x:v>2.7417184364384872</x:v>
      </x:c>
      <x:c r="D53" s="28" t="n">
        <x:f>IF(ISNUMBER('年度汇率'!D53),1/'年度汇率'!D53,"")</x:f>
        <x:v>0.9269028929897747</x:v>
      </x:c>
      <x:c r="E53" s="28" t="n">
        <x:f>IF(ISNUMBER('年度汇率'!E53),1/'年度汇率'!E53,"")</x:f>
        <x:v>0.20322838449399483</x:v>
      </x:c>
      <x:c r="F53" s="28" t="n">
        <x:f>IF(ISNUMBER('年度汇率'!F53),1/'年度汇率'!F53,"")</x:f>
        <x:v>0.2508461353676433</x:v>
      </x:c>
      <x:c r="G53" s="28" t="n">
        <x:f>IF(ISNUMBER('年度汇率'!G53),1/'年度汇率'!G53,"")</x:f>
        <x:v>0.001602229448776116</x:v>
      </x:c>
      <x:c r="H53" s="28" t="n">
        <x:f>IF(ISNUMBER('年度汇率'!H53),1/'年度汇率'!H53,"")</x:f>
        <x:v>0.0027612867596299878</x:v>
      </x:c>
      <x:c r="I53" s="28" t="n">
        <x:f>IF(ISNUMBER('年度汇率'!I53),1/'年度汇率'!I53,"")</x:f>
        <x:v>0.23103670017804429</x:v>
      </x:c>
      <x:c r="J53" s="28" t="n">
        <x:f>IF(ISNUMBER('年度汇率'!J53),1/'年度汇率'!J53,"")</x:f>
        <x:v>0.13333333333333333</x:v>
      </x:c>
      <x:c r="K53" s="28" t="n">
        <x:f>IF(ISNUMBER('年度汇率'!K53),1/'年度汇率'!K53,"")</x:f>
        <x:v>1.1111111111111112</x:v>
      </x:c>
      <x:c r="L53" s="28" t="n">
        <x:f>IF(ISNUMBER('年度汇率'!L53),1/'年度汇率'!L53,"")</x:f>
        <x:v>0.4062051904899241</x:v>
      </x:c>
      <x:c r="M53" s="28" t="n">
        <x:f>IF(ISNUMBER('年度汇率'!M53),1/'年度汇率'!M53,"")</x:f>
        <x:v>0.2508461353676433</x:v>
      </x:c>
      <x:c r="N53" s="12" t="str">
        <x:v>卢布含官价参考；欧元栏为德国代理</x:v>
      </x:c>
    </x:row>
    <x:row r="54" ht="32" customHeight="1">
      <x:c r="A54" t="n">
        <x:v>1968</x:v>
      </x:c>
      <x:c r="B54" s="28" t="n">
        <x:f>IF(ISNUMBER('年度汇率'!B54),1/'年度汇率'!B54,"")</x:f>
        <x:v>1</x:v>
      </x:c>
      <x:c r="C54" s="28" t="n">
        <x:f>IF(ISNUMBER('年度汇率'!C54),1/'年度汇率'!C54,"")</x:f>
        <x:v>2.3936690567134637</x:v>
      </x:c>
      <x:c r="D54" s="28" t="n">
        <x:f>IF(ISNUMBER('年度汇率'!D54),1/'年度汇率'!D54,"")</x:f>
        <x:v>0.9279457831923361</x:v>
      </x:c>
      <x:c r="E54" s="28" t="n">
        <x:f>IF(ISNUMBER('年度汇率'!E54),1/'年度汇率'!E54,"")</x:f>
        <x:v>0.2019035466415723</x:v>
      </x:c>
      <x:c r="F54" s="28" t="n">
        <x:f>IF(ISNUMBER('年度汇率'!F54),1/'年度汇率'!F54,"")</x:f>
        <x:v>0.2505033028819158</x:v>
      </x:c>
      <x:c r="G54" s="28" t="n">
        <x:f>IF(ISNUMBER('年度汇率'!G54),1/'年度汇率'!G54,"")</x:f>
        <x:v>0.0016041118736374225</x:v>
      </x:c>
      <x:c r="H54" s="28" t="n">
        <x:f>IF(ISNUMBER('年度汇率'!H54),1/'年度汇率'!H54,"")</x:f>
        <x:v>0.002773463501220324</x:v>
      </x:c>
      <x:c r="I54" s="28" t="n">
        <x:f>IF(ISNUMBER('年度汇率'!I54),1/'年度汇率'!I54,"")</x:f>
        <x:v>0.2316785691531569</x:v>
      </x:c>
      <x:c r="J54" s="28" t="n">
        <x:f>IF(ISNUMBER('年度汇率'!J54),1/'年度汇率'!J54,"")</x:f>
        <x:v>0.13333333333333333</x:v>
      </x:c>
      <x:c r="K54" s="28" t="n">
        <x:f>IF(ISNUMBER('年度汇率'!K54),1/'年度汇率'!K54,"")</x:f>
        <x:v>1.1111111111111112</x:v>
      </x:c>
      <x:c r="L54" s="28" t="n">
        <x:f>IF(ISNUMBER('年度汇率'!L54),1/'年度汇率'!L54,"")</x:f>
        <x:v>0.4062051904899241</x:v>
      </x:c>
      <x:c r="M54" s="28" t="n">
        <x:f>IF(ISNUMBER('年度汇率'!M54),1/'年度汇率'!M54,"")</x:f>
        <x:v>0.2505033028819158</x:v>
      </x:c>
      <x:c r="N54" s="12" t="str">
        <x:v>卢布含官价参考；欧元栏为德国代理</x:v>
      </x:c>
    </x:row>
    <x:row r="55" ht="32" customHeight="1">
      <x:c r="A55" t="n">
        <x:v>1969</x:v>
      </x:c>
      <x:c r="B55" s="28" t="n">
        <x:f>IF(ISNUMBER('年度汇率'!B55),1/'年度汇率'!B55,"")</x:f>
        <x:v>1</x:v>
      </x:c>
      <x:c r="C55" s="28" t="n">
        <x:f>IF(ISNUMBER('年度汇率'!C55),1/'年度汇率'!C55,"")</x:f>
        <x:v>2.3903352338484813</x:v>
      </x:c>
      <x:c r="D55" s="28" t="n">
        <x:f>IF(ISNUMBER('年度汇率'!D55),1/'年度汇率'!D55,"")</x:f>
        <x:v>0.9285647407231682</x:v>
      </x:c>
      <x:c r="E55" s="28" t="n">
        <x:f>IF(ISNUMBER('年度汇率'!E55),1/'年度汇率'!E55,"")</x:f>
        <x:v>0.19231154470934936</x:v>
      </x:c>
      <x:c r="F55" s="28" t="n">
        <x:f>IF(ISNUMBER('年度汇率'!F55),1/'年度汇率'!F55,"")</x:f>
        <x:v>0.25477166089281605</x:v>
      </x:c>
      <x:c r="G55" s="28" t="n">
        <x:f>IF(ISNUMBER('年度汇率'!G55),1/'年度汇率'!G55,"")</x:f>
        <x:v>0.001594083823797966</x:v>
      </x:c>
      <x:c r="H55" s="28" t="n">
        <x:f>IF(ISNUMBER('年度汇率'!H55),1/'年度汇率'!H55,"")</x:f>
        <x:v>0.0027903342820469893</x:v>
      </x:c>
      <x:c r="I55" s="28" t="n">
        <x:f>IF(ISNUMBER('年度汇率'!I55),1/'年度汇率'!I55,"")</x:f>
        <x:v>0.23184911259752153</x:v>
      </x:c>
      <x:c r="J55" s="28" t="n">
        <x:f>IF(ISNUMBER('年度汇率'!J55),1/'年度汇率'!J55,"")</x:f>
        <x:v>0.13333333333333333</x:v>
      </x:c>
      <x:c r="K55" s="28" t="n">
        <x:f>IF(ISNUMBER('年度汇率'!K55),1/'年度汇率'!K55,"")</x:f>
        <x:v>1.1111111111111112</x:v>
      </x:c>
      <x:c r="L55" s="28" t="n">
        <x:f>IF(ISNUMBER('年度汇率'!L55),1/'年度汇率'!L55,"")</x:f>
        <x:v>0.4062051904899241</x:v>
      </x:c>
      <x:c r="M55" s="28" t="n">
        <x:f>IF(ISNUMBER('年度汇率'!M55),1/'年度汇率'!M55,"")</x:f>
        <x:v>0.25477166089281605</x:v>
      </x:c>
      <x:c r="N55" s="12" t="str">
        <x:v>卢布含官价参考；欧元栏为德国代理</x:v>
      </x:c>
    </x:row>
    <x:row r="56" ht="32" customHeight="1">
      <x:c r="A56" t="n">
        <x:v>1970</x:v>
      </x:c>
      <x:c r="B56" s="28" t="n">
        <x:f>IF(ISNUMBER('年度汇率'!B56),1/'年度汇率'!B56,"")</x:f>
        <x:v>1</x:v>
      </x:c>
      <x:c r="C56" s="28" t="n">
        <x:f>IF(ISNUMBER('年度汇率'!C56),1/'年度汇率'!C56,"")</x:f>
        <x:v>2.3959588226999466</x:v>
      </x:c>
      <x:c r="D56" s="28" t="n">
        <x:f>IF(ISNUMBER('年度汇率'!D56),1/'年度汇率'!D56,"")</x:f>
        <x:v>0.9577099240296603</x:v>
      </x:c>
      <x:c r="E56" s="28" t="n">
        <x:f>IF(ISNUMBER('年度汇率'!E56),1/'年度汇率'!E56,"")</x:f>
        <x:v>0.18086916677271145</x:v>
      </x:c>
      <x:c r="F56" s="28" t="n">
        <x:f>IF(ISNUMBER('年度汇率'!F56),1/'年度汇率'!F56,"")</x:f>
        <x:v>0.27423431494179407</x:v>
      </x:c>
      <x:c r="G56" s="28" t="n">
        <x:f>IF(ISNUMBER('年度汇率'!G56),1/'年度汇率'!G56,"")</x:f>
        <x:v>0.0015944949532366009</x:v>
      </x:c>
      <x:c r="H56" s="28" t="n">
        <x:f>IF(ISNUMBER('年度汇率'!H56),1/'年度汇率'!H56,"")</x:f>
        <x:v>0.002792126204104426</x:v>
      </x:c>
      <x:c r="I56" s="28" t="n">
        <x:f>IF(ISNUMBER('年度汇率'!I56),1/'年度汇率'!I56,"")</x:f>
        <x:v>0.23198402403175103</x:v>
      </x:c>
      <x:c r="J56" s="28" t="n">
        <x:f>IF(ISNUMBER('年度汇率'!J56),1/'年度汇率'!J56,"")</x:f>
        <x:v>0.13333333333333333</x:v>
      </x:c>
      <x:c r="K56" s="28" t="n">
        <x:f>IF(ISNUMBER('年度汇率'!K56),1/'年度汇率'!K56,"")</x:f>
        <x:v>1.1111111111111112</x:v>
      </x:c>
      <x:c r="L56" s="28" t="n">
        <x:f>IF(ISNUMBER('年度汇率'!L56),1/'年度汇率'!L56,"")</x:f>
        <x:v>0.4061738424045491</x:v>
      </x:c>
      <x:c r="M56" s="28" t="n">
        <x:f>IF(ISNUMBER('年度汇率'!M56),1/'年度汇率'!M56,"")</x:f>
        <x:v>0.27423431494179407</x:v>
      </x:c>
      <x:c r="N56" s="12" t="str">
        <x:v>卢布含官价参考；欧元栏为德国代理</x:v>
      </x:c>
    </x:row>
    <x:row r="57" ht="32" customHeight="1">
      <x:c r="A57" t="n">
        <x:v>1971</x:v>
      </x:c>
      <x:c r="B57" s="28" t="n">
        <x:f>IF(ISNUMBER('年度汇率'!B57),1/'年度汇率'!B57,"")</x:f>
        <x:v>1</x:v>
      </x:c>
      <x:c r="C57" s="28" t="n">
        <x:f>IF(ISNUMBER('年度汇率'!C57),1/'年度汇率'!C57,"")</x:f>
        <x:v>2.4442</x:v>
      </x:c>
      <x:c r="D57" s="28" t="n">
        <x:f>IF(ISNUMBER('年度汇率'!D57),1/'年度汇率'!D57,"")</x:f>
        <x:v>0.9901970492127933</x:v>
      </x:c>
      <x:c r="E57" s="28" t="n">
        <x:f>IF(ISNUMBER('年度汇率'!E57),1/'年度汇率'!E57,"")</x:f>
        <x:v>0.1814736568362118</x:v>
      </x:c>
      <x:c r="F57" s="28" t="n">
        <x:f>IF(ISNUMBER('年度汇率'!F57),1/'年度汇率'!F57,"")</x:f>
        <x:v>0.28723457729641505</x:v>
      </x:c>
      <x:c r="G57" s="28" t="n">
        <x:f>IF(ISNUMBER('年度汇率'!G57),1/'年度汇率'!G57,"")</x:f>
        <x:v>0.001617186378552197</x:v>
      </x:c>
      <x:c r="H57" s="28" t="n">
        <x:f>IF(ISNUMBER('年度汇率'!H57),1/'年度汇率'!H57,"")</x:f>
        <x:v>0.002875333862203075</x:v>
      </x:c>
      <x:c r="I57" s="28" t="n">
        <x:f>IF(ISNUMBER('年度汇率'!I57),1/'年度汇率'!I57,"")</x:f>
        <x:v>0.2428894124505113</x:v>
      </x:c>
      <x:c r="J57" s="28" t="n">
        <x:f>IF(ISNUMBER('年度汇率'!J57),1/'年度汇率'!J57,"")</x:f>
        <x:v>0.1334768951494497</x:v>
      </x:c>
      <x:c r="K57" s="28" t="n">
        <x:f>IF(ISNUMBER('年度汇率'!K57),1/'年度汇率'!K57,"")</x:f>
        <x:v>1.1111111111111112</x:v>
      </x:c>
      <x:c r="L57" s="28" t="n">
        <x:f>IF(ISNUMBER('年度汇率'!L57),1/'年度汇率'!L57,"")</x:f>
        <x:v>0.4061738424045491</x:v>
      </x:c>
      <x:c r="M57" s="28" t="n">
        <x:f>IF(ISNUMBER('年度汇率'!M57),1/'年度汇率'!M57,"")</x:f>
        <x:v>0.28723457729641505</x:v>
      </x:c>
      <x:c r="N57" s="12" t="str">
        <x:v>卢布含官价参考；欧元栏为德国代理</x:v>
      </x:c>
    </x:row>
    <x:row r="58" ht="32" customHeight="1">
      <x:c r="A58" t="n">
        <x:v>1972</x:v>
      </x:c>
      <x:c r="B58" s="28" t="n">
        <x:f>IF(ISNUMBER('年度汇率'!B58),1/'年度汇率'!B58,"")</x:f>
        <x:v>1</x:v>
      </x:c>
      <x:c r="C58" s="28" t="n">
        <x:f>IF(ISNUMBER('年度汇率'!C58),1/'年度汇率'!C58,"")</x:f>
        <x:v>2.5034</x:v>
      </x:c>
      <x:c r="D58" s="28" t="n">
        <x:f>IF(ISNUMBER('年度汇率'!D58),1/'年度汇率'!D58,"")</x:f>
        <x:v>1.009387301907742</x:v>
      </x:c>
      <x:c r="E58" s="28" t="n">
        <x:f>IF(ISNUMBER('年度汇率'!E58),1/'年度汇率'!E58,"")</x:f>
        <x:v>0.19824552708524543</x:v>
      </x:c>
      <x:c r="F58" s="28" t="n">
        <x:f>IF(ISNUMBER('年度汇率'!F58),1/'年度汇率'!F58,"")</x:f>
        <x:v>0.31357792412082364</x:v>
      </x:c>
      <x:c r="G58" s="28" t="n">
        <x:f>IF(ISNUMBER('年度汇率'!G58),1/'年度汇率'!G58,"")</x:f>
        <x:v>0.0017146283950294642</x:v>
      </x:c>
      <x:c r="H58" s="28" t="n">
        <x:f>IF(ISNUMBER('年度汇率'!H58),1/'年度汇率'!H58,"")</x:f>
        <x:v>0.0032989690721649486</x:v>
      </x:c>
      <x:c r="I58" s="28" t="n">
        <x:f>IF(ISNUMBER('年度汇率'!I58),1/'年度汇率'!I58,"")</x:f>
        <x:v>0.26187608023883097</x:v>
      </x:c>
      <x:c r="J58" s="28" t="n">
        <x:f>IF(ISNUMBER('年度汇率'!J58),1/'年度汇率'!J58,"")</x:f>
        <x:v>0.13167496036035053</x:v>
      </x:c>
      <x:c r="K58" s="28" t="n">
        <x:f>IF(ISNUMBER('年度汇率'!K58),1/'年度汇率'!K58,"")</x:f>
        <x:v>1.2062726176115803</x:v>
      </x:c>
      <x:c r="L58" s="28" t="n">
        <x:f>IF(ISNUMBER('年度汇率'!L58),1/'年度汇率'!L58,"")</x:f>
        <x:v>0.4454839068938635</x:v>
      </x:c>
      <x:c r="M58" s="28" t="n">
        <x:f>IF(ISNUMBER('年度汇率'!M58),1/'年度汇率'!M58,"")</x:f>
        <x:v>0.31357792412082364</x:v>
      </x:c>
      <x:c r="N58" s="12" t="str">
        <x:v>卢布含官价参考；欧元栏为德国代理</x:v>
      </x:c>
    </x:row>
    <x:row r="59" ht="32" customHeight="1">
      <x:c r="A59" t="n">
        <x:v>1973</x:v>
      </x:c>
      <x:c r="B59" s="28" t="n">
        <x:f>IF(ISNUMBER('年度汇率'!B59),1/'年度汇率'!B59,"")</x:f>
        <x:v>1</x:v>
      </x:c>
      <x:c r="C59" s="28" t="n">
        <x:f>IF(ISNUMBER('年度汇率'!C59),1/'年度汇率'!C59,"")</x:f>
        <x:v>2.4525</x:v>
      </x:c>
      <x:c r="D59" s="28" t="n">
        <x:f>IF(ISNUMBER('年度汇率'!D59),1/'年度汇率'!D59,"")</x:f>
        <x:v>0.9998000399920016</x:v>
      </x:c>
      <x:c r="E59" s="28" t="n">
        <x:f>IF(ISNUMBER('年度汇率'!E59),1/'年度汇率'!E59,"")</x:f>
        <x:v>0.22452484929524766</x:v>
      </x:c>
      <x:c r="F59" s="28" t="n">
        <x:f>IF(ISNUMBER('年度汇率'!F59),1/'年度汇率'!F59,"")</x:f>
        <x:v>0.3743098661766773</x:v>
      </x:c>
      <x:c r="G59" s="28" t="n">
        <x:f>IF(ISNUMBER('年度汇率'!G59),1/'年度汇率'!G59,"")</x:f>
        <x:v>0.0017182412038036965</x:v>
      </x:c>
      <x:c r="H59" s="28" t="n">
        <x:f>IF(ISNUMBER('年度汇率'!H59),1/'年度汇率'!H59,"")</x:f>
        <x:v>0.003685881782713583</x:v>
      </x:c>
      <x:c r="I59" s="28" t="n">
        <x:f>IF(ISNUMBER('年度汇率'!I59),1/'年度汇率'!I59,"")</x:f>
        <x:v>0.3155768745266347</x:v>
      </x:c>
      <x:c r="J59" s="28" t="n">
        <x:f>IF(ISNUMBER('年度汇率'!J59),1/'年度汇率'!J59,"")</x:f>
        <x:v>0.13064893325146001</x:v>
      </x:c>
      <x:c r="K59" s="28" t="n">
        <x:f>IF(ISNUMBER('年度汇率'!K59),1/'年度汇率'!K59,"")</x:f>
        <x:v>1.2106537530266344</x:v>
      </x:c>
      <x:c r="L59" s="28" t="n">
        <x:f>IF(ISNUMBER('年度汇率'!L59),1/'年度汇率'!L59,"")</x:f>
        <x:v>0.5027020233756441</x:v>
      </x:c>
      <x:c r="M59" s="28" t="n">
        <x:f>IF(ISNUMBER('年度汇率'!M59),1/'年度汇率'!M59,"")</x:f>
        <x:v>0.3743098661766773</x:v>
      </x:c>
      <x:c r="N59" s="12" t="str">
        <x:v>卢布含官价参考；欧元栏为德国代理</x:v>
      </x:c>
    </x:row>
    <x:row r="60" ht="32" customHeight="1">
      <x:c r="A60" t="n">
        <x:v>1974</x:v>
      </x:c>
      <x:c r="B60" s="28" t="n">
        <x:f>IF(ISNUMBER('年度汇率'!B60),1/'年度汇率'!B60,"")</x:f>
        <x:v>1</x:v>
      </x:c>
      <x:c r="C60" s="28" t="n">
        <x:f>IF(ISNUMBER('年度汇率'!C60),1/'年度汇率'!C60,"")</x:f>
        <x:v>2.3403</x:v>
      </x:c>
      <x:c r="D60" s="28" t="n">
        <x:f>IF(ISNUMBER('年度汇率'!D60),1/'年度汇率'!D60,"")</x:f>
        <x:v>1.0224948875255624</x:v>
      </x:c>
      <x:c r="E60" s="28" t="n">
        <x:f>IF(ISNUMBER('年度汇率'!E60),1/'年度汇率'!E60,"")</x:f>
        <x:v>0.20793299013987854</x:v>
      </x:c>
      <x:c r="F60" s="28" t="n">
        <x:f>IF(ISNUMBER('年度汇率'!F60),1/'年度汇率'!F60,"")</x:f>
        <x:v>0.3866390434433766</x:v>
      </x:c>
      <x:c r="G60" s="28" t="n">
        <x:f>IF(ISNUMBER('年度汇率'!G60),1/'年度汇率'!G60,"")</x:f>
        <x:v>0.0015376992734632685</x:v>
      </x:c>
      <x:c r="H60" s="28" t="n">
        <x:f>IF(ISNUMBER('年度汇率'!H60),1/'年度汇率'!H60,"")</x:f>
        <x:v>0.003426481079314128</x:v>
      </x:c>
      <x:c r="I60" s="28" t="n">
        <x:f>IF(ISNUMBER('年度汇率'!I60),1/'年度汇率'!I60,"")</x:f>
        <x:v>0.33551417547391377</x:v>
      </x:c>
      <x:c r="J60" s="28" t="n">
        <x:f>IF(ISNUMBER('年度汇率'!J60),1/'年度汇率'!J60,"")</x:f>
        <x:v>0.12455006289778175</x:v>
      </x:c>
      <x:c r="K60" s="28" t="n">
        <x:f>IF(ISNUMBER('年度汇率'!K60),1/'年度汇率'!K60,"")</x:f>
        <x:v>1.326963906581741</x:v>
      </x:c>
      <x:c r="L60" s="28" t="n">
        <x:f>IF(ISNUMBER('年度汇率'!L60),1/'年度汇率'!L60,"")</x:f>
        <x:v>0.5099005693889682</x:v>
      </x:c>
      <x:c r="M60" s="28" t="n">
        <x:f>IF(ISNUMBER('年度汇率'!M60),1/'年度汇率'!M60,"")</x:f>
        <x:v>0.3866390434433766</x:v>
      </x:c>
      <x:c r="N60" s="12" t="str">
        <x:v>卢布含官价参考；欧元栏为德国代理</x:v>
      </x:c>
    </x:row>
    <x:row r="61" ht="32" customHeight="1">
      <x:c r="A61" t="n">
        <x:v>1975</x:v>
      </x:c>
      <x:c r="B61" s="28" t="n">
        <x:f>IF(ISNUMBER('年度汇率'!B61),1/'年度汇率'!B61,"")</x:f>
        <x:v>1</x:v>
      </x:c>
      <x:c r="C61" s="28" t="n">
        <x:f>IF(ISNUMBER('年度汇率'!C61),1/'年度汇率'!C61,"")</x:f>
        <x:v>2.2217</x:v>
      </x:c>
      <x:c r="D61" s="28" t="n">
        <x:f>IF(ISNUMBER('年度汇率'!D61),1/'年度汇率'!D61,"")</x:f>
        <x:v>0.9828009828009827</x:v>
      </x:c>
      <x:c r="E61" s="28" t="n">
        <x:f>IF(ISNUMBER('年度汇率'!E61),1/'年度汇率'!E61,"")</x:f>
        <x:v>0.23325111232539825</x:v>
      </x:c>
      <x:c r="F61" s="28" t="n">
        <x:f>IF(ISNUMBER('年度汇率'!F61),1/'年度汇率'!F61,"")</x:f>
        <x:v>0.40644348404403585</x:v>
      </x:c>
      <x:c r="G61" s="28" t="n">
        <x:f>IF(ISNUMBER('年度汇率'!G61),1/'年度汇率'!G61,"")</x:f>
        <x:v>0.0015320516701802275</x:v>
      </x:c>
      <x:c r="H61" s="28" t="n">
        <x:f>IF(ISNUMBER('年度汇率'!H61),1/'年度汇率'!H61,"")</x:f>
        <x:v>0.003369443661048793</x:v>
      </x:c>
      <x:c r="I61" s="28" t="n">
        <x:f>IF(ISNUMBER('年度汇率'!I61),1/'年度汇率'!I61,"")</x:f>
        <x:v>0.38701188126475483</x:v>
      </x:c>
      <x:c r="J61" s="28" t="n">
        <x:f>IF(ISNUMBER('年度汇率'!J61),1/'年度汇率'!J61,"")</x:f>
        <x:v>0.11892586161786742</x:v>
      </x:c>
      <x:c r="K61" s="28" t="n">
        <x:f>IF(ISNUMBER('年度汇率'!K61),1/'年度汇率'!K61,"")</x:f>
        <x:v>1.36986301369863</x:v>
      </x:c>
      <x:c r="L61" s="28" t="n">
        <x:f>IF(ISNUMBER('年度汇率'!L61),1/'年度汇率'!L61,"")</x:f>
        <x:v>0.5376825880455248</x:v>
      </x:c>
      <x:c r="M61" s="28" t="n">
        <x:f>IF(ISNUMBER('年度汇率'!M61),1/'年度汇率'!M61,"")</x:f>
        <x:v>0.40644348404403585</x:v>
      </x:c>
      <x:c r="N61" s="12" t="str">
        <x:v>卢布含官价参考；欧元栏为德国代理</x:v>
      </x:c>
    </x:row>
    <x:row r="62" ht="32" customHeight="1">
      <x:c r="A62" t="n">
        <x:v>1976</x:v>
      </x:c>
      <x:c r="B62" s="28" t="n">
        <x:f>IF(ISNUMBER('年度汇率'!B62),1/'年度汇率'!B62,"")</x:f>
        <x:v>1</x:v>
      </x:c>
      <x:c r="C62" s="28" t="n">
        <x:f>IF(ISNUMBER('年度汇率'!C62),1/'年度汇率'!C62,"")</x:f>
        <x:v>1.8048</x:v>
      </x:c>
      <x:c r="D62" s="28" t="n">
        <x:f>IF(ISNUMBER('年度汇率'!D62),1/'年度汇率'!D62,"")</x:f>
        <x:v>1.0138902970698571</x:v>
      </x:c>
      <x:c r="E62" s="28" t="n">
        <x:f>IF(ISNUMBER('年度汇率'!E62),1/'年度汇率'!E62,"")</x:f>
        <x:v>0.2091904330339276</x:v>
      </x:c>
      <x:c r="F62" s="28" t="n">
        <x:f>IF(ISNUMBER('年度汇率'!F62),1/'年度汇率'!F62,"")</x:f>
        <x:v>0.3970472916458236</x:v>
      </x:c>
      <x:c r="G62" s="28" t="n">
        <x:f>IF(ISNUMBER('年度汇率'!G62),1/'年度汇率'!G62,"")</x:f>
        <x:v>0.0012017263038346312</x:v>
      </x:c>
      <x:c r="H62" s="28" t="n">
        <x:f>IF(ISNUMBER('年度汇率'!H62),1/'年度汇率'!H62,"")</x:f>
        <x:v>0.0033732000604477447</x:v>
      </x:c>
      <x:c r="I62" s="28" t="n">
        <x:f>IF(ISNUMBER('年度汇率'!I62),1/'年度汇率'!I62,"")</x:f>
        <x:v>0.3999680025597952</x:v>
      </x:c>
      <x:c r="J62" s="28" t="n">
        <x:f>IF(ISNUMBER('年度汇率'!J62),1/'年度汇率'!J62,"")</x:f>
        <x:v>0.11146408069999442</x:v>
      </x:c>
      <x:c r="K62" s="28" t="n">
        <x:f>IF(ISNUMBER('年度汇率'!K62),1/'年度汇率'!K62,"")</x:f>
        <x:v>1.3192612137203166</x:v>
      </x:c>
      <x:c r="L62" s="28" t="n">
        <x:f>IF(ISNUMBER('年度汇率'!L62),1/'年度汇率'!L62,"")</x:f>
        <x:v>0.5150656708730363</x:v>
      </x:c>
      <x:c r="M62" s="28" t="n">
        <x:f>IF(ISNUMBER('年度汇率'!M62),1/'年度汇率'!M62,"")</x:f>
        <x:v>0.3970472916458236</x:v>
      </x:c>
      <x:c r="N62" s="12" t="str">
        <x:v>卢布含官价参考；欧元栏为德国代理</x:v>
      </x:c>
    </x:row>
    <x:row r="63" ht="32" customHeight="1">
      <x:c r="A63" t="n">
        <x:v>1977</x:v>
      </x:c>
      <x:c r="B63" s="28" t="n">
        <x:f>IF(ISNUMBER('年度汇率'!B63),1/'年度汇率'!B63,"")</x:f>
        <x:v>1</x:v>
      </x:c>
      <x:c r="C63" s="28" t="n">
        <x:f>IF(ISNUMBER('年度汇率'!C63),1/'年度汇率'!C63,"")</x:f>
        <x:v>1.7449</x:v>
      </x:c>
      <x:c r="D63" s="28" t="n">
        <x:f>IF(ISNUMBER('年度汇率'!D63),1/'年度汇率'!D63,"")</x:f>
        <x:v>0.9404683532399135</x:v>
      </x:c>
      <x:c r="E63" s="28" t="n">
        <x:f>IF(ISNUMBER('年度汇率'!E63),1/'年度汇率'!E63,"")</x:f>
        <x:v>0.20352056660247814</x:v>
      </x:c>
      <x:c r="F63" s="28" t="n">
        <x:f>IF(ISNUMBER('年度汇率'!F63),1/'年度汇率'!F63,"")</x:f>
        <x:v>0.4306122229297424</x:v>
      </x:c>
      <x:c r="G63" s="28" t="n">
        <x:f>IF(ISNUMBER('年度汇率'!G63),1/'年度汇率'!G63,"")</x:f>
        <x:v>0.0011333361155882046</x:v>
      </x:c>
      <x:c r="H63" s="28" t="n">
        <x:f>IF(ISNUMBER('年度汇率'!H63),1/'年度汇率'!H63,"")</x:f>
        <x:v>0.0037227393107124806</x:v>
      </x:c>
      <x:c r="I63" s="28" t="n">
        <x:f>IF(ISNUMBER('年度汇率'!I63),1/'年度汇率'!I63,"")</x:f>
        <x:v>0.41554124246831503</x:v>
      </x:c>
      <x:c r="J63" s="28" t="n">
        <x:f>IF(ISNUMBER('年度汇率'!J63),1/'年度汇率'!J63,"")</x:f>
        <x:v>0.114047192728351</x:v>
      </x:c>
      <x:c r="K63" s="28" t="n">
        <x:f>IF(ISNUMBER('年度汇率'!K63),1/'年度汇率'!K63,"")</x:f>
        <x:v>1.3477088948787062</x:v>
      </x:c>
      <x:c r="L63" s="28" t="n">
        <x:f>IF(ISNUMBER('年度汇率'!L63),1/'年度汇率'!L63,"")</x:f>
        <x:v>0.5440449743845501</x:v>
      </x:c>
      <x:c r="M63" s="28" t="n">
        <x:f>IF(ISNUMBER('年度汇率'!M63),1/'年度汇率'!M63,"")</x:f>
        <x:v>0.4306122229297424</x:v>
      </x:c>
      <x:c r="N63" s="12" t="str">
        <x:v>卢布含官价参考；欧元栏为德国代理</x:v>
      </x:c>
    </x:row>
    <x:row r="64" ht="32" customHeight="1">
      <x:c r="A64" t="n">
        <x:v>1978</x:v>
      </x:c>
      <x:c r="B64" s="28" t="n">
        <x:f>IF(ISNUMBER('年度汇率'!B64),1/'年度汇率'!B64,"")</x:f>
        <x:v>1</x:v>
      </x:c>
      <x:c r="C64" s="28" t="n">
        <x:f>IF(ISNUMBER('年度汇率'!C64),1/'年度汇率'!C64,"")</x:f>
        <x:v>1.9183999999999999</x:v>
      </x:c>
      <x:c r="D64" s="28" t="n">
        <x:f>IF(ISNUMBER('年度汇率'!D64),1/'年度汇率'!D64,"")</x:f>
        <x:v>0.8768084173608066</x:v>
      </x:c>
      <x:c r="E64" s="28" t="n">
        <x:f>IF(ISNUMBER('年度汇率'!E64),1/'年度汇率'!E64,"")</x:f>
        <x:v>0.22163939270988653</x:v>
      </x:c>
      <x:c r="F64" s="28" t="n">
        <x:f>IF(ISNUMBER('年度汇率'!F64),1/'年度汇率'!F64,"")</x:f>
        <x:v>0.4978364856029907</x:v>
      </x:c>
      <x:c r="G64" s="28" t="n">
        <x:f>IF(ISNUMBER('年度汇率'!G64),1/'年度汇率'!G64,"")</x:f>
        <x:v>0.0011782363718045785</x:v>
      </x:c>
      <x:c r="H64" s="28" t="n">
        <x:f>IF(ISNUMBER('年度汇率'!H64),1/'年度汇率'!H64,"")</x:f>
        <x:v>0.004753181542065181</x:v>
      </x:c>
      <x:c r="I64" s="28" t="n">
        <x:f>IF(ISNUMBER('年度汇率'!I64),1/'年度汇率'!I64,"")</x:f>
        <x:v>0.5584408331937232</x:v>
      </x:c>
      <x:c r="J64" s="28" t="n">
        <x:f>IF(ISNUMBER('年度汇率'!J64),1/'年度汇率'!J64,"")</x:f>
        <x:v>0.12198245892240694</x:v>
      </x:c>
      <x:c r="K64" s="28" t="n">
        <x:f>IF(ISNUMBER('年度汇率'!K64),1/'年度汇率'!K64,"")</x:f>
        <x:v>1.41643059490085</x:v>
      </x:c>
      <x:c r="L64" s="28" t="n">
        <x:f>IF(ISNUMBER('年度汇率'!L64),1/'年度汇率'!L64,"")</x:f>
        <x:v>0.5939711923971699</x:v>
      </x:c>
      <x:c r="M64" s="28" t="n">
        <x:f>IF(ISNUMBER('年度汇率'!M64),1/'年度汇率'!M64,"")</x:f>
        <x:v>0.4978364856029907</x:v>
      </x:c>
      <x:c r="N64" s="12" t="str">
        <x:v>卢布含官价参考；欧元栏为德国代理</x:v>
      </x:c>
    </x:row>
    <x:row r="65" ht="32" customHeight="1">
      <x:c r="A65" t="n">
        <x:v>1979</x:v>
      </x:c>
      <x:c r="B65" s="28" t="n">
        <x:f>IF(ISNUMBER('年度汇率'!B65),1/'年度汇率'!B65,"")</x:f>
        <x:v>1</x:v>
      </x:c>
      <x:c r="C65" s="28" t="n">
        <x:f>IF(ISNUMBER('年度汇率'!C65),1/'年度汇率'!C65,"")</x:f>
        <x:v>2.1224</x:v>
      </x:c>
      <x:c r="D65" s="28" t="n">
        <x:f>IF(ISNUMBER('年度汇率'!D65),1/'年度汇率'!D65,"")</x:f>
        <x:v>0.8537522410996329</x:v>
      </x:c>
      <x:c r="E65" s="28" t="n">
        <x:f>IF(ISNUMBER('年度汇率'!E65),1/'年度汇率'!E65,"")</x:f>
        <x:v>0.23503880097251018</x:v>
      </x:c>
      <x:c r="F65" s="28" t="n">
        <x:f>IF(ISNUMBER('年度汇率'!F65),1/'年度汇率'!F65,"")</x:f>
        <x:v>0.5455909432180082</x:v>
      </x:c>
      <x:c r="G65" s="28" t="n">
        <x:f>IF(ISNUMBER('年度汇率'!G65),1/'年度汇率'!G65,"")</x:f>
        <x:v>0.0012034794879245603</x:v>
      </x:c>
      <x:c r="H65" s="28" t="n">
        <x:f>IF(ISNUMBER('年度汇率'!H65),1/'年度汇率'!H65,"")</x:f>
        <x:v>0.004565859787924945</x:v>
      </x:c>
      <x:c r="I65" s="28" t="n">
        <x:f>IF(ISNUMBER('年度汇率'!I65),1/'年度汇率'!I65,"")</x:f>
        <x:v>0.600817111271329</x:v>
      </x:c>
      <x:c r="J65" s="28" t="n">
        <x:f>IF(ISNUMBER('年度汇率'!J65),1/'年度汇率'!J65,"")</x:f>
        <x:v>0.1226031092148497</x:v>
      </x:c>
      <x:c r="K65" s="28" t="n">
        <x:f>IF(ISNUMBER('年度汇率'!K65),1/'年度汇率'!K65,"")</x:f>
        <x:v>1.5174506828528072</x:v>
      </x:c>
      <x:c r="L65" s="28" t="n">
        <x:f>IF(ISNUMBER('年度汇率'!L65),1/'年度汇率'!L65,"")</x:f>
        <x:v>0.6430178973314744</x:v>
      </x:c>
      <x:c r="M65" s="28" t="n">
        <x:f>IF(ISNUMBER('年度汇率'!M65),1/'年度汇率'!M65,"")</x:f>
        <x:v>0.5455909432180082</x:v>
      </x:c>
      <x:c r="N65" s="12" t="str">
        <x:v>卢布含官价参考；欧元栏为德国代理</x:v>
      </x:c>
    </x:row>
    <x:row r="66" ht="32" customHeight="1">
      <x:c r="A66" t="n">
        <x:v>1980</x:v>
      </x:c>
      <x:c r="B66" s="28" t="n">
        <x:f>IF(ISNUMBER('年度汇率'!B66),1/'年度汇率'!B66,"")</x:f>
        <x:v>1</x:v>
      </x:c>
      <x:c r="C66" s="28" t="n">
        <x:f>IF(ISNUMBER('年度汇率'!C66),1/'年度汇率'!C66,"")</x:f>
        <x:v>2.3246</x:v>
      </x:c>
      <x:c r="D66" s="28" t="n">
        <x:f>IF(ISNUMBER('年度汇率'!D66),1/'年度汇率'!D66,"")</x:f>
        <x:v>0.8552125203112974</x:v>
      </x:c>
      <x:c r="E66" s="28" t="n">
        <x:f>IF(ISNUMBER('年度汇率'!E66),1/'年度汇率'!E66,"")</x:f>
        <x:v>0.23662291771131944</x:v>
      </x:c>
      <x:c r="F66" s="28" t="n">
        <x:f>IF(ISNUMBER('年度汇率'!F66),1/'年度汇率'!F66,"")</x:f>
        <x:v>0.5502946369056411</x:v>
      </x:c>
      <x:c r="G66" s="28" t="n">
        <x:f>IF(ISNUMBER('年度汇率'!G66),1/'年度汇率'!G66,"")</x:f>
        <x:v>0.001167625686375106</x:v>
      </x:c>
      <x:c r="H66" s="28" t="n">
        <x:f>IF(ISNUMBER('年度汇率'!H66),1/'年度汇率'!H66,"")</x:f>
        <x:v>0.004412460966267177</x:v>
      </x:c>
      <x:c r="I66" s="28" t="n">
        <x:f>IF(ISNUMBER('年度汇率'!I66),1/'年度汇率'!I66,"")</x:f>
        <x:v>0.5962318149296446</x:v>
      </x:c>
      <x:c r="J66" s="28" t="n">
        <x:f>IF(ISNUMBER('年度汇率'!J66),1/'年度汇率'!J66,"")</x:f>
        <x:v>0.1267941370391033</x:v>
      </x:c>
      <x:c r="K66" s="28" t="n">
        <x:f>IF(ISNUMBER('年度汇率'!K66),1/'年度汇率'!K66,"")</x:f>
        <x:v>1.563721657544957</x:v>
      </x:c>
      <x:c r="L66" s="28" t="n">
        <x:f>IF(ISNUMBER('年度汇率'!L66),1/'年度汇率'!L66,"")</x:f>
        <x:v>0.6673340006673341</x:v>
      </x:c>
      <x:c r="M66" s="28" t="n">
        <x:f>IF(ISNUMBER('年度汇率'!M66),1/'年度汇率'!M66,"")</x:f>
        <x:v>0.5502946369056411</x:v>
      </x:c>
      <x:c r="N66" s="12" t="str">
        <x:v>卢布含官价参考；欧元栏为德国代理</x:v>
      </x:c>
    </x:row>
    <x:row r="67" ht="32" customHeight="1">
      <x:c r="A67" t="n">
        <x:v>1981</x:v>
      </x:c>
      <x:c r="B67" s="28" t="n">
        <x:f>IF(ISNUMBER('年度汇率'!B67),1/'年度汇率'!B67,"")</x:f>
        <x:v>1</x:v>
      </x:c>
      <x:c r="C67" s="28" t="n">
        <x:f>IF(ISNUMBER('年度汇率'!C67),1/'年度汇率'!C67,"")</x:f>
        <x:v>2.0243</x:v>
      </x:c>
      <x:c r="D67" s="28" t="n">
        <x:f>IF(ISNUMBER('年度汇率'!D67),1/'年度汇率'!D67,"")</x:f>
        <x:v>0.8340283569641367</x:v>
      </x:c>
      <x:c r="E67" s="28" t="n">
        <x:f>IF(ISNUMBER('年度汇率'!E67),1/'年度汇率'!E67,"")</x:f>
        <x:v>0.18401408322029184</x:v>
      </x:c>
      <x:c r="F67" s="28" t="n">
        <x:f>IF(ISNUMBER('年度汇率'!F67),1/'年度汇率'!F67,"")</x:f>
        <x:v>0.44261986698873984</x:v>
      </x:c>
      <x:c r="G67" s="28" t="n">
        <x:f>IF(ISNUMBER('年度汇率'!G67),1/'年度汇率'!G67,"")</x:f>
        <x:v>0.0008798570196900267</x:v>
      </x:c>
      <x:c r="H67" s="28" t="n">
        <x:f>IF(ISNUMBER('年度汇率'!H67),1/'年度汇率'!H67,"")</x:f>
        <x:v>0.004532514217363972</x:v>
      </x:c>
      <x:c r="I67" s="28" t="n">
        <x:f>IF(ISNUMBER('年度汇率'!I67),1/'年度汇率'!I67,"")</x:f>
        <x:v>0.5082592121982211</x:v>
      </x:c>
      <x:c r="J67" s="28" t="n">
        <x:f>IF(ISNUMBER('年度汇率'!J67),1/'年度汇率'!J67,"")</x:f>
        <x:v>0.11519808310389715</x:v>
      </x:c>
      <x:c r="K67" s="28" t="n">
        <x:f>IF(ISNUMBER('年度汇率'!K67),1/'年度汇率'!K67,"")</x:f>
        <x:v>1.4814814814814814</x:v>
      </x:c>
      <x:c r="L67" s="28" t="n">
        <x:f>IF(ISNUMBER('年度汇率'!L67),1/'年度汇率'!L67,"")</x:f>
        <x:v>0.5847953216374269</x:v>
      </x:c>
      <x:c r="M67" s="28" t="n">
        <x:f>IF(ISNUMBER('年度汇率'!M67),1/'年度汇率'!M67,"")</x:f>
        <x:v>0.44261986698873984</x:v>
      </x:c>
      <x:c r="N67" s="12" t="str">
        <x:v>卢布含官价参考；欧元栏为德国代理</x:v>
      </x:c>
    </x:row>
    <x:row r="68" ht="32" customHeight="1">
      <x:c r="A68" t="n">
        <x:v>1982</x:v>
      </x:c>
      <x:c r="B68" s="28" t="n">
        <x:f>IF(ISNUMBER('年度汇率'!B68),1/'年度汇率'!B68,"")</x:f>
        <x:v>1</x:v>
      </x:c>
      <x:c r="C68" s="28" t="n">
        <x:f>IF(ISNUMBER('年度汇率'!C68),1/'年度汇率'!C68,"")</x:f>
        <x:v>1.7479999999999998</x:v>
      </x:c>
      <x:c r="D68" s="28" t="n">
        <x:f>IF(ISNUMBER('年度汇率'!D68),1/'年度汇率'!D68,"")</x:f>
        <x:v>0.8101101749837978</x:v>
      </x:c>
      <x:c r="E68" s="28" t="n">
        <x:f>IF(ISNUMBER('年度汇率'!E68),1/'年度汇率'!E68,"")</x:f>
        <x:v>0.152159331114202</x:v>
      </x:c>
      <x:c r="F68" s="28" t="n">
        <x:f>IF(ISNUMBER('年度汇率'!F68),1/'年度汇率'!F68,"")</x:f>
        <x:v>0.41208649695632</x:v>
      </x:c>
      <x:c r="G68" s="28" t="n">
        <x:f>IF(ISNUMBER('年度汇率'!G68),1/'年度汇率'!G68,"")</x:f>
        <x:v>0.0007392835079847187</x:v>
      </x:c>
      <x:c r="H68" s="28" t="n">
        <x:f>IF(ISNUMBER('年度汇率'!H68),1/'年度汇率'!H68,"")</x:f>
        <x:v>0.004015095151732454</x:v>
      </x:c>
      <x:c r="I68" s="28" t="n">
        <x:f>IF(ISNUMBER('年度汇率'!I68),1/'年度汇率'!I68,"")</x:f>
        <x:v>0.4921502042423348</x:v>
      </x:c>
      <x:c r="J68" s="28" t="n">
        <x:f>IF(ISNUMBER('年度汇率'!J68),1/'年度汇率'!J68,"")</x:f>
        <x:v>0.10543296045209653</x:v>
      </x:c>
      <x:c r="K68" s="28" t="n">
        <x:f>IF(ISNUMBER('年度汇率'!K68),1/'年度汇率'!K68,"")</x:f>
        <x:v>1.4124293785310735</x:v>
      </x:c>
      <x:c r="L68" s="28" t="n">
        <x:f>IF(ISNUMBER('年度汇率'!L68),1/'年度汇率'!L68,"")</x:f>
        <x:v>0.5268981505874915</x:v>
      </x:c>
      <x:c r="M68" s="28" t="n">
        <x:f>IF(ISNUMBER('年度汇率'!M68),1/'年度汇率'!M68,"")</x:f>
        <x:v>0.41208649695632</x:v>
      </x:c>
      <x:c r="N68" s="12" t="str">
        <x:v>卢布含官价参考；欧元栏为德国代理</x:v>
      </x:c>
    </x:row>
    <x:row r="69" ht="32" customHeight="1">
      <x:c r="A69" t="n">
        <x:v>1983</x:v>
      </x:c>
      <x:c r="B69" s="28" t="n">
        <x:f>IF(ISNUMBER('年度汇率'!B69),1/'年度汇率'!B69,"")</x:f>
        <x:v>1</x:v>
      </x:c>
      <x:c r="C69" s="28" t="n">
        <x:f>IF(ISNUMBER('年度汇率'!C69),1/'年度汇率'!C69,"")</x:f>
        <x:v>1.5159000000000002</x:v>
      </x:c>
      <x:c r="D69" s="28" t="n">
        <x:f>IF(ISNUMBER('年度汇率'!D69),1/'年度汇率'!D69,"")</x:f>
        <x:v>0.8113590263691685</x:v>
      </x:c>
      <x:c r="E69" s="28" t="n">
        <x:f>IF(ISNUMBER('年度汇率'!E69),1/'年度汇率'!E69,"")</x:f>
        <x:v>0.13121135415166768</x:v>
      </x:c>
      <x:c r="F69" s="28" t="n">
        <x:f>IF(ISNUMBER('年度汇率'!F69),1/'年度汇率'!F69,"")</x:f>
        <x:v>0.3916397958202353</x:v>
      </x:c>
      <x:c r="G69" s="28" t="n">
        <x:f>IF(ISNUMBER('年度汇率'!G69),1/'年度汇率'!G69,"")</x:f>
        <x:v>0.0006583518148730403</x:v>
      </x:c>
      <x:c r="H69" s="28" t="n">
        <x:f>IF(ISNUMBER('年度汇率'!H69),1/'年度汇率'!H69,"")</x:f>
        <x:v>0.004209578052943863</x:v>
      </x:c>
      <x:c r="I69" s="28" t="n">
        <x:f>IF(ISNUMBER('年度汇率'!I69),1/'年度汇率'!I69,"")</x:f>
        <x:v>0.4760317989241682</x:v>
      </x:c>
      <x:c r="J69" s="28" t="n">
        <x:f>IF(ISNUMBER('年度汇率'!J69),1/'年度汇率'!J69,"")</x:f>
        <x:v>0.09896972516107322</x:v>
      </x:c>
      <x:c r="K69" s="28" t="n">
        <x:f>IF(ISNUMBER('年度汇率'!K69),1/'年度汇率'!K69,"")</x:f>
        <x:v>1.4144271570014144</x:v>
      </x:c>
      <x:c r="L69" s="28" t="n">
        <x:f>IF(ISNUMBER('年度汇率'!L69),1/'年度汇率'!L69,"")</x:f>
        <x:v>0.5047955577990914</x:v>
      </x:c>
      <x:c r="M69" s="28" t="n">
        <x:f>IF(ISNUMBER('年度汇率'!M69),1/'年度汇率'!M69,"")</x:f>
        <x:v>0.3916397958202353</x:v>
      </x:c>
      <x:c r="N69" s="12" t="str">
        <x:v>卢布含官价参考；欧元栏为德国代理</x:v>
      </x:c>
    </x:row>
    <x:row r="70" ht="32" customHeight="1">
      <x:c r="A70" t="n">
        <x:v>1984</x:v>
      </x:c>
      <x:c r="B70" s="28" t="n">
        <x:f>IF(ISNUMBER('年度汇率'!B70),1/'年度汇率'!B70,"")</x:f>
        <x:v>1</x:v>
      </x:c>
      <x:c r="C70" s="28" t="n">
        <x:f>IF(ISNUMBER('年度汇率'!C70),1/'年度汇率'!C70,"")</x:f>
        <x:v>1.3368</x:v>
      </x:c>
      <x:c r="D70" s="28" t="n">
        <x:f>IF(ISNUMBER('年度汇率'!D70),1/'年度汇率'!D70,"")</x:f>
        <x:v>0.7720815318097591</x:v>
      </x:c>
      <x:c r="E70" s="28" t="n">
        <x:f>IF(ISNUMBER('年度汇率'!E70),1/'年度汇率'!E70,"")</x:f>
        <x:v>0.11442378565262076</x:v>
      </x:c>
      <x:c r="F70" s="28" t="n">
        <x:f>IF(ISNUMBER('年度汇率'!F70),1/'年度汇率'!F70,"")</x:f>
        <x:v>0.3513168526693315</x:v>
      </x:c>
      <x:c r="G70" s="28" t="n">
        <x:f>IF(ISNUMBER('年度汇率'!G70),1/'年度汇率'!G70,"")</x:f>
        <x:v>0.0005692380296585753</x:v>
      </x:c>
      <x:c r="H70" s="28" t="n">
        <x:f>IF(ISNUMBER('年度汇率'!H70),1/'年度汇率'!H70,"")</x:f>
        <x:v>0.0042111965609684405</x:v>
      </x:c>
      <x:c r="I70" s="28" t="n">
        <x:f>IF(ISNUMBER('年度汇率'!I70),1/'年度汇率'!I70,"")</x:f>
        <x:v>0.425531914893617</x:v>
      </x:c>
      <x:c r="J70" s="28" t="n">
        <x:f>IF(ISNUMBER('年度汇率'!J70),1/'年度汇率'!J70,"")</x:f>
        <x:v>0.08813290441986515</x:v>
      </x:c>
      <x:c r="K70" s="28" t="n">
        <x:f>IF(ISNUMBER('年度汇率'!K70),1/'年度汇率'!K70,"")</x:f>
        <x:v>1.2642225031605563</x:v>
      </x:c>
      <x:c r="L70" s="28" t="n">
        <x:f>IF(ISNUMBER('年度汇率'!L70),1/'年度汇率'!L70,"")</x:f>
        <x:v>0.4291292966570828</x:v>
      </x:c>
      <x:c r="M70" s="28" t="n">
        <x:f>IF(ISNUMBER('年度汇率'!M70),1/'年度汇率'!M70,"")</x:f>
        <x:v>0.3513168526693315</x:v>
      </x:c>
      <x:c r="N70" s="12" t="str">
        <x:v>卢布含官价参考；欧元栏为德国代理</x:v>
      </x:c>
    </x:row>
    <x:row r="71" ht="32" customHeight="1">
      <x:c r="A71" t="n">
        <x:v>1985</x:v>
      </x:c>
      <x:c r="B71" s="28" t="n">
        <x:f>IF(ISNUMBER('年度汇率'!B71),1/'年度汇率'!B71,"")</x:f>
        <x:v>1</x:v>
      </x:c>
      <x:c r="C71" s="28" t="n">
        <x:f>IF(ISNUMBER('年度汇率'!C71),1/'年度汇率'!C71,"")</x:f>
        <x:v>1.2974</x:v>
      </x:c>
      <x:c r="D71" s="28" t="n">
        <x:f>IF(ISNUMBER('年度汇率'!D71),1/'年度汇率'!D71,"")</x:f>
        <x:v>0.7321180174244089</x:v>
      </x:c>
      <x:c r="E71" s="28" t="n">
        <x:f>IF(ISNUMBER('年度汇率'!E71),1/'年度汇率'!E71,"")</x:f>
        <x:v>0.11130703210180495</x:v>
      </x:c>
      <x:c r="F71" s="28" t="n">
        <x:f>IF(ISNUMBER('年度汇率'!F71),1/'年度汇率'!F71,"")</x:f>
        <x:v>0.33969891353733206</x:v>
      </x:c>
      <x:c r="G71" s="28" t="n">
        <x:f>IF(ISNUMBER('年度汇率'!G71),1/'年度汇率'!G71,"")</x:f>
        <x:v>0.0005237201131546765</x:v>
      </x:c>
      <x:c r="H71" s="28" t="n">
        <x:f>IF(ISNUMBER('年度汇率'!H71),1/'年度汇率'!H71,"")</x:f>
        <x:v>0.0041934470680047116</x:v>
      </x:c>
      <x:c r="I71" s="28" t="n">
        <x:f>IF(ISNUMBER('年度汇率'!I71),1/'年度汇率'!I71,"")</x:f>
        <x:v>0.4072987943955686</x:v>
      </x:c>
      <x:c r="J71" s="28" t="n">
        <x:f>IF(ISNUMBER('年度汇率'!J71),1/'年度汇率'!J71,"")</x:f>
        <x:v>0.08109116268509058</x:v>
      </x:c>
      <x:c r="K71" s="28" t="n">
        <x:f>IF(ISNUMBER('年度汇率'!K71),1/'年度汇率'!K71,"")</x:f>
        <x:v>1.0869565217391304</x:v>
      </x:c>
      <x:c r="L71" s="28" t="n">
        <x:f>IF(ISNUMBER('年度汇率'!L71),1/'年度汇率'!L71,"")</x:f>
        <x:v>0.3397431541754434</x:v>
      </x:c>
      <x:c r="M71" s="28" t="n">
        <x:f>IF(ISNUMBER('年度汇率'!M71),1/'年度汇率'!M71,"")</x:f>
        <x:v>0.33969891353733206</x:v>
      </x:c>
      <x:c r="N71" s="12" t="str">
        <x:v>卢布含官价参考；欧元栏为德国代理</x:v>
      </x:c>
    </x:row>
    <x:row r="72" ht="32" customHeight="1">
      <x:c r="A72" t="n">
        <x:v>1986</x:v>
      </x:c>
      <x:c r="B72" s="28" t="n">
        <x:f>IF(ISNUMBER('年度汇率'!B72),1/'年度汇率'!B72,"")</x:f>
        <x:v>1</x:v>
      </x:c>
      <x:c r="C72" s="28" t="n">
        <x:f>IF(ISNUMBER('年度汇率'!C72),1/'年度汇率'!C72,"")</x:f>
        <x:v>1.4677</x:v>
      </x:c>
      <x:c r="D72" s="28" t="n">
        <x:f>IF(ISNUMBER('年度汇率'!D72),1/'年度汇率'!D72,"")</x:f>
        <x:v>0.7196315486470927</x:v>
      </x:c>
      <x:c r="E72" s="28" t="n">
        <x:f>IF(ISNUMBER('年度汇率'!E72),1/'年度汇率'!E72,"")</x:f>
        <x:v>0.1443638546653261</x:v>
      </x:c>
      <x:c r="F72" s="28" t="n">
        <x:f>IF(ISNUMBER('年度汇率'!F72),1/'年度汇率'!F72,"")</x:f>
        <x:v>0.460417521955518</x:v>
      </x:c>
      <x:c r="G72" s="28" t="n">
        <x:f>IF(ISNUMBER('年度汇率'!G72),1/'年度汇率'!G72,"")</x:f>
        <x:v>0.0006706689356713497</x:v>
      </x:c>
      <x:c r="H72" s="28" t="n">
        <x:f>IF(ISNUMBER('年度汇率'!H72),1/'年度汇率'!H72,"")</x:f>
        <x:v>0.005940020053507701</x:v>
      </x:c>
      <x:c r="I72" s="28" t="n">
        <x:f>IF(ISNUMBER('年度汇率'!I72),1/'年度汇率'!I72,"")</x:f>
        <x:v>0.5562044607597753</x:v>
      </x:c>
      <x:c r="J72" s="28" t="n">
        <x:f>IF(ISNUMBER('年度汇率'!J72),1/'年度汇率'!J72,"")</x:f>
        <x:v>0.07938587090269673</x:v>
      </x:c>
      <x:c r="K72" s="28" t="n">
        <x:f>IF(ISNUMBER('年度汇率'!K72),1/'年度汇率'!K72,"")</x:f>
        <x:v>1.3183915622940015</x:v>
      </x:c>
      <x:c r="L72" s="28" t="n">
        <x:f>IF(ISNUMBER('年度汇率'!L72),1/'年度汇率'!L72,"")</x:f>
        <x:v>0.2888837531777213</x:v>
      </x:c>
      <x:c r="M72" s="28" t="n">
        <x:f>IF(ISNUMBER('年度汇率'!M72),1/'年度汇率'!M72,"")</x:f>
        <x:v>0.460417521955518</x:v>
      </x:c>
      <x:c r="N72" s="12" t="str">
        <x:v>卢布含官价参考；欧元栏为德国代理</x:v>
      </x:c>
    </x:row>
    <x:row r="73" ht="32" customHeight="1">
      <x:c r="A73" t="n">
        <x:v>1987</x:v>
      </x:c>
      <x:c r="B73" s="28" t="n">
        <x:f>IF(ISNUMBER('年度汇率'!B73),1/'年度汇率'!B73,"")</x:f>
        <x:v>1</x:v>
      </x:c>
      <x:c r="C73" s="28" t="n">
        <x:f>IF(ISNUMBER('年度汇率'!C73),1/'年度汇率'!C73,"")</x:f>
        <x:v>1.6398</x:v>
      </x:c>
      <x:c r="D73" s="28" t="n">
        <x:f>IF(ISNUMBER('年度汇率'!D73),1/'年度汇率'!D73,"")</x:f>
        <x:v>0.7542046911531789</x:v>
      </x:c>
      <x:c r="E73" s="28" t="n">
        <x:f>IF(ISNUMBER('年度汇率'!E73),1/'年度汇率'!E73,"")</x:f>
        <x:v>0.16642465747722615</x:v>
      </x:c>
      <x:c r="F73" s="28" t="n">
        <x:f>IF(ISNUMBER('年度汇率'!F73),1/'年度汇率'!F73,"")</x:f>
        <x:v>0.556374662678501</x:v>
      </x:c>
      <x:c r="G73" s="28" t="n">
        <x:f>IF(ISNUMBER('年度汇率'!G73),1/'年度汇率'!G73,"")</x:f>
        <x:v>0.0007710259945748963</x:v>
      </x:c>
      <x:c r="H73" s="28" t="n">
        <x:f>IF(ISNUMBER('年度汇率'!H73),1/'年度汇率'!H73,"")</x:f>
        <x:v>0.006915519324381424</x:v>
      </x:c>
      <x:c r="I73" s="28" t="n">
        <x:f>IF(ISNUMBER('年度汇率'!I73),1/'年度汇率'!I73,"")</x:f>
        <x:v>0.670331143584931</x:v>
      </x:c>
      <x:c r="J73" s="28" t="n">
        <x:f>IF(ISNUMBER('年度汇率'!J73),1/'年度汇率'!J73,"")</x:f>
        <x:v>0.07723856676115519</x:v>
      </x:c>
      <x:c r="K73" s="28" t="n">
        <x:f>IF(ISNUMBER('年度汇率'!K73),1/'年度汇率'!K73,"")</x:f>
        <x:v>1.4925373134328357</x:v>
      </x:c>
      <x:c r="L73" s="28" t="n">
        <x:f>IF(ISNUMBER('年度汇率'!L73),1/'年度汇率'!L73,"")</x:f>
        <x:v>0.2679959264619178</x:v>
      </x:c>
      <x:c r="M73" s="28" t="n">
        <x:f>IF(ISNUMBER('年度汇率'!M73),1/'年度汇率'!M73,"")</x:f>
        <x:v>0.556374662678501</x:v>
      </x:c>
      <x:c r="N73" s="12" t="str">
        <x:v>卢布含官价参考；欧元栏为德国代理</x:v>
      </x:c>
    </x:row>
    <x:row r="74" ht="32" customHeight="1">
      <x:c r="A74" t="n">
        <x:v>1988</x:v>
      </x:c>
      <x:c r="B74" s="28" t="n">
        <x:f>IF(ISNUMBER('年度汇率'!B74),1/'年度汇率'!B74,"")</x:f>
        <x:v>1</x:v>
      </x:c>
      <x:c r="C74" s="28" t="n">
        <x:f>IF(ISNUMBER('年度汇率'!C74),1/'年度汇率'!C74,"")</x:f>
        <x:v>1.7812999999999999</x:v>
      </x:c>
      <x:c r="D74" s="28" t="n">
        <x:f>IF(ISNUMBER('年度汇率'!D74),1/'年度汇率'!D74,"")</x:f>
        <x:v>0.8126117341134407</x:v>
      </x:c>
      <x:c r="E74" s="28" t="n">
        <x:f>IF(ISNUMBER('年度汇率'!E74),1/'年度汇率'!E74,"")</x:f>
        <x:v>0.16786902858550418</x:v>
      </x:c>
      <x:c r="F74" s="28" t="n">
        <x:f>IF(ISNUMBER('年度汇率'!F74),1/'年度汇率'!F74,"")</x:f>
        <x:v>0.5694274406847378</x:v>
      </x:c>
      <x:c r="G74" s="28" t="n">
        <x:f>IF(ISNUMBER('年度汇率'!G74),1/'年度汇率'!G74,"")</x:f>
        <x:v>0.0007682225854454932</x:v>
      </x:c>
      <x:c r="H74" s="28" t="n">
        <x:f>IF(ISNUMBER('年度汇率'!H74),1/'年度汇率'!H74,"")</x:f>
        <x:v>0.007801882126044086</x:v>
      </x:c>
      <x:c r="I74" s="28" t="n">
        <x:f>IF(ISNUMBER('年度汇率'!I74),1/'年度汇率'!I74,"")</x:f>
        <x:v>0.6829201666325206</x:v>
      </x:c>
      <x:c r="J74" s="28" t="n">
        <x:f>IF(ISNUMBER('年度汇率'!J74),1/'年度汇率'!J74,"")</x:f>
        <x:v>0.07194503399402856</x:v>
      </x:c>
      <x:c r="K74" s="28" t="n">
        <x:f>IF(ISNUMBER('年度汇率'!K74),1/'年度汇率'!K74,"")</x:f>
        <x:v>1.7229496898690557</x:v>
      </x:c>
      <x:c r="L74" s="28" t="n">
        <x:f>IF(ISNUMBER('年度汇率'!L74),1/'年度汇率'!L74,"")</x:f>
        <x:v>0.2679959264619178</x:v>
      </x:c>
      <x:c r="M74" s="28" t="n">
        <x:f>IF(ISNUMBER('年度汇率'!M74),1/'年度汇率'!M74,"")</x:f>
        <x:v>0.5694274406847378</x:v>
      </x:c>
      <x:c r="N74" s="12" t="str">
        <x:v>卢布含官价参考；欧元栏为德国代理</x:v>
      </x:c>
    </x:row>
    <x:row r="75" ht="32" customHeight="1">
      <x:c r="A75" t="n">
        <x:v>1989</x:v>
      </x:c>
      <x:c r="B75" s="28" t="n">
        <x:f>IF(ISNUMBER('年度汇率'!B75),1/'年度汇率'!B75,"")</x:f>
        <x:v>1</x:v>
      </x:c>
      <x:c r="C75" s="28" t="n">
        <x:f>IF(ISNUMBER('年度汇率'!C75),1/'年度汇率'!C75,"")</x:f>
        <x:v>1.6382</x:v>
      </x:c>
      <x:c r="D75" s="28" t="n">
        <x:f>IF(ISNUMBER('年度汇率'!D75),1/'年度汇率'!D75,"")</x:f>
        <x:v>0.8444519506840061</x:v>
      </x:c>
      <x:c r="E75" s="28" t="n">
        <x:f>IF(ISNUMBER('年度汇率'!E75),1/'年度汇率'!E75,"")</x:f>
        <x:v>0.1567359221811495</x:v>
      </x:c>
      <x:c r="F75" s="28" t="n">
        <x:f>IF(ISNUMBER('年度汇率'!F75),1/'年度汇率'!F75,"")</x:f>
        <x:v>0.5319196092260986</x:v>
      </x:c>
      <x:c r="G75" s="28" t="n">
        <x:f>IF(ISNUMBER('年度汇率'!G75),1/'年度汇率'!G75,"")</x:f>
        <x:v>0.0007290290067365311</x:v>
      </x:c>
      <x:c r="H75" s="28" t="n">
        <x:f>IF(ISNUMBER('年度汇率'!H75),1/'年度汇率'!H75,"")</x:f>
        <x:v>0.0072425036466005855</x:v>
      </x:c>
      <x:c r="I75" s="28" t="n">
        <x:f>IF(ISNUMBER('年度汇率'!I75),1/'年度汇率'!I75,"")</x:f>
        <x:v>0.6109108681043436</x:v>
      </x:c>
      <x:c r="J75" s="28" t="n">
        <x:f>IF(ISNUMBER('年度汇率'!J75),1/'年度汇率'!J75,"")</x:f>
        <x:v>0.06167851922211051</x:v>
      </x:c>
      <x:c r="K75" s="28" t="n">
        <x:f>IF(ISNUMBER('年度汇率'!K75),1/'年度汇率'!K75,"")</x:f>
        <x:v>1.650437365901964</x:v>
      </x:c>
      <x:c r="L75" s="28" t="n">
        <x:f>IF(ISNUMBER('年度汇率'!L75),1/'年度汇率'!L75,"")</x:f>
        <x:v>0.26544209380723593</x:v>
      </x:c>
      <x:c r="M75" s="28" t="n">
        <x:f>IF(ISNUMBER('年度汇率'!M75),1/'年度汇率'!M75,"")</x:f>
        <x:v>0.5319196092260986</x:v>
      </x:c>
      <x:c r="N75" s="12" t="str">
        <x:v>卢布含官价参考；欧元栏为德国代理</x:v>
      </x:c>
    </x:row>
    <x:row r="76" ht="32" customHeight="1">
      <x:c r="A76" t="n">
        <x:v>1990</x:v>
      </x:c>
      <x:c r="B76" s="28" t="n">
        <x:f>IF(ISNUMBER('年度汇率'!B76),1/'年度汇率'!B76,"")</x:f>
        <x:v>1</x:v>
      </x:c>
      <x:c r="C76" s="28" t="n">
        <x:f>IF(ISNUMBER('年度汇率'!C76),1/'年度汇率'!C76,"")</x:f>
        <x:v>1.7841</x:v>
      </x:c>
      <x:c r="D76" s="28" t="n">
        <x:f>IF(ISNUMBER('年度汇率'!D76),1/'年度汇率'!D76,"")</x:f>
        <x:v>0.8570449091532396</x:v>
      </x:c>
      <x:c r="E76" s="28" t="n">
        <x:f>IF(ISNUMBER('年度汇率'!E76),1/'年度汇率'!E76,"")</x:f>
        <x:v>0.1836226920976135</x:v>
      </x:c>
      <x:c r="F76" s="28" t="n">
        <x:f>IF(ISNUMBER('年度汇率'!F76),1/'年度汇率'!F76,"")</x:f>
        <x:v>0.6188597509298787</x:v>
      </x:c>
      <x:c r="G76" s="28" t="n">
        <x:f>IF(ISNUMBER('年度汇率'!G76),1/'年度汇率'!G76,"")</x:f>
        <x:v>0.0008344631094533659</x:v>
      </x:c>
      <x:c r="H76" s="28" t="n">
        <x:f>IF(ISNUMBER('年度汇率'!H76),1/'年度汇率'!H76,"")</x:f>
        <x:v>0.006896613555845673</x:v>
      </x:c>
      <x:c r="I76" s="28" t="n">
        <x:f>IF(ISNUMBER('年度汇率'!I76),1/'年度汇率'!I76,"")</x:f>
        <x:v>0.7193727069994965</x:v>
      </x:c>
      <x:c r="J76" s="28" t="n">
        <x:f>IF(ISNUMBER('年度汇率'!J76),1/'年度汇率'!J76,"")</x:f>
        <x:v>0.05716833788774425</x:v>
      </x:c>
      <x:c r="K76" s="28" t="n">
        <x:f>IF(ISNUMBER('年度汇率'!K76),1/'年度汇率'!K76,"")</x:f>
        <x:v>1.6469038208168645</x:v>
      </x:c>
      <x:c r="L76" s="28" t="n">
        <x:f>IF(ISNUMBER('年度汇率'!L76),1/'年度汇率'!L76,"")</x:f>
        <x:v>0.20867678053462993</x:v>
      </x:c>
      <x:c r="M76" s="28" t="n">
        <x:f>IF(ISNUMBER('年度汇率'!M76),1/'年度汇率'!M76,"")</x:f>
        <x:v>0.6188597509298787</x:v>
      </x:c>
      <x:c r="N76" s="12" t="str">
        <x:v>卢布含官价参考；欧元栏为德国代理</x:v>
      </x:c>
    </x:row>
    <x:row r="77" ht="32" customHeight="1">
      <x:c r="A77" t="n">
        <x:v>1991</x:v>
      </x:c>
      <x:c r="B77" s="28" t="n">
        <x:f>IF(ISNUMBER('年度汇率'!B77),1/'年度汇率'!B77,"")</x:f>
        <x:v>1</x:v>
      </x:c>
      <x:c r="C77" s="28" t="n">
        <x:f>IF(ISNUMBER('年度汇率'!C77),1/'年度汇率'!C77,"")</x:f>
        <x:v>1.7674</x:v>
      </x:c>
      <x:c r="D77" s="28" t="n">
        <x:f>IF(ISNUMBER('年度汇率'!D77),1/'年度汇率'!D77,"")</x:f>
        <x:v>0.8726003490401397</x:v>
      </x:c>
      <x:c r="E77" s="28" t="n">
        <x:f>IF(ISNUMBER('年度汇率'!E77),1/'年度汇率'!E77,"")</x:f>
        <x:v>0.17727824706932163</x:v>
      </x:c>
      <x:c r="F77" s="28" t="n">
        <x:f>IF(ISNUMBER('年度汇率'!F77),1/'年度汇率'!F77,"")</x:f>
        <x:v>0.6028424019207864</x:v>
      </x:c>
      <x:c r="G77" s="28" t="n">
        <x:f>IF(ISNUMBER('年度汇率'!G77),1/'年度汇率'!G77,"")</x:f>
        <x:v>0.0008060318263736529</x:v>
      </x:c>
      <x:c r="H77" s="28" t="n">
        <x:f>IF(ISNUMBER('年度汇率'!H77),1/'年度汇率'!H77,"")</x:f>
        <x:v>0.007429922825391612</x:v>
      </x:c>
      <x:c r="I77" s="28" t="n">
        <x:f>IF(ISNUMBER('年度汇率'!I77),1/'年度汇率'!I77,"")</x:f>
        <x:v>0.6965728615213151</x:v>
      </x:c>
      <x:c r="J77" s="28" t="n">
        <x:f>IF(ISNUMBER('年度汇率'!J77),1/'年度汇率'!J77,"")</x:f>
        <x:v>0.04403036333855827</x:v>
      </x:c>
      <x:c r="K77" s="28" t="n">
        <x:f>IF(ISNUMBER('年度汇率'!K77),1/'年度汇率'!K77,"")</x:f>
        <x:v>1.784121320249777</x:v>
      </x:c>
      <x:c r="L77" s="28" t="n">
        <x:f>IF(ISNUMBER('年度汇率'!L77),1/'年度汇率'!L77,"")</x:f>
        <x:v>0.18748711026116954</x:v>
      </x:c>
      <x:c r="M77" s="28" t="n">
        <x:f>IF(ISNUMBER('年度汇率'!M77),1/'年度汇率'!M77,"")</x:f>
        <x:v>0.6028424019207864</x:v>
      </x:c>
      <x:c r="N77" s="12" t="str">
        <x:v>卢布含官价参考；欧元栏为德国代理</x:v>
      </x:c>
    </x:row>
    <x:row r="78" ht="32" customHeight="1">
      <x:c r="A78" t="n">
        <x:v>1992</x:v>
      </x:c>
      <x:c r="B78" s="28" t="n">
        <x:f>IF(ISNUMBER('年度汇率'!B78),1/'年度汇率'!B78,"")</x:f>
        <x:v>1</x:v>
      </x:c>
      <x:c r="C78" s="28" t="n">
        <x:f>IF(ISNUMBER('年度汇率'!C78),1/'年度汇率'!C78,"")</x:f>
        <x:v>1.7662999999999998</x:v>
      </x:c>
      <x:c r="D78" s="28" t="n">
        <x:f>IF(ISNUMBER('年度汇率'!D78),1/'年度汇率'!D78,"")</x:f>
        <x:v>0.8274720728175424</x:v>
      </x:c>
      <x:c r="E78" s="28" t="n">
        <x:f>IF(ISNUMBER('年度汇率'!E78),1/'年度汇率'!E78,"")</x:f>
        <x:v>0.1889037913107201</x:v>
      </x:c>
      <x:c r="F78" s="28" t="n">
        <x:f>IF(ISNUMBER('年度汇率'!F78),1/'年度汇率'!F78,"")</x:f>
        <x:v>0.6402253593540873</x:v>
      </x:c>
      <x:c r="G78" s="28" t="n">
        <x:f>IF(ISNUMBER('年度汇率'!G78),1/'年度汇率'!G78,"")</x:f>
        <x:v>0.0008116705728399313</x:v>
      </x:c>
      <x:c r="H78" s="28" t="n">
        <x:f>IF(ISNUMBER('年度汇率'!H78),1/'年度汇率'!H78,"")</x:f>
        <x:v>0.007887673223163572</x:v>
      </x:c>
      <x:c r="I78" s="28" t="n">
        <x:f>IF(ISNUMBER('年度汇率'!I78),1/'年度汇率'!I78,"")</x:f>
        <x:v>0.7110352673492605</x:v>
      </x:c>
      <x:c r="J78" s="28" t="n">
        <x:f>IF(ISNUMBER('年度汇率'!J78),1/'年度汇率'!J78,"")</x:f>
        <x:v>0.03551666086561206</x:v>
      </x:c>
      <x:c r="K78" s="28" t="n">
        <x:f>IF(ISNUMBER('年度汇率'!K78),1/'年度汇率'!K78,"")</x:f>
        <x:v>1.8021265092809517</x:v>
      </x:c>
      <x:c r="L78" s="28" t="n">
        <x:f>IF(ISNUMBER('年度汇率'!L78),1/'年度汇率'!L78,"")</x:f>
        <x:v>0.1811397311886389</x:v>
      </x:c>
      <x:c r="M78" s="28" t="n">
        <x:f>IF(ISNUMBER('年度汇率'!M78),1/'年度汇率'!M78,"")</x:f>
        <x:v>0.6402253593540873</x:v>
      </x:c>
      <x:c r="N78" s="12" t="str">
        <x:v>卢布含官价参考；欧元栏为德国代理</x:v>
      </x:c>
    </x:row>
    <x:row r="79" ht="32" customHeight="1">
      <x:c r="A79" t="n">
        <x:v>1993</x:v>
      </x:c>
      <x:c r="B79" s="28" t="n">
        <x:f>IF(ISNUMBER('年度汇率'!B79),1/'年度汇率'!B79,"")</x:f>
        <x:v>1</x:v>
      </x:c>
      <x:c r="C79" s="28" t="n">
        <x:f>IF(ISNUMBER('年度汇率'!C79),1/'年度汇率'!C79,"")</x:f>
        <x:v>1.5016</x:v>
      </x:c>
      <x:c r="D79" s="28" t="n">
        <x:f>IF(ISNUMBER('年度汇率'!D79),1/'年度汇率'!D79,"")</x:f>
        <x:v>0.7750736319950395</x:v>
      </x:c>
      <x:c r="E79" s="28" t="n">
        <x:f>IF(ISNUMBER('年度汇率'!E79),1/'年度汇率'!E79,"")</x:f>
        <x:v>0.17660615943831584</x:v>
      </x:c>
      <x:c r="F79" s="28" t="n">
        <x:f>IF(ISNUMBER('年度汇率'!F79),1/'年度汇率'!F79,"")</x:f>
        <x:v>0.604847855596237</x:v>
      </x:c>
      <x:c r="G79" s="28" t="n">
        <x:f>IF(ISNUMBER('年度汇率'!G79),1/'年度汇率'!G79,"")</x:f>
        <x:v>0.0006362706733505759</x:v>
      </x:c>
      <x:c r="H79" s="28" t="n">
        <x:f>IF(ISNUMBER('年度汇率'!H79),1/'年度汇率'!H79,"")</x:f>
        <x:v>0.009002885424778641</x:v>
      </x:c>
      <x:c r="I79" s="28" t="n">
        <x:f>IF(ISNUMBER('年度汇率'!I79),1/'年度汇率'!I79,"")</x:f>
        <x:v>0.676544212164265</x:v>
      </x:c>
      <x:c r="J79" s="28" t="n">
        <x:f>IF(ISNUMBER('年度汇率'!J79),1/'年度汇率'!J79,"")</x:f>
        <x:v>0.031957968879329904</x:v>
      </x:c>
      <x:c r="K79" s="28" t="n">
        <x:f>IF(ISNUMBER('年度汇率'!K79),1/'年度汇率'!K79,"")</x:f>
        <x:v>0.0010275287111446315</x:v>
      </x:c>
      <x:c r="L79" s="28" t="n">
        <x:f>IF(ISNUMBER('年度汇率'!L79),1/'年度汇率'!L79,"")</x:f>
        <x:v>0.17302534821351329</x:v>
      </x:c>
      <x:c r="M79" s="28" t="n">
        <x:f>IF(ISNUMBER('年度汇率'!M79),1/'年度汇率'!M79,"")</x:f>
        <x:v>0.604847855596237</x:v>
      </x:c>
      <x:c r="N79" s="12" t="str">
        <x:v>欧元栏为德国代理</x:v>
      </x:c>
    </x:row>
    <x:row r="80" ht="32" customHeight="1">
      <x:c r="A80" t="n">
        <x:v>1994</x:v>
      </x:c>
      <x:c r="B80" s="28" t="n">
        <x:f>IF(ISNUMBER('年度汇率'!B80),1/'年度汇率'!B80,"")</x:f>
        <x:v>1</x:v>
      </x:c>
      <x:c r="C80" s="28" t="n">
        <x:f>IF(ISNUMBER('年度汇率'!C80),1/'年度汇率'!C80,"")</x:f>
        <x:v>1.5319</x:v>
      </x:c>
      <x:c r="D80" s="28" t="n">
        <x:f>IF(ISNUMBER('年度汇率'!D80),1/'年度汇率'!D80,"")</x:f>
        <x:v>0.7318501170960187</x:v>
      </x:c>
      <x:c r="E80" s="28" t="n">
        <x:f>IF(ISNUMBER('年度汇率'!E80),1/'年度汇率'!E80,"")</x:f>
        <x:v>0.18011338136536945</x:v>
      </x:c>
      <x:c r="F80" s="28" t="n">
        <x:f>IF(ISNUMBER('年度汇率'!F80),1/'年度汇率'!F80,"")</x:f>
        <x:v>0.616171418881586</x:v>
      </x:c>
      <x:c r="G80" s="28" t="n">
        <x:f>IF(ISNUMBER('年度汇率'!G80),1/'年度汇率'!G80,"")</x:f>
        <x:v>0.0006200920777734442</x:v>
      </x:c>
      <x:c r="H80" s="28" t="n">
        <x:f>IF(ISNUMBER('年度汇率'!H80),1/'年度汇率'!H80,"")</x:f>
        <x:v>0.009786746787500366</x:v>
      </x:c>
      <x:c r="I80" s="28" t="n">
        <x:f>IF(ISNUMBER('年度汇率'!I80),1/'年度汇率'!I80,"")</x:f>
        <x:v>0.7316894709885124</x:v>
      </x:c>
      <x:c r="J80" s="28" t="n">
        <x:f>IF(ISNUMBER('年度汇率'!J80),1/'年度汇率'!J80,"")</x:f>
        <x:v>0.03185332182366638</x:v>
      </x:c>
      <x:c r="K80" s="28" t="n">
        <x:f>IF(ISNUMBER('年度汇率'!K80),1/'年度汇率'!K80,"")</x:f>
        <x:v>0.00045370557682759767</x:v>
      </x:c>
      <x:c r="L80" s="28" t="n">
        <x:f>IF(ISNUMBER('年度汇率'!L80),1/'年度汇率'!L80,"")</x:f>
        <x:v>0.11574475965600659</x:v>
      </x:c>
      <x:c r="M80" s="28" t="n">
        <x:f>IF(ISNUMBER('年度汇率'!M80),1/'年度汇率'!M80,"")</x:f>
        <x:v>0.616171418881586</x:v>
      </x:c>
      <x:c r="N80" s="12" t="str">
        <x:v>欧元栏为德国代理</x:v>
      </x:c>
    </x:row>
    <x:row r="81" ht="32" customHeight="1">
      <x:c r="A81" t="n">
        <x:v>1995</x:v>
      </x:c>
      <x:c r="B81" s="28" t="n">
        <x:f>IF(ISNUMBER('年度汇率'!B81),1/'年度汇率'!B81,"")</x:f>
        <x:v>1</x:v>
      </x:c>
      <x:c r="C81" s="28" t="n">
        <x:f>IF(ISNUMBER('年度汇率'!C81),1/'年度汇率'!C81,"")</x:f>
        <x:v>1.5785</x:v>
      </x:c>
      <x:c r="D81" s="28" t="n">
        <x:f>IF(ISNUMBER('年度汇率'!D81),1/'年度汇率'!D81,"")</x:f>
        <x:v>0.7285974499089253</x:v>
      </x:c>
      <x:c r="E81" s="28" t="n">
        <x:f>IF(ISNUMBER('年度汇率'!E81),1/'年度汇率'!E81,"")</x:f>
        <x:v>0.20036800925560594</x:v>
      </x:c>
      <x:c r="F81" s="28" t="n">
        <x:f>IF(ISNUMBER('年度汇率'!F81),1/'年度汇率'!F81,"")</x:f>
        <x:v>0.6978285900235565</x:v>
      </x:c>
      <x:c r="G81" s="28" t="n">
        <x:f>IF(ISNUMBER('年度汇率'!G81),1/'年度汇率'!G81,"")</x:f>
        <x:v>0.0006138604125984004</x:v>
      </x:c>
      <x:c r="H81" s="28" t="n">
        <x:f>IF(ISNUMBER('年度汇率'!H81),1/'年度汇率'!H81,"")</x:f>
        <x:v>0.010642271741895111</x:v>
      </x:c>
      <x:c r="I81" s="28" t="n">
        <x:f>IF(ISNUMBER('年度汇率'!I81),1/'年度汇率'!I81,"")</x:f>
        <x:v>0.8465966813410091</x:v>
      </x:c>
      <x:c r="J81" s="28" t="n">
        <x:f>IF(ISNUMBER('年度汇率'!J81),1/'年度汇率'!J81,"")</x:f>
        <x:v>0.030846965121336535</x:v>
      </x:c>
      <x:c r="K81" s="28" t="n">
        <x:f>IF(ISNUMBER('年度汇率'!K81),1/'年度汇率'!K81,"")</x:f>
        <x:v>0.00021927419092575376</x:v>
      </x:c>
      <x:c r="L81" s="28" t="n">
        <x:f>IF(ISNUMBER('年度汇率'!L81),1/'年度汇率'!L81,"")</x:f>
        <x:v>0.11947431302270013</x:v>
      </x:c>
      <x:c r="M81" s="28" t="n">
        <x:f>IF(ISNUMBER('年度汇率'!M81),1/'年度汇率'!M81,"")</x:f>
        <x:v>0.6978285900235565</x:v>
      </x:c>
      <x:c r="N81" s="12" t="str">
        <x:v>欧元栏为德国代理</x:v>
      </x:c>
    </x:row>
    <x:row r="82" ht="32" customHeight="1">
      <x:c r="A82" t="n">
        <x:v>1996</x:v>
      </x:c>
      <x:c r="B82" s="28" t="n">
        <x:f>IF(ISNUMBER('年度汇率'!B82),1/'年度汇率'!B82,"")</x:f>
        <x:v>1</x:v>
      </x:c>
      <x:c r="C82" s="28" t="n">
        <x:f>IF(ISNUMBER('年度汇率'!C82),1/'年度汇率'!C82,"")</x:f>
        <x:v>1.5607</x:v>
      </x:c>
      <x:c r="D82" s="28" t="n">
        <x:f>IF(ISNUMBER('年度汇率'!D82),1/'年度汇率'!D82,"")</x:f>
        <x:v>0.7332453438920663</x:v>
      </x:c>
      <x:c r="E82" s="28" t="n">
        <x:f>IF(ISNUMBER('年度汇率'!E82),1/'年度汇率'!E82,"")</x:f>
        <x:v>0.19547284881707394</x:v>
      </x:c>
      <x:c r="F82" s="28" t="n">
        <x:f>IF(ISNUMBER('年度汇率'!F82),1/'年度汇率'!F82,"")</x:f>
        <x:v>0.6645879831159389</x:v>
      </x:c>
      <x:c r="G82" s="28" t="n">
        <x:f>IF(ISNUMBER('年度汇率'!G82),1/'年度汇率'!G82,"")</x:f>
        <x:v>0.0006480695652140539</x:v>
      </x:c>
      <x:c r="H82" s="28" t="n">
        <x:f>IF(ISNUMBER('年度汇率'!H82),1/'年度汇率'!H82,"")</x:f>
        <x:v>0.009192866335723478</x:v>
      </x:c>
      <x:c r="I82" s="28" t="n">
        <x:f>IF(ISNUMBER('年度汇率'!I82),1/'年度汇率'!I82,"")</x:f>
        <x:v>0.808996035919424</x:v>
      </x:c>
      <x:c r="J82" s="28" t="n">
        <x:f>IF(ISNUMBER('年度汇率'!J82),1/'年度汇率'!J82,"")</x:f>
        <x:v>0.028164253928913422</x:v>
      </x:c>
      <x:c r="K82" s="28" t="n">
        <x:f>IF(ISNUMBER('年度汇率'!K82),1/'年度汇率'!K82,"")</x:f>
        <x:v>0.00019510396859329866</x:v>
      </x:c>
      <x:c r="L82" s="28" t="n">
        <x:f>IF(ISNUMBER('年度汇率'!L82),1/'年度汇率'!L82,"")</x:f>
        <x:v>0.11991989351113455</x:v>
      </x:c>
      <x:c r="M82" s="28" t="n">
        <x:f>IF(ISNUMBER('年度汇率'!M82),1/'年度汇率'!M82,"")</x:f>
        <x:v>0.6645879831159389</x:v>
      </x:c>
      <x:c r="N82" s="12" t="str">
        <x:v>欧元栏为德国代理</x:v>
      </x:c>
    </x:row>
    <x:row r="83" ht="32" customHeight="1">
      <x:c r="A83" t="n">
        <x:v>1997</x:v>
      </x:c>
      <x:c r="B83" s="28" t="n">
        <x:f>IF(ISNUMBER('年度汇率'!B83),1/'年度汇率'!B83,"")</x:f>
        <x:v>1</x:v>
      </x:c>
      <x:c r="C83" s="28" t="n">
        <x:f>IF(ISNUMBER('年度汇率'!C83),1/'年度汇率'!C83,"")</x:f>
        <x:v>1.6376</x:v>
      </x:c>
      <x:c r="D83" s="28" t="n">
        <x:f>IF(ISNUMBER('年度汇率'!D83),1/'年度汇率'!D83,"")</x:f>
        <x:v>0.7220737959419452</x:v>
      </x:c>
      <x:c r="E83" s="28" t="n">
        <x:f>IF(ISNUMBER('年度汇率'!E83),1/'年度汇率'!E83,"")</x:f>
        <x:v>0.17131159009272878</x:v>
      </x:c>
      <x:c r="F83" s="28" t="n">
        <x:f>IF(ISNUMBER('年度汇率'!F83),1/'年度汇率'!F83,"")</x:f>
        <x:v>0.5766513853896194</x:v>
      </x:c>
      <x:c r="G83" s="28" t="n">
        <x:f>IF(ISNUMBER('年度汇率'!G83),1/'年度汇率'!G83,"")</x:f>
        <x:v>0.0005872813362215473</x:v>
      </x:c>
      <x:c r="H83" s="28" t="n">
        <x:f>IF(ISNUMBER('年度汇率'!H83),1/'年度汇率'!H83,"")</x:f>
        <x:v>0.008260496406271038</x:v>
      </x:c>
      <x:c r="I83" s="28" t="n">
        <x:f>IF(ISNUMBER('年度汇率'!I83),1/'年度汇率'!I83,"")</x:f>
        <x:v>0.688989940746865</x:v>
      </x:c>
      <x:c r="J83" s="28" t="n">
        <x:f>IF(ISNUMBER('年度汇率'!J83),1/'年度汇率'!J83,"")</x:f>
        <x:v>0.02749934689051135</x:v>
      </x:c>
      <x:c r="K83" s="28" t="n">
        <x:f>IF(ISNUMBER('年度汇率'!K83),1/'年度汇率'!K83,"")</x:f>
        <x:v>0.0001729045435093404</x:v>
      </x:c>
      <x:c r="L83" s="28" t="n">
        <x:f>IF(ISNUMBER('年度汇率'!L83),1/'年度汇率'!L83,"")</x:f>
        <x:v>0.12020242087675645</x:v>
      </x:c>
      <x:c r="M83" s="28" t="n">
        <x:f>IF(ISNUMBER('年度汇率'!M83),1/'年度汇率'!M83,"")</x:f>
        <x:v>0.5766513853896194</x:v>
      </x:c>
      <x:c r="N83" s="12" t="str">
        <x:v>欧元栏为德国代理</x:v>
      </x:c>
    </x:row>
    <x:row r="84" ht="32" customHeight="1">
      <x:c r="A84" t="n">
        <x:v>1998</x:v>
      </x:c>
      <x:c r="B84" s="28" t="n">
        <x:f>IF(ISNUMBER('年度汇率'!B84),1/'年度汇率'!B84,"")</x:f>
        <x:v>1</x:v>
      </x:c>
      <x:c r="C84" s="28" t="n">
        <x:f>IF(ISNUMBER('年度汇率'!C84),1/'年度汇率'!C84,"")</x:f>
        <x:v>1.6573000000000002</x:v>
      </x:c>
      <x:c r="D84" s="28" t="n">
        <x:f>IF(ISNUMBER('年度汇率'!D84),1/'年度汇率'!D84,"")</x:f>
        <x:v>0.6740361283364789</x:v>
      </x:c>
      <x:c r="E84" s="28" t="n">
        <x:f>IF(ISNUMBER('年度汇率'!E84),1/'年度汇率'!E84,"")</x:f>
        <x:v>0.1695090030435132</x:v>
      </x:c>
      <x:c r="F84" s="28" t="n">
        <x:f>IF(ISNUMBER('年度汇率'!F84),1/'年度汇率'!F84,"")</x:f>
        <x:v>0.5683836589569129</x:v>
      </x:c>
      <x:c r="G84" s="28" t="n">
        <x:f>IF(ISNUMBER('年度汇率'!G84),1/'年度汇率'!G84,"")</x:f>
        <x:v>0.0005759057394448523</x:v>
      </x:c>
      <x:c r="H84" s="28" t="n">
        <x:f>IF(ISNUMBER('年度汇率'!H84),1/'年度汇率'!H84,"")</x:f>
        <x:v>0.007634217172102738</x:v>
      </x:c>
      <x:c r="I84" s="28" t="n">
        <x:f>IF(ISNUMBER('年度汇率'!I84),1/'年度汇率'!I84,"")</x:f>
        <x:v>0.6893699158968704</x:v>
      </x:c>
      <x:c r="J84" s="28" t="n">
        <x:f>IF(ISNUMBER('年度汇率'!J84),1/'年度汇率'!J84,"")</x:f>
        <x:v>0.024180229760543185</x:v>
      </x:c>
      <x:c r="K84" s="28" t="n">
        <x:f>IF(ISNUMBER('年度汇率'!K84),1/'年度汇率'!K84,"")</x:f>
        <x:v>0.10318010735797123</x:v>
      </x:c>
      <x:c r="L84" s="28" t="n">
        <x:f>IF(ISNUMBER('年度汇率'!L84),1/'年度汇率'!L84,"")</x:f>
        <x:v>0.12047031611410948</x:v>
      </x:c>
      <x:c r="M84" s="28" t="n">
        <x:f>IF(ISNUMBER('年度汇率'!M84),1/'年度汇率'!M84,"")</x:f>
        <x:v>0.5683836589569129</x:v>
      </x:c>
      <x:c r="N84" s="12" t="str">
        <x:v>欧元栏为德国代理</x:v>
      </x:c>
    </x:row>
    <x:row r="85" ht="32" customHeight="1">
      <x:c r="A85" t="n">
        <x:v>1999</x:v>
      </x:c>
      <x:c r="B85" s="28" t="n">
        <x:f>IF(ISNUMBER('年度汇率'!B85),1/'年度汇率'!B85,"")</x:f>
        <x:v>1</x:v>
      </x:c>
      <x:c r="C85" s="28" t="n">
        <x:f>IF(ISNUMBER('年度汇率'!C85),1/'年度汇率'!C85,"")</x:f>
        <x:v>1.6171999999999997</x:v>
      </x:c>
      <x:c r="D85" s="28" t="n">
        <x:f>IF(ISNUMBER('年度汇率'!D85),1/'年度汇率'!D85,"")</x:f>
        <x:v>0.6730380939561179</x:v>
      </x:c>
      <x:c r="E85" s="28" t="n">
        <x:f>IF(ISNUMBER('年度汇率'!E85),1/'年度汇率'!E85,"")</x:f>
        <x:v>1.0653</x:v>
      </x:c>
      <x:c r="F85" s="28" t="n">
        <x:f>IF(ISNUMBER('年度汇率'!F85),1/'年度汇率'!F85,"")</x:f>
        <x:v>1.0653</x:v>
      </x:c>
      <x:c r="G85" s="28" t="n">
        <x:f>IF(ISNUMBER('年度汇率'!G85),1/'年度汇率'!G85,"")</x:f>
        <x:v>1.0653</x:v>
      </x:c>
      <x:c r="H85" s="28" t="n">
        <x:f>IF(ISNUMBER('年度汇率'!H85),1/'年度汇率'!H85,"")</x:f>
        <x:v>0.008792430069407444</x:v>
      </x:c>
      <x:c r="I85" s="28" t="n">
        <x:f>IF(ISNUMBER('年度汇率'!I85),1/'年度汇率'!I85,"")</x:f>
        <x:v>0.6646726487205051</x:v>
      </x:c>
      <x:c r="J85" s="28" t="n">
        <x:f>IF(ISNUMBER('年度汇率'!J85),1/'年度汇率'!J85,"")</x:f>
        <x:v>0.02318711538372357</x:v>
      </x:c>
      <x:c r="K85" s="28" t="n">
        <x:f>IF(ISNUMBER('年度汇率'!K85),1/'年度汇率'!K85,"")</x:f>
        <x:v>0.04061901819531713</x:v>
      </x:c>
      <x:c r="L85" s="28" t="n">
        <x:f>IF(ISNUMBER('年度汇率'!L85),1/'年度汇率'!L85,"")</x:f>
        <x:v>0.12079774832997113</x:v>
      </x:c>
      <x:c r="M85" s="28" t="n">
        <x:f>IF(ISNUMBER('年度汇率'!M85),1/'年度汇率'!M85,"")</x:f>
        <x:v>1.0653</x:v>
      </x:c>
      <x:c r="N85" s="12" t="str">
        <x:v>全年；请仍核对币名与原始口径</x:v>
      </x:c>
    </x:row>
    <x:row r="86" ht="32" customHeight="1">
      <x:c r="A86" t="n">
        <x:v>2000</x:v>
      </x:c>
      <x:c r="B86" s="28" t="n">
        <x:f>IF(ISNUMBER('年度汇率'!B86),1/'年度汇率'!B86,"")</x:f>
        <x:v>1</x:v>
      </x:c>
      <x:c r="C86" s="28" t="n">
        <x:f>IF(ISNUMBER('年度汇率'!C86),1/'年度汇率'!C86,"")</x:f>
        <x:v>1.5156</x:v>
      </x:c>
      <x:c r="D86" s="28" t="n">
        <x:f>IF(ISNUMBER('年度汇率'!D86),1/'年度汇率'!D86,"")</x:f>
        <x:v>0.6731740154830024</x:v>
      </x:c>
      <x:c r="E86" s="28" t="n">
        <x:f>IF(ISNUMBER('年度汇率'!E86),1/'年度汇率'!E86,"")</x:f>
        <x:v>0.9232</x:v>
      </x:c>
      <x:c r="F86" s="28" t="n">
        <x:f>IF(ISNUMBER('年度汇率'!F86),1/'年度汇率'!F86,"")</x:f>
        <x:v>0.9232</x:v>
      </x:c>
      <x:c r="G86" s="28" t="n">
        <x:f>IF(ISNUMBER('年度汇率'!G86),1/'年度汇率'!G86,"")</x:f>
        <x:v>0.9232</x:v>
      </x:c>
      <x:c r="H86" s="28" t="n">
        <x:f>IF(ISNUMBER('年度汇率'!H86),1/'年度汇率'!H86,"")</x:f>
        <x:v>0.009276093651441504</x:v>
      </x:c>
      <x:c r="I86" s="28" t="n">
        <x:f>IF(ISNUMBER('年度汇率'!I86),1/'年度汇率'!I86,"")</x:f>
        <x:v>0.5915759583530525</x:v>
      </x:c>
      <x:c r="J86" s="28" t="n">
        <x:f>IF(ISNUMBER('年度汇率'!J86),1/'年度汇率'!J86,"")</x:f>
        <x:v>0.022223456858714373</x:v>
      </x:c>
      <x:c r="K86" s="28" t="n">
        <x:f>IF(ISNUMBER('年度汇率'!K86),1/'年度汇率'!K86,"")</x:f>
        <x:v>0.035565583704002174</x:v>
      </x:c>
      <x:c r="L86" s="28" t="n">
        <x:f>IF(ISNUMBER('年度汇率'!L86),1/'年度汇率'!L86,"")</x:f>
        <x:v>0.12079628913799768</x:v>
      </x:c>
      <x:c r="M86" s="28" t="n">
        <x:f>IF(ISNUMBER('年度汇率'!M86),1/'年度汇率'!M86,"")</x:f>
        <x:v>0.9232</x:v>
      </x:c>
      <x:c r="N86" s="12" t="str">
        <x:v>全年；请仍核对币名与原始口径</x:v>
      </x:c>
    </x:row>
    <x:row r="87" ht="32" customHeight="1">
      <x:c r="A87" t="n">
        <x:v>2001</x:v>
      </x:c>
      <x:c r="B87" s="28" t="n">
        <x:f>IF(ISNUMBER('年度汇率'!B87),1/'年度汇率'!B87,"")</x:f>
        <x:v>1</x:v>
      </x:c>
      <x:c r="C87" s="28" t="n">
        <x:f>IF(ISNUMBER('年度汇率'!C87),1/'年度汇率'!C87,"")</x:f>
        <x:v>1.4396</x:v>
      </x:c>
      <x:c r="D87" s="28" t="n">
        <x:f>IF(ISNUMBER('年度汇率'!D87),1/'年度汇率'!D87,"")</x:f>
        <x:v>0.6457028475495578</x:v>
      </x:c>
      <x:c r="E87" s="28" t="n">
        <x:f>IF(ISNUMBER('年度汇率'!E87),1/'年度汇率'!E87,"")</x:f>
        <x:v>0.8952000000000001</x:v>
      </x:c>
      <x:c r="F87" s="28" t="n">
        <x:f>IF(ISNUMBER('年度汇率'!F87),1/'年度汇率'!F87,"")</x:f>
        <x:v>0.8952000000000001</x:v>
      </x:c>
      <x:c r="G87" s="28" t="n">
        <x:f>IF(ISNUMBER('年度汇率'!G87),1/'年度汇率'!G87,"")</x:f>
        <x:v>0.8952000000000001</x:v>
      </x:c>
      <x:c r="H87" s="28" t="n">
        <x:f>IF(ISNUMBER('年度汇率'!H87),1/'年度汇率'!H87,"")</x:f>
        <x:v>0.008225848907607265</x:v>
      </x:c>
      <x:c r="I87" s="28" t="n">
        <x:f>IF(ISNUMBER('年度汇率'!I87),1/'年度汇率'!I87,"")</x:f>
        <x:v>0.5920312592504884</x:v>
      </x:c>
      <x:c r="J87" s="28" t="n">
        <x:f>IF(ISNUMBER('年度汇率'!J87),1/'年度汇率'!J87,"")</x:f>
        <x:v>0.021177467174925878</x:v>
      </x:c>
      <x:c r="K87" s="28" t="n">
        <x:f>IF(ISNUMBER('年度汇率'!K87),1/'年度汇率'!K87,"")</x:f>
        <x:v>0.034275601301416</x:v>
      </x:c>
      <x:c r="L87" s="28" t="n">
        <x:f>IF(ISNUMBER('年度汇率'!L87),1/'年度汇率'!L87,"")</x:f>
        <x:v>0.12081672103419114</x:v>
      </x:c>
      <x:c r="M87" s="28" t="n">
        <x:f>IF(ISNUMBER('年度汇率'!M87),1/'年度汇率'!M87,"")</x:f>
        <x:v>0.8952000000000001</x:v>
      </x:c>
      <x:c r="N87" s="12" t="str">
        <x:v>全年；请仍核对币名与原始口径</x:v>
      </x:c>
    </x:row>
    <x:row r="88" ht="32" customHeight="1">
      <x:c r="A88" t="n">
        <x:v>2002</x:v>
      </x:c>
      <x:c r="B88" s="28" t="n">
        <x:f>IF(ISNUMBER('年度汇率'!B88),1/'年度汇率'!B88,"")</x:f>
        <x:v>1</x:v>
      </x:c>
      <x:c r="C88" s="28" t="n">
        <x:f>IF(ISNUMBER('年度汇率'!C88),1/'年度汇率'!C88,"")</x:f>
        <x:v>1.5024999999999997</x:v>
      </x:c>
      <x:c r="D88" s="28" t="n">
        <x:f>IF(ISNUMBER('年度汇率'!D88),1/'年度汇率'!D88,"")</x:f>
        <x:v>0.6367804381049414</x:v>
      </x:c>
      <x:c r="E88" s="28" t="n">
        <x:f>IF(ISNUMBER('年度汇率'!E88),1/'年度汇率'!E88,"")</x:f>
        <x:v>0.9454</x:v>
      </x:c>
      <x:c r="F88" s="28" t="n">
        <x:f>IF(ISNUMBER('年度汇率'!F88),1/'年度汇率'!F88,"")</x:f>
        <x:v>0.9454</x:v>
      </x:c>
      <x:c r="G88" s="28" t="n">
        <x:f>IF(ISNUMBER('年度汇率'!G88),1/'年度汇率'!G88,"")</x:f>
        <x:v>0.9454</x:v>
      </x:c>
      <x:c r="H88" s="28" t="n">
        <x:f>IF(ISNUMBER('年度汇率'!H88),1/'年度汇率'!H88,"")</x:f>
        <x:v>0.007985919227218568</x:v>
      </x:c>
      <x:c r="I88" s="28" t="n">
        <x:f>IF(ISNUMBER('年度汇率'!I88),1/'年度汇率'!I88,"")</x:f>
        <x:v>0.6423845313804843</x:v>
      </x:c>
      <x:c r="J88" s="28" t="n">
        <x:f>IF(ISNUMBER('年度汇率'!J88),1/'年度汇率'!J88,"")</x:f>
        <x:v>0.02056525664412029</x:v>
      </x:c>
      <x:c r="K88" s="28" t="n">
        <x:f>IF(ISNUMBER('年度汇率'!K88),1/'年度汇率'!K88,"")</x:f>
        <x:v>0.03187195885454552</x:v>
      </x:c>
      <x:c r="L88" s="28" t="n">
        <x:f>IF(ISNUMBER('年度汇率'!L88),1/'年度汇率'!L88,"")</x:f>
        <x:v>0.120815261383818</x:v>
      </x:c>
      <x:c r="M88" s="28" t="n">
        <x:f>IF(ISNUMBER('年度汇率'!M88),1/'年度汇率'!M88,"")</x:f>
        <x:v>0.9454</x:v>
      </x:c>
      <x:c r="N88" s="12" t="str">
        <x:v>全年；请仍核对币名与原始口径</x:v>
      </x:c>
    </x:row>
    <x:row r="89" ht="32" customHeight="1">
      <x:c r="A89" t="n">
        <x:v>2003</x:v>
      </x:c>
      <x:c r="B89" s="28" t="n">
        <x:f>IF(ISNUMBER('年度汇率'!B89),1/'年度汇率'!B89,"")</x:f>
        <x:v>1</x:v>
      </x:c>
      <x:c r="C89" s="28" t="n">
        <x:f>IF(ISNUMBER('年度汇率'!C89),1/'年度汇率'!C89,"")</x:f>
        <x:v>1.6347</x:v>
      </x:c>
      <x:c r="D89" s="28" t="n">
        <x:f>IF(ISNUMBER('年度汇率'!D89),1/'年度汇率'!D89,"")</x:f>
        <x:v>0.713877784123358</x:v>
      </x:c>
      <x:c r="E89" s="28" t="n">
        <x:f>IF(ISNUMBER('年度汇率'!E89),1/'年度汇率'!E89,"")</x:f>
        <x:v>1.1321</x:v>
      </x:c>
      <x:c r="F89" s="28" t="n">
        <x:f>IF(ISNUMBER('年度汇率'!F89),1/'年度汇率'!F89,"")</x:f>
        <x:v>1.1321</x:v>
      </x:c>
      <x:c r="G89" s="28" t="n">
        <x:f>IF(ISNUMBER('年度汇率'!G89),1/'年度汇率'!G89,"")</x:f>
        <x:v>1.1321</x:v>
      </x:c>
      <x:c r="H89" s="28" t="n">
        <x:f>IF(ISNUMBER('年度汇率'!H89),1/'年度汇率'!H89,"")</x:f>
        <x:v>0.00862524765242322</x:v>
      </x:c>
      <x:c r="I89" s="28" t="n">
        <x:f>IF(ISNUMBER('年度汇率'!I89),1/'年度汇率'!I89,"")</x:f>
        <x:v>0.7434944237918216</x:v>
      </x:c>
      <x:c r="J89" s="28" t="n">
        <x:f>IF(ISNUMBER('年度汇率'!J89),1/'年度汇率'!J89,"")</x:f>
        <x:v>0.02146346489006413</x:v>
      </x:c>
      <x:c r="K89" s="28" t="n">
        <x:f>IF(ISNUMBER('年度汇率'!K89),1/'年度汇率'!K89,"")</x:f>
        <x:v>0.032582300717865886</x:v>
      </x:c>
      <x:c r="L89" s="28" t="n">
        <x:f>IF(ISNUMBER('年度汇率'!L89),1/'年度汇率'!L89,"")</x:f>
        <x:v>0.12081380176871405</x:v>
      </x:c>
      <x:c r="M89" s="28" t="n">
        <x:f>IF(ISNUMBER('年度汇率'!M89),1/'年度汇率'!M89,"")</x:f>
        <x:v>1.1321</x:v>
      </x:c>
      <x:c r="N89" s="12" t="str">
        <x:v>全年；请仍核对币名与原始口径</x:v>
      </x:c>
    </x:row>
    <x:row r="90" ht="32" customHeight="1">
      <x:c r="A90" t="n">
        <x:v>2004</x:v>
      </x:c>
      <x:c r="B90" s="28" t="n">
        <x:f>IF(ISNUMBER('年度汇率'!B90),1/'年度汇率'!B90,"")</x:f>
        <x:v>1</x:v>
      </x:c>
      <x:c r="C90" s="28" t="n">
        <x:f>IF(ISNUMBER('年度汇率'!C90),1/'年度汇率'!C90,"")</x:f>
        <x:v>1.833</x:v>
      </x:c>
      <x:c r="D90" s="28" t="n">
        <x:f>IF(ISNUMBER('年度汇率'!D90),1/'年度汇率'!D90,"")</x:f>
        <x:v>0.7682261657832066</x:v>
      </x:c>
      <x:c r="E90" s="28" t="n">
        <x:f>IF(ISNUMBER('年度汇率'!E90),1/'年度汇率'!E90,"")</x:f>
        <x:v>1.2438</x:v>
      </x:c>
      <x:c r="F90" s="28" t="n">
        <x:f>IF(ISNUMBER('年度汇率'!F90),1/'年度汇率'!F90,"")</x:f>
        <x:v>1.2438</x:v>
      </x:c>
      <x:c r="G90" s="28" t="n">
        <x:f>IF(ISNUMBER('年度汇率'!G90),1/'年度汇率'!G90,"")</x:f>
        <x:v>1.2438</x:v>
      </x:c>
      <x:c r="H90" s="28" t="n">
        <x:f>IF(ISNUMBER('年度汇率'!H90),1/'年度汇率'!H90,"")</x:f>
        <x:v>0.009246348616931174</x:v>
      </x:c>
      <x:c r="I90" s="28" t="n">
        <x:f>IF(ISNUMBER('年度汇率'!I90),1/'年度汇率'!I90,"")</x:f>
        <x:v>0.804634695848085</x:v>
      </x:c>
      <x:c r="J90" s="28" t="n">
        <x:f>IF(ISNUMBER('年度汇率'!J90),1/'年度汇率'!J90,"")</x:f>
        <x:v>0.02209407657806942</x:v>
      </x:c>
      <x:c r="K90" s="28" t="n">
        <x:f>IF(ISNUMBER('年度汇率'!K90),1/'年度汇率'!K90,"")</x:f>
        <x:v>0.03472323080481441</x:v>
      </x:c>
      <x:c r="L90" s="28" t="n">
        <x:f>IF(ISNUMBER('年度汇率'!L90),1/'年度汇率'!L90,"")</x:f>
        <x:v>0.12081964044075005</x:v>
      </x:c>
      <x:c r="M90" s="28" t="n">
        <x:f>IF(ISNUMBER('年度汇率'!M90),1/'年度汇率'!M90,"")</x:f>
        <x:v>1.2438</x:v>
      </x:c>
      <x:c r="N90" s="12" t="str">
        <x:v>全年；请仍核对币名与原始口径</x:v>
      </x:c>
    </x:row>
    <x:row r="91" ht="32" customHeight="1">
      <x:c r="A91" t="n">
        <x:v>2005</x:v>
      </x:c>
      <x:c r="B91" s="28" t="n">
        <x:f>IF(ISNUMBER('年度汇率'!B91),1/'年度汇率'!B91,"")</x:f>
        <x:v>1</x:v>
      </x:c>
      <x:c r="C91" s="28" t="n">
        <x:f>IF(ISNUMBER('年度汇率'!C91),1/'年度汇率'!C91,"")</x:f>
        <x:v>1.8204</x:v>
      </x:c>
      <x:c r="D91" s="28" t="n">
        <x:f>IF(ISNUMBER('年度汇率'!D91),1/'年度汇率'!D91,"")</x:f>
        <x:v>0.8254230293025175</x:v>
      </x:c>
      <x:c r="E91" s="28" t="n">
        <x:f>IF(ISNUMBER('年度汇率'!E91),1/'年度汇率'!E91,"")</x:f>
        <x:v>1.2449</x:v>
      </x:c>
      <x:c r="F91" s="28" t="n">
        <x:f>IF(ISNUMBER('年度汇率'!F91),1/'年度汇率'!F91,"")</x:f>
        <x:v>1.2449</x:v>
      </x:c>
      <x:c r="G91" s="28" t="n">
        <x:f>IF(ISNUMBER('年度汇率'!G91),1/'年度汇率'!G91,"")</x:f>
        <x:v>1.2449</x:v>
      </x:c>
      <x:c r="H91" s="28" t="n">
        <x:f>IF(ISNUMBER('年度汇率'!H91),1/'年度汇率'!H91,"")</x:f>
        <x:v>0.009082082957562151</x:v>
      </x:c>
      <x:c r="I91" s="28" t="n">
        <x:f>IF(ISNUMBER('年度汇率'!I91),1/'年度汇率'!I91,"")</x:f>
        <x:v>0.8026326350429408</x:v>
      </x:c>
      <x:c r="J91" s="28" t="n">
        <x:f>IF(ISNUMBER('年度汇率'!J91),1/'年度汇率'!J91,"")</x:f>
        <x:v>0.022727169421957173</x:v>
      </x:c>
      <x:c r="K91" s="28" t="n">
        <x:f>IF(ISNUMBER('年度汇率'!K91),1/'年度汇率'!K91,"")</x:f>
        <x:v>0.035404977677825425</x:v>
      </x:c>
      <x:c r="L91" s="28" t="n">
        <x:f>IF(ISNUMBER('年度汇率'!L91),1/'年度汇率'!L91,"")</x:f>
        <x:v>0.1220464752977934</x:v>
      </x:c>
      <x:c r="M91" s="28" t="n">
        <x:f>IF(ISNUMBER('年度汇率'!M91),1/'年度汇率'!M91,"")</x:f>
        <x:v>1.2449</x:v>
      </x:c>
      <x:c r="N91" s="12" t="str">
        <x:v>全年；请仍核对币名与原始口径</x:v>
      </x:c>
    </x:row>
    <x:row r="92" ht="32" customHeight="1">
      <x:c r="A92" t="n">
        <x:v>2006</x:v>
      </x:c>
      <x:c r="B92" s="28" t="n">
        <x:f>IF(ISNUMBER('年度汇率'!B92),1/'年度汇率'!B92,"")</x:f>
        <x:v>1</x:v>
      </x:c>
      <x:c r="C92" s="28" t="n">
        <x:f>IF(ISNUMBER('年度汇率'!C92),1/'年度汇率'!C92,"")</x:f>
        <x:v>1.8434</x:v>
      </x:c>
      <x:c r="D92" s="28" t="n">
        <x:f>IF(ISNUMBER('年度汇率'!D92),1/'年度汇率'!D92,"")</x:f>
        <x:v>0.8818342151675486</x:v>
      </x:c>
      <x:c r="E92" s="28" t="n">
        <x:f>IF(ISNUMBER('年度汇率'!E92),1/'年度汇率'!E92,"")</x:f>
        <x:v>1.2563</x:v>
      </x:c>
      <x:c r="F92" s="28" t="n">
        <x:f>IF(ISNUMBER('年度汇率'!F92),1/'年度汇率'!F92,"")</x:f>
        <x:v>1.2563</x:v>
      </x:c>
      <x:c r="G92" s="28" t="n">
        <x:f>IF(ISNUMBER('年度汇率'!G92),1/'年度汇率'!G92,"")</x:f>
        <x:v>1.2563</x:v>
      </x:c>
      <x:c r="H92" s="28" t="n">
        <x:f>IF(ISNUMBER('年度汇率'!H92),1/'年度汇率'!H92,"")</x:f>
        <x:v>0.008597557777737656</x:v>
      </x:c>
      <x:c r="I92" s="28" t="n">
        <x:f>IF(ISNUMBER('年度汇率'!I92),1/'年度汇率'!I92,"")</x:f>
        <x:v>0.7979572294924991</x:v>
      </x:c>
      <x:c r="J92" s="28" t="n">
        <x:f>IF(ISNUMBER('年度汇率'!J92),1/'年度汇率'!J92,"")</x:f>
        <x:v>0.022130699485018623</x:v>
      </x:c>
      <x:c r="K92" s="28" t="n">
        <x:f>IF(ISNUMBER('年度汇率'!K92),1/'年度汇率'!K92,"")</x:f>
        <x:v>0.03679830726953668</x:v>
      </x:c>
      <x:c r="L92" s="28" t="n">
        <x:f>IF(ISNUMBER('年度汇率'!L92),1/'年度汇率'!L92,"")</x:f>
        <x:v>0.1254343163202589</x:v>
      </x:c>
      <x:c r="M92" s="28" t="n">
        <x:f>IF(ISNUMBER('年度汇率'!M92),1/'年度汇率'!M92,"")</x:f>
        <x:v>1.2563</x:v>
      </x:c>
      <x:c r="N92" s="12" t="str">
        <x:v>全年；请仍核对币名与原始口径</x:v>
      </x:c>
    </x:row>
    <x:row r="93" ht="32" customHeight="1">
      <x:c r="A93" t="n">
        <x:v>2007</x:v>
      </x:c>
      <x:c r="B93" s="28" t="n">
        <x:f>IF(ISNUMBER('年度汇率'!B93),1/'年度汇率'!B93,"")</x:f>
        <x:v>1</x:v>
      </x:c>
      <x:c r="C93" s="28" t="n">
        <x:f>IF(ISNUMBER('年度汇率'!C93),1/'年度汇率'!C93,"")</x:f>
        <x:v>2.002</x:v>
      </x:c>
      <x:c r="D93" s="28" t="n">
        <x:f>IF(ISNUMBER('年度汇率'!D93),1/'年度汇率'!D93,"")</x:f>
        <x:v>0.9316191540898081</x:v>
      </x:c>
      <x:c r="E93" s="28" t="n">
        <x:f>IF(ISNUMBER('年度汇率'!E93),1/'年度汇率'!E93,"")</x:f>
        <x:v>1.3711</x:v>
      </x:c>
      <x:c r="F93" s="28" t="n">
        <x:f>IF(ISNUMBER('年度汇率'!F93),1/'年度汇率'!F93,"")</x:f>
        <x:v>1.3711</x:v>
      </x:c>
      <x:c r="G93" s="28" t="n">
        <x:f>IF(ISNUMBER('年度汇率'!G93),1/'年度汇率'!G93,"")</x:f>
        <x:v>1.3711</x:v>
      </x:c>
      <x:c r="H93" s="28" t="n">
        <x:f>IF(ISNUMBER('年度汇率'!H93),1/'年度汇率'!H93,"")</x:f>
        <x:v>0.008491681972923423</x:v>
      </x:c>
      <x:c r="I93" s="28" t="n">
        <x:f>IF(ISNUMBER('年度汇率'!I93),1/'年度汇率'!I93,"")</x:f>
        <x:v>0.8334027835652972</x:v>
      </x:c>
      <x:c r="J93" s="28" t="n">
        <x:f>IF(ISNUMBER('年度汇率'!J93),1/'年度汇率'!J93,"")</x:f>
        <x:v>0.02428516613482153</x:v>
      </x:c>
      <x:c r="K93" s="28" t="n">
        <x:f>IF(ISNUMBER('年度汇率'!K93),1/'年度汇率'!K93,"")</x:f>
        <x:v>0.03910678358606028</x:v>
      </x:c>
      <x:c r="L93" s="28" t="n">
        <x:f>IF(ISNUMBER('年度汇率'!L93),1/'年度汇率'!L93,"")</x:f>
        <x:v>0.13147860843040837</x:v>
      </x:c>
      <x:c r="M93" s="28" t="n">
        <x:f>IF(ISNUMBER('年度汇率'!M93),1/'年度汇率'!M93,"")</x:f>
        <x:v>1.3711</x:v>
      </x:c>
      <x:c r="N93" s="12" t="str">
        <x:v>全年；请仍核对币名与原始口径</x:v>
      </x:c>
    </x:row>
    <x:row r="94" ht="32" customHeight="1">
      <x:c r="A94" t="n">
        <x:v>2008</x:v>
      </x:c>
      <x:c r="B94" s="28" t="n">
        <x:f>IF(ISNUMBER('年度汇率'!B94),1/'年度汇率'!B94,"")</x:f>
        <x:v>1</x:v>
      </x:c>
      <x:c r="C94" s="28" t="n">
        <x:f>IF(ISNUMBER('年度汇率'!C94),1/'年度汇率'!C94,"")</x:f>
        <x:v>1.8544999999999998</x:v>
      </x:c>
      <x:c r="D94" s="28" t="n">
        <x:f>IF(ISNUMBER('年度汇率'!D94),1/'年度汇率'!D94,"")</x:f>
        <x:v>0.9380863039399624</x:v>
      </x:c>
      <x:c r="E94" s="28" t="n">
        <x:f>IF(ISNUMBER('年度汇率'!E94),1/'年度汇率'!E94,"")</x:f>
        <x:v>1.4725999999999997</x:v>
      </x:c>
      <x:c r="F94" s="28" t="n">
        <x:f>IF(ISNUMBER('年度汇率'!F94),1/'年度汇率'!F94,"")</x:f>
        <x:v>1.4725999999999997</x:v>
      </x:c>
      <x:c r="G94" s="28" t="n">
        <x:f>IF(ISNUMBER('年度汇率'!G94),1/'年度汇率'!G94,"")</x:f>
        <x:v>1.4725999999999997</x:v>
      </x:c>
      <x:c r="H94" s="28" t="n">
        <x:f>IF(ISNUMBER('年度汇率'!H94),1/'年度汇率'!H94,"")</x:f>
        <x:v>0.009672059162051482</x:v>
      </x:c>
      <x:c r="I94" s="28" t="n">
        <x:f>IF(ISNUMBER('年度汇率'!I94),1/'年度汇率'!I94,"")</x:f>
        <x:v>0.9245562130177516</x:v>
      </x:c>
      <x:c r="J94" s="28" t="n">
        <x:f>IF(ISNUMBER('年度汇率'!J94),1/'年度汇率'!J94,"")</x:f>
        <x:v>0.02304896291191378</x:v>
      </x:c>
      <x:c r="K94" s="28" t="n">
        <x:f>IF(ISNUMBER('年度汇率'!K94),1/'年度汇率'!K94,"")</x:f>
        <x:v>0.04021410032318379</x:v>
      </x:c>
      <x:c r="L94" s="28" t="n">
        <x:f>IF(ISNUMBER('年度汇率'!L94),1/'年度汇率'!L94,"")</x:f>
        <x:v>0.143932524432546</x:v>
      </x:c>
      <x:c r="M94" s="28" t="n">
        <x:f>IF(ISNUMBER('年度汇率'!M94),1/'年度汇率'!M94,"")</x:f>
        <x:v>1.4725999999999997</x:v>
      </x:c>
      <x:c r="N94" s="12" t="str">
        <x:v>全年；请仍核对币名与原始口径</x:v>
      </x:c>
    </x:row>
    <x:row r="95" ht="32" customHeight="1">
      <x:c r="A95" t="n">
        <x:v>2009</x:v>
      </x:c>
      <x:c r="B95" s="28" t="n">
        <x:f>IF(ISNUMBER('年度汇率'!B95),1/'年度汇率'!B95,"")</x:f>
        <x:v>1</x:v>
      </x:c>
      <x:c r="C95" s="28" t="n">
        <x:f>IF(ISNUMBER('年度汇率'!C95),1/'年度汇率'!C95,"")</x:f>
        <x:v>1.5661</x:v>
      </x:c>
      <x:c r="D95" s="28" t="n">
        <x:f>IF(ISNUMBER('年度汇率'!D95),1/'年度汇率'!D95,"")</x:f>
        <x:v>0.8762705923589205</x:v>
      </x:c>
      <x:c r="E95" s="28" t="n">
        <x:f>IF(ISNUMBER('年度汇率'!E95),1/'年度汇率'!E95,"")</x:f>
        <x:v>1.3935</x:v>
      </x:c>
      <x:c r="F95" s="28" t="n">
        <x:f>IF(ISNUMBER('年度汇率'!F95),1/'年度汇率'!F95,"")</x:f>
        <x:v>1.3935</x:v>
      </x:c>
      <x:c r="G95" s="28" t="n">
        <x:f>IF(ISNUMBER('年度汇率'!G95),1/'年度汇率'!G95,"")</x:f>
        <x:v>1.3935</x:v>
      </x:c>
      <x:c r="H95" s="28" t="n">
        <x:f>IF(ISNUMBER('年度汇率'!H95),1/'年度汇率'!H95,"")</x:f>
        <x:v>0.010674329411940518</x:v>
      </x:c>
      <x:c r="I95" s="28" t="n">
        <x:f>IF(ISNUMBER('年度汇率'!I95),1/'年度汇率'!I95,"")</x:f>
        <x:v>0.9208103130755064</x:v>
      </x:c>
      <x:c r="J95" s="28" t="n">
        <x:f>IF(ISNUMBER('年度汇率'!J95),1/'年度汇率'!J95,"")</x:f>
        <x:v>0.020690054704504638</x:v>
      </x:c>
      <x:c r="K95" s="28" t="n">
        <x:f>IF(ISNUMBER('年度汇率'!K95),1/'年度汇率'!K95,"")</x:f>
        <x:v>0.031472524155109365</x:v>
      </x:c>
      <x:c r="L95" s="28" t="n">
        <x:f>IF(ISNUMBER('年度汇率'!L95),1/'年度汇率'!L95,"")</x:f>
        <x:v>0.1463978801586953</x:v>
      </x:c>
      <x:c r="M95" s="28" t="n">
        <x:f>IF(ISNUMBER('年度汇率'!M95),1/'年度汇率'!M95,"")</x:f>
        <x:v>1.3935</x:v>
      </x:c>
      <x:c r="N95" s="12" t="str">
        <x:v>全年；请仍核对币名与原始口径</x:v>
      </x:c>
    </x:row>
    <x:row r="96" ht="32" customHeight="1">
      <x:c r="A96" t="n">
        <x:v>2010</x:v>
      </x:c>
      <x:c r="B96" s="28" t="n">
        <x:f>IF(ISNUMBER('年度汇率'!B96),1/'年度汇率'!B96,"")</x:f>
        <x:v>1</x:v>
      </x:c>
      <x:c r="C96" s="28" t="n">
        <x:f>IF(ISNUMBER('年度汇率'!C96),1/'年度汇率'!C96,"")</x:f>
        <x:v>1.5452</x:v>
      </x:c>
      <x:c r="D96" s="28" t="n">
        <x:f>IF(ISNUMBER('年度汇率'!D96),1/'年度汇率'!D96,"")</x:f>
        <x:v>0.9710623422023693</x:v>
      </x:c>
      <x:c r="E96" s="28" t="n">
        <x:f>IF(ISNUMBER('年度汇率'!E96),1/'年度汇率'!E96,"")</x:f>
        <x:v>1.3261</x:v>
      </x:c>
      <x:c r="F96" s="28" t="n">
        <x:f>IF(ISNUMBER('年度汇率'!F96),1/'年度汇率'!F96,"")</x:f>
        <x:v>1.3261</x:v>
      </x:c>
      <x:c r="G96" s="28" t="n">
        <x:f>IF(ISNUMBER('年度汇率'!G96),1/'年度汇率'!G96,"")</x:f>
        <x:v>1.3261</x:v>
      </x:c>
      <x:c r="H96" s="28" t="n">
        <x:f>IF(ISNUMBER('年度汇率'!H96),1/'年度汇率'!H96,"")</x:f>
        <x:v>0.011391896033000044</x:v>
      </x:c>
      <x:c r="I96" s="28" t="n">
        <x:f>IF(ISNUMBER('年度汇率'!I96),1/'年度汇率'!I96,"")</x:f>
        <x:v>0.9585889570552149</x:v>
      </x:c>
      <x:c r="J96" s="28" t="n">
        <x:f>IF(ISNUMBER('年度汇率'!J96),1/'年度汇率'!J96,"")</x:f>
        <x:v>0.021905469138479804</x:v>
      </x:c>
      <x:c r="K96" s="28" t="n">
        <x:f>IF(ISNUMBER('年度汇率'!K96),1/'年度汇率'!K96,"")</x:f>
        <x:v>0.032924129261321225</x:v>
      </x:c>
      <x:c r="L96" s="28" t="n">
        <x:f>IF(ISNUMBER('年度汇率'!L96),1/'年度汇率'!L96,"")</x:f>
        <x:v>0.14771921531552826</x:v>
      </x:c>
      <x:c r="M96" s="28" t="n">
        <x:f>IF(ISNUMBER('年度汇率'!M96),1/'年度汇率'!M96,"")</x:f>
        <x:v>1.3261</x:v>
      </x:c>
      <x:c r="N96" s="12" t="str">
        <x:v>全年；请仍核对币名与原始口径</x:v>
      </x:c>
    </x:row>
    <x:row r="97" ht="32" customHeight="1">
      <x:c r="A97" t="n">
        <x:v>2011</x:v>
      </x:c>
      <x:c r="B97" s="28" t="n">
        <x:f>IF(ISNUMBER('年度汇率'!B97),1/'年度汇率'!B97,"")</x:f>
        <x:v>1</x:v>
      </x:c>
      <x:c r="C97" s="28" t="n">
        <x:f>IF(ISNUMBER('年度汇率'!C97),1/'年度汇率'!C97,"")</x:f>
        <x:v>1.6043</x:v>
      </x:c>
      <x:c r="D97" s="28" t="n">
        <x:f>IF(ISNUMBER('年度汇率'!D97),1/'年度汇率'!D97,"")</x:f>
        <x:v>1.0114291493880854</x:v>
      </x:c>
      <x:c r="E97" s="28" t="n">
        <x:f>IF(ISNUMBER('年度汇率'!E97),1/'年度汇率'!E97,"")</x:f>
        <x:v>1.3931</x:v>
      </x:c>
      <x:c r="F97" s="28" t="n">
        <x:f>IF(ISNUMBER('年度汇率'!F97),1/'年度汇率'!F97,"")</x:f>
        <x:v>1.3931</x:v>
      </x:c>
      <x:c r="G97" s="28" t="n">
        <x:f>IF(ISNUMBER('年度汇率'!G97),1/'年度汇率'!G97,"")</x:f>
        <x:v>1.3931</x:v>
      </x:c>
      <x:c r="H97" s="28" t="n">
        <x:f>IF(ISNUMBER('年度汇率'!H97),1/'年度汇率'!H97,"")</x:f>
        <x:v>0.01254757097847213</x:v>
      </x:c>
      <x:c r="I97" s="28" t="n">
        <x:f>IF(ISNUMBER('年度汇率'!I97),1/'年度汇率'!I97,"")</x:f>
        <x:v>1.1284134506883323</x:v>
      </x:c>
      <x:c r="J97" s="28" t="n">
        <x:f>IF(ISNUMBER('年度汇率'!J97),1/'年度汇率'!J97,"")</x:f>
        <x:v>0.021469271032371364</x:v>
      </x:c>
      <x:c r="K97" s="28" t="n">
        <x:f>IF(ISNUMBER('年度汇率'!K97),1/'年度汇率'!K97,"")</x:f>
        <x:v>0.034010580986107895</x:v>
      </x:c>
      <x:c r="L97" s="28" t="n">
        <x:f>IF(ISNUMBER('年度汇率'!L97),1/'年度汇率'!L97,"")</x:f>
        <x:v>0.1547269070091289</x:v>
      </x:c>
      <x:c r="M97" s="28" t="n">
        <x:f>IF(ISNUMBER('年度汇率'!M97),1/'年度汇率'!M97,"")</x:f>
        <x:v>1.3931</x:v>
      </x:c>
      <x:c r="N97" s="12" t="str">
        <x:v>全年；请仍核对币名与原始口径</x:v>
      </x:c>
    </x:row>
    <x:row r="98" ht="32" customHeight="1">
      <x:c r="A98" t="n">
        <x:v>2012</x:v>
      </x:c>
      <x:c r="B98" s="28" t="n">
        <x:f>IF(ISNUMBER('年度汇率'!B98),1/'年度汇率'!B98,"")</x:f>
        <x:v>1</x:v>
      </x:c>
      <x:c r="C98" s="28" t="n">
        <x:f>IF(ISNUMBER('年度汇率'!C98),1/'年度汇率'!C98,"")</x:f>
        <x:v>1.5853</x:v>
      </x:c>
      <x:c r="D98" s="28" t="n">
        <x:f>IF(ISNUMBER('年度汇率'!D98),1/'年度汇率'!D98,"")</x:f>
        <x:v>1.0005002501250624</x:v>
      </x:c>
      <x:c r="E98" s="28" t="n">
        <x:f>IF(ISNUMBER('年度汇率'!E98),1/'年度汇率'!E98,"")</x:f>
        <x:v>1.2859</x:v>
      </x:c>
      <x:c r="F98" s="28" t="n">
        <x:f>IF(ISNUMBER('年度汇率'!F98),1/'年度汇率'!F98,"")</x:f>
        <x:v>1.2859</x:v>
      </x:c>
      <x:c r="G98" s="28" t="n">
        <x:f>IF(ISNUMBER('年度汇率'!G98),1/'年度汇率'!G98,"")</x:f>
        <x:v>1.2859</x:v>
      </x:c>
      <x:c r="H98" s="28" t="n">
        <x:f>IF(ISNUMBER('年度汇率'!H98),1/'年度汇率'!H98,"")</x:f>
        <x:v>0.012528502342829938</x:v>
      </x:c>
      <x:c r="I98" s="28" t="n">
        <x:f>IF(ISNUMBER('年度汇率'!I98),1/'年度汇率'!I98,"")</x:f>
        <x:v>1.0664391596459422</x:v>
      </x:c>
      <x:c r="J98" s="28" t="n">
        <x:f>IF(ISNUMBER('年度汇率'!J98),1/'年度汇率'!J98,"")</x:f>
        <x:v>0.018735608710559203</x:v>
      </x:c>
      <x:c r="K98" s="28" t="n">
        <x:f>IF(ISNUMBER('年度汇率'!K98),1/'年度汇率'!K98,"")</x:f>
        <x:v>0.03220792296063885</x:v>
      </x:c>
      <x:c r="L98" s="28" t="n">
        <x:f>IF(ISNUMBER('年度汇率'!L98),1/'年度汇率'!L98,"")</x:f>
        <x:v>0.15849618816667457</x:v>
      </x:c>
      <x:c r="M98" s="28" t="n">
        <x:f>IF(ISNUMBER('年度汇率'!M98),1/'年度汇率'!M98,"")</x:f>
        <x:v>1.2859</x:v>
      </x:c>
      <x:c r="N98" s="12" t="str">
        <x:v>全年；请仍核对币名与原始口径</x:v>
      </x:c>
    </x:row>
    <x:row r="99" ht="32" customHeight="1">
      <x:c r="A99" t="n">
        <x:v>2013</x:v>
      </x:c>
      <x:c r="B99" s="28" t="n">
        <x:f>IF(ISNUMBER('年度汇率'!B99),1/'年度汇率'!B99,"")</x:f>
        <x:v>1</x:v>
      </x:c>
      <x:c r="C99" s="28" t="n">
        <x:f>IF(ISNUMBER('年度汇率'!C99),1/'年度汇率'!C99,"")</x:f>
        <x:v>1.5642000000000003</x:v>
      </x:c>
      <x:c r="D99" s="28" t="n">
        <x:f>IF(ISNUMBER('年度汇率'!D99),1/'年度汇率'!D99,"")</x:f>
        <x:v>0.970873786407767</x:v>
      </x:c>
      <x:c r="E99" s="28" t="n">
        <x:f>IF(ISNUMBER('年度汇率'!E99),1/'年度汇率'!E99,"")</x:f>
        <x:v>1.3281</x:v>
      </x:c>
      <x:c r="F99" s="28" t="n">
        <x:f>IF(ISNUMBER('年度汇率'!F99),1/'年度汇率'!F99,"")</x:f>
        <x:v>1.3281</x:v>
      </x:c>
      <x:c r="G99" s="28" t="n">
        <x:f>IF(ISNUMBER('年度汇率'!G99),1/'年度汇率'!G99,"")</x:f>
        <x:v>1.3281</x:v>
      </x:c>
      <x:c r="H99" s="28" t="n">
        <x:f>IF(ISNUMBER('年度汇率'!H99),1/'年度汇率'!H99,"")</x:f>
        <x:v>0.01024620608604149</x:v>
      </x:c>
      <x:c r="I99" s="28" t="n">
        <x:f>IF(ISNUMBER('年度汇率'!I99),1/'年度汇率'!I99,"")</x:f>
        <x:v>1.0788650339842487</x:v>
      </x:c>
      <x:c r="J99" s="28" t="n">
        <x:f>IF(ISNUMBER('年度汇率'!J99),1/'年度汇率'!J99,"")</x:f>
        <x:v>0.01708966434190266</x:v>
      </x:c>
      <x:c r="K99" s="28" t="n">
        <x:f>IF(ISNUMBER('年度汇率'!K99),1/'年度汇率'!K99,"")</x:f>
        <x:v>0.03138832506022986</x:v>
      </x:c>
      <x:c r="L99" s="28" t="n">
        <x:f>IF(ISNUMBER('年度汇率'!L99),1/'年度汇率'!L99,"")</x:f>
        <x:v>0.16265981326653436</x:v>
      </x:c>
      <x:c r="M99" s="28" t="n">
        <x:f>IF(ISNUMBER('年度汇率'!M99),1/'年度汇率'!M99,"")</x:f>
        <x:v>1.3281</x:v>
      </x:c>
      <x:c r="N99" s="12" t="str">
        <x:v>全年；请仍核对币名与原始口径</x:v>
      </x:c>
    </x:row>
    <x:row r="100" ht="32" customHeight="1">
      <x:c r="A100" t="n">
        <x:v>2014</x:v>
      </x:c>
      <x:c r="B100" s="28" t="n">
        <x:f>IF(ISNUMBER('年度汇率'!B100),1/'年度汇率'!B100,"")</x:f>
        <x:v>1</x:v>
      </x:c>
      <x:c r="C100" s="28" t="n">
        <x:f>IF(ISNUMBER('年度汇率'!C100),1/'年度汇率'!C100,"")</x:f>
        <x:v>1.6483999999999999</x:v>
      </x:c>
      <x:c r="D100" s="28" t="n">
        <x:f>IF(ISNUMBER('年度汇率'!D100),1/'年度汇率'!D100,"")</x:f>
        <x:v>0.9055510278004165</x:v>
      </x:c>
      <x:c r="E100" s="28" t="n">
        <x:f>IF(ISNUMBER('年度汇率'!E100),1/'年度汇率'!E100,"")</x:f>
        <x:v>1.3297</x:v>
      </x:c>
      <x:c r="F100" s="28" t="n">
        <x:f>IF(ISNUMBER('年度汇率'!F100),1/'年度汇率'!F100,"")</x:f>
        <x:v>1.3297</x:v>
      </x:c>
      <x:c r="G100" s="28" t="n">
        <x:f>IF(ISNUMBER('年度汇率'!G100),1/'年度汇率'!G100,"")</x:f>
        <x:v>1.3297</x:v>
      </x:c>
      <x:c r="H100" s="28" t="n">
        <x:f>IF(ISNUMBER('年度汇率'!H100),1/'年度汇率'!H100,"")</x:f>
        <x:v>0.009457176957020913</x:v>
      </x:c>
      <x:c r="I100" s="28" t="n">
        <x:f>IF(ISNUMBER('年度汇率'!I100),1/'年度汇率'!I100,"")</x:f>
        <x:v>1.0932546190007653</x:v>
      </x:c>
      <x:c r="J100" s="28" t="n">
        <x:f>IF(ISNUMBER('年度汇率'!J100),1/'年度汇率'!J100,"")</x:f>
        <x:v>0.01639470582159609</x:v>
      </x:c>
      <x:c r="K100" s="28" t="n">
        <x:f>IF(ISNUMBER('年度汇率'!K100),1/'年度汇率'!K100,"")</x:f>
        <x:v>0.02591066231094112</x:v>
      </x:c>
      <x:c r="L100" s="28" t="n">
        <x:f>IF(ISNUMBER('年度汇率'!L100),1/'年度汇率'!L100,"")</x:f>
        <x:v>0.16228497241155468</x:v>
      </x:c>
      <x:c r="M100" s="28" t="n">
        <x:f>IF(ISNUMBER('年度汇率'!M100),1/'年度汇率'!M100,"")</x:f>
        <x:v>1.3297</x:v>
      </x:c>
      <x:c r="N100" s="12" t="str">
        <x:v>全年；请仍核对币名与原始口径</x:v>
      </x:c>
    </x:row>
    <x:row r="101" ht="32" customHeight="1">
      <x:c r="A101" t="n">
        <x:v>2015</x:v>
      </x:c>
      <x:c r="B101" s="28" t="n">
        <x:f>IF(ISNUMBER('年度汇率'!B101),1/'年度汇率'!B101,"")</x:f>
        <x:v>1</x:v>
      </x:c>
      <x:c r="C101" s="28" t="n">
        <x:f>IF(ISNUMBER('年度汇率'!C101),1/'年度汇率'!C101,"")</x:f>
        <x:v>1.5284</x:v>
      </x:c>
      <x:c r="D101" s="28" t="n">
        <x:f>IF(ISNUMBER('年度汇率'!D101),1/'年度汇率'!D101,"")</x:f>
        <x:v>0.781799702916113</x:v>
      </x:c>
      <x:c r="E101" s="28" t="n">
        <x:f>IF(ISNUMBER('年度汇率'!E101),1/'年度汇率'!E101,"")</x:f>
        <x:v>1.1096</x:v>
      </x:c>
      <x:c r="F101" s="28" t="n">
        <x:f>IF(ISNUMBER('年度汇率'!F101),1/'年度汇率'!F101,"")</x:f>
        <x:v>1.1096</x:v>
      </x:c>
      <x:c r="G101" s="28" t="n">
        <x:f>IF(ISNUMBER('年度汇率'!G101),1/'年度汇率'!G101,"")</x:f>
        <x:v>1.1096</x:v>
      </x:c>
      <x:c r="H101" s="28" t="n">
        <x:f>IF(ISNUMBER('年度汇率'!H101),1/'年度汇率'!H101,"")</x:f>
        <x:v>0.008261110574138924</x:v>
      </x:c>
      <x:c r="I101" s="28" t="n">
        <x:f>IF(ISNUMBER('年度汇率'!I101),1/'年度汇率'!I101,"")</x:f>
        <x:v>1.038637307852098</x:v>
      </x:c>
      <x:c r="J101" s="28" t="n">
        <x:f>IF(ISNUMBER('年度汇率'!J101),1/'年度汇率'!J101,"")</x:f>
        <x:v>0.015598847557142479</x:v>
      </x:c>
      <x:c r="K101" s="28" t="n">
        <x:f>IF(ISNUMBER('年度汇率'!K101),1/'年度汇率'!K101,"")</x:f>
        <x:v>0.01632319963571482</x:v>
      </x:c>
      <x:c r="L101" s="28" t="n">
        <x:f>IF(ISNUMBER('年度汇率'!L101),1/'年度汇率'!L101,"")</x:f>
        <x:v>0.15916723701593263</x:v>
      </x:c>
      <x:c r="M101" s="28" t="n">
        <x:f>IF(ISNUMBER('年度汇率'!M101),1/'年度汇率'!M101,"")</x:f>
        <x:v>1.1096</x:v>
      </x:c>
      <x:c r="N101" s="12" t="str">
        <x:v>全年；请仍核对币名与原始口径</x:v>
      </x:c>
    </x:row>
    <x:row r="102" ht="32" customHeight="1">
      <x:c r="A102" t="n">
        <x:v>2016</x:v>
      </x:c>
      <x:c r="B102" s="28" t="n">
        <x:f>IF(ISNUMBER('年度汇率'!B102),1/'年度汇率'!B102,"")</x:f>
        <x:v>1</x:v>
      </x:c>
      <x:c r="C102" s="28" t="n">
        <x:f>IF(ISNUMBER('年度汇率'!C102),1/'年度汇率'!C102,"")</x:f>
        <x:v>1.3555</x:v>
      </x:c>
      <x:c r="D102" s="28" t="n">
        <x:f>IF(ISNUMBER('年度汇率'!D102),1/'年度汇率'!D102,"")</x:f>
        <x:v>0.7551159102922298</x:v>
      </x:c>
      <x:c r="E102" s="28" t="n">
        <x:f>IF(ISNUMBER('年度汇率'!E102),1/'年度汇率'!E102,"")</x:f>
        <x:v>1.1072</x:v>
      </x:c>
      <x:c r="F102" s="28" t="n">
        <x:f>IF(ISNUMBER('年度汇率'!F102),1/'年度汇率'!F102,"")</x:f>
        <x:v>1.1072</x:v>
      </x:c>
      <x:c r="G102" s="28" t="n">
        <x:f>IF(ISNUMBER('年度汇率'!G102),1/'年度汇率'!G102,"")</x:f>
        <x:v>1.1072</x:v>
      </x:c>
      <x:c r="H102" s="28" t="n">
        <x:f>IF(ISNUMBER('年度汇率'!H102),1/'年度汇率'!H102,"")</x:f>
        <x:v>0.009203281153796952</x:v>
      </x:c>
      <x:c r="I102" s="28" t="n">
        <x:f>IF(ISNUMBER('年度汇率'!I102),1/'年度汇率'!I102,"")</x:f>
        <x:v>1.0154346060113728</x:v>
      </x:c>
      <x:c r="J102" s="28" t="n">
        <x:f>IF(ISNUMBER('年度汇率'!J102),1/'年度汇率'!J102,"")</x:f>
        <x:v>0.01489043617065631</x:v>
      </x:c>
      <x:c r="K102" s="28" t="n">
        <x:f>IF(ISNUMBER('年度汇率'!K102),1/'年度汇率'!K102,"")</x:f>
        <x:v>0.014914300420062454</x:v>
      </x:c>
      <x:c r="L102" s="28" t="n">
        <x:f>IF(ISNUMBER('年度汇率'!L102),1/'年度汇率'!L102,"")</x:f>
        <x:v>0.15060240963855423</x:v>
      </x:c>
      <x:c r="M102" s="28" t="n">
        <x:f>IF(ISNUMBER('年度汇率'!M102),1/'年度汇率'!M102,"")</x:f>
        <x:v>1.1072</x:v>
      </x:c>
      <x:c r="N102" s="12" t="str">
        <x:v>全年；请仍核对币名与原始口径</x:v>
      </x:c>
    </x:row>
    <x:row r="103" ht="32" customHeight="1">
      <x:c r="A103" t="n">
        <x:v>2017</x:v>
      </x:c>
      <x:c r="B103" s="28" t="n">
        <x:f>IF(ISNUMBER('年度汇率'!B103),1/'年度汇率'!B103,"")</x:f>
        <x:v>1</x:v>
      </x:c>
      <x:c r="C103" s="28" t="n">
        <x:f>IF(ISNUMBER('年度汇率'!C103),1/'年度汇率'!C103,"")</x:f>
        <x:v>1.289</x:v>
      </x:c>
      <x:c r="D103" s="28" t="n">
        <x:f>IF(ISNUMBER('年度汇率'!D103),1/'年度汇率'!D103,"")</x:f>
        <x:v>0.7701786814540974</x:v>
      </x:c>
      <x:c r="E103" s="28" t="n">
        <x:f>IF(ISNUMBER('年度汇率'!E103),1/'年度汇率'!E103,"")</x:f>
        <x:v>1.1301</x:v>
      </x:c>
      <x:c r="F103" s="28" t="n">
        <x:f>IF(ISNUMBER('年度汇率'!F103),1/'年度汇率'!F103,"")</x:f>
        <x:v>1.1301</x:v>
      </x:c>
      <x:c r="G103" s="28" t="n">
        <x:f>IF(ISNUMBER('年度汇率'!G103),1/'年度汇率'!G103,"")</x:f>
        <x:v>1.1301</x:v>
      </x:c>
      <x:c r="H103" s="28" t="n">
        <x:f>IF(ISNUMBER('年度汇率'!H103),1/'年度汇率'!H103,"")</x:f>
        <x:v>0.008920718010751248</x:v>
      </x:c>
      <x:c r="I103" s="28" t="n">
        <x:f>IF(ISNUMBER('年度汇率'!I103),1/'年度汇率'!I103,"")</x:f>
        <x:v>1.016053647632595</x:v>
      </x:c>
      <x:c r="J103" s="28" t="n">
        <x:f>IF(ISNUMBER('年度汇率'!J103),1/'年度汇率'!J103,"")</x:f>
        <x:v>0.015369033549063334</x:v>
      </x:c>
      <x:c r="K103" s="28" t="n">
        <x:f>IF(ISNUMBER('年度汇率'!K103),1/'年度汇率'!K103,"")</x:f>
        <x:v>0.017145173482188768</x:v>
      </x:c>
      <x:c r="L103" s="28" t="n">
        <x:f>IF(ISNUMBER('年度汇率'!L103),1/'年度汇率'!L103,"")</x:f>
        <x:v>0.14799686246651572</x:v>
      </x:c>
      <x:c r="M103" s="28" t="n">
        <x:f>IF(ISNUMBER('年度汇率'!M103),1/'年度汇率'!M103,"")</x:f>
        <x:v>1.1301</x:v>
      </x:c>
      <x:c r="N103" s="12" t="str">
        <x:v>全年；请仍核对币名与原始口径</x:v>
      </x:c>
    </x:row>
    <x:row r="104" ht="32" customHeight="1">
      <x:c r="A104" t="n">
        <x:v>2018</x:v>
      </x:c>
      <x:c r="B104" s="28" t="n">
        <x:f>IF(ISNUMBER('年度汇率'!B104),1/'年度汇率'!B104,"")</x:f>
        <x:v>1</x:v>
      </x:c>
      <x:c r="C104" s="28" t="n">
        <x:f>IF(ISNUMBER('年度汇率'!C104),1/'年度汇率'!C104,"")</x:f>
        <x:v>1.3363</x:v>
      </x:c>
      <x:c r="D104" s="28" t="n">
        <x:f>IF(ISNUMBER('年度汇率'!D104),1/'年度汇率'!D104,"")</x:f>
        <x:v>0.7717835918808366</x:v>
      </x:c>
      <x:c r="E104" s="28" t="n">
        <x:f>IF(ISNUMBER('年度汇率'!E104),1/'年度汇率'!E104,"")</x:f>
        <x:v>1.1817</x:v>
      </x:c>
      <x:c r="F104" s="28" t="n">
        <x:f>IF(ISNUMBER('年度汇率'!F104),1/'年度汇率'!F104,"")</x:f>
        <x:v>1.1817</x:v>
      </x:c>
      <x:c r="G104" s="28" t="n">
        <x:f>IF(ISNUMBER('年度汇率'!G104),1/'年度汇率'!G104,"")</x:f>
        <x:v>1.1817</x:v>
      </x:c>
      <x:c r="H104" s="28" t="n">
        <x:f>IF(ISNUMBER('年度汇率'!H104),1/'年度汇率'!H104,"")</x:f>
        <x:v>0.009058184341297893</x:v>
      </x:c>
      <x:c r="I104" s="28" t="n">
        <x:f>IF(ISNUMBER('年度汇率'!I104),1/'年度汇率'!I104,"")</x:f>
        <x:v>1.0220768601798855</x:v>
      </x:c>
      <x:c r="J104" s="28" t="n">
        <x:f>IF(ISNUMBER('年度汇率'!J104),1/'年度汇率'!J104,"")</x:f>
        <x:v>0.014625570762899021</x:v>
      </x:c>
      <x:c r="K104" s="28" t="n">
        <x:f>IF(ISNUMBER('年度汇率'!K104),1/'年度汇率'!K104,"")</x:f>
        <x:v>0.01592220579323492</x:v>
      </x:c>
      <x:c r="L104" s="28" t="n">
        <x:f>IF(ISNUMBER('年度汇率'!L104),1/'年度汇率'!L104,"")</x:f>
        <x:v>0.15130882130428203</x:v>
      </x:c>
      <x:c r="M104" s="28" t="n">
        <x:f>IF(ISNUMBER('年度汇率'!M104),1/'年度汇率'!M104,"")</x:f>
        <x:v>1.1817</x:v>
      </x:c>
      <x:c r="N104" s="12" t="str">
        <x:v>全年；请仍核对币名与原始口径</x:v>
      </x:c>
    </x:row>
    <x:row r="105" ht="32" customHeight="1">
      <x:c r="A105" t="n">
        <x:v>2019</x:v>
      </x:c>
      <x:c r="B105" s="28" t="n">
        <x:f>IF(ISNUMBER('年度汇率'!B105),1/'年度汇率'!B105,"")</x:f>
        <x:v>1</x:v>
      </x:c>
      <x:c r="C105" s="28" t="n">
        <x:f>IF(ISNUMBER('年度汇率'!C105),1/'年度汇率'!C105,"")</x:f>
        <x:v>1.2768</x:v>
      </x:c>
      <x:c r="D105" s="28" t="n">
        <x:f>IF(ISNUMBER('年度汇率'!D105),1/'年度汇率'!D105,"")</x:f>
        <x:v>0.7536362951239732</x:v>
      </x:c>
      <x:c r="E105" s="28" t="n">
        <x:f>IF(ISNUMBER('年度汇率'!E105),1/'年度汇率'!E105,"")</x:f>
        <x:v>1.1194</x:v>
      </x:c>
      <x:c r="F105" s="28" t="n">
        <x:f>IF(ISNUMBER('年度汇率'!F105),1/'年度汇率'!F105,"")</x:f>
        <x:v>1.1194</x:v>
      </x:c>
      <x:c r="G105" s="28" t="n">
        <x:f>IF(ISNUMBER('年度汇率'!G105),1/'年度汇率'!G105,"")</x:f>
        <x:v>1.1194</x:v>
      </x:c>
      <x:c r="H105" s="28" t="n">
        <x:f>IF(ISNUMBER('年度汇率'!H105),1/'年度汇率'!H105,"")</x:f>
        <x:v>0.009172729841091628</x:v>
      </x:c>
      <x:c r="I105" s="28" t="n">
        <x:f>IF(ISNUMBER('年度汇率'!I105),1/'年度汇率'!I105,"")</x:f>
        <x:v>1.0063399416322834</x:v>
      </x:c>
      <x:c r="J105" s="28" t="n">
        <x:f>IF(ISNUMBER('年度汇率'!J105),1/'年度汇率'!J105,"")</x:f>
        <x:v>0.014209046331437372</x:v>
      </x:c>
      <x:c r="K105" s="28" t="n">
        <x:f>IF(ISNUMBER('年度汇率'!K105),1/'年度汇率'!K105,"")</x:f>
        <x:v>0.015453340620427405</x:v>
      </x:c>
      <x:c r="L105" s="28" t="n">
        <x:f>IF(ISNUMBER('年度汇率'!L105),1/'年度汇率'!L105,"")</x:f>
        <x:v>0.14475760339311822</x:v>
      </x:c>
      <x:c r="M105" s="28" t="n">
        <x:f>IF(ISNUMBER('年度汇率'!M105),1/'年度汇率'!M105,"")</x:f>
        <x:v>1.1194</x:v>
      </x:c>
      <x:c r="N105" s="12" t="str">
        <x:v>全年；请仍核对币名与原始口径</x:v>
      </x:c>
    </x:row>
    <x:row r="106" ht="32" customHeight="1">
      <x:c r="A106" t="n">
        <x:v>2020</x:v>
      </x:c>
      <x:c r="B106" s="28" t="n">
        <x:f>IF(ISNUMBER('年度汇率'!B106),1/'年度汇率'!B106,"")</x:f>
        <x:v>1</x:v>
      </x:c>
      <x:c r="C106" s="28" t="n">
        <x:f>IF(ISNUMBER('年度汇率'!C106),1/'年度汇率'!C106,"")</x:f>
        <x:v>1.2829</x:v>
      </x:c>
      <x:c r="D106" s="28" t="n">
        <x:f>IF(ISNUMBER('年度汇率'!D106),1/'年度汇率'!D106,"")</x:f>
        <x:v>0.7450454477723141</x:v>
      </x:c>
      <x:c r="E106" s="28" t="n">
        <x:f>IF(ISNUMBER('年度汇率'!E106),1/'年度汇率'!E106,"")</x:f>
        <x:v>1.141</x:v>
      </x:c>
      <x:c r="F106" s="28" t="n">
        <x:f>IF(ISNUMBER('年度汇率'!F106),1/'年度汇率'!F106,"")</x:f>
        <x:v>1.141</x:v>
      </x:c>
      <x:c r="G106" s="28" t="n">
        <x:f>IF(ISNUMBER('年度汇率'!G106),1/'年度汇率'!G106,"")</x:f>
        <x:v>1.141</x:v>
      </x:c>
      <x:c r="H106" s="28" t="n">
        <x:f>IF(ISNUMBER('年度汇率'!H106),1/'年度汇率'!H106,"")</x:f>
        <x:v>0.009365453091255102</x:v>
      </x:c>
      <x:c r="I106" s="28" t="n">
        <x:f>IF(ISNUMBER('年度汇率'!I106),1/'年度汇率'!I106,"")</x:f>
        <x:v>1.0650761529449355</x:v>
      </x:c>
      <x:c r="J106" s="28" t="n">
        <x:f>IF(ISNUMBER('年度汇率'!J106),1/'年度汇率'!J106,"")</x:f>
        <x:v>0.013487468118997235</x:v>
      </x:c>
      <x:c r="K106" s="28" t="n">
        <x:f>IF(ISNUMBER('年度汇率'!K106),1/'年度汇率'!K106,"")</x:f>
        <x:v>0.013826611770633697</x:v>
      </x:c>
      <x:c r="L106" s="28" t="n">
        <x:f>IF(ISNUMBER('年度汇率'!L106),1/'年度汇率'!L106,"")</x:f>
        <x:v>0.14483937313519307</x:v>
      </x:c>
      <x:c r="M106" s="28" t="n">
        <x:f>IF(ISNUMBER('年度汇率'!M106),1/'年度汇率'!M106,"")</x:f>
        <x:v>1.141</x:v>
      </x:c>
      <x:c r="N106" s="12" t="str">
        <x:v>全年；请仍核对币名与原始口径</x:v>
      </x:c>
    </x:row>
    <x:row r="107" ht="32" customHeight="1">
      <x:c r="A107" t="n">
        <x:v>2021</x:v>
      </x:c>
      <x:c r="B107" s="28" t="n">
        <x:f>IF(ISNUMBER('年度汇率'!B107),1/'年度汇率'!B107,"")</x:f>
        <x:v>1</x:v>
      </x:c>
      <x:c r="C107" s="28" t="n">
        <x:f>IF(ISNUMBER('年度汇率'!C107),1/'年度汇率'!C107,"")</x:f>
        <x:v>1.3764</x:v>
      </x:c>
      <x:c r="D107" s="28" t="n">
        <x:f>IF(ISNUMBER('年度汇率'!D107),1/'年度汇率'!D107,"")</x:f>
        <x:v>0.7978935609989627</x:v>
      </x:c>
      <x:c r="E107" s="28" t="n">
        <x:f>IF(ISNUMBER('年度汇率'!E107),1/'年度汇率'!E107,"")</x:f>
        <x:v>1.183</x:v>
      </x:c>
      <x:c r="F107" s="28" t="n">
        <x:f>IF(ISNUMBER('年度汇率'!F107),1/'年度汇率'!F107,"")</x:f>
        <x:v>1.183</x:v>
      </x:c>
      <x:c r="G107" s="28" t="n">
        <x:f>IF(ISNUMBER('年度汇率'!G107),1/'年度汇率'!G107,"")</x:f>
        <x:v>1.183</x:v>
      </x:c>
      <x:c r="H107" s="28" t="n">
        <x:f>IF(ISNUMBER('年度汇率'!H107),1/'年度汇率'!H107,"")</x:f>
        <x:v>0.0091039111312611</x:v>
      </x:c>
      <x:c r="I107" s="28" t="n">
        <x:f>IF(ISNUMBER('年度汇率'!I107),1/'年度汇率'!I107,"")</x:f>
        <x:v>1.0936132983377078</x:v>
      </x:c>
      <x:c r="J107" s="28" t="n">
        <x:f>IF(ISNUMBER('年度汇率'!J107),1/'年度汇率'!J107,"")</x:f>
        <x:v>0.01352537563349478</x:v>
      </x:c>
      <x:c r="K107" s="28" t="n">
        <x:f>IF(ISNUMBER('年度汇率'!K107),1/'年度汇率'!K107,"")</x:f>
        <x:v>0.013567482192523257</x:v>
      </x:c>
      <x:c r="L107" s="28" t="n">
        <x:f>IF(ISNUMBER('年度汇率'!L107),1/'年度汇率'!L107,"")</x:f>
        <x:v>0.1550195324610901</x:v>
      </x:c>
      <x:c r="M107" s="28" t="n">
        <x:f>IF(ISNUMBER('年度汇率'!M107),1/'年度汇率'!M107,"")</x:f>
        <x:v>1.183</x:v>
      </x:c>
      <x:c r="N107" s="12" t="str">
        <x:v>全年；请仍核对币名与原始口径</x:v>
      </x:c>
    </x:row>
    <x:row r="108" ht="32" customHeight="1">
      <x:c r="A108" t="n">
        <x:v>2022</x:v>
      </x:c>
      <x:c r="B108" s="28" t="n">
        <x:f>IF(ISNUMBER('年度汇率'!B108),1/'年度汇率'!B108,"")</x:f>
        <x:v>1</x:v>
      </x:c>
      <x:c r="C108" s="28" t="n">
        <x:f>IF(ISNUMBER('年度汇率'!C108),1/'年度汇率'!C108,"")</x:f>
        <x:v>1.2371</x:v>
      </x:c>
      <x:c r="D108" s="28" t="n">
        <x:f>IF(ISNUMBER('年度汇率'!D108),1/'年度汇率'!D108,"")</x:f>
        <x:v>0.7684032580298141</x:v>
      </x:c>
      <x:c r="E108" s="28" t="n">
        <x:f>IF(ISNUMBER('年度汇率'!E108),1/'年度汇率'!E108,"")</x:f>
        <x:v>1.0534</x:v>
      </x:c>
      <x:c r="F108" s="28" t="n">
        <x:f>IF(ISNUMBER('年度汇率'!F108),1/'年度汇率'!F108,"")</x:f>
        <x:v>1.0534</x:v>
      </x:c>
      <x:c r="G108" s="28" t="n">
        <x:f>IF(ISNUMBER('年度汇率'!G108),1/'年度汇率'!G108,"")</x:f>
        <x:v>1.0534</x:v>
      </x:c>
      <x:c r="H108" s="28" t="n">
        <x:f>IF(ISNUMBER('年度汇率'!H108),1/'年度汇率'!H108,"")</x:f>
        <x:v>0.007606940268022933</x:v>
      </x:c>
      <x:c r="I108" s="28" t="n">
        <x:f>IF(ISNUMBER('年度汇率'!I108),1/'年度汇率'!I108,"")</x:f>
        <x:v>1.0471204188481675</x:v>
      </x:c>
      <x:c r="J108" s="28" t="n">
        <x:f>IF(ISNUMBER('年度汇率'!J108),1/'年度汇率'!J108,"")</x:f>
        <x:v>0.012726014008796221</x:v>
      </x:c>
      <x:c r="K108" s="28" t="n">
        <x:f>IF(ISNUMBER('年度汇率'!K108),1/'年度汇率'!K108,"")</x:f>
        <x:v>0.014302695643789935</x:v>
      </x:c>
      <x:c r="L108" s="28" t="n">
        <x:f>IF(ISNUMBER('年度汇率'!L108),1/'年度汇率'!L108,"")</x:f>
        <x:v>0.1486104919007282</x:v>
      </x:c>
      <x:c r="M108" s="28" t="n">
        <x:f>IF(ISNUMBER('年度汇率'!M108),1/'年度汇率'!M108,"")</x:f>
        <x:v>1.0534</x:v>
      </x:c>
      <x:c r="N108" s="12" t="str">
        <x:v>全年；请仍核对币名与原始口径</x:v>
      </x:c>
    </x:row>
    <x:row r="109" ht="32" customHeight="1">
      <x:c r="A109" t="n">
        <x:v>2023</x:v>
      </x:c>
      <x:c r="B109" s="28" t="n">
        <x:f>IF(ISNUMBER('年度汇率'!B109),1/'年度汇率'!B109,"")</x:f>
        <x:v>1</x:v>
      </x:c>
      <x:c r="C109" s="28" t="n">
        <x:f>IF(ISNUMBER('年度汇率'!C109),1/'年度汇率'!C109,"")</x:f>
        <x:v>1.244</x:v>
      </x:c>
      <x:c r="D109" s="28" t="n">
        <x:f>IF(ISNUMBER('年度汇率'!D109),1/'年度汇率'!D109,"")</x:f>
        <x:v>0.7410701052319549</x:v>
      </x:c>
      <x:c r="E109" s="28" t="n">
        <x:f>IF(ISNUMBER('年度汇率'!E109),1/'年度汇率'!E109,"")</x:f>
        <x:v>1.0817</x:v>
      </x:c>
      <x:c r="F109" s="28" t="n">
        <x:f>IF(ISNUMBER('年度汇率'!F109),1/'年度汇率'!F109,"")</x:f>
        <x:v>1.0817</x:v>
      </x:c>
      <x:c r="G109" s="28" t="n">
        <x:f>IF(ISNUMBER('年度汇率'!G109),1/'年度汇率'!G109,"")</x:f>
        <x:v>1.0817</x:v>
      </x:c>
      <x:c r="H109" s="28" t="n">
        <x:f>IF(ISNUMBER('年度汇率'!H109),1/'年度汇率'!H109,"")</x:f>
        <x:v>0.007117432656631561</x:v>
      </x:c>
      <x:c r="I109" s="28" t="n">
        <x:f>IF(ISNUMBER('年度汇率'!I109),1/'年度汇率'!I109,"")</x:f>
        <x:v>1.1130899376669636</x:v>
      </x:c>
      <x:c r="J109" s="28" t="n">
        <x:f>IF(ISNUMBER('年度汇率'!J109),1/'年度汇率'!J109,"")</x:f>
        <x:v>0.012110818836683185</x:v>
      </x:c>
      <x:c r="K109" s="28" t="n">
        <x:f>IF(ISNUMBER('年度汇率'!K109),1/'年度汇率'!K109,"")</x:f>
        <x:v>0.011691034258811914</x:v>
      </x:c>
      <x:c r="L109" s="28" t="n">
        <x:f>IF(ISNUMBER('年度汇率'!L109),1/'年度汇率'!L109,"")</x:f>
        <x:v>0.141224985524439</x:v>
      </x:c>
      <x:c r="M109" s="28" t="n">
        <x:f>IF(ISNUMBER('年度汇率'!M109),1/'年度汇率'!M109,"")</x:f>
        <x:v>1.0817</x:v>
      </x:c>
      <x:c r="N109" s="12" t="str">
        <x:v>全年；请仍核对币名与原始口径</x:v>
      </x:c>
    </x:row>
    <x:row r="110" ht="32" customHeight="1">
      <x:c r="A110" t="n">
        <x:v>2024</x:v>
      </x:c>
      <x:c r="B110" s="28" t="n">
        <x:f>IF(ISNUMBER('年度汇率'!B110),1/'年度汇率'!B110,"")</x:f>
        <x:v>1</x:v>
      </x:c>
      <x:c r="C110" s="28" t="n">
        <x:f>IF(ISNUMBER('年度汇率'!C110),1/'年度汇率'!C110,"")</x:f>
        <x:v>1.2781</x:v>
      </x:c>
      <x:c r="D110" s="28" t="n">
        <x:f>IF(ISNUMBER('年度汇率'!D110),1/'年度汇率'!D110,"")</x:f>
        <x:v>0.7299802905321557</x:v>
      </x:c>
      <x:c r="E110" s="28" t="n">
        <x:f>IF(ISNUMBER('年度汇率'!E110),1/'年度汇率'!E110,"")</x:f>
        <x:v>1.082</x:v>
      </x:c>
      <x:c r="F110" s="28" t="n">
        <x:f>IF(ISNUMBER('年度汇率'!F110),1/'年度汇率'!F110,"")</x:f>
        <x:v>1.082</x:v>
      </x:c>
      <x:c r="G110" s="28" t="n">
        <x:f>IF(ISNUMBER('年度汇率'!G110),1/'年度汇率'!G110,"")</x:f>
        <x:v>1.082</x:v>
      </x:c>
      <x:c r="H110" s="28" t="n">
        <x:f>IF(ISNUMBER('年度汇率'!H110),1/'年度汇率'!H110,"")</x:f>
        <x:v>0.006602616881174686</x:v>
      </x:c>
      <x:c r="I110" s="28" t="n">
        <x:f>IF(ISNUMBER('年度汇率'!I110),1/'年度汇率'!I110,"")</x:f>
        <x:v>1.1353315168029063</x:v>
      </x:c>
      <x:c r="J110" s="28" t="n">
        <x:f>IF(ISNUMBER('年度汇率'!J110),1/'年度汇率'!J110,"")</x:f>
        <x:v>0.01195362948051917</x:v>
      </x:c>
      <x:c r="K110" s="28" t="n">
        <x:f>IF(ISNUMBER('年度汇率'!K110),1/'年度汇率'!K110,"")</x:f>
        <x:v>0.010766144469288228</x:v>
      </x:c>
      <x:c r="L110" s="28" t="n">
        <x:f>IF(ISNUMBER('年度汇率'!L110),1/'年度汇率'!L110,"")</x:f>
        <x:v>0.13897188598746474</x:v>
      </x:c>
      <x:c r="M110" s="28" t="n">
        <x:f>IF(ISNUMBER('年度汇率'!M110),1/'年度汇率'!M110,"")</x:f>
        <x:v>1.082</x:v>
      </x:c>
      <x:c r="N110" s="12" t="str">
        <x:v>全年；请仍核对币名与原始口径</x:v>
      </x:c>
    </x:row>
    <x:row r="111" ht="32" customHeight="1">
      <x:c r="A111" t="n">
        <x:v>2025</x:v>
      </x:c>
      <x:c r="B111" s="28" t="n">
        <x:f>IF(ISNUMBER('年度汇率'!B111),1/'年度汇率'!B111,"")</x:f>
        <x:v>1</x:v>
      </x:c>
      <x:c r="C111" s="28" t="n">
        <x:f>IF(ISNUMBER('年度汇率'!C111),1/'年度汇率'!C111,"")</x:f>
        <x:v>1.3192</x:v>
      </x:c>
      <x:c r="D111" s="28" t="n">
        <x:f>IF(ISNUMBER('年度汇率'!D111),1/'年度汇率'!D111,"")</x:f>
        <x:v>0.7156659271452086</x:v>
      </x:c>
      <x:c r="E111" s="28" t="n">
        <x:f>IF(ISNUMBER('年度汇率'!E111),1/'年度汇率'!E111,"")</x:f>
        <x:v>1.1306</x:v>
      </x:c>
      <x:c r="F111" s="28" t="n">
        <x:f>IF(ISNUMBER('年度汇率'!F111),1/'年度汇率'!F111,"")</x:f>
        <x:v>1.1306</x:v>
      </x:c>
      <x:c r="G111" s="28" t="n">
        <x:f>IF(ISNUMBER('年度汇率'!G111),1/'年度汇率'!G111,"")</x:f>
        <x:v>1.1306</x:v>
      </x:c>
      <x:c r="H111" s="28" t="n">
        <x:f>IF(ISNUMBER('年度汇率'!H111),1/'年度汇率'!H111,"")</x:f>
        <x:v>0.006685895301553935</x:v>
      </x:c>
      <x:c r="I111" s="28" t="n">
        <x:f>IF(ISNUMBER('年度汇率'!I111),1/'年度汇率'!I111,"")</x:f>
        <x:v>1.2040939193257074</x:v>
      </x:c>
      <x:c r="J111" s="28" t="n">
        <x:f>IF(ISNUMBER('年度汇率'!J111),1/'年度汇率'!J111,"")</x:f>
        <x:v>0.01147489064429216</x:v>
      </x:c>
      <x:c r="K111" s="28" t="n">
        <x:f>IF(ISNUMBER('年度汇率'!K111),1/'年度汇率'!K111,"")</x:f>
        <x:v>0.01193563948602024</x:v>
      </x:c>
      <x:c r="L111" s="28" t="n">
        <x:f>IF(ISNUMBER('年度汇率'!L111),1/'年度汇率'!L111,"")</x:f>
        <x:v>0.1391304347826087</x:v>
      </x:c>
      <x:c r="M111" s="28" t="n">
        <x:f>IF(ISNUMBER('年度汇率'!M111),1/'年度汇率'!M111,"")</x:f>
        <x:v>1.1306</x:v>
      </x:c>
      <x:c r="N111" s="12" t="str">
        <x:v>全年；请仍核对币名与原始口径</x:v>
      </x:c>
    </x:row>
    <x:row r="112" ht="32" customHeight="1">
      <x:c r="A112" t="n">
        <x:v>2026</x:v>
      </x:c>
      <x:c r="B112" s="28" t="n">
        <x:f>IF(ISNUMBER('年度汇率'!B112),1/'年度汇率'!B112,"")</x:f>
        <x:v>1</x:v>
      </x:c>
      <x:c r="C112" s="28" t="n">
        <x:f>IF(ISNUMBER('年度汇率'!C112),1/'年度汇率'!C112,"")</x:f>
        <x:v>1.345925</x:v>
      </x:c>
      <x:c r="D112" s="28" t="n">
        <x:f>IF(ISNUMBER('年度汇率'!D112),1/'年度汇率'!D112,"")</x:f>
        <x:v>0.7229939178136663</x:v>
      </x:c>
      <x:c r="E112" s="28" t="n">
        <x:f>IF(ISNUMBER('年度汇率'!E112),1/'年度汇率'!E112,"")</x:f>
        <x:v>1.16295</x:v>
      </x:c>
      <x:c r="F112" s="28" t="n">
        <x:f>IF(ISNUMBER('年度汇率'!F112),1/'年度汇率'!F112,"")</x:f>
        <x:v>1.16295</x:v>
      </x:c>
      <x:c r="G112" s="28" t="n">
        <x:f>IF(ISNUMBER('年度汇率'!G112),1/'年度汇率'!G112,"")</x:f>
        <x:v>1.16295</x:v>
      </x:c>
      <x:c r="H112" s="28" t="n">
        <x:f>IF(ISNUMBER('年度汇率'!H112),1/'年度汇率'!H112,"")</x:f>
        <x:v>0.006300938162435351</x:v>
      </x:c>
      <x:c r="I112" s="28" t="n">
        <x:f>IF(ISNUMBER('年度汇率'!I112),1/'年度汇率'!I112,"")</x:f>
        <x:v>1.262267663858121</x:v>
      </x:c>
      <x:c r="J112" s="28" t="n">
        <x:f>IF(ISNUMBER('年度汇率'!J112),1/'年度汇率'!J112,"")</x:f>
        <x:v>0.010670335839484003</x:v>
      </x:c>
      <x:c r="K112" s="28" t="n">
        <x:f>IF(ISNUMBER('年度汇率'!K112),1/'年度汇率'!K112,"")</x:f>
        <x:v>0.012896884071490693</x:v>
      </x:c>
      <x:c r="L112" s="28" t="n">
        <x:f>IF(ISNUMBER('年度汇率'!L112),1/'年度汇率'!L112,"")</x:f>
        <x:v>0.1462736780516346</x:v>
      </x:c>
      <x:c r="M112" s="28" t="n">
        <x:f>IF(ISNUMBER('年度汇率'!M112),1/'年度汇率'!M112,"")</x:f>
        <x:v>1.16295</x:v>
      </x:c>
      <x:c r="N112" s="12" t="str">
        <x:v>仅1—8月</x:v>
      </x:c>
    </x:row>
  </x:sheetData>
  <x:mergeCells>
    <x:mergeCell ref="A1:M1"/>
    <x:mergeCell ref="A2:N3"/>
  </x:mergeCells>
  <x:pageMargins left="0.7" right="0.7" top="0.75" bottom="0.75" header="0.3" footer="0.3"/>
  <x:tableParts count="1">
    <x:tablePart xmlns:r="http://schemas.openxmlformats.org/officeDocument/2006/relationships" r:id="Rd896c4c268f444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6" hidden="0" customWidth="1"/>
    <x:col min="3" max="3" width="18" hidden="0" customWidth="1"/>
    <x:col min="4" max="4" width="31" hidden="0" customWidth="1"/>
    <x:col min="5" max="5" width="3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6" t="str">
        <x:v>交叉换算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 t="str">
        <x:v>选择年份</x:v>
      </x:c>
      <x:c r="B3" s="38" t="n">
        <x:v>1929</x:v>
      </x:c>
      <x:c r="C3" s="12"/>
      <x:c r="D3" s="12" t="str">
        <x:v>官价补充</x:v>
      </x:c>
      <x:c r="E3" s="38" t="str">
        <x:v>包含官价补充</x:v>
      </x:c>
      <x:c r="F3" s="38"/>
      <x:c r="G3" s="38"/>
      <x:c r="H3" s="38"/>
      <x:c r="I3" s="12"/>
      <x:c r="J3" s="12"/>
      <x:c r="K3" s="12"/>
      <x:c r="L3" s="12"/>
      <x:c r="M3" s="12"/>
    </x:row>
    <x:row r="5" ht="30" customHeight="1">
      <x:c r="A5" s="43" t="str">
        <x:v>读法：卖出左侧行中的1单位货币，得到上方列中的多少单位货币。结果＝报价币的美元基准值÷基础币的美元基准值；不是逐日交叉价的年均。橙色官价可通过上方开关排除；下方可查看所有输入的实际币名、日期和来源。</x:v>
      </x:c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</x:row>
    <x:row r="6" ht="30" customHeight="1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</x:row>
    <x:row r="8" ht="32" customHeight="1">
      <x:c r="A8" s="6" t="str">
        <x:v>行→列</x:v>
      </x:c>
      <x:c r="B8" s="6" t="str">
        <x:v>美元</x:v>
      </x:c>
      <x:c r="C8" s="6" t="str">
        <x:v>英镑</x:v>
      </x:c>
      <x:c r="D8" s="6" t="str">
        <x:v>加拿大元</x:v>
      </x:c>
      <x:c r="E8" s="6" t="str">
        <x:v>法郎→欧元</x:v>
      </x:c>
      <x:c r="F8" s="6" t="str">
        <x:v>马克→欧元</x:v>
      </x:c>
      <x:c r="G8" s="6" t="str">
        <x:v>里拉→欧元</x:v>
      </x:c>
      <x:c r="H8" s="6" t="str">
        <x:v>日元</x:v>
      </x:c>
      <x:c r="I8" s="6" t="str">
        <x:v>瑞士法郎</x:v>
      </x:c>
      <x:c r="J8" s="6" t="str">
        <x:v>印度卢比</x:v>
      </x:c>
      <x:c r="K8" s="6" t="str">
        <x:v>卢布</x:v>
      </x:c>
      <x:c r="L8" s="6" t="str">
        <x:v>中国币种</x:v>
      </x:c>
      <x:c r="M8" s="6" t="str">
        <x:v>欧元／德国代理</x:v>
      </x:c>
    </x:row>
    <x:row r="9" ht="65" customHeight="1">
      <x:c r="B9" s="47" t="str">
        <x:f>INDEX('实际币名'!$B$6:$M$112,MATCH($B$3,'实际币名'!$A$6:$A$112,0),1)</x:f>
        <x:v>美元（USD）</x:v>
      </x:c>
      <x:c r="C9" s="47" t="str">
        <x:f>INDEX('实际币名'!$B$6:$M$112,MATCH($B$3,'实际币名'!$A$6:$A$112,0),2)</x:f>
        <x:v>英镑（GBP）</x:v>
      </x:c>
      <x:c r="D9" s="47" t="str">
        <x:f>INDEX('实际币名'!$B$6:$M$112,MATCH($B$3,'实际币名'!$A$6:$A$112,0),3)</x:f>
        <x:v>加拿大元（CAD）</x:v>
      </x:c>
      <x:c r="E9" s="47" t="str">
        <x:f>INDEX('实际币名'!$B$6:$M$112,MATCH($B$3,'实际币名'!$A$6:$A$112,0),4)</x:f>
        <x:v>法国旧法郎</x:v>
      </x:c>
      <x:c r="F9" s="47" t="str">
        <x:f>INDEX('实际币名'!$B$6:$M$112,MATCH($B$3,'实际币名'!$A$6:$A$112,0),5)</x:f>
        <x:v>帝国马克（Reichsmark）</x:v>
      </x:c>
      <x:c r="G9" s="47" t="str">
        <x:f>INDEX('实际币名'!$B$6:$M$112,MATCH($B$3,'实际币名'!$A$6:$A$112,0),6)</x:f>
        <x:v>意大利里拉（ITL）</x:v>
      </x:c>
      <x:c r="H9" s="47" t="str">
        <x:f>INDEX('实际币名'!$B$6:$M$112,MATCH($B$3,'实际币名'!$A$6:$A$112,0),7)</x:f>
        <x:v>日元（JPY）</x:v>
      </x:c>
      <x:c r="I9" s="47" t="str">
        <x:f>INDEX('实际币名'!$B$6:$M$112,MATCH($B$3,'实际币名'!$A$6:$A$112,0),8)</x:f>
        <x:v>瑞士法郎（CHF）</x:v>
      </x:c>
      <x:c r="J9" s="47" t="str">
        <x:f>INDEX('实际币名'!$B$6:$M$112,MATCH($B$3,'实际币名'!$A$6:$A$112,0),9)</x:f>
        <x:v>英属印度卢比</x:v>
      </x:c>
      <x:c r="K9" s="47" t="str">
        <x:f>INDEX('实际币名'!$B$6:$M$112,MATCH($B$3,'实际币名'!$A$6:$A$112,0),10)</x:f>
        <x:v>苏联卢布（1924币制）</x:v>
      </x:c>
      <x:c r="L9" s="47" t="str">
        <x:f>INDEX('实际币名'!$B$6:$M$112,MATCH($B$3,'实际币名'!$A$6:$A$112,0),11)</x:f>
        <x:v>中国旧银元（元）</x:v>
      </x:c>
      <x:c r="M9" s="47" t="str">
        <x:f>INDEX('实际币名'!$B$6:$M$112,MATCH($B$3,'实际币名'!$A$6:$A$112,0),12)</x:f>
        <x:v>德国代理：帝国马克（Reichsmark）</x:v>
      </x:c>
    </x:row>
    <x:row r="10" ht="36" customHeight="1">
      <x:c r="A10" s="50" t="str">
        <x:v>美元</x:v>
      </x:c>
      <x:c r="B10" s="52" t="n">
        <x:f>1</x:f>
        <x:v>1</x:v>
      </x:c>
      <x:c r="C10" s="52" t="n">
        <x:f>IF(AND(ISNUMBER($C$26),ISNUMBER($C$27)),IF($C$26&gt;0,$C$27/$C$26,""),"")</x:f>
        <x:v>0.2059</x:v>
      </x:c>
      <x:c r="D10" s="52" t="n">
        <x:f>IF(AND(ISNUMBER($C$26),ISNUMBER($C$28)),IF($C$26&gt;0,$C$28/$C$26,""),"")</x:f>
        <x:v>1.008</x:v>
      </x:c>
      <x:c r="E10" s="52" t="n">
        <x:f>IF(AND(ISNUMBER($C$26),ISNUMBER($C$29)),IF($C$26&gt;0,$C$29/$C$26,""),"")</x:f>
        <x:v>25.536</x:v>
      </x:c>
      <x:c r="F10" s="52" t="n">
        <x:f>IF(AND(ISNUMBER($C$26),ISNUMBER($C$30)),IF($C$26&gt;0,$C$30/$C$26,""),"")</x:f>
        <x:v>4.2</x:v>
      </x:c>
      <x:c r="G10" s="52" t="n">
        <x:f>IF(AND(ISNUMBER($C$26),ISNUMBER($C$31)),IF($C$26&gt;0,$C$31/$C$26,""),"")</x:f>
        <x:v>19.10803684029503</x:v>
      </x:c>
      <x:c r="H10" s="52" t="n">
        <x:f>IF(AND(ISNUMBER($C$26),ISNUMBER($C$32)),IF($C$26&gt;0,$C$32/$C$26,""),"")</x:f>
        <x:v>2.17</x:v>
      </x:c>
      <x:c r="I10" s="52" t="n">
        <x:f>IF(AND(ISNUMBER($C$26),ISNUMBER($C$33)),IF($C$26&gt;0,$C$33/$C$26,""),"")</x:f>
        <x:v>5.1869</x:v>
      </x:c>
      <x:c r="J10" s="52" t="n">
        <x:f>IF(AND(ISNUMBER($C$26),ISNUMBER($C$34)),IF($C$26&gt;0,$C$34/$C$26,""),"")</x:f>
        <x:v>2.76</x:v>
      </x:c>
      <x:c r="K10" s="52" t="n">
        <x:f>IF(AND(ISNUMBER($C$26),ISNUMBER($C$35)),IF($C$26&gt;0,$C$35/$C$26,""),"")</x:f>
        <x:v>1.9434</x:v>
      </x:c>
      <x:c r="L10" s="52" t="n">
        <x:f>IF(AND(ISNUMBER($C$26),ISNUMBER($C$36)),IF($C$26&gt;0,$C$36/$C$26,""),"")</x:f>
        <x:v>2.386594973353667</x:v>
      </x:c>
      <x:c r="M10" s="52" t="n">
        <x:f>IF(AND(ISNUMBER($C$26),ISNUMBER($C$37)),IF($C$26&gt;0,$C$37/$C$26,""),"")</x:f>
        <x:v>4.2</x:v>
      </x:c>
    </x:row>
    <x:row r="11" ht="36" customHeight="1">
      <x:c r="A11" s="50" t="str">
        <x:v>英镑</x:v>
      </x:c>
      <x:c r="B11" s="52" t="n">
        <x:f>IF(AND(ISNUMBER($C$27),ISNUMBER($C$26)),IF($C$27&gt;0,$C$26/$C$27,""),"")</x:f>
        <x:v>4.856726566294317</x:v>
      </x:c>
      <x:c r="C11" s="52" t="n">
        <x:f>1</x:f>
        <x:v>1</x:v>
      </x:c>
      <x:c r="D11" s="52" t="n">
        <x:f>IF(AND(ISNUMBER($C$27),ISNUMBER($C$28)),IF($C$27&gt;0,$C$28/$C$27,""),"")</x:f>
        <x:v>4.895580378824672</x:v>
      </x:c>
      <x:c r="E11" s="52" t="n">
        <x:f>IF(AND(ISNUMBER($C$27),ISNUMBER($C$29)),IF($C$27&gt;0,$C$29/$C$27,""),"")</x:f>
        <x:v>124.0213695968917</x:v>
      </x:c>
      <x:c r="F11" s="52" t="n">
        <x:f>IF(AND(ISNUMBER($C$27),ISNUMBER($C$30)),IF($C$27&gt;0,$C$30/$C$27,""),"")</x:f>
        <x:v>20.398251578436135</x:v>
      </x:c>
      <x:c r="G11" s="52" t="n">
        <x:f>IF(AND(ISNUMBER($C$27),ISNUMBER($C$31)),IF($C$27&gt;0,$C$31/$C$27,""),"")</x:f>
        <x:v>92.8025101519914</x:v>
      </x:c>
      <x:c r="H11" s="52" t="n">
        <x:f>IF(AND(ISNUMBER($C$27),ISNUMBER($C$32)),IF($C$27&gt;0,$C$32/$C$27,""),"")</x:f>
        <x:v>10.539096648858669</x:v>
      </x:c>
      <x:c r="I11" s="52" t="n">
        <x:f>IF(AND(ISNUMBER($C$27),ISNUMBER($C$33)),IF($C$27&gt;0,$C$33/$C$27,""),"")</x:f>
        <x:v>25.191355026711996</x:v>
      </x:c>
      <x:c r="J11" s="52" t="n">
        <x:f>IF(AND(ISNUMBER($C$27),ISNUMBER($C$34)),IF($C$27&gt;0,$C$34/$C$27,""),"")</x:f>
        <x:v>13.404565322972315</x:v>
      </x:c>
      <x:c r="K11" s="52" t="n">
        <x:f>IF(AND(ISNUMBER($C$27),ISNUMBER($C$35)),IF($C$27&gt;0,$C$35/$C$27,""),"")</x:f>
        <x:v>9.438562408936377</x:v>
      </x:c>
      <x:c r="L11" s="52" t="n">
        <x:f>IF(AND(ISNUMBER($C$27),ISNUMBER($C$36)),IF($C$27&gt;0,$C$36/$C$27,""),"")</x:f>
        <x:v>11.591039210071234</x:v>
      </x:c>
      <x:c r="M11" s="52" t="n">
        <x:f>IF(AND(ISNUMBER($C$27),ISNUMBER($C$37)),IF($C$27&gt;0,$C$37/$C$27,""),"")</x:f>
        <x:v>20.398251578436135</x:v>
      </x:c>
    </x:row>
    <x:row r="12" ht="36" customHeight="1">
      <x:c r="A12" s="50" t="str">
        <x:v>加拿大元</x:v>
      </x:c>
      <x:c r="B12" s="52" t="n">
        <x:f>IF(AND(ISNUMBER($C$28),ISNUMBER($C$26)),IF($C$28&gt;0,$C$26/$C$28,""),"")</x:f>
        <x:v>0.9920634920634921</x:v>
      </x:c>
      <x:c r="C12" s="52" t="n">
        <x:f>IF(AND(ISNUMBER($C$28),ISNUMBER($C$27)),IF($C$28&gt;0,$C$27/$C$28,""),"")</x:f>
        <x:v>0.204265873015873</x:v>
      </x:c>
      <x:c r="D12" s="52" t="n">
        <x:f>1</x:f>
        <x:v>1</x:v>
      </x:c>
      <x:c r="E12" s="52" t="n">
        <x:f>IF(AND(ISNUMBER($C$28),ISNUMBER($C$29)),IF($C$28&gt;0,$C$29/$C$28,""),"")</x:f>
        <x:v>25.333333333333336</x:v>
      </x:c>
      <x:c r="F12" s="52" t="n">
        <x:f>IF(AND(ISNUMBER($C$28),ISNUMBER($C$30)),IF($C$28&gt;0,$C$30/$C$28,""),"")</x:f>
        <x:v>4.166666666666667</x:v>
      </x:c>
      <x:c r="G12" s="52" t="n">
        <x:f>IF(AND(ISNUMBER($C$28),ISNUMBER($C$31)),IF($C$28&gt;0,$C$31/$C$28,""),"")</x:f>
        <x:v>18.95638575426094</x:v>
      </x:c>
      <x:c r="H12" s="52" t="n">
        <x:f>IF(AND(ISNUMBER($C$28),ISNUMBER($C$32)),IF($C$28&gt;0,$C$32/$C$28,""),"")</x:f>
        <x:v>2.1527777777777777</x:v>
      </x:c>
      <x:c r="I12" s="52" t="n">
        <x:f>IF(AND(ISNUMBER($C$28),ISNUMBER($C$33)),IF($C$28&gt;0,$C$33/$C$28,""),"")</x:f>
        <x:v>5.145734126984126</x:v>
      </x:c>
      <x:c r="J12" s="52" t="n">
        <x:f>IF(AND(ISNUMBER($C$28),ISNUMBER($C$34)),IF($C$28&gt;0,$C$34/$C$28,""),"")</x:f>
        <x:v>2.7380952380952377</x:v>
      </x:c>
      <x:c r="K12" s="52" t="n">
        <x:f>IF(AND(ISNUMBER($C$28),ISNUMBER($C$35)),IF($C$28&gt;0,$C$35/$C$28,""),"")</x:f>
        <x:v>1.9279761904761905</x:v>
      </x:c>
      <x:c r="L12" s="52" t="n">
        <x:f>IF(AND(ISNUMBER($C$28),ISNUMBER($C$36)),IF($C$28&gt;0,$C$36/$C$28,""),"")</x:f>
        <x:v>2.3676537434064158</x:v>
      </x:c>
      <x:c r="M12" s="52" t="n">
        <x:f>IF(AND(ISNUMBER($C$28),ISNUMBER($C$37)),IF($C$28&gt;0,$C$37/$C$28,""),"")</x:f>
        <x:v>4.166666666666667</x:v>
      </x:c>
    </x:row>
    <x:row r="13" ht="36" customHeight="1">
      <x:c r="A13" s="50" t="str">
        <x:v>法郎→欧元</x:v>
      </x:c>
      <x:c r="B13" s="52" t="n">
        <x:f>IF(AND(ISNUMBER($C$29),ISNUMBER($C$26)),IF($C$29&gt;0,$C$26/$C$29,""),"")</x:f>
        <x:v>0.039160401002506263</x:v>
      </x:c>
      <x:c r="C13" s="52" t="n">
        <x:f>IF(AND(ISNUMBER($C$29),ISNUMBER($C$27)),IF($C$29&gt;0,$C$27/$C$29,""),"")</x:f>
        <x:v>0.00806312656641604</x:v>
      </x:c>
      <x:c r="D13" s="52" t="n">
        <x:f>IF(AND(ISNUMBER($C$29),ISNUMBER($C$28)),IF($C$29&gt;0,$C$28/$C$29,""),"")</x:f>
        <x:v>0.039473684210526314</x:v>
      </x:c>
      <x:c r="E13" s="52" t="n">
        <x:f>1</x:f>
        <x:v>1</x:v>
      </x:c>
      <x:c r="F13" s="52" t="n">
        <x:f>IF(AND(ISNUMBER($C$29),ISNUMBER($C$30)),IF($C$29&gt;0,$C$30/$C$29,""),"")</x:f>
        <x:v>0.16447368421052633</x:v>
      </x:c>
      <x:c r="G13" s="52" t="n">
        <x:f>IF(AND(ISNUMBER($C$29),ISNUMBER($C$31)),IF($C$29&gt;0,$C$31/$C$29,""),"")</x:f>
        <x:v>0.748278385036616</x:v>
      </x:c>
      <x:c r="H13" s="52" t="n">
        <x:f>IF(AND(ISNUMBER($C$29),ISNUMBER($C$32)),IF($C$29&gt;0,$C$32/$C$29,""),"")</x:f>
        <x:v>0.08497807017543858</x:v>
      </x:c>
      <x:c r="I13" s="52" t="n">
        <x:f>IF(AND(ISNUMBER($C$29),ISNUMBER($C$33)),IF($C$29&gt;0,$C$33/$C$29,""),"")</x:f>
        <x:v>0.20312108395989972</x:v>
      </x:c>
      <x:c r="J13" s="52" t="n">
        <x:f>IF(AND(ISNUMBER($C$29),ISNUMBER($C$34)),IF($C$29&gt;0,$C$34/$C$29,""),"")</x:f>
        <x:v>0.10808270676691728</x:v>
      </x:c>
      <x:c r="K13" s="52" t="n">
        <x:f>IF(AND(ISNUMBER($C$29),ISNUMBER($C$35)),IF($C$29&gt;0,$C$35/$C$29,""),"")</x:f>
        <x:v>0.07610432330827067</x:v>
      </x:c>
      <x:c r="L13" s="52" t="n">
        <x:f>IF(AND(ISNUMBER($C$29),ISNUMBER($C$36)),IF($C$29&gt;0,$C$36/$C$29,""),"")</x:f>
        <x:v>0.09346001618709536</x:v>
      </x:c>
      <x:c r="M13" s="52" t="n">
        <x:f>IF(AND(ISNUMBER($C$29),ISNUMBER($C$37)),IF($C$29&gt;0,$C$37/$C$29,""),"")</x:f>
        <x:v>0.16447368421052633</x:v>
      </x:c>
    </x:row>
    <x:row r="14" ht="36" customHeight="1">
      <x:c r="A14" s="50" t="str">
        <x:v>马克→欧元</x:v>
      </x:c>
      <x:c r="B14" s="52" t="n">
        <x:f>IF(AND(ISNUMBER($C$30),ISNUMBER($C$26)),IF($C$30&gt;0,$C$26/$C$30,""),"")</x:f>
        <x:v>0.23809523809523808</x:v>
      </x:c>
      <x:c r="C14" s="52" t="n">
        <x:f>IF(AND(ISNUMBER($C$30),ISNUMBER($C$27)),IF($C$30&gt;0,$C$27/$C$30,""),"")</x:f>
        <x:v>0.049023809523809525</x:v>
      </x:c>
      <x:c r="D14" s="52" t="n">
        <x:f>IF(AND(ISNUMBER($C$30),ISNUMBER($C$28)),IF($C$30&gt;0,$C$28/$C$30,""),"")</x:f>
        <x:v>0.24</x:v>
      </x:c>
      <x:c r="E14" s="52" t="n">
        <x:f>IF(AND(ISNUMBER($C$30),ISNUMBER($C$29)),IF($C$30&gt;0,$C$29/$C$30,""),"")</x:f>
        <x:v>6.08</x:v>
      </x:c>
      <x:c r="F14" s="52" t="n">
        <x:f>1</x:f>
        <x:v>1</x:v>
      </x:c>
      <x:c r="G14" s="52" t="n">
        <x:f>IF(AND(ISNUMBER($C$30),ISNUMBER($C$31)),IF($C$30&gt;0,$C$31/$C$30,""),"")</x:f>
        <x:v>4.549532581022626</x:v>
      </x:c>
      <x:c r="H14" s="52" t="n">
        <x:f>IF(AND(ISNUMBER($C$30),ISNUMBER($C$32)),IF($C$30&gt;0,$C$32/$C$30,""),"")</x:f>
        <x:v>0.5166666666666666</x:v>
      </x:c>
      <x:c r="I14" s="52" t="n">
        <x:f>IF(AND(ISNUMBER($C$30),ISNUMBER($C$33)),IF($C$30&gt;0,$C$33/$C$30,""),"")</x:f>
        <x:v>1.2349761904761902</x:v>
      </x:c>
      <x:c r="J14" s="52" t="n">
        <x:f>IF(AND(ISNUMBER($C$30),ISNUMBER($C$34)),IF($C$30&gt;0,$C$34/$C$30,""),"")</x:f>
        <x:v>0.657142857142857</x:v>
      </x:c>
      <x:c r="K14" s="52" t="n">
        <x:f>IF(AND(ISNUMBER($C$30),ISNUMBER($C$35)),IF($C$30&gt;0,$C$35/$C$30,""),"")</x:f>
        <x:v>0.4627142857142857</x:v>
      </x:c>
      <x:c r="L14" s="52" t="n">
        <x:f>IF(AND(ISNUMBER($C$30),ISNUMBER($C$36)),IF($C$30&gt;0,$C$36/$C$30,""),"")</x:f>
        <x:v>0.5682368984175398</x:v>
      </x:c>
      <x:c r="M14" s="52" t="n">
        <x:f>IF(AND(ISNUMBER($C$30),ISNUMBER($C$37)),IF($C$30&gt;0,$C$37/$C$30,""),"")</x:f>
        <x:v>1</x:v>
      </x:c>
    </x:row>
    <x:row r="15" ht="36" customHeight="1">
      <x:c r="A15" s="50" t="str">
        <x:v>里拉→欧元</x:v>
      </x:c>
      <x:c r="B15" s="52" t="n">
        <x:f>IF(AND(ISNUMBER($C$31),ISNUMBER($C$26)),IF($C$31&gt;0,$C$26/$C$31,""),"")</x:f>
        <x:v>0.052334</x:v>
      </x:c>
      <x:c r="C15" s="52" t="n">
        <x:f>IF(AND(ISNUMBER($C$31),ISNUMBER($C$27)),IF($C$31&gt;0,$C$27/$C$31,""),"")</x:f>
        <x:v>0.0107755706</x:v>
      </x:c>
      <x:c r="D15" s="52" t="n">
        <x:f>IF(AND(ISNUMBER($C$31),ISNUMBER($C$28)),IF($C$31&gt;0,$C$28/$C$31,""),"")</x:f>
        <x:v>0.052752672</x:v>
      </x:c>
      <x:c r="E15" s="52" t="n">
        <x:f>IF(AND(ISNUMBER($C$31),ISNUMBER($C$29)),IF($C$31&gt;0,$C$29/$C$31,""),"")</x:f>
        <x:v>1.336401024</x:v>
      </x:c>
      <x:c r="F15" s="52" t="n">
        <x:f>IF(AND(ISNUMBER($C$31),ISNUMBER($C$30)),IF($C$31&gt;0,$C$30/$C$31,""),"")</x:f>
        <x:v>0.2198028</x:v>
      </x:c>
      <x:c r="G15" s="52" t="n">
        <x:f>1</x:f>
        <x:v>1</x:v>
      </x:c>
      <x:c r="H15" s="52" t="n">
        <x:f>IF(AND(ISNUMBER($C$31),ISNUMBER($C$32)),IF($C$31&gt;0,$C$32/$C$31,""),"")</x:f>
        <x:v>0.11356477999999999</x:v>
      </x:c>
      <x:c r="I15" s="52" t="n">
        <x:f>IF(AND(ISNUMBER($C$31),ISNUMBER($C$33)),IF($C$31&gt;0,$C$33/$C$31,""),"")</x:f>
        <x:v>0.2714512246</x:v>
      </x:c>
      <x:c r="J15" s="52" t="n">
        <x:f>IF(AND(ISNUMBER($C$31),ISNUMBER($C$34)),IF($C$31&gt;0,$C$34/$C$31,""),"")</x:f>
        <x:v>0.14444184</x:v>
      </x:c>
      <x:c r="K15" s="52" t="n">
        <x:f>IF(AND(ISNUMBER($C$31),ISNUMBER($C$35)),IF($C$31&gt;0,$C$35/$C$31,""),"")</x:f>
        <x:v>0.1017058956</x:v>
      </x:c>
      <x:c r="L15" s="52" t="n">
        <x:f>IF(AND(ISNUMBER($C$31),ISNUMBER($C$36)),IF($C$31&gt;0,$C$36/$C$31,""),"")</x:f>
        <x:v>0.12490006133549081</x:v>
      </x:c>
      <x:c r="M15" s="52" t="n">
        <x:f>IF(AND(ISNUMBER($C$31),ISNUMBER($C$37)),IF($C$31&gt;0,$C$37/$C$31,""),"")</x:f>
        <x:v>0.2198028</x:v>
      </x:c>
    </x:row>
    <x:row r="16" ht="36" customHeight="1">
      <x:c r="A16" s="50" t="str">
        <x:v>日元</x:v>
      </x:c>
      <x:c r="B16" s="52" t="n">
        <x:f>IF(AND(ISNUMBER($C$32),ISNUMBER($C$26)),IF($C$32&gt;0,$C$26/$C$32,""),"")</x:f>
        <x:v>0.4608294930875576</x:v>
      </x:c>
      <x:c r="C16" s="52" t="n">
        <x:f>IF(AND(ISNUMBER($C$32),ISNUMBER($C$27)),IF($C$32&gt;0,$C$27/$C$32,""),"")</x:f>
        <x:v>0.09488479262672811</x:v>
      </x:c>
      <x:c r="D16" s="52" t="n">
        <x:f>IF(AND(ISNUMBER($C$32),ISNUMBER($C$28)),IF($C$32&gt;0,$C$28/$C$32,""),"")</x:f>
        <x:v>0.4645161290322581</x:v>
      </x:c>
      <x:c r="E16" s="52" t="n">
        <x:f>IF(AND(ISNUMBER($C$32),ISNUMBER($C$29)),IF($C$32&gt;0,$C$29/$C$32,""),"")</x:f>
        <x:v>11.767741935483873</x:v>
      </x:c>
      <x:c r="F16" s="52" t="n">
        <x:f>IF(AND(ISNUMBER($C$32),ISNUMBER($C$30)),IF($C$32&gt;0,$C$30/$C$32,""),"")</x:f>
        <x:v>1.935483870967742</x:v>
      </x:c>
      <x:c r="G16" s="52" t="n">
        <x:f>IF(AND(ISNUMBER($C$32),ISNUMBER($C$31)),IF($C$32&gt;0,$C$31/$C$32,""),"")</x:f>
        <x:v>8.805546931011534</x:v>
      </x:c>
      <x:c r="H16" s="52" t="n">
        <x:f>1</x:f>
        <x:v>1</x:v>
      </x:c>
      <x:c r="I16" s="52" t="n">
        <x:f>IF(AND(ISNUMBER($C$32),ISNUMBER($C$33)),IF($C$32&gt;0,$C$33/$C$32,""),"")</x:f>
        <x:v>2.3902764976958526</x:v>
      </x:c>
      <x:c r="J16" s="52" t="n">
        <x:f>IF(AND(ISNUMBER($C$32),ISNUMBER($C$34)),IF($C$32&gt;0,$C$34/$C$32,""),"")</x:f>
        <x:v>1.271889400921659</x:v>
      </x:c>
      <x:c r="K16" s="52" t="n">
        <x:f>IF(AND(ISNUMBER($C$32),ISNUMBER($C$35)),IF($C$32&gt;0,$C$35/$C$32,""),"")</x:f>
        <x:v>0.8955760368663594</x:v>
      </x:c>
      <x:c r="L16" s="52" t="n">
        <x:f>IF(AND(ISNUMBER($C$32),ISNUMBER($C$36)),IF($C$32&gt;0,$C$36/$C$32,""),"")</x:f>
        <x:v>1.0998133517758835</x:v>
      </x:c>
      <x:c r="M16" s="52" t="n">
        <x:f>IF(AND(ISNUMBER($C$32),ISNUMBER($C$37)),IF($C$32&gt;0,$C$37/$C$32,""),"")</x:f>
        <x:v>1.935483870967742</x:v>
      </x:c>
    </x:row>
    <x:row r="17" ht="36" customHeight="1">
      <x:c r="A17" s="50" t="str">
        <x:v>瑞士法郎</x:v>
      </x:c>
      <x:c r="B17" s="52" t="n">
        <x:f>IF(AND(ISNUMBER($C$33),ISNUMBER($C$26)),IF($C$33&gt;0,$C$26/$C$33,""),"")</x:f>
        <x:v>0.1927933833310841</x:v>
      </x:c>
      <x:c r="C17" s="52" t="n">
        <x:f>IF(AND(ISNUMBER($C$33),ISNUMBER($C$27)),IF($C$33&gt;0,$C$27/$C$33,""),"")</x:f>
        <x:v>0.03969615762787022</x:v>
      </x:c>
      <x:c r="D17" s="52" t="n">
        <x:f>IF(AND(ISNUMBER($C$33),ISNUMBER($C$28)),IF($C$33&gt;0,$C$28/$C$33,""),"")</x:f>
        <x:v>0.19433573039773278</x:v>
      </x:c>
      <x:c r="E17" s="52" t="n">
        <x:f>IF(AND(ISNUMBER($C$33),ISNUMBER($C$29)),IF($C$33&gt;0,$C$29/$C$33,""),"")</x:f>
        <x:v>4.923171836742563</x:v>
      </x:c>
      <x:c r="F17" s="52" t="n">
        <x:f>IF(AND(ISNUMBER($C$33),ISNUMBER($C$30)),IF($C$33&gt;0,$C$30/$C$33,""),"")</x:f>
        <x:v>0.8097322099905532</x:v>
      </x:c>
      <x:c r="G17" s="52" t="n">
        <x:f>IF(AND(ISNUMBER($C$33),ISNUMBER($C$31)),IF($C$33&gt;0,$C$31/$C$33,""),"")</x:f>
        <x:v>3.683903071255476</x:v>
      </x:c>
      <x:c r="H17" s="52" t="n">
        <x:f>IF(AND(ISNUMBER($C$33),ISNUMBER($C$32)),IF($C$33&gt;0,$C$32/$C$33,""),"")</x:f>
        <x:v>0.4183616418284525</x:v>
      </x:c>
      <x:c r="I17" s="52" t="n">
        <x:f>1</x:f>
        <x:v>1</x:v>
      </x:c>
      <x:c r="J17" s="52" t="n">
        <x:f>IF(AND(ISNUMBER($C$33),ISNUMBER($C$34)),IF($C$33&gt;0,$C$34/$C$33,""),"")</x:f>
        <x:v>0.532109737993792</x:v>
      </x:c>
      <x:c r="K17" s="52" t="n">
        <x:f>IF(AND(ISNUMBER($C$33),ISNUMBER($C$35)),IF($C$33&gt;0,$C$35/$C$33,""),"")</x:f>
        <x:v>0.3746746611656288</x:v>
      </x:c>
      <x:c r="L17" s="52" t="n">
        <x:f>IF(AND(ISNUMBER($C$33),ISNUMBER($C$36)),IF($C$33&gt;0,$C$36/$C$33,""),"")</x:f>
        <x:v>0.460119719553812</x:v>
      </x:c>
      <x:c r="M17" s="52" t="n">
        <x:f>IF(AND(ISNUMBER($C$33),ISNUMBER($C$37)),IF($C$33&gt;0,$C$37/$C$33,""),"")</x:f>
        <x:v>0.8097322099905532</x:v>
      </x:c>
    </x:row>
    <x:row r="18" ht="36" customHeight="1">
      <x:c r="A18" s="50" t="str">
        <x:v>印度卢比</x:v>
      </x:c>
      <x:c r="B18" s="52" t="n">
        <x:f>IF(AND(ISNUMBER($C$34),ISNUMBER($C$26)),IF($C$34&gt;0,$C$26/$C$34,""),"")</x:f>
        <x:v>0.3623188405797102</x:v>
      </x:c>
      <x:c r="C18" s="52" t="n">
        <x:f>IF(AND(ISNUMBER($C$34),ISNUMBER($C$27)),IF($C$34&gt;0,$C$27/$C$34,""),"")</x:f>
        <x:v>0.07460144927536233</x:v>
      </x:c>
      <x:c r="D18" s="52" t="n">
        <x:f>IF(AND(ISNUMBER($C$34),ISNUMBER($C$28)),IF($C$34&gt;0,$C$28/$C$34,""),"")</x:f>
        <x:v>0.3652173913043479</x:v>
      </x:c>
      <x:c r="E18" s="52" t="n">
        <x:f>IF(AND(ISNUMBER($C$34),ISNUMBER($C$29)),IF($C$34&gt;0,$C$29/$C$34,""),"")</x:f>
        <x:v>9.25217391304348</x:v>
      </x:c>
      <x:c r="F18" s="52" t="n">
        <x:f>IF(AND(ISNUMBER($C$34),ISNUMBER($C$30)),IF($C$34&gt;0,$C$30/$C$34,""),"")</x:f>
        <x:v>1.5217391304347827</x:v>
      </x:c>
      <x:c r="G18" s="52" t="n">
        <x:f>IF(AND(ISNUMBER($C$34),ISNUMBER($C$31)),IF($C$34&gt;0,$C$31/$C$34,""),"")</x:f>
        <x:v>6.923201753730083</x:v>
      </x:c>
      <x:c r="H18" s="52" t="n">
        <x:f>IF(AND(ISNUMBER($C$34),ISNUMBER($C$32)),IF($C$34&gt;0,$C$32/$C$34,""),"")</x:f>
        <x:v>0.7862318840579711</x:v>
      </x:c>
      <x:c r="I18" s="52" t="n">
        <x:f>IF(AND(ISNUMBER($C$34),ISNUMBER($C$33)),IF($C$34&gt;0,$C$33/$C$34,""),"")</x:f>
        <x:v>1.8793115942028986</x:v>
      </x:c>
      <x:c r="J18" s="52" t="n">
        <x:f>1</x:f>
        <x:v>1</x:v>
      </x:c>
      <x:c r="K18" s="52" t="n">
        <x:f>IF(AND(ISNUMBER($C$34),ISNUMBER($C$35)),IF($C$34&gt;0,$C$35/$C$34,""),"")</x:f>
        <x:v>0.7041304347826087</x:v>
      </x:c>
      <x:c r="L18" s="52" t="n">
        <x:f>IF(AND(ISNUMBER($C$34),ISNUMBER($C$36)),IF($C$34&gt;0,$C$36/$C$34,""),"")</x:f>
        <x:v>0.864708323678865</x:v>
      </x:c>
      <x:c r="M18" s="52" t="n">
        <x:f>IF(AND(ISNUMBER($C$34),ISNUMBER($C$37)),IF($C$34&gt;0,$C$37/$C$34,""),"")</x:f>
        <x:v>1.5217391304347827</x:v>
      </x:c>
    </x:row>
    <x:row r="19" ht="36" customHeight="1">
      <x:c r="A19" s="50" t="str">
        <x:v>卢布</x:v>
      </x:c>
      <x:c r="B19" s="52" t="n">
        <x:f>IF(AND(ISNUMBER($C$35),ISNUMBER($C$26)),IF($C$35&gt;0,$C$26/$C$35,""),"")</x:f>
        <x:v>0.5145621076463929</x:v>
      </x:c>
      <x:c r="C19" s="52" t="n">
        <x:f>IF(AND(ISNUMBER($C$35),ISNUMBER($C$27)),IF($C$35&gt;0,$C$27/$C$35,""),"")</x:f>
        <x:v>0.1059483379643923</x:v>
      </x:c>
      <x:c r="D19" s="52" t="n">
        <x:f>IF(AND(ISNUMBER($C$35),ISNUMBER($C$28)),IF($C$35&gt;0,$C$28/$C$35,""),"")</x:f>
        <x:v>0.5186786045075641</x:v>
      </x:c>
      <x:c r="E19" s="52" t="n">
        <x:f>IF(AND(ISNUMBER($C$35),ISNUMBER($C$29)),IF($C$35&gt;0,$C$29/$C$35,""),"")</x:f>
        <x:v>13.13985798085829</x:v>
      </x:c>
      <x:c r="F19" s="52" t="n">
        <x:f>IF(AND(ISNUMBER($C$35),ISNUMBER($C$30)),IF($C$35&gt;0,$C$30/$C$35,""),"")</x:f>
        <x:v>2.1611608521148504</x:v>
      </x:c>
      <x:c r="G19" s="52" t="n">
        <x:f>IF(AND(ISNUMBER($C$35),ISNUMBER($C$31)),IF($C$35&gt;0,$C$31/$C$35,""),"")</x:f>
        <x:v>9.832271709527133</x:v>
      </x:c>
      <x:c r="H19" s="52" t="n">
        <x:f>IF(AND(ISNUMBER($C$35),ISNUMBER($C$32)),IF($C$35&gt;0,$C$32/$C$35,""),"")</x:f>
        <x:v>1.1165997735926725</x:v>
      </x:c>
      <x:c r="I19" s="52" t="n">
        <x:f>IF(AND(ISNUMBER($C$35),ISNUMBER($C$33)),IF($C$35&gt;0,$C$33/$C$35,""),"")</x:f>
        <x:v>2.668982196151075</x:v>
      </x:c>
      <x:c r="J19" s="52" t="n">
        <x:f>IF(AND(ISNUMBER($C$35),ISNUMBER($C$34)),IF($C$35&gt;0,$C$34/$C$35,""),"")</x:f>
        <x:v>1.4201914171040444</x:v>
      </x:c>
      <x:c r="K19" s="52" t="n">
        <x:f>1</x:f>
        <x:v>1</x:v>
      </x:c>
      <x:c r="L19" s="52" t="n">
        <x:f>IF(AND(ISNUMBER($C$35),ISNUMBER($C$36)),IF($C$35&gt;0,$C$36/$C$35,""),"")</x:f>
        <x:v>1.22805133958715</x:v>
      </x:c>
      <x:c r="M19" s="52" t="n">
        <x:f>IF(AND(ISNUMBER($C$35),ISNUMBER($C$37)),IF($C$35&gt;0,$C$37/$C$35,""),"")</x:f>
        <x:v>2.1611608521148504</x:v>
      </x:c>
    </x:row>
    <x:row r="20" ht="36" customHeight="1">
      <x:c r="A20" s="50" t="str">
        <x:v>中国币种</x:v>
      </x:c>
      <x:c r="B20" s="52" t="n">
        <x:f>IF(AND(ISNUMBER($C$36),ISNUMBER($C$26)),IF($C$36&gt;0,$C$26/$C$36,""),"")</x:f>
        <x:v>0.419007</x:v>
      </x:c>
      <x:c r="C20" s="52" t="n">
        <x:f>IF(AND(ISNUMBER($C$36),ISNUMBER($C$27)),IF($C$36&gt;0,$C$27/$C$36,""),"")</x:f>
        <x:v>0.0862735413</x:v>
      </x:c>
      <x:c r="D20" s="52" t="n">
        <x:f>IF(AND(ISNUMBER($C$36),ISNUMBER($C$28)),IF($C$36&gt;0,$C$28/$C$36,""),"")</x:f>
        <x:v>0.422359056</x:v>
      </x:c>
      <x:c r="E20" s="52" t="n">
        <x:f>IF(AND(ISNUMBER($C$36),ISNUMBER($C$29)),IF($C$36&gt;0,$C$29/$C$36,""),"")</x:f>
        <x:v>10.699762752</x:v>
      </x:c>
      <x:c r="F20" s="52" t="n">
        <x:f>IF(AND(ISNUMBER($C$36),ISNUMBER($C$30)),IF($C$36&gt;0,$C$30/$C$36,""),"")</x:f>
        <x:v>1.7598294</x:v>
      </x:c>
      <x:c r="G20" s="52" t="n">
        <x:f>IF(AND(ISNUMBER($C$36),ISNUMBER($C$31)),IF($C$36&gt;0,$C$31/$C$36,""),"")</x:f>
        <x:v>8.0064011923415</x:v>
      </x:c>
      <x:c r="H20" s="52" t="n">
        <x:f>IF(AND(ISNUMBER($C$36),ISNUMBER($C$32)),IF($C$36&gt;0,$C$32/$C$36,""),"")</x:f>
        <x:v>0.9092451899999999</x:v>
      </x:c>
      <x:c r="I20" s="52" t="n">
        <x:f>IF(AND(ISNUMBER($C$36),ISNUMBER($C$33)),IF($C$36&gt;0,$C$33/$C$36,""),"")</x:f>
        <x:v>2.1733474082999997</x:v>
      </x:c>
      <x:c r="J20" s="52" t="n">
        <x:f>IF(AND(ISNUMBER($C$36),ISNUMBER($C$34)),IF($C$36&gt;0,$C$34/$C$36,""),"")</x:f>
        <x:v>1.15645932</x:v>
      </x:c>
      <x:c r="K20" s="52" t="n">
        <x:f>IF(AND(ISNUMBER($C$36),ISNUMBER($C$35)),IF($C$36&gt;0,$C$35/$C$36,""),"")</x:f>
        <x:v>0.8142982038000001</x:v>
      </x:c>
      <x:c r="L20" s="52" t="n">
        <x:f>1</x:f>
        <x:v>1</x:v>
      </x:c>
      <x:c r="M20" s="52" t="n">
        <x:f>IF(AND(ISNUMBER($C$36),ISNUMBER($C$37)),IF($C$36&gt;0,$C$37/$C$36,""),"")</x:f>
        <x:v>1.7598294</x:v>
      </x:c>
    </x:row>
    <x:row r="21" ht="36" customHeight="1">
      <x:c r="A21" s="50" t="str">
        <x:v>欧元／德国代理</x:v>
      </x:c>
      <x:c r="B21" s="52" t="n">
        <x:f>IF(AND(ISNUMBER($C$37),ISNUMBER($C$26)),IF($C$37&gt;0,$C$26/$C$37,""),"")</x:f>
        <x:v>0.23809523809523808</x:v>
      </x:c>
      <x:c r="C21" s="52" t="n">
        <x:f>IF(AND(ISNUMBER($C$37),ISNUMBER($C$27)),IF($C$37&gt;0,$C$27/$C$37,""),"")</x:f>
        <x:v>0.049023809523809525</x:v>
      </x:c>
      <x:c r="D21" s="52" t="n">
        <x:f>IF(AND(ISNUMBER($C$37),ISNUMBER($C$28)),IF($C$37&gt;0,$C$28/$C$37,""),"")</x:f>
        <x:v>0.24</x:v>
      </x:c>
      <x:c r="E21" s="52" t="n">
        <x:f>IF(AND(ISNUMBER($C$37),ISNUMBER($C$29)),IF($C$37&gt;0,$C$29/$C$37,""),"")</x:f>
        <x:v>6.08</x:v>
      </x:c>
      <x:c r="F21" s="52" t="n">
        <x:f>IF(AND(ISNUMBER($C$37),ISNUMBER($C$30)),IF($C$37&gt;0,$C$30/$C$37,""),"")</x:f>
        <x:v>1</x:v>
      </x:c>
      <x:c r="G21" s="52" t="n">
        <x:f>IF(AND(ISNUMBER($C$37),ISNUMBER($C$31)),IF($C$37&gt;0,$C$31/$C$37,""),"")</x:f>
        <x:v>4.549532581022626</x:v>
      </x:c>
      <x:c r="H21" s="52" t="n">
        <x:f>IF(AND(ISNUMBER($C$37),ISNUMBER($C$32)),IF($C$37&gt;0,$C$32/$C$37,""),"")</x:f>
        <x:v>0.5166666666666666</x:v>
      </x:c>
      <x:c r="I21" s="52" t="n">
        <x:f>IF(AND(ISNUMBER($C$37),ISNUMBER($C$33)),IF($C$37&gt;0,$C$33/$C$37,""),"")</x:f>
        <x:v>1.2349761904761902</x:v>
      </x:c>
      <x:c r="J21" s="52" t="n">
        <x:f>IF(AND(ISNUMBER($C$37),ISNUMBER($C$34)),IF($C$37&gt;0,$C$34/$C$37,""),"")</x:f>
        <x:v>0.657142857142857</x:v>
      </x:c>
      <x:c r="K21" s="52" t="n">
        <x:f>IF(AND(ISNUMBER($C$37),ISNUMBER($C$35)),IF($C$37&gt;0,$C$35/$C$37,""),"")</x:f>
        <x:v>0.4627142857142857</x:v>
      </x:c>
      <x:c r="L21" s="52" t="n">
        <x:f>IF(AND(ISNUMBER($C$37),ISNUMBER($C$36)),IF($C$37&gt;0,$C$36/$C$37,""),"")</x:f>
        <x:v>0.5682368984175398</x:v>
      </x:c>
      <x:c r="M21" s="52" t="n">
        <x:f>1</x:f>
        <x:v>1</x:v>
      </x:c>
    </x:row>
    <x:row r="25" ht="32" customHeight="1">
      <x:c r="A25" s="6" t="str">
        <x:v>槽位</x:v>
      </x:c>
      <x:c r="B25" s="6" t="str">
        <x:v>实际币名</x:v>
      </x:c>
      <x:c r="C25" s="6" t="str">
        <x:v>采用值：1USD兑本币</x:v>
      </x:c>
      <x:c r="D25" s="6" t="str">
        <x:v>口径与来源</x:v>
      </x:c>
      <x:c r="E25" s="6" t="str">
        <x:v>观测期／日期</x:v>
      </x:c>
      <x:c r="F25" s="6" t="str">
        <x:v>基础表未过滤值</x:v>
      </x:c>
      <x:c r="G25" s="6" t="str">
        <x:v>是否官价补充</x:v>
      </x:c>
      <x:c r="H25" s="6" t="str">
        <x:v>源记录行</x:v>
      </x:c>
    </x:row>
    <x:row r="26" ht="70" customHeight="1">
      <x:c r="A26" s="12" t="str">
        <x:v>USD</x:v>
      </x:c>
      <x:c r="B26" s="12" t="str">
        <x:f>INDEX('实际币名'!$B$6:$M$112,MATCH($B$3,'实际币名'!$A$6:$A$112,0),1)</x:f>
        <x:v>美元（USD）</x:v>
      </x:c>
      <x:c r="C26" s="54" t="n">
        <x:f>IF(AND($E$3="排除官价补充",G26=1),"",IF(AND(ISNUMBER(F26),F26&gt;0),F26,""))</x:f>
        <x:v>1</x:v>
      </x:c>
      <x:c r="D26" s="12" t="str">
        <x:f>INDEX('口径与来源'!$B$6:$M$112,MATCH($B$3,'口径与来源'!$A$6:$A$112,0),1)</x:f>
        <x:v>基准恒等｜1 USD</x:v>
      </x:c>
      <x:c r="E26" s="12" t="str">
        <x:f>IFERROR(INDEX('原始记录'!$I$6:$I$959,H26-5),"基准／缺失")</x:f>
        <x:v>基准／缺失</x:v>
      </x:c>
      <x:c r="F26" s="54" t="n">
        <x:f>INDEX('年度汇率'!$B$6:$M$112,MATCH($B$3,'年度汇率'!$A$6:$A$112,0),1)</x:f>
        <x:v>1</x:v>
      </x:c>
      <x:c r="G26" s="12" t="n">
        <x:f>IF(ISNUMBER(SEARCH("官价",D26)),1,0)</x:f>
        <x:v>0</x:v>
      </x:c>
      <x:c r="H26" s="12" t="n">
        <x:v>0</x:v>
      </x:c>
    </x:row>
    <x:row r="27" ht="70" customHeight="1">
      <x:c r="A27" s="12" t="str">
        <x:v>GBP</x:v>
      </x:c>
      <x:c r="B27" s="12" t="str">
        <x:f>INDEX('实际币名'!$B$6:$M$112,MATCH($B$3,'实际币名'!$A$6:$A$112,0),2)</x:f>
        <x:v>英镑（GBP）</x:v>
      </x:c>
      <x:c r="C27" s="54" t="n">
        <x:f>IF(AND($E$3="排除官价补充",G27=1),"",IF(AND(ISNUMBER(F27),F27&gt;0),F27,""))</x:f>
        <x:v>0.2059</x:v>
      </x:c>
      <x:c r="D27" s="12" t="str">
        <x:f>INDEX('口径与来源'!$B$6:$M$112,MATCH($B$3,'口径与来源'!$A$6:$A$112,0),2)</x:f>
        <x:v>年均｜MW_GBP｜1929</x:v>
      </x:c>
      <x:c r="E27" s="12" t="str">
        <x:f>IFERROR(INDEX('原始记录'!$I$6:$I$959,H27-5),"基准／缺失")</x:f>
        <x:v>1929-01-01—1929-12-31</x:v>
      </x:c>
      <x:c r="F27" s="54" t="n">
        <x:f>INDEX('年度汇率'!$B$6:$M$112,MATCH($B$3,'年度汇率'!$A$6:$A$112,0),2)</x:f>
        <x:v>0.2059</x:v>
      </x:c>
      <x:c r="G27" s="12" t="n">
        <x:f>IF(ISNUMBER(SEARCH("官价",D27)),1,0)</x:f>
        <x:v>0</x:v>
      </x:c>
      <x:c r="H27" s="12" t="n">
        <x:f>INDEX('来源目录'!$B$70:$M$176,MATCH($B$3,'来源目录'!$A$70:$A$176,0),2)</x:f>
        <x:v>88</x:v>
      </x:c>
    </x:row>
    <x:row r="28" ht="70" customHeight="1">
      <x:c r="A28" s="12" t="str">
        <x:v>CAD</x:v>
      </x:c>
      <x:c r="B28" s="12" t="str">
        <x:f>INDEX('实际币名'!$B$6:$M$112,MATCH($B$3,'实际币名'!$A$6:$A$112,0),3)</x:f>
        <x:v>加拿大元（CAD）</x:v>
      </x:c>
      <x:c r="C28" s="54" t="n">
        <x:f>IF(AND($E$3="排除官价补充",G28=1),"",IF(AND(ISNUMBER(F28),F28&gt;0),F28,""))</x:f>
        <x:v>1.008</x:v>
      </x:c>
      <x:c r="D28" s="12" t="str">
        <x:f>INDEX('口径与来源'!$B$6:$M$112,MATCH($B$3,'口径与来源'!$A$6:$A$112,0),3)</x:f>
        <x:v>年均｜MW_CAD｜1929</x:v>
      </x:c>
      <x:c r="E28" s="12" t="str">
        <x:f>IFERROR(INDEX('原始记录'!$I$6:$I$959,H28-5),"基准／缺失")</x:f>
        <x:v>1929-01-01—1929-12-31</x:v>
      </x:c>
      <x:c r="F28" s="54" t="n">
        <x:f>INDEX('年度汇率'!$B$6:$M$112,MATCH($B$3,'年度汇率'!$A$6:$A$112,0),3)</x:f>
        <x:v>1.008</x:v>
      </x:c>
      <x:c r="G28" s="12" t="n">
        <x:f>IF(ISNUMBER(SEARCH("官价",D28)),1,0)</x:f>
        <x:v>0</x:v>
      </x:c>
      <x:c r="H28" s="12" t="n">
        <x:f>INDEX('来源目录'!$B$70:$M$176,MATCH($B$3,'来源目录'!$A$70:$A$176,0),3)</x:f>
        <x:v>89</x:v>
      </x:c>
    </x:row>
    <x:row r="29" ht="70" customHeight="1">
      <x:c r="A29" s="12" t="str">
        <x:v>FR</x:v>
      </x:c>
      <x:c r="B29" s="12" t="str">
        <x:f>INDEX('实际币名'!$B$6:$M$112,MATCH($B$3,'实际币名'!$A$6:$A$112,0),4)</x:f>
        <x:v>法国旧法郎</x:v>
      </x:c>
      <x:c r="C29" s="54" t="n">
        <x:f>IF(AND($E$3="排除官价补充",G29=1),"",IF(AND(ISNUMBER(F29),F29&gt;0),F29,""))</x:f>
        <x:v>25.536</x:v>
      </x:c>
      <x:c r="D29" s="12" t="str">
        <x:f>INDEX('口径与来源'!$B$6:$M$112,MATCH($B$3,'口径与来源'!$A$6:$A$112,0),4)</x:f>
        <x:v>年均｜MW_FR｜1929</x:v>
      </x:c>
      <x:c r="E29" s="12" t="str">
        <x:f>IFERROR(INDEX('原始记录'!$I$6:$I$959,H29-5),"基准／缺失")</x:f>
        <x:v>1929-01-01—1929-12-31</x:v>
      </x:c>
      <x:c r="F29" s="54" t="n">
        <x:f>INDEX('年度汇率'!$B$6:$M$112,MATCH($B$3,'年度汇率'!$A$6:$A$112,0),4)</x:f>
        <x:v>25.536</x:v>
      </x:c>
      <x:c r="G29" s="12" t="n">
        <x:f>IF(ISNUMBER(SEARCH("官价",D29)),1,0)</x:f>
        <x:v>0</x:v>
      </x:c>
      <x:c r="H29" s="12" t="n">
        <x:f>INDEX('来源目录'!$B$70:$M$176,MATCH($B$3,'来源目录'!$A$70:$A$176,0),4)</x:f>
        <x:v>90</x:v>
      </x:c>
    </x:row>
    <x:row r="30" ht="70" customHeight="1">
      <x:c r="A30" s="12" t="str">
        <x:v>DE</x:v>
      </x:c>
      <x:c r="B30" s="12" t="str">
        <x:f>INDEX('实际币名'!$B$6:$M$112,MATCH($B$3,'实际币名'!$A$6:$A$112,0),5)</x:f>
        <x:v>帝国马克（Reichsmark）</x:v>
      </x:c>
      <x:c r="C30" s="54" t="n">
        <x:f>IF(AND($E$3="排除官价补充",G30=1),"",IF(AND(ISNUMBER(F30),F30&gt;0),F30,""))</x:f>
        <x:v>4.2</x:v>
      </x:c>
      <x:c r="D30" s="12" t="str">
        <x:f>INDEX('口径与来源'!$B$6:$M$112,MATCH($B$3,'口径与来源'!$A$6:$A$112,0),5)</x:f>
        <x:v>年均｜UCSB_DE｜1929</x:v>
      </x:c>
      <x:c r="E30" s="12" t="str">
        <x:f>IFERROR(INDEX('原始记录'!$I$6:$I$959,H30-5),"基准／缺失")</x:f>
        <x:v>1929-01-01—1929-12-31</x:v>
      </x:c>
      <x:c r="F30" s="54" t="n">
        <x:f>INDEX('年度汇率'!$B$6:$M$112,MATCH($B$3,'年度汇率'!$A$6:$A$112,0),5)</x:f>
        <x:v>4.2</x:v>
      </x:c>
      <x:c r="G30" s="12" t="n">
        <x:f>IF(ISNUMBER(SEARCH("官价",D30)),1,0)</x:f>
        <x:v>0</x:v>
      </x:c>
      <x:c r="H30" s="12" t="n">
        <x:f>INDEX('来源目录'!$B$70:$M$176,MATCH($B$3,'来源目录'!$A$70:$A$176,0),5)</x:f>
        <x:v>91</x:v>
      </x:c>
    </x:row>
    <x:row r="31" ht="70" customHeight="1">
      <x:c r="A31" s="12" t="str">
        <x:v>IT</x:v>
      </x:c>
      <x:c r="B31" s="12" t="str">
        <x:f>INDEX('实际币名'!$B$6:$M$112,MATCH($B$3,'实际币名'!$A$6:$A$112,0),6)</x:f>
        <x:v>意大利里拉（ITL）</x:v>
      </x:c>
      <x:c r="C31" s="54" t="n">
        <x:f>IF(AND($E$3="排除官价补充",G31=1),"",IF(AND(ISNUMBER(F31),F31&gt;0),F31,""))</x:f>
        <x:v>19.10803684029503</x:v>
      </x:c>
      <x:c r="D31" s="12" t="str">
        <x:f>INDEX('口径与来源'!$B$6:$M$112,MATCH($B$3,'口径与来源'!$A$6:$A$112,0),6)</x:f>
        <x:v>年均｜FRASER_IT｜1929</x:v>
      </x:c>
      <x:c r="E31" s="12" t="str">
        <x:f>IFERROR(INDEX('原始记录'!$I$6:$I$959,H31-5),"基准／缺失")</x:f>
        <x:v>1929-01-01—1929-12-31</x:v>
      </x:c>
      <x:c r="F31" s="54" t="n">
        <x:f>INDEX('年度汇率'!$B$6:$M$112,MATCH($B$3,'年度汇率'!$A$6:$A$112,0),6)</x:f>
        <x:v>19.10803684029503</x:v>
      </x:c>
      <x:c r="G31" s="12" t="n">
        <x:f>IF(ISNUMBER(SEARCH("官价",D31)),1,0)</x:f>
        <x:v>0</x:v>
      </x:c>
      <x:c r="H31" s="12" t="n">
        <x:f>INDEX('来源目录'!$B$70:$M$176,MATCH($B$3,'来源目录'!$A$70:$A$176,0),6)</x:f>
        <x:v>92</x:v>
      </x:c>
    </x:row>
    <x:row r="32" ht="70" customHeight="1">
      <x:c r="A32" s="12" t="str">
        <x:v>JPY</x:v>
      </x:c>
      <x:c r="B32" s="12" t="str">
        <x:f>INDEX('实际币名'!$B$6:$M$112,MATCH($B$3,'实际币名'!$A$6:$A$112,0),7)</x:f>
        <x:v>日元（JPY）</x:v>
      </x:c>
      <x:c r="C32" s="54" t="n">
        <x:f>IF(AND($E$3="排除官价补充",G32=1),"",IF(AND(ISNUMBER(F32),F32&gt;0),F32,""))</x:f>
        <x:v>2.17</x:v>
      </x:c>
      <x:c r="D32" s="12" t="str">
        <x:f>INDEX('口径与来源'!$B$6:$M$112,MATCH($B$3,'口径与来源'!$A$6:$A$112,0),7)</x:f>
        <x:v>年均｜MW_JPY｜1929</x:v>
      </x:c>
      <x:c r="E32" s="12" t="str">
        <x:f>IFERROR(INDEX('原始记录'!$I$6:$I$959,H32-5),"基准／缺失")</x:f>
        <x:v>1929-01-01—1929-12-31</x:v>
      </x:c>
      <x:c r="F32" s="54" t="n">
        <x:f>INDEX('年度汇率'!$B$6:$M$112,MATCH($B$3,'年度汇率'!$A$6:$A$112,0),7)</x:f>
        <x:v>2.17</x:v>
      </x:c>
      <x:c r="G32" s="12" t="n">
        <x:f>IF(ISNUMBER(SEARCH("官价",D32)),1,0)</x:f>
        <x:v>0</x:v>
      </x:c>
      <x:c r="H32" s="12" t="n">
        <x:f>INDEX('来源目录'!$B$70:$M$176,MATCH($B$3,'来源目录'!$A$70:$A$176,0),7)</x:f>
        <x:v>93</x:v>
      </x:c>
    </x:row>
    <x:row r="33" ht="70" customHeight="1">
      <x:c r="A33" s="12" t="str">
        <x:v>CHF</x:v>
      </x:c>
      <x:c r="B33" s="12" t="str">
        <x:f>INDEX('实际币名'!$B$6:$M$112,MATCH($B$3,'实际币名'!$A$6:$A$112,0),8)</x:f>
        <x:v>瑞士法郎（CHF）</x:v>
      </x:c>
      <x:c r="C33" s="54" t="n">
        <x:f>IF(AND($E$3="排除官价补充",G33=1),"",IF(AND(ISNUMBER(F33),F33&gt;0),F33,""))</x:f>
        <x:v>5.1869</x:v>
      </x:c>
      <x:c r="D33" s="12" t="str">
        <x:f>INDEX('口径与来源'!$B$6:$M$112,MATCH($B$3,'口径与来源'!$A$6:$A$112,0),8)</x:f>
        <x:v>年均｜MW_CHF｜1929</x:v>
      </x:c>
      <x:c r="E33" s="12" t="str">
        <x:f>IFERROR(INDEX('原始记录'!$I$6:$I$959,H33-5),"基准／缺失")</x:f>
        <x:v>1929-01-01—1929-12-31</x:v>
      </x:c>
      <x:c r="F33" s="54" t="n">
        <x:f>INDEX('年度汇率'!$B$6:$M$112,MATCH($B$3,'年度汇率'!$A$6:$A$112,0),8)</x:f>
        <x:v>5.1869</x:v>
      </x:c>
      <x:c r="G33" s="12" t="n">
        <x:f>IF(ISNUMBER(SEARCH("官价",D33)),1,0)</x:f>
        <x:v>0</x:v>
      </x:c>
      <x:c r="H33" s="12" t="n">
        <x:f>INDEX('来源目录'!$B$70:$M$176,MATCH($B$3,'来源目录'!$A$70:$A$176,0),8)</x:f>
        <x:v>94</x:v>
      </x:c>
    </x:row>
    <x:row r="34" ht="70" customHeight="1">
      <x:c r="A34" s="12" t="str">
        <x:v>INR</x:v>
      </x:c>
      <x:c r="B34" s="12" t="str">
        <x:f>INDEX('实际币名'!$B$6:$M$112,MATCH($B$3,'实际币名'!$A$6:$A$112,0),9)</x:f>
        <x:v>英属印度卢比</x:v>
      </x:c>
      <x:c r="C34" s="54" t="n">
        <x:f>IF(AND($E$3="排除官价补充",G34=1),"",IF(AND(ISNUMBER(F34),F34&gt;0),F34,""))</x:f>
        <x:v>2.76</x:v>
      </x:c>
      <x:c r="D34" s="12" t="str">
        <x:f>INDEX('口径与来源'!$B$6:$M$112,MATCH($B$3,'口径与来源'!$A$6:$A$112,0),9)</x:f>
        <x:v>年均｜MW_INR｜1929</x:v>
      </x:c>
      <x:c r="E34" s="12" t="str">
        <x:f>IFERROR(INDEX('原始记录'!$I$6:$I$959,H34-5),"基准／缺失")</x:f>
        <x:v>1929-01-01—1929-12-31</x:v>
      </x:c>
      <x:c r="F34" s="54" t="n">
        <x:f>INDEX('年度汇率'!$B$6:$M$112,MATCH($B$3,'年度汇率'!$A$6:$A$112,0),9)</x:f>
        <x:v>2.76</x:v>
      </x:c>
      <x:c r="G34" s="12" t="n">
        <x:f>IF(ISNUMBER(SEARCH("官价",D34)),1,0)</x:f>
        <x:v>0</x:v>
      </x:c>
      <x:c r="H34" s="12" t="n">
        <x:f>INDEX('来源目录'!$B$70:$M$176,MATCH($B$3,'来源目录'!$A$70:$A$176,0),9)</x:f>
        <x:v>95</x:v>
      </x:c>
    </x:row>
    <x:row r="35" ht="70" customHeight="1">
      <x:c r="A35" s="12" t="str">
        <x:v>RUB</x:v>
      </x:c>
      <x:c r="B35" s="12" t="str">
        <x:f>INDEX('实际币名'!$B$6:$M$112,MATCH($B$3,'实际币名'!$A$6:$A$112,0),10)</x:f>
        <x:v>苏联卢布（1924币制）</x:v>
      </x:c>
      <x:c r="C35" s="54" t="n">
        <x:f>IF(AND($E$3="排除官价补充",G35=1),"",IF(AND(ISNUMBER(F35),F35&gt;0),F35,""))</x:f>
        <x:v>1.9434</x:v>
      </x:c>
      <x:c r="D35" s="12" t="str">
        <x:f>INDEX('口径与来源'!$B$6:$M$112,MATCH($B$3,'口径与来源'!$A$6:$A$112,0),10)</x:f>
        <x:v>官价区间参考（非年均）｜SUR_OFFICIAL_SECONDARY｜1928-02-01—1933-04-01</x:v>
      </x:c>
      <x:c r="E35" s="12" t="str">
        <x:f>IFERROR(INDEX('原始记录'!$I$6:$I$959,H35-5),"基准／缺失")</x:f>
        <x:v>1928-02-01—1933-04-01</x:v>
      </x:c>
      <x:c r="F35" s="54" t="n">
        <x:f>INDEX('年度汇率'!$B$6:$M$112,MATCH($B$3,'年度汇率'!$A$6:$A$112,0),10)</x:f>
        <x:v>1.9434</x:v>
      </x:c>
      <x:c r="G35" s="12" t="n">
        <x:f>IF(ISNUMBER(SEARCH("官价",D35)),1,0)</x:f>
        <x:v>1</x:v>
      </x:c>
      <x:c r="H35" s="12" t="n">
        <x:f>INDEX('来源目录'!$B$70:$M$176,MATCH($B$3,'来源目录'!$A$70:$A$176,0),10)</x:f>
        <x:v>96</x:v>
      </x:c>
    </x:row>
    <x:row r="36" ht="70" customHeight="1">
      <x:c r="A36" s="12" t="str">
        <x:v>CNY</x:v>
      </x:c>
      <x:c r="B36" s="12" t="str">
        <x:f>INDEX('实际币名'!$B$6:$M$112,MATCH($B$3,'实际币名'!$A$6:$A$112,0),11)</x:f>
        <x:v>中国旧银元（元）</x:v>
      </x:c>
      <x:c r="C36" s="54" t="n">
        <x:f>IF(AND($E$3="排除官价补充",G36=1),"",IF(AND(ISNUMBER(F36),F36&gt;0),F36,""))</x:f>
        <x:v>2.386594973353667</x:v>
      </x:c>
      <x:c r="D36" s="12" t="str">
        <x:f>INDEX('口径与来源'!$B$6:$M$112,MATCH($B$3,'口径与来源'!$A$6:$A$112,0),11)</x:f>
        <x:v>年均｜FRASER_CN｜1929</x:v>
      </x:c>
      <x:c r="E36" s="12" t="str">
        <x:f>IFERROR(INDEX('原始记录'!$I$6:$I$959,H36-5),"基准／缺失")</x:f>
        <x:v>1929-01-01—1929-12-31</x:v>
      </x:c>
      <x:c r="F36" s="54" t="n">
        <x:f>INDEX('年度汇率'!$B$6:$M$112,MATCH($B$3,'年度汇率'!$A$6:$A$112,0),11)</x:f>
        <x:v>2.386594973353667</x:v>
      </x:c>
      <x:c r="G36" s="12" t="n">
        <x:f>IF(ISNUMBER(SEARCH("官价",D36)),1,0)</x:f>
        <x:v>0</x:v>
      </x:c>
      <x:c r="H36" s="12" t="n">
        <x:f>INDEX('来源目录'!$B$70:$M$176,MATCH($B$3,'来源目录'!$A$70:$A$176,0),11)</x:f>
        <x:v>97</x:v>
      </x:c>
    </x:row>
    <x:row r="37" ht="70" customHeight="1">
      <x:c r="A37" s="12" t="str">
        <x:v>EUR</x:v>
      </x:c>
      <x:c r="B37" s="12" t="str">
        <x:f>INDEX('实际币名'!$B$6:$M$112,MATCH($B$3,'实际币名'!$A$6:$A$112,0),12)</x:f>
        <x:v>德国代理：帝国马克（Reichsmark）</x:v>
      </x:c>
      <x:c r="C37" s="54" t="n">
        <x:f>IF(AND($E$3="排除官价补充",G37=1),"",IF(AND(ISNUMBER(F37),F37&gt;0),F37,""))</x:f>
        <x:v>4.2</x:v>
      </x:c>
      <x:c r="D37" s="12" t="str">
        <x:f>INDEX('口径与来源'!$B$6:$M$112,MATCH($B$3,'口径与来源'!$A$6:$A$112,0),12)</x:f>
        <x:v>德国地区代理；非欧元｜年均｜UCSB_DE｜1929</x:v>
      </x:c>
      <x:c r="E37" s="12" t="str">
        <x:f>IFERROR(INDEX('原始记录'!$I$6:$I$959,H37-5),"基准／缺失")</x:f>
        <x:v>1929-01-01—1929-12-31</x:v>
      </x:c>
      <x:c r="F37" s="54" t="n">
        <x:f>INDEX('年度汇率'!$B$6:$M$112,MATCH($B$3,'年度汇率'!$A$6:$A$112,0),12)</x:f>
        <x:v>4.2</x:v>
      </x:c>
      <x:c r="G37" s="12" t="n">
        <x:f>IF(ISNUMBER(SEARCH("官价",D37)),1,0)</x:f>
        <x:v>0</x:v>
      </x:c>
      <x:c r="H37" s="12" t="n">
        <x:f>INDEX('来源目录'!$B$70:$M$176,MATCH($B$3,'来源目录'!$A$70:$A$176,0),12)</x:f>
        <x:v>91</x:v>
      </x:c>
    </x:row>
  </x:sheetData>
  <x:mergeCells>
    <x:mergeCell ref="A1:M1"/>
    <x:mergeCell ref="E3:H3"/>
    <x:mergeCell ref="A5:M6"/>
  </x:mergeCells>
  <x:conditionalFormatting sqref="B10:M21">
    <x:cfRule type="expression" dxfId="0" priority="1">
      <x:formula>NOT(ISNUMBER(B10))</x:formula>
    </x:cfRule>
  </x:conditionalFormatting>
  <x:conditionalFormatting sqref="C26:H37">
    <x:cfRule type="expression" dxfId="1" priority="2">
      <x:formula>$G26=1</x:formula>
    </x:cfRule>
  </x:conditionalFormatting>
  <x:dataValidations count="2">
    <x:dataValidation type="list" sqref="B3">
      <x:formula1>'年度汇率'!$A$6:$A$112</x:formula1>
    </x:dataValidation>
    <x:dataValidation type="list" sqref="E3">
      <x:formula1>"包含官价补充,排除官价补充"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3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  <x:col min="9" max="9" width="31" hidden="0" customWidth="1"/>
    <x:col min="10" max="10" width="27" hidden="0" customWidth="1"/>
    <x:col min="11" max="11" width="49" hidden="0" customWidth="1"/>
    <x:col min="12" max="12" width="56" hidden="0" customWidth="1"/>
    <x:col min="13" max="13" width="29" hidden="0" customWidth="1"/>
  </x:cols>
  <x:sheetData>
    <x:row r="1" ht="34" customHeight="1">
      <x:c r="A1" s="6" t="str">
        <x:v>原始记录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D列保留原报价，F列保留单位转换倍率，G列用公式统一为1美元兑换本币。来源、统计期及是否官价可逐条筛选；绿色文字为转录输入，黑色为计算结果。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槽位</x:v>
      </x:c>
      <x:c r="C5" s="6" t="str">
        <x:v>当年实际币名</x:v>
      </x:c>
      <x:c r="D5" s="6" t="str">
        <x:v>原始报价</x:v>
      </x:c>
      <x:c r="E5" s="6" t="str">
        <x:v>原始方向</x:v>
      </x:c>
      <x:c r="F5" s="6" t="str">
        <x:v>转换倍率</x:v>
      </x:c>
      <x:c r="G5" s="6" t="str">
        <x:v>1 USD兑本币</x:v>
      </x:c>
      <x:c r="H5" s="6" t="str">
        <x:v>统计口径</x:v>
      </x:c>
      <x:c r="I5" s="6" t="str">
        <x:v>观测期／日期</x:v>
      </x:c>
      <x:c r="J5" s="6" t="str">
        <x:v>来源ID</x:v>
      </x:c>
      <x:c r="K5" s="6" t="str">
        <x:v>来源URL</x:v>
      </x:c>
      <x:c r="L5" s="6" t="str">
        <x:v>说明与限制</x:v>
      </x:c>
      <x:c r="M5" s="6" t="str">
        <x:v>来源等级</x:v>
      </x:c>
    </x:row>
    <x:row r="6" ht="72" customHeight="1">
      <x:c r="A6" t="n">
        <x:v>1920</x:v>
      </x:c>
      <x:c r="B6" t="str">
        <x:v>GBP</x:v>
      </x:c>
      <x:c r="C6" s="12" t="str">
        <x:v>英镑（GBP）</x:v>
      </x:c>
      <x:c r="D6" s="24" t="n">
        <x:v>0.2729</x:v>
      </x:c>
      <x:c r="E6" s="20" t="str">
        <x:v>LCU/USD</x:v>
      </x:c>
      <x:c r="F6" s="20" t="n">
        <x:v>1</x:v>
      </x:c>
      <x:c r="G6" s="22" t="n">
        <x:f>IF(E6="LCU/USD",D6*F6,F6/D6)</x:f>
        <x:v>0.2729</x:v>
      </x:c>
      <x:c r="H6" s="12" t="str">
        <x:v>年均</x:v>
      </x:c>
      <x:c r="I6" s="12" t="str">
        <x:v>1920-01-01—1920-12-31</x:v>
      </x:c>
      <x:c r="J6" s="12" t="str">
        <x:v>MW_GBP</x:v>
      </x:c>
      <x:c r="K6" s="12" t="str">
        <x:v>https://www.measuringworth.com/datasets/exchangeglobal/result.php?countryE%5B%5D=United+Kingdom&amp;year_result=2007&amp;year_source=1791</x:v>
      </x:c>
      <x:c r="L6" s="12" t="str"/>
      <x:c r="M6" s="12" t="str">
        <x:v>B：学术历史汇编</x:v>
      </x:c>
    </x:row>
    <x:row r="7" ht="72" customHeight="1">
      <x:c r="A7" t="n">
        <x:v>1920</x:v>
      </x:c>
      <x:c r="B7" t="str">
        <x:v>CAD</x:v>
      </x:c>
      <x:c r="C7" s="12" t="str">
        <x:v>加拿大元（CAD）</x:v>
      </x:c>
      <x:c r="D7" s="24" t="n">
        <x:v>1.12</x:v>
      </x:c>
      <x:c r="E7" s="20" t="str">
        <x:v>LCU/USD</x:v>
      </x:c>
      <x:c r="F7" s="20" t="n">
        <x:v>1</x:v>
      </x:c>
      <x:c r="G7" s="22" t="n">
        <x:f>IF(E7="LCU/USD",D7*F7,F7/D7)</x:f>
        <x:v>1.12</x:v>
      </x:c>
      <x:c r="H7" s="12" t="str">
        <x:v>年均</x:v>
      </x:c>
      <x:c r="I7" s="12" t="str">
        <x:v>1920-01-01—1920-12-31</x:v>
      </x:c>
      <x:c r="J7" s="12" t="str">
        <x:v>MW_CAD</x:v>
      </x:c>
      <x:c r="K7" s="12" t="str">
        <x:v>https://www.measuringworth.com/datasets/exchangeglobal/result.php?countryE%5B%5D=Canada&amp;year_result=2007&amp;year_source=1913</x:v>
      </x:c>
      <x:c r="L7" s="12" t="str"/>
      <x:c r="M7" s="12" t="str">
        <x:v>B：学术历史汇编</x:v>
      </x:c>
    </x:row>
    <x:row r="8" ht="72" customHeight="1">
      <x:c r="A8" t="n">
        <x:v>1920</x:v>
      </x:c>
      <x:c r="B8" t="str">
        <x:v>FR</x:v>
      </x:c>
      <x:c r="C8" s="12" t="str">
        <x:v>法国旧法郎</x:v>
      </x:c>
      <x:c r="D8" s="24" t="n">
        <x:v>14.205</x:v>
      </x:c>
      <x:c r="E8" s="20" t="str">
        <x:v>LCU/USD</x:v>
      </x:c>
      <x:c r="F8" s="20" t="n">
        <x:v>1</x:v>
      </x:c>
      <x:c r="G8" s="22" t="n">
        <x:f>IF(E8="LCU/USD",D8*F8,F8/D8)</x:f>
        <x:v>14.205</x:v>
      </x:c>
      <x:c r="H8" s="12" t="str">
        <x:v>年均</x:v>
      </x:c>
      <x:c r="I8" s="12" t="str">
        <x:v>1920-01-01—1920-12-31</x:v>
      </x:c>
      <x:c r="J8" s="12" t="str">
        <x:v>MW_FR</x:v>
      </x:c>
      <x:c r="K8" s="12" t="str">
        <x:v>https://www.measuringworth.com/datasets/exchangeglobal/result.php?countryE%5B%5D=France&amp;year_result=1940&amp;year_source=1920</x:v>
      </x:c>
      <x:c r="L8" s="12" t="str"/>
      <x:c r="M8" s="12" t="str">
        <x:v>B：学术历史汇编</x:v>
      </x:c>
    </x:row>
    <x:row r="9" ht="72" customHeight="1">
      <x:c r="A9" t="n">
        <x:v>1920</x:v>
      </x:c>
      <x:c r="B9" t="str">
        <x:v>DE</x:v>
      </x:c>
      <x:c r="C9" s="12" t="str">
        <x:v>德国纸马克</x:v>
      </x:c>
      <x:c r="D9" s="24" t="n">
        <x:v>57.11</x:v>
      </x:c>
      <x:c r="E9" s="20" t="str">
        <x:v>LCU/USD</x:v>
      </x:c>
      <x:c r="F9" s="20" t="n">
        <x:v>1</x:v>
      </x:c>
      <x:c r="G9" s="22" t="n">
        <x:f>IF(E9="LCU/USD",D9*F9,F9/D9)</x:f>
        <x:v>57.11</x:v>
      </x:c>
      <x:c r="H9" s="12" t="str">
        <x:v>年均</x:v>
      </x:c>
      <x:c r="I9" s="12" t="str">
        <x:v>1920-01-01—1920-12-31</x:v>
      </x:c>
      <x:c r="J9" s="12" t="str">
        <x:v>UCSB_DE</x:v>
      </x:c>
      <x:c r="K9" s="12" t="str">
        <x:v>https://marcuse.faculty.history.ucsb.edu/projects/currency.htm</x:v>
      </x:c>
      <x:c r="L9" s="12" t="str"/>
      <x:c r="M9" s="12" t="str">
        <x:v>B：大学页面转录</x:v>
      </x:c>
    </x:row>
    <x:row r="10" ht="72" customHeight="1">
      <x:c r="A10" t="n">
        <x:v>1920</x:v>
      </x:c>
      <x:c r="B10" t="str">
        <x:v>IT</x:v>
      </x:c>
      <x:c r="C10" s="12" t="str">
        <x:v>意大利里拉（ITL）</x:v>
      </x:c>
      <x:c r="D10" s="24" t="n">
        <x:v>4.97</x:v>
      </x:c>
      <x:c r="E10" s="20" t="str">
        <x:v>US cents/LCU</x:v>
      </x:c>
      <x:c r="F10" s="20" t="n">
        <x:f>'币制说明'!$C$25</x:f>
        <x:v>100</x:v>
      </x:c>
      <x:c r="G10" s="22" t="n">
        <x:f>IF(E10="LCU/USD",D10*F10,F10/D10)</x:f>
        <x:v>20.12072434607646</x:v>
      </x:c>
      <x:c r="H10" s="12" t="str">
        <x:v>年均</x:v>
      </x:c>
      <x:c r="I10" s="12" t="str">
        <x:v>1920-01-01—1920-12-31</x:v>
      </x:c>
      <x:c r="J10" s="12" t="str">
        <x:v>FRASER_IT</x:v>
      </x:c>
      <x:c r="K10" s="12" t="str">
        <x:v>https://fraser.stlouisfed.org/title/banking-monetary-statistics-1914-1941-38/part-i-6408/fulltext</x:v>
      </x:c>
      <x:c r="L10" s="12" t="str">
        <x:v>纽约报价；由美分／里拉的年均报价取倒数，非里拉／美元逐日均值。 反向值由原报价均值取倒数；不等于反向日度汇率的算术平均。</x:v>
      </x:c>
      <x:c r="M10" s="12" t="str">
        <x:v>A：机构统计／原始统计表</x:v>
      </x:c>
    </x:row>
    <x:row r="11" ht="72" customHeight="1">
      <x:c r="A11" t="n">
        <x:v>1920</x:v>
      </x:c>
      <x:c r="B11" t="str">
        <x:v>JPY</x:v>
      </x:c>
      <x:c r="C11" s="12" t="str">
        <x:v>日元（JPY）</x:v>
      </x:c>
      <x:c r="D11" s="24" t="n">
        <x:v>1.99</x:v>
      </x:c>
      <x:c r="E11" s="20" t="str">
        <x:v>LCU/USD</x:v>
      </x:c>
      <x:c r="F11" s="20" t="n">
        <x:v>1</x:v>
      </x:c>
      <x:c r="G11" s="22" t="n">
        <x:f>IF(E11="LCU/USD",D11*F11,F11/D11)</x:f>
        <x:v>1.99</x:v>
      </x:c>
      <x:c r="H11" s="12" t="str">
        <x:v>年均</x:v>
      </x:c>
      <x:c r="I11" s="12" t="str">
        <x:v>1920-01-01—1920-12-31</x:v>
      </x:c>
      <x:c r="J11" s="12" t="str">
        <x:v>MW_JPY</x:v>
      </x:c>
      <x:c r="K11" s="12" t="str">
        <x:v>https://www.measuringworth.com/datasets/exchangeglobal/result.php?countryE%5B%5D=Japan&amp;year_result=2016&amp;year_source=1916</x:v>
      </x:c>
      <x:c r="L11" s="12" t="str"/>
      <x:c r="M11" s="12" t="str">
        <x:v>B：学术历史汇编</x:v>
      </x:c>
    </x:row>
    <x:row r="12" ht="72" customHeight="1">
      <x:c r="A12" t="n">
        <x:v>1920</x:v>
      </x:c>
      <x:c r="B12" t="str">
        <x:v>CHF</x:v>
      </x:c>
      <x:c r="C12" s="12" t="str">
        <x:v>瑞士法郎（CHF）</x:v>
      </x:c>
      <x:c r="D12" s="24" t="n">
        <x:v>5.9161</x:v>
      </x:c>
      <x:c r="E12" s="20" t="str">
        <x:v>LCU/USD</x:v>
      </x:c>
      <x:c r="F12" s="20" t="n">
        <x:v>1</x:v>
      </x:c>
      <x:c r="G12" s="22" t="n">
        <x:f>IF(E12="LCU/USD",D12*F12,F12/D12)</x:f>
        <x:v>5.9161</x:v>
      </x:c>
      <x:c r="H12" s="12" t="str">
        <x:v>年均</x:v>
      </x:c>
      <x:c r="I12" s="12" t="str">
        <x:v>1920-01-01—1920-12-31</x:v>
      </x:c>
      <x:c r="J12" s="12" t="str">
        <x:v>MW_CHF</x:v>
      </x:c>
      <x:c r="K12" s="12" t="str">
        <x:v>https://www.measuringworth.com/datasets/exchangeglobal/result.php?countryE%5B%5D=Switzerland&amp;year_result=1955&amp;year_source=1905</x:v>
      </x:c>
      <x:c r="L12" s="12" t="str"/>
      <x:c r="M12" s="12" t="str">
        <x:v>B：学术历史汇编</x:v>
      </x:c>
    </x:row>
    <x:row r="13" ht="72" customHeight="1">
      <x:c r="A13" t="n">
        <x:v>1920</x:v>
      </x:c>
      <x:c r="B13" t="str">
        <x:v>INR</x:v>
      </x:c>
      <x:c r="C13" s="12" t="str">
        <x:v>英属印度卢比</x:v>
      </x:c>
      <x:c r="D13" s="24" t="n">
        <x:v>2.57</x:v>
      </x:c>
      <x:c r="E13" s="20" t="str">
        <x:v>LCU/USD</x:v>
      </x:c>
      <x:c r="F13" s="20" t="n">
        <x:v>1</x:v>
      </x:c>
      <x:c r="G13" s="22" t="n">
        <x:f>IF(E13="LCU/USD",D13*F13,F13/D13)</x:f>
        <x:v>2.57</x:v>
      </x:c>
      <x:c r="H13" s="12" t="str">
        <x:v>年均</x:v>
      </x:c>
      <x:c r="I13" s="12" t="str">
        <x:v>1920-01-01—1920-12-31</x:v>
      </x:c>
      <x:c r="J13" s="12" t="str">
        <x:v>MW_INR</x:v>
      </x:c>
      <x:c r="K13" s="12" t="str">
        <x:v>https://www.measuringworth.com/datasets/exchangeglobal/result.php?countryE%5B%5D=India&amp;year_result=1948&amp;year_source=1916</x:v>
      </x:c>
      <x:c r="L13" s="12" t="str"/>
      <x:c r="M13" s="12" t="str">
        <x:v>B：学术历史汇编</x:v>
      </x:c>
    </x:row>
    <x:row r="14" ht="72" customHeight="1">
      <x:c r="A14" t="n">
        <x:v>1920</x:v>
      </x:c>
      <x:c r="B14" t="str">
        <x:v>CNY</x:v>
      </x:c>
      <x:c r="C14" s="12" t="str">
        <x:v>上海两（银两计价，非银元）</x:v>
      </x:c>
      <x:c r="D14" s="24" t="n">
        <x:v>118.6094</x:v>
      </x:c>
      <x:c r="E14" s="20" t="str">
        <x:v>US cents/LCU</x:v>
      </x:c>
      <x:c r="F14" s="20" t="n">
        <x:f>'币制说明'!$C$25</x:f>
        <x:v>100</x:v>
      </x:c>
      <x:c r="G14" s="22" t="n">
        <x:f>IF(E14="LCU/USD",D14*F14,F14/D14)</x:f>
        <x:v>0.8431034976991706</x:v>
      </x:c>
      <x:c r="H14" s="12" t="str">
        <x:v>年均</x:v>
      </x:c>
      <x:c r="I14" s="12" t="str">
        <x:v>1920-01-01—1920-12-31</x:v>
      </x:c>
      <x:c r="J14" s="12" t="str">
        <x:v>FRASER_CN</x:v>
      </x:c>
      <x:c r="K14" s="12" t="str">
        <x:v>https://fraser.stlouisfed.org/title/banking-monetary-statistics-1914-1941-38/part-i-6408/fulltext</x:v>
      </x:c>
      <x:c r="L14" s="12" t="str">
        <x:v>纽约报价；100÷美分年均报价；不同币制年份单位见实际币名表，并非全国统一零售兑换价。 反向值由原报价均值取倒数；不等于反向日度汇率的算术平均。</x:v>
      </x:c>
      <x:c r="M14" s="12" t="str">
        <x:v>A：机构统计／原始统计表</x:v>
      </x:c>
    </x:row>
    <x:row r="15" ht="72" customHeight="1">
      <x:c r="A15" t="n">
        <x:v>1921</x:v>
      </x:c>
      <x:c r="B15" t="str">
        <x:v>GBP</x:v>
      </x:c>
      <x:c r="C15" s="12" t="str">
        <x:v>英镑（GBP）</x:v>
      </x:c>
      <x:c r="D15" s="24" t="n">
        <x:v>0.2598</x:v>
      </x:c>
      <x:c r="E15" s="20" t="str">
        <x:v>LCU/USD</x:v>
      </x:c>
      <x:c r="F15" s="20" t="n">
        <x:v>1</x:v>
      </x:c>
      <x:c r="G15" s="22" t="n">
        <x:f>IF(E15="LCU/USD",D15*F15,F15/D15)</x:f>
        <x:v>0.2598</x:v>
      </x:c>
      <x:c r="H15" s="12" t="str">
        <x:v>年均</x:v>
      </x:c>
      <x:c r="I15" s="12" t="str">
        <x:v>1921-01-01—1921-12-31</x:v>
      </x:c>
      <x:c r="J15" s="12" t="str">
        <x:v>MW_GBP</x:v>
      </x:c>
      <x:c r="K15" s="12" t="str">
        <x:v>https://www.measuringworth.com/datasets/exchangeglobal/result.php?countryE%5B%5D=United+Kingdom&amp;year_result=2007&amp;year_source=1791</x:v>
      </x:c>
      <x:c r="L15" s="12" t="str"/>
      <x:c r="M15" s="12" t="str">
        <x:v>B：学术历史汇编</x:v>
      </x:c>
    </x:row>
    <x:row r="16" ht="72" customHeight="1">
      <x:c r="A16" t="n">
        <x:v>1921</x:v>
      </x:c>
      <x:c r="B16" t="str">
        <x:v>CAD</x:v>
      </x:c>
      <x:c r="C16" s="12" t="str">
        <x:v>加拿大元（CAD）</x:v>
      </x:c>
      <x:c r="D16" s="24" t="n">
        <x:v>1.117</x:v>
      </x:c>
      <x:c r="E16" s="20" t="str">
        <x:v>LCU/USD</x:v>
      </x:c>
      <x:c r="F16" s="20" t="n">
        <x:v>1</x:v>
      </x:c>
      <x:c r="G16" s="22" t="n">
        <x:f>IF(E16="LCU/USD",D16*F16,F16/D16)</x:f>
        <x:v>1.117</x:v>
      </x:c>
      <x:c r="H16" s="12" t="str">
        <x:v>年均</x:v>
      </x:c>
      <x:c r="I16" s="12" t="str">
        <x:v>1921-01-01—1921-12-31</x:v>
      </x:c>
      <x:c r="J16" s="12" t="str">
        <x:v>MW_CAD</x:v>
      </x:c>
      <x:c r="K16" s="12" t="str">
        <x:v>https://www.measuringworth.com/datasets/exchangeglobal/result.php?countryE%5B%5D=Canada&amp;year_result=2007&amp;year_source=1913</x:v>
      </x:c>
      <x:c r="L16" s="12" t="str"/>
      <x:c r="M16" s="12" t="str">
        <x:v>B：学术历史汇编</x:v>
      </x:c>
    </x:row>
    <x:row r="17" ht="72" customHeight="1">
      <x:c r="A17" t="n">
        <x:v>1921</x:v>
      </x:c>
      <x:c r="B17" t="str">
        <x:v>FR</x:v>
      </x:c>
      <x:c r="C17" s="12" t="str">
        <x:v>法国旧法郎</x:v>
      </x:c>
      <x:c r="D17" s="24" t="n">
        <x:v>13.413</x:v>
      </x:c>
      <x:c r="E17" s="20" t="str">
        <x:v>LCU/USD</x:v>
      </x:c>
      <x:c r="F17" s="20" t="n">
        <x:v>1</x:v>
      </x:c>
      <x:c r="G17" s="22" t="n">
        <x:f>IF(E17="LCU/USD",D17*F17,F17/D17)</x:f>
        <x:v>13.413</x:v>
      </x:c>
      <x:c r="H17" s="12" t="str">
        <x:v>年均</x:v>
      </x:c>
      <x:c r="I17" s="12" t="str">
        <x:v>1921-01-01—1921-12-31</x:v>
      </x:c>
      <x:c r="J17" s="12" t="str">
        <x:v>MW_FR</x:v>
      </x:c>
      <x:c r="K17" s="12" t="str">
        <x:v>https://www.measuringworth.com/datasets/exchangeglobal/result.php?countryE%5B%5D=France&amp;year_result=1940&amp;year_source=1920</x:v>
      </x:c>
      <x:c r="L17" s="12" t="str"/>
      <x:c r="M17" s="12" t="str">
        <x:v>B：学术历史汇编</x:v>
      </x:c>
    </x:row>
    <x:row r="18" ht="72" customHeight="1">
      <x:c r="A18" t="n">
        <x:v>1921</x:v>
      </x:c>
      <x:c r="B18" t="str">
        <x:v>DE</x:v>
      </x:c>
      <x:c r="C18" s="12" t="str">
        <x:v>德国纸马克</x:v>
      </x:c>
      <x:c r="D18" s="24" t="n">
        <x:v>83.02</x:v>
      </x:c>
      <x:c r="E18" s="20" t="str">
        <x:v>LCU/USD</x:v>
      </x:c>
      <x:c r="F18" s="20" t="n">
        <x:v>1</x:v>
      </x:c>
      <x:c r="G18" s="22" t="n">
        <x:f>IF(E18="LCU/USD",D18*F18,F18/D18)</x:f>
        <x:v>83.02</x:v>
      </x:c>
      <x:c r="H18" s="12" t="str">
        <x:v>年均</x:v>
      </x:c>
      <x:c r="I18" s="12" t="str">
        <x:v>1921-01-01—1921-12-31</x:v>
      </x:c>
      <x:c r="J18" s="12" t="str">
        <x:v>UCSB_DE</x:v>
      </x:c>
      <x:c r="K18" s="12" t="str">
        <x:v>https://marcuse.faculty.history.ucsb.edu/projects/currency.htm</x:v>
      </x:c>
      <x:c r="L18" s="12" t="str"/>
      <x:c r="M18" s="12" t="str">
        <x:v>B：大学页面转录</x:v>
      </x:c>
    </x:row>
    <x:row r="19" ht="72" customHeight="1">
      <x:c r="A19" t="n">
        <x:v>1921</x:v>
      </x:c>
      <x:c r="B19" t="str">
        <x:v>IT</x:v>
      </x:c>
      <x:c r="C19" s="12" t="str">
        <x:v>意大利里拉（ITL）</x:v>
      </x:c>
      <x:c r="D19" s="24" t="n">
        <x:v>4.2936</x:v>
      </x:c>
      <x:c r="E19" s="20" t="str">
        <x:v>US cents/LCU</x:v>
      </x:c>
      <x:c r="F19" s="20" t="n">
        <x:f>'币制说明'!$C$25</x:f>
        <x:v>100</x:v>
      </x:c>
      <x:c r="G19" s="22" t="n">
        <x:f>IF(E19="LCU/USD",D19*F19,F19/D19)</x:f>
        <x:v>23.290478852245204</x:v>
      </x:c>
      <x:c r="H19" s="12" t="str">
        <x:v>年均</x:v>
      </x:c>
      <x:c r="I19" s="12" t="str">
        <x:v>1921-01-01—1921-12-31</x:v>
      </x:c>
      <x:c r="J19" s="12" t="str">
        <x:v>FRASER_IT</x:v>
      </x:c>
      <x:c r="K19" s="12" t="str">
        <x:v>https://fraser.stlouisfed.org/title/banking-monetary-statistics-1914-1941-38/part-i-6408/fulltext</x:v>
      </x:c>
      <x:c r="L19" s="12" t="str">
        <x:v>纽约报价；由美分／里拉的年均报价取倒数，非里拉／美元逐日均值。 反向值由原报价均值取倒数；不等于反向日度汇率的算术平均。</x:v>
      </x:c>
      <x:c r="M19" s="12" t="str">
        <x:v>A：机构统计／原始统计表</x:v>
      </x:c>
    </x:row>
    <x:row r="20" ht="72" customHeight="1">
      <x:c r="A20" t="n">
        <x:v>1921</x:v>
      </x:c>
      <x:c r="B20" t="str">
        <x:v>JPY</x:v>
      </x:c>
      <x:c r="C20" s="12" t="str">
        <x:v>日元（JPY）</x:v>
      </x:c>
      <x:c r="D20" s="24" t="n">
        <x:v>2.07</x:v>
      </x:c>
      <x:c r="E20" s="20" t="str">
        <x:v>LCU/USD</x:v>
      </x:c>
      <x:c r="F20" s="20" t="n">
        <x:v>1</x:v>
      </x:c>
      <x:c r="G20" s="22" t="n">
        <x:f>IF(E20="LCU/USD",D20*F20,F20/D20)</x:f>
        <x:v>2.07</x:v>
      </x:c>
      <x:c r="H20" s="12" t="str">
        <x:v>年均</x:v>
      </x:c>
      <x:c r="I20" s="12" t="str">
        <x:v>1921-01-01—1921-12-31</x:v>
      </x:c>
      <x:c r="J20" s="12" t="str">
        <x:v>MW_JPY</x:v>
      </x:c>
      <x:c r="K20" s="12" t="str">
        <x:v>https://www.measuringworth.com/datasets/exchangeglobal/result.php?countryE%5B%5D=Japan&amp;year_result=2016&amp;year_source=1916</x:v>
      </x:c>
      <x:c r="L20" s="12" t="str"/>
      <x:c r="M20" s="12" t="str">
        <x:v>B：学术历史汇编</x:v>
      </x:c>
    </x:row>
    <x:row r="21" ht="72" customHeight="1">
      <x:c r="A21" t="n">
        <x:v>1921</x:v>
      </x:c>
      <x:c r="B21" t="str">
        <x:v>CHF</x:v>
      </x:c>
      <x:c r="C21" s="12" t="str">
        <x:v>瑞士法郎（CHF）</x:v>
      </x:c>
      <x:c r="D21" s="24" t="n">
        <x:v>5.7624</x:v>
      </x:c>
      <x:c r="E21" s="20" t="str">
        <x:v>LCU/USD</x:v>
      </x:c>
      <x:c r="F21" s="20" t="n">
        <x:v>1</x:v>
      </x:c>
      <x:c r="G21" s="22" t="n">
        <x:f>IF(E21="LCU/USD",D21*F21,F21/D21)</x:f>
        <x:v>5.7624</x:v>
      </x:c>
      <x:c r="H21" s="12" t="str">
        <x:v>年均</x:v>
      </x:c>
      <x:c r="I21" s="12" t="str">
        <x:v>1921-01-01—1921-12-31</x:v>
      </x:c>
      <x:c r="J21" s="12" t="str">
        <x:v>MW_CHF</x:v>
      </x:c>
      <x:c r="K21" s="12" t="str">
        <x:v>https://www.measuringworth.com/datasets/exchangeglobal/result.php?countryE%5B%5D=Switzerland&amp;year_result=1955&amp;year_source=1905</x:v>
      </x:c>
      <x:c r="L21" s="12" t="str"/>
      <x:c r="M21" s="12" t="str">
        <x:v>B：学术历史汇编</x:v>
      </x:c>
    </x:row>
    <x:row r="22" ht="72" customHeight="1">
      <x:c r="A22" t="n">
        <x:v>1921</x:v>
      </x:c>
      <x:c r="B22" t="str">
        <x:v>INR</x:v>
      </x:c>
      <x:c r="C22" s="12" t="str">
        <x:v>英属印度卢比</x:v>
      </x:c>
      <x:c r="D22" s="24" t="n">
        <x:v>3.81</x:v>
      </x:c>
      <x:c r="E22" s="20" t="str">
        <x:v>LCU/USD</x:v>
      </x:c>
      <x:c r="F22" s="20" t="n">
        <x:v>1</x:v>
      </x:c>
      <x:c r="G22" s="22" t="n">
        <x:f>IF(E22="LCU/USD",D22*F22,F22/D22)</x:f>
        <x:v>3.81</x:v>
      </x:c>
      <x:c r="H22" s="12" t="str">
        <x:v>年均</x:v>
      </x:c>
      <x:c r="I22" s="12" t="str">
        <x:v>1921-01-01—1921-12-31</x:v>
      </x:c>
      <x:c r="J22" s="12" t="str">
        <x:v>MW_INR</x:v>
      </x:c>
      <x:c r="K22" s="12" t="str">
        <x:v>https://www.measuringworth.com/datasets/exchangeglobal/result.php?countryE%5B%5D=India&amp;year_result=1948&amp;year_source=1916</x:v>
      </x:c>
      <x:c r="L22" s="12" t="str"/>
      <x:c r="M22" s="12" t="str">
        <x:v>B：学术历史汇编</x:v>
      </x:c>
    </x:row>
    <x:row r="23" ht="72" customHeight="1">
      <x:c r="A23" t="n">
        <x:v>1921</x:v>
      </x:c>
      <x:c r="B23" t="str">
        <x:v>CNY</x:v>
      </x:c>
      <x:c r="C23" s="12" t="str">
        <x:v>上海两（银两计价，非银元）</x:v>
      </x:c>
      <x:c r="D23" s="24" t="n">
        <x:v>70.7726</x:v>
      </x:c>
      <x:c r="E23" s="20" t="str">
        <x:v>US cents/LCU</x:v>
      </x:c>
      <x:c r="F23" s="20" t="n">
        <x:f>'币制说明'!$C$25</x:f>
        <x:v>100</x:v>
      </x:c>
      <x:c r="G23" s="22" t="n">
        <x:f>IF(E23="LCU/USD",D23*F23,F23/D23)</x:f>
        <x:v>1.4129762083066046</x:v>
      </x:c>
      <x:c r="H23" s="12" t="str">
        <x:v>年均</x:v>
      </x:c>
      <x:c r="I23" s="12" t="str">
        <x:v>1921-01-01—1921-12-31</x:v>
      </x:c>
      <x:c r="J23" s="12" t="str">
        <x:v>FRASER_CN</x:v>
      </x:c>
      <x:c r="K23" s="12" t="str">
        <x:v>https://fraser.stlouisfed.org/title/banking-monetary-statistics-1914-1941-38/part-i-6408/fulltext</x:v>
      </x:c>
      <x:c r="L23" s="12" t="str">
        <x:v>纽约报价；100÷美分年均报价；不同币制年份单位见实际币名表，并非全国统一零售兑换价。 反向值由原报价均值取倒数；不等于反向日度汇率的算术平均。</x:v>
      </x:c>
      <x:c r="M23" s="12" t="str">
        <x:v>A：机构统计／原始统计表</x:v>
      </x:c>
    </x:row>
    <x:row r="24" ht="72" customHeight="1">
      <x:c r="A24" t="n">
        <x:v>1922</x:v>
      </x:c>
      <x:c r="B24" t="str">
        <x:v>GBP</x:v>
      </x:c>
      <x:c r="C24" s="12" t="str">
        <x:v>英镑（GBP）</x:v>
      </x:c>
      <x:c r="D24" s="24" t="n">
        <x:v>0.2258</x:v>
      </x:c>
      <x:c r="E24" s="20" t="str">
        <x:v>LCU/USD</x:v>
      </x:c>
      <x:c r="F24" s="20" t="n">
        <x:v>1</x:v>
      </x:c>
      <x:c r="G24" s="22" t="n">
        <x:f>IF(E24="LCU/USD",D24*F24,F24/D24)</x:f>
        <x:v>0.2258</x:v>
      </x:c>
      <x:c r="H24" s="12" t="str">
        <x:v>年均</x:v>
      </x:c>
      <x:c r="I24" s="12" t="str">
        <x:v>1922-01-01—1922-12-31</x:v>
      </x:c>
      <x:c r="J24" s="12" t="str">
        <x:v>MW_GBP</x:v>
      </x:c>
      <x:c r="K24" s="12" t="str">
        <x:v>https://www.measuringworth.com/datasets/exchangeglobal/result.php?countryE%5B%5D=United+Kingdom&amp;year_result=2007&amp;year_source=1791</x:v>
      </x:c>
      <x:c r="L24" s="12" t="str"/>
      <x:c r="M24" s="12" t="str">
        <x:v>B：学术历史汇编</x:v>
      </x:c>
    </x:row>
    <x:row r="25" ht="72" customHeight="1">
      <x:c r="A25" t="n">
        <x:v>1922</x:v>
      </x:c>
      <x:c r="B25" t="str">
        <x:v>CAD</x:v>
      </x:c>
      <x:c r="C25" s="12" t="str">
        <x:v>加拿大元（CAD）</x:v>
      </x:c>
      <x:c r="D25" s="24" t="n">
        <x:v>1.015</x:v>
      </x:c>
      <x:c r="E25" s="20" t="str">
        <x:v>LCU/USD</x:v>
      </x:c>
      <x:c r="F25" s="20" t="n">
        <x:v>1</x:v>
      </x:c>
      <x:c r="G25" s="22" t="n">
        <x:f>IF(E25="LCU/USD",D25*F25,F25/D25)</x:f>
        <x:v>1.015</x:v>
      </x:c>
      <x:c r="H25" s="12" t="str">
        <x:v>年均</x:v>
      </x:c>
      <x:c r="I25" s="12" t="str">
        <x:v>1922-01-01—1922-12-31</x:v>
      </x:c>
      <x:c r="J25" s="12" t="str">
        <x:v>MW_CAD</x:v>
      </x:c>
      <x:c r="K25" s="12" t="str">
        <x:v>https://www.measuringworth.com/datasets/exchangeglobal/result.php?countryE%5B%5D=Canada&amp;year_result=2007&amp;year_source=1913</x:v>
      </x:c>
      <x:c r="L25" s="12" t="str"/>
      <x:c r="M25" s="12" t="str">
        <x:v>B：学术历史汇编</x:v>
      </x:c>
    </x:row>
    <x:row r="26" ht="72" customHeight="1">
      <x:c r="A26" t="n">
        <x:v>1922</x:v>
      </x:c>
      <x:c r="B26" t="str">
        <x:v>FR</x:v>
      </x:c>
      <x:c r="C26" s="12" t="str">
        <x:v>法国旧法郎</x:v>
      </x:c>
      <x:c r="D26" s="24" t="n">
        <x:v>12.193</x:v>
      </x:c>
      <x:c r="E26" s="20" t="str">
        <x:v>LCU/USD</x:v>
      </x:c>
      <x:c r="F26" s="20" t="n">
        <x:v>1</x:v>
      </x:c>
      <x:c r="G26" s="22" t="n">
        <x:f>IF(E26="LCU/USD",D26*F26,F26/D26)</x:f>
        <x:v>12.193</x:v>
      </x:c>
      <x:c r="H26" s="12" t="str">
        <x:v>年均</x:v>
      </x:c>
      <x:c r="I26" s="12" t="str">
        <x:v>1922-01-01—1922-12-31</x:v>
      </x:c>
      <x:c r="J26" s="12" t="str">
        <x:v>MW_FR</x:v>
      </x:c>
      <x:c r="K26" s="12" t="str">
        <x:v>https://www.measuringworth.com/datasets/exchangeglobal/result.php?countryE%5B%5D=France&amp;year_result=1940&amp;year_source=1920</x:v>
      </x:c>
      <x:c r="L26" s="12" t="str"/>
      <x:c r="M26" s="12" t="str">
        <x:v>B：学术历史汇编</x:v>
      </x:c>
    </x:row>
    <x:row r="27" ht="72" customHeight="1">
      <x:c r="A27" t="n">
        <x:v>1922</x:v>
      </x:c>
      <x:c r="B27" t="str">
        <x:v>DE</x:v>
      </x:c>
      <x:c r="C27" s="12" t="str">
        <x:v>德国纸马克</x:v>
      </x:c>
      <x:c r="D27" s="24" t="n">
        <x:v>430.48</x:v>
      </x:c>
      <x:c r="E27" s="20" t="str">
        <x:v>LCU/USD</x:v>
      </x:c>
      <x:c r="F27" s="20" t="n">
        <x:v>1</x:v>
      </x:c>
      <x:c r="G27" s="22" t="n">
        <x:f>IF(E27="LCU/USD",D27*F27,F27/D27)</x:f>
        <x:v>430.48</x:v>
      </x:c>
      <x:c r="H27" s="12" t="str">
        <x:v>年均</x:v>
      </x:c>
      <x:c r="I27" s="12" t="str">
        <x:v>1922-01-01—1922-12-31</x:v>
      </x:c>
      <x:c r="J27" s="12" t="str">
        <x:v>UCSB_DE</x:v>
      </x:c>
      <x:c r="K27" s="12" t="str">
        <x:v>https://marcuse.faculty.history.ucsb.edu/projects/currency.htm</x:v>
      </x:c>
      <x:c r="L27" s="12" t="str"/>
      <x:c r="M27" s="12" t="str">
        <x:v>B：大学页面转录</x:v>
      </x:c>
    </x:row>
    <x:row r="28" ht="72" customHeight="1">
      <x:c r="A28" t="n">
        <x:v>1922</x:v>
      </x:c>
      <x:c r="B28" t="str">
        <x:v>IT</x:v>
      </x:c>
      <x:c r="C28" s="12" t="str">
        <x:v>意大利里拉（ITL）</x:v>
      </x:c>
      <x:c r="D28" s="24" t="n">
        <x:v>4.7559</x:v>
      </x:c>
      <x:c r="E28" s="20" t="str">
        <x:v>US cents/LCU</x:v>
      </x:c>
      <x:c r="F28" s="20" t="n">
        <x:f>'币制说明'!$C$25</x:f>
        <x:v>100</x:v>
      </x:c>
      <x:c r="G28" s="22" t="n">
        <x:f>IF(E28="LCU/USD",D28*F28,F28/D28)</x:f>
        <x:v>21.02651443470216</x:v>
      </x:c>
      <x:c r="H28" s="12" t="str">
        <x:v>年均</x:v>
      </x:c>
      <x:c r="I28" s="12" t="str">
        <x:v>1922-01-01—1922-12-31</x:v>
      </x:c>
      <x:c r="J28" s="12" t="str">
        <x:v>FRASER_IT</x:v>
      </x:c>
      <x:c r="K28" s="12" t="str">
        <x:v>https://fraser.stlouisfed.org/title/banking-monetary-statistics-1914-1941-38/part-i-6408/fulltext</x:v>
      </x:c>
      <x:c r="L28" s="12" t="str">
        <x:v>纽约报价；由美分／里拉的年均报价取倒数，非里拉／美元逐日均值。 反向值由原报价均值取倒数；不等于反向日度汇率的算术平均。</x:v>
      </x:c>
      <x:c r="M28" s="12" t="str">
        <x:v>A：机构统计／原始统计表</x:v>
      </x:c>
    </x:row>
    <x:row r="29" ht="72" customHeight="1">
      <x:c r="A29" t="n">
        <x:v>1922</x:v>
      </x:c>
      <x:c r="B29" t="str">
        <x:v>JPY</x:v>
      </x:c>
      <x:c r="C29" s="12" t="str">
        <x:v>日元（JPY）</x:v>
      </x:c>
      <x:c r="D29" s="24" t="n">
        <x:v>2.09</x:v>
      </x:c>
      <x:c r="E29" s="20" t="str">
        <x:v>LCU/USD</x:v>
      </x:c>
      <x:c r="F29" s="20" t="n">
        <x:v>1</x:v>
      </x:c>
      <x:c r="G29" s="22" t="n">
        <x:f>IF(E29="LCU/USD",D29*F29,F29/D29)</x:f>
        <x:v>2.09</x:v>
      </x:c>
      <x:c r="H29" s="12" t="str">
        <x:v>年均</x:v>
      </x:c>
      <x:c r="I29" s="12" t="str">
        <x:v>1922-01-01—1922-12-31</x:v>
      </x:c>
      <x:c r="J29" s="12" t="str">
        <x:v>MW_JPY</x:v>
      </x:c>
      <x:c r="K29" s="12" t="str">
        <x:v>https://www.measuringworth.com/datasets/exchangeglobal/result.php?countryE%5B%5D=Japan&amp;year_result=2016&amp;year_source=1916</x:v>
      </x:c>
      <x:c r="L29" s="12" t="str"/>
      <x:c r="M29" s="12" t="str">
        <x:v>B：学术历史汇编</x:v>
      </x:c>
    </x:row>
    <x:row r="30" ht="72" customHeight="1">
      <x:c r="A30" t="n">
        <x:v>1922</x:v>
      </x:c>
      <x:c r="B30" t="str">
        <x:v>CHF</x:v>
      </x:c>
      <x:c r="C30" s="12" t="str">
        <x:v>瑞士法郎（CHF）</x:v>
      </x:c>
      <x:c r="D30" s="24" t="n">
        <x:v>5.2452</x:v>
      </x:c>
      <x:c r="E30" s="20" t="str">
        <x:v>LCU/USD</x:v>
      </x:c>
      <x:c r="F30" s="20" t="n">
        <x:v>1</x:v>
      </x:c>
      <x:c r="G30" s="22" t="n">
        <x:f>IF(E30="LCU/USD",D30*F30,F30/D30)</x:f>
        <x:v>5.2452</x:v>
      </x:c>
      <x:c r="H30" s="12" t="str">
        <x:v>年均</x:v>
      </x:c>
      <x:c r="I30" s="12" t="str">
        <x:v>1922-01-01—1922-12-31</x:v>
      </x:c>
      <x:c r="J30" s="12" t="str">
        <x:v>MW_CHF</x:v>
      </x:c>
      <x:c r="K30" s="12" t="str">
        <x:v>https://www.measuringworth.com/datasets/exchangeglobal/result.php?countryE%5B%5D=Switzerland&amp;year_result=1955&amp;year_source=1905</x:v>
      </x:c>
      <x:c r="L30" s="12" t="str"/>
      <x:c r="M30" s="12" t="str">
        <x:v>B：学术历史汇编</x:v>
      </x:c>
    </x:row>
    <x:row r="31" ht="72" customHeight="1">
      <x:c r="A31" t="n">
        <x:v>1922</x:v>
      </x:c>
      <x:c r="B31" t="str">
        <x:v>INR</x:v>
      </x:c>
      <x:c r="C31" s="12" t="str">
        <x:v>英属印度卢比</x:v>
      </x:c>
      <x:c r="D31" s="24" t="n">
        <x:v>3.48</x:v>
      </x:c>
      <x:c r="E31" s="20" t="str">
        <x:v>LCU/USD</x:v>
      </x:c>
      <x:c r="F31" s="20" t="n">
        <x:v>1</x:v>
      </x:c>
      <x:c r="G31" s="22" t="n">
        <x:f>IF(E31="LCU/USD",D31*F31,F31/D31)</x:f>
        <x:v>3.48</x:v>
      </x:c>
      <x:c r="H31" s="12" t="str">
        <x:v>年均</x:v>
      </x:c>
      <x:c r="I31" s="12" t="str">
        <x:v>1922-01-01—1922-12-31</x:v>
      </x:c>
      <x:c r="J31" s="12" t="str">
        <x:v>MW_INR</x:v>
      </x:c>
      <x:c r="K31" s="12" t="str">
        <x:v>https://www.measuringworth.com/datasets/exchangeglobal/result.php?countryE%5B%5D=India&amp;year_result=1948&amp;year_source=1916</x:v>
      </x:c>
      <x:c r="L31" s="12" t="str"/>
      <x:c r="M31" s="12" t="str">
        <x:v>B：学术历史汇编</x:v>
      </x:c>
    </x:row>
    <x:row r="32" ht="72" customHeight="1">
      <x:c r="A32" t="n">
        <x:v>1922</x:v>
      </x:c>
      <x:c r="B32" t="str">
        <x:v>CNY</x:v>
      </x:c>
      <x:c r="C32" s="12" t="str">
        <x:v>中国旧银元（元）</x:v>
      </x:c>
      <x:c r="D32" s="24" t="n">
        <x:v>55.6341</x:v>
      </x:c>
      <x:c r="E32" s="20" t="str">
        <x:v>US cents/LCU</x:v>
      </x:c>
      <x:c r="F32" s="20" t="n">
        <x:f>'币制说明'!$C$25</x:f>
        <x:v>100</x:v>
      </x:c>
      <x:c r="G32" s="22" t="n">
        <x:f>IF(E32="LCU/USD",D32*F32,F32/D32)</x:f>
        <x:v>1.79745875281527</x:v>
      </x:c>
      <x:c r="H32" s="12" t="str">
        <x:v>年均</x:v>
      </x:c>
      <x:c r="I32" s="12" t="str">
        <x:v>1922-01-01—1922-12-31</x:v>
      </x:c>
      <x:c r="J32" s="12" t="str">
        <x:v>FRASER_CN</x:v>
      </x:c>
      <x:c r="K32" s="12" t="str">
        <x:v>https://fraser.stlouisfed.org/title/banking-monetary-statistics-1914-1941-38/part-i-6408/fulltext</x:v>
      </x:c>
      <x:c r="L32" s="12" t="str">
        <x:v>纽约报价；100÷美分年均报价；不同币制年份单位见实际币名表，并非全国统一零售兑换价。 反向值由原报价均值取倒数；不等于反向日度汇率的算术平均。</x:v>
      </x:c>
      <x:c r="M32" s="12" t="str">
        <x:v>A：机构统计／原始统计表</x:v>
      </x:c>
    </x:row>
    <x:row r="33" ht="72" customHeight="1">
      <x:c r="A33" t="n">
        <x:v>1923</x:v>
      </x:c>
      <x:c r="B33" t="str">
        <x:v>GBP</x:v>
      </x:c>
      <x:c r="C33" s="12" t="str">
        <x:v>英镑（GBP）</x:v>
      </x:c>
      <x:c r="D33" s="24" t="n">
        <x:v>0.2186</x:v>
      </x:c>
      <x:c r="E33" s="20" t="str">
        <x:v>LCU/USD</x:v>
      </x:c>
      <x:c r="F33" s="20" t="n">
        <x:v>1</x:v>
      </x:c>
      <x:c r="G33" s="22" t="n">
        <x:f>IF(E33="LCU/USD",D33*F33,F33/D33)</x:f>
        <x:v>0.2186</x:v>
      </x:c>
      <x:c r="H33" s="12" t="str">
        <x:v>年均</x:v>
      </x:c>
      <x:c r="I33" s="12" t="str">
        <x:v>1923-01-01—1923-12-31</x:v>
      </x:c>
      <x:c r="J33" s="12" t="str">
        <x:v>MW_GBP</x:v>
      </x:c>
      <x:c r="K33" s="12" t="str">
        <x:v>https://www.measuringworth.com/datasets/exchangeglobal/result.php?countryE%5B%5D=United+Kingdom&amp;year_result=2007&amp;year_source=1791</x:v>
      </x:c>
      <x:c r="L33" s="12" t="str"/>
      <x:c r="M33" s="12" t="str">
        <x:v>B：学术历史汇编</x:v>
      </x:c>
    </x:row>
    <x:row r="34" ht="72" customHeight="1">
      <x:c r="A34" t="n">
        <x:v>1923</x:v>
      </x:c>
      <x:c r="B34" t="str">
        <x:v>CAD</x:v>
      </x:c>
      <x:c r="C34" s="12" t="str">
        <x:v>加拿大元（CAD）</x:v>
      </x:c>
      <x:c r="D34" s="24" t="n">
        <x:v>1.02</x:v>
      </x:c>
      <x:c r="E34" s="20" t="str">
        <x:v>LCU/USD</x:v>
      </x:c>
      <x:c r="F34" s="20" t="n">
        <x:v>1</x:v>
      </x:c>
      <x:c r="G34" s="22" t="n">
        <x:f>IF(E34="LCU/USD",D34*F34,F34/D34)</x:f>
        <x:v>1.02</x:v>
      </x:c>
      <x:c r="H34" s="12" t="str">
        <x:v>年均</x:v>
      </x:c>
      <x:c r="I34" s="12" t="str">
        <x:v>1923-01-01—1923-12-31</x:v>
      </x:c>
      <x:c r="J34" s="12" t="str">
        <x:v>MW_CAD</x:v>
      </x:c>
      <x:c r="K34" s="12" t="str">
        <x:v>https://www.measuringworth.com/datasets/exchangeglobal/result.php?countryE%5B%5D=Canada&amp;year_result=2007&amp;year_source=1913</x:v>
      </x:c>
      <x:c r="L34" s="12" t="str"/>
      <x:c r="M34" s="12" t="str">
        <x:v>B：学术历史汇编</x:v>
      </x:c>
    </x:row>
    <x:row r="35" ht="72" customHeight="1">
      <x:c r="A35" t="n">
        <x:v>1923</x:v>
      </x:c>
      <x:c r="B35" t="str">
        <x:v>FR</x:v>
      </x:c>
      <x:c r="C35" s="12" t="str">
        <x:v>法国旧法郎</x:v>
      </x:c>
      <x:c r="D35" s="24" t="n">
        <x:v>16.444</x:v>
      </x:c>
      <x:c r="E35" s="20" t="str">
        <x:v>LCU/USD</x:v>
      </x:c>
      <x:c r="F35" s="20" t="n">
        <x:v>1</x:v>
      </x:c>
      <x:c r="G35" s="22" t="n">
        <x:f>IF(E35="LCU/USD",D35*F35,F35/D35)</x:f>
        <x:v>16.444</x:v>
      </x:c>
      <x:c r="H35" s="12" t="str">
        <x:v>年均</x:v>
      </x:c>
      <x:c r="I35" s="12" t="str">
        <x:v>1923-01-01—1923-12-31</x:v>
      </x:c>
      <x:c r="J35" s="12" t="str">
        <x:v>MW_FR</x:v>
      </x:c>
      <x:c r="K35" s="12" t="str">
        <x:v>https://www.measuringworth.com/datasets/exchangeglobal/result.php?countryE%5B%5D=France&amp;year_result=1940&amp;year_source=1920</x:v>
      </x:c>
      <x:c r="L35" s="12" t="str"/>
      <x:c r="M35" s="12" t="str">
        <x:v>B：学术历史汇编</x:v>
      </x:c>
    </x:row>
    <x:row r="36" ht="72" customHeight="1">
      <x:c r="A36" t="n">
        <x:v>1923</x:v>
      </x:c>
      <x:c r="B36" t="str">
        <x:v>IT</x:v>
      </x:c>
      <x:c r="C36" s="12" t="str">
        <x:v>意大利里拉（ITL）</x:v>
      </x:c>
      <x:c r="D36" s="24" t="n">
        <x:v>4.6016</x:v>
      </x:c>
      <x:c r="E36" s="20" t="str">
        <x:v>US cents/LCU</x:v>
      </x:c>
      <x:c r="F36" s="20" t="n">
        <x:f>'币制说明'!$C$25</x:f>
        <x:v>100</x:v>
      </x:c>
      <x:c r="G36" s="22" t="n">
        <x:f>IF(E36="LCU/USD",D36*F36,F36/D36)</x:f>
        <x:v>21.73157162726008</x:v>
      </x:c>
      <x:c r="H36" s="12" t="str">
        <x:v>年均</x:v>
      </x:c>
      <x:c r="I36" s="12" t="str">
        <x:v>1923-01-01—1923-12-31</x:v>
      </x:c>
      <x:c r="J36" s="12" t="str">
        <x:v>FRASER_IT</x:v>
      </x:c>
      <x:c r="K36" s="12" t="str">
        <x:v>https://fraser.stlouisfed.org/title/banking-monetary-statistics-1914-1941-38/part-i-6408/fulltext</x:v>
      </x:c>
      <x:c r="L36" s="12" t="str">
        <x:v>纽约报价；由美分／里拉的年均报价取倒数，非里拉／美元逐日均值。 反向值由原报价均值取倒数；不等于反向日度汇率的算术平均。</x:v>
      </x:c>
      <x:c r="M36" s="12" t="str">
        <x:v>A：机构统计／原始统计表</x:v>
      </x:c>
    </x:row>
    <x:row r="37" ht="72" customHeight="1">
      <x:c r="A37" t="n">
        <x:v>1923</x:v>
      </x:c>
      <x:c r="B37" t="str">
        <x:v>JPY</x:v>
      </x:c>
      <x:c r="C37" s="12" t="str">
        <x:v>日元（JPY）</x:v>
      </x:c>
      <x:c r="D37" s="24" t="n">
        <x:v>2.06</x:v>
      </x:c>
      <x:c r="E37" s="20" t="str">
        <x:v>LCU/USD</x:v>
      </x:c>
      <x:c r="F37" s="20" t="n">
        <x:v>1</x:v>
      </x:c>
      <x:c r="G37" s="22" t="n">
        <x:f>IF(E37="LCU/USD",D37*F37,F37/D37)</x:f>
        <x:v>2.06</x:v>
      </x:c>
      <x:c r="H37" s="12" t="str">
        <x:v>年均</x:v>
      </x:c>
      <x:c r="I37" s="12" t="str">
        <x:v>1923-01-01—1923-12-31</x:v>
      </x:c>
      <x:c r="J37" s="12" t="str">
        <x:v>MW_JPY</x:v>
      </x:c>
      <x:c r="K37" s="12" t="str">
        <x:v>https://www.measuringworth.com/datasets/exchangeglobal/result.php?countryE%5B%5D=Japan&amp;year_result=2016&amp;year_source=1916</x:v>
      </x:c>
      <x:c r="L37" s="12" t="str"/>
      <x:c r="M37" s="12" t="str">
        <x:v>B：学术历史汇编</x:v>
      </x:c>
    </x:row>
    <x:row r="38" ht="72" customHeight="1">
      <x:c r="A38" t="n">
        <x:v>1923</x:v>
      </x:c>
      <x:c r="B38" t="str">
        <x:v>CHF</x:v>
      </x:c>
      <x:c r="C38" s="12" t="str">
        <x:v>瑞士法郎（CHF）</x:v>
      </x:c>
      <x:c r="D38" s="24" t="n">
        <x:v>5.5371</x:v>
      </x:c>
      <x:c r="E38" s="20" t="str">
        <x:v>LCU/USD</x:v>
      </x:c>
      <x:c r="F38" s="20" t="n">
        <x:v>1</x:v>
      </x:c>
      <x:c r="G38" s="22" t="n">
        <x:f>IF(E38="LCU/USD",D38*F38,F38/D38)</x:f>
        <x:v>5.5371</x:v>
      </x:c>
      <x:c r="H38" s="12" t="str">
        <x:v>年均</x:v>
      </x:c>
      <x:c r="I38" s="12" t="str">
        <x:v>1923-01-01—1923-12-31</x:v>
      </x:c>
      <x:c r="J38" s="12" t="str">
        <x:v>MW_CHF</x:v>
      </x:c>
      <x:c r="K38" s="12" t="str">
        <x:v>https://www.measuringworth.com/datasets/exchangeglobal/result.php?countryE%5B%5D=Switzerland&amp;year_result=1955&amp;year_source=1905</x:v>
      </x:c>
      <x:c r="L38" s="12" t="str"/>
      <x:c r="M38" s="12" t="str">
        <x:v>B：学术历史汇编</x:v>
      </x:c>
    </x:row>
    <x:row r="39" ht="72" customHeight="1">
      <x:c r="A39" t="n">
        <x:v>1923</x:v>
      </x:c>
      <x:c r="B39" t="str">
        <x:v>INR</x:v>
      </x:c>
      <x:c r="C39" s="12" t="str">
        <x:v>英属印度卢比</x:v>
      </x:c>
      <x:c r="D39" s="24" t="n">
        <x:v>3.21</x:v>
      </x:c>
      <x:c r="E39" s="20" t="str">
        <x:v>LCU/USD</x:v>
      </x:c>
      <x:c r="F39" s="20" t="n">
        <x:v>1</x:v>
      </x:c>
      <x:c r="G39" s="22" t="n">
        <x:f>IF(E39="LCU/USD",D39*F39,F39/D39)</x:f>
        <x:v>3.21</x:v>
      </x:c>
      <x:c r="H39" s="12" t="str">
        <x:v>年均</x:v>
      </x:c>
      <x:c r="I39" s="12" t="str">
        <x:v>1923-01-01—1923-12-31</x:v>
      </x:c>
      <x:c r="J39" s="12" t="str">
        <x:v>MW_INR</x:v>
      </x:c>
      <x:c r="K39" s="12" t="str">
        <x:v>https://www.measuringworth.com/datasets/exchangeglobal/result.php?countryE%5B%5D=India&amp;year_result=1948&amp;year_source=1916</x:v>
      </x:c>
      <x:c r="L39" s="12" t="str"/>
      <x:c r="M39" s="12" t="str">
        <x:v>B：学术历史汇编</x:v>
      </x:c>
    </x:row>
    <x:row r="40" ht="72" customHeight="1">
      <x:c r="A40" t="n">
        <x:v>1923</x:v>
      </x:c>
      <x:c r="B40" t="str">
        <x:v>CNY</x:v>
      </x:c>
      <x:c r="C40" s="12" t="str">
        <x:v>中国旧银元（元）</x:v>
      </x:c>
      <x:c r="D40" s="24" t="n">
        <x:v>52.6223</x:v>
      </x:c>
      <x:c r="E40" s="20" t="str">
        <x:v>US cents/LCU</x:v>
      </x:c>
      <x:c r="F40" s="20" t="n">
        <x:f>'币制说明'!$C$25</x:f>
        <x:v>100</x:v>
      </x:c>
      <x:c r="G40" s="22" t="n">
        <x:f>IF(E40="LCU/USD",D40*F40,F40/D40)</x:f>
        <x:v>1.9003350290656242</x:v>
      </x:c>
      <x:c r="H40" s="12" t="str">
        <x:v>年均</x:v>
      </x:c>
      <x:c r="I40" s="12" t="str">
        <x:v>1923-01-01—1923-12-31</x:v>
      </x:c>
      <x:c r="J40" s="12" t="str">
        <x:v>FRASER_CN</x:v>
      </x:c>
      <x:c r="K40" s="12" t="str">
        <x:v>https://fraser.stlouisfed.org/title/banking-monetary-statistics-1914-1941-38/part-i-6408/fulltext</x:v>
      </x:c>
      <x:c r="L40" s="12" t="str">
        <x:v>纽约报价；100÷美分年均报价；不同币制年份单位见实际币名表，并非全国统一零售兑换价。 反向值由原报价均值取倒数；不等于反向日度汇率的算术平均。</x:v>
      </x:c>
      <x:c r="M40" s="12" t="str">
        <x:v>A：机构统计／原始统计表</x:v>
      </x:c>
    </x:row>
    <x:row r="41" ht="72" customHeight="1">
      <x:c r="A41" t="n">
        <x:v>1924</x:v>
      </x:c>
      <x:c r="B41" t="str">
        <x:v>GBP</x:v>
      </x:c>
      <x:c r="C41" s="12" t="str">
        <x:v>英镑（GBP）</x:v>
      </x:c>
      <x:c r="D41" s="24" t="n">
        <x:v>0.2264</x:v>
      </x:c>
      <x:c r="E41" s="20" t="str">
        <x:v>LCU/USD</x:v>
      </x:c>
      <x:c r="F41" s="20" t="n">
        <x:v>1</x:v>
      </x:c>
      <x:c r="G41" s="22" t="n">
        <x:f>IF(E41="LCU/USD",D41*F41,F41/D41)</x:f>
        <x:v>0.2264</x:v>
      </x:c>
      <x:c r="H41" s="12" t="str">
        <x:v>年均</x:v>
      </x:c>
      <x:c r="I41" s="12" t="str">
        <x:v>1924-01-01—1924-12-31</x:v>
      </x:c>
      <x:c r="J41" s="12" t="str">
        <x:v>MW_GBP</x:v>
      </x:c>
      <x:c r="K41" s="12" t="str">
        <x:v>https://www.measuringworth.com/datasets/exchangeglobal/result.php?countryE%5B%5D=United+Kingdom&amp;year_result=2007&amp;year_source=1791</x:v>
      </x:c>
      <x:c r="L41" s="12" t="str"/>
      <x:c r="M41" s="12" t="str">
        <x:v>B：学术历史汇编</x:v>
      </x:c>
    </x:row>
    <x:row r="42" ht="72" customHeight="1">
      <x:c r="A42" t="n">
        <x:v>1924</x:v>
      </x:c>
      <x:c r="B42" t="str">
        <x:v>CAD</x:v>
      </x:c>
      <x:c r="C42" s="12" t="str">
        <x:v>加拿大元（CAD）</x:v>
      </x:c>
      <x:c r="D42" s="24" t="n">
        <x:v>1.013</x:v>
      </x:c>
      <x:c r="E42" s="20" t="str">
        <x:v>LCU/USD</x:v>
      </x:c>
      <x:c r="F42" s="20" t="n">
        <x:v>1</x:v>
      </x:c>
      <x:c r="G42" s="22" t="n">
        <x:f>IF(E42="LCU/USD",D42*F42,F42/D42)</x:f>
        <x:v>1.013</x:v>
      </x:c>
      <x:c r="H42" s="12" t="str">
        <x:v>年均</x:v>
      </x:c>
      <x:c r="I42" s="12" t="str">
        <x:v>1924-01-01—1924-12-31</x:v>
      </x:c>
      <x:c r="J42" s="12" t="str">
        <x:v>MW_CAD</x:v>
      </x:c>
      <x:c r="K42" s="12" t="str">
        <x:v>https://www.measuringworth.com/datasets/exchangeglobal/result.php?countryE%5B%5D=Canada&amp;year_result=2007&amp;year_source=1913</x:v>
      </x:c>
      <x:c r="L42" s="12" t="str"/>
      <x:c r="M42" s="12" t="str">
        <x:v>B：学术历史汇编</x:v>
      </x:c>
    </x:row>
    <x:row r="43" ht="72" customHeight="1">
      <x:c r="A43" t="n">
        <x:v>1924</x:v>
      </x:c>
      <x:c r="B43" t="str">
        <x:v>FR</x:v>
      </x:c>
      <x:c r="C43" s="12" t="str">
        <x:v>法国旧法郎</x:v>
      </x:c>
      <x:c r="D43" s="24" t="n">
        <x:v>19.096</x:v>
      </x:c>
      <x:c r="E43" s="20" t="str">
        <x:v>LCU/USD</x:v>
      </x:c>
      <x:c r="F43" s="20" t="n">
        <x:v>1</x:v>
      </x:c>
      <x:c r="G43" s="22" t="n">
        <x:f>IF(E43="LCU/USD",D43*F43,F43/D43)</x:f>
        <x:v>19.096</x:v>
      </x:c>
      <x:c r="H43" s="12" t="str">
        <x:v>年均</x:v>
      </x:c>
      <x:c r="I43" s="12" t="str">
        <x:v>1924-01-01—1924-12-31</x:v>
      </x:c>
      <x:c r="J43" s="12" t="str">
        <x:v>MW_FR</x:v>
      </x:c>
      <x:c r="K43" s="12" t="str">
        <x:v>https://www.measuringworth.com/datasets/exchangeglobal/result.php?countryE%5B%5D=France&amp;year_result=1940&amp;year_source=1920</x:v>
      </x:c>
      <x:c r="L43" s="12" t="str"/>
      <x:c r="M43" s="12" t="str">
        <x:v>B：学术历史汇编</x:v>
      </x:c>
    </x:row>
    <x:row r="44" ht="72" customHeight="1">
      <x:c r="A44" t="n">
        <x:v>1924</x:v>
      </x:c>
      <x:c r="B44" t="str">
        <x:v>IT</x:v>
      </x:c>
      <x:c r="C44" s="12" t="str">
        <x:v>意大利里拉（ITL）</x:v>
      </x:c>
      <x:c r="D44" s="24" t="n">
        <x:v>4.358</x:v>
      </x:c>
      <x:c r="E44" s="20" t="str">
        <x:v>US cents/LCU</x:v>
      </x:c>
      <x:c r="F44" s="20" t="n">
        <x:f>'币制说明'!$C$25</x:f>
        <x:v>100</x:v>
      </x:c>
      <x:c r="G44" s="22" t="n">
        <x:f>IF(E44="LCU/USD",D44*F44,F44/D44)</x:f>
        <x:v>22.94630564479119</x:v>
      </x:c>
      <x:c r="H44" s="12" t="str">
        <x:v>年均</x:v>
      </x:c>
      <x:c r="I44" s="12" t="str">
        <x:v>1924-01-01—1924-12-31</x:v>
      </x:c>
      <x:c r="J44" s="12" t="str">
        <x:v>FRASER_IT</x:v>
      </x:c>
      <x:c r="K44" s="12" t="str">
        <x:v>https://fraser.stlouisfed.org/title/banking-monetary-statistics-1914-1941-38/part-i-6408/fulltext</x:v>
      </x:c>
      <x:c r="L44" s="12" t="str">
        <x:v>纽约报价；由美分／里拉的年均报价取倒数，非里拉／美元逐日均值。 反向值由原报价均值取倒数；不等于反向日度汇率的算术平均。</x:v>
      </x:c>
      <x:c r="M44" s="12" t="str">
        <x:v>A：机构统计／原始统计表</x:v>
      </x:c>
    </x:row>
    <x:row r="45" ht="72" customHeight="1">
      <x:c r="A45" t="n">
        <x:v>1924</x:v>
      </x:c>
      <x:c r="B45" t="str">
        <x:v>JPY</x:v>
      </x:c>
      <x:c r="C45" s="12" t="str">
        <x:v>日元（JPY）</x:v>
      </x:c>
      <x:c r="D45" s="24" t="n">
        <x:v>2.43</x:v>
      </x:c>
      <x:c r="E45" s="20" t="str">
        <x:v>LCU/USD</x:v>
      </x:c>
      <x:c r="F45" s="20" t="n">
        <x:v>1</x:v>
      </x:c>
      <x:c r="G45" s="22" t="n">
        <x:f>IF(E45="LCU/USD",D45*F45,F45/D45)</x:f>
        <x:v>2.43</x:v>
      </x:c>
      <x:c r="H45" s="12" t="str">
        <x:v>年均</x:v>
      </x:c>
      <x:c r="I45" s="12" t="str">
        <x:v>1924-01-01—1924-12-31</x:v>
      </x:c>
      <x:c r="J45" s="12" t="str">
        <x:v>MW_JPY</x:v>
      </x:c>
      <x:c r="K45" s="12" t="str">
        <x:v>https://www.measuringworth.com/datasets/exchangeglobal/result.php?countryE%5B%5D=Japan&amp;year_result=2016&amp;year_source=1916</x:v>
      </x:c>
      <x:c r="L45" s="12" t="str"/>
      <x:c r="M45" s="12" t="str">
        <x:v>B：学术历史汇编</x:v>
      </x:c>
    </x:row>
    <x:row r="46" ht="72" customHeight="1">
      <x:c r="A46" t="n">
        <x:v>1924</x:v>
      </x:c>
      <x:c r="B46" t="str">
        <x:v>CHF</x:v>
      </x:c>
      <x:c r="C46" s="12" t="str">
        <x:v>瑞士法郎（CHF）</x:v>
      </x:c>
      <x:c r="D46" s="24" t="n">
        <x:v>5.4876</x:v>
      </x:c>
      <x:c r="E46" s="20" t="str">
        <x:v>LCU/USD</x:v>
      </x:c>
      <x:c r="F46" s="20" t="n">
        <x:v>1</x:v>
      </x:c>
      <x:c r="G46" s="22" t="n">
        <x:f>IF(E46="LCU/USD",D46*F46,F46/D46)</x:f>
        <x:v>5.4876</x:v>
      </x:c>
      <x:c r="H46" s="12" t="str">
        <x:v>年均</x:v>
      </x:c>
      <x:c r="I46" s="12" t="str">
        <x:v>1924-01-01—1924-12-31</x:v>
      </x:c>
      <x:c r="J46" s="12" t="str">
        <x:v>MW_CHF</x:v>
      </x:c>
      <x:c r="K46" s="12" t="str">
        <x:v>https://www.measuringworth.com/datasets/exchangeglobal/result.php?countryE%5B%5D=Switzerland&amp;year_result=1955&amp;year_source=1905</x:v>
      </x:c>
      <x:c r="L46" s="12" t="str"/>
      <x:c r="M46" s="12" t="str">
        <x:v>B：学术历史汇编</x:v>
      </x:c>
    </x:row>
    <x:row r="47" ht="72" customHeight="1">
      <x:c r="A47" t="n">
        <x:v>1924</x:v>
      </x:c>
      <x:c r="B47" t="str">
        <x:v>INR</x:v>
      </x:c>
      <x:c r="C47" s="12" t="str">
        <x:v>英属印度卢比</x:v>
      </x:c>
      <x:c r="D47" s="24" t="n">
        <x:v>3.15</x:v>
      </x:c>
      <x:c r="E47" s="20" t="str">
        <x:v>LCU/USD</x:v>
      </x:c>
      <x:c r="F47" s="20" t="n">
        <x:v>1</x:v>
      </x:c>
      <x:c r="G47" s="22" t="n">
        <x:f>IF(E47="LCU/USD",D47*F47,F47/D47)</x:f>
        <x:v>3.15</x:v>
      </x:c>
      <x:c r="H47" s="12" t="str">
        <x:v>年均</x:v>
      </x:c>
      <x:c r="I47" s="12" t="str">
        <x:v>1924-01-01—1924-12-31</x:v>
      </x:c>
      <x:c r="J47" s="12" t="str">
        <x:v>MW_INR</x:v>
      </x:c>
      <x:c r="K47" s="12" t="str">
        <x:v>https://www.measuringworth.com/datasets/exchangeglobal/result.php?countryE%5B%5D=India&amp;year_result=1948&amp;year_source=1916</x:v>
      </x:c>
      <x:c r="L47" s="12" t="str"/>
      <x:c r="M47" s="12" t="str">
        <x:v>B：学术历史汇编</x:v>
      </x:c>
    </x:row>
    <x:row r="48" ht="72" customHeight="1">
      <x:c r="A48" t="n">
        <x:v>1924</x:v>
      </x:c>
      <x:c r="B48" t="str">
        <x:v>RUB</x:v>
      </x:c>
      <x:c r="C48" s="12" t="str">
        <x:v>苏联卢布（1924币制）</x:v>
      </x:c>
      <x:c r="D48" s="24" t="n">
        <x:v>1.9405</x:v>
      </x:c>
      <x:c r="E48" s="20" t="str">
        <x:v>LCU/USD</x:v>
      </x:c>
      <x:c r="F48" s="20" t="n">
        <x:v>1</x:v>
      </x:c>
      <x:c r="G48" s="22" t="n">
        <x:f>IF(E48="LCU/USD",D48*F48,F48/D48)</x:f>
        <x:v>1.9405</x:v>
      </x:c>
      <x:c r="H48" s="12" t="str">
        <x:v>定点官价参考（非年均）</x:v>
      </x:c>
      <x:c r="I48" s="12" t="str">
        <x:v>1924-04-01</x:v>
      </x:c>
      <x:c r="J48" s="12" t="str">
        <x:v>SUR_OFFICIAL_SECONDARY</x:v>
      </x:c>
      <x:c r="K48" s="12" t="str">
        <x:v>https://en.wikipedia.org/wiki/Soviet_ruble#Exchange_rates</x:v>
      </x:c>
      <x:c r="L48" s="12" t="str">
        <x:v>1924币制过渡年选4月1日官价；不使用1月1日跨币制报价代表全年。不是年均、市场价或自由兑换价；原档未复核。</x:v>
      </x:c>
      <x:c r="M48" s="12" t="str">
        <x:v>C：二手转引（原档未复核）</x:v>
      </x:c>
    </x:row>
    <x:row r="49" ht="72" customHeight="1">
      <x:c r="A49" t="n">
        <x:v>1924</x:v>
      </x:c>
      <x:c r="B49" t="str">
        <x:v>CNY</x:v>
      </x:c>
      <x:c r="C49" s="12" t="str">
        <x:v>中国旧银元（元）</x:v>
      </x:c>
      <x:c r="D49" s="24" t="n">
        <x:v>52.6973</x:v>
      </x:c>
      <x:c r="E49" s="20" t="str">
        <x:v>US cents/LCU</x:v>
      </x:c>
      <x:c r="F49" s="20" t="n">
        <x:f>'币制说明'!$C$25</x:f>
        <x:v>100</x:v>
      </x:c>
      <x:c r="G49" s="22" t="n">
        <x:f>IF(E49="LCU/USD",D49*F49,F49/D49)</x:f>
        <x:v>1.8976304288834533</x:v>
      </x:c>
      <x:c r="H49" s="12" t="str">
        <x:v>年均</x:v>
      </x:c>
      <x:c r="I49" s="12" t="str">
        <x:v>1924-01-01—1924-12-31</x:v>
      </x:c>
      <x:c r="J49" s="12" t="str">
        <x:v>FRASER_CN</x:v>
      </x:c>
      <x:c r="K49" s="12" t="str">
        <x:v>https://fraser.stlouisfed.org/title/banking-monetary-statistics-1914-1941-38/part-i-6408/fulltext</x:v>
      </x:c>
      <x:c r="L49" s="12" t="str">
        <x:v>纽约报价；100÷美分年均报价；不同币制年份单位见实际币名表，并非全国统一零售兑换价。 反向值由原报价均值取倒数；不等于反向日度汇率的算术平均。</x:v>
      </x:c>
      <x:c r="M49" s="12" t="str">
        <x:v>A：机构统计／原始统计表</x:v>
      </x:c>
    </x:row>
    <x:row r="50" ht="72" customHeight="1">
      <x:c r="A50" t="n">
        <x:v>1925</x:v>
      </x:c>
      <x:c r="B50" t="str">
        <x:v>GBP</x:v>
      </x:c>
      <x:c r="C50" s="12" t="str">
        <x:v>英镑（GBP）</x:v>
      </x:c>
      <x:c r="D50" s="24" t="n">
        <x:v>0.2071</x:v>
      </x:c>
      <x:c r="E50" s="20" t="str">
        <x:v>LCU/USD</x:v>
      </x:c>
      <x:c r="F50" s="20" t="n">
        <x:v>1</x:v>
      </x:c>
      <x:c r="G50" s="22" t="n">
        <x:f>IF(E50="LCU/USD",D50*F50,F50/D50)</x:f>
        <x:v>0.2071</x:v>
      </x:c>
      <x:c r="H50" s="12" t="str">
        <x:v>年均</x:v>
      </x:c>
      <x:c r="I50" s="12" t="str">
        <x:v>1925-01-01—1925-12-31</x:v>
      </x:c>
      <x:c r="J50" s="12" t="str">
        <x:v>MW_GBP</x:v>
      </x:c>
      <x:c r="K50" s="12" t="str">
        <x:v>https://www.measuringworth.com/datasets/exchangeglobal/result.php?countryE%5B%5D=United+Kingdom&amp;year_result=2007&amp;year_source=1791</x:v>
      </x:c>
      <x:c r="L50" s="12" t="str"/>
      <x:c r="M50" s="12" t="str">
        <x:v>B：学术历史汇编</x:v>
      </x:c>
    </x:row>
    <x:row r="51" ht="72" customHeight="1">
      <x:c r="A51" t="n">
        <x:v>1925</x:v>
      </x:c>
      <x:c r="B51" t="str">
        <x:v>CAD</x:v>
      </x:c>
      <x:c r="C51" s="12" t="str">
        <x:v>加拿大元（CAD）</x:v>
      </x:c>
      <x:c r="D51" s="24" t="n">
        <x:v>1</x:v>
      </x:c>
      <x:c r="E51" s="20" t="str">
        <x:v>LCU/USD</x:v>
      </x:c>
      <x:c r="F51" s="20" t="n">
        <x:v>1</x:v>
      </x:c>
      <x:c r="G51" s="22" t="n">
        <x:f>IF(E51="LCU/USD",D51*F51,F51/D51)</x:f>
        <x:v>1</x:v>
      </x:c>
      <x:c r="H51" s="12" t="str">
        <x:v>年均</x:v>
      </x:c>
      <x:c r="I51" s="12" t="str">
        <x:v>1925-01-01—1925-12-31</x:v>
      </x:c>
      <x:c r="J51" s="12" t="str">
        <x:v>MW_CAD</x:v>
      </x:c>
      <x:c r="K51" s="12" t="str">
        <x:v>https://www.measuringworth.com/datasets/exchangeglobal/result.php?countryE%5B%5D=Canada&amp;year_result=2007&amp;year_source=1913</x:v>
      </x:c>
      <x:c r="L51" s="12" t="str"/>
      <x:c r="M51" s="12" t="str">
        <x:v>B：学术历史汇编</x:v>
      </x:c>
    </x:row>
    <x:row r="52" ht="72" customHeight="1">
      <x:c r="A52" t="n">
        <x:v>1925</x:v>
      </x:c>
      <x:c r="B52" t="str">
        <x:v>FR</x:v>
      </x:c>
      <x:c r="C52" s="12" t="str">
        <x:v>法国旧法郎</x:v>
      </x:c>
      <x:c r="D52" s="24" t="n">
        <x:v>20.977</x:v>
      </x:c>
      <x:c r="E52" s="20" t="str">
        <x:v>LCU/USD</x:v>
      </x:c>
      <x:c r="F52" s="20" t="n">
        <x:v>1</x:v>
      </x:c>
      <x:c r="G52" s="22" t="n">
        <x:f>IF(E52="LCU/USD",D52*F52,F52/D52)</x:f>
        <x:v>20.977</x:v>
      </x:c>
      <x:c r="H52" s="12" t="str">
        <x:v>年均</x:v>
      </x:c>
      <x:c r="I52" s="12" t="str">
        <x:v>1925-01-01—1925-12-31</x:v>
      </x:c>
      <x:c r="J52" s="12" t="str">
        <x:v>MW_FR</x:v>
      </x:c>
      <x:c r="K52" s="12" t="str">
        <x:v>https://www.measuringworth.com/datasets/exchangeglobal/result.php?countryE%5B%5D=France&amp;year_result=1940&amp;year_source=1920</x:v>
      </x:c>
      <x:c r="L52" s="12" t="str"/>
      <x:c r="M52" s="12" t="str">
        <x:v>B：学术历史汇编</x:v>
      </x:c>
    </x:row>
    <x:row r="53" ht="72" customHeight="1">
      <x:c r="A53" t="n">
        <x:v>1925</x:v>
      </x:c>
      <x:c r="B53" t="str">
        <x:v>DE</x:v>
      </x:c>
      <x:c r="C53" s="12" t="str">
        <x:v>帝国马克（Reichsmark）</x:v>
      </x:c>
      <x:c r="D53" s="24" t="n">
        <x:v>4.2</x:v>
      </x:c>
      <x:c r="E53" s="20" t="str">
        <x:v>LCU/USD</x:v>
      </x:c>
      <x:c r="F53" s="20" t="n">
        <x:v>1</x:v>
      </x:c>
      <x:c r="G53" s="22" t="n">
        <x:f>IF(E53="LCU/USD",D53*F53,F53/D53)</x:f>
        <x:v>4.2</x:v>
      </x:c>
      <x:c r="H53" s="12" t="str">
        <x:v>年均</x:v>
      </x:c>
      <x:c r="I53" s="12" t="str">
        <x:v>1925-01-01—1925-12-31</x:v>
      </x:c>
      <x:c r="J53" s="12" t="str">
        <x:v>UCSB_DE</x:v>
      </x:c>
      <x:c r="K53" s="12" t="str">
        <x:v>https://marcuse.faculty.history.ucsb.edu/projects/currency.htm</x:v>
      </x:c>
      <x:c r="L53" s="12" t="str"/>
      <x:c r="M53" s="12" t="str">
        <x:v>B：大学页面转录</x:v>
      </x:c>
    </x:row>
    <x:row r="54" ht="72" customHeight="1">
      <x:c r="A54" t="n">
        <x:v>1925</x:v>
      </x:c>
      <x:c r="B54" t="str">
        <x:v>IT</x:v>
      </x:c>
      <x:c r="C54" s="12" t="str">
        <x:v>意大利里拉（ITL）</x:v>
      </x:c>
      <x:c r="D54" s="24" t="n">
        <x:v>3.9776</x:v>
      </x:c>
      <x:c r="E54" s="20" t="str">
        <x:v>US cents/LCU</x:v>
      </x:c>
      <x:c r="F54" s="20" t="n">
        <x:f>'币制说明'!$C$25</x:f>
        <x:v>100</x:v>
      </x:c>
      <x:c r="G54" s="22" t="n">
        <x:f>IF(E54="LCU/USD",D54*F54,F54/D54)</x:f>
        <x:v>25.1407884151247</x:v>
      </x:c>
      <x:c r="H54" s="12" t="str">
        <x:v>年均</x:v>
      </x:c>
      <x:c r="I54" s="12" t="str">
        <x:v>1925-01-01—1925-12-31</x:v>
      </x:c>
      <x:c r="J54" s="12" t="str">
        <x:v>FRASER_IT</x:v>
      </x:c>
      <x:c r="K54" s="12" t="str">
        <x:v>https://fraser.stlouisfed.org/title/banking-monetary-statistics-1914-1941-38/part-i-6408/fulltext</x:v>
      </x:c>
      <x:c r="L54" s="12" t="str">
        <x:v>纽约报价；由美分／里拉的年均报价取倒数，非里拉／美元逐日均值。 反向值由原报价均值取倒数；不等于反向日度汇率的算术平均。</x:v>
      </x:c>
      <x:c r="M54" s="12" t="str">
        <x:v>A：机构统计／原始统计表</x:v>
      </x:c>
    </x:row>
    <x:row r="55" ht="72" customHeight="1">
      <x:c r="A55" t="n">
        <x:v>1925</x:v>
      </x:c>
      <x:c r="B55" t="str">
        <x:v>JPY</x:v>
      </x:c>
      <x:c r="C55" s="12" t="str">
        <x:v>日元（JPY）</x:v>
      </x:c>
      <x:c r="D55" s="24" t="n">
        <x:v>2.44</x:v>
      </x:c>
      <x:c r="E55" s="20" t="str">
        <x:v>LCU/USD</x:v>
      </x:c>
      <x:c r="F55" s="20" t="n">
        <x:v>1</x:v>
      </x:c>
      <x:c r="G55" s="22" t="n">
        <x:f>IF(E55="LCU/USD",D55*F55,F55/D55)</x:f>
        <x:v>2.44</x:v>
      </x:c>
      <x:c r="H55" s="12" t="str">
        <x:v>年均</x:v>
      </x:c>
      <x:c r="I55" s="12" t="str">
        <x:v>1925-01-01—1925-12-31</x:v>
      </x:c>
      <x:c r="J55" s="12" t="str">
        <x:v>MW_JPY</x:v>
      </x:c>
      <x:c r="K55" s="12" t="str">
        <x:v>https://www.measuringworth.com/datasets/exchangeglobal/result.php?countryE%5B%5D=Japan&amp;year_result=2016&amp;year_source=1916</x:v>
      </x:c>
      <x:c r="L55" s="12" t="str"/>
      <x:c r="M55" s="12" t="str">
        <x:v>B：学术历史汇编</x:v>
      </x:c>
    </x:row>
    <x:row r="56" ht="72" customHeight="1">
      <x:c r="A56" t="n">
        <x:v>1925</x:v>
      </x:c>
      <x:c r="B56" t="str">
        <x:v>CHF</x:v>
      </x:c>
      <x:c r="C56" s="12" t="str">
        <x:v>瑞士法郎（CHF）</x:v>
      </x:c>
      <x:c r="D56" s="24" t="n">
        <x:v>5.1742</x:v>
      </x:c>
      <x:c r="E56" s="20" t="str">
        <x:v>LCU/USD</x:v>
      </x:c>
      <x:c r="F56" s="20" t="n">
        <x:v>1</x:v>
      </x:c>
      <x:c r="G56" s="22" t="n">
        <x:f>IF(E56="LCU/USD",D56*F56,F56/D56)</x:f>
        <x:v>5.1742</x:v>
      </x:c>
      <x:c r="H56" s="12" t="str">
        <x:v>年均</x:v>
      </x:c>
      <x:c r="I56" s="12" t="str">
        <x:v>1925-01-01—1925-12-31</x:v>
      </x:c>
      <x:c r="J56" s="12" t="str">
        <x:v>MW_CHF</x:v>
      </x:c>
      <x:c r="K56" s="12" t="str">
        <x:v>https://www.measuringworth.com/datasets/exchangeglobal/result.php?countryE%5B%5D=Switzerland&amp;year_result=1955&amp;year_source=1905</x:v>
      </x:c>
      <x:c r="L56" s="12" t="str"/>
      <x:c r="M56" s="12" t="str">
        <x:v>B：学术历史汇编</x:v>
      </x:c>
    </x:row>
    <x:row r="57" ht="72" customHeight="1">
      <x:c r="A57" t="n">
        <x:v>1925</x:v>
      </x:c>
      <x:c r="B57" t="str">
        <x:v>INR</x:v>
      </x:c>
      <x:c r="C57" s="12" t="str">
        <x:v>英属印度卢比</x:v>
      </x:c>
      <x:c r="D57" s="24" t="n">
        <x:v>2.76</x:v>
      </x:c>
      <x:c r="E57" s="20" t="str">
        <x:v>LCU/USD</x:v>
      </x:c>
      <x:c r="F57" s="20" t="n">
        <x:v>1</x:v>
      </x:c>
      <x:c r="G57" s="22" t="n">
        <x:f>IF(E57="LCU/USD",D57*F57,F57/D57)</x:f>
        <x:v>2.76</x:v>
      </x:c>
      <x:c r="H57" s="12" t="str">
        <x:v>年均</x:v>
      </x:c>
      <x:c r="I57" s="12" t="str">
        <x:v>1925-01-01—1925-12-31</x:v>
      </x:c>
      <x:c r="J57" s="12" t="str">
        <x:v>MW_INR</x:v>
      </x:c>
      <x:c r="K57" s="12" t="str">
        <x:v>https://www.measuringworth.com/datasets/exchangeglobal/result.php?countryE%5B%5D=India&amp;year_result=1948&amp;year_source=1916</x:v>
      </x:c>
      <x:c r="L57" s="12" t="str"/>
      <x:c r="M57" s="12" t="str">
        <x:v>B：学术历史汇编</x:v>
      </x:c>
    </x:row>
    <x:row r="58" ht="72" customHeight="1">
      <x:c r="A58" t="n">
        <x:v>1925</x:v>
      </x:c>
      <x:c r="B58" t="str">
        <x:v>CNY</x:v>
      </x:c>
      <x:c r="C58" s="12" t="str">
        <x:v>中国旧银元（元）</x:v>
      </x:c>
      <x:c r="D58" s="24" t="n">
        <x:v>56.9066</x:v>
      </x:c>
      <x:c r="E58" s="20" t="str">
        <x:v>US cents/LCU</x:v>
      </x:c>
      <x:c r="F58" s="20" t="n">
        <x:f>'币制说明'!$C$25</x:f>
        <x:v>100</x:v>
      </x:c>
      <x:c r="G58" s="22" t="n">
        <x:f>IF(E58="LCU/USD",D58*F58,F58/D58)</x:f>
        <x:v>1.7572654138535777</x:v>
      </x:c>
      <x:c r="H58" s="12" t="str">
        <x:v>年均</x:v>
      </x:c>
      <x:c r="I58" s="12" t="str">
        <x:v>1925-01-01—1925-12-31</x:v>
      </x:c>
      <x:c r="J58" s="12" t="str">
        <x:v>FRASER_CN</x:v>
      </x:c>
      <x:c r="K58" s="12" t="str">
        <x:v>https://fraser.stlouisfed.org/title/banking-monetary-statistics-1914-1941-38/part-i-6408/fulltext</x:v>
      </x:c>
      <x:c r="L58" s="12" t="str">
        <x:v>纽约报价；100÷美分年均报价；不同币制年份单位见实际币名表，并非全国统一零售兑换价。 反向值由原报价均值取倒数；不等于反向日度汇率的算术平均。</x:v>
      </x:c>
      <x:c r="M58" s="12" t="str">
        <x:v>A：机构统计／原始统计表</x:v>
      </x:c>
    </x:row>
    <x:row r="59" ht="72" customHeight="1">
      <x:c r="A59" t="n">
        <x:v>1926</x:v>
      </x:c>
      <x:c r="B59" t="str">
        <x:v>GBP</x:v>
      </x:c>
      <x:c r="C59" s="12" t="str">
        <x:v>英镑（GBP）</x:v>
      </x:c>
      <x:c r="D59" s="24" t="n">
        <x:v>0.2058</x:v>
      </x:c>
      <x:c r="E59" s="20" t="str">
        <x:v>LCU/USD</x:v>
      </x:c>
      <x:c r="F59" s="20" t="n">
        <x:v>1</x:v>
      </x:c>
      <x:c r="G59" s="22" t="n">
        <x:f>IF(E59="LCU/USD",D59*F59,F59/D59)</x:f>
        <x:v>0.2058</x:v>
      </x:c>
      <x:c r="H59" s="12" t="str">
        <x:v>年均</x:v>
      </x:c>
      <x:c r="I59" s="12" t="str">
        <x:v>1926-01-01—1926-12-31</x:v>
      </x:c>
      <x:c r="J59" s="12" t="str">
        <x:v>MW_GBP</x:v>
      </x:c>
      <x:c r="K59" s="12" t="str">
        <x:v>https://www.measuringworth.com/datasets/exchangeglobal/result.php?countryE%5B%5D=United+Kingdom&amp;year_result=2007&amp;year_source=1791</x:v>
      </x:c>
      <x:c r="L59" s="12" t="str"/>
      <x:c r="M59" s="12" t="str">
        <x:v>B：学术历史汇编</x:v>
      </x:c>
    </x:row>
    <x:row r="60" ht="72" customHeight="1">
      <x:c r="A60" t="n">
        <x:v>1926</x:v>
      </x:c>
      <x:c r="B60" t="str">
        <x:v>CAD</x:v>
      </x:c>
      <x:c r="C60" s="12" t="str">
        <x:v>加拿大元（CAD）</x:v>
      </x:c>
      <x:c r="D60" s="24" t="n">
        <x:v>1</x:v>
      </x:c>
      <x:c r="E60" s="20" t="str">
        <x:v>LCU/USD</x:v>
      </x:c>
      <x:c r="F60" s="20" t="n">
        <x:v>1</x:v>
      </x:c>
      <x:c r="G60" s="22" t="n">
        <x:f>IF(E60="LCU/USD",D60*F60,F60/D60)</x:f>
        <x:v>1</x:v>
      </x:c>
      <x:c r="H60" s="12" t="str">
        <x:v>年均</x:v>
      </x:c>
      <x:c r="I60" s="12" t="str">
        <x:v>1926-01-01—1926-12-31</x:v>
      </x:c>
      <x:c r="J60" s="12" t="str">
        <x:v>MW_CAD</x:v>
      </x:c>
      <x:c r="K60" s="12" t="str">
        <x:v>https://www.measuringworth.com/datasets/exchangeglobal/result.php?countryE%5B%5D=Canada&amp;year_result=2007&amp;year_source=1913</x:v>
      </x:c>
      <x:c r="L60" s="12" t="str"/>
      <x:c r="M60" s="12" t="str">
        <x:v>B：学术历史汇编</x:v>
      </x:c>
    </x:row>
    <x:row r="61" ht="72" customHeight="1">
      <x:c r="A61" t="n">
        <x:v>1926</x:v>
      </x:c>
      <x:c r="B61" t="str">
        <x:v>FR</x:v>
      </x:c>
      <x:c r="C61" s="12" t="str">
        <x:v>法国旧法郎</x:v>
      </x:c>
      <x:c r="D61" s="24" t="n">
        <x:v>30.838</x:v>
      </x:c>
      <x:c r="E61" s="20" t="str">
        <x:v>LCU/USD</x:v>
      </x:c>
      <x:c r="F61" s="20" t="n">
        <x:v>1</x:v>
      </x:c>
      <x:c r="G61" s="22" t="n">
        <x:f>IF(E61="LCU/USD",D61*F61,F61/D61)</x:f>
        <x:v>30.838</x:v>
      </x:c>
      <x:c r="H61" s="12" t="str">
        <x:v>年均</x:v>
      </x:c>
      <x:c r="I61" s="12" t="str">
        <x:v>1926-01-01—1926-12-31</x:v>
      </x:c>
      <x:c r="J61" s="12" t="str">
        <x:v>MW_FR</x:v>
      </x:c>
      <x:c r="K61" s="12" t="str">
        <x:v>https://www.measuringworth.com/datasets/exchangeglobal/result.php?countryE%5B%5D=France&amp;year_result=1940&amp;year_source=1920</x:v>
      </x:c>
      <x:c r="L61" s="12" t="str"/>
      <x:c r="M61" s="12" t="str">
        <x:v>B：学术历史汇编</x:v>
      </x:c>
    </x:row>
    <x:row r="62" ht="72" customHeight="1">
      <x:c r="A62" t="n">
        <x:v>1926</x:v>
      </x:c>
      <x:c r="B62" t="str">
        <x:v>DE</x:v>
      </x:c>
      <x:c r="C62" s="12" t="str">
        <x:v>帝国马克（Reichsmark）</x:v>
      </x:c>
      <x:c r="D62" s="24" t="n">
        <x:v>4.2</x:v>
      </x:c>
      <x:c r="E62" s="20" t="str">
        <x:v>LCU/USD</x:v>
      </x:c>
      <x:c r="F62" s="20" t="n">
        <x:v>1</x:v>
      </x:c>
      <x:c r="G62" s="22" t="n">
        <x:f>IF(E62="LCU/USD",D62*F62,F62/D62)</x:f>
        <x:v>4.2</x:v>
      </x:c>
      <x:c r="H62" s="12" t="str">
        <x:v>年均</x:v>
      </x:c>
      <x:c r="I62" s="12" t="str">
        <x:v>1926-01-01—1926-12-31</x:v>
      </x:c>
      <x:c r="J62" s="12" t="str">
        <x:v>UCSB_DE</x:v>
      </x:c>
      <x:c r="K62" s="12" t="str">
        <x:v>https://marcuse.faculty.history.ucsb.edu/projects/currency.htm</x:v>
      </x:c>
      <x:c r="L62" s="12" t="str"/>
      <x:c r="M62" s="12" t="str">
        <x:v>B：大学页面转录</x:v>
      </x:c>
    </x:row>
    <x:row r="63" ht="72" customHeight="1">
      <x:c r="A63" t="n">
        <x:v>1926</x:v>
      </x:c>
      <x:c r="B63" t="str">
        <x:v>IT</x:v>
      </x:c>
      <x:c r="C63" s="12" t="str">
        <x:v>意大利里拉（ITL）</x:v>
      </x:c>
      <x:c r="D63" s="24" t="n">
        <x:v>3.8894</x:v>
      </x:c>
      <x:c r="E63" s="20" t="str">
        <x:v>US cents/LCU</x:v>
      </x:c>
      <x:c r="F63" s="20" t="n">
        <x:f>'币制说明'!$C$25</x:f>
        <x:v>100</x:v>
      </x:c>
      <x:c r="G63" s="22" t="n">
        <x:f>IF(E63="LCU/USD",D63*F63,F63/D63)</x:f>
        <x:v>25.710906566565537</x:v>
      </x:c>
      <x:c r="H63" s="12" t="str">
        <x:v>年均</x:v>
      </x:c>
      <x:c r="I63" s="12" t="str">
        <x:v>1926-01-01—1926-12-31</x:v>
      </x:c>
      <x:c r="J63" s="12" t="str">
        <x:v>FRASER_IT</x:v>
      </x:c>
      <x:c r="K63" s="12" t="str">
        <x:v>https://fraser.stlouisfed.org/title/banking-monetary-statistics-1914-1941-38/part-i-6408/fulltext</x:v>
      </x:c>
      <x:c r="L63" s="12" t="str">
        <x:v>纽约报价；由美分／里拉的年均报价取倒数，非里拉／美元逐日均值。 反向值由原报价均值取倒数；不等于反向日度汇率的算术平均。</x:v>
      </x:c>
      <x:c r="M63" s="12" t="str">
        <x:v>A：机构统计／原始统计表</x:v>
      </x:c>
    </x:row>
    <x:row r="64" ht="72" customHeight="1">
      <x:c r="A64" t="n">
        <x:v>1926</x:v>
      </x:c>
      <x:c r="B64" t="str">
        <x:v>JPY</x:v>
      </x:c>
      <x:c r="C64" s="12" t="str">
        <x:v>日元（JPY）</x:v>
      </x:c>
      <x:c r="D64" s="24" t="n">
        <x:v>2.12</x:v>
      </x:c>
      <x:c r="E64" s="20" t="str">
        <x:v>LCU/USD</x:v>
      </x:c>
      <x:c r="F64" s="20" t="n">
        <x:v>1</x:v>
      </x:c>
      <x:c r="G64" s="22" t="n">
        <x:f>IF(E64="LCU/USD",D64*F64,F64/D64)</x:f>
        <x:v>2.12</x:v>
      </x:c>
      <x:c r="H64" s="12" t="str">
        <x:v>年均</x:v>
      </x:c>
      <x:c r="I64" s="12" t="str">
        <x:v>1926-01-01—1926-12-31</x:v>
      </x:c>
      <x:c r="J64" s="12" t="str">
        <x:v>MW_JPY</x:v>
      </x:c>
      <x:c r="K64" s="12" t="str">
        <x:v>https://www.measuringworth.com/datasets/exchangeglobal/result.php?countryE%5B%5D=Japan&amp;year_result=2016&amp;year_source=1916</x:v>
      </x:c>
      <x:c r="L64" s="12" t="str"/>
      <x:c r="M64" s="12" t="str">
        <x:v>B：学术历史汇编</x:v>
      </x:c>
    </x:row>
    <x:row r="65" ht="72" customHeight="1">
      <x:c r="A65" t="n">
        <x:v>1926</x:v>
      </x:c>
      <x:c r="B65" t="str">
        <x:v>CHF</x:v>
      </x:c>
      <x:c r="C65" s="12" t="str">
        <x:v>瑞士法郎（CHF）</x:v>
      </x:c>
      <x:c r="D65" s="24" t="n">
        <x:v>5.1779</x:v>
      </x:c>
      <x:c r="E65" s="20" t="str">
        <x:v>LCU/USD</x:v>
      </x:c>
      <x:c r="F65" s="20" t="n">
        <x:v>1</x:v>
      </x:c>
      <x:c r="G65" s="22" t="n">
        <x:f>IF(E65="LCU/USD",D65*F65,F65/D65)</x:f>
        <x:v>5.1779</x:v>
      </x:c>
      <x:c r="H65" s="12" t="str">
        <x:v>年均</x:v>
      </x:c>
      <x:c r="I65" s="12" t="str">
        <x:v>1926-01-01—1926-12-31</x:v>
      </x:c>
      <x:c r="J65" s="12" t="str">
        <x:v>MW_CHF</x:v>
      </x:c>
      <x:c r="K65" s="12" t="str">
        <x:v>https://www.measuringworth.com/datasets/exchangeglobal/result.php?countryE%5B%5D=Switzerland&amp;year_result=1955&amp;year_source=1905</x:v>
      </x:c>
      <x:c r="L65" s="12" t="str"/>
      <x:c r="M65" s="12" t="str">
        <x:v>B：学术历史汇编</x:v>
      </x:c>
    </x:row>
    <x:row r="66" ht="72" customHeight="1">
      <x:c r="A66" t="n">
        <x:v>1926</x:v>
      </x:c>
      <x:c r="B66" t="str">
        <x:v>INR</x:v>
      </x:c>
      <x:c r="C66" s="12" t="str">
        <x:v>英属印度卢比</x:v>
      </x:c>
      <x:c r="D66" s="24" t="n">
        <x:v>2.75</x:v>
      </x:c>
      <x:c r="E66" s="20" t="str">
        <x:v>LCU/USD</x:v>
      </x:c>
      <x:c r="F66" s="20" t="n">
        <x:v>1</x:v>
      </x:c>
      <x:c r="G66" s="22" t="n">
        <x:f>IF(E66="LCU/USD",D66*F66,F66/D66)</x:f>
        <x:v>2.75</x:v>
      </x:c>
      <x:c r="H66" s="12" t="str">
        <x:v>年均</x:v>
      </x:c>
      <x:c r="I66" s="12" t="str">
        <x:v>1926-01-01—1926-12-31</x:v>
      </x:c>
      <x:c r="J66" s="12" t="str">
        <x:v>MW_INR</x:v>
      </x:c>
      <x:c r="K66" s="12" t="str">
        <x:v>https://www.measuringworth.com/datasets/exchangeglobal/result.php?countryE%5B%5D=India&amp;year_result=1948&amp;year_source=1916</x:v>
      </x:c>
      <x:c r="L66" s="12" t="str"/>
      <x:c r="M66" s="12" t="str">
        <x:v>B：学术历史汇编</x:v>
      </x:c>
    </x:row>
    <x:row r="67" ht="72" customHeight="1">
      <x:c r="A67" t="n">
        <x:v>1926</x:v>
      </x:c>
      <x:c r="B67" t="str">
        <x:v>CNY</x:v>
      </x:c>
      <x:c r="C67" s="12" t="str">
        <x:v>中国旧银元（元）</x:v>
      </x:c>
      <x:c r="D67" s="24" t="n">
        <x:v>49.9807</x:v>
      </x:c>
      <x:c r="E67" s="20" t="str">
        <x:v>US cents/LCU</x:v>
      </x:c>
      <x:c r="F67" s="20" t="n">
        <x:f>'币制说明'!$C$25</x:f>
        <x:v>100</x:v>
      </x:c>
      <x:c r="G67" s="22" t="n">
        <x:f>IF(E67="LCU/USD",D67*F67,F67/D67)</x:f>
        <x:v>2.0007722981070692</x:v>
      </x:c>
      <x:c r="H67" s="12" t="str">
        <x:v>年均</x:v>
      </x:c>
      <x:c r="I67" s="12" t="str">
        <x:v>1926-01-01—1926-12-31</x:v>
      </x:c>
      <x:c r="J67" s="12" t="str">
        <x:v>FRASER_CN</x:v>
      </x:c>
      <x:c r="K67" s="12" t="str">
        <x:v>https://fraser.stlouisfed.org/title/banking-monetary-statistics-1914-1941-38/part-i-6408/fulltext</x:v>
      </x:c>
      <x:c r="L67" s="12" t="str">
        <x:v>纽约报价；100÷美分年均报价；不同币制年份单位见实际币名表，并非全国统一零售兑换价。 反向值由原报价均值取倒数；不等于反向日度汇率的算术平均。</x:v>
      </x:c>
      <x:c r="M67" s="12" t="str">
        <x:v>A：机构统计／原始统计表</x:v>
      </x:c>
    </x:row>
    <x:row r="68" ht="72" customHeight="1">
      <x:c r="A68" t="n">
        <x:v>1927</x:v>
      </x:c>
      <x:c r="B68" t="str">
        <x:v>GBP</x:v>
      </x:c>
      <x:c r="C68" s="12" t="str">
        <x:v>英镑（GBP）</x:v>
      </x:c>
      <x:c r="D68" s="24" t="n">
        <x:v>0.2057</x:v>
      </x:c>
      <x:c r="E68" s="20" t="str">
        <x:v>LCU/USD</x:v>
      </x:c>
      <x:c r="F68" s="20" t="n">
        <x:v>1</x:v>
      </x:c>
      <x:c r="G68" s="22" t="n">
        <x:f>IF(E68="LCU/USD",D68*F68,F68/D68)</x:f>
        <x:v>0.2057</x:v>
      </x:c>
      <x:c r="H68" s="12" t="str">
        <x:v>年均</x:v>
      </x:c>
      <x:c r="I68" s="12" t="str">
        <x:v>1927-01-01—1927-12-31</x:v>
      </x:c>
      <x:c r="J68" s="12" t="str">
        <x:v>MW_GBP</x:v>
      </x:c>
      <x:c r="K68" s="12" t="str">
        <x:v>https://www.measuringworth.com/datasets/exchangeglobal/result.php?countryE%5B%5D=United+Kingdom&amp;year_result=2007&amp;year_source=1791</x:v>
      </x:c>
      <x:c r="L68" s="12" t="str"/>
      <x:c r="M68" s="12" t="str">
        <x:v>B：学术历史汇编</x:v>
      </x:c>
    </x:row>
    <x:row r="69" ht="72" customHeight="1">
      <x:c r="A69" t="n">
        <x:v>1927</x:v>
      </x:c>
      <x:c r="B69" t="str">
        <x:v>CAD</x:v>
      </x:c>
      <x:c r="C69" s="12" t="str">
        <x:v>加拿大元（CAD）</x:v>
      </x:c>
      <x:c r="D69" s="24" t="n">
        <x:v>1</x:v>
      </x:c>
      <x:c r="E69" s="20" t="str">
        <x:v>LCU/USD</x:v>
      </x:c>
      <x:c r="F69" s="20" t="n">
        <x:v>1</x:v>
      </x:c>
      <x:c r="G69" s="22" t="n">
        <x:f>IF(E69="LCU/USD",D69*F69,F69/D69)</x:f>
        <x:v>1</x:v>
      </x:c>
      <x:c r="H69" s="12" t="str">
        <x:v>年均</x:v>
      </x:c>
      <x:c r="I69" s="12" t="str">
        <x:v>1927-01-01—1927-12-31</x:v>
      </x:c>
      <x:c r="J69" s="12" t="str">
        <x:v>MW_CAD</x:v>
      </x:c>
      <x:c r="K69" s="12" t="str">
        <x:v>https://www.measuringworth.com/datasets/exchangeglobal/result.php?countryE%5B%5D=Canada&amp;year_result=2007&amp;year_source=1913</x:v>
      </x:c>
      <x:c r="L69" s="12" t="str"/>
      <x:c r="M69" s="12" t="str">
        <x:v>B：学术历史汇编</x:v>
      </x:c>
    </x:row>
    <x:row r="70" ht="72" customHeight="1">
      <x:c r="A70" t="n">
        <x:v>1927</x:v>
      </x:c>
      <x:c r="B70" t="str">
        <x:v>FR</x:v>
      </x:c>
      <x:c r="C70" s="12" t="str">
        <x:v>法国旧法郎</x:v>
      </x:c>
      <x:c r="D70" s="24" t="n">
        <x:v>25.484</x:v>
      </x:c>
      <x:c r="E70" s="20" t="str">
        <x:v>LCU/USD</x:v>
      </x:c>
      <x:c r="F70" s="20" t="n">
        <x:v>1</x:v>
      </x:c>
      <x:c r="G70" s="22" t="n">
        <x:f>IF(E70="LCU/USD",D70*F70,F70/D70)</x:f>
        <x:v>25.484</x:v>
      </x:c>
      <x:c r="H70" s="12" t="str">
        <x:v>年均</x:v>
      </x:c>
      <x:c r="I70" s="12" t="str">
        <x:v>1927-01-01—1927-12-31</x:v>
      </x:c>
      <x:c r="J70" s="12" t="str">
        <x:v>MW_FR</x:v>
      </x:c>
      <x:c r="K70" s="12" t="str">
        <x:v>https://www.measuringworth.com/datasets/exchangeglobal/result.php?countryE%5B%5D=France&amp;year_result=1940&amp;year_source=1920</x:v>
      </x:c>
      <x:c r="L70" s="12" t="str"/>
      <x:c r="M70" s="12" t="str">
        <x:v>B：学术历史汇编</x:v>
      </x:c>
    </x:row>
    <x:row r="71" ht="72" customHeight="1">
      <x:c r="A71" t="n">
        <x:v>1927</x:v>
      </x:c>
      <x:c r="B71" t="str">
        <x:v>DE</x:v>
      </x:c>
      <x:c r="C71" s="12" t="str">
        <x:v>帝国马克（Reichsmark）</x:v>
      </x:c>
      <x:c r="D71" s="24" t="n">
        <x:v>4.21</x:v>
      </x:c>
      <x:c r="E71" s="20" t="str">
        <x:v>LCU/USD</x:v>
      </x:c>
      <x:c r="F71" s="20" t="n">
        <x:v>1</x:v>
      </x:c>
      <x:c r="G71" s="22" t="n">
        <x:f>IF(E71="LCU/USD",D71*F71,F71/D71)</x:f>
        <x:v>4.21</x:v>
      </x:c>
      <x:c r="H71" s="12" t="str">
        <x:v>年均</x:v>
      </x:c>
      <x:c r="I71" s="12" t="str">
        <x:v>1927-01-01—1927-12-31</x:v>
      </x:c>
      <x:c r="J71" s="12" t="str">
        <x:v>UCSB_DE</x:v>
      </x:c>
      <x:c r="K71" s="12" t="str">
        <x:v>https://marcuse.faculty.history.ucsb.edu/projects/currency.htm</x:v>
      </x:c>
      <x:c r="L71" s="12" t="str"/>
      <x:c r="M71" s="12" t="str">
        <x:v>B：大学页面转录</x:v>
      </x:c>
    </x:row>
    <x:row r="72" ht="72" customHeight="1">
      <x:c r="A72" t="n">
        <x:v>1927</x:v>
      </x:c>
      <x:c r="B72" t="str">
        <x:v>IT</x:v>
      </x:c>
      <x:c r="C72" s="12" t="str">
        <x:v>意大利里拉（ITL）</x:v>
      </x:c>
      <x:c r="D72" s="24" t="n">
        <x:v>5.156</x:v>
      </x:c>
      <x:c r="E72" s="20" t="str">
        <x:v>US cents/LCU</x:v>
      </x:c>
      <x:c r="F72" s="20" t="n">
        <x:f>'币制说明'!$C$25</x:f>
        <x:v>100</x:v>
      </x:c>
      <x:c r="G72" s="22" t="n">
        <x:f>IF(E72="LCU/USD",D72*F72,F72/D72)</x:f>
        <x:v>19.394879751745542</x:v>
      </x:c>
      <x:c r="H72" s="12" t="str">
        <x:v>年均</x:v>
      </x:c>
      <x:c r="I72" s="12" t="str">
        <x:v>1927-01-01—1927-12-31</x:v>
      </x:c>
      <x:c r="J72" s="12" t="str">
        <x:v>FRASER_IT</x:v>
      </x:c>
      <x:c r="K72" s="12" t="str">
        <x:v>https://fraser.stlouisfed.org/title/banking-monetary-statistics-1914-1941-38/part-i-6408/fulltext</x:v>
      </x:c>
      <x:c r="L72" s="12" t="str">
        <x:v>纽约报价；由美分／里拉的年均报价取倒数，非里拉／美元逐日均值。 反向值由原报价均值取倒数；不等于反向日度汇率的算术平均。</x:v>
      </x:c>
      <x:c r="M72" s="12" t="str">
        <x:v>A：机构统计／原始统计表</x:v>
      </x:c>
    </x:row>
    <x:row r="73" ht="72" customHeight="1">
      <x:c r="A73" t="n">
        <x:v>1927</x:v>
      </x:c>
      <x:c r="B73" t="str">
        <x:v>JPY</x:v>
      </x:c>
      <x:c r="C73" s="12" t="str">
        <x:v>日元（JPY）</x:v>
      </x:c>
      <x:c r="D73" s="24" t="n">
        <x:v>2.11</x:v>
      </x:c>
      <x:c r="E73" s="20" t="str">
        <x:v>LCU/USD</x:v>
      </x:c>
      <x:c r="F73" s="20" t="n">
        <x:v>1</x:v>
      </x:c>
      <x:c r="G73" s="22" t="n">
        <x:f>IF(E73="LCU/USD",D73*F73,F73/D73)</x:f>
        <x:v>2.11</x:v>
      </x:c>
      <x:c r="H73" s="12" t="str">
        <x:v>年均</x:v>
      </x:c>
      <x:c r="I73" s="12" t="str">
        <x:v>1927-01-01—1927-12-31</x:v>
      </x:c>
      <x:c r="J73" s="12" t="str">
        <x:v>MW_JPY</x:v>
      </x:c>
      <x:c r="K73" s="12" t="str">
        <x:v>https://www.measuringworth.com/datasets/exchangeglobal/result.php?countryE%5B%5D=Japan&amp;year_result=2016&amp;year_source=1916</x:v>
      </x:c>
      <x:c r="L73" s="12" t="str"/>
      <x:c r="M73" s="12" t="str">
        <x:v>B：学术历史汇编</x:v>
      </x:c>
    </x:row>
    <x:row r="74" ht="72" customHeight="1">
      <x:c r="A74" t="n">
        <x:v>1927</x:v>
      </x:c>
      <x:c r="B74" t="str">
        <x:v>CHF</x:v>
      </x:c>
      <x:c r="C74" s="12" t="str">
        <x:v>瑞士法郎（CHF）</x:v>
      </x:c>
      <x:c r="D74" s="24" t="n">
        <x:v>5.1916</x:v>
      </x:c>
      <x:c r="E74" s="20" t="str">
        <x:v>LCU/USD</x:v>
      </x:c>
      <x:c r="F74" s="20" t="n">
        <x:v>1</x:v>
      </x:c>
      <x:c r="G74" s="22" t="n">
        <x:f>IF(E74="LCU/USD",D74*F74,F74/D74)</x:f>
        <x:v>5.1916</x:v>
      </x:c>
      <x:c r="H74" s="12" t="str">
        <x:v>年均</x:v>
      </x:c>
      <x:c r="I74" s="12" t="str">
        <x:v>1927-01-01—1927-12-31</x:v>
      </x:c>
      <x:c r="J74" s="12" t="str">
        <x:v>MW_CHF</x:v>
      </x:c>
      <x:c r="K74" s="12" t="str">
        <x:v>https://www.measuringworth.com/datasets/exchangeglobal/result.php?countryE%5B%5D=Switzerland&amp;year_result=1955&amp;year_source=1905</x:v>
      </x:c>
      <x:c r="L74" s="12" t="str"/>
      <x:c r="M74" s="12" t="str">
        <x:v>B：学术历史汇编</x:v>
      </x:c>
    </x:row>
    <x:row r="75" ht="72" customHeight="1">
      <x:c r="A75" t="n">
        <x:v>1927</x:v>
      </x:c>
      <x:c r="B75" t="str">
        <x:v>INR</x:v>
      </x:c>
      <x:c r="C75" s="12" t="str">
        <x:v>英属印度卢比</x:v>
      </x:c>
      <x:c r="D75" s="24" t="n">
        <x:v>2.75</x:v>
      </x:c>
      <x:c r="E75" s="20" t="str">
        <x:v>LCU/USD</x:v>
      </x:c>
      <x:c r="F75" s="20" t="n">
        <x:v>1</x:v>
      </x:c>
      <x:c r="G75" s="22" t="n">
        <x:f>IF(E75="LCU/USD",D75*F75,F75/D75)</x:f>
        <x:v>2.75</x:v>
      </x:c>
      <x:c r="H75" s="12" t="str">
        <x:v>年均</x:v>
      </x:c>
      <x:c r="I75" s="12" t="str">
        <x:v>1927-01-01—1927-12-31</x:v>
      </x:c>
      <x:c r="J75" s="12" t="str">
        <x:v>MW_INR</x:v>
      </x:c>
      <x:c r="K75" s="12" t="str">
        <x:v>https://www.measuringworth.com/datasets/exchangeglobal/result.php?countryE%5B%5D=India&amp;year_result=1948&amp;year_source=1916</x:v>
      </x:c>
      <x:c r="L75" s="12" t="str"/>
      <x:c r="M75" s="12" t="str">
        <x:v>B：学术历史汇编</x:v>
      </x:c>
    </x:row>
    <x:row r="76" ht="72" customHeight="1">
      <x:c r="A76" t="n">
        <x:v>1927</x:v>
      </x:c>
      <x:c r="B76" t="str">
        <x:v>RUB</x:v>
      </x:c>
      <x:c r="C76" s="12" t="str">
        <x:v>苏联卢布（1924币制）</x:v>
      </x:c>
      <x:c r="D76" s="24" t="n">
        <x:v>1.945</x:v>
      </x:c>
      <x:c r="E76" s="20" t="str">
        <x:v>LCU/USD</x:v>
      </x:c>
      <x:c r="F76" s="20" t="n">
        <x:v>1</x:v>
      </x:c>
      <x:c r="G76" s="22" t="n">
        <x:f>IF(E76="LCU/USD",D76*F76,F76/D76)</x:f>
        <x:v>1.945</x:v>
      </x:c>
      <x:c r="H76" s="12" t="str">
        <x:v>定点官价参考（非年均）</x:v>
      </x:c>
      <x:c r="I76" s="12" t="str">
        <x:v>1927-01-01</x:v>
      </x:c>
      <x:c r="J76" s="12" t="str">
        <x:v>SUR_OFFICIAL_SECONDARY</x:v>
      </x:c>
      <x:c r="K76" s="12" t="str">
        <x:v>https://en.wikipedia.org/wiki/Soviet_ruble#Exchange_rates</x:v>
      </x:c>
      <x:c r="L76" s="12" t="str">
        <x:v>选取源表该年最早列出的日期，不代表该年平均、全年固定价或统一可成交价；原档案未复核。</x:v>
      </x:c>
      <x:c r="M76" s="12" t="str">
        <x:v>C：二手转引（原档未复核）</x:v>
      </x:c>
    </x:row>
    <x:row r="77" ht="72" customHeight="1">
      <x:c r="A77" t="n">
        <x:v>1927</x:v>
      </x:c>
      <x:c r="B77" t="str">
        <x:v>CNY</x:v>
      </x:c>
      <x:c r="C77" s="12" t="str">
        <x:v>中国旧银元（元）</x:v>
      </x:c>
      <x:c r="D77" s="24" t="n">
        <x:v>43.9414</x:v>
      </x:c>
      <x:c r="E77" s="20" t="str">
        <x:v>US cents/LCU</x:v>
      </x:c>
      <x:c r="F77" s="20" t="n">
        <x:f>'币制说明'!$C$25</x:f>
        <x:v>100</x:v>
      </x:c>
      <x:c r="G77" s="22" t="n">
        <x:f>IF(E77="LCU/USD",D77*F77,F77/D77)</x:f>
        <x:v>2.275758168833947</x:v>
      </x:c>
      <x:c r="H77" s="12" t="str">
        <x:v>年均</x:v>
      </x:c>
      <x:c r="I77" s="12" t="str">
        <x:v>1927-01-01—1927-12-31</x:v>
      </x:c>
      <x:c r="J77" s="12" t="str">
        <x:v>FRASER_CN</x:v>
      </x:c>
      <x:c r="K77" s="12" t="str">
        <x:v>https://fraser.stlouisfed.org/title/banking-monetary-statistics-1914-1941-38/part-i-6408/fulltext</x:v>
      </x:c>
      <x:c r="L77" s="12" t="str">
        <x:v>纽约报价；100÷美分年均报价；不同币制年份单位见实际币名表，并非全国统一零售兑换价。 反向值由原报价均值取倒数；不等于反向日度汇率的算术平均。</x:v>
      </x:c>
      <x:c r="M77" s="12" t="str">
        <x:v>A：机构统计／原始统计表</x:v>
      </x:c>
    </x:row>
    <x:row r="78" ht="72" customHeight="1">
      <x:c r="A78" t="n">
        <x:v>1928</x:v>
      </x:c>
      <x:c r="B78" t="str">
        <x:v>GBP</x:v>
      </x:c>
      <x:c r="C78" s="12" t="str">
        <x:v>英镑（GBP）</x:v>
      </x:c>
      <x:c r="D78" s="24" t="n">
        <x:v>0.2055</x:v>
      </x:c>
      <x:c r="E78" s="20" t="str">
        <x:v>LCU/USD</x:v>
      </x:c>
      <x:c r="F78" s="20" t="n">
        <x:v>1</x:v>
      </x:c>
      <x:c r="G78" s="22" t="n">
        <x:f>IF(E78="LCU/USD",D78*F78,F78/D78)</x:f>
        <x:v>0.2055</x:v>
      </x:c>
      <x:c r="H78" s="12" t="str">
        <x:v>年均</x:v>
      </x:c>
      <x:c r="I78" s="12" t="str">
        <x:v>1928-01-01—1928-12-31</x:v>
      </x:c>
      <x:c r="J78" s="12" t="str">
        <x:v>MW_GBP</x:v>
      </x:c>
      <x:c r="K78" s="12" t="str">
        <x:v>https://www.measuringworth.com/datasets/exchangeglobal/result.php?countryE%5B%5D=United+Kingdom&amp;year_result=2007&amp;year_source=1791</x:v>
      </x:c>
      <x:c r="L78" s="12" t="str"/>
      <x:c r="M78" s="12" t="str">
        <x:v>B：学术历史汇编</x:v>
      </x:c>
    </x:row>
    <x:row r="79" ht="72" customHeight="1">
      <x:c r="A79" t="n">
        <x:v>1928</x:v>
      </x:c>
      <x:c r="B79" t="str">
        <x:v>CAD</x:v>
      </x:c>
      <x:c r="C79" s="12" t="str">
        <x:v>加拿大元（CAD）</x:v>
      </x:c>
      <x:c r="D79" s="24" t="n">
        <x:v>1.001</x:v>
      </x:c>
      <x:c r="E79" s="20" t="str">
        <x:v>LCU/USD</x:v>
      </x:c>
      <x:c r="F79" s="20" t="n">
        <x:v>1</x:v>
      </x:c>
      <x:c r="G79" s="22" t="n">
        <x:f>IF(E79="LCU/USD",D79*F79,F79/D79)</x:f>
        <x:v>1.001</x:v>
      </x:c>
      <x:c r="H79" s="12" t="str">
        <x:v>年均</x:v>
      </x:c>
      <x:c r="I79" s="12" t="str">
        <x:v>1928-01-01—1928-12-31</x:v>
      </x:c>
      <x:c r="J79" s="12" t="str">
        <x:v>MW_CAD</x:v>
      </x:c>
      <x:c r="K79" s="12" t="str">
        <x:v>https://www.measuringworth.com/datasets/exchangeglobal/result.php?countryE%5B%5D=Canada&amp;year_result=2007&amp;year_source=1913</x:v>
      </x:c>
      <x:c r="L79" s="12" t="str"/>
      <x:c r="M79" s="12" t="str">
        <x:v>B：学术历史汇编</x:v>
      </x:c>
    </x:row>
    <x:row r="80" ht="72" customHeight="1">
      <x:c r="A80" t="n">
        <x:v>1928</x:v>
      </x:c>
      <x:c r="B80" t="str">
        <x:v>FR</x:v>
      </x:c>
      <x:c r="C80" s="12" t="str">
        <x:v>法国旧法郎</x:v>
      </x:c>
      <x:c r="D80" s="24" t="n">
        <x:v>25.504</x:v>
      </x:c>
      <x:c r="E80" s="20" t="str">
        <x:v>LCU/USD</x:v>
      </x:c>
      <x:c r="F80" s="20" t="n">
        <x:v>1</x:v>
      </x:c>
      <x:c r="G80" s="22" t="n">
        <x:f>IF(E80="LCU/USD",D80*F80,F80/D80)</x:f>
        <x:v>25.504</x:v>
      </x:c>
      <x:c r="H80" s="12" t="str">
        <x:v>年均</x:v>
      </x:c>
      <x:c r="I80" s="12" t="str">
        <x:v>1928-01-01—1928-12-31</x:v>
      </x:c>
      <x:c r="J80" s="12" t="str">
        <x:v>MW_FR</x:v>
      </x:c>
      <x:c r="K80" s="12" t="str">
        <x:v>https://www.measuringworth.com/datasets/exchangeglobal/result.php?countryE%5B%5D=France&amp;year_result=1940&amp;year_source=1920</x:v>
      </x:c>
      <x:c r="L80" s="12" t="str"/>
      <x:c r="M80" s="12" t="str">
        <x:v>B：学术历史汇编</x:v>
      </x:c>
    </x:row>
    <x:row r="81" ht="72" customHeight="1">
      <x:c r="A81" t="n">
        <x:v>1928</x:v>
      </x:c>
      <x:c r="B81" t="str">
        <x:v>DE</x:v>
      </x:c>
      <x:c r="C81" s="12" t="str">
        <x:v>帝国马克（Reichsmark）</x:v>
      </x:c>
      <x:c r="D81" s="24" t="n">
        <x:v>4.19</x:v>
      </x:c>
      <x:c r="E81" s="20" t="str">
        <x:v>LCU/USD</x:v>
      </x:c>
      <x:c r="F81" s="20" t="n">
        <x:v>1</x:v>
      </x:c>
      <x:c r="G81" s="22" t="n">
        <x:f>IF(E81="LCU/USD",D81*F81,F81/D81)</x:f>
        <x:v>4.19</x:v>
      </x:c>
      <x:c r="H81" s="12" t="str">
        <x:v>年均</x:v>
      </x:c>
      <x:c r="I81" s="12" t="str">
        <x:v>1928-01-01—1928-12-31</x:v>
      </x:c>
      <x:c r="J81" s="12" t="str">
        <x:v>UCSB_DE</x:v>
      </x:c>
      <x:c r="K81" s="12" t="str">
        <x:v>https://marcuse.faculty.history.ucsb.edu/projects/currency.htm</x:v>
      </x:c>
      <x:c r="L81" s="12" t="str"/>
      <x:c r="M81" s="12" t="str">
        <x:v>B：大学页面转录</x:v>
      </x:c>
    </x:row>
    <x:row r="82" ht="72" customHeight="1">
      <x:c r="A82" t="n">
        <x:v>1928</x:v>
      </x:c>
      <x:c r="B82" t="str">
        <x:v>IT</x:v>
      </x:c>
      <x:c r="C82" s="12" t="str">
        <x:v>意大利里拉（ITL）</x:v>
      </x:c>
      <x:c r="D82" s="24" t="n">
        <x:v>5.2571</x:v>
      </x:c>
      <x:c r="E82" s="20" t="str">
        <x:v>US cents/LCU</x:v>
      </x:c>
      <x:c r="F82" s="20" t="n">
        <x:f>'币制说明'!$C$25</x:f>
        <x:v>100</x:v>
      </x:c>
      <x:c r="G82" s="22" t="n">
        <x:f>IF(E82="LCU/USD",D82*F82,F82/D82)</x:f>
        <x:v>19.02189420022446</x:v>
      </x:c>
      <x:c r="H82" s="12" t="str">
        <x:v>年均</x:v>
      </x:c>
      <x:c r="I82" s="12" t="str">
        <x:v>1928-01-01—1928-12-31</x:v>
      </x:c>
      <x:c r="J82" s="12" t="str">
        <x:v>FRASER_IT</x:v>
      </x:c>
      <x:c r="K82" s="12" t="str">
        <x:v>https://fraser.stlouisfed.org/title/banking-monetary-statistics-1914-1941-38/part-i-6408/fulltext</x:v>
      </x:c>
      <x:c r="L82" s="12" t="str">
        <x:v>纽约报价；由美分／里拉的年均报价取倒数，非里拉／美元逐日均值。 反向值由原报价均值取倒数；不等于反向日度汇率的算术平均。</x:v>
      </x:c>
      <x:c r="M82" s="12" t="str">
        <x:v>A：机构统计／原始统计表</x:v>
      </x:c>
    </x:row>
    <x:row r="83" ht="72" customHeight="1">
      <x:c r="A83" t="n">
        <x:v>1928</x:v>
      </x:c>
      <x:c r="B83" t="str">
        <x:v>JPY</x:v>
      </x:c>
      <x:c r="C83" s="12" t="str">
        <x:v>日元（JPY）</x:v>
      </x:c>
      <x:c r="D83" s="24" t="n">
        <x:v>2.15</x:v>
      </x:c>
      <x:c r="E83" s="20" t="str">
        <x:v>LCU/USD</x:v>
      </x:c>
      <x:c r="F83" s="20" t="n">
        <x:v>1</x:v>
      </x:c>
      <x:c r="G83" s="22" t="n">
        <x:f>IF(E83="LCU/USD",D83*F83,F83/D83)</x:f>
        <x:v>2.15</x:v>
      </x:c>
      <x:c r="H83" s="12" t="str">
        <x:v>年均</x:v>
      </x:c>
      <x:c r="I83" s="12" t="str">
        <x:v>1928-01-01—1928-12-31</x:v>
      </x:c>
      <x:c r="J83" s="12" t="str">
        <x:v>MW_JPY</x:v>
      </x:c>
      <x:c r="K83" s="12" t="str">
        <x:v>https://www.measuringworth.com/datasets/exchangeglobal/result.php?countryE%5B%5D=Japan&amp;year_result=2016&amp;year_source=1916</x:v>
      </x:c>
      <x:c r="L83" s="12" t="str"/>
      <x:c r="M83" s="12" t="str">
        <x:v>B：学术历史汇编</x:v>
      </x:c>
    </x:row>
    <x:row r="84" ht="72" customHeight="1">
      <x:c r="A84" t="n">
        <x:v>1928</x:v>
      </x:c>
      <x:c r="B84" t="str">
        <x:v>CHF</x:v>
      </x:c>
      <x:c r="C84" s="12" t="str">
        <x:v>瑞士法郎（CHF）</x:v>
      </x:c>
      <x:c r="D84" s="24" t="n">
        <x:v>5.1922</x:v>
      </x:c>
      <x:c r="E84" s="20" t="str">
        <x:v>LCU/USD</x:v>
      </x:c>
      <x:c r="F84" s="20" t="n">
        <x:v>1</x:v>
      </x:c>
      <x:c r="G84" s="22" t="n">
        <x:f>IF(E84="LCU/USD",D84*F84,F84/D84)</x:f>
        <x:v>5.1922</x:v>
      </x:c>
      <x:c r="H84" s="12" t="str">
        <x:v>年均</x:v>
      </x:c>
      <x:c r="I84" s="12" t="str">
        <x:v>1928-01-01—1928-12-31</x:v>
      </x:c>
      <x:c r="J84" s="12" t="str">
        <x:v>MW_CHF</x:v>
      </x:c>
      <x:c r="K84" s="12" t="str">
        <x:v>https://www.measuringworth.com/datasets/exchangeglobal/result.php?countryE%5B%5D=Switzerland&amp;year_result=1955&amp;year_source=1905</x:v>
      </x:c>
      <x:c r="L84" s="12" t="str"/>
      <x:c r="M84" s="12" t="str">
        <x:v>B：学术历史汇编</x:v>
      </x:c>
    </x:row>
    <x:row r="85" ht="72" customHeight="1">
      <x:c r="A85" t="n">
        <x:v>1928</x:v>
      </x:c>
      <x:c r="B85" t="str">
        <x:v>INR</x:v>
      </x:c>
      <x:c r="C85" s="12" t="str">
        <x:v>英属印度卢比</x:v>
      </x:c>
      <x:c r="D85" s="24" t="n">
        <x:v>2.74</x:v>
      </x:c>
      <x:c r="E85" s="20" t="str">
        <x:v>LCU/USD</x:v>
      </x:c>
      <x:c r="F85" s="20" t="n">
        <x:v>1</x:v>
      </x:c>
      <x:c r="G85" s="22" t="n">
        <x:f>IF(E85="LCU/USD",D85*F85,F85/D85)</x:f>
        <x:v>2.74</x:v>
      </x:c>
      <x:c r="H85" s="12" t="str">
        <x:v>年均</x:v>
      </x:c>
      <x:c r="I85" s="12" t="str">
        <x:v>1928-01-01—1928-12-31</x:v>
      </x:c>
      <x:c r="J85" s="12" t="str">
        <x:v>MW_INR</x:v>
      </x:c>
      <x:c r="K85" s="12" t="str">
        <x:v>https://www.measuringworth.com/datasets/exchangeglobal/result.php?countryE%5B%5D=India&amp;year_result=1948&amp;year_source=1916</x:v>
      </x:c>
      <x:c r="L85" s="12" t="str"/>
      <x:c r="M85" s="12" t="str">
        <x:v>B：学术历史汇编</x:v>
      </x:c>
    </x:row>
    <x:row r="86" ht="72" customHeight="1">
      <x:c r="A86" t="n">
        <x:v>1928</x:v>
      </x:c>
      <x:c r="B86" t="str">
        <x:v>RUB</x:v>
      </x:c>
      <x:c r="C86" s="12" t="str">
        <x:v>苏联卢布（1924币制）</x:v>
      </x:c>
      <x:c r="D86" s="24" t="n">
        <x:v>1.9434</x:v>
      </x:c>
      <x:c r="E86" s="20" t="str">
        <x:v>LCU/USD</x:v>
      </x:c>
      <x:c r="F86" s="20" t="n">
        <x:v>1</x:v>
      </x:c>
      <x:c r="G86" s="22" t="n">
        <x:f>IF(E86="LCU/USD",D86*F86,F86/D86)</x:f>
        <x:v>1.9434</x:v>
      </x:c>
      <x:c r="H86" s="12" t="str">
        <x:v>定点官价参考（非年均）</x:v>
      </x:c>
      <x:c r="I86" s="12" t="str">
        <x:v>1928-02-01</x:v>
      </x:c>
      <x:c r="J86" s="12" t="str">
        <x:v>SUR_OFFICIAL_SECONDARY</x:v>
      </x:c>
      <x:c r="K86" s="12" t="str">
        <x:v>https://en.wikipedia.org/wiki/Soviet_ruble#Exchange_rates</x:v>
      </x:c>
      <x:c r="L86" s="12" t="str">
        <x:v>选取源表该年最早列出的日期，不代表该年平均、全年固定价或统一可成交价；原档案未复核。</x:v>
      </x:c>
      <x:c r="M86" s="12" t="str">
        <x:v>C：二手转引（原档未复核）</x:v>
      </x:c>
    </x:row>
    <x:row r="87" ht="72" customHeight="1">
      <x:c r="A87" t="n">
        <x:v>1928</x:v>
      </x:c>
      <x:c r="B87" t="str">
        <x:v>CNY</x:v>
      </x:c>
      <x:c r="C87" s="12" t="str">
        <x:v>中国旧银元（元）</x:v>
      </x:c>
      <x:c r="D87" s="24" t="n">
        <x:v>46.1378</x:v>
      </x:c>
      <x:c r="E87" s="20" t="str">
        <x:v>US cents/LCU</x:v>
      </x:c>
      <x:c r="F87" s="20" t="n">
        <x:f>'币制说明'!$C$25</x:f>
        <x:v>100</x:v>
      </x:c>
      <x:c r="G87" s="22" t="n">
        <x:f>IF(E87="LCU/USD",D87*F87,F87/D87)</x:f>
        <x:v>2.1674202064251005</x:v>
      </x:c>
      <x:c r="H87" s="12" t="str">
        <x:v>年均</x:v>
      </x:c>
      <x:c r="I87" s="12" t="str">
        <x:v>1928-01-01—1928-12-31</x:v>
      </x:c>
      <x:c r="J87" s="12" t="str">
        <x:v>FRASER_CN</x:v>
      </x:c>
      <x:c r="K87" s="12" t="str">
        <x:v>https://fraser.stlouisfed.org/title/banking-monetary-statistics-1914-1941-38/part-i-6408/fulltext</x:v>
      </x:c>
      <x:c r="L87" s="12" t="str">
        <x:v>纽约报价；100÷美分年均报价；不同币制年份单位见实际币名表，并非全国统一零售兑换价。 反向值由原报价均值取倒数；不等于反向日度汇率的算术平均。</x:v>
      </x:c>
      <x:c r="M87" s="12" t="str">
        <x:v>A：机构统计／原始统计表</x:v>
      </x:c>
    </x:row>
    <x:row r="88" ht="72" customHeight="1">
      <x:c r="A88" t="n">
        <x:v>1929</x:v>
      </x:c>
      <x:c r="B88" t="str">
        <x:v>GBP</x:v>
      </x:c>
      <x:c r="C88" s="12" t="str">
        <x:v>英镑（GBP）</x:v>
      </x:c>
      <x:c r="D88" s="24" t="n">
        <x:v>0.2059</x:v>
      </x:c>
      <x:c r="E88" s="20" t="str">
        <x:v>LCU/USD</x:v>
      </x:c>
      <x:c r="F88" s="20" t="n">
        <x:v>1</x:v>
      </x:c>
      <x:c r="G88" s="22" t="n">
        <x:f>IF(E88="LCU/USD",D88*F88,F88/D88)</x:f>
        <x:v>0.2059</x:v>
      </x:c>
      <x:c r="H88" s="12" t="str">
        <x:v>年均</x:v>
      </x:c>
      <x:c r="I88" s="12" t="str">
        <x:v>1929-01-01—1929-12-31</x:v>
      </x:c>
      <x:c r="J88" s="12" t="str">
        <x:v>MW_GBP</x:v>
      </x:c>
      <x:c r="K88" s="12" t="str">
        <x:v>https://www.measuringworth.com/datasets/exchangeglobal/result.php?countryE%5B%5D=United+Kingdom&amp;year_result=2007&amp;year_source=1791</x:v>
      </x:c>
      <x:c r="L88" s="12" t="str"/>
      <x:c r="M88" s="12" t="str">
        <x:v>B：学术历史汇编</x:v>
      </x:c>
    </x:row>
    <x:row r="89" ht="72" customHeight="1">
      <x:c r="A89" t="n">
        <x:v>1929</x:v>
      </x:c>
      <x:c r="B89" t="str">
        <x:v>CAD</x:v>
      </x:c>
      <x:c r="C89" s="12" t="str">
        <x:v>加拿大元（CAD）</x:v>
      </x:c>
      <x:c r="D89" s="24" t="n">
        <x:v>1.008</x:v>
      </x:c>
      <x:c r="E89" s="20" t="str">
        <x:v>LCU/USD</x:v>
      </x:c>
      <x:c r="F89" s="20" t="n">
        <x:v>1</x:v>
      </x:c>
      <x:c r="G89" s="22" t="n">
        <x:f>IF(E89="LCU/USD",D89*F89,F89/D89)</x:f>
        <x:v>1.008</x:v>
      </x:c>
      <x:c r="H89" s="12" t="str">
        <x:v>年均</x:v>
      </x:c>
      <x:c r="I89" s="12" t="str">
        <x:v>1929-01-01—1929-12-31</x:v>
      </x:c>
      <x:c r="J89" s="12" t="str">
        <x:v>MW_CAD</x:v>
      </x:c>
      <x:c r="K89" s="12" t="str">
        <x:v>https://www.measuringworth.com/datasets/exchangeglobal/result.php?countryE%5B%5D=Canada&amp;year_result=2007&amp;year_source=1913</x:v>
      </x:c>
      <x:c r="L89" s="12" t="str"/>
      <x:c r="M89" s="12" t="str">
        <x:v>B：学术历史汇编</x:v>
      </x:c>
    </x:row>
    <x:row r="90" ht="72" customHeight="1">
      <x:c r="A90" t="n">
        <x:v>1929</x:v>
      </x:c>
      <x:c r="B90" t="str">
        <x:v>FR</x:v>
      </x:c>
      <x:c r="C90" s="12" t="str">
        <x:v>法国旧法郎</x:v>
      </x:c>
      <x:c r="D90" s="24" t="n">
        <x:v>25.536</x:v>
      </x:c>
      <x:c r="E90" s="20" t="str">
        <x:v>LCU/USD</x:v>
      </x:c>
      <x:c r="F90" s="20" t="n">
        <x:v>1</x:v>
      </x:c>
      <x:c r="G90" s="22" t="n">
        <x:f>IF(E90="LCU/USD",D90*F90,F90/D90)</x:f>
        <x:v>25.536</x:v>
      </x:c>
      <x:c r="H90" s="12" t="str">
        <x:v>年均</x:v>
      </x:c>
      <x:c r="I90" s="12" t="str">
        <x:v>1929-01-01—1929-12-31</x:v>
      </x:c>
      <x:c r="J90" s="12" t="str">
        <x:v>MW_FR</x:v>
      </x:c>
      <x:c r="K90" s="12" t="str">
        <x:v>https://www.measuringworth.com/datasets/exchangeglobal/result.php?countryE%5B%5D=France&amp;year_result=1940&amp;year_source=1920</x:v>
      </x:c>
      <x:c r="L90" s="12" t="str"/>
      <x:c r="M90" s="12" t="str">
        <x:v>B：学术历史汇编</x:v>
      </x:c>
    </x:row>
    <x:row r="91" ht="72" customHeight="1">
      <x:c r="A91" t="n">
        <x:v>1929</x:v>
      </x:c>
      <x:c r="B91" t="str">
        <x:v>DE</x:v>
      </x:c>
      <x:c r="C91" s="12" t="str">
        <x:v>帝国马克（Reichsmark）</x:v>
      </x:c>
      <x:c r="D91" s="24" t="n">
        <x:v>4.2</x:v>
      </x:c>
      <x:c r="E91" s="20" t="str">
        <x:v>LCU/USD</x:v>
      </x:c>
      <x:c r="F91" s="20" t="n">
        <x:v>1</x:v>
      </x:c>
      <x:c r="G91" s="22" t="n">
        <x:f>IF(E91="LCU/USD",D91*F91,F91/D91)</x:f>
        <x:v>4.2</x:v>
      </x:c>
      <x:c r="H91" s="12" t="str">
        <x:v>年均</x:v>
      </x:c>
      <x:c r="I91" s="12" t="str">
        <x:v>1929-01-01—1929-12-31</x:v>
      </x:c>
      <x:c r="J91" s="12" t="str">
        <x:v>UCSB_DE</x:v>
      </x:c>
      <x:c r="K91" s="12" t="str">
        <x:v>https://marcuse.faculty.history.ucsb.edu/projects/currency.htm</x:v>
      </x:c>
      <x:c r="L91" s="12" t="str"/>
      <x:c r="M91" s="12" t="str">
        <x:v>B：大学页面转录</x:v>
      </x:c>
    </x:row>
    <x:row r="92" ht="72" customHeight="1">
      <x:c r="A92" t="n">
        <x:v>1929</x:v>
      </x:c>
      <x:c r="B92" t="str">
        <x:v>IT</x:v>
      </x:c>
      <x:c r="C92" s="12" t="str">
        <x:v>意大利里拉（ITL）</x:v>
      </x:c>
      <x:c r="D92" s="24" t="n">
        <x:v>5.2334</x:v>
      </x:c>
      <x:c r="E92" s="20" t="str">
        <x:v>US cents/LCU</x:v>
      </x:c>
      <x:c r="F92" s="20" t="n">
        <x:f>'币制说明'!$C$25</x:f>
        <x:v>100</x:v>
      </x:c>
      <x:c r="G92" s="22" t="n">
        <x:f>IF(E92="LCU/USD",D92*F92,F92/D92)</x:f>
        <x:v>19.10803684029503</x:v>
      </x:c>
      <x:c r="H92" s="12" t="str">
        <x:v>年均</x:v>
      </x:c>
      <x:c r="I92" s="12" t="str">
        <x:v>1929-01-01—1929-12-31</x:v>
      </x:c>
      <x:c r="J92" s="12" t="str">
        <x:v>FRASER_IT</x:v>
      </x:c>
      <x:c r="K92" s="12" t="str">
        <x:v>https://fraser.stlouisfed.org/title/banking-monetary-statistics-1914-1941-38/part-i-6408/fulltext</x:v>
      </x:c>
      <x:c r="L92" s="12" t="str">
        <x:v>纽约报价；由美分／里拉的年均报价取倒数，非里拉／美元逐日均值。 反向值由原报价均值取倒数；不等于反向日度汇率的算术平均。</x:v>
      </x:c>
      <x:c r="M92" s="12" t="str">
        <x:v>A：机构统计／原始统计表</x:v>
      </x:c>
    </x:row>
    <x:row r="93" ht="72" customHeight="1">
      <x:c r="A93" t="n">
        <x:v>1929</x:v>
      </x:c>
      <x:c r="B93" t="str">
        <x:v>JPY</x:v>
      </x:c>
      <x:c r="C93" s="12" t="str">
        <x:v>日元（JPY）</x:v>
      </x:c>
      <x:c r="D93" s="24" t="n">
        <x:v>2.17</x:v>
      </x:c>
      <x:c r="E93" s="20" t="str">
        <x:v>LCU/USD</x:v>
      </x:c>
      <x:c r="F93" s="20" t="n">
        <x:v>1</x:v>
      </x:c>
      <x:c r="G93" s="22" t="n">
        <x:f>IF(E93="LCU/USD",D93*F93,F93/D93)</x:f>
        <x:v>2.17</x:v>
      </x:c>
      <x:c r="H93" s="12" t="str">
        <x:v>年均</x:v>
      </x:c>
      <x:c r="I93" s="12" t="str">
        <x:v>1929-01-01—1929-12-31</x:v>
      </x:c>
      <x:c r="J93" s="12" t="str">
        <x:v>MW_JPY</x:v>
      </x:c>
      <x:c r="K93" s="12" t="str">
        <x:v>https://www.measuringworth.com/datasets/exchangeglobal/result.php?countryE%5B%5D=Japan&amp;year_result=2016&amp;year_source=1916</x:v>
      </x:c>
      <x:c r="L93" s="12" t="str"/>
      <x:c r="M93" s="12" t="str">
        <x:v>B：学术历史汇编</x:v>
      </x:c>
    </x:row>
    <x:row r="94" ht="72" customHeight="1">
      <x:c r="A94" t="n">
        <x:v>1929</x:v>
      </x:c>
      <x:c r="B94" t="str">
        <x:v>CHF</x:v>
      </x:c>
      <x:c r="C94" s="12" t="str">
        <x:v>瑞士法郎（CHF）</x:v>
      </x:c>
      <x:c r="D94" s="24" t="n">
        <x:v>5.1869</x:v>
      </x:c>
      <x:c r="E94" s="20" t="str">
        <x:v>LCU/USD</x:v>
      </x:c>
      <x:c r="F94" s="20" t="n">
        <x:v>1</x:v>
      </x:c>
      <x:c r="G94" s="22" t="n">
        <x:f>IF(E94="LCU/USD",D94*F94,F94/D94)</x:f>
        <x:v>5.1869</x:v>
      </x:c>
      <x:c r="H94" s="12" t="str">
        <x:v>年均</x:v>
      </x:c>
      <x:c r="I94" s="12" t="str">
        <x:v>1929-01-01—1929-12-31</x:v>
      </x:c>
      <x:c r="J94" s="12" t="str">
        <x:v>MW_CHF</x:v>
      </x:c>
      <x:c r="K94" s="12" t="str">
        <x:v>https://www.measuringworth.com/datasets/exchangeglobal/result.php?countryE%5B%5D=Switzerland&amp;year_result=1955&amp;year_source=1905</x:v>
      </x:c>
      <x:c r="L94" s="12" t="str"/>
      <x:c r="M94" s="12" t="str">
        <x:v>B：学术历史汇编</x:v>
      </x:c>
    </x:row>
    <x:row r="95" ht="72" customHeight="1">
      <x:c r="A95" t="n">
        <x:v>1929</x:v>
      </x:c>
      <x:c r="B95" t="str">
        <x:v>INR</x:v>
      </x:c>
      <x:c r="C95" s="12" t="str">
        <x:v>英属印度卢比</x:v>
      </x:c>
      <x:c r="D95" s="24" t="n">
        <x:v>2.76</x:v>
      </x:c>
      <x:c r="E95" s="20" t="str">
        <x:v>LCU/USD</x:v>
      </x:c>
      <x:c r="F95" s="20" t="n">
        <x:v>1</x:v>
      </x:c>
      <x:c r="G95" s="22" t="n">
        <x:f>IF(E95="LCU/USD",D95*F95,F95/D95)</x:f>
        <x:v>2.76</x:v>
      </x:c>
      <x:c r="H95" s="12" t="str">
        <x:v>年均</x:v>
      </x:c>
      <x:c r="I95" s="12" t="str">
        <x:v>1929-01-01—1929-12-31</x:v>
      </x:c>
      <x:c r="J95" s="12" t="str">
        <x:v>MW_INR</x:v>
      </x:c>
      <x:c r="K95" s="12" t="str">
        <x:v>https://www.measuringworth.com/datasets/exchangeglobal/result.php?countryE%5B%5D=India&amp;year_result=1948&amp;year_source=1916</x:v>
      </x:c>
      <x:c r="L95" s="12" t="str"/>
      <x:c r="M95" s="12" t="str">
        <x:v>B：学术历史汇编</x:v>
      </x:c>
    </x:row>
    <x:row r="96" ht="72" customHeight="1">
      <x:c r="A96" t="n">
        <x:v>1929</x:v>
      </x:c>
      <x:c r="B96" t="str">
        <x:v>RUB</x:v>
      </x:c>
      <x:c r="C96" s="12" t="str">
        <x:v>苏联卢布（1924币制）</x:v>
      </x:c>
      <x:c r="D96" s="24" t="n">
        <x:v>1.9434</x:v>
      </x:c>
      <x:c r="E96" s="20" t="str">
        <x:v>LCU/USD</x:v>
      </x:c>
      <x:c r="F96" s="20" t="n">
        <x:v>1</x:v>
      </x:c>
      <x:c r="G96" s="22" t="n">
        <x:f>IF(E96="LCU/USD",D96*F96,F96/D96)</x:f>
        <x:v>1.9434</x:v>
      </x:c>
      <x:c r="H96" s="12" t="str">
        <x:v>官价区间参考（非年均）</x:v>
      </x:c>
      <x:c r="I96" s="12" t="str">
        <x:v>1928-02-01—1933-04-01</x:v>
      </x:c>
      <x:c r="J96" s="12" t="str">
        <x:v>SUR_OFFICIAL_SECONDARY</x:v>
      </x:c>
      <x:c r="K96" s="12" t="str">
        <x:v>https://en.wikipedia.org/wiki/Soviet_ruble#Exchange_rates</x:v>
      </x:c>
      <x:c r="L96" s="12" t="str">
        <x:v>源表同一官价覆盖的区间内年份；非逐年独立观测。只代表官方折算，非市场成交或购买力；原档案未复核。</x:v>
      </x:c>
      <x:c r="M96" s="12" t="str">
        <x:v>C：二手转引（原档未复核）</x:v>
      </x:c>
    </x:row>
    <x:row r="97" ht="72" customHeight="1">
      <x:c r="A97" t="n">
        <x:v>1929</x:v>
      </x:c>
      <x:c r="B97" t="str">
        <x:v>CNY</x:v>
      </x:c>
      <x:c r="C97" s="12" t="str">
        <x:v>中国旧银元（元）</x:v>
      </x:c>
      <x:c r="D97" s="24" t="n">
        <x:v>41.9007</x:v>
      </x:c>
      <x:c r="E97" s="20" t="str">
        <x:v>US cents/LCU</x:v>
      </x:c>
      <x:c r="F97" s="20" t="n">
        <x:f>'币制说明'!$C$25</x:f>
        <x:v>100</x:v>
      </x:c>
      <x:c r="G97" s="22" t="n">
        <x:f>IF(E97="LCU/USD",D97*F97,F97/D97)</x:f>
        <x:v>2.386594973353667</x:v>
      </x:c>
      <x:c r="H97" s="12" t="str">
        <x:v>年均</x:v>
      </x:c>
      <x:c r="I97" s="12" t="str">
        <x:v>1929-01-01—1929-12-31</x:v>
      </x:c>
      <x:c r="J97" s="12" t="str">
        <x:v>FRASER_CN</x:v>
      </x:c>
      <x:c r="K97" s="12" t="str">
        <x:v>https://fraser.stlouisfed.org/title/banking-monetary-statistics-1914-1941-38/part-i-6408/fulltext</x:v>
      </x:c>
      <x:c r="L97" s="12" t="str">
        <x:v>纽约报价；100÷美分年均报价；不同币制年份单位见实际币名表，并非全国统一零售兑换价。 反向值由原报价均值取倒数；不等于反向日度汇率的算术平均。</x:v>
      </x:c>
      <x:c r="M97" s="12" t="str">
        <x:v>A：机构统计／原始统计表</x:v>
      </x:c>
    </x:row>
    <x:row r="98" ht="72" customHeight="1">
      <x:c r="A98" t="n">
        <x:v>1930</x:v>
      </x:c>
      <x:c r="B98" t="str">
        <x:v>GBP</x:v>
      </x:c>
      <x:c r="C98" s="12" t="str">
        <x:v>英镑（GBP）</x:v>
      </x:c>
      <x:c r="D98" s="24" t="n">
        <x:v>0.2057</x:v>
      </x:c>
      <x:c r="E98" s="20" t="str">
        <x:v>LCU/USD</x:v>
      </x:c>
      <x:c r="F98" s="20" t="n">
        <x:v>1</x:v>
      </x:c>
      <x:c r="G98" s="22" t="n">
        <x:f>IF(E98="LCU/USD",D98*F98,F98/D98)</x:f>
        <x:v>0.2057</x:v>
      </x:c>
      <x:c r="H98" s="12" t="str">
        <x:v>年均</x:v>
      </x:c>
      <x:c r="I98" s="12" t="str">
        <x:v>1930-01-01—1930-12-31</x:v>
      </x:c>
      <x:c r="J98" s="12" t="str">
        <x:v>MW_GBP</x:v>
      </x:c>
      <x:c r="K98" s="12" t="str">
        <x:v>https://www.measuringworth.com/datasets/exchangeglobal/result.php?countryE%5B%5D=United+Kingdom&amp;year_result=2007&amp;year_source=1791</x:v>
      </x:c>
      <x:c r="L98" s="12" t="str"/>
      <x:c r="M98" s="12" t="str">
        <x:v>B：学术历史汇编</x:v>
      </x:c>
    </x:row>
    <x:row r="99" ht="72" customHeight="1">
      <x:c r="A99" t="n">
        <x:v>1930</x:v>
      </x:c>
      <x:c r="B99" t="str">
        <x:v>CAD</x:v>
      </x:c>
      <x:c r="C99" s="12" t="str">
        <x:v>加拿大元（CAD）</x:v>
      </x:c>
      <x:c r="D99" s="24" t="n">
        <x:v>1.002</x:v>
      </x:c>
      <x:c r="E99" s="20" t="str">
        <x:v>LCU/USD</x:v>
      </x:c>
      <x:c r="F99" s="20" t="n">
        <x:v>1</x:v>
      </x:c>
      <x:c r="G99" s="22" t="n">
        <x:f>IF(E99="LCU/USD",D99*F99,F99/D99)</x:f>
        <x:v>1.002</x:v>
      </x:c>
      <x:c r="H99" s="12" t="str">
        <x:v>年均</x:v>
      </x:c>
      <x:c r="I99" s="12" t="str">
        <x:v>1930-01-01—1930-12-31</x:v>
      </x:c>
      <x:c r="J99" s="12" t="str">
        <x:v>MW_CAD</x:v>
      </x:c>
      <x:c r="K99" s="12" t="str">
        <x:v>https://www.measuringworth.com/datasets/exchangeglobal/result.php?countryE%5B%5D=Canada&amp;year_result=2007&amp;year_source=1913</x:v>
      </x:c>
      <x:c r="L99" s="12" t="str"/>
      <x:c r="M99" s="12" t="str">
        <x:v>B：学术历史汇编</x:v>
      </x:c>
    </x:row>
    <x:row r="100" ht="72" customHeight="1">
      <x:c r="A100" t="n">
        <x:v>1930</x:v>
      </x:c>
      <x:c r="B100" t="str">
        <x:v>FR</x:v>
      </x:c>
      <x:c r="C100" s="12" t="str">
        <x:v>法国旧法郎</x:v>
      </x:c>
      <x:c r="D100" s="24" t="n">
        <x:v>25.478</x:v>
      </x:c>
      <x:c r="E100" s="20" t="str">
        <x:v>LCU/USD</x:v>
      </x:c>
      <x:c r="F100" s="20" t="n">
        <x:v>1</x:v>
      </x:c>
      <x:c r="G100" s="22" t="n">
        <x:f>IF(E100="LCU/USD",D100*F100,F100/D100)</x:f>
        <x:v>25.478</x:v>
      </x:c>
      <x:c r="H100" s="12" t="str">
        <x:v>年均</x:v>
      </x:c>
      <x:c r="I100" s="12" t="str">
        <x:v>1930-01-01—1930-12-31</x:v>
      </x:c>
      <x:c r="J100" s="12" t="str">
        <x:v>MW_FR</x:v>
      </x:c>
      <x:c r="K100" s="12" t="str">
        <x:v>https://www.measuringworth.com/datasets/exchangeglobal/result.php?countryE%5B%5D=France&amp;year_result=1940&amp;year_source=1920</x:v>
      </x:c>
      <x:c r="L100" s="12" t="str"/>
      <x:c r="M100" s="12" t="str">
        <x:v>B：学术历史汇编</x:v>
      </x:c>
    </x:row>
    <x:row r="101" ht="72" customHeight="1">
      <x:c r="A101" t="n">
        <x:v>1930</x:v>
      </x:c>
      <x:c r="B101" t="str">
        <x:v>DE</x:v>
      </x:c>
      <x:c r="C101" s="12" t="str">
        <x:v>帝国马克（Reichsmark）</x:v>
      </x:c>
      <x:c r="D101" s="24" t="n">
        <x:v>4.19</x:v>
      </x:c>
      <x:c r="E101" s="20" t="str">
        <x:v>LCU/USD</x:v>
      </x:c>
      <x:c r="F101" s="20" t="n">
        <x:v>1</x:v>
      </x:c>
      <x:c r="G101" s="22" t="n">
        <x:f>IF(E101="LCU/USD",D101*F101,F101/D101)</x:f>
        <x:v>4.19</x:v>
      </x:c>
      <x:c r="H101" s="12" t="str">
        <x:v>年均</x:v>
      </x:c>
      <x:c r="I101" s="12" t="str">
        <x:v>1930-01-01—1930-12-31</x:v>
      </x:c>
      <x:c r="J101" s="12" t="str">
        <x:v>UCSB_DE</x:v>
      </x:c>
      <x:c r="K101" s="12" t="str">
        <x:v>https://marcuse.faculty.history.ucsb.edu/projects/currency.htm</x:v>
      </x:c>
      <x:c r="L101" s="12" t="str"/>
      <x:c r="M101" s="12" t="str">
        <x:v>B：大学页面转录</x:v>
      </x:c>
    </x:row>
    <x:row r="102" ht="72" customHeight="1">
      <x:c r="A102" t="n">
        <x:v>1930</x:v>
      </x:c>
      <x:c r="B102" t="str">
        <x:v>IT</x:v>
      </x:c>
      <x:c r="C102" s="12" t="str">
        <x:v>意大利里拉（ITL）</x:v>
      </x:c>
      <x:c r="D102" s="24" t="n">
        <x:v>5.2374</x:v>
      </x:c>
      <x:c r="E102" s="20" t="str">
        <x:v>US cents/LCU</x:v>
      </x:c>
      <x:c r="F102" s="20" t="n">
        <x:f>'币制说明'!$C$25</x:f>
        <x:v>100</x:v>
      </x:c>
      <x:c r="G102" s="22" t="n">
        <x:f>IF(E102="LCU/USD",D102*F102,F102/D102)</x:f>
        <x:v>19.09344331156681</x:v>
      </x:c>
      <x:c r="H102" s="12" t="str">
        <x:v>年均</x:v>
      </x:c>
      <x:c r="I102" s="12" t="str">
        <x:v>1930-01-01—1930-12-31</x:v>
      </x:c>
      <x:c r="J102" s="12" t="str">
        <x:v>FRASER_IT</x:v>
      </x:c>
      <x:c r="K102" s="12" t="str">
        <x:v>https://fraser.stlouisfed.org/title/banking-monetary-statistics-1914-1941-38/part-i-6408/fulltext</x:v>
      </x:c>
      <x:c r="L102" s="12" t="str">
        <x:v>纽约报价；由美分／里拉的年均报价取倒数，非里拉／美元逐日均值。 反向值由原报价均值取倒数；不等于反向日度汇率的算术平均。</x:v>
      </x:c>
      <x:c r="M102" s="12" t="str">
        <x:v>A：机构统计／原始统计表</x:v>
      </x:c>
    </x:row>
    <x:row r="103" ht="72" customHeight="1">
      <x:c r="A103" t="n">
        <x:v>1930</x:v>
      </x:c>
      <x:c r="B103" t="str">
        <x:v>JPY</x:v>
      </x:c>
      <x:c r="C103" s="12" t="str">
        <x:v>日元（JPY）</x:v>
      </x:c>
      <x:c r="D103" s="24" t="n">
        <x:v>2.02</x:v>
      </x:c>
      <x:c r="E103" s="20" t="str">
        <x:v>LCU/USD</x:v>
      </x:c>
      <x:c r="F103" s="20" t="n">
        <x:v>1</x:v>
      </x:c>
      <x:c r="G103" s="22" t="n">
        <x:f>IF(E103="LCU/USD",D103*F103,F103/D103)</x:f>
        <x:v>2.02</x:v>
      </x:c>
      <x:c r="H103" s="12" t="str">
        <x:v>年均</x:v>
      </x:c>
      <x:c r="I103" s="12" t="str">
        <x:v>1930-01-01—1930-12-31</x:v>
      </x:c>
      <x:c r="J103" s="12" t="str">
        <x:v>MW_JPY</x:v>
      </x:c>
      <x:c r="K103" s="12" t="str">
        <x:v>https://www.measuringworth.com/datasets/exchangeglobal/result.php?countryE%5B%5D=Japan&amp;year_result=2016&amp;year_source=1916</x:v>
      </x:c>
      <x:c r="L103" s="12" t="str"/>
      <x:c r="M103" s="12" t="str">
        <x:v>B：学术历史汇编</x:v>
      </x:c>
    </x:row>
    <x:row r="104" ht="72" customHeight="1">
      <x:c r="A104" t="n">
        <x:v>1930</x:v>
      </x:c>
      <x:c r="B104" t="str">
        <x:v>CHF</x:v>
      </x:c>
      <x:c r="C104" s="12" t="str">
        <x:v>瑞士法郎（CHF）</x:v>
      </x:c>
      <x:c r="D104" s="24" t="n">
        <x:v>5.1594</x:v>
      </x:c>
      <x:c r="E104" s="20" t="str">
        <x:v>LCU/USD</x:v>
      </x:c>
      <x:c r="F104" s="20" t="n">
        <x:v>1</x:v>
      </x:c>
      <x:c r="G104" s="22" t="n">
        <x:f>IF(E104="LCU/USD",D104*F104,F104/D104)</x:f>
        <x:v>5.1594</x:v>
      </x:c>
      <x:c r="H104" s="12" t="str">
        <x:v>年均</x:v>
      </x:c>
      <x:c r="I104" s="12" t="str">
        <x:v>1930-01-01—1930-12-31</x:v>
      </x:c>
      <x:c r="J104" s="12" t="str">
        <x:v>MW_CHF</x:v>
      </x:c>
      <x:c r="K104" s="12" t="str">
        <x:v>https://www.measuringworth.com/datasets/exchangeglobal/result.php?countryE%5B%5D=Switzerland&amp;year_result=1955&amp;year_source=1905</x:v>
      </x:c>
      <x:c r="L104" s="12" t="str"/>
      <x:c r="M104" s="12" t="str">
        <x:v>B：学术历史汇编</x:v>
      </x:c>
    </x:row>
    <x:row r="105" ht="72" customHeight="1">
      <x:c r="A105" t="n">
        <x:v>1930</x:v>
      </x:c>
      <x:c r="B105" t="str">
        <x:v>INR</x:v>
      </x:c>
      <x:c r="C105" s="12" t="str">
        <x:v>英属印度卢比</x:v>
      </x:c>
      <x:c r="D105" s="24" t="n">
        <x:v>2.77</x:v>
      </x:c>
      <x:c r="E105" s="20" t="str">
        <x:v>LCU/USD</x:v>
      </x:c>
      <x:c r="F105" s="20" t="n">
        <x:v>1</x:v>
      </x:c>
      <x:c r="G105" s="22" t="n">
        <x:f>IF(E105="LCU/USD",D105*F105,F105/D105)</x:f>
        <x:v>2.77</x:v>
      </x:c>
      <x:c r="H105" s="12" t="str">
        <x:v>年均</x:v>
      </x:c>
      <x:c r="I105" s="12" t="str">
        <x:v>1930-01-01—1930-12-31</x:v>
      </x:c>
      <x:c r="J105" s="12" t="str">
        <x:v>MW_INR</x:v>
      </x:c>
      <x:c r="K105" s="12" t="str">
        <x:v>https://www.measuringworth.com/datasets/exchangeglobal/result.php?countryE%5B%5D=India&amp;year_result=1948&amp;year_source=1916</x:v>
      </x:c>
      <x:c r="L105" s="12" t="str"/>
      <x:c r="M105" s="12" t="str">
        <x:v>B：学术历史汇编</x:v>
      </x:c>
    </x:row>
    <x:row r="106" ht="72" customHeight="1">
      <x:c r="A106" t="n">
        <x:v>1930</x:v>
      </x:c>
      <x:c r="B106" t="str">
        <x:v>RUB</x:v>
      </x:c>
      <x:c r="C106" s="12" t="str">
        <x:v>苏联卢布（1924币制）</x:v>
      </x:c>
      <x:c r="D106" s="24" t="n">
        <x:v>1.9434</x:v>
      </x:c>
      <x:c r="E106" s="20" t="str">
        <x:v>LCU/USD</x:v>
      </x:c>
      <x:c r="F106" s="20" t="n">
        <x:v>1</x:v>
      </x:c>
      <x:c r="G106" s="22" t="n">
        <x:f>IF(E106="LCU/USD",D106*F106,F106/D106)</x:f>
        <x:v>1.9434</x:v>
      </x:c>
      <x:c r="H106" s="12" t="str">
        <x:v>官价区间参考（非年均）</x:v>
      </x:c>
      <x:c r="I106" s="12" t="str">
        <x:v>1928-02-01—1933-04-01</x:v>
      </x:c>
      <x:c r="J106" s="12" t="str">
        <x:v>SUR_OFFICIAL_SECONDARY</x:v>
      </x:c>
      <x:c r="K106" s="12" t="str">
        <x:v>https://en.wikipedia.org/wiki/Soviet_ruble#Exchange_rates</x:v>
      </x:c>
      <x:c r="L106" s="12" t="str">
        <x:v>源表同一官价覆盖的区间内年份；非逐年独立观测。只代表官方折算，非市场成交或购买力；原档案未复核。</x:v>
      </x:c>
      <x:c r="M106" s="12" t="str">
        <x:v>C：二手转引（原档未复核）</x:v>
      </x:c>
    </x:row>
    <x:row r="107" ht="72" customHeight="1">
      <x:c r="A107" t="n">
        <x:v>1930</x:v>
      </x:c>
      <x:c r="B107" t="str">
        <x:v>CNY</x:v>
      </x:c>
      <x:c r="C107" s="12" t="str">
        <x:v>中国旧银元（元）</x:v>
      </x:c>
      <x:c r="D107" s="24" t="n">
        <x:v>29.9166</x:v>
      </x:c>
      <x:c r="E107" s="20" t="str">
        <x:v>US cents/LCU</x:v>
      </x:c>
      <x:c r="F107" s="20" t="n">
        <x:f>'币制说明'!$C$25</x:f>
        <x:v>100</x:v>
      </x:c>
      <x:c r="G107" s="22" t="n">
        <x:f>IF(E107="LCU/USD",D107*F107,F107/D107)</x:f>
        <x:v>3.342625833149489</x:v>
      </x:c>
      <x:c r="H107" s="12" t="str">
        <x:v>年均</x:v>
      </x:c>
      <x:c r="I107" s="12" t="str">
        <x:v>1930-01-01—1930-12-31</x:v>
      </x:c>
      <x:c r="J107" s="12" t="str">
        <x:v>FRASER_CN</x:v>
      </x:c>
      <x:c r="K107" s="12" t="str">
        <x:v>https://fraser.stlouisfed.org/title/banking-monetary-statistics-1914-1941-38/part-i-6408/fulltext</x:v>
      </x:c>
      <x:c r="L107" s="12" t="str">
        <x:v>纽约报价；100÷美分年均报价；不同币制年份单位见实际币名表，并非全国统一零售兑换价。 反向值由原报价均值取倒数；不等于反向日度汇率的算术平均。</x:v>
      </x:c>
      <x:c r="M107" s="12" t="str">
        <x:v>A：机构统计／原始统计表</x:v>
      </x:c>
    </x:row>
    <x:row r="108" ht="72" customHeight="1">
      <x:c r="A108" t="n">
        <x:v>1931</x:v>
      </x:c>
      <x:c r="B108" t="str">
        <x:v>GBP</x:v>
      </x:c>
      <x:c r="C108" s="12" t="str">
        <x:v>英镑（GBP）</x:v>
      </x:c>
      <x:c r="D108" s="24" t="n">
        <x:v>0.2205</x:v>
      </x:c>
      <x:c r="E108" s="20" t="str">
        <x:v>LCU/USD</x:v>
      </x:c>
      <x:c r="F108" s="20" t="n">
        <x:v>1</x:v>
      </x:c>
      <x:c r="G108" s="22" t="n">
        <x:f>IF(E108="LCU/USD",D108*F108,F108/D108)</x:f>
        <x:v>0.2205</x:v>
      </x:c>
      <x:c r="H108" s="12" t="str">
        <x:v>年均</x:v>
      </x:c>
      <x:c r="I108" s="12" t="str">
        <x:v>1931-01-01—1931-12-31</x:v>
      </x:c>
      <x:c r="J108" s="12" t="str">
        <x:v>MW_GBP</x:v>
      </x:c>
      <x:c r="K108" s="12" t="str">
        <x:v>https://www.measuringworth.com/datasets/exchangeglobal/result.php?countryE%5B%5D=United+Kingdom&amp;year_result=2007&amp;year_source=1791</x:v>
      </x:c>
      <x:c r="L108" s="12" t="str"/>
      <x:c r="M108" s="12" t="str">
        <x:v>B：学术历史汇编</x:v>
      </x:c>
    </x:row>
    <x:row r="109" ht="72" customHeight="1">
      <x:c r="A109" t="n">
        <x:v>1931</x:v>
      </x:c>
      <x:c r="B109" t="str">
        <x:v>CAD</x:v>
      </x:c>
      <x:c r="C109" s="12" t="str">
        <x:v>加拿大元（CAD）</x:v>
      </x:c>
      <x:c r="D109" s="24" t="n">
        <x:v>1.038</x:v>
      </x:c>
      <x:c r="E109" s="20" t="str">
        <x:v>LCU/USD</x:v>
      </x:c>
      <x:c r="F109" s="20" t="n">
        <x:v>1</x:v>
      </x:c>
      <x:c r="G109" s="22" t="n">
        <x:f>IF(E109="LCU/USD",D109*F109,F109/D109)</x:f>
        <x:v>1.038</x:v>
      </x:c>
      <x:c r="H109" s="12" t="str">
        <x:v>年均</x:v>
      </x:c>
      <x:c r="I109" s="12" t="str">
        <x:v>1931-01-01—1931-12-31</x:v>
      </x:c>
      <x:c r="J109" s="12" t="str">
        <x:v>MW_CAD</x:v>
      </x:c>
      <x:c r="K109" s="12" t="str">
        <x:v>https://www.measuringworth.com/datasets/exchangeglobal/result.php?countryE%5B%5D=Canada&amp;year_result=2007&amp;year_source=1913</x:v>
      </x:c>
      <x:c r="L109" s="12" t="str"/>
      <x:c r="M109" s="12" t="str">
        <x:v>B：学术历史汇编</x:v>
      </x:c>
    </x:row>
    <x:row r="110" ht="72" customHeight="1">
      <x:c r="A110" t="n">
        <x:v>1931</x:v>
      </x:c>
      <x:c r="B110" t="str">
        <x:v>FR</x:v>
      </x:c>
      <x:c r="C110" s="12" t="str">
        <x:v>法国旧法郎</x:v>
      </x:c>
      <x:c r="D110" s="24" t="n">
        <x:v>25.51</x:v>
      </x:c>
      <x:c r="E110" s="20" t="str">
        <x:v>LCU/USD</x:v>
      </x:c>
      <x:c r="F110" s="20" t="n">
        <x:v>1</x:v>
      </x:c>
      <x:c r="G110" s="22" t="n">
        <x:f>IF(E110="LCU/USD",D110*F110,F110/D110)</x:f>
        <x:v>25.51</x:v>
      </x:c>
      <x:c r="H110" s="12" t="str">
        <x:v>年均</x:v>
      </x:c>
      <x:c r="I110" s="12" t="str">
        <x:v>1931-01-01—1931-12-31</x:v>
      </x:c>
      <x:c r="J110" s="12" t="str">
        <x:v>MW_FR</x:v>
      </x:c>
      <x:c r="K110" s="12" t="str">
        <x:v>https://www.measuringworth.com/datasets/exchangeglobal/result.php?countryE%5B%5D=France&amp;year_result=1940&amp;year_source=1920</x:v>
      </x:c>
      <x:c r="L110" s="12" t="str"/>
      <x:c r="M110" s="12" t="str">
        <x:v>B：学术历史汇编</x:v>
      </x:c>
    </x:row>
    <x:row r="111" ht="72" customHeight="1">
      <x:c r="A111" t="n">
        <x:v>1931</x:v>
      </x:c>
      <x:c r="B111" t="str">
        <x:v>DE</x:v>
      </x:c>
      <x:c r="C111" s="12" t="str">
        <x:v>帝国马克（Reichsmark）</x:v>
      </x:c>
      <x:c r="D111" s="24" t="n">
        <x:v>4.23</x:v>
      </x:c>
      <x:c r="E111" s="20" t="str">
        <x:v>LCU/USD</x:v>
      </x:c>
      <x:c r="F111" s="20" t="n">
        <x:v>1</x:v>
      </x:c>
      <x:c r="G111" s="22" t="n">
        <x:f>IF(E111="LCU/USD",D111*F111,F111/D111)</x:f>
        <x:v>4.23</x:v>
      </x:c>
      <x:c r="H111" s="12" t="str">
        <x:v>年均</x:v>
      </x:c>
      <x:c r="I111" s="12" t="str">
        <x:v>1931-01-01—1931-12-31</x:v>
      </x:c>
      <x:c r="J111" s="12" t="str">
        <x:v>UCSB_DE</x:v>
      </x:c>
      <x:c r="K111" s="12" t="str">
        <x:v>https://marcuse.faculty.history.ucsb.edu/projects/currency.htm</x:v>
      </x:c>
      <x:c r="L111" s="12" t="str"/>
      <x:c r="M111" s="12" t="str">
        <x:v>B：大学页面转录</x:v>
      </x:c>
    </x:row>
    <x:row r="112" ht="72" customHeight="1">
      <x:c r="A112" t="n">
        <x:v>1931</x:v>
      </x:c>
      <x:c r="B112" t="str">
        <x:v>IT</x:v>
      </x:c>
      <x:c r="C112" s="12" t="str">
        <x:v>意大利里拉（ITL）</x:v>
      </x:c>
      <x:c r="D112" s="24" t="n">
        <x:v>5.2063</x:v>
      </x:c>
      <x:c r="E112" s="20" t="str">
        <x:v>US cents/LCU</x:v>
      </x:c>
      <x:c r="F112" s="20" t="n">
        <x:f>'币制说明'!$C$25</x:f>
        <x:v>100</x:v>
      </x:c>
      <x:c r="G112" s="22" t="n">
        <x:f>IF(E112="LCU/USD",D112*F112,F112/D112)</x:f>
        <x:v>19.20749860745635</x:v>
      </x:c>
      <x:c r="H112" s="12" t="str">
        <x:v>年均</x:v>
      </x:c>
      <x:c r="I112" s="12" t="str">
        <x:v>1931-01-01—1931-12-31</x:v>
      </x:c>
      <x:c r="J112" s="12" t="str">
        <x:v>FRASER_IT</x:v>
      </x:c>
      <x:c r="K112" s="12" t="str">
        <x:v>https://fraser.stlouisfed.org/title/banking-monetary-statistics-1914-1941-38/part-i-6408/fulltext</x:v>
      </x:c>
      <x:c r="L112" s="12" t="str">
        <x:v>纽约报价；由美分／里拉的年均报价取倒数，非里拉／美元逐日均值。 反向值由原报价均值取倒数；不等于反向日度汇率的算术平均。</x:v>
      </x:c>
      <x:c r="M112" s="12" t="str">
        <x:v>A：机构统计／原始统计表</x:v>
      </x:c>
    </x:row>
    <x:row r="113" ht="72" customHeight="1">
      <x:c r="A113" t="n">
        <x:v>1931</x:v>
      </x:c>
      <x:c r="B113" t="str">
        <x:v>JPY</x:v>
      </x:c>
      <x:c r="C113" s="12" t="str">
        <x:v>日元（JPY）</x:v>
      </x:c>
      <x:c r="D113" s="24" t="n">
        <x:v>2.05</x:v>
      </x:c>
      <x:c r="E113" s="20" t="str">
        <x:v>LCU/USD</x:v>
      </x:c>
      <x:c r="F113" s="20" t="n">
        <x:v>1</x:v>
      </x:c>
      <x:c r="G113" s="22" t="n">
        <x:f>IF(E113="LCU/USD",D113*F113,F113/D113)</x:f>
        <x:v>2.05</x:v>
      </x:c>
      <x:c r="H113" s="12" t="str">
        <x:v>年均</x:v>
      </x:c>
      <x:c r="I113" s="12" t="str">
        <x:v>1931-01-01—1931-12-31</x:v>
      </x:c>
      <x:c r="J113" s="12" t="str">
        <x:v>MW_JPY</x:v>
      </x:c>
      <x:c r="K113" s="12" t="str">
        <x:v>https://www.measuringworth.com/datasets/exchangeglobal/result.php?countryE%5B%5D=Japan&amp;year_result=2016&amp;year_source=1916</x:v>
      </x:c>
      <x:c r="L113" s="12" t="str"/>
      <x:c r="M113" s="12" t="str">
        <x:v>B：学术历史汇编</x:v>
      </x:c>
    </x:row>
    <x:row r="114" ht="72" customHeight="1">
      <x:c r="A114" t="n">
        <x:v>1931</x:v>
      </x:c>
      <x:c r="B114" t="str">
        <x:v>CHF</x:v>
      </x:c>
      <x:c r="C114" s="12" t="str">
        <x:v>瑞士法郎（CHF）</x:v>
      </x:c>
      <x:c r="D114" s="24" t="n">
        <x:v>5.1544</x:v>
      </x:c>
      <x:c r="E114" s="20" t="str">
        <x:v>LCU/USD</x:v>
      </x:c>
      <x:c r="F114" s="20" t="n">
        <x:v>1</x:v>
      </x:c>
      <x:c r="G114" s="22" t="n">
        <x:f>IF(E114="LCU/USD",D114*F114,F114/D114)</x:f>
        <x:v>5.1544</x:v>
      </x:c>
      <x:c r="H114" s="12" t="str">
        <x:v>年均</x:v>
      </x:c>
      <x:c r="I114" s="12" t="str">
        <x:v>1931-01-01—1931-12-31</x:v>
      </x:c>
      <x:c r="J114" s="12" t="str">
        <x:v>MW_CHF</x:v>
      </x:c>
      <x:c r="K114" s="12" t="str">
        <x:v>https://www.measuringworth.com/datasets/exchangeglobal/result.php?countryE%5B%5D=Switzerland&amp;year_result=1955&amp;year_source=1905</x:v>
      </x:c>
      <x:c r="L114" s="12" t="str"/>
      <x:c r="M114" s="12" t="str">
        <x:v>B：学术历史汇编</x:v>
      </x:c>
    </x:row>
    <x:row r="115" ht="72" customHeight="1">
      <x:c r="A115" t="n">
        <x:v>1931</x:v>
      </x:c>
      <x:c r="B115" t="str">
        <x:v>INR</x:v>
      </x:c>
      <x:c r="C115" s="12" t="str">
        <x:v>英属印度卢比</x:v>
      </x:c>
      <x:c r="D115" s="24" t="n">
        <x:v>2.97</x:v>
      </x:c>
      <x:c r="E115" s="20" t="str">
        <x:v>LCU/USD</x:v>
      </x:c>
      <x:c r="F115" s="20" t="n">
        <x:v>1</x:v>
      </x:c>
      <x:c r="G115" s="22" t="n">
        <x:f>IF(E115="LCU/USD",D115*F115,F115/D115)</x:f>
        <x:v>2.97</x:v>
      </x:c>
      <x:c r="H115" s="12" t="str">
        <x:v>年均</x:v>
      </x:c>
      <x:c r="I115" s="12" t="str">
        <x:v>1931-01-01—1931-12-31</x:v>
      </x:c>
      <x:c r="J115" s="12" t="str">
        <x:v>MW_INR</x:v>
      </x:c>
      <x:c r="K115" s="12" t="str">
        <x:v>https://www.measuringworth.com/datasets/exchangeglobal/result.php?countryE%5B%5D=India&amp;year_result=1948&amp;year_source=1916</x:v>
      </x:c>
      <x:c r="L115" s="12" t="str"/>
      <x:c r="M115" s="12" t="str">
        <x:v>B：学术历史汇编</x:v>
      </x:c>
    </x:row>
    <x:row r="116" ht="72" customHeight="1">
      <x:c r="A116" t="n">
        <x:v>1931</x:v>
      </x:c>
      <x:c r="B116" t="str">
        <x:v>RUB</x:v>
      </x:c>
      <x:c r="C116" s="12" t="str">
        <x:v>苏联卢布（1924币制）</x:v>
      </x:c>
      <x:c r="D116" s="24" t="n">
        <x:v>1.9434</x:v>
      </x:c>
      <x:c r="E116" s="20" t="str">
        <x:v>LCU/USD</x:v>
      </x:c>
      <x:c r="F116" s="20" t="n">
        <x:v>1</x:v>
      </x:c>
      <x:c r="G116" s="22" t="n">
        <x:f>IF(E116="LCU/USD",D116*F116,F116/D116)</x:f>
        <x:v>1.9434</x:v>
      </x:c>
      <x:c r="H116" s="12" t="str">
        <x:v>官价区间参考（非年均）</x:v>
      </x:c>
      <x:c r="I116" s="12" t="str">
        <x:v>1928-02-01—1933-04-01</x:v>
      </x:c>
      <x:c r="J116" s="12" t="str">
        <x:v>SUR_OFFICIAL_SECONDARY</x:v>
      </x:c>
      <x:c r="K116" s="12" t="str">
        <x:v>https://en.wikipedia.org/wiki/Soviet_ruble#Exchange_rates</x:v>
      </x:c>
      <x:c r="L116" s="12" t="str">
        <x:v>源表同一官价覆盖的区间内年份；非逐年独立观测。只代表官方折算，非市场成交或购买力；原档案未复核。</x:v>
      </x:c>
      <x:c r="M116" s="12" t="str">
        <x:v>C：二手转引（原档未复核）</x:v>
      </x:c>
    </x:row>
    <x:row r="117" ht="72" customHeight="1">
      <x:c r="A117" t="n">
        <x:v>1931</x:v>
      </x:c>
      <x:c r="B117" t="str">
        <x:v>CNY</x:v>
      </x:c>
      <x:c r="C117" s="12" t="str">
        <x:v>中国旧银元（元）</x:v>
      </x:c>
      <x:c r="D117" s="24" t="n">
        <x:v>22.4369</x:v>
      </x:c>
      <x:c r="E117" s="20" t="str">
        <x:v>US cents/LCU</x:v>
      </x:c>
      <x:c r="F117" s="20" t="n">
        <x:f>'币制说明'!$C$25</x:f>
        <x:v>100</x:v>
      </x:c>
      <x:c r="G117" s="22" t="n">
        <x:f>IF(E117="LCU/USD",D117*F117,F117/D117)</x:f>
        <x:v>4.4569436954302954</x:v>
      </x:c>
      <x:c r="H117" s="12" t="str">
        <x:v>年均</x:v>
      </x:c>
      <x:c r="I117" s="12" t="str">
        <x:v>1931-01-01—1931-12-31</x:v>
      </x:c>
      <x:c r="J117" s="12" t="str">
        <x:v>FRASER_CN</x:v>
      </x:c>
      <x:c r="K117" s="12" t="str">
        <x:v>https://fraser.stlouisfed.org/title/banking-monetary-statistics-1914-1941-38/part-i-6408/fulltext</x:v>
      </x:c>
      <x:c r="L117" s="12" t="str">
        <x:v>纽约报价；100÷美分年均报价；不同币制年份单位见实际币名表，并非全国统一零售兑换价。 反向值由原报价均值取倒数；不等于反向日度汇率的算术平均。</x:v>
      </x:c>
      <x:c r="M117" s="12" t="str">
        <x:v>A：机构统计／原始统计表</x:v>
      </x:c>
    </x:row>
    <x:row r="118" ht="72" customHeight="1">
      <x:c r="A118" t="n">
        <x:v>1932</x:v>
      </x:c>
      <x:c r="B118" t="str">
        <x:v>GBP</x:v>
      </x:c>
      <x:c r="C118" s="12" t="str">
        <x:v>英镑（GBP）</x:v>
      </x:c>
      <x:c r="D118" s="24" t="n">
        <x:v>0.2852</x:v>
      </x:c>
      <x:c r="E118" s="20" t="str">
        <x:v>LCU/USD</x:v>
      </x:c>
      <x:c r="F118" s="20" t="n">
        <x:v>1</x:v>
      </x:c>
      <x:c r="G118" s="22" t="n">
        <x:f>IF(E118="LCU/USD",D118*F118,F118/D118)</x:f>
        <x:v>0.2852</x:v>
      </x:c>
      <x:c r="H118" s="12" t="str">
        <x:v>年均</x:v>
      </x:c>
      <x:c r="I118" s="12" t="str">
        <x:v>1932-01-01—1932-12-31</x:v>
      </x:c>
      <x:c r="J118" s="12" t="str">
        <x:v>MW_GBP</x:v>
      </x:c>
      <x:c r="K118" s="12" t="str">
        <x:v>https://www.measuringworth.com/datasets/exchangeglobal/result.php?countryE%5B%5D=United+Kingdom&amp;year_result=2007&amp;year_source=1791</x:v>
      </x:c>
      <x:c r="L118" s="12" t="str"/>
      <x:c r="M118" s="12" t="str">
        <x:v>B：学术历史汇编</x:v>
      </x:c>
    </x:row>
    <x:row r="119" ht="72" customHeight="1">
      <x:c r="A119" t="n">
        <x:v>1932</x:v>
      </x:c>
      <x:c r="B119" t="str">
        <x:v>CAD</x:v>
      </x:c>
      <x:c r="C119" s="12" t="str">
        <x:v>加拿大元（CAD）</x:v>
      </x:c>
      <x:c r="D119" s="24" t="n">
        <x:v>1.135</x:v>
      </x:c>
      <x:c r="E119" s="20" t="str">
        <x:v>LCU/USD</x:v>
      </x:c>
      <x:c r="F119" s="20" t="n">
        <x:v>1</x:v>
      </x:c>
      <x:c r="G119" s="22" t="n">
        <x:f>IF(E119="LCU/USD",D119*F119,F119/D119)</x:f>
        <x:v>1.135</x:v>
      </x:c>
      <x:c r="H119" s="12" t="str">
        <x:v>年均</x:v>
      </x:c>
      <x:c r="I119" s="12" t="str">
        <x:v>1932-01-01—1932-12-31</x:v>
      </x:c>
      <x:c r="J119" s="12" t="str">
        <x:v>MW_CAD</x:v>
      </x:c>
      <x:c r="K119" s="12" t="str">
        <x:v>https://www.measuringworth.com/datasets/exchangeglobal/result.php?countryE%5B%5D=Canada&amp;year_result=2007&amp;year_source=1913</x:v>
      </x:c>
      <x:c r="L119" s="12" t="str"/>
      <x:c r="M119" s="12" t="str">
        <x:v>B：学术历史汇编</x:v>
      </x:c>
    </x:row>
    <x:row r="120" ht="72" customHeight="1">
      <x:c r="A120" t="n">
        <x:v>1932</x:v>
      </x:c>
      <x:c r="B120" t="str">
        <x:v>FR</x:v>
      </x:c>
      <x:c r="C120" s="12" t="str">
        <x:v>法国旧法郎</x:v>
      </x:c>
      <x:c r="D120" s="24" t="n">
        <x:v>25.461</x:v>
      </x:c>
      <x:c r="E120" s="20" t="str">
        <x:v>LCU/USD</x:v>
      </x:c>
      <x:c r="F120" s="20" t="n">
        <x:v>1</x:v>
      </x:c>
      <x:c r="G120" s="22" t="n">
        <x:f>IF(E120="LCU/USD",D120*F120,F120/D120)</x:f>
        <x:v>25.461</x:v>
      </x:c>
      <x:c r="H120" s="12" t="str">
        <x:v>年均</x:v>
      </x:c>
      <x:c r="I120" s="12" t="str">
        <x:v>1932-01-01—1932-12-31</x:v>
      </x:c>
      <x:c r="J120" s="12" t="str">
        <x:v>MW_FR</x:v>
      </x:c>
      <x:c r="K120" s="12" t="str">
        <x:v>https://www.measuringworth.com/datasets/exchangeglobal/result.php?countryE%5B%5D=France&amp;year_result=1940&amp;year_source=1920</x:v>
      </x:c>
      <x:c r="L120" s="12" t="str"/>
      <x:c r="M120" s="12" t="str">
        <x:v>B：学术历史汇编</x:v>
      </x:c>
    </x:row>
    <x:row r="121" ht="72" customHeight="1">
      <x:c r="A121" t="n">
        <x:v>1932</x:v>
      </x:c>
      <x:c r="B121" t="str">
        <x:v>DE</x:v>
      </x:c>
      <x:c r="C121" s="12" t="str">
        <x:v>帝国马克（Reichsmark）</x:v>
      </x:c>
      <x:c r="D121" s="24" t="n">
        <x:v>4.21</x:v>
      </x:c>
      <x:c r="E121" s="20" t="str">
        <x:v>LCU/USD</x:v>
      </x:c>
      <x:c r="F121" s="20" t="n">
        <x:v>1</x:v>
      </x:c>
      <x:c r="G121" s="22" t="n">
        <x:f>IF(E121="LCU/USD",D121*F121,F121/D121)</x:f>
        <x:v>4.21</x:v>
      </x:c>
      <x:c r="H121" s="12" t="str">
        <x:v>年均</x:v>
      </x:c>
      <x:c r="I121" s="12" t="str">
        <x:v>1932-01-01—1932-12-31</x:v>
      </x:c>
      <x:c r="J121" s="12" t="str">
        <x:v>UCSB_DE</x:v>
      </x:c>
      <x:c r="K121" s="12" t="str">
        <x:v>https://marcuse.faculty.history.ucsb.edu/projects/currency.htm</x:v>
      </x:c>
      <x:c r="L121" s="12" t="str"/>
      <x:c r="M121" s="12" t="str">
        <x:v>B：大学页面转录</x:v>
      </x:c>
    </x:row>
    <x:row r="122" ht="72" customHeight="1">
      <x:c r="A122" t="n">
        <x:v>1932</x:v>
      </x:c>
      <x:c r="B122" t="str">
        <x:v>IT</x:v>
      </x:c>
      <x:c r="C122" s="12" t="str">
        <x:v>意大利里拉（ITL）</x:v>
      </x:c>
      <x:c r="D122" s="24" t="n">
        <x:v>5.1253</x:v>
      </x:c>
      <x:c r="E122" s="20" t="str">
        <x:v>US cents/LCU</x:v>
      </x:c>
      <x:c r="F122" s="20" t="n">
        <x:f>'币制说明'!$C$25</x:f>
        <x:v>100</x:v>
      </x:c>
      <x:c r="G122" s="22" t="n">
        <x:f>IF(E122="LCU/USD",D122*F122,F122/D122)</x:f>
        <x:v>19.511053011531033</x:v>
      </x:c>
      <x:c r="H122" s="12" t="str">
        <x:v>年均</x:v>
      </x:c>
      <x:c r="I122" s="12" t="str">
        <x:v>1932-01-01—1932-12-31</x:v>
      </x:c>
      <x:c r="J122" s="12" t="str">
        <x:v>FRASER_IT</x:v>
      </x:c>
      <x:c r="K122" s="12" t="str">
        <x:v>https://fraser.stlouisfed.org/title/banking-monetary-statistics-1914-1941-38/part-i-6408/fulltext</x:v>
      </x:c>
      <x:c r="L122" s="12" t="str">
        <x:v>纽约报价；由美分／里拉的年均报价取倒数，非里拉／美元逐日均值。 反向值由原报价均值取倒数；不等于反向日度汇率的算术平均。</x:v>
      </x:c>
      <x:c r="M122" s="12" t="str">
        <x:v>A：机构统计／原始统计表</x:v>
      </x:c>
    </x:row>
    <x:row r="123" ht="72" customHeight="1">
      <x:c r="A123" t="n">
        <x:v>1932</x:v>
      </x:c>
      <x:c r="B123" t="str">
        <x:v>JPY</x:v>
      </x:c>
      <x:c r="C123" s="12" t="str">
        <x:v>日元（JPY）</x:v>
      </x:c>
      <x:c r="D123" s="24" t="n">
        <x:v>3.56</x:v>
      </x:c>
      <x:c r="E123" s="20" t="str">
        <x:v>LCU/USD</x:v>
      </x:c>
      <x:c r="F123" s="20" t="n">
        <x:v>1</x:v>
      </x:c>
      <x:c r="G123" s="22" t="n">
        <x:f>IF(E123="LCU/USD",D123*F123,F123/D123)</x:f>
        <x:v>3.56</x:v>
      </x:c>
      <x:c r="H123" s="12" t="str">
        <x:v>年均</x:v>
      </x:c>
      <x:c r="I123" s="12" t="str">
        <x:v>1932-01-01—1932-12-31</x:v>
      </x:c>
      <x:c r="J123" s="12" t="str">
        <x:v>MW_JPY</x:v>
      </x:c>
      <x:c r="K123" s="12" t="str">
        <x:v>https://www.measuringworth.com/datasets/exchangeglobal/result.php?countryE%5B%5D=Japan&amp;year_result=2016&amp;year_source=1916</x:v>
      </x:c>
      <x:c r="L123" s="12" t="str"/>
      <x:c r="M123" s="12" t="str">
        <x:v>B：学术历史汇编</x:v>
      </x:c>
    </x:row>
    <x:row r="124" ht="72" customHeight="1">
      <x:c r="A124" t="n">
        <x:v>1932</x:v>
      </x:c>
      <x:c r="B124" t="str">
        <x:v>CHF</x:v>
      </x:c>
      <x:c r="C124" s="12" t="str">
        <x:v>瑞士法郎（CHF）</x:v>
      </x:c>
      <x:c r="D124" s="24" t="n">
        <x:v>5.1533</x:v>
      </x:c>
      <x:c r="E124" s="20" t="str">
        <x:v>LCU/USD</x:v>
      </x:c>
      <x:c r="F124" s="20" t="n">
        <x:v>1</x:v>
      </x:c>
      <x:c r="G124" s="22" t="n">
        <x:f>IF(E124="LCU/USD",D124*F124,F124/D124)</x:f>
        <x:v>5.1533</x:v>
      </x:c>
      <x:c r="H124" s="12" t="str">
        <x:v>年均</x:v>
      </x:c>
      <x:c r="I124" s="12" t="str">
        <x:v>1932-01-01—1932-12-31</x:v>
      </x:c>
      <x:c r="J124" s="12" t="str">
        <x:v>MW_CHF</x:v>
      </x:c>
      <x:c r="K124" s="12" t="str">
        <x:v>https://www.measuringworth.com/datasets/exchangeglobal/result.php?countryE%5B%5D=Switzerland&amp;year_result=1955&amp;year_source=1905</x:v>
      </x:c>
      <x:c r="L124" s="12" t="str"/>
      <x:c r="M124" s="12" t="str">
        <x:v>B：学术历史汇编</x:v>
      </x:c>
    </x:row>
    <x:row r="125" ht="72" customHeight="1">
      <x:c r="A125" t="n">
        <x:v>1932</x:v>
      </x:c>
      <x:c r="B125" t="str">
        <x:v>INR</x:v>
      </x:c>
      <x:c r="C125" s="12" t="str">
        <x:v>英属印度卢比</x:v>
      </x:c>
      <x:c r="D125" s="24" t="n">
        <x:v>3.8</x:v>
      </x:c>
      <x:c r="E125" s="20" t="str">
        <x:v>LCU/USD</x:v>
      </x:c>
      <x:c r="F125" s="20" t="n">
        <x:v>1</x:v>
      </x:c>
      <x:c r="G125" s="22" t="n">
        <x:f>IF(E125="LCU/USD",D125*F125,F125/D125)</x:f>
        <x:v>3.8</x:v>
      </x:c>
      <x:c r="H125" s="12" t="str">
        <x:v>年均</x:v>
      </x:c>
      <x:c r="I125" s="12" t="str">
        <x:v>1932-01-01—1932-12-31</x:v>
      </x:c>
      <x:c r="J125" s="12" t="str">
        <x:v>MW_INR</x:v>
      </x:c>
      <x:c r="K125" s="12" t="str">
        <x:v>https://www.measuringworth.com/datasets/exchangeglobal/result.php?countryE%5B%5D=India&amp;year_result=1948&amp;year_source=1916</x:v>
      </x:c>
      <x:c r="L125" s="12" t="str"/>
      <x:c r="M125" s="12" t="str">
        <x:v>B：学术历史汇编</x:v>
      </x:c>
    </x:row>
    <x:row r="126" ht="72" customHeight="1">
      <x:c r="A126" t="n">
        <x:v>1932</x:v>
      </x:c>
      <x:c r="B126" t="str">
        <x:v>RUB</x:v>
      </x:c>
      <x:c r="C126" s="12" t="str">
        <x:v>苏联卢布（1924币制）</x:v>
      </x:c>
      <x:c r="D126" s="24" t="n">
        <x:v>1.9434</x:v>
      </x:c>
      <x:c r="E126" s="20" t="str">
        <x:v>LCU/USD</x:v>
      </x:c>
      <x:c r="F126" s="20" t="n">
        <x:v>1</x:v>
      </x:c>
      <x:c r="G126" s="22" t="n">
        <x:f>IF(E126="LCU/USD",D126*F126,F126/D126)</x:f>
        <x:v>1.9434</x:v>
      </x:c>
      <x:c r="H126" s="12" t="str">
        <x:v>官价区间参考（非年均）</x:v>
      </x:c>
      <x:c r="I126" s="12" t="str">
        <x:v>1928-02-01—1933-04-01</x:v>
      </x:c>
      <x:c r="J126" s="12" t="str">
        <x:v>SUR_OFFICIAL_SECONDARY</x:v>
      </x:c>
      <x:c r="K126" s="12" t="str">
        <x:v>https://en.wikipedia.org/wiki/Soviet_ruble#Exchange_rates</x:v>
      </x:c>
      <x:c r="L126" s="12" t="str">
        <x:v>源表同一官价覆盖的区间内年份；非逐年独立观测。只代表官方折算，非市场成交或购买力；原档案未复核。</x:v>
      </x:c>
      <x:c r="M126" s="12" t="str">
        <x:v>C：二手转引（原档未复核）</x:v>
      </x:c>
    </x:row>
    <x:row r="127" ht="72" customHeight="1">
      <x:c r="A127" t="n">
        <x:v>1932</x:v>
      </x:c>
      <x:c r="B127" t="str">
        <x:v>CNY</x:v>
      </x:c>
      <x:c r="C127" s="12" t="str">
        <x:v>中国旧银元（元）</x:v>
      </x:c>
      <x:c r="D127" s="24" t="n">
        <x:v>21.7357</x:v>
      </x:c>
      <x:c r="E127" s="20" t="str">
        <x:v>US cents/LCU</x:v>
      </x:c>
      <x:c r="F127" s="20" t="n">
        <x:f>'币制说明'!$C$25</x:f>
        <x:v>100</x:v>
      </x:c>
      <x:c r="G127" s="22" t="n">
        <x:f>IF(E127="LCU/USD",D127*F127,F127/D127)</x:f>
        <x:v>4.600725994561942</x:v>
      </x:c>
      <x:c r="H127" s="12" t="str">
        <x:v>年均</x:v>
      </x:c>
      <x:c r="I127" s="12" t="str">
        <x:v>1932-01-01—1932-12-31</x:v>
      </x:c>
      <x:c r="J127" s="12" t="str">
        <x:v>FRASER_CN</x:v>
      </x:c>
      <x:c r="K127" s="12" t="str">
        <x:v>https://fraser.stlouisfed.org/title/banking-monetary-statistics-1914-1941-38/part-i-6408/fulltext</x:v>
      </x:c>
      <x:c r="L127" s="12" t="str">
        <x:v>纽约报价；100÷美分年均报价；不同币制年份单位见实际币名表，并非全国统一零售兑换价。 反向值由原报价均值取倒数；不等于反向日度汇率的算术平均。</x:v>
      </x:c>
      <x:c r="M127" s="12" t="str">
        <x:v>A：机构统计／原始统计表</x:v>
      </x:c>
    </x:row>
    <x:row r="128" ht="72" customHeight="1">
      <x:c r="A128" t="n">
        <x:v>1933</x:v>
      </x:c>
      <x:c r="B128" t="str">
        <x:v>GBP</x:v>
      </x:c>
      <x:c r="C128" s="12" t="str">
        <x:v>英镑（GBP）</x:v>
      </x:c>
      <x:c r="D128" s="24" t="n">
        <x:v>0.236</x:v>
      </x:c>
      <x:c r="E128" s="20" t="str">
        <x:v>LCU/USD</x:v>
      </x:c>
      <x:c r="F128" s="20" t="n">
        <x:v>1</x:v>
      </x:c>
      <x:c r="G128" s="22" t="n">
        <x:f>IF(E128="LCU/USD",D128*F128,F128/D128)</x:f>
        <x:v>0.236</x:v>
      </x:c>
      <x:c r="H128" s="12" t="str">
        <x:v>年均</x:v>
      </x:c>
      <x:c r="I128" s="12" t="str">
        <x:v>1933-01-01—1933-12-31</x:v>
      </x:c>
      <x:c r="J128" s="12" t="str">
        <x:v>MW_GBP</x:v>
      </x:c>
      <x:c r="K128" s="12" t="str">
        <x:v>https://www.measuringworth.com/datasets/exchangeglobal/result.php?countryE%5B%5D=United+Kingdom&amp;year_result=2007&amp;year_source=1791</x:v>
      </x:c>
      <x:c r="L128" s="12" t="str"/>
      <x:c r="M128" s="12" t="str">
        <x:v>B：学术历史汇编</x:v>
      </x:c>
    </x:row>
    <x:row r="129" ht="72" customHeight="1">
      <x:c r="A129" t="n">
        <x:v>1933</x:v>
      </x:c>
      <x:c r="B129" t="str">
        <x:v>CAD</x:v>
      </x:c>
      <x:c r="C129" s="12" t="str">
        <x:v>加拿大元（CAD）</x:v>
      </x:c>
      <x:c r="D129" s="24" t="n">
        <x:v>1.087</x:v>
      </x:c>
      <x:c r="E129" s="20" t="str">
        <x:v>LCU/USD</x:v>
      </x:c>
      <x:c r="F129" s="20" t="n">
        <x:v>1</x:v>
      </x:c>
      <x:c r="G129" s="22" t="n">
        <x:f>IF(E129="LCU/USD",D129*F129,F129/D129)</x:f>
        <x:v>1.087</x:v>
      </x:c>
      <x:c r="H129" s="12" t="str">
        <x:v>年均</x:v>
      </x:c>
      <x:c r="I129" s="12" t="str">
        <x:v>1933-01-01—1933-12-31</x:v>
      </x:c>
      <x:c r="J129" s="12" t="str">
        <x:v>MW_CAD</x:v>
      </x:c>
      <x:c r="K129" s="12" t="str">
        <x:v>https://www.measuringworth.com/datasets/exchangeglobal/result.php?countryE%5B%5D=Canada&amp;year_result=2007&amp;year_source=1913</x:v>
      </x:c>
      <x:c r="L129" s="12" t="str"/>
      <x:c r="M129" s="12" t="str">
        <x:v>B：学术历史汇编</x:v>
      </x:c>
    </x:row>
    <x:row r="130" ht="72" customHeight="1">
      <x:c r="A130" t="n">
        <x:v>1933</x:v>
      </x:c>
      <x:c r="B130" t="str">
        <x:v>FR</x:v>
      </x:c>
      <x:c r="C130" s="12" t="str">
        <x:v>法国旧法郎</x:v>
      </x:c>
      <x:c r="D130" s="24" t="n">
        <x:v>19.876</x:v>
      </x:c>
      <x:c r="E130" s="20" t="str">
        <x:v>LCU/USD</x:v>
      </x:c>
      <x:c r="F130" s="20" t="n">
        <x:v>1</x:v>
      </x:c>
      <x:c r="G130" s="22" t="n">
        <x:f>IF(E130="LCU/USD",D130*F130,F130/D130)</x:f>
        <x:v>19.876</x:v>
      </x:c>
      <x:c r="H130" s="12" t="str">
        <x:v>年均</x:v>
      </x:c>
      <x:c r="I130" s="12" t="str">
        <x:v>1933-01-01—1933-12-31</x:v>
      </x:c>
      <x:c r="J130" s="12" t="str">
        <x:v>MW_FR</x:v>
      </x:c>
      <x:c r="K130" s="12" t="str">
        <x:v>https://www.measuringworth.com/datasets/exchangeglobal/result.php?countryE%5B%5D=France&amp;year_result=1940&amp;year_source=1920</x:v>
      </x:c>
      <x:c r="L130" s="12" t="str"/>
      <x:c r="M130" s="12" t="str">
        <x:v>B：学术历史汇编</x:v>
      </x:c>
    </x:row>
    <x:row r="131" ht="72" customHeight="1">
      <x:c r="A131" t="n">
        <x:v>1933</x:v>
      </x:c>
      <x:c r="B131" t="str">
        <x:v>DE</x:v>
      </x:c>
      <x:c r="C131" s="12" t="str">
        <x:v>帝国马克（Reichsmark）</x:v>
      </x:c>
      <x:c r="D131" s="24" t="n">
        <x:v>3.28</x:v>
      </x:c>
      <x:c r="E131" s="20" t="str">
        <x:v>LCU/USD</x:v>
      </x:c>
      <x:c r="F131" s="20" t="n">
        <x:v>1</x:v>
      </x:c>
      <x:c r="G131" s="22" t="n">
        <x:f>IF(E131="LCU/USD",D131*F131,F131/D131)</x:f>
        <x:v>3.28</x:v>
      </x:c>
      <x:c r="H131" s="12" t="str">
        <x:v>年均</x:v>
      </x:c>
      <x:c r="I131" s="12" t="str">
        <x:v>1933-01-01—1933-12-31</x:v>
      </x:c>
      <x:c r="J131" s="12" t="str">
        <x:v>UCSB_DE</x:v>
      </x:c>
      <x:c r="K131" s="12" t="str">
        <x:v>https://marcuse.faculty.history.ucsb.edu/projects/currency.htm</x:v>
      </x:c>
      <x:c r="L131" s="12" t="str"/>
      <x:c r="M131" s="12" t="str">
        <x:v>B：大学页面转录</x:v>
      </x:c>
    </x:row>
    <x:row r="132" ht="72" customHeight="1">
      <x:c r="A132" t="n">
        <x:v>1933</x:v>
      </x:c>
      <x:c r="B132" t="str">
        <x:v>IT</x:v>
      </x:c>
      <x:c r="C132" s="12" t="str">
        <x:v>意大利里拉（ITL）</x:v>
      </x:c>
      <x:c r="D132" s="24" t="n">
        <x:v>6.7094</x:v>
      </x:c>
      <x:c r="E132" s="20" t="str">
        <x:v>US cents/LCU</x:v>
      </x:c>
      <x:c r="F132" s="20" t="n">
        <x:f>'币制说明'!$C$25</x:f>
        <x:v>100</x:v>
      </x:c>
      <x:c r="G132" s="22" t="n">
        <x:f>IF(E132="LCU/USD",D132*F132,F132/D132)</x:f>
        <x:v>14.904462396041376</x:v>
      </x:c>
      <x:c r="H132" s="12" t="str">
        <x:v>年均</x:v>
      </x:c>
      <x:c r="I132" s="12" t="str">
        <x:v>1933-01-01—1933-12-31</x:v>
      </x:c>
      <x:c r="J132" s="12" t="str">
        <x:v>FRASER_IT</x:v>
      </x:c>
      <x:c r="K132" s="12" t="str">
        <x:v>https://fraser.stlouisfed.org/title/banking-monetary-statistics-1914-1941-38/part-i-6408/fulltext</x:v>
      </x:c>
      <x:c r="L132" s="12" t="str">
        <x:v>纽约报价；由美分／里拉的年均报价取倒数，非里拉／美元逐日均值。 反向值由原报价均值取倒数；不等于反向日度汇率的算术平均。</x:v>
      </x:c>
      <x:c r="M132" s="12" t="str">
        <x:v>A：机构统计／原始统计表</x:v>
      </x:c>
    </x:row>
    <x:row r="133" ht="72" customHeight="1">
      <x:c r="A133" t="n">
        <x:v>1933</x:v>
      </x:c>
      <x:c r="B133" t="str">
        <x:v>JPY</x:v>
      </x:c>
      <x:c r="C133" s="12" t="str">
        <x:v>日元（JPY）</x:v>
      </x:c>
      <x:c r="D133" s="24" t="n">
        <x:v>3.9</x:v>
      </x:c>
      <x:c r="E133" s="20" t="str">
        <x:v>LCU/USD</x:v>
      </x:c>
      <x:c r="F133" s="20" t="n">
        <x:v>1</x:v>
      </x:c>
      <x:c r="G133" s="22" t="n">
        <x:f>IF(E133="LCU/USD",D133*F133,F133/D133)</x:f>
        <x:v>3.9</x:v>
      </x:c>
      <x:c r="H133" s="12" t="str">
        <x:v>年均</x:v>
      </x:c>
      <x:c r="I133" s="12" t="str">
        <x:v>1933-01-01—1933-12-31</x:v>
      </x:c>
      <x:c r="J133" s="12" t="str">
        <x:v>MW_JPY</x:v>
      </x:c>
      <x:c r="K133" s="12" t="str">
        <x:v>https://www.measuringworth.com/datasets/exchangeglobal/result.php?countryE%5B%5D=Japan&amp;year_result=2016&amp;year_source=1916</x:v>
      </x:c>
      <x:c r="L133" s="12" t="str"/>
      <x:c r="M133" s="12" t="str">
        <x:v>B：学术历史汇编</x:v>
      </x:c>
    </x:row>
    <x:row r="134" ht="72" customHeight="1">
      <x:c r="A134" t="n">
        <x:v>1933</x:v>
      </x:c>
      <x:c r="B134" t="str">
        <x:v>CHF</x:v>
      </x:c>
      <x:c r="C134" s="12" t="str">
        <x:v>瑞士法郎（CHF）</x:v>
      </x:c>
      <x:c r="D134" s="24" t="n">
        <x:v>4.0265</x:v>
      </x:c>
      <x:c r="E134" s="20" t="str">
        <x:v>LCU/USD</x:v>
      </x:c>
      <x:c r="F134" s="20" t="n">
        <x:v>1</x:v>
      </x:c>
      <x:c r="G134" s="22" t="n">
        <x:f>IF(E134="LCU/USD",D134*F134,F134/D134)</x:f>
        <x:v>4.0265</x:v>
      </x:c>
      <x:c r="H134" s="12" t="str">
        <x:v>年均</x:v>
      </x:c>
      <x:c r="I134" s="12" t="str">
        <x:v>1933-01-01—1933-12-31</x:v>
      </x:c>
      <x:c r="J134" s="12" t="str">
        <x:v>MW_CHF</x:v>
      </x:c>
      <x:c r="K134" s="12" t="str">
        <x:v>https://www.measuringworth.com/datasets/exchangeglobal/result.php?countryE%5B%5D=Switzerland&amp;year_result=1955&amp;year_source=1905</x:v>
      </x:c>
      <x:c r="L134" s="12" t="str"/>
      <x:c r="M134" s="12" t="str">
        <x:v>B：学术历史汇编</x:v>
      </x:c>
    </x:row>
    <x:row r="135" ht="72" customHeight="1">
      <x:c r="A135" t="n">
        <x:v>1933</x:v>
      </x:c>
      <x:c r="B135" t="str">
        <x:v>INR</x:v>
      </x:c>
      <x:c r="C135" s="12" t="str">
        <x:v>英属印度卢比</x:v>
      </x:c>
      <x:c r="D135" s="24" t="n">
        <x:v>3.14</x:v>
      </x:c>
      <x:c r="E135" s="20" t="str">
        <x:v>LCU/USD</x:v>
      </x:c>
      <x:c r="F135" s="20" t="n">
        <x:v>1</x:v>
      </x:c>
      <x:c r="G135" s="22" t="n">
        <x:f>IF(E135="LCU/USD",D135*F135,F135/D135)</x:f>
        <x:v>3.14</x:v>
      </x:c>
      <x:c r="H135" s="12" t="str">
        <x:v>年均</x:v>
      </x:c>
      <x:c r="I135" s="12" t="str">
        <x:v>1933-01-01—1933-12-31</x:v>
      </x:c>
      <x:c r="J135" s="12" t="str">
        <x:v>MW_INR</x:v>
      </x:c>
      <x:c r="K135" s="12" t="str">
        <x:v>https://www.measuringworth.com/datasets/exchangeglobal/result.php?countryE%5B%5D=India&amp;year_result=1948&amp;year_source=1916</x:v>
      </x:c>
      <x:c r="L135" s="12" t="str"/>
      <x:c r="M135" s="12" t="str">
        <x:v>B：学术历史汇编</x:v>
      </x:c>
    </x:row>
    <x:row r="136" ht="72" customHeight="1">
      <x:c r="A136" t="n">
        <x:v>1933</x:v>
      </x:c>
      <x:c r="B136" t="str">
        <x:v>RUB</x:v>
      </x:c>
      <x:c r="C136" s="12" t="str">
        <x:v>苏联卢布（1924币制）</x:v>
      </x:c>
      <x:c r="D136" s="24" t="n">
        <x:v>1.9434</x:v>
      </x:c>
      <x:c r="E136" s="20" t="str">
        <x:v>LCU/USD</x:v>
      </x:c>
      <x:c r="F136" s="20" t="n">
        <x:v>1</x:v>
      </x:c>
      <x:c r="G136" s="22" t="n">
        <x:f>IF(E136="LCU/USD",D136*F136,F136/D136)</x:f>
        <x:v>1.9434</x:v>
      </x:c>
      <x:c r="H136" s="12" t="str">
        <x:v>定点官价参考（非年均）</x:v>
      </x:c>
      <x:c r="I136" s="12" t="str">
        <x:v>1933-04-01</x:v>
      </x:c>
      <x:c r="J136" s="12" t="str">
        <x:v>SUR_OFFICIAL_SECONDARY</x:v>
      </x:c>
      <x:c r="K136" s="12" t="str">
        <x:v>https://en.wikipedia.org/wiki/Soviet_ruble#Exchange_rates</x:v>
      </x:c>
      <x:c r="L136" s="12" t="str">
        <x:v>选取源表该年最早列出的日期，不代表该年平均、全年固定价或统一可成交价；原档案未复核。</x:v>
      </x:c>
      <x:c r="M136" s="12" t="str">
        <x:v>C：二手转引（原档未复核）</x:v>
      </x:c>
    </x:row>
    <x:row r="137" ht="72" customHeight="1">
      <x:c r="A137" t="n">
        <x:v>1933</x:v>
      </x:c>
      <x:c r="B137" t="str">
        <x:v>CNY</x:v>
      </x:c>
      <x:c r="C137" s="12" t="str">
        <x:v>中国新银元（元）</x:v>
      </x:c>
      <x:c r="D137" s="24" t="n">
        <x:v>28.5979</x:v>
      </x:c>
      <x:c r="E137" s="20" t="str">
        <x:v>US cents/LCU</x:v>
      </x:c>
      <x:c r="F137" s="20" t="n">
        <x:f>'币制说明'!$C$25</x:f>
        <x:v>100</x:v>
      </x:c>
      <x:c r="G137" s="22" t="n">
        <x:f>IF(E137="LCU/USD",D137*F137,F137/D137)</x:f>
        <x:v>3.496760251626868</x:v>
      </x:c>
      <x:c r="H137" s="12" t="str">
        <x:v>年内部分期间均值</x:v>
      </x:c>
      <x:c r="I137" s="12" t="str">
        <x:v>1933-04-10—1933-12-31</x:v>
      </x:c>
      <x:c r="J137" s="12" t="str">
        <x:v>FRASER_CN</x:v>
      </x:c>
      <x:c r="K137" s="12" t="str">
        <x:v>https://fraser.stlouisfed.org/title/banking-monetary-statistics-1914-1941-38/part-i-6408/fulltext</x:v>
      </x:c>
      <x:c r="L137" s="12" t="str">
        <x:v>只使用新元1933年4月10日起报价；旧元1月2日—4月8日均值20.2103美分，未拼接成全年。 反向值由原报价均值取倒数；不等于反向日度汇率的算术平均。</x:v>
      </x:c>
      <x:c r="M137" s="12" t="str">
        <x:v>A：机构统计／原始统计表</x:v>
      </x:c>
    </x:row>
    <x:row r="138" ht="72" customHeight="1">
      <x:c r="A138" t="n">
        <x:v>1934</x:v>
      </x:c>
      <x:c r="B138" t="str">
        <x:v>GBP</x:v>
      </x:c>
      <x:c r="C138" s="12" t="str">
        <x:v>英镑（GBP）</x:v>
      </x:c>
      <x:c r="D138" s="24" t="n">
        <x:v>0.1985</x:v>
      </x:c>
      <x:c r="E138" s="20" t="str">
        <x:v>LCU/USD</x:v>
      </x:c>
      <x:c r="F138" s="20" t="n">
        <x:v>1</x:v>
      </x:c>
      <x:c r="G138" s="22" t="n">
        <x:f>IF(E138="LCU/USD",D138*F138,F138/D138)</x:f>
        <x:v>0.1985</x:v>
      </x:c>
      <x:c r="H138" s="12" t="str">
        <x:v>年均</x:v>
      </x:c>
      <x:c r="I138" s="12" t="str">
        <x:v>1934-01-01—1934-12-31</x:v>
      </x:c>
      <x:c r="J138" s="12" t="str">
        <x:v>MW_GBP</x:v>
      </x:c>
      <x:c r="K138" s="12" t="str">
        <x:v>https://www.measuringworth.com/datasets/exchangeglobal/result.php?countryE%5B%5D=United+Kingdom&amp;year_result=2007&amp;year_source=1791</x:v>
      </x:c>
      <x:c r="L138" s="12" t="str"/>
      <x:c r="M138" s="12" t="str">
        <x:v>B：学术历史汇编</x:v>
      </x:c>
    </x:row>
    <x:row r="139" ht="72" customHeight="1">
      <x:c r="A139" t="n">
        <x:v>1934</x:v>
      </x:c>
      <x:c r="B139" t="str">
        <x:v>CAD</x:v>
      </x:c>
      <x:c r="C139" s="12" t="str">
        <x:v>加拿大元（CAD）</x:v>
      </x:c>
      <x:c r="D139" s="24" t="n">
        <x:v>0.99</x:v>
      </x:c>
      <x:c r="E139" s="20" t="str">
        <x:v>LCU/USD</x:v>
      </x:c>
      <x:c r="F139" s="20" t="n">
        <x:v>1</x:v>
      </x:c>
      <x:c r="G139" s="22" t="n">
        <x:f>IF(E139="LCU/USD",D139*F139,F139/D139)</x:f>
        <x:v>0.99</x:v>
      </x:c>
      <x:c r="H139" s="12" t="str">
        <x:v>年均</x:v>
      </x:c>
      <x:c r="I139" s="12" t="str">
        <x:v>1934-01-01—1934-12-31</x:v>
      </x:c>
      <x:c r="J139" s="12" t="str">
        <x:v>MW_CAD</x:v>
      </x:c>
      <x:c r="K139" s="12" t="str">
        <x:v>https://www.measuringworth.com/datasets/exchangeglobal/result.php?countryE%5B%5D=Canada&amp;year_result=2007&amp;year_source=1913</x:v>
      </x:c>
      <x:c r="L139" s="12" t="str"/>
      <x:c r="M139" s="12" t="str">
        <x:v>B：学术历史汇编</x:v>
      </x:c>
    </x:row>
    <x:row r="140" ht="72" customHeight="1">
      <x:c r="A140" t="n">
        <x:v>1934</x:v>
      </x:c>
      <x:c r="B140" t="str">
        <x:v>FR</x:v>
      </x:c>
      <x:c r="C140" s="12" t="str">
        <x:v>法国旧法郎</x:v>
      </x:c>
      <x:c r="D140" s="24" t="n">
        <x:v>15.223</x:v>
      </x:c>
      <x:c r="E140" s="20" t="str">
        <x:v>LCU/USD</x:v>
      </x:c>
      <x:c r="F140" s="20" t="n">
        <x:v>1</x:v>
      </x:c>
      <x:c r="G140" s="22" t="n">
        <x:f>IF(E140="LCU/USD",D140*F140,F140/D140)</x:f>
        <x:v>15.223</x:v>
      </x:c>
      <x:c r="H140" s="12" t="str">
        <x:v>年均</x:v>
      </x:c>
      <x:c r="I140" s="12" t="str">
        <x:v>1934-01-01—1934-12-31</x:v>
      </x:c>
      <x:c r="J140" s="12" t="str">
        <x:v>MW_FR</x:v>
      </x:c>
      <x:c r="K140" s="12" t="str">
        <x:v>https://www.measuringworth.com/datasets/exchangeglobal/result.php?countryE%5B%5D=France&amp;year_result=1940&amp;year_source=1920</x:v>
      </x:c>
      <x:c r="L140" s="12" t="str"/>
      <x:c r="M140" s="12" t="str">
        <x:v>B：学术历史汇编</x:v>
      </x:c>
    </x:row>
    <x:row r="141" ht="72" customHeight="1">
      <x:c r="A141" t="n">
        <x:v>1934</x:v>
      </x:c>
      <x:c r="B141" t="str">
        <x:v>DE</x:v>
      </x:c>
      <x:c r="C141" s="12" t="str">
        <x:v>帝国马克（Reichsmark）</x:v>
      </x:c>
      <x:c r="D141" s="24" t="n">
        <x:v>2.54</x:v>
      </x:c>
      <x:c r="E141" s="20" t="str">
        <x:v>LCU/USD</x:v>
      </x:c>
      <x:c r="F141" s="20" t="n">
        <x:v>1</x:v>
      </x:c>
      <x:c r="G141" s="22" t="n">
        <x:f>IF(E141="LCU/USD",D141*F141,F141/D141)</x:f>
        <x:v>2.54</x:v>
      </x:c>
      <x:c r="H141" s="12" t="str">
        <x:v>年均</x:v>
      </x:c>
      <x:c r="I141" s="12" t="str">
        <x:v>1934-01-01—1934-12-31</x:v>
      </x:c>
      <x:c r="J141" s="12" t="str">
        <x:v>UCSB_DE</x:v>
      </x:c>
      <x:c r="K141" s="12" t="str">
        <x:v>https://marcuse.faculty.history.ucsb.edu/projects/currency.htm</x:v>
      </x:c>
      <x:c r="L141" s="12" t="str"/>
      <x:c r="M141" s="12" t="str">
        <x:v>B：大学页面转录</x:v>
      </x:c>
    </x:row>
    <x:row r="142" ht="72" customHeight="1">
      <x:c r="A142" t="n">
        <x:v>1934</x:v>
      </x:c>
      <x:c r="B142" t="str">
        <x:v>IT</x:v>
      </x:c>
      <x:c r="C142" s="12" t="str">
        <x:v>意大利里拉（ITL）</x:v>
      </x:c>
      <x:c r="D142" s="24" t="n">
        <x:v>8.5617</x:v>
      </x:c>
      <x:c r="E142" s="20" t="str">
        <x:v>US cents/LCU</x:v>
      </x:c>
      <x:c r="F142" s="20" t="n">
        <x:f>'币制说明'!$C$25</x:f>
        <x:v>100</x:v>
      </x:c>
      <x:c r="G142" s="22" t="n">
        <x:f>IF(E142="LCU/USD",D142*F142,F142/D142)</x:f>
        <x:v>11.679923379702629</x:v>
      </x:c>
      <x:c r="H142" s="12" t="str">
        <x:v>年均</x:v>
      </x:c>
      <x:c r="I142" s="12" t="str">
        <x:v>1934-01-01—1934-12-31</x:v>
      </x:c>
      <x:c r="J142" s="12" t="str">
        <x:v>FRASER_IT</x:v>
      </x:c>
      <x:c r="K142" s="12" t="str">
        <x:v>https://fraser.stlouisfed.org/title/banking-monetary-statistics-1914-1941-38/part-i-6408/fulltext</x:v>
      </x:c>
      <x:c r="L142" s="12" t="str">
        <x:v>纽约报价；由美分／里拉的年均报价取倒数，非里拉／美元逐日均值。 反向值由原报价均值取倒数；不等于反向日度汇率的算术平均。</x:v>
      </x:c>
      <x:c r="M142" s="12" t="str">
        <x:v>A：机构统计／原始统计表</x:v>
      </x:c>
    </x:row>
    <x:row r="143" ht="72" customHeight="1">
      <x:c r="A143" t="n">
        <x:v>1934</x:v>
      </x:c>
      <x:c r="B143" t="str">
        <x:v>JPY</x:v>
      </x:c>
      <x:c r="C143" s="12" t="str">
        <x:v>日元（JPY）</x:v>
      </x:c>
      <x:c r="D143" s="24" t="n">
        <x:v>3.37</x:v>
      </x:c>
      <x:c r="E143" s="20" t="str">
        <x:v>LCU/USD</x:v>
      </x:c>
      <x:c r="F143" s="20" t="n">
        <x:v>1</x:v>
      </x:c>
      <x:c r="G143" s="22" t="n">
        <x:f>IF(E143="LCU/USD",D143*F143,F143/D143)</x:f>
        <x:v>3.37</x:v>
      </x:c>
      <x:c r="H143" s="12" t="str">
        <x:v>年均</x:v>
      </x:c>
      <x:c r="I143" s="12" t="str">
        <x:v>1934-01-01—1934-12-31</x:v>
      </x:c>
      <x:c r="J143" s="12" t="str">
        <x:v>MW_JPY</x:v>
      </x:c>
      <x:c r="K143" s="12" t="str">
        <x:v>https://www.measuringworth.com/datasets/exchangeglobal/result.php?countryE%5B%5D=Japan&amp;year_result=2016&amp;year_source=1916</x:v>
      </x:c>
      <x:c r="L143" s="12" t="str"/>
      <x:c r="M143" s="12" t="str">
        <x:v>B：学术历史汇编</x:v>
      </x:c>
    </x:row>
    <x:row r="144" ht="72" customHeight="1">
      <x:c r="A144" t="n">
        <x:v>1934</x:v>
      </x:c>
      <x:c r="B144" t="str">
        <x:v>CHF</x:v>
      </x:c>
      <x:c r="C144" s="12" t="str">
        <x:v>瑞士法郎（CHF）</x:v>
      </x:c>
      <x:c r="D144" s="24" t="n">
        <x:v>3.0896</x:v>
      </x:c>
      <x:c r="E144" s="20" t="str">
        <x:v>LCU/USD</x:v>
      </x:c>
      <x:c r="F144" s="20" t="n">
        <x:v>1</x:v>
      </x:c>
      <x:c r="G144" s="22" t="n">
        <x:f>IF(E144="LCU/USD",D144*F144,F144/D144)</x:f>
        <x:v>3.0896</x:v>
      </x:c>
      <x:c r="H144" s="12" t="str">
        <x:v>年均</x:v>
      </x:c>
      <x:c r="I144" s="12" t="str">
        <x:v>1934-01-01—1934-12-31</x:v>
      </x:c>
      <x:c r="J144" s="12" t="str">
        <x:v>MW_CHF</x:v>
      </x:c>
      <x:c r="K144" s="12" t="str">
        <x:v>https://www.measuringworth.com/datasets/exchangeglobal/result.php?countryE%5B%5D=Switzerland&amp;year_result=1955&amp;year_source=1905</x:v>
      </x:c>
      <x:c r="L144" s="12" t="str"/>
      <x:c r="M144" s="12" t="str">
        <x:v>B：学术历史汇编</x:v>
      </x:c>
    </x:row>
    <x:row r="145" ht="72" customHeight="1">
      <x:c r="A145" t="n">
        <x:v>1934</x:v>
      </x:c>
      <x:c r="B145" t="str">
        <x:v>INR</x:v>
      </x:c>
      <x:c r="C145" s="12" t="str">
        <x:v>英属印度卢比</x:v>
      </x:c>
      <x:c r="D145" s="24" t="n">
        <x:v>2.64</x:v>
      </x:c>
      <x:c r="E145" s="20" t="str">
        <x:v>LCU/USD</x:v>
      </x:c>
      <x:c r="F145" s="20" t="n">
        <x:v>1</x:v>
      </x:c>
      <x:c r="G145" s="22" t="n">
        <x:f>IF(E145="LCU/USD",D145*F145,F145/D145)</x:f>
        <x:v>2.64</x:v>
      </x:c>
      <x:c r="H145" s="12" t="str">
        <x:v>年均</x:v>
      </x:c>
      <x:c r="I145" s="12" t="str">
        <x:v>1934-01-01—1934-12-31</x:v>
      </x:c>
      <x:c r="J145" s="12" t="str">
        <x:v>MW_INR</x:v>
      </x:c>
      <x:c r="K145" s="12" t="str">
        <x:v>https://www.measuringworth.com/datasets/exchangeglobal/result.php?countryE%5B%5D=India&amp;year_result=1948&amp;year_source=1916</x:v>
      </x:c>
      <x:c r="L145" s="12" t="str"/>
      <x:c r="M145" s="12" t="str">
        <x:v>B：学术历史汇编</x:v>
      </x:c>
    </x:row>
    <x:row r="146" ht="72" customHeight="1">
      <x:c r="A146" t="n">
        <x:v>1934</x:v>
      </x:c>
      <x:c r="B146" t="str">
        <x:v>RUB</x:v>
      </x:c>
      <x:c r="C146" s="12" t="str">
        <x:v>苏联卢布（1924币制）</x:v>
      </x:c>
      <x:c r="D146" s="24" t="n">
        <x:v>1.2434</x:v>
      </x:c>
      <x:c r="E146" s="20" t="str">
        <x:v>LCU/USD</x:v>
      </x:c>
      <x:c r="F146" s="20" t="n">
        <x:v>1</x:v>
      </x:c>
      <x:c r="G146" s="22" t="n">
        <x:f>IF(E146="LCU/USD",D146*F146,F146/D146)</x:f>
        <x:v>1.2434</x:v>
      </x:c>
      <x:c r="H146" s="12" t="str">
        <x:v>定点官价参考（非年均）</x:v>
      </x:c>
      <x:c r="I146" s="12" t="str">
        <x:v>1934-01-01</x:v>
      </x:c>
      <x:c r="J146" s="12" t="str">
        <x:v>SUR_OFFICIAL_SECONDARY</x:v>
      </x:c>
      <x:c r="K146" s="12" t="str">
        <x:v>https://en.wikipedia.org/wiki/Soviet_ruble#Exchange_rates</x:v>
      </x:c>
      <x:c r="L146" s="12" t="str">
        <x:v>选取源表该年最早列出的日期，不代表该年平均、全年固定价或统一可成交价；原档案未复核。</x:v>
      </x:c>
      <x:c r="M146" s="12" t="str">
        <x:v>C：二手转引（原档未复核）</x:v>
      </x:c>
    </x:row>
    <x:row r="147" ht="72" customHeight="1">
      <x:c r="A147" t="n">
        <x:v>1934</x:v>
      </x:c>
      <x:c r="B147" t="str">
        <x:v>CNY</x:v>
      </x:c>
      <x:c r="C147" s="12" t="str">
        <x:v>中国新银元（元）</x:v>
      </x:c>
      <x:c r="D147" s="24" t="n">
        <x:v>34.0937</x:v>
      </x:c>
      <x:c r="E147" s="20" t="str">
        <x:v>US cents/LCU</x:v>
      </x:c>
      <x:c r="F147" s="20" t="n">
        <x:f>'币制说明'!$C$25</x:f>
        <x:v>100</x:v>
      </x:c>
      <x:c r="G147" s="22" t="n">
        <x:f>IF(E147="LCU/USD",D147*F147,F147/D147)</x:f>
        <x:v>2.933093210769145</x:v>
      </x:c>
      <x:c r="H147" s="12" t="str">
        <x:v>年均</x:v>
      </x:c>
      <x:c r="I147" s="12" t="str">
        <x:v>1934-01-01—1934-12-31</x:v>
      </x:c>
      <x:c r="J147" s="12" t="str">
        <x:v>FRASER_CN</x:v>
      </x:c>
      <x:c r="K147" s="12" t="str">
        <x:v>https://fraser.stlouisfed.org/title/banking-monetary-statistics-1914-1941-38/part-i-6408/fulltext</x:v>
      </x:c>
      <x:c r="L147" s="12" t="str">
        <x:v>纽约报价；100÷美分年均报价；不同币制年份单位见实际币名表，并非全国统一零售兑换价。 反向值由原报价均值取倒数；不等于反向日度汇率的算术平均。</x:v>
      </x:c>
      <x:c r="M147" s="12" t="str">
        <x:v>A：机构统计／原始统计表</x:v>
      </x:c>
    </x:row>
    <x:row r="148" ht="72" customHeight="1">
      <x:c r="A148" t="n">
        <x:v>1935</x:v>
      </x:c>
      <x:c r="B148" t="str">
        <x:v>GBP</x:v>
      </x:c>
      <x:c r="C148" s="12" t="str">
        <x:v>英镑（GBP）</x:v>
      </x:c>
      <x:c r="D148" s="24" t="n">
        <x:v>0.204</x:v>
      </x:c>
      <x:c r="E148" s="20" t="str">
        <x:v>LCU/USD</x:v>
      </x:c>
      <x:c r="F148" s="20" t="n">
        <x:v>1</x:v>
      </x:c>
      <x:c r="G148" s="22" t="n">
        <x:f>IF(E148="LCU/USD",D148*F148,F148/D148)</x:f>
        <x:v>0.204</x:v>
      </x:c>
      <x:c r="H148" s="12" t="str">
        <x:v>年均</x:v>
      </x:c>
      <x:c r="I148" s="12" t="str">
        <x:v>1935-01-01—1935-12-31</x:v>
      </x:c>
      <x:c r="J148" s="12" t="str">
        <x:v>MW_GBP</x:v>
      </x:c>
      <x:c r="K148" s="12" t="str">
        <x:v>https://www.measuringworth.com/datasets/exchangeglobal/result.php?countryE%5B%5D=United+Kingdom&amp;year_result=2007&amp;year_source=1791</x:v>
      </x:c>
      <x:c r="L148" s="12" t="str"/>
      <x:c r="M148" s="12" t="str">
        <x:v>B：学术历史汇编</x:v>
      </x:c>
    </x:row>
    <x:row r="149" ht="72" customHeight="1">
      <x:c r="A149" t="n">
        <x:v>1935</x:v>
      </x:c>
      <x:c r="B149" t="str">
        <x:v>CAD</x:v>
      </x:c>
      <x:c r="C149" s="12" t="str">
        <x:v>加拿大元（CAD）</x:v>
      </x:c>
      <x:c r="D149" s="24" t="n">
        <x:v>1.005</x:v>
      </x:c>
      <x:c r="E149" s="20" t="str">
        <x:v>LCU/USD</x:v>
      </x:c>
      <x:c r="F149" s="20" t="n">
        <x:v>1</x:v>
      </x:c>
      <x:c r="G149" s="22" t="n">
        <x:f>IF(E149="LCU/USD",D149*F149,F149/D149)</x:f>
        <x:v>1.005</x:v>
      </x:c>
      <x:c r="H149" s="12" t="str">
        <x:v>年均</x:v>
      </x:c>
      <x:c r="I149" s="12" t="str">
        <x:v>1935-01-01—1935-12-31</x:v>
      </x:c>
      <x:c r="J149" s="12" t="str">
        <x:v>MW_CAD</x:v>
      </x:c>
      <x:c r="K149" s="12" t="str">
        <x:v>https://www.measuringworth.com/datasets/exchangeglobal/result.php?countryE%5B%5D=Canada&amp;year_result=2007&amp;year_source=1913</x:v>
      </x:c>
      <x:c r="L149" s="12" t="str"/>
      <x:c r="M149" s="12" t="str">
        <x:v>B：学术历史汇编</x:v>
      </x:c>
    </x:row>
    <x:row r="150" ht="72" customHeight="1">
      <x:c r="A150" t="n">
        <x:v>1935</x:v>
      </x:c>
      <x:c r="B150" t="str">
        <x:v>FR</x:v>
      </x:c>
      <x:c r="C150" s="12" t="str">
        <x:v>法国旧法郎</x:v>
      </x:c>
      <x:c r="D150" s="24" t="n">
        <x:v>15.149</x:v>
      </x:c>
      <x:c r="E150" s="20" t="str">
        <x:v>LCU/USD</x:v>
      </x:c>
      <x:c r="F150" s="20" t="n">
        <x:v>1</x:v>
      </x:c>
      <x:c r="G150" s="22" t="n">
        <x:f>IF(E150="LCU/USD",D150*F150,F150/D150)</x:f>
        <x:v>15.149</x:v>
      </x:c>
      <x:c r="H150" s="12" t="str">
        <x:v>年均</x:v>
      </x:c>
      <x:c r="I150" s="12" t="str">
        <x:v>1935-01-01—1935-12-31</x:v>
      </x:c>
      <x:c r="J150" s="12" t="str">
        <x:v>MW_FR</x:v>
      </x:c>
      <x:c r="K150" s="12" t="str">
        <x:v>https://www.measuringworth.com/datasets/exchangeglobal/result.php?countryE%5B%5D=France&amp;year_result=1940&amp;year_source=1920</x:v>
      </x:c>
      <x:c r="L150" s="12" t="str"/>
      <x:c r="M150" s="12" t="str">
        <x:v>B：学术历史汇编</x:v>
      </x:c>
    </x:row>
    <x:row r="151" ht="72" customHeight="1">
      <x:c r="A151" t="n">
        <x:v>1935</x:v>
      </x:c>
      <x:c r="B151" t="str">
        <x:v>DE</x:v>
      </x:c>
      <x:c r="C151" s="12" t="str">
        <x:v>帝国马克（Reichsmark）</x:v>
      </x:c>
      <x:c r="D151" s="24" t="n">
        <x:v>2.48</x:v>
      </x:c>
      <x:c r="E151" s="20" t="str">
        <x:v>LCU/USD</x:v>
      </x:c>
      <x:c r="F151" s="20" t="n">
        <x:v>1</x:v>
      </x:c>
      <x:c r="G151" s="22" t="n">
        <x:f>IF(E151="LCU/USD",D151*F151,F151/D151)</x:f>
        <x:v>2.48</x:v>
      </x:c>
      <x:c r="H151" s="12" t="str">
        <x:v>年均</x:v>
      </x:c>
      <x:c r="I151" s="12" t="str">
        <x:v>1935-01-01—1935-12-31</x:v>
      </x:c>
      <x:c r="J151" s="12" t="str">
        <x:v>UCSB_DE</x:v>
      </x:c>
      <x:c r="K151" s="12" t="str">
        <x:v>https://marcuse.faculty.history.ucsb.edu/projects/currency.htm</x:v>
      </x:c>
      <x:c r="L151" s="12" t="str"/>
      <x:c r="M151" s="12" t="str">
        <x:v>B：大学页面转录</x:v>
      </x:c>
    </x:row>
    <x:row r="152" ht="72" customHeight="1">
      <x:c r="A152" t="n">
        <x:v>1935</x:v>
      </x:c>
      <x:c r="B152" t="str">
        <x:v>IT</x:v>
      </x:c>
      <x:c r="C152" s="12" t="str">
        <x:v>意大利里拉（ITL）</x:v>
      </x:c>
      <x:c r="D152" s="24" t="n">
        <x:v>8.2471</x:v>
      </x:c>
      <x:c r="E152" s="20" t="str">
        <x:v>US cents/LCU</x:v>
      </x:c>
      <x:c r="F152" s="20" t="n">
        <x:f>'币制说明'!$C$25</x:f>
        <x:v>100</x:v>
      </x:c>
      <x:c r="G152" s="22" t="n">
        <x:f>IF(E152="LCU/USD",D152*F152,F152/D152)</x:f>
        <x:v>12.12547440918626</x:v>
      </x:c>
      <x:c r="H152" s="12" t="str">
        <x:v>年均</x:v>
      </x:c>
      <x:c r="I152" s="12" t="str">
        <x:v>1935-01-01—1935-12-31</x:v>
      </x:c>
      <x:c r="J152" s="12" t="str">
        <x:v>FRASER_IT</x:v>
      </x:c>
      <x:c r="K152" s="12" t="str">
        <x:v>https://fraser.stlouisfed.org/title/banking-monetary-statistics-1914-1941-38/part-i-6408/fulltext</x:v>
      </x:c>
      <x:c r="L152" s="12" t="str">
        <x:v>纽约报价；由美分／里拉的年均报价取倒数，非里拉／美元逐日均值。 反向值由原报价均值取倒数；不等于反向日度汇率的算术平均。</x:v>
      </x:c>
      <x:c r="M152" s="12" t="str">
        <x:v>A：机构统计／原始统计表</x:v>
      </x:c>
    </x:row>
    <x:row r="153" ht="72" customHeight="1">
      <x:c r="A153" t="n">
        <x:v>1935</x:v>
      </x:c>
      <x:c r="B153" t="str">
        <x:v>JPY</x:v>
      </x:c>
      <x:c r="C153" s="12" t="str">
        <x:v>日元（JPY）</x:v>
      </x:c>
      <x:c r="D153" s="24" t="n">
        <x:v>3.48</x:v>
      </x:c>
      <x:c r="E153" s="20" t="str">
        <x:v>LCU/USD</x:v>
      </x:c>
      <x:c r="F153" s="20" t="n">
        <x:v>1</x:v>
      </x:c>
      <x:c r="G153" s="22" t="n">
        <x:f>IF(E153="LCU/USD",D153*F153,F153/D153)</x:f>
        <x:v>3.48</x:v>
      </x:c>
      <x:c r="H153" s="12" t="str">
        <x:v>年均</x:v>
      </x:c>
      <x:c r="I153" s="12" t="str">
        <x:v>1935-01-01—1935-12-31</x:v>
      </x:c>
      <x:c r="J153" s="12" t="str">
        <x:v>MW_JPY</x:v>
      </x:c>
      <x:c r="K153" s="12" t="str">
        <x:v>https://www.measuringworth.com/datasets/exchangeglobal/result.php?countryE%5B%5D=Japan&amp;year_result=2016&amp;year_source=1916</x:v>
      </x:c>
      <x:c r="L153" s="12" t="str"/>
      <x:c r="M153" s="12" t="str">
        <x:v>B：学术历史汇编</x:v>
      </x:c>
    </x:row>
    <x:row r="154" ht="72" customHeight="1">
      <x:c r="A154" t="n">
        <x:v>1935</x:v>
      </x:c>
      <x:c r="B154" t="str">
        <x:v>CHF</x:v>
      </x:c>
      <x:c r="C154" s="12" t="str">
        <x:v>瑞士法郎（CHF）</x:v>
      </x:c>
      <x:c r="D154" s="24" t="n">
        <x:v>3.0772</x:v>
      </x:c>
      <x:c r="E154" s="20" t="str">
        <x:v>LCU/USD</x:v>
      </x:c>
      <x:c r="F154" s="20" t="n">
        <x:v>1</x:v>
      </x:c>
      <x:c r="G154" s="22" t="n">
        <x:f>IF(E154="LCU/USD",D154*F154,F154/D154)</x:f>
        <x:v>3.0772</x:v>
      </x:c>
      <x:c r="H154" s="12" t="str">
        <x:v>年均</x:v>
      </x:c>
      <x:c r="I154" s="12" t="str">
        <x:v>1935-01-01—1935-12-31</x:v>
      </x:c>
      <x:c r="J154" s="12" t="str">
        <x:v>MW_CHF</x:v>
      </x:c>
      <x:c r="K154" s="12" t="str">
        <x:v>https://www.measuringworth.com/datasets/exchangeglobal/result.php?countryE%5B%5D=Switzerland&amp;year_result=1955&amp;year_source=1905</x:v>
      </x:c>
      <x:c r="L154" s="12" t="str"/>
      <x:c r="M154" s="12" t="str">
        <x:v>B：学术历史汇编</x:v>
      </x:c>
    </x:row>
    <x:row r="155" ht="72" customHeight="1">
      <x:c r="A155" t="n">
        <x:v>1935</x:v>
      </x:c>
      <x:c r="B155" t="str">
        <x:v>INR</x:v>
      </x:c>
      <x:c r="C155" s="12" t="str">
        <x:v>英属印度卢比</x:v>
      </x:c>
      <x:c r="D155" s="24" t="n">
        <x:v>2.71</x:v>
      </x:c>
      <x:c r="E155" s="20" t="str">
        <x:v>LCU/USD</x:v>
      </x:c>
      <x:c r="F155" s="20" t="n">
        <x:v>1</x:v>
      </x:c>
      <x:c r="G155" s="22" t="n">
        <x:f>IF(E155="LCU/USD",D155*F155,F155/D155)</x:f>
        <x:v>2.71</x:v>
      </x:c>
      <x:c r="H155" s="12" t="str">
        <x:v>年均</x:v>
      </x:c>
      <x:c r="I155" s="12" t="str">
        <x:v>1935-01-01—1935-12-31</x:v>
      </x:c>
      <x:c r="J155" s="12" t="str">
        <x:v>MW_INR</x:v>
      </x:c>
      <x:c r="K155" s="12" t="str">
        <x:v>https://www.measuringworth.com/datasets/exchangeglobal/result.php?countryE%5B%5D=India&amp;year_result=1948&amp;year_source=1916</x:v>
      </x:c>
      <x:c r="L155" s="12" t="str"/>
      <x:c r="M155" s="12" t="str">
        <x:v>B：学术历史汇编</x:v>
      </x:c>
    </x:row>
    <x:row r="156" ht="72" customHeight="1">
      <x:c r="A156" t="n">
        <x:v>1935</x:v>
      </x:c>
      <x:c r="B156" t="str">
        <x:v>RUB</x:v>
      </x:c>
      <x:c r="C156" s="12" t="str">
        <x:v>苏联卢布（1924币制）</x:v>
      </x:c>
      <x:c r="D156" s="24" t="n">
        <x:v>1.1509</x:v>
      </x:c>
      <x:c r="E156" s="20" t="str">
        <x:v>LCU/USD</x:v>
      </x:c>
      <x:c r="F156" s="20" t="n">
        <x:v>1</x:v>
      </x:c>
      <x:c r="G156" s="22" t="n">
        <x:f>IF(E156="LCU/USD",D156*F156,F156/D156)</x:f>
        <x:v>1.1509</x:v>
      </x:c>
      <x:c r="H156" s="12" t="str">
        <x:v>定点官价参考（非年均）</x:v>
      </x:c>
      <x:c r="I156" s="12" t="str">
        <x:v>1935-01-01</x:v>
      </x:c>
      <x:c r="J156" s="12" t="str">
        <x:v>SUR_OFFICIAL_SECONDARY</x:v>
      </x:c>
      <x:c r="K156" s="12" t="str">
        <x:v>https://en.wikipedia.org/wiki/Soviet_ruble#Exchange_rates</x:v>
      </x:c>
      <x:c r="L156" s="12" t="str">
        <x:v>选取源表该年最早列出的日期，不代表该年平均、全年固定价或统一可成交价；原档案未复核。</x:v>
      </x:c>
      <x:c r="M156" s="12" t="str">
        <x:v>C：二手转引（原档未复核）</x:v>
      </x:c>
    </x:row>
    <x:row r="157" ht="72" customHeight="1">
      <x:c r="A157" t="n">
        <x:v>1935</x:v>
      </x:c>
      <x:c r="B157" t="str">
        <x:v>CNY</x:v>
      </x:c>
      <x:c r="C157" s="12" t="str">
        <x:v>银元／法币（元，过渡年）</x:v>
      </x:c>
      <x:c r="D157" s="24" t="n">
        <x:v>36.5707</x:v>
      </x:c>
      <x:c r="E157" s="20" t="str">
        <x:v>US cents/LCU</x:v>
      </x:c>
      <x:c r="F157" s="20" t="n">
        <x:f>'币制说明'!$C$25</x:f>
        <x:v>100</x:v>
      </x:c>
      <x:c r="G157" s="22" t="n">
        <x:f>IF(E157="LCU/USD",D157*F157,F157/D157)</x:f>
        <x:v>2.7344294749621962</x:v>
      </x:c>
      <x:c r="H157" s="12" t="str">
        <x:v>年均</x:v>
      </x:c>
      <x:c r="I157" s="12" t="str">
        <x:v>1935-01-01—1935-12-31</x:v>
      </x:c>
      <x:c r="J157" s="12" t="str">
        <x:v>FRASER_CN</x:v>
      </x:c>
      <x:c r="K157" s="12" t="str">
        <x:v>https://fraser.stlouisfed.org/title/banking-monetary-statistics-1914-1941-38/part-i-6408/fulltext</x:v>
      </x:c>
      <x:c r="L157" s="12" t="str">
        <x:v>纽约报价；100÷美分年均报价；不同币制年份单位见实际币名表，并非全国统一零售兑换价。 反向值由原报价均值取倒数；不等于反向日度汇率的算术平均。</x:v>
      </x:c>
      <x:c r="M157" s="12" t="str">
        <x:v>A：机构统计／原始统计表</x:v>
      </x:c>
    </x:row>
    <x:row r="158" ht="72" customHeight="1">
      <x:c r="A158" t="n">
        <x:v>1936</x:v>
      </x:c>
      <x:c r="B158" t="str">
        <x:v>GBP</x:v>
      </x:c>
      <x:c r="C158" s="12" t="str">
        <x:v>英镑（GBP）</x:v>
      </x:c>
      <x:c r="D158" s="24" t="n">
        <x:v>0.2012</x:v>
      </x:c>
      <x:c r="E158" s="20" t="str">
        <x:v>LCU/USD</x:v>
      </x:c>
      <x:c r="F158" s="20" t="n">
        <x:v>1</x:v>
      </x:c>
      <x:c r="G158" s="22" t="n">
        <x:f>IF(E158="LCU/USD",D158*F158,F158/D158)</x:f>
        <x:v>0.2012</x:v>
      </x:c>
      <x:c r="H158" s="12" t="str">
        <x:v>年均</x:v>
      </x:c>
      <x:c r="I158" s="12" t="str">
        <x:v>1936-01-01—1936-12-31</x:v>
      </x:c>
      <x:c r="J158" s="12" t="str">
        <x:v>MW_GBP</x:v>
      </x:c>
      <x:c r="K158" s="12" t="str">
        <x:v>https://www.measuringworth.com/datasets/exchangeglobal/result.php?countryE%5B%5D=United+Kingdom&amp;year_result=2007&amp;year_source=1791</x:v>
      </x:c>
      <x:c r="L158" s="12" t="str"/>
      <x:c r="M158" s="12" t="str">
        <x:v>B：学术历史汇编</x:v>
      </x:c>
    </x:row>
    <x:row r="159" ht="72" customHeight="1">
      <x:c r="A159" t="n">
        <x:v>1936</x:v>
      </x:c>
      <x:c r="B159" t="str">
        <x:v>CAD</x:v>
      </x:c>
      <x:c r="C159" s="12" t="str">
        <x:v>加拿大元（CAD）</x:v>
      </x:c>
      <x:c r="D159" s="24" t="n">
        <x:v>1.001</x:v>
      </x:c>
      <x:c r="E159" s="20" t="str">
        <x:v>LCU/USD</x:v>
      </x:c>
      <x:c r="F159" s="20" t="n">
        <x:v>1</x:v>
      </x:c>
      <x:c r="G159" s="22" t="n">
        <x:f>IF(E159="LCU/USD",D159*F159,F159/D159)</x:f>
        <x:v>1.001</x:v>
      </x:c>
      <x:c r="H159" s="12" t="str">
        <x:v>年均</x:v>
      </x:c>
      <x:c r="I159" s="12" t="str">
        <x:v>1936-01-01—1936-12-31</x:v>
      </x:c>
      <x:c r="J159" s="12" t="str">
        <x:v>MW_CAD</x:v>
      </x:c>
      <x:c r="K159" s="12" t="str">
        <x:v>https://www.measuringworth.com/datasets/exchangeglobal/result.php?countryE%5B%5D=Canada&amp;year_result=2007&amp;year_source=1913</x:v>
      </x:c>
      <x:c r="L159" s="12" t="str"/>
      <x:c r="M159" s="12" t="str">
        <x:v>B：学术历史汇编</x:v>
      </x:c>
    </x:row>
    <x:row r="160" ht="72" customHeight="1">
      <x:c r="A160" t="n">
        <x:v>1936</x:v>
      </x:c>
      <x:c r="B160" t="str">
        <x:v>FR</x:v>
      </x:c>
      <x:c r="C160" s="12" t="str">
        <x:v>法国旧法郎</x:v>
      </x:c>
      <x:c r="D160" s="24" t="n">
        <x:v>16.356</x:v>
      </x:c>
      <x:c r="E160" s="20" t="str">
        <x:v>LCU/USD</x:v>
      </x:c>
      <x:c r="F160" s="20" t="n">
        <x:v>1</x:v>
      </x:c>
      <x:c r="G160" s="22" t="n">
        <x:f>IF(E160="LCU/USD",D160*F160,F160/D160)</x:f>
        <x:v>16.356</x:v>
      </x:c>
      <x:c r="H160" s="12" t="str">
        <x:v>年均</x:v>
      </x:c>
      <x:c r="I160" s="12" t="str">
        <x:v>1936-01-01—1936-12-31</x:v>
      </x:c>
      <x:c r="J160" s="12" t="str">
        <x:v>MW_FR</x:v>
      </x:c>
      <x:c r="K160" s="12" t="str">
        <x:v>https://www.measuringworth.com/datasets/exchangeglobal/result.php?countryE%5B%5D=France&amp;year_result=1940&amp;year_source=1920</x:v>
      </x:c>
      <x:c r="L160" s="12" t="str"/>
      <x:c r="M160" s="12" t="str">
        <x:v>B：学术历史汇编</x:v>
      </x:c>
    </x:row>
    <x:row r="161" ht="72" customHeight="1">
      <x:c r="A161" t="n">
        <x:v>1936</x:v>
      </x:c>
      <x:c r="B161" t="str">
        <x:v>DE</x:v>
      </x:c>
      <x:c r="C161" s="12" t="str">
        <x:v>帝国马克（Reichsmark）</x:v>
      </x:c>
      <x:c r="D161" s="24" t="n">
        <x:v>2.48</x:v>
      </x:c>
      <x:c r="E161" s="20" t="str">
        <x:v>LCU/USD</x:v>
      </x:c>
      <x:c r="F161" s="20" t="n">
        <x:v>1</x:v>
      </x:c>
      <x:c r="G161" s="22" t="n">
        <x:f>IF(E161="LCU/USD",D161*F161,F161/D161)</x:f>
        <x:v>2.48</x:v>
      </x:c>
      <x:c r="H161" s="12" t="str">
        <x:v>年均</x:v>
      </x:c>
      <x:c r="I161" s="12" t="str">
        <x:v>1936-01-01—1936-12-31</x:v>
      </x:c>
      <x:c r="J161" s="12" t="str">
        <x:v>UCSB_DE</x:v>
      </x:c>
      <x:c r="K161" s="12" t="str">
        <x:v>https://marcuse.faculty.history.ucsb.edu/projects/currency.htm</x:v>
      </x:c>
      <x:c r="L161" s="12" t="str"/>
      <x:c r="M161" s="12" t="str">
        <x:v>B：大学页面转录</x:v>
      </x:c>
    </x:row>
    <x:row r="162" ht="72" customHeight="1">
      <x:c r="A162" t="n">
        <x:v>1936</x:v>
      </x:c>
      <x:c r="B162" t="str">
        <x:v>IT</x:v>
      </x:c>
      <x:c r="C162" s="12" t="str">
        <x:v>意大利里拉（ITL）</x:v>
      </x:c>
      <x:c r="D162" s="24" t="n">
        <x:v>7.2916</x:v>
      </x:c>
      <x:c r="E162" s="20" t="str">
        <x:v>US cents/LCU</x:v>
      </x:c>
      <x:c r="F162" s="20" t="n">
        <x:f>'币制说明'!$C$25</x:f>
        <x:v>100</x:v>
      </x:c>
      <x:c r="G162" s="22" t="n">
        <x:f>IF(E162="LCU/USD",D162*F162,F162/D162)</x:f>
        <x:v>13.71441110318723</x:v>
      </x:c>
      <x:c r="H162" s="12" t="str">
        <x:v>年均</x:v>
      </x:c>
      <x:c r="I162" s="12" t="str">
        <x:v>1936-01-01—1936-12-31</x:v>
      </x:c>
      <x:c r="J162" s="12" t="str">
        <x:v>FRASER_IT</x:v>
      </x:c>
      <x:c r="K162" s="12" t="str">
        <x:v>https://fraser.stlouisfed.org/title/banking-monetary-statistics-1914-1941-38/part-i-6408/fulltext</x:v>
      </x:c>
      <x:c r="L162" s="12" t="str">
        <x:v>纽约报价；由美分／里拉的年均报价取倒数，非里拉／美元逐日均值。 反向值由原报价均值取倒数；不等于反向日度汇率的算术平均。</x:v>
      </x:c>
      <x:c r="M162" s="12" t="str">
        <x:v>A：机构统计／原始统计表</x:v>
      </x:c>
    </x:row>
    <x:row r="163" ht="72" customHeight="1">
      <x:c r="A163" t="n">
        <x:v>1936</x:v>
      </x:c>
      <x:c r="B163" t="str">
        <x:v>JPY</x:v>
      </x:c>
      <x:c r="C163" s="12" t="str">
        <x:v>日元（JPY）</x:v>
      </x:c>
      <x:c r="D163" s="24" t="n">
        <x:v>3.45</x:v>
      </x:c>
      <x:c r="E163" s="20" t="str">
        <x:v>LCU/USD</x:v>
      </x:c>
      <x:c r="F163" s="20" t="n">
        <x:v>1</x:v>
      </x:c>
      <x:c r="G163" s="22" t="n">
        <x:f>IF(E163="LCU/USD",D163*F163,F163/D163)</x:f>
        <x:v>3.45</x:v>
      </x:c>
      <x:c r="H163" s="12" t="str">
        <x:v>年均</x:v>
      </x:c>
      <x:c r="I163" s="12" t="str">
        <x:v>1936-01-01—1936-12-31</x:v>
      </x:c>
      <x:c r="J163" s="12" t="str">
        <x:v>MW_JPY</x:v>
      </x:c>
      <x:c r="K163" s="12" t="str">
        <x:v>https://www.measuringworth.com/datasets/exchangeglobal/result.php?countryE%5B%5D=Japan&amp;year_result=2016&amp;year_source=1916</x:v>
      </x:c>
      <x:c r="L163" s="12" t="str"/>
      <x:c r="M163" s="12" t="str">
        <x:v>B：学术历史汇编</x:v>
      </x:c>
    </x:row>
    <x:row r="164" ht="72" customHeight="1">
      <x:c r="A164" t="n">
        <x:v>1936</x:v>
      </x:c>
      <x:c r="B164" t="str">
        <x:v>CHF</x:v>
      </x:c>
      <x:c r="C164" s="12" t="str">
        <x:v>瑞士法郎（CHF）</x:v>
      </x:c>
      <x:c r="D164" s="24" t="n">
        <x:v>3.3125</x:v>
      </x:c>
      <x:c r="E164" s="20" t="str">
        <x:v>LCU/USD</x:v>
      </x:c>
      <x:c r="F164" s="20" t="n">
        <x:v>1</x:v>
      </x:c>
      <x:c r="G164" s="22" t="n">
        <x:f>IF(E164="LCU/USD",D164*F164,F164/D164)</x:f>
        <x:v>3.3125</x:v>
      </x:c>
      <x:c r="H164" s="12" t="str">
        <x:v>年均</x:v>
      </x:c>
      <x:c r="I164" s="12" t="str">
        <x:v>1936-01-01—1936-12-31</x:v>
      </x:c>
      <x:c r="J164" s="12" t="str">
        <x:v>MW_CHF</x:v>
      </x:c>
      <x:c r="K164" s="12" t="str">
        <x:v>https://www.measuringworth.com/datasets/exchangeglobal/result.php?countryE%5B%5D=Switzerland&amp;year_result=1955&amp;year_source=1905</x:v>
      </x:c>
      <x:c r="L164" s="12" t="str"/>
      <x:c r="M164" s="12" t="str">
        <x:v>B：学术历史汇编</x:v>
      </x:c>
    </x:row>
    <x:row r="165" ht="72" customHeight="1">
      <x:c r="A165" t="n">
        <x:v>1936</x:v>
      </x:c>
      <x:c r="B165" t="str">
        <x:v>INR</x:v>
      </x:c>
      <x:c r="C165" s="12" t="str">
        <x:v>英属印度卢比</x:v>
      </x:c>
      <x:c r="D165" s="24" t="n">
        <x:v>2.67</x:v>
      </x:c>
      <x:c r="E165" s="20" t="str">
        <x:v>LCU/USD</x:v>
      </x:c>
      <x:c r="F165" s="20" t="n">
        <x:v>1</x:v>
      </x:c>
      <x:c r="G165" s="22" t="n">
        <x:f>IF(E165="LCU/USD",D165*F165,F165/D165)</x:f>
        <x:v>2.67</x:v>
      </x:c>
      <x:c r="H165" s="12" t="str">
        <x:v>年均</x:v>
      </x:c>
      <x:c r="I165" s="12" t="str">
        <x:v>1936-01-01—1936-12-31</x:v>
      </x:c>
      <x:c r="J165" s="12" t="str">
        <x:v>MW_INR</x:v>
      </x:c>
      <x:c r="K165" s="12" t="str">
        <x:v>https://www.measuringworth.com/datasets/exchangeglobal/result.php?countryE%5B%5D=India&amp;year_result=1948&amp;year_source=1916</x:v>
      </x:c>
      <x:c r="L165" s="12" t="str"/>
      <x:c r="M165" s="12" t="str">
        <x:v>B：学术历史汇编</x:v>
      </x:c>
    </x:row>
    <x:row r="166" ht="72" customHeight="1">
      <x:c r="A166" t="n">
        <x:v>1936</x:v>
      </x:c>
      <x:c r="B166" t="str">
        <x:v>RUB</x:v>
      </x:c>
      <x:c r="C166" s="12" t="str">
        <x:v>苏联卢布（1924币制）</x:v>
      </x:c>
      <x:c r="D166" s="24" t="n">
        <x:v>1.1516</x:v>
      </x:c>
      <x:c r="E166" s="20" t="str">
        <x:v>LCU/USD</x:v>
      </x:c>
      <x:c r="F166" s="20" t="n">
        <x:v>1</x:v>
      </x:c>
      <x:c r="G166" s="22" t="n">
        <x:f>IF(E166="LCU/USD",D166*F166,F166/D166)</x:f>
        <x:v>1.1516</x:v>
      </x:c>
      <x:c r="H166" s="12" t="str">
        <x:v>定点官价参考（非年均）</x:v>
      </x:c>
      <x:c r="I166" s="12" t="str">
        <x:v>1936-01-01</x:v>
      </x:c>
      <x:c r="J166" s="12" t="str">
        <x:v>SUR_OFFICIAL_SECONDARY</x:v>
      </x:c>
      <x:c r="K166" s="12" t="str">
        <x:v>https://en.wikipedia.org/wiki/Soviet_ruble#Exchange_rates</x:v>
      </x:c>
      <x:c r="L166" s="12" t="str">
        <x:v>选取源表该年最早列出的日期，不代表该年平均、全年固定价或统一可成交价；原档案未复核。</x:v>
      </x:c>
      <x:c r="M166" s="12" t="str">
        <x:v>C：二手转引（原档未复核）</x:v>
      </x:c>
    </x:row>
    <x:row r="167" ht="72" customHeight="1">
      <x:c r="A167" t="n">
        <x:v>1936</x:v>
      </x:c>
      <x:c r="B167" t="str">
        <x:v>CNY</x:v>
      </x:c>
      <x:c r="C167" s="12" t="str">
        <x:v>法币元</x:v>
      </x:c>
      <x:c r="D167" s="24" t="n">
        <x:v>29.7506</x:v>
      </x:c>
      <x:c r="E167" s="20" t="str">
        <x:v>US cents/LCU</x:v>
      </x:c>
      <x:c r="F167" s="20" t="n">
        <x:f>'币制说明'!$C$25</x:f>
        <x:v>100</x:v>
      </x:c>
      <x:c r="G167" s="22" t="n">
        <x:f>IF(E167="LCU/USD",D167*F167,F167/D167)</x:f>
        <x:v>3.3612767473597174</x:v>
      </x:c>
      <x:c r="H167" s="12" t="str">
        <x:v>年均</x:v>
      </x:c>
      <x:c r="I167" s="12" t="str">
        <x:v>1936-01-01—1936-12-31</x:v>
      </x:c>
      <x:c r="J167" s="12" t="str">
        <x:v>FRASER_CN</x:v>
      </x:c>
      <x:c r="K167" s="12" t="str">
        <x:v>https://fraser.stlouisfed.org/title/banking-monetary-statistics-1914-1941-38/part-i-6408/fulltext</x:v>
      </x:c>
      <x:c r="L167" s="12" t="str">
        <x:v>纽约报价；100÷美分年均报价；不同币制年份单位见实际币名表，并非全国统一零售兑换价。 反向值由原报价均值取倒数；不等于反向日度汇率的算术平均。</x:v>
      </x:c>
      <x:c r="M167" s="12" t="str">
        <x:v>A：机构统计／原始统计表</x:v>
      </x:c>
    </x:row>
    <x:row r="168" ht="72" customHeight="1">
      <x:c r="A168" t="n">
        <x:v>1937</x:v>
      </x:c>
      <x:c r="B168" t="str">
        <x:v>GBP</x:v>
      </x:c>
      <x:c r="C168" s="12" t="str">
        <x:v>英镑（GBP）</x:v>
      </x:c>
      <x:c r="D168" s="24" t="n">
        <x:v>0.2023</x:v>
      </x:c>
      <x:c r="E168" s="20" t="str">
        <x:v>LCU/USD</x:v>
      </x:c>
      <x:c r="F168" s="20" t="n">
        <x:v>1</x:v>
      </x:c>
      <x:c r="G168" s="22" t="n">
        <x:f>IF(E168="LCU/USD",D168*F168,F168/D168)</x:f>
        <x:v>0.2023</x:v>
      </x:c>
      <x:c r="H168" s="12" t="str">
        <x:v>年均</x:v>
      </x:c>
      <x:c r="I168" s="12" t="str">
        <x:v>1937-01-01—1937-12-31</x:v>
      </x:c>
      <x:c r="J168" s="12" t="str">
        <x:v>MW_GBP</x:v>
      </x:c>
      <x:c r="K168" s="12" t="str">
        <x:v>https://www.measuringworth.com/datasets/exchangeglobal/result.php?countryE%5B%5D=United+Kingdom&amp;year_result=2007&amp;year_source=1791</x:v>
      </x:c>
      <x:c r="L168" s="12" t="str"/>
      <x:c r="M168" s="12" t="str">
        <x:v>B：学术历史汇编</x:v>
      </x:c>
    </x:row>
    <x:row r="169" ht="72" customHeight="1">
      <x:c r="A169" t="n">
        <x:v>1937</x:v>
      </x:c>
      <x:c r="B169" t="str">
        <x:v>CAD</x:v>
      </x:c>
      <x:c r="C169" s="12" t="str">
        <x:v>加拿大元（CAD）</x:v>
      </x:c>
      <x:c r="D169" s="24" t="n">
        <x:v>1</x:v>
      </x:c>
      <x:c r="E169" s="20" t="str">
        <x:v>LCU/USD</x:v>
      </x:c>
      <x:c r="F169" s="20" t="n">
        <x:v>1</x:v>
      </x:c>
      <x:c r="G169" s="22" t="n">
        <x:f>IF(E169="LCU/USD",D169*F169,F169/D169)</x:f>
        <x:v>1</x:v>
      </x:c>
      <x:c r="H169" s="12" t="str">
        <x:v>年均</x:v>
      </x:c>
      <x:c r="I169" s="12" t="str">
        <x:v>1937-01-01—1937-12-31</x:v>
      </x:c>
      <x:c r="J169" s="12" t="str">
        <x:v>MW_CAD</x:v>
      </x:c>
      <x:c r="K169" s="12" t="str">
        <x:v>https://www.measuringworth.com/datasets/exchangeglobal/result.php?countryE%5B%5D=Canada&amp;year_result=2007&amp;year_source=1913</x:v>
      </x:c>
      <x:c r="L169" s="12" t="str"/>
      <x:c r="M169" s="12" t="str">
        <x:v>B：学术历史汇编</x:v>
      </x:c>
    </x:row>
    <x:row r="170" ht="72" customHeight="1">
      <x:c r="A170" t="n">
        <x:v>1937</x:v>
      </x:c>
      <x:c r="B170" t="str">
        <x:v>FR</x:v>
      </x:c>
      <x:c r="C170" s="12" t="str">
        <x:v>法国旧法郎</x:v>
      </x:c>
      <x:c r="D170" s="24" t="n">
        <x:v>24.716</x:v>
      </x:c>
      <x:c r="E170" s="20" t="str">
        <x:v>LCU/USD</x:v>
      </x:c>
      <x:c r="F170" s="20" t="n">
        <x:v>1</x:v>
      </x:c>
      <x:c r="G170" s="22" t="n">
        <x:f>IF(E170="LCU/USD",D170*F170,F170/D170)</x:f>
        <x:v>24.716</x:v>
      </x:c>
      <x:c r="H170" s="12" t="str">
        <x:v>年均</x:v>
      </x:c>
      <x:c r="I170" s="12" t="str">
        <x:v>1937-01-01—1937-12-31</x:v>
      </x:c>
      <x:c r="J170" s="12" t="str">
        <x:v>MW_FR</x:v>
      </x:c>
      <x:c r="K170" s="12" t="str">
        <x:v>https://www.measuringworth.com/datasets/exchangeglobal/result.php?countryE%5B%5D=France&amp;year_result=1940&amp;year_source=1920</x:v>
      </x:c>
      <x:c r="L170" s="12" t="str"/>
      <x:c r="M170" s="12" t="str">
        <x:v>B：学术历史汇编</x:v>
      </x:c>
    </x:row>
    <x:row r="171" ht="72" customHeight="1">
      <x:c r="A171" t="n">
        <x:v>1937</x:v>
      </x:c>
      <x:c r="B171" t="str">
        <x:v>DE</x:v>
      </x:c>
      <x:c r="C171" s="12" t="str">
        <x:v>帝国马克（Reichsmark）</x:v>
      </x:c>
      <x:c r="D171" s="24" t="n">
        <x:v>2.49</x:v>
      </x:c>
      <x:c r="E171" s="20" t="str">
        <x:v>LCU/USD</x:v>
      </x:c>
      <x:c r="F171" s="20" t="n">
        <x:v>1</x:v>
      </x:c>
      <x:c r="G171" s="22" t="n">
        <x:f>IF(E171="LCU/USD",D171*F171,F171/D171)</x:f>
        <x:v>2.49</x:v>
      </x:c>
      <x:c r="H171" s="12" t="str">
        <x:v>年均</x:v>
      </x:c>
      <x:c r="I171" s="12" t="str">
        <x:v>1937-01-01—1937-12-31</x:v>
      </x:c>
      <x:c r="J171" s="12" t="str">
        <x:v>UCSB_DE</x:v>
      </x:c>
      <x:c r="K171" s="12" t="str">
        <x:v>https://marcuse.faculty.history.ucsb.edu/projects/currency.htm</x:v>
      </x:c>
      <x:c r="L171" s="12" t="str"/>
      <x:c r="M171" s="12" t="str">
        <x:v>B：大学页面转录</x:v>
      </x:c>
    </x:row>
    <x:row r="172" ht="72" customHeight="1">
      <x:c r="A172" t="n">
        <x:v>1937</x:v>
      </x:c>
      <x:c r="B172" t="str">
        <x:v>IT</x:v>
      </x:c>
      <x:c r="C172" s="12" t="str">
        <x:v>意大利里拉（ITL）</x:v>
      </x:c>
      <x:c r="D172" s="24" t="n">
        <x:v>5.2607</x:v>
      </x:c>
      <x:c r="E172" s="20" t="str">
        <x:v>US cents/LCU</x:v>
      </x:c>
      <x:c r="F172" s="20" t="n">
        <x:f>'币制说明'!$C$25</x:f>
        <x:v>100</x:v>
      </x:c>
      <x:c r="G172" s="22" t="n">
        <x:f>IF(E172="LCU/USD",D172*F172,F172/D172)</x:f>
        <x:v>19.008877145627007</x:v>
      </x:c>
      <x:c r="H172" s="12" t="str">
        <x:v>年均</x:v>
      </x:c>
      <x:c r="I172" s="12" t="str">
        <x:v>1937-01-01—1937-12-31</x:v>
      </x:c>
      <x:c r="J172" s="12" t="str">
        <x:v>FRASER_IT</x:v>
      </x:c>
      <x:c r="K172" s="12" t="str">
        <x:v>https://fraser.stlouisfed.org/title/banking-monetary-statistics-1914-1941-38/part-i-6408/fulltext</x:v>
      </x:c>
      <x:c r="L172" s="12" t="str">
        <x:v>纽约报价；由美分／里拉的年均报价取倒数，非里拉／美元逐日均值。 反向值由原报价均值取倒数；不等于反向日度汇率的算术平均。</x:v>
      </x:c>
      <x:c r="M172" s="12" t="str">
        <x:v>A：机构统计／原始统计表</x:v>
      </x:c>
    </x:row>
    <x:row r="173" ht="72" customHeight="1">
      <x:c r="A173" t="n">
        <x:v>1937</x:v>
      </x:c>
      <x:c r="B173" t="str">
        <x:v>JPY</x:v>
      </x:c>
      <x:c r="C173" s="12" t="str">
        <x:v>日元（JPY）</x:v>
      </x:c>
      <x:c r="D173" s="24" t="n">
        <x:v>3.47</x:v>
      </x:c>
      <x:c r="E173" s="20" t="str">
        <x:v>LCU/USD</x:v>
      </x:c>
      <x:c r="F173" s="20" t="n">
        <x:v>1</x:v>
      </x:c>
      <x:c r="G173" s="22" t="n">
        <x:f>IF(E173="LCU/USD",D173*F173,F173/D173)</x:f>
        <x:v>3.47</x:v>
      </x:c>
      <x:c r="H173" s="12" t="str">
        <x:v>年均</x:v>
      </x:c>
      <x:c r="I173" s="12" t="str">
        <x:v>1937-01-01—1937-12-31</x:v>
      </x:c>
      <x:c r="J173" s="12" t="str">
        <x:v>MW_JPY</x:v>
      </x:c>
      <x:c r="K173" s="12" t="str">
        <x:v>https://www.measuringworth.com/datasets/exchangeglobal/result.php?countryE%5B%5D=Japan&amp;year_result=2016&amp;year_source=1916</x:v>
      </x:c>
      <x:c r="L173" s="12" t="str"/>
      <x:c r="M173" s="12" t="str">
        <x:v>B：学术历史汇编</x:v>
      </x:c>
    </x:row>
    <x:row r="174" ht="72" customHeight="1">
      <x:c r="A174" t="n">
        <x:v>1937</x:v>
      </x:c>
      <x:c r="B174" t="str">
        <x:v>CHF</x:v>
      </x:c>
      <x:c r="C174" s="12" t="str">
        <x:v>瑞士法郎（CHF）</x:v>
      </x:c>
      <x:c r="D174" s="24" t="n">
        <x:v>4.3596</x:v>
      </x:c>
      <x:c r="E174" s="20" t="str">
        <x:v>LCU/USD</x:v>
      </x:c>
      <x:c r="F174" s="20" t="n">
        <x:v>1</x:v>
      </x:c>
      <x:c r="G174" s="22" t="n">
        <x:f>IF(E174="LCU/USD",D174*F174,F174/D174)</x:f>
        <x:v>4.3596</x:v>
      </x:c>
      <x:c r="H174" s="12" t="str">
        <x:v>年均</x:v>
      </x:c>
      <x:c r="I174" s="12" t="str">
        <x:v>1937-01-01—1937-12-31</x:v>
      </x:c>
      <x:c r="J174" s="12" t="str">
        <x:v>MW_CHF</x:v>
      </x:c>
      <x:c r="K174" s="12" t="str">
        <x:v>https://www.measuringworth.com/datasets/exchangeglobal/result.php?countryE%5B%5D=Switzerland&amp;year_result=1955&amp;year_source=1905</x:v>
      </x:c>
      <x:c r="L174" s="12" t="str"/>
      <x:c r="M174" s="12" t="str">
        <x:v>B：学术历史汇编</x:v>
      </x:c>
    </x:row>
    <x:row r="175" ht="72" customHeight="1">
      <x:c r="A175" t="n">
        <x:v>1937</x:v>
      </x:c>
      <x:c r="B175" t="str">
        <x:v>INR</x:v>
      </x:c>
      <x:c r="C175" s="12" t="str">
        <x:v>英属印度卢比</x:v>
      </x:c>
      <x:c r="D175" s="24" t="n">
        <x:v>2.68</x:v>
      </x:c>
      <x:c r="E175" s="20" t="str">
        <x:v>LCU/USD</x:v>
      </x:c>
      <x:c r="F175" s="20" t="n">
        <x:v>1</x:v>
      </x:c>
      <x:c r="G175" s="22" t="n">
        <x:f>IF(E175="LCU/USD",D175*F175,F175/D175)</x:f>
        <x:v>2.68</x:v>
      </x:c>
      <x:c r="H175" s="12" t="str">
        <x:v>年均</x:v>
      </x:c>
      <x:c r="I175" s="12" t="str">
        <x:v>1937-01-01—1937-12-31</x:v>
      </x:c>
      <x:c r="J175" s="12" t="str">
        <x:v>MW_INR</x:v>
      </x:c>
      <x:c r="K175" s="12" t="str">
        <x:v>https://www.measuringworth.com/datasets/exchangeglobal/result.php?countryE%5B%5D=India&amp;year_result=1948&amp;year_source=1916</x:v>
      </x:c>
      <x:c r="L175" s="12" t="str"/>
      <x:c r="M175" s="12" t="str">
        <x:v>B：学术历史汇编</x:v>
      </x:c>
    </x:row>
    <x:row r="176" ht="72" customHeight="1">
      <x:c r="A176" t="n">
        <x:v>1937</x:v>
      </x:c>
      <x:c r="B176" t="str">
        <x:v>RUB</x:v>
      </x:c>
      <x:c r="C176" s="12" t="str">
        <x:v>苏联卢布（1924币制）</x:v>
      </x:c>
      <x:c r="D176" s="24" t="n">
        <x:v>5.04</x:v>
      </x:c>
      <x:c r="E176" s="20" t="str">
        <x:v>LCU/USD</x:v>
      </x:c>
      <x:c r="F176" s="20" t="n">
        <x:v>1</x:v>
      </x:c>
      <x:c r="G176" s="22" t="n">
        <x:f>IF(E176="LCU/USD",D176*F176,F176/D176)</x:f>
        <x:v>5.04</x:v>
      </x:c>
      <x:c r="H176" s="12" t="str">
        <x:v>定点官价参考（非年均）</x:v>
      </x:c>
      <x:c r="I176" s="12" t="str">
        <x:v>1937-01-01</x:v>
      </x:c>
      <x:c r="J176" s="12" t="str">
        <x:v>SUR_OFFICIAL_SECONDARY</x:v>
      </x:c>
      <x:c r="K176" s="12" t="str">
        <x:v>https://en.wikipedia.org/wiki/Soviet_ruble#Exchange_rates</x:v>
      </x:c>
      <x:c r="L176" s="12" t="str">
        <x:v>选取源表该年最早列出的日期，不代表该年平均、全年固定价或统一可成交价；原档案未复核。</x:v>
      </x:c>
      <x:c r="M176" s="12" t="str">
        <x:v>C：二手转引（原档未复核）</x:v>
      </x:c>
    </x:row>
    <x:row r="177" ht="72" customHeight="1">
      <x:c r="A177" t="n">
        <x:v>1937</x:v>
      </x:c>
      <x:c r="B177" t="str">
        <x:v>CNY</x:v>
      </x:c>
      <x:c r="C177" s="12" t="str">
        <x:v>法币元</x:v>
      </x:c>
      <x:c r="D177" s="24" t="n">
        <x:v>29.6064</x:v>
      </x:c>
      <x:c r="E177" s="20" t="str">
        <x:v>US cents/LCU</x:v>
      </x:c>
      <x:c r="F177" s="20" t="n">
        <x:f>'币制说明'!$C$25</x:f>
        <x:v>100</x:v>
      </x:c>
      <x:c r="G177" s="22" t="n">
        <x:f>IF(E177="LCU/USD",D177*F177,F177/D177)</x:f>
        <x:v>3.377648076091656</x:v>
      </x:c>
      <x:c r="H177" s="12" t="str">
        <x:v>年均</x:v>
      </x:c>
      <x:c r="I177" s="12" t="str">
        <x:v>1937-01-01—1937-12-31</x:v>
      </x:c>
      <x:c r="J177" s="12" t="str">
        <x:v>FRASER_CN</x:v>
      </x:c>
      <x:c r="K177" s="12" t="str">
        <x:v>https://fraser.stlouisfed.org/title/banking-monetary-statistics-1914-1941-38/part-i-6408/fulltext</x:v>
      </x:c>
      <x:c r="L177" s="12" t="str">
        <x:v>纽约报价；100÷美分年均报价；不同币制年份单位见实际币名表，并非全国统一零售兑换价。 反向值由原报价均值取倒数；不等于反向日度汇率的算术平均。</x:v>
      </x:c>
      <x:c r="M177" s="12" t="str">
        <x:v>A：机构统计／原始统计表</x:v>
      </x:c>
    </x:row>
    <x:row r="178" ht="72" customHeight="1">
      <x:c r="A178" t="n">
        <x:v>1938</x:v>
      </x:c>
      <x:c r="B178" t="str">
        <x:v>GBP</x:v>
      </x:c>
      <x:c r="C178" s="12" t="str">
        <x:v>英镑（GBP）</x:v>
      </x:c>
      <x:c r="D178" s="24" t="n">
        <x:v>0.2045</x:v>
      </x:c>
      <x:c r="E178" s="20" t="str">
        <x:v>LCU/USD</x:v>
      </x:c>
      <x:c r="F178" s="20" t="n">
        <x:v>1</x:v>
      </x:c>
      <x:c r="G178" s="22" t="n">
        <x:f>IF(E178="LCU/USD",D178*F178,F178/D178)</x:f>
        <x:v>0.2045</x:v>
      </x:c>
      <x:c r="H178" s="12" t="str">
        <x:v>年均</x:v>
      </x:c>
      <x:c r="I178" s="12" t="str">
        <x:v>1938-01-01—1938-12-31</x:v>
      </x:c>
      <x:c r="J178" s="12" t="str">
        <x:v>MW_GBP</x:v>
      </x:c>
      <x:c r="K178" s="12" t="str">
        <x:v>https://www.measuringworth.com/datasets/exchangeglobal/result.php?countryE%5B%5D=United+Kingdom&amp;year_result=2007&amp;year_source=1791</x:v>
      </x:c>
      <x:c r="L178" s="12" t="str"/>
      <x:c r="M178" s="12" t="str">
        <x:v>B：学术历史汇编</x:v>
      </x:c>
    </x:row>
    <x:row r="179" ht="72" customHeight="1">
      <x:c r="A179" t="n">
        <x:v>1938</x:v>
      </x:c>
      <x:c r="B179" t="str">
        <x:v>CAD</x:v>
      </x:c>
      <x:c r="C179" s="12" t="str">
        <x:v>加拿大元（CAD）</x:v>
      </x:c>
      <x:c r="D179" s="24" t="n">
        <x:v>1.006</x:v>
      </x:c>
      <x:c r="E179" s="20" t="str">
        <x:v>LCU/USD</x:v>
      </x:c>
      <x:c r="F179" s="20" t="n">
        <x:v>1</x:v>
      </x:c>
      <x:c r="G179" s="22" t="n">
        <x:f>IF(E179="LCU/USD",D179*F179,F179/D179)</x:f>
        <x:v>1.006</x:v>
      </x:c>
      <x:c r="H179" s="12" t="str">
        <x:v>年均</x:v>
      </x:c>
      <x:c r="I179" s="12" t="str">
        <x:v>1938-01-01—1938-12-31</x:v>
      </x:c>
      <x:c r="J179" s="12" t="str">
        <x:v>MW_CAD</x:v>
      </x:c>
      <x:c r="K179" s="12" t="str">
        <x:v>https://www.measuringworth.com/datasets/exchangeglobal/result.php?countryE%5B%5D=Canada&amp;year_result=2007&amp;year_source=1913</x:v>
      </x:c>
      <x:c r="L179" s="12" t="str"/>
      <x:c r="M179" s="12" t="str">
        <x:v>B：学术历史汇编</x:v>
      </x:c>
    </x:row>
    <x:row r="180" ht="72" customHeight="1">
      <x:c r="A180" t="n">
        <x:v>1938</x:v>
      </x:c>
      <x:c r="B180" t="str">
        <x:v>FR</x:v>
      </x:c>
      <x:c r="C180" s="12" t="str">
        <x:v>法国旧法郎</x:v>
      </x:c>
      <x:c r="D180" s="24" t="n">
        <x:v>34.745</x:v>
      </x:c>
      <x:c r="E180" s="20" t="str">
        <x:v>LCU/USD</x:v>
      </x:c>
      <x:c r="F180" s="20" t="n">
        <x:v>1</x:v>
      </x:c>
      <x:c r="G180" s="22" t="n">
        <x:f>IF(E180="LCU/USD",D180*F180,F180/D180)</x:f>
        <x:v>34.745</x:v>
      </x:c>
      <x:c r="H180" s="12" t="str">
        <x:v>年均</x:v>
      </x:c>
      <x:c r="I180" s="12" t="str">
        <x:v>1938-01-01—1938-12-31</x:v>
      </x:c>
      <x:c r="J180" s="12" t="str">
        <x:v>MW_FR</x:v>
      </x:c>
      <x:c r="K180" s="12" t="str">
        <x:v>https://www.measuringworth.com/datasets/exchangeglobal/result.php?countryE%5B%5D=France&amp;year_result=1940&amp;year_source=1920</x:v>
      </x:c>
      <x:c r="L180" s="12" t="str"/>
      <x:c r="M180" s="12" t="str">
        <x:v>B：学术历史汇编</x:v>
      </x:c>
    </x:row>
    <x:row r="181" ht="72" customHeight="1">
      <x:c r="A181" t="n">
        <x:v>1938</x:v>
      </x:c>
      <x:c r="B181" t="str">
        <x:v>DE</x:v>
      </x:c>
      <x:c r="C181" s="12" t="str">
        <x:v>帝国马克（Reichsmark）</x:v>
      </x:c>
      <x:c r="D181" s="24" t="n">
        <x:v>2.49</x:v>
      </x:c>
      <x:c r="E181" s="20" t="str">
        <x:v>LCU/USD</x:v>
      </x:c>
      <x:c r="F181" s="20" t="n">
        <x:v>1</x:v>
      </x:c>
      <x:c r="G181" s="22" t="n">
        <x:f>IF(E181="LCU/USD",D181*F181,F181/D181)</x:f>
        <x:v>2.49</x:v>
      </x:c>
      <x:c r="H181" s="12" t="str">
        <x:v>年均</x:v>
      </x:c>
      <x:c r="I181" s="12" t="str">
        <x:v>1938-01-01—1938-12-31</x:v>
      </x:c>
      <x:c r="J181" s="12" t="str">
        <x:v>UCSB_DE</x:v>
      </x:c>
      <x:c r="K181" s="12" t="str">
        <x:v>https://marcuse.faculty.history.ucsb.edu/projects/currency.htm</x:v>
      </x:c>
      <x:c r="L181" s="12" t="str"/>
      <x:c r="M181" s="12" t="str">
        <x:v>B：大学页面转录</x:v>
      </x:c>
    </x:row>
    <x:row r="182" ht="72" customHeight="1">
      <x:c r="A182" t="n">
        <x:v>1938</x:v>
      </x:c>
      <x:c r="B182" t="str">
        <x:v>IT</x:v>
      </x:c>
      <x:c r="C182" s="12" t="str">
        <x:v>意大利里拉（ITL）</x:v>
      </x:c>
      <x:c r="D182" s="24" t="n">
        <x:v>5.2605</x:v>
      </x:c>
      <x:c r="E182" s="20" t="str">
        <x:v>US cents/LCU</x:v>
      </x:c>
      <x:c r="F182" s="20" t="n">
        <x:f>'币制说明'!$C$25</x:f>
        <x:v>100</x:v>
      </x:c>
      <x:c r="G182" s="22" t="n">
        <x:f>IF(E182="LCU/USD",D182*F182,F182/D182)</x:f>
        <x:v>19.009599847923198</x:v>
      </x:c>
      <x:c r="H182" s="12" t="str">
        <x:v>年均</x:v>
      </x:c>
      <x:c r="I182" s="12" t="str">
        <x:v>1938-01-01—1938-12-31</x:v>
      </x:c>
      <x:c r="J182" s="12" t="str">
        <x:v>FRASER_IT</x:v>
      </x:c>
      <x:c r="K182" s="12" t="str">
        <x:v>https://fraser.stlouisfed.org/title/banking-monetary-statistics-1914-1941-38/part-i-6408/fulltext</x:v>
      </x:c>
      <x:c r="L182" s="12" t="str">
        <x:v>纽约报价；由美分／里拉的年均报价取倒数，非里拉／美元逐日均值。 反向值由原报价均值取倒数；不等于反向日度汇率的算术平均。</x:v>
      </x:c>
      <x:c r="M182" s="12" t="str">
        <x:v>A：机构统计／原始统计表</x:v>
      </x:c>
    </x:row>
    <x:row r="183" ht="72" customHeight="1">
      <x:c r="A183" t="n">
        <x:v>1938</x:v>
      </x:c>
      <x:c r="B183" t="str">
        <x:v>JPY</x:v>
      </x:c>
      <x:c r="C183" s="12" t="str">
        <x:v>日元（JPY）</x:v>
      </x:c>
      <x:c r="D183" s="24" t="n">
        <x:v>3.52</x:v>
      </x:c>
      <x:c r="E183" s="20" t="str">
        <x:v>LCU/USD</x:v>
      </x:c>
      <x:c r="F183" s="20" t="n">
        <x:v>1</x:v>
      </x:c>
      <x:c r="G183" s="22" t="n">
        <x:f>IF(E183="LCU/USD",D183*F183,F183/D183)</x:f>
        <x:v>3.52</x:v>
      </x:c>
      <x:c r="H183" s="12" t="str">
        <x:v>年均</x:v>
      </x:c>
      <x:c r="I183" s="12" t="str">
        <x:v>1938-01-01—1938-12-31</x:v>
      </x:c>
      <x:c r="J183" s="12" t="str">
        <x:v>MW_JPY</x:v>
      </x:c>
      <x:c r="K183" s="12" t="str">
        <x:v>https://www.measuringworth.com/datasets/exchangeglobal/result.php?countryE%5B%5D=Japan&amp;year_result=2016&amp;year_source=1916</x:v>
      </x:c>
      <x:c r="L183" s="12" t="str"/>
      <x:c r="M183" s="12" t="str">
        <x:v>B：学术历史汇编</x:v>
      </x:c>
    </x:row>
    <x:row r="184" ht="72" customHeight="1">
      <x:c r="A184" t="n">
        <x:v>1938</x:v>
      </x:c>
      <x:c r="B184" t="str">
        <x:v>CHF</x:v>
      </x:c>
      <x:c r="C184" s="12" t="str">
        <x:v>瑞士法郎（CHF）</x:v>
      </x:c>
      <x:c r="D184" s="24" t="n">
        <x:v>4.3723</x:v>
      </x:c>
      <x:c r="E184" s="20" t="str">
        <x:v>LCU/USD</x:v>
      </x:c>
      <x:c r="F184" s="20" t="n">
        <x:v>1</x:v>
      </x:c>
      <x:c r="G184" s="22" t="n">
        <x:f>IF(E184="LCU/USD",D184*F184,F184/D184)</x:f>
        <x:v>4.3723</x:v>
      </x:c>
      <x:c r="H184" s="12" t="str">
        <x:v>年均</x:v>
      </x:c>
      <x:c r="I184" s="12" t="str">
        <x:v>1938-01-01—1938-12-31</x:v>
      </x:c>
      <x:c r="J184" s="12" t="str">
        <x:v>MW_CHF</x:v>
      </x:c>
      <x:c r="K184" s="12" t="str">
        <x:v>https://www.measuringworth.com/datasets/exchangeglobal/result.php?countryE%5B%5D=Switzerland&amp;year_result=1955&amp;year_source=1905</x:v>
      </x:c>
      <x:c r="L184" s="12" t="str"/>
      <x:c r="M184" s="12" t="str">
        <x:v>B：学术历史汇编</x:v>
      </x:c>
    </x:row>
    <x:row r="185" ht="72" customHeight="1">
      <x:c r="A185" t="n">
        <x:v>1938</x:v>
      </x:c>
      <x:c r="B185" t="str">
        <x:v>INR</x:v>
      </x:c>
      <x:c r="C185" s="12" t="str">
        <x:v>英属印度卢比</x:v>
      </x:c>
      <x:c r="D185" s="24" t="n">
        <x:v>2.73</x:v>
      </x:c>
      <x:c r="E185" s="20" t="str">
        <x:v>LCU/USD</x:v>
      </x:c>
      <x:c r="F185" s="20" t="n">
        <x:v>1</x:v>
      </x:c>
      <x:c r="G185" s="22" t="n">
        <x:f>IF(E185="LCU/USD",D185*F185,F185/D185)</x:f>
        <x:v>2.73</x:v>
      </x:c>
      <x:c r="H185" s="12" t="str">
        <x:v>年均</x:v>
      </x:c>
      <x:c r="I185" s="12" t="str">
        <x:v>1938-01-01—1938-12-31</x:v>
      </x:c>
      <x:c r="J185" s="12" t="str">
        <x:v>MW_INR</x:v>
      </x:c>
      <x:c r="K185" s="12" t="str">
        <x:v>https://www.measuringworth.com/datasets/exchangeglobal/result.php?countryE%5B%5D=India&amp;year_result=1948&amp;year_source=1916</x:v>
      </x:c>
      <x:c r="L185" s="12" t="str"/>
      <x:c r="M185" s="12" t="str">
        <x:v>B：学术历史汇编</x:v>
      </x:c>
    </x:row>
    <x:row r="186" ht="72" customHeight="1">
      <x:c r="A186" t="n">
        <x:v>1938</x:v>
      </x:c>
      <x:c r="B186" t="str">
        <x:v>RUB</x:v>
      </x:c>
      <x:c r="C186" s="12" t="str">
        <x:v>苏联卢布（1924币制）</x:v>
      </x:c>
      <x:c r="D186" s="24" t="n">
        <x:v>5.3</x:v>
      </x:c>
      <x:c r="E186" s="20" t="str">
        <x:v>LCU/USD</x:v>
      </x:c>
      <x:c r="F186" s="20" t="n">
        <x:v>1</x:v>
      </x:c>
      <x:c r="G186" s="22" t="n">
        <x:f>IF(E186="LCU/USD",D186*F186,F186/D186)</x:f>
        <x:v>5.3</x:v>
      </x:c>
      <x:c r="H186" s="12" t="str">
        <x:v>官价区间参考（非年均）</x:v>
      </x:c>
      <x:c r="I186" s="12" t="str">
        <x:v>1937-07-19—1950-02-01</x:v>
      </x:c>
      <x:c r="J186" s="12" t="str">
        <x:v>SUR_OFFICIAL_SECONDARY</x:v>
      </x:c>
      <x:c r="K186" s="12" t="str">
        <x:v>https://en.wikipedia.org/wiki/Soviet_ruble#Exchange_rates</x:v>
      </x:c>
      <x:c r="L186" s="12" t="str">
        <x:v>源表同一官价覆盖的区间内年份；非逐年独立观测。只代表官方折算，非市场成交或购买力；原档案未复核。</x:v>
      </x:c>
      <x:c r="M186" s="12" t="str">
        <x:v>C：二手转引（原档未复核）</x:v>
      </x:c>
    </x:row>
    <x:row r="187" ht="72" customHeight="1">
      <x:c r="A187" t="n">
        <x:v>1938</x:v>
      </x:c>
      <x:c r="B187" t="str">
        <x:v>CNY</x:v>
      </x:c>
      <x:c r="C187" s="12" t="str">
        <x:v>法币元</x:v>
      </x:c>
      <x:c r="D187" s="24" t="n">
        <x:v>21.3596</x:v>
      </x:c>
      <x:c r="E187" s="20" t="str">
        <x:v>US cents/LCU</x:v>
      </x:c>
      <x:c r="F187" s="20" t="n">
        <x:f>'币制说明'!$C$25</x:f>
        <x:v>100</x:v>
      </x:c>
      <x:c r="G187" s="22" t="n">
        <x:f>IF(E187="LCU/USD",D187*F187,F187/D187)</x:f>
        <x:v>4.681735613026461</x:v>
      </x:c>
      <x:c r="H187" s="12" t="str">
        <x:v>年均</x:v>
      </x:c>
      <x:c r="I187" s="12" t="str">
        <x:v>1938-01-01—1938-12-31</x:v>
      </x:c>
      <x:c r="J187" s="12" t="str">
        <x:v>FRASER_CN</x:v>
      </x:c>
      <x:c r="K187" s="12" t="str">
        <x:v>https://fraser.stlouisfed.org/title/banking-monetary-statistics-1914-1941-38/part-i-6408/fulltext</x:v>
      </x:c>
      <x:c r="L187" s="12" t="str">
        <x:v>纽约报价；100÷美分年均报价；不同币制年份单位见实际币名表，并非全国统一零售兑换价。 原表带名义报价标记；不可当作自由市场可成交价。 反向值由原报价均值取倒数；不等于反向日度汇率的算术平均。</x:v>
      </x:c>
      <x:c r="M187" s="12" t="str">
        <x:v>A：机构统计／原始统计表</x:v>
      </x:c>
    </x:row>
    <x:row r="188" ht="72" customHeight="1">
      <x:c r="A188" t="n">
        <x:v>1939</x:v>
      </x:c>
      <x:c r="B188" t="str">
        <x:v>GBP</x:v>
      </x:c>
      <x:c r="C188" s="12" t="str">
        <x:v>英镑（GBP）</x:v>
      </x:c>
      <x:c r="D188" s="24" t="n">
        <x:v>0.2255</x:v>
      </x:c>
      <x:c r="E188" s="20" t="str">
        <x:v>LCU/USD</x:v>
      </x:c>
      <x:c r="F188" s="20" t="n">
        <x:v>1</x:v>
      </x:c>
      <x:c r="G188" s="22" t="n">
        <x:f>IF(E188="LCU/USD",D188*F188,F188/D188)</x:f>
        <x:v>0.2255</x:v>
      </x:c>
      <x:c r="H188" s="12" t="str">
        <x:v>年均</x:v>
      </x:c>
      <x:c r="I188" s="12" t="str">
        <x:v>1939-01-01—1939-12-31</x:v>
      </x:c>
      <x:c r="J188" s="12" t="str">
        <x:v>MW_GBP</x:v>
      </x:c>
      <x:c r="K188" s="12" t="str">
        <x:v>https://www.measuringworth.com/datasets/exchangeglobal/result.php?countryE%5B%5D=United+Kingdom&amp;year_result=2007&amp;year_source=1791</x:v>
      </x:c>
      <x:c r="L188" s="12" t="str"/>
      <x:c r="M188" s="12" t="str">
        <x:v>B：学术历史汇编</x:v>
      </x:c>
    </x:row>
    <x:row r="189" ht="72" customHeight="1">
      <x:c r="A189" t="n">
        <x:v>1939</x:v>
      </x:c>
      <x:c r="B189" t="str">
        <x:v>CAD</x:v>
      </x:c>
      <x:c r="C189" s="12" t="str">
        <x:v>加拿大元（CAD）</x:v>
      </x:c>
      <x:c r="D189" s="24" t="n">
        <x:v>1.041</x:v>
      </x:c>
      <x:c r="E189" s="20" t="str">
        <x:v>LCU/USD</x:v>
      </x:c>
      <x:c r="F189" s="20" t="n">
        <x:v>1</x:v>
      </x:c>
      <x:c r="G189" s="22" t="n">
        <x:f>IF(E189="LCU/USD",D189*F189,F189/D189)</x:f>
        <x:v>1.041</x:v>
      </x:c>
      <x:c r="H189" s="12" t="str">
        <x:v>年均</x:v>
      </x:c>
      <x:c r="I189" s="12" t="str">
        <x:v>1939-01-01—1939-12-31</x:v>
      </x:c>
      <x:c r="J189" s="12" t="str">
        <x:v>MW_CAD</x:v>
      </x:c>
      <x:c r="K189" s="12" t="str">
        <x:v>https://www.measuringworth.com/datasets/exchangeglobal/result.php?countryE%5B%5D=Canada&amp;year_result=2007&amp;year_source=1913</x:v>
      </x:c>
      <x:c r="L189" s="12" t="str"/>
      <x:c r="M189" s="12" t="str">
        <x:v>B：学术历史汇编</x:v>
      </x:c>
    </x:row>
    <x:row r="190" ht="72" customHeight="1">
      <x:c r="A190" t="n">
        <x:v>1939</x:v>
      </x:c>
      <x:c r="B190" t="str">
        <x:v>FR</x:v>
      </x:c>
      <x:c r="C190" s="12" t="str">
        <x:v>法国旧法郎</x:v>
      </x:c>
      <x:c r="D190" s="24" t="n">
        <x:v>39.836</x:v>
      </x:c>
      <x:c r="E190" s="20" t="str">
        <x:v>LCU/USD</x:v>
      </x:c>
      <x:c r="F190" s="20" t="n">
        <x:v>1</x:v>
      </x:c>
      <x:c r="G190" s="22" t="n">
        <x:f>IF(E190="LCU/USD",D190*F190,F190/D190)</x:f>
        <x:v>39.836</x:v>
      </x:c>
      <x:c r="H190" s="12" t="str">
        <x:v>年均</x:v>
      </x:c>
      <x:c r="I190" s="12" t="str">
        <x:v>1939-01-01—1939-12-31</x:v>
      </x:c>
      <x:c r="J190" s="12" t="str">
        <x:v>MW_FR</x:v>
      </x:c>
      <x:c r="K190" s="12" t="str">
        <x:v>https://www.measuringworth.com/datasets/exchangeglobal/result.php?countryE%5B%5D=France&amp;year_result=1940&amp;year_source=1920</x:v>
      </x:c>
      <x:c r="L190" s="12" t="str"/>
      <x:c r="M190" s="12" t="str">
        <x:v>B：学术历史汇编</x:v>
      </x:c>
    </x:row>
    <x:row r="191" ht="72" customHeight="1">
      <x:c r="A191" t="n">
        <x:v>1939</x:v>
      </x:c>
      <x:c r="B191" t="str">
        <x:v>DE</x:v>
      </x:c>
      <x:c r="C191" s="12" t="str">
        <x:v>帝国马克（Reichsmark）</x:v>
      </x:c>
      <x:c r="D191" s="24" t="n">
        <x:v>2.5</x:v>
      </x:c>
      <x:c r="E191" s="20" t="str">
        <x:v>LCU/USD</x:v>
      </x:c>
      <x:c r="F191" s="20" t="n">
        <x:v>1</x:v>
      </x:c>
      <x:c r="G191" s="22" t="n">
        <x:f>IF(E191="LCU/USD",D191*F191,F191/D191)</x:f>
        <x:v>2.5</x:v>
      </x:c>
      <x:c r="H191" s="12" t="str">
        <x:v>年均</x:v>
      </x:c>
      <x:c r="I191" s="12" t="str">
        <x:v>1939-01-01—1939-12-31</x:v>
      </x:c>
      <x:c r="J191" s="12" t="str">
        <x:v>UCSB_DE</x:v>
      </x:c>
      <x:c r="K191" s="12" t="str">
        <x:v>https://marcuse.faculty.history.ucsb.edu/projects/currency.htm</x:v>
      </x:c>
      <x:c r="L191" s="12" t="str"/>
      <x:c r="M191" s="12" t="str">
        <x:v>B：大学页面转录</x:v>
      </x:c>
    </x:row>
    <x:row r="192" ht="72" customHeight="1">
      <x:c r="A192" t="n">
        <x:v>1939</x:v>
      </x:c>
      <x:c r="B192" t="str">
        <x:v>IT</x:v>
      </x:c>
      <x:c r="C192" s="12" t="str">
        <x:v>意大利里拉（ITL）</x:v>
      </x:c>
      <x:c r="D192" s="24" t="n">
        <x:v>5.1959</x:v>
      </x:c>
      <x:c r="E192" s="20" t="str">
        <x:v>US cents/LCU</x:v>
      </x:c>
      <x:c r="F192" s="20" t="n">
        <x:f>'币制说明'!$C$25</x:f>
        <x:v>100</x:v>
      </x:c>
      <x:c r="G192" s="22" t="n">
        <x:f>IF(E192="LCU/USD",D192*F192,F192/D192)</x:f>
        <x:v>19.245943917319426</x:v>
      </x:c>
      <x:c r="H192" s="12" t="str">
        <x:v>年均</x:v>
      </x:c>
      <x:c r="I192" s="12" t="str">
        <x:v>1939-01-01—1939-12-31</x:v>
      </x:c>
      <x:c r="J192" s="12" t="str">
        <x:v>FRASER_IT</x:v>
      </x:c>
      <x:c r="K192" s="12" t="str">
        <x:v>https://fraser.stlouisfed.org/title/banking-monetary-statistics-1914-1941-38/part-i-6408/fulltext</x:v>
      </x:c>
      <x:c r="L192" s="12" t="str">
        <x:v>纽约报价；由美分／里拉的年均报价取倒数，非里拉／美元逐日均值。 反向值由原报价均值取倒数；不等于反向日度汇率的算术平均。</x:v>
      </x:c>
      <x:c r="M192" s="12" t="str">
        <x:v>A：机构统计／原始统计表</x:v>
      </x:c>
    </x:row>
    <x:row r="193" ht="72" customHeight="1">
      <x:c r="A193" t="n">
        <x:v>1939</x:v>
      </x:c>
      <x:c r="B193" t="str">
        <x:v>JPY</x:v>
      </x:c>
      <x:c r="C193" s="12" t="str">
        <x:v>日元（JPY）</x:v>
      </x:c>
      <x:c r="D193" s="24" t="n">
        <x:v>3.85</x:v>
      </x:c>
      <x:c r="E193" s="20" t="str">
        <x:v>LCU/USD</x:v>
      </x:c>
      <x:c r="F193" s="20" t="n">
        <x:v>1</x:v>
      </x:c>
      <x:c r="G193" s="22" t="n">
        <x:f>IF(E193="LCU/USD",D193*F193,F193/D193)</x:f>
        <x:v>3.85</x:v>
      </x:c>
      <x:c r="H193" s="12" t="str">
        <x:v>年均</x:v>
      </x:c>
      <x:c r="I193" s="12" t="str">
        <x:v>1939-01-01—1939-12-31</x:v>
      </x:c>
      <x:c r="J193" s="12" t="str">
        <x:v>MW_JPY</x:v>
      </x:c>
      <x:c r="K193" s="12" t="str">
        <x:v>https://www.measuringworth.com/datasets/exchangeglobal/result.php?countryE%5B%5D=Japan&amp;year_result=2016&amp;year_source=1916</x:v>
      </x:c>
      <x:c r="L193" s="12" t="str"/>
      <x:c r="M193" s="12" t="str">
        <x:v>B：学术历史汇编</x:v>
      </x:c>
    </x:row>
    <x:row r="194" ht="72" customHeight="1">
      <x:c r="A194" t="n">
        <x:v>1939</x:v>
      </x:c>
      <x:c r="B194" t="str">
        <x:v>CHF</x:v>
      </x:c>
      <x:c r="C194" s="12" t="str">
        <x:v>瑞士法郎（CHF）</x:v>
      </x:c>
      <x:c r="D194" s="24" t="n">
        <x:v>4.4396</x:v>
      </x:c>
      <x:c r="E194" s="20" t="str">
        <x:v>LCU/USD</x:v>
      </x:c>
      <x:c r="F194" s="20" t="n">
        <x:v>1</x:v>
      </x:c>
      <x:c r="G194" s="22" t="n">
        <x:f>IF(E194="LCU/USD",D194*F194,F194/D194)</x:f>
        <x:v>4.4396</x:v>
      </x:c>
      <x:c r="H194" s="12" t="str">
        <x:v>年均</x:v>
      </x:c>
      <x:c r="I194" s="12" t="str">
        <x:v>1939-01-01—1939-12-31</x:v>
      </x:c>
      <x:c r="J194" s="12" t="str">
        <x:v>MW_CHF</x:v>
      </x:c>
      <x:c r="K194" s="12" t="str">
        <x:v>https://www.measuringworth.com/datasets/exchangeglobal/result.php?countryE%5B%5D=Switzerland&amp;year_result=1955&amp;year_source=1905</x:v>
      </x:c>
      <x:c r="L194" s="12" t="str"/>
      <x:c r="M194" s="12" t="str">
        <x:v>B：学术历史汇编</x:v>
      </x:c>
    </x:row>
    <x:row r="195" ht="72" customHeight="1">
      <x:c r="A195" t="n">
        <x:v>1939</x:v>
      </x:c>
      <x:c r="B195" t="str">
        <x:v>INR</x:v>
      </x:c>
      <x:c r="C195" s="12" t="str">
        <x:v>英属印度卢比</x:v>
      </x:c>
      <x:c r="D195" s="24" t="n">
        <x:v>3</x:v>
      </x:c>
      <x:c r="E195" s="20" t="str">
        <x:v>LCU/USD</x:v>
      </x:c>
      <x:c r="F195" s="20" t="n">
        <x:v>1</x:v>
      </x:c>
      <x:c r="G195" s="22" t="n">
        <x:f>IF(E195="LCU/USD",D195*F195,F195/D195)</x:f>
        <x:v>3</x:v>
      </x:c>
      <x:c r="H195" s="12" t="str">
        <x:v>年均</x:v>
      </x:c>
      <x:c r="I195" s="12" t="str">
        <x:v>1939-01-01—1939-12-31</x:v>
      </x:c>
      <x:c r="J195" s="12" t="str">
        <x:v>MW_INR</x:v>
      </x:c>
      <x:c r="K195" s="12" t="str">
        <x:v>https://www.measuringworth.com/datasets/exchangeglobal/result.php?countryE%5B%5D=India&amp;year_result=1948&amp;year_source=1916</x:v>
      </x:c>
      <x:c r="L195" s="12" t="str"/>
      <x:c r="M195" s="12" t="str">
        <x:v>B：学术历史汇编</x:v>
      </x:c>
    </x:row>
    <x:row r="196" ht="72" customHeight="1">
      <x:c r="A196" t="n">
        <x:v>1939</x:v>
      </x:c>
      <x:c r="B196" t="str">
        <x:v>RUB</x:v>
      </x:c>
      <x:c r="C196" s="12" t="str">
        <x:v>苏联卢布（1924币制）</x:v>
      </x:c>
      <x:c r="D196" s="24" t="n">
        <x:v>5.3</x:v>
      </x:c>
      <x:c r="E196" s="20" t="str">
        <x:v>LCU/USD</x:v>
      </x:c>
      <x:c r="F196" s="20" t="n">
        <x:v>1</x:v>
      </x:c>
      <x:c r="G196" s="22" t="n">
        <x:f>IF(E196="LCU/USD",D196*F196,F196/D196)</x:f>
        <x:v>5.3</x:v>
      </x:c>
      <x:c r="H196" s="12" t="str">
        <x:v>官价区间参考（非年均）</x:v>
      </x:c>
      <x:c r="I196" s="12" t="str">
        <x:v>1937-07-19—1950-02-01</x:v>
      </x:c>
      <x:c r="J196" s="12" t="str">
        <x:v>SUR_OFFICIAL_SECONDARY</x:v>
      </x:c>
      <x:c r="K196" s="12" t="str">
        <x:v>https://en.wikipedia.org/wiki/Soviet_ruble#Exchange_rates</x:v>
      </x:c>
      <x:c r="L196" s="12" t="str">
        <x:v>源表同一官价覆盖的区间内年份；非逐年独立观测。只代表官方折算，非市场成交或购买力；原档案未复核。</x:v>
      </x:c>
      <x:c r="M196" s="12" t="str">
        <x:v>C：二手转引（原档未复核）</x:v>
      </x:c>
    </x:row>
    <x:row r="197" ht="72" customHeight="1">
      <x:c r="A197" t="n">
        <x:v>1939</x:v>
      </x:c>
      <x:c r="B197" t="str">
        <x:v>CNY</x:v>
      </x:c>
      <x:c r="C197" s="12" t="str">
        <x:v>法币元</x:v>
      </x:c>
      <x:c r="D197" s="24" t="n">
        <x:v>11.8793</x:v>
      </x:c>
      <x:c r="E197" s="20" t="str">
        <x:v>US cents/LCU</x:v>
      </x:c>
      <x:c r="F197" s="20" t="n">
        <x:f>'币制说明'!$C$25</x:f>
        <x:v>100</x:v>
      </x:c>
      <x:c r="G197" s="22" t="n">
        <x:f>IF(E197="LCU/USD",D197*F197,F197/D197)</x:f>
        <x:v>8.41800442787033</x:v>
      </x:c>
      <x:c r="H197" s="12" t="str">
        <x:v>年均</x:v>
      </x:c>
      <x:c r="I197" s="12" t="str">
        <x:v>1939-01-01—1939-12-31</x:v>
      </x:c>
      <x:c r="J197" s="12" t="str">
        <x:v>FRASER_CN</x:v>
      </x:c>
      <x:c r="K197" s="12" t="str">
        <x:v>https://fraser.stlouisfed.org/title/banking-monetary-statistics-1914-1941-38/part-i-6408/fulltext</x:v>
      </x:c>
      <x:c r="L197" s="12" t="str">
        <x:v>纽约报价；100÷美分年均报价；不同币制年份单位见实际币名表，并非全国统一零售兑换价。 原表带名义报价标记；不可当作自由市场可成交价。 反向值由原报价均值取倒数；不等于反向日度汇率的算术平均。</x:v>
      </x:c>
      <x:c r="M197" s="12" t="str">
        <x:v>A：机构统计／原始统计表</x:v>
      </x:c>
    </x:row>
    <x:row r="198" ht="72" customHeight="1">
      <x:c r="A198" t="n">
        <x:v>1940</x:v>
      </x:c>
      <x:c r="B198" t="str">
        <x:v>GBP</x:v>
      </x:c>
      <x:c r="C198" s="12" t="str">
        <x:v>英镑（GBP）</x:v>
      </x:c>
      <x:c r="D198" s="24" t="n">
        <x:v>0.2611</x:v>
      </x:c>
      <x:c r="E198" s="20" t="str">
        <x:v>LCU/USD</x:v>
      </x:c>
      <x:c r="F198" s="20" t="n">
        <x:v>1</x:v>
      </x:c>
      <x:c r="G198" s="22" t="n">
        <x:f>IF(E198="LCU/USD",D198*F198,F198/D198)</x:f>
        <x:v>0.2611</x:v>
      </x:c>
      <x:c r="H198" s="12" t="str">
        <x:v>年均</x:v>
      </x:c>
      <x:c r="I198" s="12" t="str">
        <x:v>1940-01-01—1940-12-31</x:v>
      </x:c>
      <x:c r="J198" s="12" t="str">
        <x:v>MW_GBP</x:v>
      </x:c>
      <x:c r="K198" s="12" t="str">
        <x:v>https://www.measuringworth.com/datasets/exchangeglobal/result.php?countryE%5B%5D=United+Kingdom&amp;year_result=2007&amp;year_source=1791</x:v>
      </x:c>
      <x:c r="L198" s="12" t="str"/>
      <x:c r="M198" s="12" t="str">
        <x:v>B：学术历史汇编</x:v>
      </x:c>
    </x:row>
    <x:row r="199" ht="72" customHeight="1">
      <x:c r="A199" t="n">
        <x:v>1940</x:v>
      </x:c>
      <x:c r="B199" t="str">
        <x:v>CAD</x:v>
      </x:c>
      <x:c r="C199" s="12" t="str">
        <x:v>加拿大元（CAD）</x:v>
      </x:c>
      <x:c r="D199" s="24" t="n">
        <x:v>1.175</x:v>
      </x:c>
      <x:c r="E199" s="20" t="str">
        <x:v>LCU/USD</x:v>
      </x:c>
      <x:c r="F199" s="20" t="n">
        <x:v>1</x:v>
      </x:c>
      <x:c r="G199" s="22" t="n">
        <x:f>IF(E199="LCU/USD",D199*F199,F199/D199)</x:f>
        <x:v>1.175</x:v>
      </x:c>
      <x:c r="H199" s="12" t="str">
        <x:v>年均</x:v>
      </x:c>
      <x:c r="I199" s="12" t="str">
        <x:v>1940-01-01—1940-12-31</x:v>
      </x:c>
      <x:c r="J199" s="12" t="str">
        <x:v>MW_CAD</x:v>
      </x:c>
      <x:c r="K199" s="12" t="str">
        <x:v>https://www.measuringworth.com/datasets/exchangeglobal/result.php?countryE%5B%5D=Canada&amp;year_result=2007&amp;year_source=1913</x:v>
      </x:c>
      <x:c r="L199" s="12" t="str"/>
      <x:c r="M199" s="12" t="str">
        <x:v>B：学术历史汇编</x:v>
      </x:c>
    </x:row>
    <x:row r="200" ht="72" customHeight="1">
      <x:c r="A200" t="n">
        <x:v>1940</x:v>
      </x:c>
      <x:c r="B200" t="str">
        <x:v>FR</x:v>
      </x:c>
      <x:c r="C200" s="12" t="str">
        <x:v>法国旧法郎</x:v>
      </x:c>
      <x:c r="D200" s="24" t="n">
        <x:v>48.015</x:v>
      </x:c>
      <x:c r="E200" s="20" t="str">
        <x:v>LCU/USD</x:v>
      </x:c>
      <x:c r="F200" s="20" t="n">
        <x:v>1</x:v>
      </x:c>
      <x:c r="G200" s="22" t="n">
        <x:f>IF(E200="LCU/USD",D200*F200,F200/D200)</x:f>
        <x:v>48.015</x:v>
      </x:c>
      <x:c r="H200" s="12" t="str">
        <x:v>部分年度均值</x:v>
      </x:c>
      <x:c r="I200" s="12" t="str">
        <x:v>1940-01-01—1940-06-15</x:v>
      </x:c>
      <x:c r="J200" s="12" t="str">
        <x:v>MW_FR</x:v>
      </x:c>
      <x:c r="K200" s="12" t="str">
        <x:v>https://www.measuringworth.com/datasets/exchangeglobal/result.php?countryE%5B%5D=France&amp;year_result=1940&amp;year_source=1920</x:v>
      </x:c>
      <x:c r="L200" s="12" t="str">
        <x:v>纽约报价在该年06-15后中断；不是完整全年均值。</x:v>
      </x:c>
      <x:c r="M200" s="12" t="str">
        <x:v>B：学术历史汇编</x:v>
      </x:c>
    </x:row>
    <x:row r="201" ht="72" customHeight="1">
      <x:c r="A201" t="n">
        <x:v>1940</x:v>
      </x:c>
      <x:c r="B201" t="str">
        <x:v>DE</x:v>
      </x:c>
      <x:c r="C201" s="12" t="str">
        <x:v>帝国马克（Reichsmark）</x:v>
      </x:c>
      <x:c r="D201" s="24" t="n">
        <x:v>2.5</x:v>
      </x:c>
      <x:c r="E201" s="20" t="str">
        <x:v>LCU/USD</x:v>
      </x:c>
      <x:c r="F201" s="20" t="n">
        <x:v>1</x:v>
      </x:c>
      <x:c r="G201" s="22" t="n">
        <x:f>IF(E201="LCU/USD",D201*F201,F201/D201)</x:f>
        <x:v>2.5</x:v>
      </x:c>
      <x:c r="H201" s="12" t="str">
        <x:v>年均</x:v>
      </x:c>
      <x:c r="I201" s="12" t="str">
        <x:v>1940-01-01—1940-12-31</x:v>
      </x:c>
      <x:c r="J201" s="12" t="str">
        <x:v>UCSB_DE</x:v>
      </x:c>
      <x:c r="K201" s="12" t="str">
        <x:v>https://marcuse.faculty.history.ucsb.edu/projects/currency.htm</x:v>
      </x:c>
      <x:c r="L201" s="12" t="str"/>
      <x:c r="M201" s="12" t="str">
        <x:v>B：大学页面转录</x:v>
      </x:c>
    </x:row>
    <x:row r="202" ht="72" customHeight="1">
      <x:c r="A202" t="n">
        <x:v>1940</x:v>
      </x:c>
      <x:c r="B202" t="str">
        <x:v>IT</x:v>
      </x:c>
      <x:c r="C202" s="12" t="str">
        <x:v>意大利里拉（ITL）</x:v>
      </x:c>
      <x:c r="D202" s="24" t="n">
        <x:v>5.0407</x:v>
      </x:c>
      <x:c r="E202" s="20" t="str">
        <x:v>US cents/LCU</x:v>
      </x:c>
      <x:c r="F202" s="20" t="n">
        <x:f>'币制说明'!$C$25</x:f>
        <x:v>100</x:v>
      </x:c>
      <x:c r="G202" s="22" t="n">
        <x:f>IF(E202="LCU/USD",D202*F202,F202/D202)</x:f>
        <x:v>19.838514492034836</x:v>
      </x:c>
      <x:c r="H202" s="12" t="str">
        <x:v>年均</x:v>
      </x:c>
      <x:c r="I202" s="12" t="str">
        <x:v>1940-01-01—1940-12-31</x:v>
      </x:c>
      <x:c r="J202" s="12" t="str">
        <x:v>FRASER_IT</x:v>
      </x:c>
      <x:c r="K202" s="12" t="str">
        <x:v>https://fraser.stlouisfed.org/title/banking-monetary-statistics-1914-1941-38/part-i-6408/fulltext</x:v>
      </x:c>
      <x:c r="L202" s="12" t="str">
        <x:v>纽约报价；由美分／里拉的年均报价取倒数，非里拉／美元逐日均值。 反向值由原报价均值取倒数；不等于反向日度汇率的算术平均。</x:v>
      </x:c>
      <x:c r="M202" s="12" t="str">
        <x:v>A：机构统计／原始统计表</x:v>
      </x:c>
    </x:row>
    <x:row r="203" ht="72" customHeight="1">
      <x:c r="A203" t="n">
        <x:v>1940</x:v>
      </x:c>
      <x:c r="B203" t="str">
        <x:v>JPY</x:v>
      </x:c>
      <x:c r="C203" s="12" t="str">
        <x:v>日元（JPY）</x:v>
      </x:c>
      <x:c r="D203" s="24" t="n">
        <x:v>4.27</x:v>
      </x:c>
      <x:c r="E203" s="20" t="str">
        <x:v>LCU/USD</x:v>
      </x:c>
      <x:c r="F203" s="20" t="n">
        <x:v>1</x:v>
      </x:c>
      <x:c r="G203" s="22" t="n">
        <x:f>IF(E203="LCU/USD",D203*F203,F203/D203)</x:f>
        <x:v>4.27</x:v>
      </x:c>
      <x:c r="H203" s="12" t="str">
        <x:v>年均</x:v>
      </x:c>
      <x:c r="I203" s="12" t="str">
        <x:v>1940-01-01—1940-12-31</x:v>
      </x:c>
      <x:c r="J203" s="12" t="str">
        <x:v>MW_JPY</x:v>
      </x:c>
      <x:c r="K203" s="12" t="str">
        <x:v>https://www.measuringworth.com/datasets/exchangeglobal/result.php?countryE%5B%5D=Japan&amp;year_result=2016&amp;year_source=1916</x:v>
      </x:c>
      <x:c r="L203" s="12" t="str"/>
      <x:c r="M203" s="12" t="str">
        <x:v>B：学术历史汇编</x:v>
      </x:c>
    </x:row>
    <x:row r="204" ht="72" customHeight="1">
      <x:c r="A204" t="n">
        <x:v>1940</x:v>
      </x:c>
      <x:c r="B204" t="str">
        <x:v>CHF</x:v>
      </x:c>
      <x:c r="C204" s="12" t="str">
        <x:v>瑞士法郎（CHF）</x:v>
      </x:c>
      <x:c r="D204" s="24" t="n">
        <x:v>4.41</x:v>
      </x:c>
      <x:c r="E204" s="20" t="str">
        <x:v>LCU/USD</x:v>
      </x:c>
      <x:c r="F204" s="20" t="n">
        <x:v>1</x:v>
      </x:c>
      <x:c r="G204" s="22" t="n">
        <x:f>IF(E204="LCU/USD",D204*F204,F204/D204)</x:f>
        <x:v>4.41</x:v>
      </x:c>
      <x:c r="H204" s="12" t="str">
        <x:v>年均</x:v>
      </x:c>
      <x:c r="I204" s="12" t="str">
        <x:v>1940-01-01—1940-12-31</x:v>
      </x:c>
      <x:c r="J204" s="12" t="str">
        <x:v>MW_CHF</x:v>
      </x:c>
      <x:c r="K204" s="12" t="str">
        <x:v>https://www.measuringworth.com/datasets/exchangeglobal/result.php?countryE%5B%5D=Switzerland&amp;year_result=1955&amp;year_source=1905</x:v>
      </x:c>
      <x:c r="L204" s="12" t="str"/>
      <x:c r="M204" s="12" t="str">
        <x:v>B：学术历史汇编</x:v>
      </x:c>
    </x:row>
    <x:row r="205" ht="72" customHeight="1">
      <x:c r="A205" t="n">
        <x:v>1940</x:v>
      </x:c>
      <x:c r="B205" t="str">
        <x:v>INR</x:v>
      </x:c>
      <x:c r="C205" s="12" t="str">
        <x:v>英属印度卢比</x:v>
      </x:c>
      <x:c r="D205" s="24" t="n">
        <x:v>3.32</x:v>
      </x:c>
      <x:c r="E205" s="20" t="str">
        <x:v>LCU/USD</x:v>
      </x:c>
      <x:c r="F205" s="20" t="n">
        <x:v>1</x:v>
      </x:c>
      <x:c r="G205" s="22" t="n">
        <x:f>IF(E205="LCU/USD",D205*F205,F205/D205)</x:f>
        <x:v>3.32</x:v>
      </x:c>
      <x:c r="H205" s="12" t="str">
        <x:v>年均</x:v>
      </x:c>
      <x:c r="I205" s="12" t="str">
        <x:v>1940-01-01—1940-12-31</x:v>
      </x:c>
      <x:c r="J205" s="12" t="str">
        <x:v>MW_INR</x:v>
      </x:c>
      <x:c r="K205" s="12" t="str">
        <x:v>https://www.measuringworth.com/datasets/exchangeglobal/result.php?countryE%5B%5D=India&amp;year_result=1948&amp;year_source=1916</x:v>
      </x:c>
      <x:c r="L205" s="12" t="str"/>
      <x:c r="M205" s="12" t="str">
        <x:v>B：学术历史汇编</x:v>
      </x:c>
    </x:row>
    <x:row r="206" ht="72" customHeight="1">
      <x:c r="A206" t="n">
        <x:v>1940</x:v>
      </x:c>
      <x:c r="B206" t="str">
        <x:v>RUB</x:v>
      </x:c>
      <x:c r="C206" s="12" t="str">
        <x:v>苏联卢布（1924币制）</x:v>
      </x:c>
      <x:c r="D206" s="24" t="n">
        <x:v>5.3</x:v>
      </x:c>
      <x:c r="E206" s="20" t="str">
        <x:v>LCU/USD</x:v>
      </x:c>
      <x:c r="F206" s="20" t="n">
        <x:v>1</x:v>
      </x:c>
      <x:c r="G206" s="22" t="n">
        <x:f>IF(E206="LCU/USD",D206*F206,F206/D206)</x:f>
        <x:v>5.3</x:v>
      </x:c>
      <x:c r="H206" s="12" t="str">
        <x:v>官价区间参考（非年均）</x:v>
      </x:c>
      <x:c r="I206" s="12" t="str">
        <x:v>1937-07-19—1950-02-01</x:v>
      </x:c>
      <x:c r="J206" s="12" t="str">
        <x:v>SUR_OFFICIAL_SECONDARY</x:v>
      </x:c>
      <x:c r="K206" s="12" t="str">
        <x:v>https://en.wikipedia.org/wiki/Soviet_ruble#Exchange_rates</x:v>
      </x:c>
      <x:c r="L206" s="12" t="str">
        <x:v>源表同一官价覆盖的区间内年份；非逐年独立观测。只代表官方折算，非市场成交或购买力；原档案未复核。</x:v>
      </x:c>
      <x:c r="M206" s="12" t="str">
        <x:v>C：二手转引（原档未复核）</x:v>
      </x:c>
    </x:row>
    <x:row r="207" ht="72" customHeight="1">
      <x:c r="A207" t="n">
        <x:v>1940</x:v>
      </x:c>
      <x:c r="B207" t="str">
        <x:v>CNY</x:v>
      </x:c>
      <x:c r="C207" s="12" t="str">
        <x:v>法币元</x:v>
      </x:c>
      <x:c r="D207" s="24" t="n">
        <x:v>5.9998</x:v>
      </x:c>
      <x:c r="E207" s="20" t="str">
        <x:v>US cents/LCU</x:v>
      </x:c>
      <x:c r="F207" s="20" t="n">
        <x:f>'币制说明'!$C$25</x:f>
        <x:v>100</x:v>
      </x:c>
      <x:c r="G207" s="22" t="n">
        <x:f>IF(E207="LCU/USD",D207*F207,F207/D207)</x:f>
        <x:v>16.66722224074136</x:v>
      </x:c>
      <x:c r="H207" s="12" t="str">
        <x:v>年均</x:v>
      </x:c>
      <x:c r="I207" s="12" t="str">
        <x:v>1940-01-01—1940-12-31</x:v>
      </x:c>
      <x:c r="J207" s="12" t="str">
        <x:v>FRASER_CN</x:v>
      </x:c>
      <x:c r="K207" s="12" t="str">
        <x:v>https://fraser.stlouisfed.org/title/banking-monetary-statistics-1914-1941-38/part-i-6408/fulltext</x:v>
      </x:c>
      <x:c r="L207" s="12" t="str">
        <x:v>纽约报价；100÷美分年均报价；不同币制年份单位见实际币名表，并非全国统一零售兑换价。 原表带名义报价标记；不可当作自由市场可成交价。 反向值由原报价均值取倒数；不等于反向日度汇率的算术平均。</x:v>
      </x:c>
      <x:c r="M207" s="12" t="str">
        <x:v>A：机构统计／原始统计表</x:v>
      </x:c>
    </x:row>
    <x:row r="208" ht="72" customHeight="1">
      <x:c r="A208" t="n">
        <x:v>1941</x:v>
      </x:c>
      <x:c r="B208" t="str">
        <x:v>GBP</x:v>
      </x:c>
      <x:c r="C208" s="12" t="str">
        <x:v>英镑（GBP）</x:v>
      </x:c>
      <x:c r="D208" s="24" t="n">
        <x:v>0.248</x:v>
      </x:c>
      <x:c r="E208" s="20" t="str">
        <x:v>LCU/USD</x:v>
      </x:c>
      <x:c r="F208" s="20" t="n">
        <x:v>1</x:v>
      </x:c>
      <x:c r="G208" s="22" t="n">
        <x:f>IF(E208="LCU/USD",D208*F208,F208/D208)</x:f>
        <x:v>0.248</x:v>
      </x:c>
      <x:c r="H208" s="12" t="str">
        <x:v>年均</x:v>
      </x:c>
      <x:c r="I208" s="12" t="str">
        <x:v>1941-01-01—1941-12-31</x:v>
      </x:c>
      <x:c r="J208" s="12" t="str">
        <x:v>MW_GBP</x:v>
      </x:c>
      <x:c r="K208" s="12" t="str">
        <x:v>https://www.measuringworth.com/datasets/exchangeglobal/result.php?countryE%5B%5D=United+Kingdom&amp;year_result=2007&amp;year_source=1791</x:v>
      </x:c>
      <x:c r="L208" s="12" t="str"/>
      <x:c r="M208" s="12" t="str">
        <x:v>B：学术历史汇编</x:v>
      </x:c>
    </x:row>
    <x:row r="209" ht="72" customHeight="1">
      <x:c r="A209" t="n">
        <x:v>1941</x:v>
      </x:c>
      <x:c r="B209" t="str">
        <x:v>CAD</x:v>
      </x:c>
      <x:c r="C209" s="12" t="str">
        <x:v>加拿大元（CAD）</x:v>
      </x:c>
      <x:c r="D209" s="24" t="n">
        <x:v>1.1449</x:v>
      </x:c>
      <x:c r="E209" s="20" t="str">
        <x:v>LCU/USD</x:v>
      </x:c>
      <x:c r="F209" s="20" t="n">
        <x:v>1</x:v>
      </x:c>
      <x:c r="G209" s="22" t="n">
        <x:f>IF(E209="LCU/USD",D209*F209,F209/D209)</x:f>
        <x:v>1.1449</x:v>
      </x:c>
      <x:c r="H209" s="12" t="str">
        <x:v>年均</x:v>
      </x:c>
      <x:c r="I209" s="12" t="str">
        <x:v>1941-01-01—1941-12-31</x:v>
      </x:c>
      <x:c r="J209" s="12" t="str">
        <x:v>MW_CAD</x:v>
      </x:c>
      <x:c r="K209" s="12" t="str">
        <x:v>https://www.measuringworth.com/datasets/exchangeglobal/result.php?countryE%5B%5D=Canada&amp;year_result=2007&amp;year_source=1913</x:v>
      </x:c>
      <x:c r="L209" s="12" t="str"/>
      <x:c r="M209" s="12" t="str">
        <x:v>B：学术历史汇编</x:v>
      </x:c>
    </x:row>
    <x:row r="210" ht="72" customHeight="1">
      <x:c r="A210" t="n">
        <x:v>1941</x:v>
      </x:c>
      <x:c r="B210" t="str">
        <x:v>DE</x:v>
      </x:c>
      <x:c r="C210" s="12" t="str">
        <x:v>帝国马克（Reichsmark）</x:v>
      </x:c>
      <x:c r="D210" s="24" t="n">
        <x:v>2.5</x:v>
      </x:c>
      <x:c r="E210" s="20" t="str">
        <x:v>LCU/USD</x:v>
      </x:c>
      <x:c r="F210" s="20" t="n">
        <x:v>1</x:v>
      </x:c>
      <x:c r="G210" s="22" t="n">
        <x:f>IF(E210="LCU/USD",D210*F210,F210/D210)</x:f>
        <x:v>2.5</x:v>
      </x:c>
      <x:c r="H210" s="12" t="str">
        <x:v>部分年度均值</x:v>
      </x:c>
      <x:c r="I210" s="12" t="str">
        <x:v>1941-01-01—1941-06-14</x:v>
      </x:c>
      <x:c r="J210" s="12" t="str">
        <x:v>UCSB_DE</x:v>
      </x:c>
      <x:c r="K210" s="12" t="str">
        <x:v>https://marcuse.faculty.history.ucsb.edu/projects/currency.htm</x:v>
      </x:c>
      <x:c r="L210" s="12" t="str">
        <x:v>纽约报价至1941-06-14，非完整全年；管制官价不代表自由可兑换。</x:v>
      </x:c>
      <x:c r="M210" s="12" t="str">
        <x:v>B：大学页面转录</x:v>
      </x:c>
    </x:row>
    <x:row r="211" ht="72" customHeight="1">
      <x:c r="A211" t="n">
        <x:v>1941</x:v>
      </x:c>
      <x:c r="B211" t="str">
        <x:v>IT</x:v>
      </x:c>
      <x:c r="C211" s="12" t="str">
        <x:v>意大利里拉（ITL）</x:v>
      </x:c>
      <x:c r="D211" s="24" t="n">
        <x:v>5.0703</x:v>
      </x:c>
      <x:c r="E211" s="20" t="str">
        <x:v>US cents/LCU</x:v>
      </x:c>
      <x:c r="F211" s="20" t="n">
        <x:f>'币制说明'!$C$25</x:f>
        <x:v>100</x:v>
      </x:c>
      <x:c r="G211" s="22" t="n">
        <x:f>IF(E211="LCU/USD",D211*F211,F211/D211)</x:f>
        <x:v>19.722698854111197</x:v>
      </x:c>
      <x:c r="H211" s="12" t="str">
        <x:v>年内部分期间均值</x:v>
      </x:c>
      <x:c r="I211" s="12" t="str">
        <x:v>1941-01-01—1941-06-14</x:v>
      </x:c>
      <x:c r="J211" s="12" t="str">
        <x:v>FRASER_IT</x:v>
      </x:c>
      <x:c r="K211" s="12" t="str">
        <x:v>https://fraser.stlouisfed.org/title/banking-monetary-statistics-1914-1941-38/part-i-6408/fulltext</x:v>
      </x:c>
      <x:c r="L211" s="12" t="str">
        <x:v>纽约报价；由美分／里拉的年均报价取倒数，非里拉／美元逐日均值。 原表1941年截至6月14日。 反向值由原报价均值取倒数；不等于反向日度汇率的算术平均。</x:v>
      </x:c>
      <x:c r="M211" s="12" t="str">
        <x:v>A：机构统计／原始统计表</x:v>
      </x:c>
    </x:row>
    <x:row r="212" ht="72" customHeight="1">
      <x:c r="A212" t="n">
        <x:v>1941</x:v>
      </x:c>
      <x:c r="B212" t="str">
        <x:v>JPY</x:v>
      </x:c>
      <x:c r="C212" s="12" t="str">
        <x:v>日元（JPY）</x:v>
      </x:c>
      <x:c r="D212" s="24" t="n">
        <x:v>4.27</x:v>
      </x:c>
      <x:c r="E212" s="20" t="str">
        <x:v>LCU/USD</x:v>
      </x:c>
      <x:c r="F212" s="20" t="n">
        <x:v>1</x:v>
      </x:c>
      <x:c r="G212" s="22" t="n">
        <x:f>IF(E212="LCU/USD",D212*F212,F212/D212)</x:f>
        <x:v>4.27</x:v>
      </x:c>
      <x:c r="H212" s="12" t="str">
        <x:v>部分年度均值</x:v>
      </x:c>
      <x:c r="I212" s="12" t="str">
        <x:v>1941-01-01—1941-07-26</x:v>
      </x:c>
      <x:c r="J212" s="12" t="str">
        <x:v>MW_JPY</x:v>
      </x:c>
      <x:c r="K212" s="12" t="str">
        <x:v>https://www.measuringworth.com/datasets/exchangeglobal/result.php?countryE%5B%5D=Japan&amp;year_result=2016&amp;year_source=1916</x:v>
      </x:c>
      <x:c r="L212" s="12" t="str">
        <x:v>纽约报价在该年07-26后中断；不是完整全年均值。</x:v>
      </x:c>
      <x:c r="M212" s="12" t="str">
        <x:v>B：学术历史汇编</x:v>
      </x:c>
    </x:row>
    <x:row r="213" ht="72" customHeight="1">
      <x:c r="A213" t="n">
        <x:v>1941</x:v>
      </x:c>
      <x:c r="B213" t="str">
        <x:v>CHF</x:v>
      </x:c>
      <x:c r="C213" s="12" t="str">
        <x:v>瑞士法郎（CHF）</x:v>
      </x:c>
      <x:c r="D213" s="24" t="n">
        <x:v>4.3086</x:v>
      </x:c>
      <x:c r="E213" s="20" t="str">
        <x:v>LCU/USD</x:v>
      </x:c>
      <x:c r="F213" s="20" t="n">
        <x:v>1</x:v>
      </x:c>
      <x:c r="G213" s="22" t="n">
        <x:f>IF(E213="LCU/USD",D213*F213,F213/D213)</x:f>
        <x:v>4.3086</x:v>
      </x:c>
      <x:c r="H213" s="12" t="str">
        <x:v>部分年度均值</x:v>
      </x:c>
      <x:c r="I213" s="12" t="str">
        <x:v>1941-01-01—1941-06-14</x:v>
      </x:c>
      <x:c r="J213" s="12" t="str">
        <x:v>MW_CHF</x:v>
      </x:c>
      <x:c r="K213" s="12" t="str">
        <x:v>https://www.measuringworth.com/datasets/exchangeglobal/result.php?countryE%5B%5D=Switzerland&amp;year_result=1955&amp;year_source=1905</x:v>
      </x:c>
      <x:c r="L213" s="12" t="str">
        <x:v>纽约报价在该年06-14后中断；不是完整全年均值。</x:v>
      </x:c>
      <x:c r="M213" s="12" t="str">
        <x:v>B：学术历史汇编</x:v>
      </x:c>
    </x:row>
    <x:row r="214" ht="72" customHeight="1">
      <x:c r="A214" t="n">
        <x:v>1941</x:v>
      </x:c>
      <x:c r="B214" t="str">
        <x:v>INR</x:v>
      </x:c>
      <x:c r="C214" s="12" t="str">
        <x:v>英属印度卢比</x:v>
      </x:c>
      <x:c r="D214" s="24" t="n">
        <x:v>3.32</x:v>
      </x:c>
      <x:c r="E214" s="20" t="str">
        <x:v>LCU/USD</x:v>
      </x:c>
      <x:c r="F214" s="20" t="n">
        <x:v>1</x:v>
      </x:c>
      <x:c r="G214" s="22" t="n">
        <x:f>IF(E214="LCU/USD",D214*F214,F214/D214)</x:f>
        <x:v>3.32</x:v>
      </x:c>
      <x:c r="H214" s="12" t="str">
        <x:v>年均</x:v>
      </x:c>
      <x:c r="I214" s="12" t="str">
        <x:v>1941-01-01—1941-12-31</x:v>
      </x:c>
      <x:c r="J214" s="12" t="str">
        <x:v>MW_INR</x:v>
      </x:c>
      <x:c r="K214" s="12" t="str">
        <x:v>https://www.measuringworth.com/datasets/exchangeglobal/result.php?countryE%5B%5D=India&amp;year_result=1948&amp;year_source=1916</x:v>
      </x:c>
      <x:c r="L214" s="12" t="str"/>
      <x:c r="M214" s="12" t="str">
        <x:v>B：学术历史汇编</x:v>
      </x:c>
    </x:row>
    <x:row r="215" ht="72" customHeight="1">
      <x:c r="A215" t="n">
        <x:v>1941</x:v>
      </x:c>
      <x:c r="B215" t="str">
        <x:v>RUB</x:v>
      </x:c>
      <x:c r="C215" s="12" t="str">
        <x:v>苏联卢布（1924币制）</x:v>
      </x:c>
      <x:c r="D215" s="24" t="n">
        <x:v>5.3</x:v>
      </x:c>
      <x:c r="E215" s="20" t="str">
        <x:v>LCU/USD</x:v>
      </x:c>
      <x:c r="F215" s="20" t="n">
        <x:v>1</x:v>
      </x:c>
      <x:c r="G215" s="22" t="n">
        <x:f>IF(E215="LCU/USD",D215*F215,F215/D215)</x:f>
        <x:v>5.3</x:v>
      </x:c>
      <x:c r="H215" s="12" t="str">
        <x:v>官价区间参考（非年均）</x:v>
      </x:c>
      <x:c r="I215" s="12" t="str">
        <x:v>1937-07-19—1950-02-01</x:v>
      </x:c>
      <x:c r="J215" s="12" t="str">
        <x:v>SUR_OFFICIAL_SECONDARY</x:v>
      </x:c>
      <x:c r="K215" s="12" t="str">
        <x:v>https://en.wikipedia.org/wiki/Soviet_ruble#Exchange_rates</x:v>
      </x:c>
      <x:c r="L215" s="12" t="str">
        <x:v>源表同一官价覆盖的区间内年份；非逐年独立观测。只代表官方折算，非市场成交或购买力；原档案未复核。</x:v>
      </x:c>
      <x:c r="M215" s="12" t="str">
        <x:v>C：二手转引（原档未复核）</x:v>
      </x:c>
    </x:row>
    <x:row r="216" ht="72" customHeight="1">
      <x:c r="A216" t="n">
        <x:v>1941</x:v>
      </x:c>
      <x:c r="B216" t="str">
        <x:v>CNY</x:v>
      </x:c>
      <x:c r="C216" s="12" t="str">
        <x:v>法币元</x:v>
      </x:c>
      <x:c r="D216" s="24" t="n">
        <x:v>5.3133</x:v>
      </x:c>
      <x:c r="E216" s="20" t="str">
        <x:v>US cents/LCU</x:v>
      </x:c>
      <x:c r="F216" s="20" t="n">
        <x:f>'币制说明'!$C$25</x:f>
        <x:v>100</x:v>
      </x:c>
      <x:c r="G216" s="22" t="n">
        <x:f>IF(E216="LCU/USD",D216*F216,F216/D216)</x:f>
        <x:v>18.820695236482035</x:v>
      </x:c>
      <x:c r="H216" s="12" t="str">
        <x:v>年内部分期间均值</x:v>
      </x:c>
      <x:c r="I216" s="12" t="str">
        <x:v>1941-01-01—1941-07-25</x:v>
      </x:c>
      <x:c r="J216" s="12" t="str">
        <x:v>FRASER_CN</x:v>
      </x:c>
      <x:c r="K216" s="12" t="str">
        <x:v>https://fraser.stlouisfed.org/title/banking-monetary-statistics-1914-1941-38/part-i-6408/fulltext</x:v>
      </x:c>
      <x:c r="L216" s="12" t="str">
        <x:v>原表注释：纽约报价只到7月25日；含至少部分日期为名义报价。 反向值由原报价均值取倒数；不等于反向日度汇率的算术平均。</x:v>
      </x:c>
      <x:c r="M216" s="12" t="str">
        <x:v>A：机构统计／原始统计表</x:v>
      </x:c>
    </x:row>
    <x:row r="217" ht="72" customHeight="1">
      <x:c r="A217" t="n">
        <x:v>1942</x:v>
      </x:c>
      <x:c r="B217" t="str">
        <x:v>GBP</x:v>
      </x:c>
      <x:c r="C217" s="12" t="str">
        <x:v>英镑（GBP）</x:v>
      </x:c>
      <x:c r="D217" s="24" t="n">
        <x:v>0.2478</x:v>
      </x:c>
      <x:c r="E217" s="20" t="str">
        <x:v>LCU/USD</x:v>
      </x:c>
      <x:c r="F217" s="20" t="n">
        <x:v>1</x:v>
      </x:c>
      <x:c r="G217" s="22" t="n">
        <x:f>IF(E217="LCU/USD",D217*F217,F217/D217)</x:f>
        <x:v>0.2478</x:v>
      </x:c>
      <x:c r="H217" s="12" t="str">
        <x:v>年均</x:v>
      </x:c>
      <x:c r="I217" s="12" t="str">
        <x:v>1942-01-01—1942-12-31</x:v>
      </x:c>
      <x:c r="J217" s="12" t="str">
        <x:v>MW_GBP</x:v>
      </x:c>
      <x:c r="K217" s="12" t="str">
        <x:v>https://www.measuringworth.com/datasets/exchangeglobal/result.php?countryE%5B%5D=United+Kingdom&amp;year_result=2007&amp;year_source=1791</x:v>
      </x:c>
      <x:c r="L217" s="12" t="str"/>
      <x:c r="M217" s="12" t="str">
        <x:v>B：学术历史汇编</x:v>
      </x:c>
    </x:row>
    <x:row r="218" ht="72" customHeight="1">
      <x:c r="A218" t="n">
        <x:v>1942</x:v>
      </x:c>
      <x:c r="B218" t="str">
        <x:v>INR</x:v>
      </x:c>
      <x:c r="C218" s="12" t="str">
        <x:v>英属印度卢比</x:v>
      </x:c>
      <x:c r="D218" s="24" t="n">
        <x:v>3.32</x:v>
      </x:c>
      <x:c r="E218" s="20" t="str">
        <x:v>LCU/USD</x:v>
      </x:c>
      <x:c r="F218" s="20" t="n">
        <x:v>1</x:v>
      </x:c>
      <x:c r="G218" s="22" t="n">
        <x:f>IF(E218="LCU/USD",D218*F218,F218/D218)</x:f>
        <x:v>3.32</x:v>
      </x:c>
      <x:c r="H218" s="12" t="str">
        <x:v>年均</x:v>
      </x:c>
      <x:c r="I218" s="12" t="str">
        <x:v>1942-01-01—1942-12-31</x:v>
      </x:c>
      <x:c r="J218" s="12" t="str">
        <x:v>MW_INR</x:v>
      </x:c>
      <x:c r="K218" s="12" t="str">
        <x:v>https://www.measuringworth.com/datasets/exchangeglobal/result.php?countryE%5B%5D=India&amp;year_result=1948&amp;year_source=1916</x:v>
      </x:c>
      <x:c r="L218" s="12" t="str"/>
      <x:c r="M218" s="12" t="str">
        <x:v>B：学术历史汇编</x:v>
      </x:c>
    </x:row>
    <x:row r="219" ht="72" customHeight="1">
      <x:c r="A219" t="n">
        <x:v>1942</x:v>
      </x:c>
      <x:c r="B219" t="str">
        <x:v>RUB</x:v>
      </x:c>
      <x:c r="C219" s="12" t="str">
        <x:v>苏联卢布（1924币制）</x:v>
      </x:c>
      <x:c r="D219" s="24" t="n">
        <x:v>5.3</x:v>
      </x:c>
      <x:c r="E219" s="20" t="str">
        <x:v>LCU/USD</x:v>
      </x:c>
      <x:c r="F219" s="20" t="n">
        <x:v>1</x:v>
      </x:c>
      <x:c r="G219" s="22" t="n">
        <x:f>IF(E219="LCU/USD",D219*F219,F219/D219)</x:f>
        <x:v>5.3</x:v>
      </x:c>
      <x:c r="H219" s="12" t="str">
        <x:v>官价区间参考（非年均）</x:v>
      </x:c>
      <x:c r="I219" s="12" t="str">
        <x:v>1937-07-19—1950-02-01</x:v>
      </x:c>
      <x:c r="J219" s="12" t="str">
        <x:v>SUR_OFFICIAL_SECONDARY</x:v>
      </x:c>
      <x:c r="K219" s="12" t="str">
        <x:v>https://en.wikipedia.org/wiki/Soviet_ruble#Exchange_rates</x:v>
      </x:c>
      <x:c r="L219" s="12" t="str">
        <x:v>源表同一官价覆盖的区间内年份；非逐年独立观测。只代表官方折算，非市场成交或购买力；原档案未复核。</x:v>
      </x:c>
      <x:c r="M219" s="12" t="str">
        <x:v>C：二手转引（原档未复核）</x:v>
      </x:c>
    </x:row>
    <x:row r="220" ht="72" customHeight="1">
      <x:c r="A220" t="n">
        <x:v>1943</x:v>
      </x:c>
      <x:c r="B220" t="str">
        <x:v>GBP</x:v>
      </x:c>
      <x:c r="C220" s="12" t="str">
        <x:v>英镑（GBP）</x:v>
      </x:c>
      <x:c r="D220" s="24" t="n">
        <x:v>0.2478</x:v>
      </x:c>
      <x:c r="E220" s="20" t="str">
        <x:v>LCU/USD</x:v>
      </x:c>
      <x:c r="F220" s="20" t="n">
        <x:v>1</x:v>
      </x:c>
      <x:c r="G220" s="22" t="n">
        <x:f>IF(E220="LCU/USD",D220*F220,F220/D220)</x:f>
        <x:v>0.2478</x:v>
      </x:c>
      <x:c r="H220" s="12" t="str">
        <x:v>年均</x:v>
      </x:c>
      <x:c r="I220" s="12" t="str">
        <x:v>1943-01-01—1943-12-31</x:v>
      </x:c>
      <x:c r="J220" s="12" t="str">
        <x:v>MW_GBP</x:v>
      </x:c>
      <x:c r="K220" s="12" t="str">
        <x:v>https://www.measuringworth.com/datasets/exchangeglobal/result.php?countryE%5B%5D=United+Kingdom&amp;year_result=2007&amp;year_source=1791</x:v>
      </x:c>
      <x:c r="L220" s="12" t="str"/>
      <x:c r="M220" s="12" t="str">
        <x:v>B：学术历史汇编</x:v>
      </x:c>
    </x:row>
    <x:row r="221" ht="72" customHeight="1">
      <x:c r="A221" t="n">
        <x:v>1943</x:v>
      </x:c>
      <x:c r="B221" t="str">
        <x:v>INR</x:v>
      </x:c>
      <x:c r="C221" s="12" t="str">
        <x:v>英属印度卢比</x:v>
      </x:c>
      <x:c r="D221" s="24" t="n">
        <x:v>3.32</x:v>
      </x:c>
      <x:c r="E221" s="20" t="str">
        <x:v>LCU/USD</x:v>
      </x:c>
      <x:c r="F221" s="20" t="n">
        <x:v>1</x:v>
      </x:c>
      <x:c r="G221" s="22" t="n">
        <x:f>IF(E221="LCU/USD",D221*F221,F221/D221)</x:f>
        <x:v>3.32</x:v>
      </x:c>
      <x:c r="H221" s="12" t="str">
        <x:v>年均</x:v>
      </x:c>
      <x:c r="I221" s="12" t="str">
        <x:v>1943-01-01—1943-12-31</x:v>
      </x:c>
      <x:c r="J221" s="12" t="str">
        <x:v>MW_INR</x:v>
      </x:c>
      <x:c r="K221" s="12" t="str">
        <x:v>https://www.measuringworth.com/datasets/exchangeglobal/result.php?countryE%5B%5D=India&amp;year_result=1948&amp;year_source=1916</x:v>
      </x:c>
      <x:c r="L221" s="12" t="str"/>
      <x:c r="M221" s="12" t="str">
        <x:v>B：学术历史汇编</x:v>
      </x:c>
    </x:row>
    <x:row r="222" ht="72" customHeight="1">
      <x:c r="A222" t="n">
        <x:v>1943</x:v>
      </x:c>
      <x:c r="B222" t="str">
        <x:v>RUB</x:v>
      </x:c>
      <x:c r="C222" s="12" t="str">
        <x:v>苏联卢布（1924币制）</x:v>
      </x:c>
      <x:c r="D222" s="24" t="n">
        <x:v>5.3</x:v>
      </x:c>
      <x:c r="E222" s="20" t="str">
        <x:v>LCU/USD</x:v>
      </x:c>
      <x:c r="F222" s="20" t="n">
        <x:v>1</x:v>
      </x:c>
      <x:c r="G222" s="22" t="n">
        <x:f>IF(E222="LCU/USD",D222*F222,F222/D222)</x:f>
        <x:v>5.3</x:v>
      </x:c>
      <x:c r="H222" s="12" t="str">
        <x:v>官价区间参考（非年均）</x:v>
      </x:c>
      <x:c r="I222" s="12" t="str">
        <x:v>1937-07-19—1950-02-01</x:v>
      </x:c>
      <x:c r="J222" s="12" t="str">
        <x:v>SUR_OFFICIAL_SECONDARY</x:v>
      </x:c>
      <x:c r="K222" s="12" t="str">
        <x:v>https://en.wikipedia.org/wiki/Soviet_ruble#Exchange_rates</x:v>
      </x:c>
      <x:c r="L222" s="12" t="str">
        <x:v>源表同一官价覆盖的区间内年份；非逐年独立观测。只代表官方折算，非市场成交或购买力；原档案未复核。</x:v>
      </x:c>
      <x:c r="M222" s="12" t="str">
        <x:v>C：二手转引（原档未复核）</x:v>
      </x:c>
    </x:row>
    <x:row r="223" ht="72" customHeight="1">
      <x:c r="A223" t="n">
        <x:v>1944</x:v>
      </x:c>
      <x:c r="B223" t="str">
        <x:v>GBP</x:v>
      </x:c>
      <x:c r="C223" s="12" t="str">
        <x:v>英镑（GBP）</x:v>
      </x:c>
      <x:c r="D223" s="24" t="n">
        <x:v>0.2478</x:v>
      </x:c>
      <x:c r="E223" s="20" t="str">
        <x:v>LCU/USD</x:v>
      </x:c>
      <x:c r="F223" s="20" t="n">
        <x:v>1</x:v>
      </x:c>
      <x:c r="G223" s="22" t="n">
        <x:f>IF(E223="LCU/USD",D223*F223,F223/D223)</x:f>
        <x:v>0.2478</x:v>
      </x:c>
      <x:c r="H223" s="12" t="str">
        <x:v>年均</x:v>
      </x:c>
      <x:c r="I223" s="12" t="str">
        <x:v>1944-01-01—1944-12-31</x:v>
      </x:c>
      <x:c r="J223" s="12" t="str">
        <x:v>MW_GBP</x:v>
      </x:c>
      <x:c r="K223" s="12" t="str">
        <x:v>https://www.measuringworth.com/datasets/exchangeglobal/result.php?countryE%5B%5D=United+Kingdom&amp;year_result=2007&amp;year_source=1791</x:v>
      </x:c>
      <x:c r="L223" s="12" t="str"/>
      <x:c r="M223" s="12" t="str">
        <x:v>B：学术历史汇编</x:v>
      </x:c>
    </x:row>
    <x:row r="224" ht="72" customHeight="1">
      <x:c r="A224" t="n">
        <x:v>1944</x:v>
      </x:c>
      <x:c r="B224" t="str">
        <x:v>INR</x:v>
      </x:c>
      <x:c r="C224" s="12" t="str">
        <x:v>英属印度卢比</x:v>
      </x:c>
      <x:c r="D224" s="24" t="n">
        <x:v>3.32</x:v>
      </x:c>
      <x:c r="E224" s="20" t="str">
        <x:v>LCU/USD</x:v>
      </x:c>
      <x:c r="F224" s="20" t="n">
        <x:v>1</x:v>
      </x:c>
      <x:c r="G224" s="22" t="n">
        <x:f>IF(E224="LCU/USD",D224*F224,F224/D224)</x:f>
        <x:v>3.32</x:v>
      </x:c>
      <x:c r="H224" s="12" t="str">
        <x:v>年均</x:v>
      </x:c>
      <x:c r="I224" s="12" t="str">
        <x:v>1944-01-01—1944-12-31</x:v>
      </x:c>
      <x:c r="J224" s="12" t="str">
        <x:v>MW_INR</x:v>
      </x:c>
      <x:c r="K224" s="12" t="str">
        <x:v>https://www.measuringworth.com/datasets/exchangeglobal/result.php?countryE%5B%5D=India&amp;year_result=1948&amp;year_source=1916</x:v>
      </x:c>
      <x:c r="L224" s="12" t="str"/>
      <x:c r="M224" s="12" t="str">
        <x:v>B：学术历史汇编</x:v>
      </x:c>
    </x:row>
    <x:row r="225" ht="72" customHeight="1">
      <x:c r="A225" t="n">
        <x:v>1944</x:v>
      </x:c>
      <x:c r="B225" t="str">
        <x:v>RUB</x:v>
      </x:c>
      <x:c r="C225" s="12" t="str">
        <x:v>苏联卢布（1924币制）</x:v>
      </x:c>
      <x:c r="D225" s="24" t="n">
        <x:v>5.3</x:v>
      </x:c>
      <x:c r="E225" s="20" t="str">
        <x:v>LCU/USD</x:v>
      </x:c>
      <x:c r="F225" s="20" t="n">
        <x:v>1</x:v>
      </x:c>
      <x:c r="G225" s="22" t="n">
        <x:f>IF(E225="LCU/USD",D225*F225,F225/D225)</x:f>
        <x:v>5.3</x:v>
      </x:c>
      <x:c r="H225" s="12" t="str">
        <x:v>官价区间参考（非年均）</x:v>
      </x:c>
      <x:c r="I225" s="12" t="str">
        <x:v>1937-07-19—1950-02-01</x:v>
      </x:c>
      <x:c r="J225" s="12" t="str">
        <x:v>SUR_OFFICIAL_SECONDARY</x:v>
      </x:c>
      <x:c r="K225" s="12" t="str">
        <x:v>https://en.wikipedia.org/wiki/Soviet_ruble#Exchange_rates</x:v>
      </x:c>
      <x:c r="L225" s="12" t="str">
        <x:v>源表同一官价覆盖的区间内年份；非逐年独立观测。只代表官方折算，非市场成交或购买力；原档案未复核。</x:v>
      </x:c>
      <x:c r="M225" s="12" t="str">
        <x:v>C：二手转引（原档未复核）</x:v>
      </x:c>
    </x:row>
    <x:row r="226" ht="72" customHeight="1">
      <x:c r="A226" t="n">
        <x:v>1945</x:v>
      </x:c>
      <x:c r="B226" t="str">
        <x:v>GBP</x:v>
      </x:c>
      <x:c r="C226" s="12" t="str">
        <x:v>英镑（GBP）</x:v>
      </x:c>
      <x:c r="D226" s="24" t="n">
        <x:v>0.2481</x:v>
      </x:c>
      <x:c r="E226" s="20" t="str">
        <x:v>LCU/USD</x:v>
      </x:c>
      <x:c r="F226" s="20" t="n">
        <x:v>1</x:v>
      </x:c>
      <x:c r="G226" s="22" t="n">
        <x:f>IF(E226="LCU/USD",D226*F226,F226/D226)</x:f>
        <x:v>0.2481</x:v>
      </x:c>
      <x:c r="H226" s="12" t="str">
        <x:v>年均</x:v>
      </x:c>
      <x:c r="I226" s="12" t="str">
        <x:v>1945-01-01—1945-12-31</x:v>
      </x:c>
      <x:c r="J226" s="12" t="str">
        <x:v>MW_GBP</x:v>
      </x:c>
      <x:c r="K226" s="12" t="str">
        <x:v>https://www.measuringworth.com/datasets/exchangeglobal/result.php?countryE%5B%5D=United+Kingdom&amp;year_result=2007&amp;year_source=1791</x:v>
      </x:c>
      <x:c r="L226" s="12" t="str"/>
      <x:c r="M226" s="12" t="str">
        <x:v>B：学术历史汇编</x:v>
      </x:c>
    </x:row>
    <x:row r="227" ht="72" customHeight="1">
      <x:c r="A227" t="n">
        <x:v>1945</x:v>
      </x:c>
      <x:c r="B227" t="str">
        <x:v>INR</x:v>
      </x:c>
      <x:c r="C227" s="12" t="str">
        <x:v>英属印度卢比</x:v>
      </x:c>
      <x:c r="D227" s="24" t="n">
        <x:v>3.32</x:v>
      </x:c>
      <x:c r="E227" s="20" t="str">
        <x:v>LCU/USD</x:v>
      </x:c>
      <x:c r="F227" s="20" t="n">
        <x:v>1</x:v>
      </x:c>
      <x:c r="G227" s="22" t="n">
        <x:f>IF(E227="LCU/USD",D227*F227,F227/D227)</x:f>
        <x:v>3.32</x:v>
      </x:c>
      <x:c r="H227" s="12" t="str">
        <x:v>年均</x:v>
      </x:c>
      <x:c r="I227" s="12" t="str">
        <x:v>1945-01-01—1945-12-31</x:v>
      </x:c>
      <x:c r="J227" s="12" t="str">
        <x:v>MW_INR</x:v>
      </x:c>
      <x:c r="K227" s="12" t="str">
        <x:v>https://www.measuringworth.com/datasets/exchangeglobal/result.php?countryE%5B%5D=India&amp;year_result=1948&amp;year_source=1916</x:v>
      </x:c>
      <x:c r="L227" s="12" t="str"/>
      <x:c r="M227" s="12" t="str">
        <x:v>B：学术历史汇编</x:v>
      </x:c>
    </x:row>
    <x:row r="228" ht="72" customHeight="1">
      <x:c r="A228" t="n">
        <x:v>1945</x:v>
      </x:c>
      <x:c r="B228" t="str">
        <x:v>RUB</x:v>
      </x:c>
      <x:c r="C228" s="12" t="str">
        <x:v>苏联卢布（1924币制）</x:v>
      </x:c>
      <x:c r="D228" s="24" t="n">
        <x:v>5.3</x:v>
      </x:c>
      <x:c r="E228" s="20" t="str">
        <x:v>LCU/USD</x:v>
      </x:c>
      <x:c r="F228" s="20" t="n">
        <x:v>1</x:v>
      </x:c>
      <x:c r="G228" s="22" t="n">
        <x:f>IF(E228="LCU/USD",D228*F228,F228/D228)</x:f>
        <x:v>5.3</x:v>
      </x:c>
      <x:c r="H228" s="12" t="str">
        <x:v>官价区间参考（非年均）</x:v>
      </x:c>
      <x:c r="I228" s="12" t="str">
        <x:v>1937-07-19—1950-02-01</x:v>
      </x:c>
      <x:c r="J228" s="12" t="str">
        <x:v>SUR_OFFICIAL_SECONDARY</x:v>
      </x:c>
      <x:c r="K228" s="12" t="str">
        <x:v>https://en.wikipedia.org/wiki/Soviet_ruble#Exchange_rates</x:v>
      </x:c>
      <x:c r="L228" s="12" t="str">
        <x:v>源表同一官价覆盖的区间内年份；非逐年独立观测。只代表官方折算，非市场成交或购买力；原档案未复核。</x:v>
      </x:c>
      <x:c r="M228" s="12" t="str">
        <x:v>C：二手转引（原档未复核）</x:v>
      </x:c>
    </x:row>
    <x:row r="229" ht="72" customHeight="1">
      <x:c r="A229" t="n">
        <x:v>1946</x:v>
      </x:c>
      <x:c r="B229" t="str">
        <x:v>GBP</x:v>
      </x:c>
      <x:c r="C229" s="12" t="str">
        <x:v>英镑（GBP）</x:v>
      </x:c>
      <x:c r="D229" s="24" t="n">
        <x:v>0.248</x:v>
      </x:c>
      <x:c r="E229" s="20" t="str">
        <x:v>LCU/USD</x:v>
      </x:c>
      <x:c r="F229" s="20" t="n">
        <x:v>1</x:v>
      </x:c>
      <x:c r="G229" s="22" t="n">
        <x:f>IF(E229="LCU/USD",D229*F229,F229/D229)</x:f>
        <x:v>0.248</x:v>
      </x:c>
      <x:c r="H229" s="12" t="str">
        <x:v>年均</x:v>
      </x:c>
      <x:c r="I229" s="12" t="str">
        <x:v>1946-01-01—1946-12-31</x:v>
      </x:c>
      <x:c r="J229" s="12" t="str">
        <x:v>MW_GBP</x:v>
      </x:c>
      <x:c r="K229" s="12" t="str">
        <x:v>https://www.measuringworth.com/datasets/exchangeglobal/result.php?countryE%5B%5D=United+Kingdom&amp;year_result=2007&amp;year_source=1791</x:v>
      </x:c>
      <x:c r="L229" s="12" t="str"/>
      <x:c r="M229" s="12" t="str">
        <x:v>B：学术历史汇编</x:v>
      </x:c>
    </x:row>
    <x:row r="230" ht="72" customHeight="1">
      <x:c r="A230" t="n">
        <x:v>1946</x:v>
      </x:c>
      <x:c r="B230" t="str">
        <x:v>CAD</x:v>
      </x:c>
      <x:c r="C230" s="12" t="str">
        <x:v>加拿大元（CAD）</x:v>
      </x:c>
      <x:c r="D230" s="24" t="n">
        <x:v>1.072</x:v>
      </x:c>
      <x:c r="E230" s="20" t="str">
        <x:v>LCU/USD</x:v>
      </x:c>
      <x:c r="F230" s="20" t="n">
        <x:v>1</x:v>
      </x:c>
      <x:c r="G230" s="22" t="n">
        <x:f>IF(E230="LCU/USD",D230*F230,F230/D230)</x:f>
        <x:v>1.072</x:v>
      </x:c>
      <x:c r="H230" s="12" t="str">
        <x:v>年均</x:v>
      </x:c>
      <x:c r="I230" s="12" t="str">
        <x:v>1946-01-01—1946-12-31</x:v>
      </x:c>
      <x:c r="J230" s="12" t="str">
        <x:v>MW_CAD</x:v>
      </x:c>
      <x:c r="K230" s="12" t="str">
        <x:v>https://www.measuringworth.com/datasets/exchangeglobal/result.php?countryE%5B%5D=Canada&amp;year_result=2007&amp;year_source=1913</x:v>
      </x:c>
      <x:c r="L230" s="12" t="str"/>
      <x:c r="M230" s="12" t="str">
        <x:v>B：学术历史汇编</x:v>
      </x:c>
    </x:row>
    <x:row r="231" ht="72" customHeight="1">
      <x:c r="A231" t="n">
        <x:v>1946</x:v>
      </x:c>
      <x:c r="B231" t="str">
        <x:v>CHF</x:v>
      </x:c>
      <x:c r="C231" s="12" t="str">
        <x:v>瑞士法郎（CHF）</x:v>
      </x:c>
      <x:c r="D231" s="24" t="n">
        <x:v>4.2803</x:v>
      </x:c>
      <x:c r="E231" s="20" t="str">
        <x:v>LCU/USD</x:v>
      </x:c>
      <x:c r="F231" s="20" t="n">
        <x:v>1</x:v>
      </x:c>
      <x:c r="G231" s="22" t="n">
        <x:f>IF(E231="LCU/USD",D231*F231,F231/D231)</x:f>
        <x:v>4.2803</x:v>
      </x:c>
      <x:c r="H231" s="12" t="str">
        <x:v>年均</x:v>
      </x:c>
      <x:c r="I231" s="12" t="str">
        <x:v>1946-01-01—1946-12-31</x:v>
      </x:c>
      <x:c r="J231" s="12" t="str">
        <x:v>MW_CHF</x:v>
      </x:c>
      <x:c r="K231" s="12" t="str">
        <x:v>https://www.measuringworth.com/datasets/exchangeglobal/result.php?countryE%5B%5D=Switzerland&amp;year_result=1955&amp;year_source=1905</x:v>
      </x:c>
      <x:c r="L231" s="12" t="str"/>
      <x:c r="M231" s="12" t="str">
        <x:v>B：学术历史汇编</x:v>
      </x:c>
    </x:row>
    <x:row r="232" ht="72" customHeight="1">
      <x:c r="A232" t="n">
        <x:v>1946</x:v>
      </x:c>
      <x:c r="B232" t="str">
        <x:v>INR</x:v>
      </x:c>
      <x:c r="C232" s="12" t="str">
        <x:v>英属印度卢比</x:v>
      </x:c>
      <x:c r="D232" s="24" t="n">
        <x:v>3.32</x:v>
      </x:c>
      <x:c r="E232" s="20" t="str">
        <x:v>LCU/USD</x:v>
      </x:c>
      <x:c r="F232" s="20" t="n">
        <x:v>1</x:v>
      </x:c>
      <x:c r="G232" s="22" t="n">
        <x:f>IF(E232="LCU/USD",D232*F232,F232/D232)</x:f>
        <x:v>3.32</x:v>
      </x:c>
      <x:c r="H232" s="12" t="str">
        <x:v>年均</x:v>
      </x:c>
      <x:c r="I232" s="12" t="str">
        <x:v>1946-01-01—1946-12-31</x:v>
      </x:c>
      <x:c r="J232" s="12" t="str">
        <x:v>MW_INR</x:v>
      </x:c>
      <x:c r="K232" s="12" t="str">
        <x:v>https://www.measuringworth.com/datasets/exchangeglobal/result.php?countryE%5B%5D=India&amp;year_result=1948&amp;year_source=1916</x:v>
      </x:c>
      <x:c r="L232" s="12" t="str"/>
      <x:c r="M232" s="12" t="str">
        <x:v>B：学术历史汇编</x:v>
      </x:c>
    </x:row>
    <x:row r="233" ht="72" customHeight="1">
      <x:c r="A233" t="n">
        <x:v>1946</x:v>
      </x:c>
      <x:c r="B233" t="str">
        <x:v>RUB</x:v>
      </x:c>
      <x:c r="C233" s="12" t="str">
        <x:v>苏联卢布（1924币制）</x:v>
      </x:c>
      <x:c r="D233" s="24" t="n">
        <x:v>5.3</x:v>
      </x:c>
      <x:c r="E233" s="20" t="str">
        <x:v>LCU/USD</x:v>
      </x:c>
      <x:c r="F233" s="20" t="n">
        <x:v>1</x:v>
      </x:c>
      <x:c r="G233" s="22" t="n">
        <x:f>IF(E233="LCU/USD",D233*F233,F233/D233)</x:f>
        <x:v>5.3</x:v>
      </x:c>
      <x:c r="H233" s="12" t="str">
        <x:v>官价区间参考（非年均）</x:v>
      </x:c>
      <x:c r="I233" s="12" t="str">
        <x:v>1937-07-19—1950-02-01</x:v>
      </x:c>
      <x:c r="J233" s="12" t="str">
        <x:v>SUR_OFFICIAL_SECONDARY</x:v>
      </x:c>
      <x:c r="K233" s="12" t="str">
        <x:v>https://en.wikipedia.org/wiki/Soviet_ruble#Exchange_rates</x:v>
      </x:c>
      <x:c r="L233" s="12" t="str">
        <x:v>源表同一官价覆盖的区间内年份；非逐年独立观测。只代表官方折算，非市场成交或购买力；原档案未复核。</x:v>
      </x:c>
      <x:c r="M233" s="12" t="str">
        <x:v>C：二手转引（原档未复核）</x:v>
      </x:c>
    </x:row>
    <x:row r="234" ht="72" customHeight="1">
      <x:c r="A234" t="n">
        <x:v>1947</x:v>
      </x:c>
      <x:c r="B234" t="str">
        <x:v>GBP</x:v>
      </x:c>
      <x:c r="C234" s="12" t="str">
        <x:v>英镑（GBP）</x:v>
      </x:c>
      <x:c r="D234" s="24" t="n">
        <x:v>0.2482</x:v>
      </x:c>
      <x:c r="E234" s="20" t="str">
        <x:v>LCU/USD</x:v>
      </x:c>
      <x:c r="F234" s="20" t="n">
        <x:v>1</x:v>
      </x:c>
      <x:c r="G234" s="22" t="n">
        <x:f>IF(E234="LCU/USD",D234*F234,F234/D234)</x:f>
        <x:v>0.2482</x:v>
      </x:c>
      <x:c r="H234" s="12" t="str">
        <x:v>年均</x:v>
      </x:c>
      <x:c r="I234" s="12" t="str">
        <x:v>1947-01-01—1947-12-31</x:v>
      </x:c>
      <x:c r="J234" s="12" t="str">
        <x:v>MW_GBP</x:v>
      </x:c>
      <x:c r="K234" s="12" t="str">
        <x:v>https://www.measuringworth.com/datasets/exchangeglobal/result.php?countryE%5B%5D=United+Kingdom&amp;year_result=2007&amp;year_source=1791</x:v>
      </x:c>
      <x:c r="L234" s="12" t="str"/>
      <x:c r="M234" s="12" t="str">
        <x:v>B：学术历史汇编</x:v>
      </x:c>
    </x:row>
    <x:row r="235" ht="72" customHeight="1">
      <x:c r="A235" t="n">
        <x:v>1947</x:v>
      </x:c>
      <x:c r="B235" t="str">
        <x:v>CAD</x:v>
      </x:c>
      <x:c r="C235" s="12" t="str">
        <x:v>加拿大元（CAD）</x:v>
      </x:c>
      <x:c r="D235" s="24" t="n">
        <x:v>1.087</x:v>
      </x:c>
      <x:c r="E235" s="20" t="str">
        <x:v>LCU/USD</x:v>
      </x:c>
      <x:c r="F235" s="20" t="n">
        <x:v>1</x:v>
      </x:c>
      <x:c r="G235" s="22" t="n">
        <x:f>IF(E235="LCU/USD",D235*F235,F235/D235)</x:f>
        <x:v>1.087</x:v>
      </x:c>
      <x:c r="H235" s="12" t="str">
        <x:v>年均</x:v>
      </x:c>
      <x:c r="I235" s="12" t="str">
        <x:v>1947-01-01—1947-12-31</x:v>
      </x:c>
      <x:c r="J235" s="12" t="str">
        <x:v>MW_CAD</x:v>
      </x:c>
      <x:c r="K235" s="12" t="str">
        <x:v>https://www.measuringworth.com/datasets/exchangeglobal/result.php?countryE%5B%5D=Canada&amp;year_result=2007&amp;year_source=1913</x:v>
      </x:c>
      <x:c r="L235" s="12" t="str"/>
      <x:c r="M235" s="12" t="str">
        <x:v>B：学术历史汇编</x:v>
      </x:c>
    </x:row>
    <x:row r="236" ht="72" customHeight="1">
      <x:c r="A236" t="n">
        <x:v>1947</x:v>
      </x:c>
      <x:c r="B236" t="str">
        <x:v>CHF</x:v>
      </x:c>
      <x:c r="C236" s="12" t="str">
        <x:v>瑞士法郎（CHF）</x:v>
      </x:c>
      <x:c r="D236" s="24" t="n">
        <x:v>4.2803</x:v>
      </x:c>
      <x:c r="E236" s="20" t="str">
        <x:v>LCU/USD</x:v>
      </x:c>
      <x:c r="F236" s="20" t="n">
        <x:v>1</x:v>
      </x:c>
      <x:c r="G236" s="22" t="n">
        <x:f>IF(E236="LCU/USD",D236*F236,F236/D236)</x:f>
        <x:v>4.2803</x:v>
      </x:c>
      <x:c r="H236" s="12" t="str">
        <x:v>年均</x:v>
      </x:c>
      <x:c r="I236" s="12" t="str">
        <x:v>1947-01-01—1947-12-31</x:v>
      </x:c>
      <x:c r="J236" s="12" t="str">
        <x:v>MW_CHF</x:v>
      </x:c>
      <x:c r="K236" s="12" t="str">
        <x:v>https://www.measuringworth.com/datasets/exchangeglobal/result.php?countryE%5B%5D=Switzerland&amp;year_result=1955&amp;year_source=1905</x:v>
      </x:c>
      <x:c r="L236" s="12" t="str"/>
      <x:c r="M236" s="12" t="str">
        <x:v>B：学术历史汇编</x:v>
      </x:c>
    </x:row>
    <x:row r="237" ht="72" customHeight="1">
      <x:c r="A237" t="n">
        <x:v>1947</x:v>
      </x:c>
      <x:c r="B237" t="str">
        <x:v>INR</x:v>
      </x:c>
      <x:c r="C237" s="12" t="str">
        <x:v>印度卢比（独立过渡年）</x:v>
      </x:c>
      <x:c r="D237" s="24" t="n">
        <x:v>3.32</x:v>
      </x:c>
      <x:c r="E237" s="20" t="str">
        <x:v>LCU/USD</x:v>
      </x:c>
      <x:c r="F237" s="20" t="n">
        <x:v>1</x:v>
      </x:c>
      <x:c r="G237" s="22" t="n">
        <x:f>IF(E237="LCU/USD",D237*F237,F237/D237)</x:f>
        <x:v>3.32</x:v>
      </x:c>
      <x:c r="H237" s="12" t="str">
        <x:v>年均</x:v>
      </x:c>
      <x:c r="I237" s="12" t="str">
        <x:v>1947-01-01—1947-12-31</x:v>
      </x:c>
      <x:c r="J237" s="12" t="str">
        <x:v>MW_INR</x:v>
      </x:c>
      <x:c r="K237" s="12" t="str">
        <x:v>https://www.measuringworth.com/datasets/exchangeglobal/result.php?countryE%5B%5D=India&amp;year_result=1948&amp;year_source=1916</x:v>
      </x:c>
      <x:c r="L237" s="12" t="str"/>
      <x:c r="M237" s="12" t="str">
        <x:v>B：学术历史汇编</x:v>
      </x:c>
    </x:row>
    <x:row r="238" ht="72" customHeight="1">
      <x:c r="A238" t="n">
        <x:v>1947</x:v>
      </x:c>
      <x:c r="B238" t="str">
        <x:v>RUB</x:v>
      </x:c>
      <x:c r="C238" s="12" t="str">
        <x:v>苏联卢布（1947改制过渡）</x:v>
      </x:c>
      <x:c r="D238" s="24" t="n">
        <x:v>5.3</x:v>
      </x:c>
      <x:c r="E238" s="20" t="str">
        <x:v>LCU/USD</x:v>
      </x:c>
      <x:c r="F238" s="20" t="n">
        <x:v>1</x:v>
      </x:c>
      <x:c r="G238" s="22" t="n">
        <x:f>IF(E238="LCU/USD",D238*F238,F238/D238)</x:f>
        <x:v>5.3</x:v>
      </x:c>
      <x:c r="H238" s="12" t="str">
        <x:v>官价区间参考（非年均）</x:v>
      </x:c>
      <x:c r="I238" s="12" t="str">
        <x:v>1937-07-19—1950-02-01</x:v>
      </x:c>
      <x:c r="J238" s="12" t="str">
        <x:v>SUR_OFFICIAL_SECONDARY</x:v>
      </x:c>
      <x:c r="K238" s="12" t="str">
        <x:v>https://en.wikipedia.org/wiki/Soviet_ruble#Exchange_rates</x:v>
      </x:c>
      <x:c r="L238" s="12" t="str">
        <x:v>源表同一官价覆盖的区间内年份；非逐年独立观测。只代表官方折算，非市场成交或购买力；原档案未复核。</x:v>
      </x:c>
      <x:c r="M238" s="12" t="str">
        <x:v>C：二手转引（原档未复核）</x:v>
      </x:c>
    </x:row>
    <x:row r="239" ht="72" customHeight="1">
      <x:c r="A239" t="n">
        <x:v>1948</x:v>
      </x:c>
      <x:c r="B239" t="str">
        <x:v>GBP</x:v>
      </x:c>
      <x:c r="C239" s="12" t="str">
        <x:v>英镑（GBP）</x:v>
      </x:c>
      <x:c r="D239" s="24" t="n">
        <x:v>0.2481</x:v>
      </x:c>
      <x:c r="E239" s="20" t="str">
        <x:v>LCU/USD</x:v>
      </x:c>
      <x:c r="F239" s="20" t="n">
        <x:v>1</x:v>
      </x:c>
      <x:c r="G239" s="22" t="n">
        <x:f>IF(E239="LCU/USD",D239*F239,F239/D239)</x:f>
        <x:v>0.2481</x:v>
      </x:c>
      <x:c r="H239" s="12" t="str">
        <x:v>年均</x:v>
      </x:c>
      <x:c r="I239" s="12" t="str">
        <x:v>1948-01-01—1948-12-31</x:v>
      </x:c>
      <x:c r="J239" s="12" t="str">
        <x:v>MW_GBP</x:v>
      </x:c>
      <x:c r="K239" s="12" t="str">
        <x:v>https://www.measuringworth.com/datasets/exchangeglobal/result.php?countryE%5B%5D=United+Kingdom&amp;year_result=2007&amp;year_source=1791</x:v>
      </x:c>
      <x:c r="L239" s="12" t="str"/>
      <x:c r="M239" s="12" t="str">
        <x:v>B：学术历史汇编</x:v>
      </x:c>
    </x:row>
    <x:row r="240" ht="72" customHeight="1">
      <x:c r="A240" t="n">
        <x:v>1948</x:v>
      </x:c>
      <x:c r="B240" t="str">
        <x:v>CAD</x:v>
      </x:c>
      <x:c r="C240" s="12" t="str">
        <x:v>加拿大元（CAD）</x:v>
      </x:c>
      <x:c r="D240" s="24" t="n">
        <x:v>1.0906</x:v>
      </x:c>
      <x:c r="E240" s="20" t="str">
        <x:v>LCU/USD</x:v>
      </x:c>
      <x:c r="F240" s="20" t="n">
        <x:v>1</x:v>
      </x:c>
      <x:c r="G240" s="22" t="n">
        <x:f>IF(E240="LCU/USD",D240*F240,F240/D240)</x:f>
        <x:v>1.0906</x:v>
      </x:c>
      <x:c r="H240" s="12" t="str">
        <x:v>年均</x:v>
      </x:c>
      <x:c r="I240" s="12" t="str">
        <x:v>1948-01-01—1948-12-31</x:v>
      </x:c>
      <x:c r="J240" s="12" t="str">
        <x:v>MW_CAD</x:v>
      </x:c>
      <x:c r="K240" s="12" t="str">
        <x:v>https://www.measuringworth.com/datasets/exchangeglobal/result.php?countryE%5B%5D=Canada&amp;year_result=2007&amp;year_source=1913</x:v>
      </x:c>
      <x:c r="L240" s="12" t="str"/>
      <x:c r="M240" s="12" t="str">
        <x:v>B：学术历史汇编</x:v>
      </x:c>
    </x:row>
    <x:row r="241" ht="72" customHeight="1">
      <x:c r="A241" t="n">
        <x:v>1948</x:v>
      </x:c>
      <x:c r="B241" t="str">
        <x:v>CHF</x:v>
      </x:c>
      <x:c r="C241" s="12" t="str">
        <x:v>瑞士法郎（CHF）</x:v>
      </x:c>
      <x:c r="D241" s="24" t="n">
        <x:v>4.2803</x:v>
      </x:c>
      <x:c r="E241" s="20" t="str">
        <x:v>LCU/USD</x:v>
      </x:c>
      <x:c r="F241" s="20" t="n">
        <x:v>1</x:v>
      </x:c>
      <x:c r="G241" s="22" t="n">
        <x:f>IF(E241="LCU/USD",D241*F241,F241/D241)</x:f>
        <x:v>4.2803</x:v>
      </x:c>
      <x:c r="H241" s="12" t="str">
        <x:v>年均</x:v>
      </x:c>
      <x:c r="I241" s="12" t="str">
        <x:v>1948-01-01—1948-12-31</x:v>
      </x:c>
      <x:c r="J241" s="12" t="str">
        <x:v>MW_CHF</x:v>
      </x:c>
      <x:c r="K241" s="12" t="str">
        <x:v>https://www.measuringworth.com/datasets/exchangeglobal/result.php?countryE%5B%5D=Switzerland&amp;year_result=1955&amp;year_source=1905</x:v>
      </x:c>
      <x:c r="L241" s="12" t="str"/>
      <x:c r="M241" s="12" t="str">
        <x:v>B：学术历史汇编</x:v>
      </x:c>
    </x:row>
    <x:row r="242" ht="72" customHeight="1">
      <x:c r="A242" t="n">
        <x:v>1948</x:v>
      </x:c>
      <x:c r="B242" t="str">
        <x:v>INR</x:v>
      </x:c>
      <x:c r="C242" s="12" t="str">
        <x:v>印度卢比（INR）</x:v>
      </x:c>
      <x:c r="D242" s="24" t="n">
        <x:v>3.31</x:v>
      </x:c>
      <x:c r="E242" s="20" t="str">
        <x:v>LCU/USD</x:v>
      </x:c>
      <x:c r="F242" s="20" t="n">
        <x:v>1</x:v>
      </x:c>
      <x:c r="G242" s="22" t="n">
        <x:f>IF(E242="LCU/USD",D242*F242,F242/D242)</x:f>
        <x:v>3.31</x:v>
      </x:c>
      <x:c r="H242" s="12" t="str">
        <x:v>年均</x:v>
      </x:c>
      <x:c r="I242" s="12" t="str">
        <x:v>1948-01-01—1948-12-31</x:v>
      </x:c>
      <x:c r="J242" s="12" t="str">
        <x:v>MW_INR</x:v>
      </x:c>
      <x:c r="K242" s="12" t="str">
        <x:v>https://www.measuringworth.com/datasets/exchangeglobal/result.php?countryE%5B%5D=India&amp;year_result=1948&amp;year_source=1916</x:v>
      </x:c>
      <x:c r="L242" s="12" t="str"/>
      <x:c r="M242" s="12" t="str">
        <x:v>B：学术历史汇编</x:v>
      </x:c>
    </x:row>
    <x:row r="243" ht="72" customHeight="1">
      <x:c r="A243" t="n">
        <x:v>1948</x:v>
      </x:c>
      <x:c r="B243" t="str">
        <x:v>RUB</x:v>
      </x:c>
      <x:c r="C243" s="12" t="str">
        <x:v>苏联卢布（1947币制）</x:v>
      </x:c>
      <x:c r="D243" s="24" t="n">
        <x:v>5.3</x:v>
      </x:c>
      <x:c r="E243" s="20" t="str">
        <x:v>LCU/USD</x:v>
      </x:c>
      <x:c r="F243" s="20" t="n">
        <x:v>1</x:v>
      </x:c>
      <x:c r="G243" s="22" t="n">
        <x:f>IF(E243="LCU/USD",D243*F243,F243/D243)</x:f>
        <x:v>5.3</x:v>
      </x:c>
      <x:c r="H243" s="12" t="str">
        <x:v>官价区间参考（非年均）</x:v>
      </x:c>
      <x:c r="I243" s="12" t="str">
        <x:v>1937-07-19—1950-02-01</x:v>
      </x:c>
      <x:c r="J243" s="12" t="str">
        <x:v>SUR_OFFICIAL_SECONDARY</x:v>
      </x:c>
      <x:c r="K243" s="12" t="str">
        <x:v>https://en.wikipedia.org/wiki/Soviet_ruble#Exchange_rates</x:v>
      </x:c>
      <x:c r="L243" s="12" t="str">
        <x:v>源表同一官价覆盖的区间内年份；非逐年独立观测。只代表官方折算，非市场成交或购买力；原档案未复核。</x:v>
      </x:c>
      <x:c r="M243" s="12" t="str">
        <x:v>C：二手转引（原档未复核）</x:v>
      </x:c>
    </x:row>
    <x:row r="244" ht="72" customHeight="1">
      <x:c r="A244" t="n">
        <x:v>1949</x:v>
      </x:c>
      <x:c r="B244" t="str">
        <x:v>GBP</x:v>
      </x:c>
      <x:c r="C244" s="12" t="str">
        <x:v>英镑（GBP）</x:v>
      </x:c>
      <x:c r="D244" s="24" t="n">
        <x:v>0.2712</x:v>
      </x:c>
      <x:c r="E244" s="20" t="str">
        <x:v>LCU/USD</x:v>
      </x:c>
      <x:c r="F244" s="20" t="n">
        <x:v>1</x:v>
      </x:c>
      <x:c r="G244" s="22" t="n">
        <x:f>IF(E244="LCU/USD",D244*F244,F244/D244)</x:f>
        <x:v>0.2712</x:v>
      </x:c>
      <x:c r="H244" s="12" t="str">
        <x:v>年均</x:v>
      </x:c>
      <x:c r="I244" s="12" t="str">
        <x:v>1949-01-01—1949-12-31</x:v>
      </x:c>
      <x:c r="J244" s="12" t="str">
        <x:v>MW_GBP</x:v>
      </x:c>
      <x:c r="K244" s="12" t="str">
        <x:v>https://www.measuringworth.com/datasets/exchangeglobal/result.php?countryE%5B%5D=United+Kingdom&amp;year_result=2007&amp;year_source=1791</x:v>
      </x:c>
      <x:c r="L244" s="12" t="str"/>
      <x:c r="M244" s="12" t="str">
        <x:v>B：学术历史汇编</x:v>
      </x:c>
    </x:row>
    <x:row r="245" ht="72" customHeight="1">
      <x:c r="A245" t="n">
        <x:v>1949</x:v>
      </x:c>
      <x:c r="B245" t="str">
        <x:v>CAD</x:v>
      </x:c>
      <x:c r="C245" s="12" t="str">
        <x:v>加拿大元（CAD）</x:v>
      </x:c>
      <x:c r="D245" s="24" t="n">
        <x:v>1.0767</x:v>
      </x:c>
      <x:c r="E245" s="20" t="str">
        <x:v>LCU/USD</x:v>
      </x:c>
      <x:c r="F245" s="20" t="n">
        <x:v>1</x:v>
      </x:c>
      <x:c r="G245" s="22" t="n">
        <x:f>IF(E245="LCU/USD",D245*F245,F245/D245)</x:f>
        <x:v>1.0767</x:v>
      </x:c>
      <x:c r="H245" s="12" t="str">
        <x:v>年均</x:v>
      </x:c>
      <x:c r="I245" s="12" t="str">
        <x:v>1949-01-01—1949-12-31</x:v>
      </x:c>
      <x:c r="J245" s="12" t="str">
        <x:v>MW_CAD</x:v>
      </x:c>
      <x:c r="K245" s="12" t="str">
        <x:v>https://www.measuringworth.com/datasets/exchangeglobal/result.php?countryE%5B%5D=Canada&amp;year_result=2007&amp;year_source=1913</x:v>
      </x:c>
      <x:c r="L245" s="12" t="str"/>
      <x:c r="M245" s="12" t="str">
        <x:v>B：学术历史汇编</x:v>
      </x:c>
    </x:row>
    <x:row r="246" ht="72" customHeight="1">
      <x:c r="A246" t="n">
        <x:v>1949</x:v>
      </x:c>
      <x:c r="B246" t="str">
        <x:v>CHF</x:v>
      </x:c>
      <x:c r="C246" s="12" t="str">
        <x:v>瑞士法郎（CHF）</x:v>
      </x:c>
      <x:c r="D246" s="24" t="n">
        <x:v>4.2893</x:v>
      </x:c>
      <x:c r="E246" s="20" t="str">
        <x:v>LCU/USD</x:v>
      </x:c>
      <x:c r="F246" s="20" t="n">
        <x:v>1</x:v>
      </x:c>
      <x:c r="G246" s="22" t="n">
        <x:f>IF(E246="LCU/USD",D246*F246,F246/D246)</x:f>
        <x:v>4.2893</x:v>
      </x:c>
      <x:c r="H246" s="12" t="str">
        <x:v>年均</x:v>
      </x:c>
      <x:c r="I246" s="12" t="str">
        <x:v>1949-01-01—1949-12-31</x:v>
      </x:c>
      <x:c r="J246" s="12" t="str">
        <x:v>MW_CHF</x:v>
      </x:c>
      <x:c r="K246" s="12" t="str">
        <x:v>https://www.measuringworth.com/datasets/exchangeglobal/result.php?countryE%5B%5D=Switzerland&amp;year_result=1955&amp;year_source=1905</x:v>
      </x:c>
      <x:c r="L246" s="12" t="str"/>
      <x:c r="M246" s="12" t="str">
        <x:v>B：学术历史汇编</x:v>
      </x:c>
    </x:row>
    <x:row r="247" ht="72" customHeight="1">
      <x:c r="A247" t="n">
        <x:v>1949</x:v>
      </x:c>
      <x:c r="B247" t="str">
        <x:v>RUB</x:v>
      </x:c>
      <x:c r="C247" s="12" t="str">
        <x:v>苏联卢布（1947币制）</x:v>
      </x:c>
      <x:c r="D247" s="24" t="n">
        <x:v>5.3</x:v>
      </x:c>
      <x:c r="E247" s="20" t="str">
        <x:v>LCU/USD</x:v>
      </x:c>
      <x:c r="F247" s="20" t="n">
        <x:v>1</x:v>
      </x:c>
      <x:c r="G247" s="22" t="n">
        <x:f>IF(E247="LCU/USD",D247*F247,F247/D247)</x:f>
        <x:v>5.3</x:v>
      </x:c>
      <x:c r="H247" s="12" t="str">
        <x:v>官价区间参考（非年均）</x:v>
      </x:c>
      <x:c r="I247" s="12" t="str">
        <x:v>1937-07-19—1950-02-01</x:v>
      </x:c>
      <x:c r="J247" s="12" t="str">
        <x:v>SUR_OFFICIAL_SECONDARY</x:v>
      </x:c>
      <x:c r="K247" s="12" t="str">
        <x:v>https://en.wikipedia.org/wiki/Soviet_ruble#Exchange_rates</x:v>
      </x:c>
      <x:c r="L247" s="12" t="str">
        <x:v>源表同一官价覆盖的区间内年份；非逐年独立观测。只代表官方折算，非市场成交或购买力；原档案未复核。</x:v>
      </x:c>
      <x:c r="M247" s="12" t="str">
        <x:v>C：二手转引（原档未复核）</x:v>
      </x:c>
    </x:row>
    <x:row r="248" ht="72" customHeight="1">
      <x:c r="A248" t="n">
        <x:v>1950</x:v>
      </x:c>
      <x:c r="B248" t="str">
        <x:v>GBP</x:v>
      </x:c>
      <x:c r="C248" s="12" t="str">
        <x:v>英镑（GBP）</x:v>
      </x:c>
      <x:c r="D248" s="24" t="n">
        <x:v>0.357371402609925</x:v>
      </x:c>
      <x:c r="E248" s="20" t="str">
        <x:v>LCU/USD</x:v>
      </x:c>
      <x:c r="F248" s="20" t="n">
        <x:v>1</x:v>
      </x:c>
      <x:c r="G248" s="22" t="n">
        <x:f>IF(E248="LCU/USD",D248*F248,F248/D248)</x:f>
        <x:v>0.357371402609925</x:v>
      </x:c>
      <x:c r="H248" s="12" t="str">
        <x:v>年频（市场／估计）</x:v>
      </x:c>
      <x:c r="I248" s="12" t="str">
        <x:v>1950-01-01—1950-12-31</x:v>
      </x:c>
      <x:c r="J248" s="12" t="str">
        <x:v>PWT_GBP</x:v>
      </x:c>
      <x:c r="K248" s="12" t="str">
        <x:v>https://fred.stlouisfed.org/data/XRNCUSGBA618NRUG</x:v>
      </x:c>
      <x:c r="L248" s="12" t="str">
        <x:v>PWT年频估计／市场汇率口径，不保证与纽约日度年均报价一致。</x:v>
      </x:c>
      <x:c r="M248" s="12" t="str">
        <x:v>B：研究数据库年频估计</x:v>
      </x:c>
    </x:row>
    <x:row r="249" ht="72" customHeight="1">
      <x:c r="A249" t="n">
        <x:v>1950</x:v>
      </x:c>
      <x:c r="B249" t="str">
        <x:v>CAD</x:v>
      </x:c>
      <x:c r="C249" s="12" t="str">
        <x:v>加拿大元（CAD）</x:v>
      </x:c>
      <x:c r="D249" s="24" t="n">
        <x:v>1.09182053511832</x:v>
      </x:c>
      <x:c r="E249" s="20" t="str">
        <x:v>LCU/USD</x:v>
      </x:c>
      <x:c r="F249" s="20" t="n">
        <x:v>1</x:v>
      </x:c>
      <x:c r="G249" s="22" t="n">
        <x:f>IF(E249="LCU/USD",D249*F249,F249/D249)</x:f>
        <x:v>1.09182053511832</x:v>
      </x:c>
      <x:c r="H249" s="12" t="str">
        <x:v>年频（市场／估计）</x:v>
      </x:c>
      <x:c r="I249" s="12" t="str">
        <x:v>1950-01-01—1950-12-31</x:v>
      </x:c>
      <x:c r="J249" s="12" t="str">
        <x:v>PWT_CAD</x:v>
      </x:c>
      <x:c r="K249" s="12" t="str">
        <x:v>https://fred.stlouisfed.org/data/XRNCUSCAA618NRUG</x:v>
      </x:c>
      <x:c r="L249" s="12" t="str">
        <x:v>PWT年频估计／市场汇率口径，不保证与纽约日度年均报价一致。</x:v>
      </x:c>
      <x:c r="M249" s="12" t="str">
        <x:v>B：研究数据库年频估计</x:v>
      </x:c>
    </x:row>
    <x:row r="250" ht="72" customHeight="1">
      <x:c r="A250" t="n">
        <x:v>1950</x:v>
      </x:c>
      <x:c r="B250" t="str">
        <x:v>FR</x:v>
      </x:c>
      <x:c r="C250" s="12" t="str">
        <x:v>法国旧法郎</x:v>
      </x:c>
      <x:c r="D250" s="24" t="n">
        <x:v>0.533426689082003</x:v>
      </x:c>
      <x:c r="E250" s="20" t="str">
        <x:v>LCU/USD</x:v>
      </x:c>
      <x:c r="F250" s="20" t="n">
        <x:f>'币制说明'!$C$26*'币制说明'!$C$27</x:f>
        <x:v>655.957</x:v>
      </x:c>
      <x:c r="G250" s="22" t="n">
        <x:f>IF(E250="LCU/USD",D250*F250,F250/D250)</x:f>
        <x:v>349.9049706901634</x:v>
      </x:c>
      <x:c r="H250" s="12" t="str">
        <x:v>年频（市场／估计）</x:v>
      </x:c>
      <x:c r="I250" s="12" t="str">
        <x:v>1950-01-01—1950-12-31</x:v>
      </x:c>
      <x:c r="J250" s="12" t="str">
        <x:v>PWT_FR</x:v>
      </x:c>
      <x:c r="K250" s="12" t="str">
        <x:v>https://fred.stlouisfed.org/data/XRNCUSFRA618NRUG</x:v>
      </x:c>
      <x:c r="L250" s="12" t="str">
        <x:v>欧元回溯单位按不可撤销转换率还原；法国1960年前另乘100。 PWT年频估计／市场汇率口径，不保证与纽约日度年均报价一致。</x:v>
      </x:c>
      <x:c r="M250" s="12" t="str">
        <x:v>B：研究数据库年频估计</x:v>
      </x:c>
    </x:row>
    <x:row r="251" ht="72" customHeight="1">
      <x:c r="A251" t="n">
        <x:v>1950</x:v>
      </x:c>
      <x:c r="B251" t="str">
        <x:v>DE</x:v>
      </x:c>
      <x:c r="C251" s="12" t="str">
        <x:v>西德德国马克（DEM）</x:v>
      </x:c>
      <x:c r="D251" s="24" t="n">
        <x:v>2.14486070374006</x:v>
      </x:c>
      <x:c r="E251" s="20" t="str">
        <x:v>LCU/USD</x:v>
      </x:c>
      <x:c r="F251" s="20" t="n">
        <x:f>'币制说明'!$C$28</x:f>
        <x:v>1.95583</x:v>
      </x:c>
      <x:c r="G251" s="22" t="n">
        <x:f>IF(E251="LCU/USD",D251*F251,F251/D251)</x:f>
        <x:v>4.194982910195922</x:v>
      </x:c>
      <x:c r="H251" s="12" t="str">
        <x:v>年频（市场／估计）</x:v>
      </x:c>
      <x:c r="I251" s="12" t="str">
        <x:v>1950-01-01—1950-12-31</x:v>
      </x:c>
      <x:c r="J251" s="12" t="str">
        <x:v>PWT_DE</x:v>
      </x:c>
      <x:c r="K251" s="12" t="str">
        <x:v>https://fred.stlouisfed.org/data/XRNCUSDEA618NRUG</x:v>
      </x:c>
      <x:c r="L251" s="12" t="str">
        <x:v>欧元回溯单位按不可撤销转换率还原；法国1960年前另乘100。 PWT年频估计／市场汇率口径，不保证与纽约日度年均报价一致。</x:v>
      </x:c>
      <x:c r="M251" s="12" t="str">
        <x:v>B：研究数据库年频估计</x:v>
      </x:c>
    </x:row>
    <x:row r="252" ht="72" customHeight="1">
      <x:c r="A252" t="n">
        <x:v>1950</x:v>
      </x:c>
      <x:c r="B252" t="str">
        <x:v>IT</x:v>
      </x:c>
      <x:c r="C252" s="12" t="str">
        <x:v>意大利里拉（ITL）</x:v>
      </x:c>
      <x:c r="D252" s="24" t="n">
        <x:v>0.322622960779777</x:v>
      </x:c>
      <x:c r="E252" s="20" t="str">
        <x:v>LCU/USD</x:v>
      </x:c>
      <x:c r="F252" s="20" t="n">
        <x:f>'币制说明'!$C$29</x:f>
        <x:v>1936.27</x:v>
      </x:c>
      <x:c r="G252" s="22" t="n">
        <x:f>IF(E252="LCU/USD",D252*F252,F252/D252)</x:f>
        <x:v>624.6851602690588</x:v>
      </x:c>
      <x:c r="H252" s="12" t="str">
        <x:v>年频（市场／估计）</x:v>
      </x:c>
      <x:c r="I252" s="12" t="str">
        <x:v>1950-01-01—1950-12-31</x:v>
      </x:c>
      <x:c r="J252" s="12" t="str">
        <x:v>PWT_IT</x:v>
      </x:c>
      <x:c r="K252" s="12" t="str">
        <x:v>https://fred.stlouisfed.org/data/XRNCUSITA618NRUG</x:v>
      </x:c>
      <x:c r="L252" s="12" t="str">
        <x:v>欧元回溯单位按不可撤销转换率还原；法国1960年前另乘100。 PWT年频估计／市场汇率口径，不保证与纽约日度年均报价一致。</x:v>
      </x:c>
      <x:c r="M252" s="12" t="str">
        <x:v>B：研究数据库年频估计</x:v>
      </x:c>
    </x:row>
    <x:row r="253" ht="72" customHeight="1">
      <x:c r="A253" t="n">
        <x:v>1950</x:v>
      </x:c>
      <x:c r="B253" t="str">
        <x:v>JPY</x:v>
      </x:c>
      <x:c r="C253" s="12" t="str">
        <x:v>日元（JPY）</x:v>
      </x:c>
      <x:c r="D253" s="24" t="n">
        <x:v>361.100006463613</x:v>
      </x:c>
      <x:c r="E253" s="20" t="str">
        <x:v>LCU/USD</x:v>
      </x:c>
      <x:c r="F253" s="20" t="n">
        <x:v>1</x:v>
      </x:c>
      <x:c r="G253" s="22" t="n">
        <x:f>IF(E253="LCU/USD",D253*F253,F253/D253)</x:f>
        <x:v>361.100006463613</x:v>
      </x:c>
      <x:c r="H253" s="12" t="str">
        <x:v>年频（市场／估计）</x:v>
      </x:c>
      <x:c r="I253" s="12" t="str">
        <x:v>1950-01-01—1950-12-31</x:v>
      </x:c>
      <x:c r="J253" s="12" t="str">
        <x:v>PWT_JPY</x:v>
      </x:c>
      <x:c r="K253" s="12" t="str">
        <x:v>https://fred.stlouisfed.org/data/XRNCUSJPA618NRUG</x:v>
      </x:c>
      <x:c r="L253" s="12" t="str">
        <x:v>PWT年频估计／市场汇率口径，不保证与纽约日度年均报价一致。</x:v>
      </x:c>
      <x:c r="M253" s="12" t="str">
        <x:v>B：研究数据库年频估计</x:v>
      </x:c>
    </x:row>
    <x:row r="254" ht="72" customHeight="1">
      <x:c r="A254" t="n">
        <x:v>1950</x:v>
      </x:c>
      <x:c r="B254" t="str">
        <x:v>CHF</x:v>
      </x:c>
      <x:c r="C254" s="12" t="str">
        <x:v>瑞士法郎（CHF）</x:v>
      </x:c>
      <x:c r="D254" s="24" t="n">
        <x:v>4.3222</x:v>
      </x:c>
      <x:c r="E254" s="20" t="str">
        <x:v>LCU/USD</x:v>
      </x:c>
      <x:c r="F254" s="20" t="n">
        <x:v>1</x:v>
      </x:c>
      <x:c r="G254" s="22" t="n">
        <x:f>IF(E254="LCU/USD",D254*F254,F254/D254)</x:f>
        <x:v>4.3222</x:v>
      </x:c>
      <x:c r="H254" s="12" t="str">
        <x:v>年均</x:v>
      </x:c>
      <x:c r="I254" s="12" t="str">
        <x:v>1950-01-01—1950-12-31</x:v>
      </x:c>
      <x:c r="J254" s="12" t="str">
        <x:v>MW_CHF</x:v>
      </x:c>
      <x:c r="K254" s="12" t="str">
        <x:v>https://www.measuringworth.com/datasets/exchangeglobal/result.php?countryE%5B%5D=Switzerland&amp;year_result=1955&amp;year_source=1905</x:v>
      </x:c>
      <x:c r="L254" s="12" t="str"/>
      <x:c r="M254" s="12" t="str">
        <x:v>B：学术历史汇编</x:v>
      </x:c>
    </x:row>
    <x:row r="255" ht="72" customHeight="1">
      <x:c r="A255" t="n">
        <x:v>1950</x:v>
      </x:c>
      <x:c r="B255" t="str">
        <x:v>INR</x:v>
      </x:c>
      <x:c r="C255" s="12" t="str">
        <x:v>印度卢比（INR）</x:v>
      </x:c>
      <x:c r="D255" s="24" t="n">
        <x:v>4.76289987976872</x:v>
      </x:c>
      <x:c r="E255" s="20" t="str">
        <x:v>LCU/USD</x:v>
      </x:c>
      <x:c r="F255" s="20" t="n">
        <x:v>1</x:v>
      </x:c>
      <x:c r="G255" s="22" t="n">
        <x:f>IF(E255="LCU/USD",D255*F255,F255/D255)</x:f>
        <x:v>4.76289987976872</x:v>
      </x:c>
      <x:c r="H255" s="12" t="str">
        <x:v>年频（市场／估计）</x:v>
      </x:c>
      <x:c r="I255" s="12" t="str">
        <x:v>1950-01-01—1950-12-31</x:v>
      </x:c>
      <x:c r="J255" s="12" t="str">
        <x:v>PWT_INR</x:v>
      </x:c>
      <x:c r="K255" s="12" t="str">
        <x:v>https://fred.stlouisfed.org/data/XRNCUSINA618NRUG</x:v>
      </x:c>
      <x:c r="L255" s="12" t="str">
        <x:v>PWT年频估计／市场汇率口径，不保证与纽约日度年均报价一致。</x:v>
      </x:c>
      <x:c r="M255" s="12" t="str">
        <x:v>B：研究数据库年频估计</x:v>
      </x:c>
    </x:row>
    <x:row r="256" ht="72" customHeight="1">
      <x:c r="A256" t="n">
        <x:v>1950</x:v>
      </x:c>
      <x:c r="B256" t="str">
        <x:v>RUB</x:v>
      </x:c>
      <x:c r="C256" s="12" t="str">
        <x:v>苏联卢布（1947币制）</x:v>
      </x:c>
      <x:c r="D256" s="24" t="n">
        <x:v>5.3</x:v>
      </x:c>
      <x:c r="E256" s="20" t="str">
        <x:v>LCU/USD</x:v>
      </x:c>
      <x:c r="F256" s="20" t="n">
        <x:v>1</x:v>
      </x:c>
      <x:c r="G256" s="22" t="n">
        <x:f>IF(E256="LCU/USD",D256*F256,F256/D256)</x:f>
        <x:v>5.3</x:v>
      </x:c>
      <x:c r="H256" s="12" t="str">
        <x:v>定点官价参考（非年均）</x:v>
      </x:c>
      <x:c r="I256" s="12" t="str">
        <x:v>1950-02-01</x:v>
      </x:c>
      <x:c r="J256" s="12" t="str">
        <x:v>SUR_OFFICIAL_SECONDARY</x:v>
      </x:c>
      <x:c r="K256" s="12" t="str">
        <x:v>https://en.wikipedia.org/wiki/Soviet_ruble#Exchange_rates</x:v>
      </x:c>
      <x:c r="L256" s="12" t="str">
        <x:v>选取源表该年最早列出的日期，不代表该年平均、全年固定价或统一可成交价；原档案未复核。</x:v>
      </x:c>
      <x:c r="M256" s="12" t="str">
        <x:v>C：二手转引（原档未复核）</x:v>
      </x:c>
    </x:row>
    <x:row r="257" ht="72" customHeight="1">
      <x:c r="A257" t="n">
        <x:v>1951</x:v>
      </x:c>
      <x:c r="B257" t="str">
        <x:v>GBP</x:v>
      </x:c>
      <x:c r="C257" s="12" t="str">
        <x:v>英镑（GBP）</x:v>
      </x:c>
      <x:c r="D257" s="24" t="n">
        <x:v>0.357271356210102</x:v>
      </x:c>
      <x:c r="E257" s="20" t="str">
        <x:v>LCU/USD</x:v>
      </x:c>
      <x:c r="F257" s="20" t="n">
        <x:v>1</x:v>
      </x:c>
      <x:c r="G257" s="22" t="n">
        <x:f>IF(E257="LCU/USD",D257*F257,F257/D257)</x:f>
        <x:v>0.357271356210102</x:v>
      </x:c>
      <x:c r="H257" s="12" t="str">
        <x:v>年频（市场／估计）</x:v>
      </x:c>
      <x:c r="I257" s="12" t="str">
        <x:v>1951-01-01—1951-12-31</x:v>
      </x:c>
      <x:c r="J257" s="12" t="str">
        <x:v>PWT_GBP</x:v>
      </x:c>
      <x:c r="K257" s="12" t="str">
        <x:v>https://fred.stlouisfed.org/data/XRNCUSGBA618NRUG</x:v>
      </x:c>
      <x:c r="L257" s="12" t="str">
        <x:v>PWT年频估计／市场汇率口径，不保证与纽约日度年均报价一致。</x:v>
      </x:c>
      <x:c r="M257" s="12" t="str">
        <x:v>B：研究数据库年频估计</x:v>
      </x:c>
    </x:row>
    <x:row r="258" ht="72" customHeight="1">
      <x:c r="A258" t="n">
        <x:v>1951</x:v>
      </x:c>
      <x:c r="B258" t="str">
        <x:v>CAD</x:v>
      </x:c>
      <x:c r="C258" s="12" t="str">
        <x:v>加拿大元（CAD）</x:v>
      </x:c>
      <x:c r="D258" s="24" t="n">
        <x:v>1.05576064080376</x:v>
      </x:c>
      <x:c r="E258" s="20" t="str">
        <x:v>LCU/USD</x:v>
      </x:c>
      <x:c r="F258" s="20" t="n">
        <x:v>1</x:v>
      </x:c>
      <x:c r="G258" s="22" t="n">
        <x:f>IF(E258="LCU/USD",D258*F258,F258/D258)</x:f>
        <x:v>1.05576064080376</x:v>
      </x:c>
      <x:c r="H258" s="12" t="str">
        <x:v>年频（市场／估计）</x:v>
      </x:c>
      <x:c r="I258" s="12" t="str">
        <x:v>1951-01-01—1951-12-31</x:v>
      </x:c>
      <x:c r="J258" s="12" t="str">
        <x:v>PWT_CAD</x:v>
      </x:c>
      <x:c r="K258" s="12" t="str">
        <x:v>https://fred.stlouisfed.org/data/XRNCUSCAA618NRUG</x:v>
      </x:c>
      <x:c r="L258" s="12" t="str">
        <x:v>PWT年频估计／市场汇率口径，不保证与纽约日度年均报价一致。</x:v>
      </x:c>
      <x:c r="M258" s="12" t="str">
        <x:v>B：研究数据库年频估计</x:v>
      </x:c>
    </x:row>
    <x:row r="259" ht="72" customHeight="1">
      <x:c r="A259" t="n">
        <x:v>1951</x:v>
      </x:c>
      <x:c r="B259" t="str">
        <x:v>FR</x:v>
      </x:c>
      <x:c r="C259" s="12" t="str">
        <x:v>法国旧法郎</x:v>
      </x:c>
      <x:c r="D259" s="24" t="n">
        <x:v>0.533579098154996</x:v>
      </x:c>
      <x:c r="E259" s="20" t="str">
        <x:v>LCU/USD</x:v>
      </x:c>
      <x:c r="F259" s="20" t="n">
        <x:f>'币制说明'!$C$26*'币制说明'!$C$27</x:f>
        <x:v>655.957</x:v>
      </x:c>
      <x:c r="G259" s="22" t="n">
        <x:f>IF(E259="LCU/USD",D259*F259,F259/D259)</x:f>
        <x:v>350.0049444884567</x:v>
      </x:c>
      <x:c r="H259" s="12" t="str">
        <x:v>年频（市场／估计）</x:v>
      </x:c>
      <x:c r="I259" s="12" t="str">
        <x:v>1951-01-01—1951-12-31</x:v>
      </x:c>
      <x:c r="J259" s="12" t="str">
        <x:v>PWT_FR</x:v>
      </x:c>
      <x:c r="K259" s="12" t="str">
        <x:v>https://fred.stlouisfed.org/data/XRNCUSFRA618NRUG</x:v>
      </x:c>
      <x:c r="L259" s="12" t="str">
        <x:v>欧元回溯单位按不可撤销转换率还原；法国1960年前另乘100。 PWT年频估计／市场汇率口径，不保证与纽约日度年均报价一致。</x:v>
      </x:c>
      <x:c r="M259" s="12" t="str">
        <x:v>B：研究数据库年频估计</x:v>
      </x:c>
    </x:row>
    <x:row r="260" ht="72" customHeight="1">
      <x:c r="A260" t="n">
        <x:v>1951</x:v>
      </x:c>
      <x:c r="B260" t="str">
        <x:v>DE</x:v>
      </x:c>
      <x:c r="C260" s="12" t="str">
        <x:v>西德德国马克（DEM）</x:v>
      </x:c>
      <x:c r="D260" s="24" t="n">
        <x:v>2.14486070374006</x:v>
      </x:c>
      <x:c r="E260" s="20" t="str">
        <x:v>LCU/USD</x:v>
      </x:c>
      <x:c r="F260" s="20" t="n">
        <x:f>'币制说明'!$C$28</x:f>
        <x:v>1.95583</x:v>
      </x:c>
      <x:c r="G260" s="22" t="n">
        <x:f>IF(E260="LCU/USD",D260*F260,F260/D260)</x:f>
        <x:v>4.194982910195922</x:v>
      </x:c>
      <x:c r="H260" s="12" t="str">
        <x:v>年频（市场／估计）</x:v>
      </x:c>
      <x:c r="I260" s="12" t="str">
        <x:v>1951-01-01—1951-12-31</x:v>
      </x:c>
      <x:c r="J260" s="12" t="str">
        <x:v>PWT_DE</x:v>
      </x:c>
      <x:c r="K260" s="12" t="str">
        <x:v>https://fred.stlouisfed.org/data/XRNCUSDEA618NRUG</x:v>
      </x:c>
      <x:c r="L260" s="12" t="str">
        <x:v>欧元回溯单位按不可撤销转换率还原；法国1960年前另乘100。 PWT年频估计／市场汇率口径，不保证与纽约日度年均报价一致。</x:v>
      </x:c>
      <x:c r="M260" s="12" t="str">
        <x:v>B：研究数据库年频估计</x:v>
      </x:c>
    </x:row>
    <x:row r="261" ht="72" customHeight="1">
      <x:c r="A261" t="n">
        <x:v>1951</x:v>
      </x:c>
      <x:c r="B261" t="str">
        <x:v>IT</x:v>
      </x:c>
      <x:c r="C261" s="12" t="str">
        <x:v>意大利里拉（ITL）</x:v>
      </x:c>
      <x:c r="D261" s="24" t="n">
        <x:v>0.322262054649023</x:v>
      </x:c>
      <x:c r="E261" s="20" t="str">
        <x:v>LCU/USD</x:v>
      </x:c>
      <x:c r="F261" s="20" t="n">
        <x:f>'币制说明'!$C$29</x:f>
        <x:v>1936.27</x:v>
      </x:c>
      <x:c r="G261" s="22" t="n">
        <x:f>IF(E261="LCU/USD",D261*F261,F261/D261)</x:f>
        <x:v>623.9863485552638</x:v>
      </x:c>
      <x:c r="H261" s="12" t="str">
        <x:v>年频（市场／估计）</x:v>
      </x:c>
      <x:c r="I261" s="12" t="str">
        <x:v>1951-01-01—1951-12-31</x:v>
      </x:c>
      <x:c r="J261" s="12" t="str">
        <x:v>PWT_IT</x:v>
      </x:c>
      <x:c r="K261" s="12" t="str">
        <x:v>https://fred.stlouisfed.org/data/XRNCUSITA618NRUG</x:v>
      </x:c>
      <x:c r="L261" s="12" t="str">
        <x:v>欧元回溯单位按不可撤销转换率还原；法国1960年前另乘100。 PWT年频估计／市场汇率口径，不保证与纽约日度年均报价一致。</x:v>
      </x:c>
      <x:c r="M261" s="12" t="str">
        <x:v>B：研究数据库年频估计</x:v>
      </x:c>
    </x:row>
    <x:row r="262" ht="72" customHeight="1">
      <x:c r="A262" t="n">
        <x:v>1951</x:v>
      </x:c>
      <x:c r="B262" t="str">
        <x:v>JPY</x:v>
      </x:c>
      <x:c r="C262" s="12" t="str">
        <x:v>日元（JPY）</x:v>
      </x:c>
      <x:c r="D262" s="24" t="n">
        <x:v>361.200012567228</x:v>
      </x:c>
      <x:c r="E262" s="20" t="str">
        <x:v>LCU/USD</x:v>
      </x:c>
      <x:c r="F262" s="20" t="n">
        <x:v>1</x:v>
      </x:c>
      <x:c r="G262" s="22" t="n">
        <x:f>IF(E262="LCU/USD",D262*F262,F262/D262)</x:f>
        <x:v>361.200012567228</x:v>
      </x:c>
      <x:c r="H262" s="12" t="str">
        <x:v>年频（市场／估计）</x:v>
      </x:c>
      <x:c r="I262" s="12" t="str">
        <x:v>1951-01-01—1951-12-31</x:v>
      </x:c>
      <x:c r="J262" s="12" t="str">
        <x:v>PWT_JPY</x:v>
      </x:c>
      <x:c r="K262" s="12" t="str">
        <x:v>https://fred.stlouisfed.org/data/XRNCUSJPA618NRUG</x:v>
      </x:c>
      <x:c r="L262" s="12" t="str">
        <x:v>PWT年频估计／市场汇率口径，不保证与纽约日度年均报价一致。</x:v>
      </x:c>
      <x:c r="M262" s="12" t="str">
        <x:v>B：研究数据库年频估计</x:v>
      </x:c>
    </x:row>
    <x:row r="263" ht="72" customHeight="1">
      <x:c r="A263" t="n">
        <x:v>1951</x:v>
      </x:c>
      <x:c r="B263" t="str">
        <x:v>CHF</x:v>
      </x:c>
      <x:c r="C263" s="12" t="str">
        <x:v>瑞士法郎（CHF）</x:v>
      </x:c>
      <x:c r="D263" s="24" t="n">
        <x:v>4.3364</x:v>
      </x:c>
      <x:c r="E263" s="20" t="str">
        <x:v>LCU/USD</x:v>
      </x:c>
      <x:c r="F263" s="20" t="n">
        <x:v>1</x:v>
      </x:c>
      <x:c r="G263" s="22" t="n">
        <x:f>IF(E263="LCU/USD",D263*F263,F263/D263)</x:f>
        <x:v>4.3364</x:v>
      </x:c>
      <x:c r="H263" s="12" t="str">
        <x:v>年均</x:v>
      </x:c>
      <x:c r="I263" s="12" t="str">
        <x:v>1951-01-01—1951-12-31</x:v>
      </x:c>
      <x:c r="J263" s="12" t="str">
        <x:v>MW_CHF</x:v>
      </x:c>
      <x:c r="K263" s="12" t="str">
        <x:v>https://www.measuringworth.com/datasets/exchangeglobal/result.php?countryE%5B%5D=Switzerland&amp;year_result=1955&amp;year_source=1905</x:v>
      </x:c>
      <x:c r="L263" s="12" t="str"/>
      <x:c r="M263" s="12" t="str">
        <x:v>B：学术历史汇编</x:v>
      </x:c>
    </x:row>
    <x:row r="264" ht="72" customHeight="1">
      <x:c r="A264" t="n">
        <x:v>1951</x:v>
      </x:c>
      <x:c r="B264" t="str">
        <x:v>INR</x:v>
      </x:c>
      <x:c r="C264" s="12" t="str">
        <x:v>印度卢比（INR）</x:v>
      </x:c>
      <x:c r="D264" s="24" t="n">
        <x:v>4.76289987976872</x:v>
      </x:c>
      <x:c r="E264" s="20" t="str">
        <x:v>LCU/USD</x:v>
      </x:c>
      <x:c r="F264" s="20" t="n">
        <x:v>1</x:v>
      </x:c>
      <x:c r="G264" s="22" t="n">
        <x:f>IF(E264="LCU/USD",D264*F264,F264/D264)</x:f>
        <x:v>4.76289987976872</x:v>
      </x:c>
      <x:c r="H264" s="12" t="str">
        <x:v>年频（市场／估计）</x:v>
      </x:c>
      <x:c r="I264" s="12" t="str">
        <x:v>1951-01-01—1951-12-31</x:v>
      </x:c>
      <x:c r="J264" s="12" t="str">
        <x:v>PWT_INR</x:v>
      </x:c>
      <x:c r="K264" s="12" t="str">
        <x:v>https://fred.stlouisfed.org/data/XRNCUSINA618NRUG</x:v>
      </x:c>
      <x:c r="L264" s="12" t="str">
        <x:v>PWT年频估计／市场汇率口径，不保证与纽约日度年均报价一致。</x:v>
      </x:c>
      <x:c r="M264" s="12" t="str">
        <x:v>B：研究数据库年频估计</x:v>
      </x:c>
    </x:row>
    <x:row r="265" ht="72" customHeight="1">
      <x:c r="A265" t="n">
        <x:v>1951</x:v>
      </x:c>
      <x:c r="B265" t="str">
        <x:v>RUB</x:v>
      </x:c>
      <x:c r="C265" s="12" t="str">
        <x:v>苏联卢布（1947币制）</x:v>
      </x:c>
      <x:c r="D265" s="24" t="n">
        <x:v>4</x:v>
      </x:c>
      <x:c r="E265" s="20" t="str">
        <x:v>LCU/USD</x:v>
      </x:c>
      <x:c r="F265" s="20" t="n">
        <x:v>1</x:v>
      </x:c>
      <x:c r="G265" s="22" t="n">
        <x:f>IF(E265="LCU/USD",D265*F265,F265/D265)</x:f>
        <x:v>4</x:v>
      </x:c>
      <x:c r="H265" s="12" t="str">
        <x:v>官价区间参考（非年均）</x:v>
      </x:c>
      <x:c r="I265" s="12" t="str">
        <x:v>1950-03-01—1960-12-01</x:v>
      </x:c>
      <x:c r="J265" s="12" t="str">
        <x:v>SUR_OFFICIAL_SECONDARY</x:v>
      </x:c>
      <x:c r="K265" s="12" t="str">
        <x:v>https://en.wikipedia.org/wiki/Soviet_ruble#Exchange_rates</x:v>
      </x:c>
      <x:c r="L265" s="12" t="str">
        <x:v>源表同一官价覆盖的区间内年份；非逐年独立观测。只代表官方折算，非市场成交或购买力；原档案未复核。</x:v>
      </x:c>
      <x:c r="M265" s="12" t="str">
        <x:v>C：二手转引（原档未复核）</x:v>
      </x:c>
    </x:row>
    <x:row r="266" ht="72" customHeight="1">
      <x:c r="A266" t="n">
        <x:v>1952</x:v>
      </x:c>
      <x:c r="B266" t="str">
        <x:v>GBP</x:v>
      </x:c>
      <x:c r="C266" s="12" t="str">
        <x:v>英镑（GBP）</x:v>
      </x:c>
      <x:c r="D266" s="24" t="n">
        <x:v>0.357271356210102</x:v>
      </x:c>
      <x:c r="E266" s="20" t="str">
        <x:v>LCU/USD</x:v>
      </x:c>
      <x:c r="F266" s="20" t="n">
        <x:v>1</x:v>
      </x:c>
      <x:c r="G266" s="22" t="n">
        <x:f>IF(E266="LCU/USD",D266*F266,F266/D266)</x:f>
        <x:v>0.357271356210102</x:v>
      </x:c>
      <x:c r="H266" s="12" t="str">
        <x:v>年频（市场／估计）</x:v>
      </x:c>
      <x:c r="I266" s="12" t="str">
        <x:v>1952-01-01—1952-12-31</x:v>
      </x:c>
      <x:c r="J266" s="12" t="str">
        <x:v>PWT_GBP</x:v>
      </x:c>
      <x:c r="K266" s="12" t="str">
        <x:v>https://fred.stlouisfed.org/data/XRNCUSGBA618NRUG</x:v>
      </x:c>
      <x:c r="L266" s="12" t="str">
        <x:v>PWT年频估计／市场汇率口径，不保证与纽约日度年均报价一致。</x:v>
      </x:c>
      <x:c r="M266" s="12" t="str">
        <x:v>B：研究数据库年频估计</x:v>
      </x:c>
    </x:row>
    <x:row r="267" ht="72" customHeight="1">
      <x:c r="A267" t="n">
        <x:v>1952</x:v>
      </x:c>
      <x:c r="B267" t="str">
        <x:v>CAD</x:v>
      </x:c>
      <x:c r="C267" s="12" t="str">
        <x:v>加拿大元（CAD）</x:v>
      </x:c>
      <x:c r="D267" s="24" t="n">
        <x:v>0.981035779927</x:v>
      </x:c>
      <x:c r="E267" s="20" t="str">
        <x:v>LCU/USD</x:v>
      </x:c>
      <x:c r="F267" s="20" t="n">
        <x:v>1</x:v>
      </x:c>
      <x:c r="G267" s="22" t="n">
        <x:f>IF(E267="LCU/USD",D267*F267,F267/D267)</x:f>
        <x:v>0.981035779927</x:v>
      </x:c>
      <x:c r="H267" s="12" t="str">
        <x:v>年频（市场／估计）</x:v>
      </x:c>
      <x:c r="I267" s="12" t="str">
        <x:v>1952-01-01—1952-12-31</x:v>
      </x:c>
      <x:c r="J267" s="12" t="str">
        <x:v>PWT_CAD</x:v>
      </x:c>
      <x:c r="K267" s="12" t="str">
        <x:v>https://fred.stlouisfed.org/data/XRNCUSCAA618NRUG</x:v>
      </x:c>
      <x:c r="L267" s="12" t="str">
        <x:v>PWT年频估计／市场汇率口径，不保证与纽约日度年均报价一致。</x:v>
      </x:c>
      <x:c r="M267" s="12" t="str">
        <x:v>B：研究数据库年频估计</x:v>
      </x:c>
    </x:row>
    <x:row r="268" ht="72" customHeight="1">
      <x:c r="A268" t="n">
        <x:v>1952</x:v>
      </x:c>
      <x:c r="B268" t="str">
        <x:v>FR</x:v>
      </x:c>
      <x:c r="C268" s="12" t="str">
        <x:v>法国旧法郎</x:v>
      </x:c>
      <x:c r="D268" s="24" t="n">
        <x:v>0.533579098154996</x:v>
      </x:c>
      <x:c r="E268" s="20" t="str">
        <x:v>LCU/USD</x:v>
      </x:c>
      <x:c r="F268" s="20" t="n">
        <x:f>'币制说明'!$C$26*'币制说明'!$C$27</x:f>
        <x:v>655.957</x:v>
      </x:c>
      <x:c r="G268" s="22" t="n">
        <x:f>IF(E268="LCU/USD",D268*F268,F268/D268)</x:f>
        <x:v>350.0049444884567</x:v>
      </x:c>
      <x:c r="H268" s="12" t="str">
        <x:v>年频（市场／估计）</x:v>
      </x:c>
      <x:c r="I268" s="12" t="str">
        <x:v>1952-01-01—1952-12-31</x:v>
      </x:c>
      <x:c r="J268" s="12" t="str">
        <x:v>PWT_FR</x:v>
      </x:c>
      <x:c r="K268" s="12" t="str">
        <x:v>https://fred.stlouisfed.org/data/XRNCUSFRA618NRUG</x:v>
      </x:c>
      <x:c r="L268" s="12" t="str">
        <x:v>欧元回溯单位按不可撤销转换率还原；法国1960年前另乘100。 PWT年频估计／市场汇率口径，不保证与纽约日度年均报价一致。</x:v>
      </x:c>
      <x:c r="M268" s="12" t="str">
        <x:v>B：研究数据库年频估计</x:v>
      </x:c>
    </x:row>
    <x:row r="269" ht="72" customHeight="1">
      <x:c r="A269" t="n">
        <x:v>1952</x:v>
      </x:c>
      <x:c r="B269" t="str">
        <x:v>DE</x:v>
      </x:c>
      <x:c r="C269" s="12" t="str">
        <x:v>西德德国马克（DEM）</x:v>
      </x:c>
      <x:c r="D269" s="24" t="n">
        <x:v>2.14486070374006</x:v>
      </x:c>
      <x:c r="E269" s="20" t="str">
        <x:v>LCU/USD</x:v>
      </x:c>
      <x:c r="F269" s="20" t="n">
        <x:f>'币制说明'!$C$28</x:f>
        <x:v>1.95583</x:v>
      </x:c>
      <x:c r="G269" s="22" t="n">
        <x:f>IF(E269="LCU/USD",D269*F269,F269/D269)</x:f>
        <x:v>4.194982910195922</x:v>
      </x:c>
      <x:c r="H269" s="12" t="str">
        <x:v>年频（市场／估计）</x:v>
      </x:c>
      <x:c r="I269" s="12" t="str">
        <x:v>1952-01-01—1952-12-31</x:v>
      </x:c>
      <x:c r="J269" s="12" t="str">
        <x:v>PWT_DE</x:v>
      </x:c>
      <x:c r="K269" s="12" t="str">
        <x:v>https://fred.stlouisfed.org/data/XRNCUSDEA618NRUG</x:v>
      </x:c>
      <x:c r="L269" s="12" t="str">
        <x:v>欧元回溯单位按不可撤销转换率还原；法国1960年前另乘100。 PWT年频估计／市场汇率口径，不保证与纽约日度年均报价一致。</x:v>
      </x:c>
      <x:c r="M269" s="12" t="str">
        <x:v>B：研究数据库年频估计</x:v>
      </x:c>
    </x:row>
    <x:row r="270" ht="72" customHeight="1">
      <x:c r="A270" t="n">
        <x:v>1952</x:v>
      </x:c>
      <x:c r="B270" t="str">
        <x:v>IT</x:v>
      </x:c>
      <x:c r="C270" s="12" t="str">
        <x:v>意大利里拉（ITL）</x:v>
      </x:c>
      <x:c r="D270" s="24" t="n">
        <x:v>0.322210496630344</x:v>
      </x:c>
      <x:c r="E270" s="20" t="str">
        <x:v>LCU/USD</x:v>
      </x:c>
      <x:c r="F270" s="20" t="n">
        <x:f>'币制说明'!$C$29</x:f>
        <x:v>1936.27</x:v>
      </x:c>
      <x:c r="G270" s="22" t="n">
        <x:f>IF(E270="LCU/USD",D270*F270,F270/D270)</x:f>
        <x:v>623.8865183104361</x:v>
      </x:c>
      <x:c r="H270" s="12" t="str">
        <x:v>年频（市场／估计）</x:v>
      </x:c>
      <x:c r="I270" s="12" t="str">
        <x:v>1952-01-01—1952-12-31</x:v>
      </x:c>
      <x:c r="J270" s="12" t="str">
        <x:v>PWT_IT</x:v>
      </x:c>
      <x:c r="K270" s="12" t="str">
        <x:v>https://fred.stlouisfed.org/data/XRNCUSITA618NRUG</x:v>
      </x:c>
      <x:c r="L270" s="12" t="str">
        <x:v>欧元回溯单位按不可撤销转换率还原；法国1960年前另乘100。 PWT年频估计／市场汇率口径，不保证与纽约日度年均报价一致。</x:v>
      </x:c>
      <x:c r="M270" s="12" t="str">
        <x:v>B：研究数据库年频估计</x:v>
      </x:c>
    </x:row>
    <x:row r="271" ht="72" customHeight="1">
      <x:c r="A271" t="n">
        <x:v>1952</x:v>
      </x:c>
      <x:c r="B271" t="str">
        <x:v>JPY</x:v>
      </x:c>
      <x:c r="C271" s="12" t="str">
        <x:v>日元（JPY）</x:v>
      </x:c>
      <x:c r="D271" s="24" t="n">
        <x:v>361.100006463613</x:v>
      </x:c>
      <x:c r="E271" s="20" t="str">
        <x:v>LCU/USD</x:v>
      </x:c>
      <x:c r="F271" s="20" t="n">
        <x:v>1</x:v>
      </x:c>
      <x:c r="G271" s="22" t="n">
        <x:f>IF(E271="LCU/USD",D271*F271,F271/D271)</x:f>
        <x:v>361.100006463613</x:v>
      </x:c>
      <x:c r="H271" s="12" t="str">
        <x:v>年频（市场／估计）</x:v>
      </x:c>
      <x:c r="I271" s="12" t="str">
        <x:v>1952-01-01—1952-12-31</x:v>
      </x:c>
      <x:c r="J271" s="12" t="str">
        <x:v>PWT_JPY</x:v>
      </x:c>
      <x:c r="K271" s="12" t="str">
        <x:v>https://fred.stlouisfed.org/data/XRNCUSJPA618NRUG</x:v>
      </x:c>
      <x:c r="L271" s="12" t="str">
        <x:v>PWT年频估计／市场汇率口径，不保证与纽约日度年均报价一致。</x:v>
      </x:c>
      <x:c r="M271" s="12" t="str">
        <x:v>B：研究数据库年频估计</x:v>
      </x:c>
    </x:row>
    <x:row r="272" ht="72" customHeight="1">
      <x:c r="A272" t="n">
        <x:v>1952</x:v>
      </x:c>
      <x:c r="B272" t="str">
        <x:v>CHF</x:v>
      </x:c>
      <x:c r="C272" s="12" t="str">
        <x:v>瑞士法郎（CHF）</x:v>
      </x:c>
      <x:c r="D272" s="24" t="n">
        <x:v>4.3201</x:v>
      </x:c>
      <x:c r="E272" s="20" t="str">
        <x:v>LCU/USD</x:v>
      </x:c>
      <x:c r="F272" s="20" t="n">
        <x:v>1</x:v>
      </x:c>
      <x:c r="G272" s="22" t="n">
        <x:f>IF(E272="LCU/USD",D272*F272,F272/D272)</x:f>
        <x:v>4.3201</x:v>
      </x:c>
      <x:c r="H272" s="12" t="str">
        <x:v>年均</x:v>
      </x:c>
      <x:c r="I272" s="12" t="str">
        <x:v>1952-01-01—1952-12-31</x:v>
      </x:c>
      <x:c r="J272" s="12" t="str">
        <x:v>MW_CHF</x:v>
      </x:c>
      <x:c r="K272" s="12" t="str">
        <x:v>https://www.measuringworth.com/datasets/exchangeglobal/result.php?countryE%5B%5D=Switzerland&amp;year_result=1955&amp;year_source=1905</x:v>
      </x:c>
      <x:c r="L272" s="12" t="str"/>
      <x:c r="M272" s="12" t="str">
        <x:v>B：学术历史汇编</x:v>
      </x:c>
    </x:row>
    <x:row r="273" ht="72" customHeight="1">
      <x:c r="A273" t="n">
        <x:v>1952</x:v>
      </x:c>
      <x:c r="B273" t="str">
        <x:v>INR</x:v>
      </x:c>
      <x:c r="C273" s="12" t="str">
        <x:v>印度卢比（INR）</x:v>
      </x:c>
      <x:c r="D273" s="24" t="n">
        <x:v>4.76289987976872</x:v>
      </x:c>
      <x:c r="E273" s="20" t="str">
        <x:v>LCU/USD</x:v>
      </x:c>
      <x:c r="F273" s="20" t="n">
        <x:v>1</x:v>
      </x:c>
      <x:c r="G273" s="22" t="n">
        <x:f>IF(E273="LCU/USD",D273*F273,F273/D273)</x:f>
        <x:v>4.76289987976872</x:v>
      </x:c>
      <x:c r="H273" s="12" t="str">
        <x:v>年频（市场／估计）</x:v>
      </x:c>
      <x:c r="I273" s="12" t="str">
        <x:v>1952-01-01—1952-12-31</x:v>
      </x:c>
      <x:c r="J273" s="12" t="str">
        <x:v>PWT_INR</x:v>
      </x:c>
      <x:c r="K273" s="12" t="str">
        <x:v>https://fred.stlouisfed.org/data/XRNCUSINA618NRUG</x:v>
      </x:c>
      <x:c r="L273" s="12" t="str">
        <x:v>PWT年频估计／市场汇率口径，不保证与纽约日度年均报价一致。</x:v>
      </x:c>
      <x:c r="M273" s="12" t="str">
        <x:v>B：研究数据库年频估计</x:v>
      </x:c>
    </x:row>
    <x:row r="274" ht="72" customHeight="1">
      <x:c r="A274" t="n">
        <x:v>1952</x:v>
      </x:c>
      <x:c r="B274" t="str">
        <x:v>RUB</x:v>
      </x:c>
      <x:c r="C274" s="12" t="str">
        <x:v>苏联卢布（1947币制）</x:v>
      </x:c>
      <x:c r="D274" s="24" t="n">
        <x:v>4</x:v>
      </x:c>
      <x:c r="E274" s="20" t="str">
        <x:v>LCU/USD</x:v>
      </x:c>
      <x:c r="F274" s="20" t="n">
        <x:v>1</x:v>
      </x:c>
      <x:c r="G274" s="22" t="n">
        <x:f>IF(E274="LCU/USD",D274*F274,F274/D274)</x:f>
        <x:v>4</x:v>
      </x:c>
      <x:c r="H274" s="12" t="str">
        <x:v>官价区间参考（非年均）</x:v>
      </x:c>
      <x:c r="I274" s="12" t="str">
        <x:v>1950-03-01—1960-12-01</x:v>
      </x:c>
      <x:c r="J274" s="12" t="str">
        <x:v>SUR_OFFICIAL_SECONDARY</x:v>
      </x:c>
      <x:c r="K274" s="12" t="str">
        <x:v>https://en.wikipedia.org/wiki/Soviet_ruble#Exchange_rates</x:v>
      </x:c>
      <x:c r="L274" s="12" t="str">
        <x:v>源表同一官价覆盖的区间内年份；非逐年独立观测。只代表官方折算，非市场成交或购买力；原档案未复核。</x:v>
      </x:c>
      <x:c r="M274" s="12" t="str">
        <x:v>C：二手转引（原档未复核）</x:v>
      </x:c>
    </x:row>
    <x:row r="275" ht="72" customHeight="1">
      <x:c r="A275" t="n">
        <x:v>1952</x:v>
      </x:c>
      <x:c r="B275" t="str">
        <x:v>CNY</x:v>
      </x:c>
      <x:c r="C275" s="12" t="str">
        <x:v>第一套人民币元（旧币）</x:v>
      </x:c>
      <x:c r="D275" s="24" t="n">
        <x:v>2.46180842198822</x:v>
      </x:c>
      <x:c r="E275" s="20" t="str">
        <x:v>LCU/USD</x:v>
      </x:c>
      <x:c r="F275" s="20" t="n">
        <x:f>'币制说明'!$C$31</x:f>
        <x:v>10000</x:v>
      </x:c>
      <x:c r="G275" s="22" t="n">
        <x:f>IF(E275="LCU/USD",D275*F275,F275/D275)</x:f>
        <x:v>24618.0842198822</x:v>
      </x:c>
      <x:c r="H275" s="12" t="str">
        <x:v>年频（市场／估计）</x:v>
      </x:c>
      <x:c r="I275" s="12" t="str">
        <x:v>1952-01-01—1952-12-31</x:v>
      </x:c>
      <x:c r="J275" s="12" t="str">
        <x:v>PWT_CNY</x:v>
      </x:c>
      <x:c r="K275" s="12" t="str">
        <x:v>https://fred.stlouisfed.org/data/XRNCUSCNA618NRUG</x:v>
      </x:c>
      <x:c r="L275" s="12" t="str">
        <x:v>PWT年频估计／市场汇率口径，不保证与纽约日度年均报价一致。</x:v>
      </x:c>
      <x:c r="M275" s="12" t="str">
        <x:v>B：研究数据库年频估计</x:v>
      </x:c>
    </x:row>
    <x:row r="276" ht="72" customHeight="1">
      <x:c r="A276" t="n">
        <x:v>1953</x:v>
      </x:c>
      <x:c r="B276" t="str">
        <x:v>GBP</x:v>
      </x:c>
      <x:c r="C276" s="12" t="str">
        <x:v>英镑（GBP）</x:v>
      </x:c>
      <x:c r="D276" s="24" t="n">
        <x:v>0.357371402609925</x:v>
      </x:c>
      <x:c r="E276" s="20" t="str">
        <x:v>LCU/USD</x:v>
      </x:c>
      <x:c r="F276" s="20" t="n">
        <x:v>1</x:v>
      </x:c>
      <x:c r="G276" s="22" t="n">
        <x:f>IF(E276="LCU/USD",D276*F276,F276/D276)</x:f>
        <x:v>0.357371402609925</x:v>
      </x:c>
      <x:c r="H276" s="12" t="str">
        <x:v>年频（市场／估计）</x:v>
      </x:c>
      <x:c r="I276" s="12" t="str">
        <x:v>1953-01-01—1953-12-31</x:v>
      </x:c>
      <x:c r="J276" s="12" t="str">
        <x:v>PWT_GBP</x:v>
      </x:c>
      <x:c r="K276" s="12" t="str">
        <x:v>https://fred.stlouisfed.org/data/XRNCUSGBA618NRUG</x:v>
      </x:c>
      <x:c r="L276" s="12" t="str">
        <x:v>PWT年频估计／市场汇率口径，不保证与纽约日度年均报价一致。</x:v>
      </x:c>
      <x:c r="M276" s="12" t="str">
        <x:v>B：研究数据库年频估计</x:v>
      </x:c>
    </x:row>
    <x:row r="277" ht="72" customHeight="1">
      <x:c r="A277" t="n">
        <x:v>1953</x:v>
      </x:c>
      <x:c r="B277" t="str">
        <x:v>CAD</x:v>
      </x:c>
      <x:c r="C277" s="12" t="str">
        <x:v>加拿大元（CAD）</x:v>
      </x:c>
      <x:c r="D277" s="24" t="n">
        <x:v>0.985142603209434</x:v>
      </x:c>
      <x:c r="E277" s="20" t="str">
        <x:v>LCU/USD</x:v>
      </x:c>
      <x:c r="F277" s="20" t="n">
        <x:v>1</x:v>
      </x:c>
      <x:c r="G277" s="22" t="n">
        <x:f>IF(E277="LCU/USD",D277*F277,F277/D277)</x:f>
        <x:v>0.985142603209434</x:v>
      </x:c>
      <x:c r="H277" s="12" t="str">
        <x:v>年频（市场／估计）</x:v>
      </x:c>
      <x:c r="I277" s="12" t="str">
        <x:v>1953-01-01—1953-12-31</x:v>
      </x:c>
      <x:c r="J277" s="12" t="str">
        <x:v>PWT_CAD</x:v>
      </x:c>
      <x:c r="K277" s="12" t="str">
        <x:v>https://fred.stlouisfed.org/data/XRNCUSCAA618NRUG</x:v>
      </x:c>
      <x:c r="L277" s="12" t="str">
        <x:v>PWT年频估计／市场汇率口径，不保证与纽约日度年均报价一致。</x:v>
      </x:c>
      <x:c r="M277" s="12" t="str">
        <x:v>B：研究数据库年频估计</x:v>
      </x:c>
    </x:row>
    <x:row r="278" ht="72" customHeight="1">
      <x:c r="A278" t="n">
        <x:v>1953</x:v>
      </x:c>
      <x:c r="B278" t="str">
        <x:v>FR</x:v>
      </x:c>
      <x:c r="C278" s="12" t="str">
        <x:v>法国旧法郎</x:v>
      </x:c>
      <x:c r="D278" s="24" t="n">
        <x:v>0.533579098154996</x:v>
      </x:c>
      <x:c r="E278" s="20" t="str">
        <x:v>LCU/USD</x:v>
      </x:c>
      <x:c r="F278" s="20" t="n">
        <x:f>'币制说明'!$C$26*'币制说明'!$C$27</x:f>
        <x:v>655.957</x:v>
      </x:c>
      <x:c r="G278" s="22" t="n">
        <x:f>IF(E278="LCU/USD",D278*F278,F278/D278)</x:f>
        <x:v>350.0049444884567</x:v>
      </x:c>
      <x:c r="H278" s="12" t="str">
        <x:v>年频（市场／估计）</x:v>
      </x:c>
      <x:c r="I278" s="12" t="str">
        <x:v>1953-01-01—1953-12-31</x:v>
      </x:c>
      <x:c r="J278" s="12" t="str">
        <x:v>PWT_FR</x:v>
      </x:c>
      <x:c r="K278" s="12" t="str">
        <x:v>https://fred.stlouisfed.org/data/XRNCUSFRA618NRUG</x:v>
      </x:c>
      <x:c r="L278" s="12" t="str">
        <x:v>欧元回溯单位按不可撤销转换率还原；法国1960年前另乘100。 PWT年频估计／市场汇率口径，不保证与纽约日度年均报价一致。</x:v>
      </x:c>
      <x:c r="M278" s="12" t="str">
        <x:v>B：研究数据库年频估计</x:v>
      </x:c>
    </x:row>
    <x:row r="279" ht="72" customHeight="1">
      <x:c r="A279" t="n">
        <x:v>1953</x:v>
      </x:c>
      <x:c r="B279" t="str">
        <x:v>DE</x:v>
      </x:c>
      <x:c r="C279" s="12" t="str">
        <x:v>西德德国马克（DEM）</x:v>
      </x:c>
      <x:c r="D279" s="24" t="n">
        <x:v>2.14742575470433</x:v>
      </x:c>
      <x:c r="E279" s="20" t="str">
        <x:v>LCU/USD</x:v>
      </x:c>
      <x:c r="F279" s="20" t="n">
        <x:f>'币制说明'!$C$28</x:f>
        <x:v>1.95583</x:v>
      </x:c>
      <x:c r="G279" s="22" t="n">
        <x:f>IF(E279="LCU/USD",D279*F279,F279/D279)</x:f>
        <x:v>4.199999713823369</x:v>
      </x:c>
      <x:c r="H279" s="12" t="str">
        <x:v>年频（市场／估计）</x:v>
      </x:c>
      <x:c r="I279" s="12" t="str">
        <x:v>1953-01-01—1953-12-31</x:v>
      </x:c>
      <x:c r="J279" s="12" t="str">
        <x:v>PWT_DE</x:v>
      </x:c>
      <x:c r="K279" s="12" t="str">
        <x:v>https://fred.stlouisfed.org/data/XRNCUSDEA618NRUG</x:v>
      </x:c>
      <x:c r="L279" s="12" t="str">
        <x:v>欧元回溯单位按不可撤销转换率还原；法国1960年前另乘100。 PWT年频估计／市场汇率口径，不保证与纽约日度年均报价一致。</x:v>
      </x:c>
      <x:c r="M279" s="12" t="str">
        <x:v>B：研究数据库年频估计</x:v>
      </x:c>
    </x:row>
    <x:row r="280" ht="72" customHeight="1">
      <x:c r="A280" t="n">
        <x:v>1953</x:v>
      </x:c>
      <x:c r="B280" t="str">
        <x:v>IT</x:v>
      </x:c>
      <x:c r="C280" s="12" t="str">
        <x:v>意大利里拉（ITL）</x:v>
      </x:c>
      <x:c r="D280" s="24" t="n">
        <x:v>0.322210496630344</x:v>
      </x:c>
      <x:c r="E280" s="20" t="str">
        <x:v>LCU/USD</x:v>
      </x:c>
      <x:c r="F280" s="20" t="n">
        <x:f>'币制说明'!$C$29</x:f>
        <x:v>1936.27</x:v>
      </x:c>
      <x:c r="G280" s="22" t="n">
        <x:f>IF(E280="LCU/USD",D280*F280,F280/D280)</x:f>
        <x:v>623.8865183104361</x:v>
      </x:c>
      <x:c r="H280" s="12" t="str">
        <x:v>年频（市场／估计）</x:v>
      </x:c>
      <x:c r="I280" s="12" t="str">
        <x:v>1953-01-01—1953-12-31</x:v>
      </x:c>
      <x:c r="J280" s="12" t="str">
        <x:v>PWT_IT</x:v>
      </x:c>
      <x:c r="K280" s="12" t="str">
        <x:v>https://fred.stlouisfed.org/data/XRNCUSITA618NRUG</x:v>
      </x:c>
      <x:c r="L280" s="12" t="str">
        <x:v>欧元回溯单位按不可撤销转换率还原；法国1960年前另乘100。 PWT年频估计／市场汇率口径，不保证与纽约日度年均报价一致。</x:v>
      </x:c>
      <x:c r="M280" s="12" t="str">
        <x:v>B：研究数据库年频估计</x:v>
      </x:c>
    </x:row>
    <x:row r="281" ht="72" customHeight="1">
      <x:c r="A281" t="n">
        <x:v>1953</x:v>
      </x:c>
      <x:c r="B281" t="str">
        <x:v>JPY</x:v>
      </x:c>
      <x:c r="C281" s="12" t="str">
        <x:v>日元（JPY）</x:v>
      </x:c>
      <x:c r="D281" s="24" t="n">
        <x:v>360.000000359</x:v>
      </x:c>
      <x:c r="E281" s="20" t="str">
        <x:v>LCU/USD</x:v>
      </x:c>
      <x:c r="F281" s="20" t="n">
        <x:v>1</x:v>
      </x:c>
      <x:c r="G281" s="22" t="n">
        <x:f>IF(E281="LCU/USD",D281*F281,F281/D281)</x:f>
        <x:v>360.000000359</x:v>
      </x:c>
      <x:c r="H281" s="12" t="str">
        <x:v>年频（市场／估计）</x:v>
      </x:c>
      <x:c r="I281" s="12" t="str">
        <x:v>1953-01-01—1953-12-31</x:v>
      </x:c>
      <x:c r="J281" s="12" t="str">
        <x:v>PWT_JPY</x:v>
      </x:c>
      <x:c r="K281" s="12" t="str">
        <x:v>https://fred.stlouisfed.org/data/XRNCUSJPA618NRUG</x:v>
      </x:c>
      <x:c r="L281" s="12" t="str">
        <x:v>PWT年频估计／市场汇率口径，不保证与纽约日度年均报价一致。</x:v>
      </x:c>
      <x:c r="M281" s="12" t="str">
        <x:v>B：研究数据库年频估计</x:v>
      </x:c>
    </x:row>
    <x:row r="282" ht="72" customHeight="1">
      <x:c r="A282" t="n">
        <x:v>1953</x:v>
      </x:c>
      <x:c r="B282" t="str">
        <x:v>CHF</x:v>
      </x:c>
      <x:c r="C282" s="12" t="str">
        <x:v>瑞士法郎（CHF）</x:v>
      </x:c>
      <x:c r="D282" s="24" t="n">
        <x:v>4.2888</x:v>
      </x:c>
      <x:c r="E282" s="20" t="str">
        <x:v>LCU/USD</x:v>
      </x:c>
      <x:c r="F282" s="20" t="n">
        <x:v>1</x:v>
      </x:c>
      <x:c r="G282" s="22" t="n">
        <x:f>IF(E282="LCU/USD",D282*F282,F282/D282)</x:f>
        <x:v>4.2888</x:v>
      </x:c>
      <x:c r="H282" s="12" t="str">
        <x:v>年均</x:v>
      </x:c>
      <x:c r="I282" s="12" t="str">
        <x:v>1953-01-01—1953-12-31</x:v>
      </x:c>
      <x:c r="J282" s="12" t="str">
        <x:v>MW_CHF</x:v>
      </x:c>
      <x:c r="K282" s="12" t="str">
        <x:v>https://www.measuringworth.com/datasets/exchangeglobal/result.php?countryE%5B%5D=Switzerland&amp;year_result=1955&amp;year_source=1905</x:v>
      </x:c>
      <x:c r="L282" s="12" t="str"/>
      <x:c r="M282" s="12" t="str">
        <x:v>B：学术历史汇编</x:v>
      </x:c>
    </x:row>
    <x:row r="283" ht="72" customHeight="1">
      <x:c r="A283" t="n">
        <x:v>1953</x:v>
      </x:c>
      <x:c r="B283" t="str">
        <x:v>INR</x:v>
      </x:c>
      <x:c r="C283" s="12" t="str">
        <x:v>印度卢比（INR）</x:v>
      </x:c>
      <x:c r="D283" s="24" t="n">
        <x:v>4.76289987976872</x:v>
      </x:c>
      <x:c r="E283" s="20" t="str">
        <x:v>LCU/USD</x:v>
      </x:c>
      <x:c r="F283" s="20" t="n">
        <x:v>1</x:v>
      </x:c>
      <x:c r="G283" s="22" t="n">
        <x:f>IF(E283="LCU/USD",D283*F283,F283/D283)</x:f>
        <x:v>4.76289987976872</x:v>
      </x:c>
      <x:c r="H283" s="12" t="str">
        <x:v>年频（市场／估计）</x:v>
      </x:c>
      <x:c r="I283" s="12" t="str">
        <x:v>1953-01-01—1953-12-31</x:v>
      </x:c>
      <x:c r="J283" s="12" t="str">
        <x:v>PWT_INR</x:v>
      </x:c>
      <x:c r="K283" s="12" t="str">
        <x:v>https://fred.stlouisfed.org/data/XRNCUSINA618NRUG</x:v>
      </x:c>
      <x:c r="L283" s="12" t="str">
        <x:v>PWT年频估计／市场汇率口径，不保证与纽约日度年均报价一致。</x:v>
      </x:c>
      <x:c r="M283" s="12" t="str">
        <x:v>B：研究数据库年频估计</x:v>
      </x:c>
    </x:row>
    <x:row r="284" ht="72" customHeight="1">
      <x:c r="A284" t="n">
        <x:v>1953</x:v>
      </x:c>
      <x:c r="B284" t="str">
        <x:v>RUB</x:v>
      </x:c>
      <x:c r="C284" s="12" t="str">
        <x:v>苏联卢布（1947币制）</x:v>
      </x:c>
      <x:c r="D284" s="24" t="n">
        <x:v>4</x:v>
      </x:c>
      <x:c r="E284" s="20" t="str">
        <x:v>LCU/USD</x:v>
      </x:c>
      <x:c r="F284" s="20" t="n">
        <x:v>1</x:v>
      </x:c>
      <x:c r="G284" s="22" t="n">
        <x:f>IF(E284="LCU/USD",D284*F284,F284/D284)</x:f>
        <x:v>4</x:v>
      </x:c>
      <x:c r="H284" s="12" t="str">
        <x:v>官价区间参考（非年均）</x:v>
      </x:c>
      <x:c r="I284" s="12" t="str">
        <x:v>1950-03-01—1960-12-01</x:v>
      </x:c>
      <x:c r="J284" s="12" t="str">
        <x:v>SUR_OFFICIAL_SECONDARY</x:v>
      </x:c>
      <x:c r="K284" s="12" t="str">
        <x:v>https://en.wikipedia.org/wiki/Soviet_ruble#Exchange_rates</x:v>
      </x:c>
      <x:c r="L284" s="12" t="str">
        <x:v>源表同一官价覆盖的区间内年份；非逐年独立观测。只代表官方折算，非市场成交或购买力；原档案未复核。</x:v>
      </x:c>
      <x:c r="M284" s="12" t="str">
        <x:v>C：二手转引（原档未复核）</x:v>
      </x:c>
    </x:row>
    <x:row r="285" ht="72" customHeight="1">
      <x:c r="A285" t="n">
        <x:v>1953</x:v>
      </x:c>
      <x:c r="B285" t="str">
        <x:v>CNY</x:v>
      </x:c>
      <x:c r="C285" s="12" t="str">
        <x:v>第一套人民币元（旧币）</x:v>
      </x:c>
      <x:c r="D285" s="24" t="n">
        <x:v>2.46180842198822</x:v>
      </x:c>
      <x:c r="E285" s="20" t="str">
        <x:v>LCU/USD</x:v>
      </x:c>
      <x:c r="F285" s="20" t="n">
        <x:f>'币制说明'!$C$31</x:f>
        <x:v>10000</x:v>
      </x:c>
      <x:c r="G285" s="22" t="n">
        <x:f>IF(E285="LCU/USD",D285*F285,F285/D285)</x:f>
        <x:v>24618.0842198822</x:v>
      </x:c>
      <x:c r="H285" s="12" t="str">
        <x:v>年频（市场／估计）</x:v>
      </x:c>
      <x:c r="I285" s="12" t="str">
        <x:v>1953-01-01—1953-12-31</x:v>
      </x:c>
      <x:c r="J285" s="12" t="str">
        <x:v>PWT_CNY</x:v>
      </x:c>
      <x:c r="K285" s="12" t="str">
        <x:v>https://fred.stlouisfed.org/data/XRNCUSCNA618NRUG</x:v>
      </x:c>
      <x:c r="L285" s="12" t="str">
        <x:v>PWT年频估计／市场汇率口径，不保证与纽约日度年均报价一致。</x:v>
      </x:c>
      <x:c r="M285" s="12" t="str">
        <x:v>B：研究数据库年频估计</x:v>
      </x:c>
    </x:row>
    <x:row r="286" ht="72" customHeight="1">
      <x:c r="A286" t="n">
        <x:v>1954</x:v>
      </x:c>
      <x:c r="B286" t="str">
        <x:v>GBP</x:v>
      </x:c>
      <x:c r="C286" s="12" t="str">
        <x:v>英镑（GBP）</x:v>
      </x:c>
      <x:c r="D286" s="24" t="n">
        <x:v>0.357271356210102</x:v>
      </x:c>
      <x:c r="E286" s="20" t="str">
        <x:v>LCU/USD</x:v>
      </x:c>
      <x:c r="F286" s="20" t="n">
        <x:v>1</x:v>
      </x:c>
      <x:c r="G286" s="22" t="n">
        <x:f>IF(E286="LCU/USD",D286*F286,F286/D286)</x:f>
        <x:v>0.357271356210102</x:v>
      </x:c>
      <x:c r="H286" s="12" t="str">
        <x:v>年频（市场／估计）</x:v>
      </x:c>
      <x:c r="I286" s="12" t="str">
        <x:v>1954-01-01—1954-12-31</x:v>
      </x:c>
      <x:c r="J286" s="12" t="str">
        <x:v>PWT_GBP</x:v>
      </x:c>
      <x:c r="K286" s="12" t="str">
        <x:v>https://fred.stlouisfed.org/data/XRNCUSGBA618NRUG</x:v>
      </x:c>
      <x:c r="L286" s="12" t="str">
        <x:v>PWT年频估计／市场汇率口径，不保证与纽约日度年均报价一致。</x:v>
      </x:c>
      <x:c r="M286" s="12" t="str">
        <x:v>B：研究数据库年频估计</x:v>
      </x:c>
    </x:row>
    <x:row r="287" ht="72" customHeight="1">
      <x:c r="A287" t="n">
        <x:v>1954</x:v>
      </x:c>
      <x:c r="B287" t="str">
        <x:v>CAD</x:v>
      </x:c>
      <x:c r="C287" s="12" t="str">
        <x:v>加拿大元（CAD）</x:v>
      </x:c>
      <x:c r="D287" s="24" t="n">
        <x:v>0.975426490830591</x:v>
      </x:c>
      <x:c r="E287" s="20" t="str">
        <x:v>LCU/USD</x:v>
      </x:c>
      <x:c r="F287" s="20" t="n">
        <x:v>1</x:v>
      </x:c>
      <x:c r="G287" s="22" t="n">
        <x:f>IF(E287="LCU/USD",D287*F287,F287/D287)</x:f>
        <x:v>0.975426490830591</x:v>
      </x:c>
      <x:c r="H287" s="12" t="str">
        <x:v>年频（市场／估计）</x:v>
      </x:c>
      <x:c r="I287" s="12" t="str">
        <x:v>1954-01-01—1954-12-31</x:v>
      </x:c>
      <x:c r="J287" s="12" t="str">
        <x:v>PWT_CAD</x:v>
      </x:c>
      <x:c r="K287" s="12" t="str">
        <x:v>https://fred.stlouisfed.org/data/XRNCUSCAA618NRUG</x:v>
      </x:c>
      <x:c r="L287" s="12" t="str">
        <x:v>PWT年频估计／市场汇率口径，不保证与纽约日度年均报价一致。</x:v>
      </x:c>
      <x:c r="M287" s="12" t="str">
        <x:v>B：研究数据库年频估计</x:v>
      </x:c>
    </x:row>
    <x:row r="288" ht="72" customHeight="1">
      <x:c r="A288" t="n">
        <x:v>1954</x:v>
      </x:c>
      <x:c r="B288" t="str">
        <x:v>FR</x:v>
      </x:c>
      <x:c r="C288" s="12" t="str">
        <x:v>法国旧法郎</x:v>
      </x:c>
      <x:c r="D288" s="24" t="n">
        <x:v>0.533579098154996</x:v>
      </x:c>
      <x:c r="E288" s="20" t="str">
        <x:v>LCU/USD</x:v>
      </x:c>
      <x:c r="F288" s="20" t="n">
        <x:f>'币制说明'!$C$26*'币制说明'!$C$27</x:f>
        <x:v>655.957</x:v>
      </x:c>
      <x:c r="G288" s="22" t="n">
        <x:f>IF(E288="LCU/USD",D288*F288,F288/D288)</x:f>
        <x:v>350.0049444884567</x:v>
      </x:c>
      <x:c r="H288" s="12" t="str">
        <x:v>年频（市场／估计）</x:v>
      </x:c>
      <x:c r="I288" s="12" t="str">
        <x:v>1954-01-01—1954-12-31</x:v>
      </x:c>
      <x:c r="J288" s="12" t="str">
        <x:v>PWT_FR</x:v>
      </x:c>
      <x:c r="K288" s="12" t="str">
        <x:v>https://fred.stlouisfed.org/data/XRNCUSFRA618NRUG</x:v>
      </x:c>
      <x:c r="L288" s="12" t="str">
        <x:v>欧元回溯单位按不可撤销转换率还原；法国1960年前另乘100。 PWT年频估计／市场汇率口径，不保证与纽约日度年均报价一致。</x:v>
      </x:c>
      <x:c r="M288" s="12" t="str">
        <x:v>B：研究数据库年频估计</x:v>
      </x:c>
    </x:row>
    <x:row r="289" ht="72" customHeight="1">
      <x:c r="A289" t="n">
        <x:v>1954</x:v>
      </x:c>
      <x:c r="B289" t="str">
        <x:v>DE</x:v>
      </x:c>
      <x:c r="C289" s="12" t="str">
        <x:v>西德德国马克（DEM）</x:v>
      </x:c>
      <x:c r="D289" s="24" t="n">
        <x:v>2.14742575470433</x:v>
      </x:c>
      <x:c r="E289" s="20" t="str">
        <x:v>LCU/USD</x:v>
      </x:c>
      <x:c r="F289" s="20" t="n">
        <x:f>'币制说明'!$C$28</x:f>
        <x:v>1.95583</x:v>
      </x:c>
      <x:c r="G289" s="22" t="n">
        <x:f>IF(E289="LCU/USD",D289*F289,F289/D289)</x:f>
        <x:v>4.199999713823369</x:v>
      </x:c>
      <x:c r="H289" s="12" t="str">
        <x:v>年频（市场／估计）</x:v>
      </x:c>
      <x:c r="I289" s="12" t="str">
        <x:v>1954-01-01—1954-12-31</x:v>
      </x:c>
      <x:c r="J289" s="12" t="str">
        <x:v>PWT_DE</x:v>
      </x:c>
      <x:c r="K289" s="12" t="str">
        <x:v>https://fred.stlouisfed.org/data/XRNCUSDEA618NRUG</x:v>
      </x:c>
      <x:c r="L289" s="12" t="str">
        <x:v>欧元回溯单位按不可撤销转换率还原；法国1960年前另乘100。 PWT年频估计／市场汇率口径，不保证与纽约日度年均报价一致。</x:v>
      </x:c>
      <x:c r="M289" s="12" t="str">
        <x:v>B：研究数据库年频估计</x:v>
      </x:c>
    </x:row>
    <x:row r="290" ht="72" customHeight="1">
      <x:c r="A290" t="n">
        <x:v>1954</x:v>
      </x:c>
      <x:c r="B290" t="str">
        <x:v>IT</x:v>
      </x:c>
      <x:c r="C290" s="12" t="str">
        <x:v>意大利里拉（ITL）</x:v>
      </x:c>
      <x:c r="D290" s="24" t="n">
        <x:v>0.322210496630344</x:v>
      </x:c>
      <x:c r="E290" s="20" t="str">
        <x:v>LCU/USD</x:v>
      </x:c>
      <x:c r="F290" s="20" t="n">
        <x:f>'币制说明'!$C$29</x:f>
        <x:v>1936.27</x:v>
      </x:c>
      <x:c r="G290" s="22" t="n">
        <x:f>IF(E290="LCU/USD",D290*F290,F290/D290)</x:f>
        <x:v>623.8865183104361</x:v>
      </x:c>
      <x:c r="H290" s="12" t="str">
        <x:v>年频（市场／估计）</x:v>
      </x:c>
      <x:c r="I290" s="12" t="str">
        <x:v>1954-01-01—1954-12-31</x:v>
      </x:c>
      <x:c r="J290" s="12" t="str">
        <x:v>PWT_IT</x:v>
      </x:c>
      <x:c r="K290" s="12" t="str">
        <x:v>https://fred.stlouisfed.org/data/XRNCUSITA618NRUG</x:v>
      </x:c>
      <x:c r="L290" s="12" t="str">
        <x:v>欧元回溯单位按不可撤销转换率还原；法国1960年前另乘100。 PWT年频估计／市场汇率口径，不保证与纽约日度年均报价一致。</x:v>
      </x:c>
      <x:c r="M290" s="12" t="str">
        <x:v>B：研究数据库年频估计</x:v>
      </x:c>
    </x:row>
    <x:row r="291" ht="72" customHeight="1">
      <x:c r="A291" t="n">
        <x:v>1954</x:v>
      </x:c>
      <x:c r="B291" t="str">
        <x:v>JPY</x:v>
      </x:c>
      <x:c r="C291" s="12" t="str">
        <x:v>日元（JPY）</x:v>
      </x:c>
      <x:c r="D291" s="24" t="n">
        <x:v>360.000000359</x:v>
      </x:c>
      <x:c r="E291" s="20" t="str">
        <x:v>LCU/USD</x:v>
      </x:c>
      <x:c r="F291" s="20" t="n">
        <x:v>1</x:v>
      </x:c>
      <x:c r="G291" s="22" t="n">
        <x:f>IF(E291="LCU/USD",D291*F291,F291/D291)</x:f>
        <x:v>360.000000359</x:v>
      </x:c>
      <x:c r="H291" s="12" t="str">
        <x:v>年频（市场／估计）</x:v>
      </x:c>
      <x:c r="I291" s="12" t="str">
        <x:v>1954-01-01—1954-12-31</x:v>
      </x:c>
      <x:c r="J291" s="12" t="str">
        <x:v>PWT_JPY</x:v>
      </x:c>
      <x:c r="K291" s="12" t="str">
        <x:v>https://fred.stlouisfed.org/data/XRNCUSJPA618NRUG</x:v>
      </x:c>
      <x:c r="L291" s="12" t="str">
        <x:v>PWT年频估计／市场汇率口径，不保证与纽约日度年均报价一致。</x:v>
      </x:c>
      <x:c r="M291" s="12" t="str">
        <x:v>B：研究数据库年频估计</x:v>
      </x:c>
    </x:row>
    <x:row r="292" ht="72" customHeight="1">
      <x:c r="A292" t="n">
        <x:v>1954</x:v>
      </x:c>
      <x:c r="B292" t="str">
        <x:v>CHF</x:v>
      </x:c>
      <x:c r="C292" s="12" t="str">
        <x:v>瑞士法郎（CHF）</x:v>
      </x:c>
      <x:c r="D292" s="24" t="n">
        <x:v>4.2878</x:v>
      </x:c>
      <x:c r="E292" s="20" t="str">
        <x:v>LCU/USD</x:v>
      </x:c>
      <x:c r="F292" s="20" t="n">
        <x:v>1</x:v>
      </x:c>
      <x:c r="G292" s="22" t="n">
        <x:f>IF(E292="LCU/USD",D292*F292,F292/D292)</x:f>
        <x:v>4.2878</x:v>
      </x:c>
      <x:c r="H292" s="12" t="str">
        <x:v>年均</x:v>
      </x:c>
      <x:c r="I292" s="12" t="str">
        <x:v>1954-01-01—1954-12-31</x:v>
      </x:c>
      <x:c r="J292" s="12" t="str">
        <x:v>MW_CHF</x:v>
      </x:c>
      <x:c r="K292" s="12" t="str">
        <x:v>https://www.measuringworth.com/datasets/exchangeglobal/result.php?countryE%5B%5D=Switzerland&amp;year_result=1955&amp;year_source=1905</x:v>
      </x:c>
      <x:c r="L292" s="12" t="str"/>
      <x:c r="M292" s="12" t="str">
        <x:v>B：学术历史汇编</x:v>
      </x:c>
    </x:row>
    <x:row r="293" ht="72" customHeight="1">
      <x:c r="A293" t="n">
        <x:v>1954</x:v>
      </x:c>
      <x:c r="B293" t="str">
        <x:v>INR</x:v>
      </x:c>
      <x:c r="C293" s="12" t="str">
        <x:v>印度卢比（INR）</x:v>
      </x:c>
      <x:c r="D293" s="24" t="n">
        <x:v>4.76289987976872</x:v>
      </x:c>
      <x:c r="E293" s="20" t="str">
        <x:v>LCU/USD</x:v>
      </x:c>
      <x:c r="F293" s="20" t="n">
        <x:v>1</x:v>
      </x:c>
      <x:c r="G293" s="22" t="n">
        <x:f>IF(E293="LCU/USD",D293*F293,F293/D293)</x:f>
        <x:v>4.76289987976872</x:v>
      </x:c>
      <x:c r="H293" s="12" t="str">
        <x:v>年频（市场／估计）</x:v>
      </x:c>
      <x:c r="I293" s="12" t="str">
        <x:v>1954-01-01—1954-12-31</x:v>
      </x:c>
      <x:c r="J293" s="12" t="str">
        <x:v>PWT_INR</x:v>
      </x:c>
      <x:c r="K293" s="12" t="str">
        <x:v>https://fred.stlouisfed.org/data/XRNCUSINA618NRUG</x:v>
      </x:c>
      <x:c r="L293" s="12" t="str">
        <x:v>PWT年频估计／市场汇率口径，不保证与纽约日度年均报价一致。</x:v>
      </x:c>
      <x:c r="M293" s="12" t="str">
        <x:v>B：研究数据库年频估计</x:v>
      </x:c>
    </x:row>
    <x:row r="294" ht="72" customHeight="1">
      <x:c r="A294" t="n">
        <x:v>1954</x:v>
      </x:c>
      <x:c r="B294" t="str">
        <x:v>RUB</x:v>
      </x:c>
      <x:c r="C294" s="12" t="str">
        <x:v>苏联卢布（1947币制）</x:v>
      </x:c>
      <x:c r="D294" s="24" t="n">
        <x:v>4</x:v>
      </x:c>
      <x:c r="E294" s="20" t="str">
        <x:v>LCU/USD</x:v>
      </x:c>
      <x:c r="F294" s="20" t="n">
        <x:v>1</x:v>
      </x:c>
      <x:c r="G294" s="22" t="n">
        <x:f>IF(E294="LCU/USD",D294*F294,F294/D294)</x:f>
        <x:v>4</x:v>
      </x:c>
      <x:c r="H294" s="12" t="str">
        <x:v>官价区间参考（非年均）</x:v>
      </x:c>
      <x:c r="I294" s="12" t="str">
        <x:v>1950-03-01—1960-12-01</x:v>
      </x:c>
      <x:c r="J294" s="12" t="str">
        <x:v>SUR_OFFICIAL_SECONDARY</x:v>
      </x:c>
      <x:c r="K294" s="12" t="str">
        <x:v>https://en.wikipedia.org/wiki/Soviet_ruble#Exchange_rates</x:v>
      </x:c>
      <x:c r="L294" s="12" t="str">
        <x:v>源表同一官价覆盖的区间内年份；非逐年独立观测。只代表官方折算，非市场成交或购买力；原档案未复核。</x:v>
      </x:c>
      <x:c r="M294" s="12" t="str">
        <x:v>C：二手转引（原档未复核）</x:v>
      </x:c>
    </x:row>
    <x:row r="295" ht="72" customHeight="1">
      <x:c r="A295" t="n">
        <x:v>1954</x:v>
      </x:c>
      <x:c r="B295" t="str">
        <x:v>CNY</x:v>
      </x:c>
      <x:c r="C295" s="12" t="str">
        <x:v>第一套人民币元（旧币）</x:v>
      </x:c>
      <x:c r="D295" s="24" t="n">
        <x:v>2.46180842198822</x:v>
      </x:c>
      <x:c r="E295" s="20" t="str">
        <x:v>LCU/USD</x:v>
      </x:c>
      <x:c r="F295" s="20" t="n">
        <x:f>'币制说明'!$C$31</x:f>
        <x:v>10000</x:v>
      </x:c>
      <x:c r="G295" s="22" t="n">
        <x:f>IF(E295="LCU/USD",D295*F295,F295/D295)</x:f>
        <x:v>24618.0842198822</x:v>
      </x:c>
      <x:c r="H295" s="12" t="str">
        <x:v>年频（市场／估计）</x:v>
      </x:c>
      <x:c r="I295" s="12" t="str">
        <x:v>1954-01-01—1954-12-31</x:v>
      </x:c>
      <x:c r="J295" s="12" t="str">
        <x:v>PWT_CNY</x:v>
      </x:c>
      <x:c r="K295" s="12" t="str">
        <x:v>https://fred.stlouisfed.org/data/XRNCUSCNA618NRUG</x:v>
      </x:c>
      <x:c r="L295" s="12" t="str">
        <x:v>PWT年频估计／市场汇率口径，不保证与纽约日度年均报价一致。</x:v>
      </x:c>
      <x:c r="M295" s="12" t="str">
        <x:v>B：研究数据库年频估计</x:v>
      </x:c>
    </x:row>
    <x:row r="296" ht="72" customHeight="1">
      <x:c r="A296" t="n">
        <x:v>1955</x:v>
      </x:c>
      <x:c r="B296" t="str">
        <x:v>GBP</x:v>
      </x:c>
      <x:c r="C296" s="12" t="str">
        <x:v>英镑（GBP）</x:v>
      </x:c>
      <x:c r="D296" s="24" t="n">
        <x:v>0.357271356210102</x:v>
      </x:c>
      <x:c r="E296" s="20" t="str">
        <x:v>LCU/USD</x:v>
      </x:c>
      <x:c r="F296" s="20" t="n">
        <x:v>1</x:v>
      </x:c>
      <x:c r="G296" s="22" t="n">
        <x:f>IF(E296="LCU/USD",D296*F296,F296/D296)</x:f>
        <x:v>0.357271356210102</x:v>
      </x:c>
      <x:c r="H296" s="12" t="str">
        <x:v>年频（市场／估计）</x:v>
      </x:c>
      <x:c r="I296" s="12" t="str">
        <x:v>1955-01-01—1955-12-31</x:v>
      </x:c>
      <x:c r="J296" s="12" t="str">
        <x:v>PWT_GBP</x:v>
      </x:c>
      <x:c r="K296" s="12" t="str">
        <x:v>https://fred.stlouisfed.org/data/XRNCUSGBA618NRUG</x:v>
      </x:c>
      <x:c r="L296" s="12" t="str">
        <x:v>PWT年频估计／市场汇率口径，不保证与纽约日度年均报价一致。</x:v>
      </x:c>
      <x:c r="M296" s="12" t="str">
        <x:v>B：研究数据库年频估计</x:v>
      </x:c>
    </x:row>
    <x:row r="297" ht="72" customHeight="1">
      <x:c r="A297" t="n">
        <x:v>1955</x:v>
      </x:c>
      <x:c r="B297" t="str">
        <x:v>CAD</x:v>
      </x:c>
      <x:c r="C297" s="12" t="str">
        <x:v>加拿大元（CAD）</x:v>
      </x:c>
      <x:c r="D297" s="24" t="n">
        <x:v>0.988247723050954</x:v>
      </x:c>
      <x:c r="E297" s="20" t="str">
        <x:v>LCU/USD</x:v>
      </x:c>
      <x:c r="F297" s="20" t="n">
        <x:v>1</x:v>
      </x:c>
      <x:c r="G297" s="22" t="n">
        <x:f>IF(E297="LCU/USD",D297*F297,F297/D297)</x:f>
        <x:v>0.988247723050954</x:v>
      </x:c>
      <x:c r="H297" s="12" t="str">
        <x:v>年频（市场／估计）</x:v>
      </x:c>
      <x:c r="I297" s="12" t="str">
        <x:v>1955-01-01—1955-12-31</x:v>
      </x:c>
      <x:c r="J297" s="12" t="str">
        <x:v>PWT_CAD</x:v>
      </x:c>
      <x:c r="K297" s="12" t="str">
        <x:v>https://fred.stlouisfed.org/data/XRNCUSCAA618NRUG</x:v>
      </x:c>
      <x:c r="L297" s="12" t="str">
        <x:v>PWT年频估计／市场汇率口径，不保证与纽约日度年均报价一致。</x:v>
      </x:c>
      <x:c r="M297" s="12" t="str">
        <x:v>B：研究数据库年频估计</x:v>
      </x:c>
    </x:row>
    <x:row r="298" ht="72" customHeight="1">
      <x:c r="A298" t="n">
        <x:v>1955</x:v>
      </x:c>
      <x:c r="B298" t="str">
        <x:v>FR</x:v>
      </x:c>
      <x:c r="C298" s="12" t="str">
        <x:v>法国旧法郎</x:v>
      </x:c>
      <x:c r="D298" s="24" t="n">
        <x:v>0.533579098154996</x:v>
      </x:c>
      <x:c r="E298" s="20" t="str">
        <x:v>LCU/USD</x:v>
      </x:c>
      <x:c r="F298" s="20" t="n">
        <x:f>'币制说明'!$C$26*'币制说明'!$C$27</x:f>
        <x:v>655.957</x:v>
      </x:c>
      <x:c r="G298" s="22" t="n">
        <x:f>IF(E298="LCU/USD",D298*F298,F298/D298)</x:f>
        <x:v>350.0049444884567</x:v>
      </x:c>
      <x:c r="H298" s="12" t="str">
        <x:v>年频（市场／估计）</x:v>
      </x:c>
      <x:c r="I298" s="12" t="str">
        <x:v>1955-01-01—1955-12-31</x:v>
      </x:c>
      <x:c r="J298" s="12" t="str">
        <x:v>PWT_FR</x:v>
      </x:c>
      <x:c r="K298" s="12" t="str">
        <x:v>https://fred.stlouisfed.org/data/XRNCUSFRA618NRUG</x:v>
      </x:c>
      <x:c r="L298" s="12" t="str">
        <x:v>欧元回溯单位按不可撤销转换率还原；法国1960年前另乘100。 PWT年频估计／市场汇率口径，不保证与纽约日度年均报价一致。</x:v>
      </x:c>
      <x:c r="M298" s="12" t="str">
        <x:v>B：研究数据库年频估计</x:v>
      </x:c>
    </x:row>
    <x:row r="299" ht="72" customHeight="1">
      <x:c r="A299" t="n">
        <x:v>1955</x:v>
      </x:c>
      <x:c r="B299" t="str">
        <x:v>DE</x:v>
      </x:c>
      <x:c r="C299" s="12" t="str">
        <x:v>西德德国马克（DEM）</x:v>
      </x:c>
      <x:c r="D299" s="24" t="n">
        <x:v>2.14742575470433</x:v>
      </x:c>
      <x:c r="E299" s="20" t="str">
        <x:v>LCU/USD</x:v>
      </x:c>
      <x:c r="F299" s="20" t="n">
        <x:f>'币制说明'!$C$28</x:f>
        <x:v>1.95583</x:v>
      </x:c>
      <x:c r="G299" s="22" t="n">
        <x:f>IF(E299="LCU/USD",D299*F299,F299/D299)</x:f>
        <x:v>4.199999713823369</x:v>
      </x:c>
      <x:c r="H299" s="12" t="str">
        <x:v>年频（市场／估计）</x:v>
      </x:c>
      <x:c r="I299" s="12" t="str">
        <x:v>1955-01-01—1955-12-31</x:v>
      </x:c>
      <x:c r="J299" s="12" t="str">
        <x:v>PWT_DE</x:v>
      </x:c>
      <x:c r="K299" s="12" t="str">
        <x:v>https://fred.stlouisfed.org/data/XRNCUSDEA618NRUG</x:v>
      </x:c>
      <x:c r="L299" s="12" t="str">
        <x:v>欧元回溯单位按不可撤销转换率还原；法国1960年前另乘100。 PWT年频估计／市场汇率口径，不保证与纽约日度年均报价一致。</x:v>
      </x:c>
      <x:c r="M299" s="12" t="str">
        <x:v>B：研究数据库年频估计</x:v>
      </x:c>
    </x:row>
    <x:row r="300" ht="72" customHeight="1">
      <x:c r="A300" t="n">
        <x:v>1955</x:v>
      </x:c>
      <x:c r="B300" t="str">
        <x:v>IT</x:v>
      </x:c>
      <x:c r="C300" s="12" t="str">
        <x:v>意大利里拉（ITL）</x:v>
      </x:c>
      <x:c r="D300" s="24" t="n">
        <x:v>0.322210496630344</x:v>
      </x:c>
      <x:c r="E300" s="20" t="str">
        <x:v>LCU/USD</x:v>
      </x:c>
      <x:c r="F300" s="20" t="n">
        <x:f>'币制说明'!$C$29</x:f>
        <x:v>1936.27</x:v>
      </x:c>
      <x:c r="G300" s="22" t="n">
        <x:f>IF(E300="LCU/USD",D300*F300,F300/D300)</x:f>
        <x:v>623.8865183104361</x:v>
      </x:c>
      <x:c r="H300" s="12" t="str">
        <x:v>年频（市场／估计）</x:v>
      </x:c>
      <x:c r="I300" s="12" t="str">
        <x:v>1955-01-01—1955-12-31</x:v>
      </x:c>
      <x:c r="J300" s="12" t="str">
        <x:v>PWT_IT</x:v>
      </x:c>
      <x:c r="K300" s="12" t="str">
        <x:v>https://fred.stlouisfed.org/data/XRNCUSITA618NRUG</x:v>
      </x:c>
      <x:c r="L300" s="12" t="str">
        <x:v>欧元回溯单位按不可撤销转换率还原；法国1960年前另乘100。 PWT年频估计／市场汇率口径，不保证与纽约日度年均报价一致。</x:v>
      </x:c>
      <x:c r="M300" s="12" t="str">
        <x:v>B：研究数据库年频估计</x:v>
      </x:c>
    </x:row>
    <x:row r="301" ht="72" customHeight="1">
      <x:c r="A301" t="n">
        <x:v>1955</x:v>
      </x:c>
      <x:c r="B301" t="str">
        <x:v>JPY</x:v>
      </x:c>
      <x:c r="C301" s="12" t="str">
        <x:v>日元（JPY）</x:v>
      </x:c>
      <x:c r="D301" s="24" t="n">
        <x:v>360.000000359</x:v>
      </x:c>
      <x:c r="E301" s="20" t="str">
        <x:v>LCU/USD</x:v>
      </x:c>
      <x:c r="F301" s="20" t="n">
        <x:v>1</x:v>
      </x:c>
      <x:c r="G301" s="22" t="n">
        <x:f>IF(E301="LCU/USD",D301*F301,F301/D301)</x:f>
        <x:v>360.000000359</x:v>
      </x:c>
      <x:c r="H301" s="12" t="str">
        <x:v>年频（市场／估计）</x:v>
      </x:c>
      <x:c r="I301" s="12" t="str">
        <x:v>1955-01-01—1955-12-31</x:v>
      </x:c>
      <x:c r="J301" s="12" t="str">
        <x:v>PWT_JPY</x:v>
      </x:c>
      <x:c r="K301" s="12" t="str">
        <x:v>https://fred.stlouisfed.org/data/XRNCUSJPA618NRUG</x:v>
      </x:c>
      <x:c r="L301" s="12" t="str">
        <x:v>PWT年频估计／市场汇率口径，不保证与纽约日度年均报价一致。</x:v>
      </x:c>
      <x:c r="M301" s="12" t="str">
        <x:v>B：研究数据库年频估计</x:v>
      </x:c>
    </x:row>
    <x:row r="302" ht="72" customHeight="1">
      <x:c r="A302" t="n">
        <x:v>1955</x:v>
      </x:c>
      <x:c r="B302" t="str">
        <x:v>CHF</x:v>
      </x:c>
      <x:c r="C302" s="12" t="str">
        <x:v>瑞士法郎（CHF）</x:v>
      </x:c>
      <x:c r="D302" s="24" t="n">
        <x:v>4.2862</x:v>
      </x:c>
      <x:c r="E302" s="20" t="str">
        <x:v>LCU/USD</x:v>
      </x:c>
      <x:c r="F302" s="20" t="n">
        <x:v>1</x:v>
      </x:c>
      <x:c r="G302" s="22" t="n">
        <x:f>IF(E302="LCU/USD",D302*F302,F302/D302)</x:f>
        <x:v>4.2862</x:v>
      </x:c>
      <x:c r="H302" s="12" t="str">
        <x:v>年均</x:v>
      </x:c>
      <x:c r="I302" s="12" t="str">
        <x:v>1955-01-01—1955-12-31</x:v>
      </x:c>
      <x:c r="J302" s="12" t="str">
        <x:v>MW_CHF</x:v>
      </x:c>
      <x:c r="K302" s="12" t="str">
        <x:v>https://www.measuringworth.com/datasets/exchangeglobal/result.php?countryE%5B%5D=Switzerland&amp;year_result=1955&amp;year_source=1905</x:v>
      </x:c>
      <x:c r="L302" s="12" t="str"/>
      <x:c r="M302" s="12" t="str">
        <x:v>B：学术历史汇编</x:v>
      </x:c>
    </x:row>
    <x:row r="303" ht="72" customHeight="1">
      <x:c r="A303" t="n">
        <x:v>1955</x:v>
      </x:c>
      <x:c r="B303" t="str">
        <x:v>INR</x:v>
      </x:c>
      <x:c r="C303" s="12" t="str">
        <x:v>印度卢比（INR）</x:v>
      </x:c>
      <x:c r="D303" s="24" t="n">
        <x:v>4.76389980729033</x:v>
      </x:c>
      <x:c r="E303" s="20" t="str">
        <x:v>LCU/USD</x:v>
      </x:c>
      <x:c r="F303" s="20" t="n">
        <x:v>1</x:v>
      </x:c>
      <x:c r="G303" s="22" t="n">
        <x:f>IF(E303="LCU/USD",D303*F303,F303/D303)</x:f>
        <x:v>4.76389980729033</x:v>
      </x:c>
      <x:c r="H303" s="12" t="str">
        <x:v>年频（市场／估计）</x:v>
      </x:c>
      <x:c r="I303" s="12" t="str">
        <x:v>1955-01-01—1955-12-31</x:v>
      </x:c>
      <x:c r="J303" s="12" t="str">
        <x:v>PWT_INR</x:v>
      </x:c>
      <x:c r="K303" s="12" t="str">
        <x:v>https://fred.stlouisfed.org/data/XRNCUSINA618NRUG</x:v>
      </x:c>
      <x:c r="L303" s="12" t="str">
        <x:v>PWT年频估计／市场汇率口径，不保证与纽约日度年均报价一致。</x:v>
      </x:c>
      <x:c r="M303" s="12" t="str">
        <x:v>B：研究数据库年频估计</x:v>
      </x:c>
    </x:row>
    <x:row r="304" ht="72" customHeight="1">
      <x:c r="A304" t="n">
        <x:v>1955</x:v>
      </x:c>
      <x:c r="B304" t="str">
        <x:v>RUB</x:v>
      </x:c>
      <x:c r="C304" s="12" t="str">
        <x:v>苏联卢布（1947币制）</x:v>
      </x:c>
      <x:c r="D304" s="24" t="n">
        <x:v>4</x:v>
      </x:c>
      <x:c r="E304" s="20" t="str">
        <x:v>LCU/USD</x:v>
      </x:c>
      <x:c r="F304" s="20" t="n">
        <x:v>1</x:v>
      </x:c>
      <x:c r="G304" s="22" t="n">
        <x:f>IF(E304="LCU/USD",D304*F304,F304/D304)</x:f>
        <x:v>4</x:v>
      </x:c>
      <x:c r="H304" s="12" t="str">
        <x:v>官价区间参考（非年均）</x:v>
      </x:c>
      <x:c r="I304" s="12" t="str">
        <x:v>1950-03-01—1960-12-01</x:v>
      </x:c>
      <x:c r="J304" s="12" t="str">
        <x:v>SUR_OFFICIAL_SECONDARY</x:v>
      </x:c>
      <x:c r="K304" s="12" t="str">
        <x:v>https://en.wikipedia.org/wiki/Soviet_ruble#Exchange_rates</x:v>
      </x:c>
      <x:c r="L304" s="12" t="str">
        <x:v>源表同一官价覆盖的区间内年份；非逐年独立观测。只代表官方折算，非市场成交或购买力；原档案未复核。</x:v>
      </x:c>
      <x:c r="M304" s="12" t="str">
        <x:v>C：二手转引（原档未复核）</x:v>
      </x:c>
    </x:row>
    <x:row r="305" ht="72" customHeight="1">
      <x:c r="A305" t="n">
        <x:v>1955</x:v>
      </x:c>
      <x:c r="B305" t="str">
        <x:v>CNY</x:v>
      </x:c>
      <x:c r="C305" s="12" t="str">
        <x:v>人民币元（1955币制；CNY）</x:v>
      </x:c>
      <x:c r="D305" s="24" t="n">
        <x:v>2.46180842198822</x:v>
      </x:c>
      <x:c r="E305" s="20" t="str">
        <x:v>LCU/USD</x:v>
      </x:c>
      <x:c r="F305" s="20" t="n">
        <x:v>1</x:v>
      </x:c>
      <x:c r="G305" s="22" t="n">
        <x:f>IF(E305="LCU/USD",D305*F305,F305/D305)</x:f>
        <x:v>2.46180842198822</x:v>
      </x:c>
      <x:c r="H305" s="12" t="str">
        <x:v>年频（市场／估计）</x:v>
      </x:c>
      <x:c r="I305" s="12" t="str">
        <x:v>1955-01-01—1955-12-31</x:v>
      </x:c>
      <x:c r="J305" s="12" t="str">
        <x:v>PWT_CNY</x:v>
      </x:c>
      <x:c r="K305" s="12" t="str">
        <x:v>https://fred.stlouisfed.org/data/XRNCUSCNA618NRUG</x:v>
      </x:c>
      <x:c r="L305" s="12" t="str">
        <x:v>币改过渡年：全年统一折为1955年新人民币元，不混加新旧面额。 PWT年频估计／市场汇率口径，不保证与纽约日度年均报价一致。</x:v>
      </x:c>
      <x:c r="M305" s="12" t="str">
        <x:v>B：研究数据库年频估计</x:v>
      </x:c>
    </x:row>
    <x:row r="306" ht="72" customHeight="1">
      <x:c r="A306" t="n">
        <x:v>1956</x:v>
      </x:c>
      <x:c r="B306" t="str">
        <x:v>GBP</x:v>
      </x:c>
      <x:c r="C306" s="12" t="str">
        <x:v>英镑（GBP）</x:v>
      </x:c>
      <x:c r="D306" s="24" t="n">
        <x:v>0.357371402609925</x:v>
      </x:c>
      <x:c r="E306" s="20" t="str">
        <x:v>LCU/USD</x:v>
      </x:c>
      <x:c r="F306" s="20" t="n">
        <x:v>1</x:v>
      </x:c>
      <x:c r="G306" s="22" t="n">
        <x:f>IF(E306="LCU/USD",D306*F306,F306/D306)</x:f>
        <x:v>0.357371402609925</x:v>
      </x:c>
      <x:c r="H306" s="12" t="str">
        <x:v>年频（市场／估计）</x:v>
      </x:c>
      <x:c r="I306" s="12" t="str">
        <x:v>1956-01-01—1956-12-31</x:v>
      </x:c>
      <x:c r="J306" s="12" t="str">
        <x:v>PWT_GBP</x:v>
      </x:c>
      <x:c r="K306" s="12" t="str">
        <x:v>https://fred.stlouisfed.org/data/XRNCUSGBA618NRUG</x:v>
      </x:c>
      <x:c r="L306" s="12" t="str">
        <x:v>PWT年频估计／市场汇率口径，不保证与纽约日度年均报价一致。</x:v>
      </x:c>
      <x:c r="M306" s="12" t="str">
        <x:v>B：研究数据库年频估计</x:v>
      </x:c>
    </x:row>
    <x:row r="307" ht="72" customHeight="1">
      <x:c r="A307" t="n">
        <x:v>1956</x:v>
      </x:c>
      <x:c r="B307" t="str">
        <x:v>CAD</x:v>
      </x:c>
      <x:c r="C307" s="12" t="str">
        <x:v>加拿大元（CAD）</x:v>
      </x:c>
      <x:c r="D307" s="24" t="n">
        <x:v>0.986144247085417</x:v>
      </x:c>
      <x:c r="E307" s="20" t="str">
        <x:v>LCU/USD</x:v>
      </x:c>
      <x:c r="F307" s="20" t="n">
        <x:v>1</x:v>
      </x:c>
      <x:c r="G307" s="22" t="n">
        <x:f>IF(E307="LCU/USD",D307*F307,F307/D307)</x:f>
        <x:v>0.986144247085417</x:v>
      </x:c>
      <x:c r="H307" s="12" t="str">
        <x:v>年频（市场／估计）</x:v>
      </x:c>
      <x:c r="I307" s="12" t="str">
        <x:v>1956-01-01—1956-12-31</x:v>
      </x:c>
      <x:c r="J307" s="12" t="str">
        <x:v>PWT_CAD</x:v>
      </x:c>
      <x:c r="K307" s="12" t="str">
        <x:v>https://fred.stlouisfed.org/data/XRNCUSCAA618NRUG</x:v>
      </x:c>
      <x:c r="L307" s="12" t="str">
        <x:v>PWT年频估计／市场汇率口径，不保证与纽约日度年均报价一致。</x:v>
      </x:c>
      <x:c r="M307" s="12" t="str">
        <x:v>B：研究数据库年频估计</x:v>
      </x:c>
    </x:row>
    <x:row r="308" ht="72" customHeight="1">
      <x:c r="A308" t="n">
        <x:v>1956</x:v>
      </x:c>
      <x:c r="B308" t="str">
        <x:v>FR</x:v>
      </x:c>
      <x:c r="C308" s="12" t="str">
        <x:v>法国旧法郎</x:v>
      </x:c>
      <x:c r="D308" s="24" t="n">
        <x:v>0.533579098154996</x:v>
      </x:c>
      <x:c r="E308" s="20" t="str">
        <x:v>LCU/USD</x:v>
      </x:c>
      <x:c r="F308" s="20" t="n">
        <x:f>'币制说明'!$C$26*'币制说明'!$C$27</x:f>
        <x:v>655.957</x:v>
      </x:c>
      <x:c r="G308" s="22" t="n">
        <x:f>IF(E308="LCU/USD",D308*F308,F308/D308)</x:f>
        <x:v>350.0049444884567</x:v>
      </x:c>
      <x:c r="H308" s="12" t="str">
        <x:v>年频（市场／估计）</x:v>
      </x:c>
      <x:c r="I308" s="12" t="str">
        <x:v>1956-01-01—1956-12-31</x:v>
      </x:c>
      <x:c r="J308" s="12" t="str">
        <x:v>PWT_FR</x:v>
      </x:c>
      <x:c r="K308" s="12" t="str">
        <x:v>https://fred.stlouisfed.org/data/XRNCUSFRA618NRUG</x:v>
      </x:c>
      <x:c r="L308" s="12" t="str">
        <x:v>欧元回溯单位按不可撤销转换率还原；法国1960年前另乘100。 PWT年频估计／市场汇率口径，不保证与纽约日度年均报价一致。</x:v>
      </x:c>
      <x:c r="M308" s="12" t="str">
        <x:v>B：研究数据库年频估计</x:v>
      </x:c>
    </x:row>
    <x:row r="309" ht="72" customHeight="1">
      <x:c r="A309" t="n">
        <x:v>1956</x:v>
      </x:c>
      <x:c r="B309" t="str">
        <x:v>DE</x:v>
      </x:c>
      <x:c r="C309" s="12" t="str">
        <x:v>西德德国马克（DEM）</x:v>
      </x:c>
      <x:c r="D309" s="24" t="n">
        <x:v>2.14742575470433</x:v>
      </x:c>
      <x:c r="E309" s="20" t="str">
        <x:v>LCU/USD</x:v>
      </x:c>
      <x:c r="F309" s="20" t="n">
        <x:f>'币制说明'!$C$28</x:f>
        <x:v>1.95583</x:v>
      </x:c>
      <x:c r="G309" s="22" t="n">
        <x:f>IF(E309="LCU/USD",D309*F309,F309/D309)</x:f>
        <x:v>4.199999713823369</x:v>
      </x:c>
      <x:c r="H309" s="12" t="str">
        <x:v>年频（市场／估计）</x:v>
      </x:c>
      <x:c r="I309" s="12" t="str">
        <x:v>1956-01-01—1956-12-31</x:v>
      </x:c>
      <x:c r="J309" s="12" t="str">
        <x:v>PWT_DE</x:v>
      </x:c>
      <x:c r="K309" s="12" t="str">
        <x:v>https://fred.stlouisfed.org/data/XRNCUSDEA618NRUG</x:v>
      </x:c>
      <x:c r="L309" s="12" t="str">
        <x:v>欧元回溯单位按不可撤销转换率还原；法国1960年前另乘100。 PWT年频估计／市场汇率口径，不保证与纽约日度年均报价一致。</x:v>
      </x:c>
      <x:c r="M309" s="12" t="str">
        <x:v>B：研究数据库年频估计</x:v>
      </x:c>
    </x:row>
    <x:row r="310" ht="72" customHeight="1">
      <x:c r="A310" t="n">
        <x:v>1956</x:v>
      </x:c>
      <x:c r="B310" t="str">
        <x:v>IT</x:v>
      </x:c>
      <x:c r="C310" s="12" t="str">
        <x:v>意大利里拉（ITL）</x:v>
      </x:c>
      <x:c r="D310" s="24" t="n">
        <x:v>0.322210496630344</x:v>
      </x:c>
      <x:c r="E310" s="20" t="str">
        <x:v>LCU/USD</x:v>
      </x:c>
      <x:c r="F310" s="20" t="n">
        <x:f>'币制说明'!$C$29</x:f>
        <x:v>1936.27</x:v>
      </x:c>
      <x:c r="G310" s="22" t="n">
        <x:f>IF(E310="LCU/USD",D310*F310,F310/D310)</x:f>
        <x:v>623.8865183104361</x:v>
      </x:c>
      <x:c r="H310" s="12" t="str">
        <x:v>年频（市场／估计）</x:v>
      </x:c>
      <x:c r="I310" s="12" t="str">
        <x:v>1956-01-01—1956-12-31</x:v>
      </x:c>
      <x:c r="J310" s="12" t="str">
        <x:v>PWT_IT</x:v>
      </x:c>
      <x:c r="K310" s="12" t="str">
        <x:v>https://fred.stlouisfed.org/data/XRNCUSITA618NRUG</x:v>
      </x:c>
      <x:c r="L310" s="12" t="str">
        <x:v>欧元回溯单位按不可撤销转换率还原；法国1960年前另乘100。 PWT年频估计／市场汇率口径，不保证与纽约日度年均报价一致。</x:v>
      </x:c>
      <x:c r="M310" s="12" t="str">
        <x:v>B：研究数据库年频估计</x:v>
      </x:c>
    </x:row>
    <x:row r="311" ht="72" customHeight="1">
      <x:c r="A311" t="n">
        <x:v>1956</x:v>
      </x:c>
      <x:c r="B311" t="str">
        <x:v>JPY</x:v>
      </x:c>
      <x:c r="C311" s="12" t="str">
        <x:v>日元（JPY）</x:v>
      </x:c>
      <x:c r="D311" s="24" t="n">
        <x:v>359.84</x:v>
      </x:c>
      <x:c r="E311" s="20" t="str">
        <x:v>LCU/USD</x:v>
      </x:c>
      <x:c r="F311" s="20" t="n">
        <x:v>1</x:v>
      </x:c>
      <x:c r="G311" s="22" t="n">
        <x:f>IF(E311="LCU/USD",D311*F311,F311/D311)</x:f>
        <x:v>359.84</x:v>
      </x:c>
      <x:c r="H311" s="12" t="str">
        <x:v>年均</x:v>
      </x:c>
      <x:c r="I311" s="12" t="str">
        <x:v>1956-01-01—1956-12-31</x:v>
      </x:c>
      <x:c r="J311" s="12" t="str">
        <x:v>MW_JPY</x:v>
      </x:c>
      <x:c r="K311" s="12" t="str">
        <x:v>https://www.measuringworth.com/datasets/exchangeglobal/result.php?countryE%5B%5D=Japan&amp;year_result=2016&amp;year_source=1916</x:v>
      </x:c>
      <x:c r="L311" s="12" t="str"/>
      <x:c r="M311" s="12" t="str">
        <x:v>B：学术历史汇编</x:v>
      </x:c>
    </x:row>
    <x:row r="312" ht="72" customHeight="1">
      <x:c r="A312" t="n">
        <x:v>1956</x:v>
      </x:c>
      <x:c r="B312" t="str">
        <x:v>CHF</x:v>
      </x:c>
      <x:c r="C312" s="12" t="str">
        <x:v>瑞士法郎（CHF）</x:v>
      </x:c>
      <x:c r="D312" s="24" t="n">
        <x:v>4.37300007127372</x:v>
      </x:c>
      <x:c r="E312" s="20" t="str">
        <x:v>LCU/USD</x:v>
      </x:c>
      <x:c r="F312" s="20" t="n">
        <x:v>1</x:v>
      </x:c>
      <x:c r="G312" s="22" t="n">
        <x:f>IF(E312="LCU/USD",D312*F312,F312/D312)</x:f>
        <x:v>4.37300007127372</x:v>
      </x:c>
      <x:c r="H312" s="12" t="str">
        <x:v>年频（市场／估计）</x:v>
      </x:c>
      <x:c r="I312" s="12" t="str">
        <x:v>1956-01-01—1956-12-31</x:v>
      </x:c>
      <x:c r="J312" s="12" t="str">
        <x:v>PWT_CHF</x:v>
      </x:c>
      <x:c r="K312" s="12" t="str">
        <x:v>https://fred.stlouisfed.org/data/XRNCUSCHA618NRUG</x:v>
      </x:c>
      <x:c r="L312" s="12" t="str">
        <x:v>PWT年频市场／估计值；与邻年纽约市场报价口径不同。 PWT年频估计／市场汇率口径，不保证与纽约日度年均报价一致。</x:v>
      </x:c>
      <x:c r="M312" s="12" t="str">
        <x:v>B：研究数据库年频估计</x:v>
      </x:c>
    </x:row>
    <x:row r="313" ht="72" customHeight="1">
      <x:c r="A313" t="n">
        <x:v>1956</x:v>
      </x:c>
      <x:c r="B313" t="str">
        <x:v>INR</x:v>
      </x:c>
      <x:c r="C313" s="12" t="str">
        <x:v>印度卢比（INR）</x:v>
      </x:c>
      <x:c r="D313" s="24" t="n">
        <x:v>4.7618999522471</x:v>
      </x:c>
      <x:c r="E313" s="20" t="str">
        <x:v>LCU/USD</x:v>
      </x:c>
      <x:c r="F313" s="20" t="n">
        <x:v>1</x:v>
      </x:c>
      <x:c r="G313" s="22" t="n">
        <x:f>IF(E313="LCU/USD",D313*F313,F313/D313)</x:f>
        <x:v>4.7618999522471</x:v>
      </x:c>
      <x:c r="H313" s="12" t="str">
        <x:v>年频（市场／估计）</x:v>
      </x:c>
      <x:c r="I313" s="12" t="str">
        <x:v>1956-01-01—1956-12-31</x:v>
      </x:c>
      <x:c r="J313" s="12" t="str">
        <x:v>PWT_INR</x:v>
      </x:c>
      <x:c r="K313" s="12" t="str">
        <x:v>https://fred.stlouisfed.org/data/XRNCUSINA618NRUG</x:v>
      </x:c>
      <x:c r="L313" s="12" t="str">
        <x:v>PWT年频估计／市场汇率口径，不保证与纽约日度年均报价一致。</x:v>
      </x:c>
      <x:c r="M313" s="12" t="str">
        <x:v>B：研究数据库年频估计</x:v>
      </x:c>
    </x:row>
    <x:row r="314" ht="72" customHeight="1">
      <x:c r="A314" t="n">
        <x:v>1956</x:v>
      </x:c>
      <x:c r="B314" t="str">
        <x:v>RUB</x:v>
      </x:c>
      <x:c r="C314" s="12" t="str">
        <x:v>苏联卢布（1947币制）</x:v>
      </x:c>
      <x:c r="D314" s="24" t="n">
        <x:v>4</x:v>
      </x:c>
      <x:c r="E314" s="20" t="str">
        <x:v>LCU/USD</x:v>
      </x:c>
      <x:c r="F314" s="20" t="n">
        <x:v>1</x:v>
      </x:c>
      <x:c r="G314" s="22" t="n">
        <x:f>IF(E314="LCU/USD",D314*F314,F314/D314)</x:f>
        <x:v>4</x:v>
      </x:c>
      <x:c r="H314" s="12" t="str">
        <x:v>官价区间参考（非年均）</x:v>
      </x:c>
      <x:c r="I314" s="12" t="str">
        <x:v>1950-03-01—1960-12-01</x:v>
      </x:c>
      <x:c r="J314" s="12" t="str">
        <x:v>SUR_OFFICIAL_SECONDARY</x:v>
      </x:c>
      <x:c r="K314" s="12" t="str">
        <x:v>https://en.wikipedia.org/wiki/Soviet_ruble#Exchange_rates</x:v>
      </x:c>
      <x:c r="L314" s="12" t="str">
        <x:v>源表同一官价覆盖的区间内年份；非逐年独立观测。只代表官方折算，非市场成交或购买力；原档案未复核。</x:v>
      </x:c>
      <x:c r="M314" s="12" t="str">
        <x:v>C：二手转引（原档未复核）</x:v>
      </x:c>
    </x:row>
    <x:row r="315" ht="72" customHeight="1">
      <x:c r="A315" t="n">
        <x:v>1956</x:v>
      </x:c>
      <x:c r="B315" t="str">
        <x:v>CNY</x:v>
      </x:c>
      <x:c r="C315" s="12" t="str">
        <x:v>人民币元（1955币制；CNY）</x:v>
      </x:c>
      <x:c r="D315" s="24" t="n">
        <x:v>2.46180842198822</x:v>
      </x:c>
      <x:c r="E315" s="20" t="str">
        <x:v>LCU/USD</x:v>
      </x:c>
      <x:c r="F315" s="20" t="n">
        <x:v>1</x:v>
      </x:c>
      <x:c r="G315" s="22" t="n">
        <x:f>IF(E315="LCU/USD",D315*F315,F315/D315)</x:f>
        <x:v>2.46180842198822</x:v>
      </x:c>
      <x:c r="H315" s="12" t="str">
        <x:v>年频（市场／估计）</x:v>
      </x:c>
      <x:c r="I315" s="12" t="str">
        <x:v>1956-01-01—1956-12-31</x:v>
      </x:c>
      <x:c r="J315" s="12" t="str">
        <x:v>PWT_CNY</x:v>
      </x:c>
      <x:c r="K315" s="12" t="str">
        <x:v>https://fred.stlouisfed.org/data/XRNCUSCNA618NRUG</x:v>
      </x:c>
      <x:c r="L315" s="12" t="str">
        <x:v>PWT年频估计／市场汇率口径，不保证与纽约日度年均报价一致。</x:v>
      </x:c>
      <x:c r="M315" s="12" t="str">
        <x:v>B：研究数据库年频估计</x:v>
      </x:c>
    </x:row>
    <x:row r="316" ht="72" customHeight="1">
      <x:c r="A316" t="n">
        <x:v>1957</x:v>
      </x:c>
      <x:c r="B316" t="str">
        <x:v>GBP</x:v>
      </x:c>
      <x:c r="C316" s="12" t="str">
        <x:v>英镑（GBP）</x:v>
      </x:c>
      <x:c r="D316" s="24" t="n">
        <x:v>0.3579727017</x:v>
      </x:c>
      <x:c r="E316" s="20" t="str">
        <x:v>LCU/USD</x:v>
      </x:c>
      <x:c r="F316" s="20" t="n">
        <x:v>1</x:v>
      </x:c>
      <x:c r="G316" s="22" t="n">
        <x:f>IF(E316="LCU/USD",D316*F316,F316/D316)</x:f>
        <x:v>0.3579727017</x:v>
      </x:c>
      <x:c r="H316" s="12" t="str">
        <x:v>年均</x:v>
      </x:c>
      <x:c r="I316" s="12" t="str">
        <x:v>1957-01-01—1957-12-31</x:v>
      </x:c>
      <x:c r="J316" s="12" t="str">
        <x:v>OECD_GBP</x:v>
      </x:c>
      <x:c r="K316" s="12" t="str">
        <x:v>https://fred.stlouisfed.org/data/CCUSMA02GBA618N</x:v>
      </x:c>
      <x:c r="L316" s="12" t="str"/>
      <x:c r="M316" s="12" t="str">
        <x:v>A：机构统计／原始统计表</x:v>
      </x:c>
    </x:row>
    <x:row r="317" ht="72" customHeight="1">
      <x:c r="A317" t="n">
        <x:v>1957</x:v>
      </x:c>
      <x:c r="B317" t="str">
        <x:v>CAD</x:v>
      </x:c>
      <x:c r="C317" s="12" t="str">
        <x:v>加拿大元（CAD）</x:v>
      </x:c>
      <x:c r="D317" s="24" t="n">
        <x:v>0.9588333333</x:v>
      </x:c>
      <x:c r="E317" s="20" t="str">
        <x:v>LCU/USD</x:v>
      </x:c>
      <x:c r="F317" s="20" t="n">
        <x:v>1</x:v>
      </x:c>
      <x:c r="G317" s="22" t="n">
        <x:f>IF(E317="LCU/USD",D317*F317,F317/D317)</x:f>
        <x:v>0.9588333333</x:v>
      </x:c>
      <x:c r="H317" s="12" t="str">
        <x:v>年均</x:v>
      </x:c>
      <x:c r="I317" s="12" t="str">
        <x:v>1957-01-01—1957-12-31</x:v>
      </x:c>
      <x:c r="J317" s="12" t="str">
        <x:v>OECD_CAD</x:v>
      </x:c>
      <x:c r="K317" s="12" t="str">
        <x:v>https://fred.stlouisfed.org/data/CCUSMA02CAA618N</x:v>
      </x:c>
      <x:c r="L317" s="12" t="str"/>
      <x:c r="M317" s="12" t="str">
        <x:v>A：机构统计／原始统计表</x:v>
      </x:c>
    </x:row>
    <x:row r="318" ht="72" customHeight="1">
      <x:c r="A318" t="n">
        <x:v>1957</x:v>
      </x:c>
      <x:c r="B318" t="str">
        <x:v>FR</x:v>
      </x:c>
      <x:c r="C318" s="12" t="str">
        <x:v>法国旧法郎</x:v>
      </x:c>
      <x:c r="D318" s="24" t="n">
        <x:v>0.5608472303</x:v>
      </x:c>
      <x:c r="E318" s="20" t="str">
        <x:v>LCU/USD</x:v>
      </x:c>
      <x:c r="F318" s="20" t="n">
        <x:f>'币制说明'!$C$26*'币制说明'!$C$27</x:f>
        <x:v>655.957</x:v>
      </x:c>
      <x:c r="G318" s="22" t="n">
        <x:f>IF(E318="LCU/USD",D318*F318,F318/D318)</x:f>
        <x:v>367.89166664589715</x:v>
      </x:c>
      <x:c r="H318" s="12" t="str">
        <x:v>年均</x:v>
      </x:c>
      <x:c r="I318" s="12" t="str">
        <x:v>1957-01-01—1957-12-31</x:v>
      </x:c>
      <x:c r="J318" s="12" t="str">
        <x:v>OECD_FR</x:v>
      </x:c>
      <x:c r="K318" s="12" t="str">
        <x:v>https://fred.stlouisfed.org/data/CCUSMA02FRA618N</x:v>
      </x:c>
      <x:c r="L318" s="12" t="str">
        <x:v>由欧元回溯单位还原当年本币；非当年实际欧元报价。 欧元回溯单位按不可撤销转换率还原；法国1960年前另乘100。</x:v>
      </x:c>
      <x:c r="M318" s="12" t="str">
        <x:v>A：机构统计／原始统计表</x:v>
      </x:c>
    </x:row>
    <x:row r="319" ht="72" customHeight="1">
      <x:c r="A319" t="n">
        <x:v>1957</x:v>
      </x:c>
      <x:c r="B319" t="str">
        <x:v>DE</x:v>
      </x:c>
      <x:c r="C319" s="12" t="str">
        <x:v>西德德国马克（DEM）</x:v>
      </x:c>
      <x:c r="D319" s="24" t="n">
        <x:v>2.1484284592</x:v>
      </x:c>
      <x:c r="E319" s="20" t="str">
        <x:v>LCU/USD</x:v>
      </x:c>
      <x:c r="F319" s="20" t="n">
        <x:f>'币制说明'!$C$28</x:f>
        <x:v>1.95583</x:v>
      </x:c>
      <x:c r="G319" s="22" t="n">
        <x:f>IF(E319="LCU/USD",D319*F319,F319/D319)</x:f>
        <x:v>4.201960833357136</x:v>
      </x:c>
      <x:c r="H319" s="12" t="str">
        <x:v>年均</x:v>
      </x:c>
      <x:c r="I319" s="12" t="str">
        <x:v>1957-01-01—1957-12-31</x:v>
      </x:c>
      <x:c r="J319" s="12" t="str">
        <x:v>OECD_DE</x:v>
      </x:c>
      <x:c r="K319" s="12" t="str">
        <x:v>https://fred.stlouisfed.org/data/CCUSMA02DEA618N</x:v>
      </x:c>
      <x:c r="L319" s="12" t="str">
        <x:v>由欧元回溯单位还原当年本币；非当年实际欧元报价。 欧元回溯单位按不可撤销转换率还原；法国1960年前另乘100。</x:v>
      </x:c>
      <x:c r="M319" s="12" t="str">
        <x:v>A：机构统计／原始统计表</x:v>
      </x:c>
    </x:row>
    <x:row r="320" ht="72" customHeight="1">
      <x:c r="A320" t="n">
        <x:v>1957</x:v>
      </x:c>
      <x:c r="B320" t="str">
        <x:v>IT</x:v>
      </x:c>
      <x:c r="C320" s="12" t="str">
        <x:v>意大利里拉（ITL）</x:v>
      </x:c>
      <x:c r="D320" s="24" t="n">
        <x:v>0.3227855619</x:v>
      </x:c>
      <x:c r="E320" s="20" t="str">
        <x:v>LCU/USD</x:v>
      </x:c>
      <x:c r="F320" s="20" t="n">
        <x:f>'币制说明'!$C$29</x:f>
        <x:v>1936.27</x:v>
      </x:c>
      <x:c r="G320" s="22" t="n">
        <x:f>IF(E320="LCU/USD",D320*F320,F320/D320)</x:f>
        <x:v>624.9999999401131</x:v>
      </x:c>
      <x:c r="H320" s="12" t="str">
        <x:v>年均</x:v>
      </x:c>
      <x:c r="I320" s="12" t="str">
        <x:v>1957-01-01—1957-12-31</x:v>
      </x:c>
      <x:c r="J320" s="12" t="str">
        <x:v>OECD_IT</x:v>
      </x:c>
      <x:c r="K320" s="12" t="str">
        <x:v>https://fred.stlouisfed.org/data/CCUSMA02ITA618N</x:v>
      </x:c>
      <x:c r="L320" s="12" t="str">
        <x:v>由欧元回溯单位还原当年本币；非当年实际欧元报价。 欧元回溯单位按不可撤销转换率还原；法国1960年前另乘100。</x:v>
      </x:c>
      <x:c r="M320" s="12" t="str">
        <x:v>A：机构统计／原始统计表</x:v>
      </x:c>
    </x:row>
    <x:row r="321" ht="72" customHeight="1">
      <x:c r="A321" t="n">
        <x:v>1957</x:v>
      </x:c>
      <x:c r="B321" t="str">
        <x:v>JPY</x:v>
      </x:c>
      <x:c r="C321" s="12" t="str">
        <x:v>日元（JPY）</x:v>
      </x:c>
      <x:c r="D321" s="24" t="n">
        <x:v>359.84</x:v>
      </x:c>
      <x:c r="E321" s="20" t="str">
        <x:v>LCU/USD</x:v>
      </x:c>
      <x:c r="F321" s="20" t="n">
        <x:v>1</x:v>
      </x:c>
      <x:c r="G321" s="22" t="n">
        <x:f>IF(E321="LCU/USD",D321*F321,F321/D321)</x:f>
        <x:v>359.84</x:v>
      </x:c>
      <x:c r="H321" s="12" t="str">
        <x:v>年均</x:v>
      </x:c>
      <x:c r="I321" s="12" t="str">
        <x:v>1957-01-01—1957-12-31</x:v>
      </x:c>
      <x:c r="J321" s="12" t="str">
        <x:v>MW_JPY</x:v>
      </x:c>
      <x:c r="K321" s="12" t="str">
        <x:v>https://www.measuringworth.com/datasets/exchangeglobal/result.php?countryE%5B%5D=Japan&amp;year_result=2016&amp;year_source=1916</x:v>
      </x:c>
      <x:c r="L321" s="12" t="str"/>
      <x:c r="M321" s="12" t="str">
        <x:v>B：学术历史汇编</x:v>
      </x:c>
    </x:row>
    <x:row r="322" ht="72" customHeight="1">
      <x:c r="A322" t="n">
        <x:v>1957</x:v>
      </x:c>
      <x:c r="B322" t="str">
        <x:v>CHF</x:v>
      </x:c>
      <x:c r="C322" s="12" t="str">
        <x:v>瑞士法郎（CHF）</x:v>
      </x:c>
      <x:c r="D322" s="24" t="n">
        <x:v>4.2863083333</x:v>
      </x:c>
      <x:c r="E322" s="20" t="str">
        <x:v>LCU/USD</x:v>
      </x:c>
      <x:c r="F322" s="20" t="n">
        <x:v>1</x:v>
      </x:c>
      <x:c r="G322" s="22" t="n">
        <x:f>IF(E322="LCU/USD",D322*F322,F322/D322)</x:f>
        <x:v>4.2863083333</x:v>
      </x:c>
      <x:c r="H322" s="12" t="str">
        <x:v>年均</x:v>
      </x:c>
      <x:c r="I322" s="12" t="str">
        <x:v>1957-01-01—1957-12-31</x:v>
      </x:c>
      <x:c r="J322" s="12" t="str">
        <x:v>OECD_CHF</x:v>
      </x:c>
      <x:c r="K322" s="12" t="str">
        <x:v>https://fred.stlouisfed.org/data/CCUSMA02CHA618N</x:v>
      </x:c>
      <x:c r="L322" s="12" t="str"/>
      <x:c r="M322" s="12" t="str">
        <x:v>A：机构统计／原始统计表</x:v>
      </x:c>
    </x:row>
    <x:row r="323" ht="72" customHeight="1">
      <x:c r="A323" t="n">
        <x:v>1957</x:v>
      </x:c>
      <x:c r="B323" t="str">
        <x:v>INR</x:v>
      </x:c>
      <x:c r="C323" s="12" t="str">
        <x:v>印度卢比（INR）</x:v>
      </x:c>
      <x:c r="D323" s="24" t="n">
        <x:v>4.7619</x:v>
      </x:c>
      <x:c r="E323" s="20" t="str">
        <x:v>LCU/USD</x:v>
      </x:c>
      <x:c r="F323" s="20" t="n">
        <x:v>1</x:v>
      </x:c>
      <x:c r="G323" s="22" t="n">
        <x:f>IF(E323="LCU/USD",D323*F323,F323/D323)</x:f>
        <x:v>4.7619</x:v>
      </x:c>
      <x:c r="H323" s="12" t="str">
        <x:v>年均</x:v>
      </x:c>
      <x:c r="I323" s="12" t="str">
        <x:v>1957-01-01—1957-12-31</x:v>
      </x:c>
      <x:c r="J323" s="12" t="str">
        <x:v>OECD_INR</x:v>
      </x:c>
      <x:c r="K323" s="12" t="str">
        <x:v>https://fred.stlouisfed.org/data/CCUSMA02INA618N</x:v>
      </x:c>
      <x:c r="L323" s="12" t="str"/>
      <x:c r="M323" s="12" t="str">
        <x:v>A：机构统计／原始统计表</x:v>
      </x:c>
    </x:row>
    <x:row r="324" ht="72" customHeight="1">
      <x:c r="A324" t="n">
        <x:v>1957</x:v>
      </x:c>
      <x:c r="B324" t="str">
        <x:v>RUB</x:v>
      </x:c>
      <x:c r="C324" s="12" t="str">
        <x:v>苏联卢布（1947币制）</x:v>
      </x:c>
      <x:c r="D324" s="24" t="n">
        <x:v>4</x:v>
      </x:c>
      <x:c r="E324" s="20" t="str">
        <x:v>LCU/USD</x:v>
      </x:c>
      <x:c r="F324" s="20" t="n">
        <x:v>1</x:v>
      </x:c>
      <x:c r="G324" s="22" t="n">
        <x:f>IF(E324="LCU/USD",D324*F324,F324/D324)</x:f>
        <x:v>4</x:v>
      </x:c>
      <x:c r="H324" s="12" t="str">
        <x:v>官价区间参考（非年均）</x:v>
      </x:c>
      <x:c r="I324" s="12" t="str">
        <x:v>1950-03-01—1960-12-01</x:v>
      </x:c>
      <x:c r="J324" s="12" t="str">
        <x:v>SUR_OFFICIAL_SECONDARY</x:v>
      </x:c>
      <x:c r="K324" s="12" t="str">
        <x:v>https://en.wikipedia.org/wiki/Soviet_ruble#Exchange_rates</x:v>
      </x:c>
      <x:c r="L324" s="12" t="str">
        <x:v>源表同一官价覆盖的区间内年份；非逐年独立观测。只代表官方折算，非市场成交或购买力；原档案未复核。</x:v>
      </x:c>
      <x:c r="M324" s="12" t="str">
        <x:v>C：二手转引（原档未复核）</x:v>
      </x:c>
    </x:row>
    <x:row r="325" ht="72" customHeight="1">
      <x:c r="A325" t="n">
        <x:v>1957</x:v>
      </x:c>
      <x:c r="B325" t="str">
        <x:v>CNY</x:v>
      </x:c>
      <x:c r="C325" s="12" t="str">
        <x:v>人民币元（1955币制；CNY）</x:v>
      </x:c>
      <x:c r="D325" s="24" t="n">
        <x:v>2.46181</x:v>
      </x:c>
      <x:c r="E325" s="20" t="str">
        <x:v>LCU/USD</x:v>
      </x:c>
      <x:c r="F325" s="20" t="n">
        <x:v>1</x:v>
      </x:c>
      <x:c r="G325" s="22" t="n">
        <x:f>IF(E325="LCU/USD",D325*F325,F325/D325)</x:f>
        <x:v>2.46181</x:v>
      </x:c>
      <x:c r="H325" s="12" t="str">
        <x:v>年均</x:v>
      </x:c>
      <x:c r="I325" s="12" t="str">
        <x:v>1957-01-01—1957-12-31</x:v>
      </x:c>
      <x:c r="J325" s="12" t="str">
        <x:v>OECD_CNY</x:v>
      </x:c>
      <x:c r="K325" s="12" t="str">
        <x:v>https://fred.stlouisfed.org/data/CCUSMA02CNA618N</x:v>
      </x:c>
      <x:c r="L325" s="12" t="str"/>
      <x:c r="M325" s="12" t="str">
        <x:v>A：机构统计／原始统计表</x:v>
      </x:c>
    </x:row>
    <x:row r="326" ht="72" customHeight="1">
      <x:c r="A326" t="n">
        <x:v>1958</x:v>
      </x:c>
      <x:c r="B326" t="str">
        <x:v>GBP</x:v>
      </x:c>
      <x:c r="C326" s="12" t="str">
        <x:v>英镑（GBP）</x:v>
      </x:c>
      <x:c r="D326" s="24" t="n">
        <x:v>0.3558868325</x:v>
      </x:c>
      <x:c r="E326" s="20" t="str">
        <x:v>LCU/USD</x:v>
      </x:c>
      <x:c r="F326" s="20" t="n">
        <x:v>1</x:v>
      </x:c>
      <x:c r="G326" s="22" t="n">
        <x:f>IF(E326="LCU/USD",D326*F326,F326/D326)</x:f>
        <x:v>0.3558868325</x:v>
      </x:c>
      <x:c r="H326" s="12" t="str">
        <x:v>年均</x:v>
      </x:c>
      <x:c r="I326" s="12" t="str">
        <x:v>1958-01-01—1958-12-31</x:v>
      </x:c>
      <x:c r="J326" s="12" t="str">
        <x:v>OECD_GBP</x:v>
      </x:c>
      <x:c r="K326" s="12" t="str">
        <x:v>https://fred.stlouisfed.org/data/CCUSMA02GBA618N</x:v>
      </x:c>
      <x:c r="L326" s="12" t="str"/>
      <x:c r="M326" s="12" t="str">
        <x:v>A：机构统计／原始统计表</x:v>
      </x:c>
    </x:row>
    <x:row r="327" ht="72" customHeight="1">
      <x:c r="A327" t="n">
        <x:v>1958</x:v>
      </x:c>
      <x:c r="B327" t="str">
        <x:v>CAD</x:v>
      </x:c>
      <x:c r="C327" s="12" t="str">
        <x:v>加拿大元（CAD）</x:v>
      </x:c>
      <x:c r="D327" s="24" t="n">
        <x:v>0.97075</x:v>
      </x:c>
      <x:c r="E327" s="20" t="str">
        <x:v>LCU/USD</x:v>
      </x:c>
      <x:c r="F327" s="20" t="n">
        <x:v>1</x:v>
      </x:c>
      <x:c r="G327" s="22" t="n">
        <x:f>IF(E327="LCU/USD",D327*F327,F327/D327)</x:f>
        <x:v>0.97075</x:v>
      </x:c>
      <x:c r="H327" s="12" t="str">
        <x:v>年均</x:v>
      </x:c>
      <x:c r="I327" s="12" t="str">
        <x:v>1958-01-01—1958-12-31</x:v>
      </x:c>
      <x:c r="J327" s="12" t="str">
        <x:v>OECD_CAD</x:v>
      </x:c>
      <x:c r="K327" s="12" t="str">
        <x:v>https://fred.stlouisfed.org/data/CCUSMA02CAA618N</x:v>
      </x:c>
      <x:c r="L327" s="12" t="str"/>
      <x:c r="M327" s="12" t="str">
        <x:v>A：机构统计／原始统计表</x:v>
      </x:c>
    </x:row>
    <x:row r="328" ht="72" customHeight="1">
      <x:c r="A328" t="n">
        <x:v>1958</x:v>
      </x:c>
      <x:c r="B328" t="str">
        <x:v>FR</x:v>
      </x:c>
      <x:c r="C328" s="12" t="str">
        <x:v>法国旧法郎</x:v>
      </x:c>
      <x:c r="D328" s="24" t="n">
        <x:v>0.6488611296</x:v>
      </x:c>
      <x:c r="E328" s="20" t="str">
        <x:v>LCU/USD</x:v>
      </x:c>
      <x:c r="F328" s="20" t="n">
        <x:f>'币制说明'!$C$26*'币制说明'!$C$27</x:f>
        <x:v>655.957</x:v>
      </x:c>
      <x:c r="G328" s="22" t="n">
        <x:f>IF(E328="LCU/USD",D328*F328,F328/D328)</x:f>
        <x:v>425.6249999890272</x:v>
      </x:c>
      <x:c r="H328" s="12" t="str">
        <x:v>年均</x:v>
      </x:c>
      <x:c r="I328" s="12" t="str">
        <x:v>1958-01-01—1958-12-31</x:v>
      </x:c>
      <x:c r="J328" s="12" t="str">
        <x:v>OECD_FR</x:v>
      </x:c>
      <x:c r="K328" s="12" t="str">
        <x:v>https://fred.stlouisfed.org/data/CCUSMA02FRA618N</x:v>
      </x:c>
      <x:c r="L328" s="12" t="str">
        <x:v>由欧元回溯单位还原当年本币；非当年实际欧元报价。 欧元回溯单位按不可撤销转换率还原；法国1960年前另乘100。</x:v>
      </x:c>
      <x:c r="M328" s="12" t="str">
        <x:v>A：机构统计／原始统计表</x:v>
      </x:c>
    </x:row>
    <x:row r="329" ht="72" customHeight="1">
      <x:c r="A329" t="n">
        <x:v>1958</x:v>
      </x:c>
      <x:c r="B329" t="str">
        <x:v>DE</x:v>
      </x:c>
      <x:c r="C329" s="12" t="str">
        <x:v>西德德国马克（DEM）</x:v>
      </x:c>
      <x:c r="D329" s="24" t="n">
        <x:v>2.1439303689</x:v>
      </x:c>
      <x:c r="E329" s="20" t="str">
        <x:v>LCU/USD</x:v>
      </x:c>
      <x:c r="F329" s="20" t="n">
        <x:f>'币制说明'!$C$28</x:f>
        <x:v>1.95583</x:v>
      </x:c>
      <x:c r="G329" s="22" t="n">
        <x:f>IF(E329="LCU/USD",D329*F329,F329/D329)</x:f>
        <x:v>4.193163333405687</x:v>
      </x:c>
      <x:c r="H329" s="12" t="str">
        <x:v>年均</x:v>
      </x:c>
      <x:c r="I329" s="12" t="str">
        <x:v>1958-01-01—1958-12-31</x:v>
      </x:c>
      <x:c r="J329" s="12" t="str">
        <x:v>OECD_DE</x:v>
      </x:c>
      <x:c r="K329" s="12" t="str">
        <x:v>https://fred.stlouisfed.org/data/CCUSMA02DEA618N</x:v>
      </x:c>
      <x:c r="L329" s="12" t="str">
        <x:v>由欧元回溯单位还原当年本币；非当年实际欧元报价。 欧元回溯单位按不可撤销转换率还原；法国1960年前另乘100。</x:v>
      </x:c>
      <x:c r="M329" s="12" t="str">
        <x:v>A：机构统计／原始统计表</x:v>
      </x:c>
    </x:row>
    <x:row r="330" ht="72" customHeight="1">
      <x:c r="A330" t="n">
        <x:v>1958</x:v>
      </x:c>
      <x:c r="B330" t="str">
        <x:v>IT</x:v>
      </x:c>
      <x:c r="C330" s="12" t="str">
        <x:v>意大利里拉（ITL）</x:v>
      </x:c>
      <x:c r="D330" s="24" t="n">
        <x:v>0.3226512831</x:v>
      </x:c>
      <x:c r="E330" s="20" t="str">
        <x:v>LCU/USD</x:v>
      </x:c>
      <x:c r="F330" s="20" t="n">
        <x:f>'币制说明'!$C$29</x:f>
        <x:v>1936.27</x:v>
      </x:c>
      <x:c r="G330" s="22" t="n">
        <x:f>IF(E330="LCU/USD",D330*F330,F330/D330)</x:f>
        <x:v>624.739999928037</x:v>
      </x:c>
      <x:c r="H330" s="12" t="str">
        <x:v>年均</x:v>
      </x:c>
      <x:c r="I330" s="12" t="str">
        <x:v>1958-01-01—1958-12-31</x:v>
      </x:c>
      <x:c r="J330" s="12" t="str">
        <x:v>OECD_IT</x:v>
      </x:c>
      <x:c r="K330" s="12" t="str">
        <x:v>https://fred.stlouisfed.org/data/CCUSMA02ITA618N</x:v>
      </x:c>
      <x:c r="L330" s="12" t="str">
        <x:v>由欧元回溯单位还原当年本币；非当年实际欧元报价。 欧元回溯单位按不可撤销转换率还原；法国1960年前另乘100。</x:v>
      </x:c>
      <x:c r="M330" s="12" t="str">
        <x:v>A：机构统计／原始统计表</x:v>
      </x:c>
    </x:row>
    <x:row r="331" ht="72" customHeight="1">
      <x:c r="A331" t="n">
        <x:v>1958</x:v>
      </x:c>
      <x:c r="B331" t="str">
        <x:v>JPY</x:v>
      </x:c>
      <x:c r="C331" s="12" t="str">
        <x:v>日元（JPY）</x:v>
      </x:c>
      <x:c r="D331" s="24" t="n">
        <x:v>359.84</x:v>
      </x:c>
      <x:c r="E331" s="20" t="str">
        <x:v>LCU/USD</x:v>
      </x:c>
      <x:c r="F331" s="20" t="n">
        <x:v>1</x:v>
      </x:c>
      <x:c r="G331" s="22" t="n">
        <x:f>IF(E331="LCU/USD",D331*F331,F331/D331)</x:f>
        <x:v>359.84</x:v>
      </x:c>
      <x:c r="H331" s="12" t="str">
        <x:v>年均</x:v>
      </x:c>
      <x:c r="I331" s="12" t="str">
        <x:v>1958-01-01—1958-12-31</x:v>
      </x:c>
      <x:c r="J331" s="12" t="str">
        <x:v>MW_JPY</x:v>
      </x:c>
      <x:c r="K331" s="12" t="str">
        <x:v>https://www.measuringworth.com/datasets/exchangeglobal/result.php?countryE%5B%5D=Japan&amp;year_result=2016&amp;year_source=1916</x:v>
      </x:c>
      <x:c r="L331" s="12" t="str"/>
      <x:c r="M331" s="12" t="str">
        <x:v>B：学术历史汇编</x:v>
      </x:c>
    </x:row>
    <x:row r="332" ht="72" customHeight="1">
      <x:c r="A332" t="n">
        <x:v>1958</x:v>
      </x:c>
      <x:c r="B332" t="str">
        <x:v>CHF</x:v>
      </x:c>
      <x:c r="C332" s="12" t="str">
        <x:v>瑞士法郎（CHF）</x:v>
      </x:c>
      <x:c r="D332" s="24" t="n">
        <x:v>4.2867583333</x:v>
      </x:c>
      <x:c r="E332" s="20" t="str">
        <x:v>LCU/USD</x:v>
      </x:c>
      <x:c r="F332" s="20" t="n">
        <x:v>1</x:v>
      </x:c>
      <x:c r="G332" s="22" t="n">
        <x:f>IF(E332="LCU/USD",D332*F332,F332/D332)</x:f>
        <x:v>4.2867583333</x:v>
      </x:c>
      <x:c r="H332" s="12" t="str">
        <x:v>年均</x:v>
      </x:c>
      <x:c r="I332" s="12" t="str">
        <x:v>1958-01-01—1958-12-31</x:v>
      </x:c>
      <x:c r="J332" s="12" t="str">
        <x:v>OECD_CHF</x:v>
      </x:c>
      <x:c r="K332" s="12" t="str">
        <x:v>https://fred.stlouisfed.org/data/CCUSMA02CHA618N</x:v>
      </x:c>
      <x:c r="L332" s="12" t="str"/>
      <x:c r="M332" s="12" t="str">
        <x:v>A：机构统计／原始统计表</x:v>
      </x:c>
    </x:row>
    <x:row r="333" ht="72" customHeight="1">
      <x:c r="A333" t="n">
        <x:v>1958</x:v>
      </x:c>
      <x:c r="B333" t="str">
        <x:v>INR</x:v>
      </x:c>
      <x:c r="C333" s="12" t="str">
        <x:v>印度卢比（INR）</x:v>
      </x:c>
      <x:c r="D333" s="24" t="n">
        <x:v>4.7619</x:v>
      </x:c>
      <x:c r="E333" s="20" t="str">
        <x:v>LCU/USD</x:v>
      </x:c>
      <x:c r="F333" s="20" t="n">
        <x:v>1</x:v>
      </x:c>
      <x:c r="G333" s="22" t="n">
        <x:f>IF(E333="LCU/USD",D333*F333,F333/D333)</x:f>
        <x:v>4.7619</x:v>
      </x:c>
      <x:c r="H333" s="12" t="str">
        <x:v>年均</x:v>
      </x:c>
      <x:c r="I333" s="12" t="str">
        <x:v>1958-01-01—1958-12-31</x:v>
      </x:c>
      <x:c r="J333" s="12" t="str">
        <x:v>OECD_INR</x:v>
      </x:c>
      <x:c r="K333" s="12" t="str">
        <x:v>https://fred.stlouisfed.org/data/CCUSMA02INA618N</x:v>
      </x:c>
      <x:c r="L333" s="12" t="str"/>
      <x:c r="M333" s="12" t="str">
        <x:v>A：机构统计／原始统计表</x:v>
      </x:c>
    </x:row>
    <x:row r="334" ht="72" customHeight="1">
      <x:c r="A334" t="n">
        <x:v>1958</x:v>
      </x:c>
      <x:c r="B334" t="str">
        <x:v>RUB</x:v>
      </x:c>
      <x:c r="C334" s="12" t="str">
        <x:v>苏联卢布（1947币制）</x:v>
      </x:c>
      <x:c r="D334" s="24" t="n">
        <x:v>4</x:v>
      </x:c>
      <x:c r="E334" s="20" t="str">
        <x:v>LCU/USD</x:v>
      </x:c>
      <x:c r="F334" s="20" t="n">
        <x:v>1</x:v>
      </x:c>
      <x:c r="G334" s="22" t="n">
        <x:f>IF(E334="LCU/USD",D334*F334,F334/D334)</x:f>
        <x:v>4</x:v>
      </x:c>
      <x:c r="H334" s="12" t="str">
        <x:v>官价区间参考（非年均）</x:v>
      </x:c>
      <x:c r="I334" s="12" t="str">
        <x:v>1950-03-01—1960-12-01</x:v>
      </x:c>
      <x:c r="J334" s="12" t="str">
        <x:v>SUR_OFFICIAL_SECONDARY</x:v>
      </x:c>
      <x:c r="K334" s="12" t="str">
        <x:v>https://en.wikipedia.org/wiki/Soviet_ruble#Exchange_rates</x:v>
      </x:c>
      <x:c r="L334" s="12" t="str">
        <x:v>源表同一官价覆盖的区间内年份；非逐年独立观测。只代表官方折算，非市场成交或购买力；原档案未复核。</x:v>
      </x:c>
      <x:c r="M334" s="12" t="str">
        <x:v>C：二手转引（原档未复核）</x:v>
      </x:c>
    </x:row>
    <x:row r="335" ht="72" customHeight="1">
      <x:c r="A335" t="n">
        <x:v>1958</x:v>
      </x:c>
      <x:c r="B335" t="str">
        <x:v>CNY</x:v>
      </x:c>
      <x:c r="C335" s="12" t="str">
        <x:v>人民币元（1955币制；CNY）</x:v>
      </x:c>
      <x:c r="D335" s="24" t="n">
        <x:v>2.46181</x:v>
      </x:c>
      <x:c r="E335" s="20" t="str">
        <x:v>LCU/USD</x:v>
      </x:c>
      <x:c r="F335" s="20" t="n">
        <x:v>1</x:v>
      </x:c>
      <x:c r="G335" s="22" t="n">
        <x:f>IF(E335="LCU/USD",D335*F335,F335/D335)</x:f>
        <x:v>2.46181</x:v>
      </x:c>
      <x:c r="H335" s="12" t="str">
        <x:v>年均</x:v>
      </x:c>
      <x:c r="I335" s="12" t="str">
        <x:v>1958-01-01—1958-12-31</x:v>
      </x:c>
      <x:c r="J335" s="12" t="str">
        <x:v>OECD_CNY</x:v>
      </x:c>
      <x:c r="K335" s="12" t="str">
        <x:v>https://fred.stlouisfed.org/data/CCUSMA02CNA618N</x:v>
      </x:c>
      <x:c r="L335" s="12" t="str"/>
      <x:c r="M335" s="12" t="str">
        <x:v>A：机构统计／原始统计表</x:v>
      </x:c>
    </x:row>
    <x:row r="336" ht="72" customHeight="1">
      <x:c r="A336" t="n">
        <x:v>1959</x:v>
      </x:c>
      <x:c r="B336" t="str">
        <x:v>GBP</x:v>
      </x:c>
      <x:c r="C336" s="12" t="str">
        <x:v>英镑（GBP）</x:v>
      </x:c>
      <x:c r="D336" s="24" t="n">
        <x:v>0.3560166242</x:v>
      </x:c>
      <x:c r="E336" s="20" t="str">
        <x:v>LCU/USD</x:v>
      </x:c>
      <x:c r="F336" s="20" t="n">
        <x:v>1</x:v>
      </x:c>
      <x:c r="G336" s="22" t="n">
        <x:f>IF(E336="LCU/USD",D336*F336,F336/D336)</x:f>
        <x:v>0.3560166242</x:v>
      </x:c>
      <x:c r="H336" s="12" t="str">
        <x:v>年均</x:v>
      </x:c>
      <x:c r="I336" s="12" t="str">
        <x:v>1959-01-01—1959-12-31</x:v>
      </x:c>
      <x:c r="J336" s="12" t="str">
        <x:v>OECD_GBP</x:v>
      </x:c>
      <x:c r="K336" s="12" t="str">
        <x:v>https://fred.stlouisfed.org/data/CCUSMA02GBA618N</x:v>
      </x:c>
      <x:c r="L336" s="12" t="str"/>
      <x:c r="M336" s="12" t="str">
        <x:v>A：机构统计／原始统计表</x:v>
      </x:c>
    </x:row>
    <x:row r="337" ht="72" customHeight="1">
      <x:c r="A337" t="n">
        <x:v>1959</x:v>
      </x:c>
      <x:c r="B337" t="str">
        <x:v>CAD</x:v>
      </x:c>
      <x:c r="C337" s="12" t="str">
        <x:v>加拿大元（CAD）</x:v>
      </x:c>
      <x:c r="D337" s="24" t="n">
        <x:v>0.9591666667</x:v>
      </x:c>
      <x:c r="E337" s="20" t="str">
        <x:v>LCU/USD</x:v>
      </x:c>
      <x:c r="F337" s="20" t="n">
        <x:v>1</x:v>
      </x:c>
      <x:c r="G337" s="22" t="n">
        <x:f>IF(E337="LCU/USD",D337*F337,F337/D337)</x:f>
        <x:v>0.9591666667</x:v>
      </x:c>
      <x:c r="H337" s="12" t="str">
        <x:v>年均</x:v>
      </x:c>
      <x:c r="I337" s="12" t="str">
        <x:v>1959-01-01—1959-12-31</x:v>
      </x:c>
      <x:c r="J337" s="12" t="str">
        <x:v>OECD_CAD</x:v>
      </x:c>
      <x:c r="K337" s="12" t="str">
        <x:v>https://fred.stlouisfed.org/data/CCUSMA02CAA618N</x:v>
      </x:c>
      <x:c r="L337" s="12" t="str"/>
      <x:c r="M337" s="12" t="str">
        <x:v>A：机构统计／原始统计表</x:v>
      </x:c>
    </x:row>
    <x:row r="338" ht="72" customHeight="1">
      <x:c r="A338" t="n">
        <x:v>1959</x:v>
      </x:c>
      <x:c r="B338" t="str">
        <x:v>FR</x:v>
      </x:c>
      <x:c r="C338" s="12" t="str">
        <x:v>法国旧法郎</x:v>
      </x:c>
      <x:c r="D338" s="24" t="n">
        <x:v>0.747686205</x:v>
      </x:c>
      <x:c r="E338" s="20" t="str">
        <x:v>LCU/USD</x:v>
      </x:c>
      <x:c r="F338" s="20" t="n">
        <x:f>'币制说明'!$C$26*'币制说明'!$C$27</x:f>
        <x:v>655.957</x:v>
      </x:c>
      <x:c r="G338" s="22" t="n">
        <x:f>IF(E338="LCU/USD",D338*F338,F338/D338)</x:f>
        <x:v>490.449999973185</x:v>
      </x:c>
      <x:c r="H338" s="12" t="str">
        <x:v>年均</x:v>
      </x:c>
      <x:c r="I338" s="12" t="str">
        <x:v>1959-01-01—1959-12-31</x:v>
      </x:c>
      <x:c r="J338" s="12" t="str">
        <x:v>OECD_FR</x:v>
      </x:c>
      <x:c r="K338" s="12" t="str">
        <x:v>https://fred.stlouisfed.org/data/CCUSMA02FRA618N</x:v>
      </x:c>
      <x:c r="L338" s="12" t="str">
        <x:v>由欧元回溯单位还原当年本币；非当年实际欧元报价。 欧元回溯单位按不可撤销转换率还原；法国1960年前另乘100。</x:v>
      </x:c>
      <x:c r="M338" s="12" t="str">
        <x:v>A：机构统计／原始统计表</x:v>
      </x:c>
    </x:row>
    <x:row r="339" ht="72" customHeight="1">
      <x:c r="A339" t="n">
        <x:v>1959</x:v>
      </x:c>
      <x:c r="B339" t="str">
        <x:v>DE</x:v>
      </x:c>
      <x:c r="C339" s="12" t="str">
        <x:v>西德德国马克（DEM）</x:v>
      </x:c>
      <x:c r="D339" s="24" t="n">
        <x:v>2.1368847667</x:v>
      </x:c>
      <x:c r="E339" s="20" t="str">
        <x:v>LCU/USD</x:v>
      </x:c>
      <x:c r="F339" s="20" t="n">
        <x:f>'币制说明'!$C$28</x:f>
        <x:v>1.95583</x:v>
      </x:c>
      <x:c r="G339" s="22" t="n">
        <x:f>IF(E339="LCU/USD",D339*F339,F339/D339)</x:f>
        <x:v>4.1793833332548616</x:v>
      </x:c>
      <x:c r="H339" s="12" t="str">
        <x:v>年均</x:v>
      </x:c>
      <x:c r="I339" s="12" t="str">
        <x:v>1959-01-01—1959-12-31</x:v>
      </x:c>
      <x:c r="J339" s="12" t="str">
        <x:v>OECD_DE</x:v>
      </x:c>
      <x:c r="K339" s="12" t="str">
        <x:v>https://fred.stlouisfed.org/data/CCUSMA02DEA618N</x:v>
      </x:c>
      <x:c r="L339" s="12" t="str">
        <x:v>由欧元回溯单位还原当年本币；非当年实际欧元报价。 欧元回溯单位按不可撤销转换率还原；法国1960年前另乘100。</x:v>
      </x:c>
      <x:c r="M339" s="12" t="str">
        <x:v>A：机构统计／原始统计表</x:v>
      </x:c>
    </x:row>
    <x:row r="340" ht="72" customHeight="1">
      <x:c r="A340" t="n">
        <x:v>1959</x:v>
      </x:c>
      <x:c r="B340" t="str">
        <x:v>IT</x:v>
      </x:c>
      <x:c r="C340" s="12" t="str">
        <x:v>意大利里拉（ITL）</x:v>
      </x:c>
      <x:c r="D340" s="24" t="n">
        <x:v>0.3207641927</x:v>
      </x:c>
      <x:c r="E340" s="20" t="str">
        <x:v>LCU/USD</x:v>
      </x:c>
      <x:c r="F340" s="20" t="n">
        <x:f>'币制说明'!$C$29</x:f>
        <x:v>1936.27</x:v>
      </x:c>
      <x:c r="G340" s="22" t="n">
        <x:f>IF(E340="LCU/USD",D340*F340,F340/D340)</x:f>
        <x:v>621.086083399229</x:v>
      </x:c>
      <x:c r="H340" s="12" t="str">
        <x:v>年均</x:v>
      </x:c>
      <x:c r="I340" s="12" t="str">
        <x:v>1959-01-01—1959-12-31</x:v>
      </x:c>
      <x:c r="J340" s="12" t="str">
        <x:v>OECD_IT</x:v>
      </x:c>
      <x:c r="K340" s="12" t="str">
        <x:v>https://fred.stlouisfed.org/data/CCUSMA02ITA618N</x:v>
      </x:c>
      <x:c r="L340" s="12" t="str">
        <x:v>由欧元回溯单位还原当年本币；非当年实际欧元报价。 欧元回溯单位按不可撤销转换率还原；法国1960年前另乘100。</x:v>
      </x:c>
      <x:c r="M340" s="12" t="str">
        <x:v>A：机构统计／原始统计表</x:v>
      </x:c>
    </x:row>
    <x:row r="341" ht="72" customHeight="1">
      <x:c r="A341" t="n">
        <x:v>1959</x:v>
      </x:c>
      <x:c r="B341" t="str">
        <x:v>JPY</x:v>
      </x:c>
      <x:c r="C341" s="12" t="str">
        <x:v>日元（JPY）</x:v>
      </x:c>
      <x:c r="D341" s="24" t="n">
        <x:v>359.97</x:v>
      </x:c>
      <x:c r="E341" s="20" t="str">
        <x:v>LCU/USD</x:v>
      </x:c>
      <x:c r="F341" s="20" t="n">
        <x:v>1</x:v>
      </x:c>
      <x:c r="G341" s="22" t="n">
        <x:f>IF(E341="LCU/USD",D341*F341,F341/D341)</x:f>
        <x:v>359.97</x:v>
      </x:c>
      <x:c r="H341" s="12" t="str">
        <x:v>年均</x:v>
      </x:c>
      <x:c r="I341" s="12" t="str">
        <x:v>1959-01-01—1959-12-31</x:v>
      </x:c>
      <x:c r="J341" s="12" t="str">
        <x:v>MW_JPY</x:v>
      </x:c>
      <x:c r="K341" s="12" t="str">
        <x:v>https://www.measuringworth.com/datasets/exchangeglobal/result.php?countryE%5B%5D=Japan&amp;year_result=2016&amp;year_source=1916</x:v>
      </x:c>
      <x:c r="L341" s="12" t="str"/>
      <x:c r="M341" s="12" t="str">
        <x:v>B：学术历史汇编</x:v>
      </x:c>
    </x:row>
    <x:row r="342" ht="72" customHeight="1">
      <x:c r="A342" t="n">
        <x:v>1959</x:v>
      </x:c>
      <x:c r="B342" t="str">
        <x:v>CHF</x:v>
      </x:c>
      <x:c r="C342" s="12" t="str">
        <x:v>瑞士法郎（CHF）</x:v>
      </x:c>
      <x:c r="D342" s="24" t="n">
        <x:v>4.3214166667</x:v>
      </x:c>
      <x:c r="E342" s="20" t="str">
        <x:v>LCU/USD</x:v>
      </x:c>
      <x:c r="F342" s="20" t="n">
        <x:v>1</x:v>
      </x:c>
      <x:c r="G342" s="22" t="n">
        <x:f>IF(E342="LCU/USD",D342*F342,F342/D342)</x:f>
        <x:v>4.3214166667</x:v>
      </x:c>
      <x:c r="H342" s="12" t="str">
        <x:v>年均</x:v>
      </x:c>
      <x:c r="I342" s="12" t="str">
        <x:v>1959-01-01—1959-12-31</x:v>
      </x:c>
      <x:c r="J342" s="12" t="str">
        <x:v>OECD_CHF</x:v>
      </x:c>
      <x:c r="K342" s="12" t="str">
        <x:v>https://fred.stlouisfed.org/data/CCUSMA02CHA618N</x:v>
      </x:c>
      <x:c r="L342" s="12" t="str"/>
      <x:c r="M342" s="12" t="str">
        <x:v>A：机构统计／原始统计表</x:v>
      </x:c>
    </x:row>
    <x:row r="343" ht="72" customHeight="1">
      <x:c r="A343" t="n">
        <x:v>1959</x:v>
      </x:c>
      <x:c r="B343" t="str">
        <x:v>INR</x:v>
      </x:c>
      <x:c r="C343" s="12" t="str">
        <x:v>印度卢比（INR）</x:v>
      </x:c>
      <x:c r="D343" s="24" t="n">
        <x:v>4.7619</x:v>
      </x:c>
      <x:c r="E343" s="20" t="str">
        <x:v>LCU/USD</x:v>
      </x:c>
      <x:c r="F343" s="20" t="n">
        <x:v>1</x:v>
      </x:c>
      <x:c r="G343" s="22" t="n">
        <x:f>IF(E343="LCU/USD",D343*F343,F343/D343)</x:f>
        <x:v>4.7619</x:v>
      </x:c>
      <x:c r="H343" s="12" t="str">
        <x:v>年均</x:v>
      </x:c>
      <x:c r="I343" s="12" t="str">
        <x:v>1959-01-01—1959-12-31</x:v>
      </x:c>
      <x:c r="J343" s="12" t="str">
        <x:v>OECD_INR</x:v>
      </x:c>
      <x:c r="K343" s="12" t="str">
        <x:v>https://fred.stlouisfed.org/data/CCUSMA02INA618N</x:v>
      </x:c>
      <x:c r="L343" s="12" t="str"/>
      <x:c r="M343" s="12" t="str">
        <x:v>A：机构统计／原始统计表</x:v>
      </x:c>
    </x:row>
    <x:row r="344" ht="72" customHeight="1">
      <x:c r="A344" t="n">
        <x:v>1959</x:v>
      </x:c>
      <x:c r="B344" t="str">
        <x:v>RUB</x:v>
      </x:c>
      <x:c r="C344" s="12" t="str">
        <x:v>苏联卢布（1947币制）</x:v>
      </x:c>
      <x:c r="D344" s="24" t="n">
        <x:v>4</x:v>
      </x:c>
      <x:c r="E344" s="20" t="str">
        <x:v>LCU/USD</x:v>
      </x:c>
      <x:c r="F344" s="20" t="n">
        <x:v>1</x:v>
      </x:c>
      <x:c r="G344" s="22" t="n">
        <x:f>IF(E344="LCU/USD",D344*F344,F344/D344)</x:f>
        <x:v>4</x:v>
      </x:c>
      <x:c r="H344" s="12" t="str">
        <x:v>官价区间参考（非年均）</x:v>
      </x:c>
      <x:c r="I344" s="12" t="str">
        <x:v>1950-03-01—1960-12-01</x:v>
      </x:c>
      <x:c r="J344" s="12" t="str">
        <x:v>SUR_OFFICIAL_SECONDARY</x:v>
      </x:c>
      <x:c r="K344" s="12" t="str">
        <x:v>https://en.wikipedia.org/wiki/Soviet_ruble#Exchange_rates</x:v>
      </x:c>
      <x:c r="L344" s="12" t="str">
        <x:v>源表同一官价覆盖的区间内年份；非逐年独立观测。只代表官方折算，非市场成交或购买力；原档案未复核。</x:v>
      </x:c>
      <x:c r="M344" s="12" t="str">
        <x:v>C：二手转引（原档未复核）</x:v>
      </x:c>
    </x:row>
    <x:row r="345" ht="72" customHeight="1">
      <x:c r="A345" t="n">
        <x:v>1959</x:v>
      </x:c>
      <x:c r="B345" t="str">
        <x:v>CNY</x:v>
      </x:c>
      <x:c r="C345" s="12" t="str">
        <x:v>人民币元（1955币制；CNY）</x:v>
      </x:c>
      <x:c r="D345" s="24" t="n">
        <x:v>2.46181</x:v>
      </x:c>
      <x:c r="E345" s="20" t="str">
        <x:v>LCU/USD</x:v>
      </x:c>
      <x:c r="F345" s="20" t="n">
        <x:v>1</x:v>
      </x:c>
      <x:c r="G345" s="22" t="n">
        <x:f>IF(E345="LCU/USD",D345*F345,F345/D345)</x:f>
        <x:v>2.46181</x:v>
      </x:c>
      <x:c r="H345" s="12" t="str">
        <x:v>年均</x:v>
      </x:c>
      <x:c r="I345" s="12" t="str">
        <x:v>1959-01-01—1959-12-31</x:v>
      </x:c>
      <x:c r="J345" s="12" t="str">
        <x:v>OECD_CNY</x:v>
      </x:c>
      <x:c r="K345" s="12" t="str">
        <x:v>https://fred.stlouisfed.org/data/CCUSMA02CNA618N</x:v>
      </x:c>
      <x:c r="L345" s="12" t="str"/>
      <x:c r="M345" s="12" t="str">
        <x:v>A：机构统计／原始统计表</x:v>
      </x:c>
    </x:row>
    <x:row r="346" ht="72" customHeight="1">
      <x:c r="A346" t="n">
        <x:v>1960</x:v>
      </x:c>
      <x:c r="B346" t="str">
        <x:v>GBP</x:v>
      </x:c>
      <x:c r="C346" s="12" t="str">
        <x:v>英镑（GBP）</x:v>
      </x:c>
      <x:c r="D346" s="24" t="n">
        <x:v>0.3561704625</x:v>
      </x:c>
      <x:c r="E346" s="20" t="str">
        <x:v>LCU/USD</x:v>
      </x:c>
      <x:c r="F346" s="20" t="n">
        <x:v>1</x:v>
      </x:c>
      <x:c r="G346" s="22" t="n">
        <x:f>IF(E346="LCU/USD",D346*F346,F346/D346)</x:f>
        <x:v>0.3561704625</x:v>
      </x:c>
      <x:c r="H346" s="12" t="str">
        <x:v>年均</x:v>
      </x:c>
      <x:c r="I346" s="12" t="str">
        <x:v>1960-01-01—1960-12-31</x:v>
      </x:c>
      <x:c r="J346" s="12" t="str">
        <x:v>OECD_GBP</x:v>
      </x:c>
      <x:c r="K346" s="12" t="str">
        <x:v>https://fred.stlouisfed.org/data/CCUSMA02GBA618N</x:v>
      </x:c>
      <x:c r="L346" s="12" t="str"/>
      <x:c r="M346" s="12" t="str">
        <x:v>A：机构统计／原始统计表</x:v>
      </x:c>
    </x:row>
    <x:row r="347" ht="72" customHeight="1">
      <x:c r="A347" t="n">
        <x:v>1960</x:v>
      </x:c>
      <x:c r="B347" t="str">
        <x:v>CAD</x:v>
      </x:c>
      <x:c r="C347" s="12" t="str">
        <x:v>加拿大元（CAD）</x:v>
      </x:c>
      <x:c r="D347" s="24" t="n">
        <x:v>0.9695</x:v>
      </x:c>
      <x:c r="E347" s="20" t="str">
        <x:v>LCU/USD</x:v>
      </x:c>
      <x:c r="F347" s="20" t="n">
        <x:v>1</x:v>
      </x:c>
      <x:c r="G347" s="22" t="n">
        <x:f>IF(E347="LCU/USD",D347*F347,F347/D347)</x:f>
        <x:v>0.9695</x:v>
      </x:c>
      <x:c r="H347" s="12" t="str">
        <x:v>年均</x:v>
      </x:c>
      <x:c r="I347" s="12" t="str">
        <x:v>1960-01-01—1960-12-31</x:v>
      </x:c>
      <x:c r="J347" s="12" t="str">
        <x:v>OECD_CAD</x:v>
      </x:c>
      <x:c r="K347" s="12" t="str">
        <x:v>https://fred.stlouisfed.org/data/CCUSMA02CAA618N</x:v>
      </x:c>
      <x:c r="L347" s="12" t="str"/>
      <x:c r="M347" s="12" t="str">
        <x:v>A：机构统计／原始统计表</x:v>
      </x:c>
    </x:row>
    <x:row r="348" ht="72" customHeight="1">
      <x:c r="A348" t="n">
        <x:v>1960</x:v>
      </x:c>
      <x:c r="B348" t="str">
        <x:v>FR</x:v>
      </x:c>
      <x:c r="C348" s="12" t="str">
        <x:v>法国新法郎</x:v>
      </x:c>
      <x:c r="D348" s="24" t="n">
        <x:v>0.7477025933</x:v>
      </x:c>
      <x:c r="E348" s="20" t="str">
        <x:v>LCU/USD</x:v>
      </x:c>
      <x:c r="F348" s="20" t="n">
        <x:f>'币制说明'!$C$27</x:f>
        <x:v>6.55957</x:v>
      </x:c>
      <x:c r="G348" s="22" t="n">
        <x:f>IF(E348="LCU/USD",D348*F348,F348/D348)</x:f>
        <x:v>4.904607499932881</x:v>
      </x:c>
      <x:c r="H348" s="12" t="str">
        <x:v>年均</x:v>
      </x:c>
      <x:c r="I348" s="12" t="str">
        <x:v>1960-01-01—1960-12-31</x:v>
      </x:c>
      <x:c r="J348" s="12" t="str">
        <x:v>OECD_FR</x:v>
      </x:c>
      <x:c r="K348" s="12" t="str">
        <x:v>https://fred.stlouisfed.org/data/CCUSMA02FRA618N</x:v>
      </x:c>
      <x:c r="L348" s="12" t="str">
        <x:v>由欧元回溯单位还原当年本币；非当年实际欧元报价。 欧元回溯单位按不可撤销转换率还原；法国1960年前另乘100。</x:v>
      </x:c>
      <x:c r="M348" s="12" t="str">
        <x:v>A：机构统计／原始统计表</x:v>
      </x:c>
    </x:row>
    <x:row r="349" ht="72" customHeight="1">
      <x:c r="A349" t="n">
        <x:v>1960</x:v>
      </x:c>
      <x:c r="B349" t="str">
        <x:v>DE</x:v>
      </x:c>
      <x:c r="C349" s="12" t="str">
        <x:v>西德德国马克（DEM）</x:v>
      </x:c>
      <x:c r="D349" s="24" t="n">
        <x:v>2.1324931956</x:v>
      </x:c>
      <x:c r="E349" s="20" t="str">
        <x:v>LCU/USD</x:v>
      </x:c>
      <x:c r="F349" s="20" t="n">
        <x:f>'币制说明'!$C$28</x:f>
        <x:v>1.95583</x:v>
      </x:c>
      <x:c r="G349" s="22" t="n">
        <x:f>IF(E349="LCU/USD",D349*F349,F349/D349)</x:f>
        <x:v>4.170794166750348</x:v>
      </x:c>
      <x:c r="H349" s="12" t="str">
        <x:v>年均</x:v>
      </x:c>
      <x:c r="I349" s="12" t="str">
        <x:v>1960-01-01—1960-12-31</x:v>
      </x:c>
      <x:c r="J349" s="12" t="str">
        <x:v>OECD_DE</x:v>
      </x:c>
      <x:c r="K349" s="12" t="str">
        <x:v>https://fred.stlouisfed.org/data/CCUSMA02DEA618N</x:v>
      </x:c>
      <x:c r="L349" s="12" t="str">
        <x:v>由欧元回溯单位还原当年本币；非当年实际欧元报价。 欧元回溯单位按不可撤销转换率还原；法国1960年前另乘100。</x:v>
      </x:c>
      <x:c r="M349" s="12" t="str">
        <x:v>A：机构统计／原始统计表</x:v>
      </x:c>
    </x:row>
    <x:row r="350" ht="72" customHeight="1">
      <x:c r="A350" t="n">
        <x:v>1960</x:v>
      </x:c>
      <x:c r="B350" t="str">
        <x:v>IT</x:v>
      </x:c>
      <x:c r="C350" s="12" t="str">
        <x:v>意大利里拉（ITL）</x:v>
      </x:c>
      <x:c r="D350" s="24" t="n">
        <x:v>0.3206643874</x:v>
      </x:c>
      <x:c r="E350" s="20" t="str">
        <x:v>LCU/USD</x:v>
      </x:c>
      <x:c r="F350" s="20" t="n">
        <x:f>'币制说明'!$C$29</x:f>
        <x:v>1936.27</x:v>
      </x:c>
      <x:c r="G350" s="22" t="n">
        <x:f>IF(E350="LCU/USD",D350*F350,F350/D350)</x:f>
        <x:v>620.8928333909979</x:v>
      </x:c>
      <x:c r="H350" s="12" t="str">
        <x:v>年均</x:v>
      </x:c>
      <x:c r="I350" s="12" t="str">
        <x:v>1960-01-01—1960-12-31</x:v>
      </x:c>
      <x:c r="J350" s="12" t="str">
        <x:v>OECD_IT</x:v>
      </x:c>
      <x:c r="K350" s="12" t="str">
        <x:v>https://fred.stlouisfed.org/data/CCUSMA02ITA618N</x:v>
      </x:c>
      <x:c r="L350" s="12" t="str">
        <x:v>由欧元回溯单位还原当年本币；非当年实际欧元报价。 欧元回溯单位按不可撤销转换率还原；法国1960年前另乘100。</x:v>
      </x:c>
      <x:c r="M350" s="12" t="str">
        <x:v>A：机构统计／原始统计表</x:v>
      </x:c>
    </x:row>
    <x:row r="351" ht="72" customHeight="1">
      <x:c r="A351" t="n">
        <x:v>1960</x:v>
      </x:c>
      <x:c r="B351" t="str">
        <x:v>JPY</x:v>
      </x:c>
      <x:c r="C351" s="12" t="str">
        <x:v>日元（JPY）</x:v>
      </x:c>
      <x:c r="D351" s="24" t="n">
        <x:v>359.97</x:v>
      </x:c>
      <x:c r="E351" s="20" t="str">
        <x:v>LCU/USD</x:v>
      </x:c>
      <x:c r="F351" s="20" t="n">
        <x:v>1</x:v>
      </x:c>
      <x:c r="G351" s="22" t="n">
        <x:f>IF(E351="LCU/USD",D351*F351,F351/D351)</x:f>
        <x:v>359.97</x:v>
      </x:c>
      <x:c r="H351" s="12" t="str">
        <x:v>年均</x:v>
      </x:c>
      <x:c r="I351" s="12" t="str">
        <x:v>1960-01-01—1960-12-31</x:v>
      </x:c>
      <x:c r="J351" s="12" t="str">
        <x:v>MW_JPY</x:v>
      </x:c>
      <x:c r="K351" s="12" t="str">
        <x:v>https://www.measuringworth.com/datasets/exchangeglobal/result.php?countryE%5B%5D=Japan&amp;year_result=2016&amp;year_source=1916</x:v>
      </x:c>
      <x:c r="L351" s="12" t="str"/>
      <x:c r="M351" s="12" t="str">
        <x:v>B：学术历史汇编</x:v>
      </x:c>
    </x:row>
    <x:row r="352" ht="72" customHeight="1">
      <x:c r="A352" t="n">
        <x:v>1960</x:v>
      </x:c>
      <x:c r="B352" t="str">
        <x:v>CHF</x:v>
      </x:c>
      <x:c r="C352" s="12" t="str">
        <x:v>瑞士法郎（CHF）</x:v>
      </x:c>
      <x:c r="D352" s="24" t="n">
        <x:v>4.319325</x:v>
      </x:c>
      <x:c r="E352" s="20" t="str">
        <x:v>LCU/USD</x:v>
      </x:c>
      <x:c r="F352" s="20" t="n">
        <x:v>1</x:v>
      </x:c>
      <x:c r="G352" s="22" t="n">
        <x:f>IF(E352="LCU/USD",D352*F352,F352/D352)</x:f>
        <x:v>4.319325</x:v>
      </x:c>
      <x:c r="H352" s="12" t="str">
        <x:v>年均</x:v>
      </x:c>
      <x:c r="I352" s="12" t="str">
        <x:v>1960-01-01—1960-12-31</x:v>
      </x:c>
      <x:c r="J352" s="12" t="str">
        <x:v>OECD_CHF</x:v>
      </x:c>
      <x:c r="K352" s="12" t="str">
        <x:v>https://fred.stlouisfed.org/data/CCUSMA02CHA618N</x:v>
      </x:c>
      <x:c r="L352" s="12" t="str"/>
      <x:c r="M352" s="12" t="str">
        <x:v>A：机构统计／原始统计表</x:v>
      </x:c>
    </x:row>
    <x:row r="353" ht="72" customHeight="1">
      <x:c r="A353" t="n">
        <x:v>1960</x:v>
      </x:c>
      <x:c r="B353" t="str">
        <x:v>INR</x:v>
      </x:c>
      <x:c r="C353" s="12" t="str">
        <x:v>印度卢比（INR）</x:v>
      </x:c>
      <x:c r="D353" s="24" t="n">
        <x:v>4.7619</x:v>
      </x:c>
      <x:c r="E353" s="20" t="str">
        <x:v>LCU/USD</x:v>
      </x:c>
      <x:c r="F353" s="20" t="n">
        <x:v>1</x:v>
      </x:c>
      <x:c r="G353" s="22" t="n">
        <x:f>IF(E353="LCU/USD",D353*F353,F353/D353)</x:f>
        <x:v>4.7619</x:v>
      </x:c>
      <x:c r="H353" s="12" t="str">
        <x:v>年均</x:v>
      </x:c>
      <x:c r="I353" s="12" t="str">
        <x:v>1960-01-01—1960-12-31</x:v>
      </x:c>
      <x:c r="J353" s="12" t="str">
        <x:v>OECD_INR</x:v>
      </x:c>
      <x:c r="K353" s="12" t="str">
        <x:v>https://fred.stlouisfed.org/data/CCUSMA02INA618N</x:v>
      </x:c>
      <x:c r="L353" s="12" t="str"/>
      <x:c r="M353" s="12" t="str">
        <x:v>A：机构统计／原始统计表</x:v>
      </x:c>
    </x:row>
    <x:row r="354" ht="72" customHeight="1">
      <x:c r="A354" t="n">
        <x:v>1960</x:v>
      </x:c>
      <x:c r="B354" t="str">
        <x:v>RUB</x:v>
      </x:c>
      <x:c r="C354" s="12" t="str">
        <x:v>苏联卢布（1947币制）</x:v>
      </x:c>
      <x:c r="D354" s="24" t="n">
        <x:v>4</x:v>
      </x:c>
      <x:c r="E354" s="20" t="str">
        <x:v>LCU/USD</x:v>
      </x:c>
      <x:c r="F354" s="20" t="n">
        <x:v>1</x:v>
      </x:c>
      <x:c r="G354" s="22" t="n">
        <x:f>IF(E354="LCU/USD",D354*F354,F354/D354)</x:f>
        <x:v>4</x:v>
      </x:c>
      <x:c r="H354" s="12" t="str">
        <x:v>定点官价参考（非年均）</x:v>
      </x:c>
      <x:c r="I354" s="12" t="str">
        <x:v>1960-12-01</x:v>
      </x:c>
      <x:c r="J354" s="12" t="str">
        <x:v>SUR_OFFICIAL_SECONDARY</x:v>
      </x:c>
      <x:c r="K354" s="12" t="str">
        <x:v>https://en.wikipedia.org/wiki/Soviet_ruble#Exchange_rates</x:v>
      </x:c>
      <x:c r="L354" s="12" t="str">
        <x:v>选取源表该年最早列出的日期，不代表该年平均、全年固定价或统一可成交价；原档案未复核。</x:v>
      </x:c>
      <x:c r="M354" s="12" t="str">
        <x:v>C：二手转引（原档未复核）</x:v>
      </x:c>
    </x:row>
    <x:row r="355" ht="72" customHeight="1">
      <x:c r="A355" t="n">
        <x:v>1960</x:v>
      </x:c>
      <x:c r="B355" t="str">
        <x:v>CNY</x:v>
      </x:c>
      <x:c r="C355" s="12" t="str">
        <x:v>人民币元（1955币制；CNY）</x:v>
      </x:c>
      <x:c r="D355" s="24" t="n">
        <x:v>2.46181</x:v>
      </x:c>
      <x:c r="E355" s="20" t="str">
        <x:v>LCU/USD</x:v>
      </x:c>
      <x:c r="F355" s="20" t="n">
        <x:v>1</x:v>
      </x:c>
      <x:c r="G355" s="22" t="n">
        <x:f>IF(E355="LCU/USD",D355*F355,F355/D355)</x:f>
        <x:v>2.46181</x:v>
      </x:c>
      <x:c r="H355" s="12" t="str">
        <x:v>年均</x:v>
      </x:c>
      <x:c r="I355" s="12" t="str">
        <x:v>1960-01-01—1960-12-31</x:v>
      </x:c>
      <x:c r="J355" s="12" t="str">
        <x:v>OECD_CNY</x:v>
      </x:c>
      <x:c r="K355" s="12" t="str">
        <x:v>https://fred.stlouisfed.org/data/CCUSMA02CNA618N</x:v>
      </x:c>
      <x:c r="L355" s="12" t="str"/>
      <x:c r="M355" s="12" t="str">
        <x:v>A：机构统计／原始统计表</x:v>
      </x:c>
    </x:row>
    <x:row r="356" ht="72" customHeight="1">
      <x:c r="A356" t="n">
        <x:v>1961</x:v>
      </x:c>
      <x:c r="B356" t="str">
        <x:v>GBP</x:v>
      </x:c>
      <x:c r="C356" s="12" t="str">
        <x:v>英镑（GBP）</x:v>
      </x:c>
      <x:c r="D356" s="24" t="n">
        <x:v>0.3568565717</x:v>
      </x:c>
      <x:c r="E356" s="20" t="str">
        <x:v>LCU/USD</x:v>
      </x:c>
      <x:c r="F356" s="20" t="n">
        <x:v>1</x:v>
      </x:c>
      <x:c r="G356" s="22" t="n">
        <x:f>IF(E356="LCU/USD",D356*F356,F356/D356)</x:f>
        <x:v>0.3568565717</x:v>
      </x:c>
      <x:c r="H356" s="12" t="str">
        <x:v>年均</x:v>
      </x:c>
      <x:c r="I356" s="12" t="str">
        <x:v>1961-01-01—1961-12-31</x:v>
      </x:c>
      <x:c r="J356" s="12" t="str">
        <x:v>OECD_GBP</x:v>
      </x:c>
      <x:c r="K356" s="12" t="str">
        <x:v>https://fred.stlouisfed.org/data/CCUSMA02GBA618N</x:v>
      </x:c>
      <x:c r="L356" s="12" t="str"/>
      <x:c r="M356" s="12" t="str">
        <x:v>A：机构统计／原始统计表</x:v>
      </x:c>
    </x:row>
    <x:row r="357" ht="72" customHeight="1">
      <x:c r="A357" t="n">
        <x:v>1961</x:v>
      </x:c>
      <x:c r="B357" t="str">
        <x:v>CAD</x:v>
      </x:c>
      <x:c r="C357" s="12" t="str">
        <x:v>加拿大元（CAD）</x:v>
      </x:c>
      <x:c r="D357" s="24" t="n">
        <x:v>1.0130833333</x:v>
      </x:c>
      <x:c r="E357" s="20" t="str">
        <x:v>LCU/USD</x:v>
      </x:c>
      <x:c r="F357" s="20" t="n">
        <x:v>1</x:v>
      </x:c>
      <x:c r="G357" s="22" t="n">
        <x:f>IF(E357="LCU/USD",D357*F357,F357/D357)</x:f>
        <x:v>1.0130833333</x:v>
      </x:c>
      <x:c r="H357" s="12" t="str">
        <x:v>年均</x:v>
      </x:c>
      <x:c r="I357" s="12" t="str">
        <x:v>1961-01-01—1961-12-31</x:v>
      </x:c>
      <x:c r="J357" s="12" t="str">
        <x:v>OECD_CAD</x:v>
      </x:c>
      <x:c r="K357" s="12" t="str">
        <x:v>https://fred.stlouisfed.org/data/CCUSMA02CAA618N</x:v>
      </x:c>
      <x:c r="L357" s="12" t="str"/>
      <x:c r="M357" s="12" t="str">
        <x:v>A：机构统计／原始统计表</x:v>
      </x:c>
    </x:row>
    <x:row r="358" ht="72" customHeight="1">
      <x:c r="A358" t="n">
        <x:v>1961</x:v>
      </x:c>
      <x:c r="B358" t="str">
        <x:v>FR</x:v>
      </x:c>
      <x:c r="C358" s="12" t="str">
        <x:v>法国新法郎</x:v>
      </x:c>
      <x:c r="D358" s="24" t="n">
        <x:v>0.7478993796</x:v>
      </x:c>
      <x:c r="E358" s="20" t="str">
        <x:v>LCU/USD</x:v>
      </x:c>
      <x:c r="F358" s="20" t="n">
        <x:f>'币制说明'!$C$27</x:f>
        <x:v>6.55957</x:v>
      </x:c>
      <x:c r="G358" s="22" t="n">
        <x:f>IF(E358="LCU/USD",D358*F358,F358/D358)</x:f>
        <x:v>4.905898333442772</x:v>
      </x:c>
      <x:c r="H358" s="12" t="str">
        <x:v>年均</x:v>
      </x:c>
      <x:c r="I358" s="12" t="str">
        <x:v>1961-01-01—1961-12-31</x:v>
      </x:c>
      <x:c r="J358" s="12" t="str">
        <x:v>OECD_FR</x:v>
      </x:c>
      <x:c r="K358" s="12" t="str">
        <x:v>https://fred.stlouisfed.org/data/CCUSMA02FRA618N</x:v>
      </x:c>
      <x:c r="L358" s="12" t="str">
        <x:v>由欧元回溯单位还原当年本币；非当年实际欧元报价。 欧元回溯单位按不可撤销转换率还原；法国1960年前另乘100。</x:v>
      </x:c>
      <x:c r="M358" s="12" t="str">
        <x:v>A：机构统计／原始统计表</x:v>
      </x:c>
    </x:row>
    <x:row r="359" ht="72" customHeight="1">
      <x:c r="A359" t="n">
        <x:v>1961</x:v>
      </x:c>
      <x:c r="B359" t="str">
        <x:v>DE</x:v>
      </x:c>
      <x:c r="C359" s="12" t="str">
        <x:v>西德德国马克（DEM）</x:v>
      </x:c>
      <x:c r="D359" s="24" t="n">
        <x:v>2.0547499868</x:v>
      </x:c>
      <x:c r="E359" s="20" t="str">
        <x:v>LCU/USD</x:v>
      </x:c>
      <x:c r="F359" s="20" t="n">
        <x:f>'币制说明'!$C$28</x:f>
        <x:v>1.95583</x:v>
      </x:c>
      <x:c r="G359" s="22" t="n">
        <x:f>IF(E359="LCU/USD",D359*F359,F359/D359)</x:f>
        <x:v>4.018741666683044</x:v>
      </x:c>
      <x:c r="H359" s="12" t="str">
        <x:v>年均</x:v>
      </x:c>
      <x:c r="I359" s="12" t="str">
        <x:v>1961-01-01—1961-12-31</x:v>
      </x:c>
      <x:c r="J359" s="12" t="str">
        <x:v>OECD_DE</x:v>
      </x:c>
      <x:c r="K359" s="12" t="str">
        <x:v>https://fred.stlouisfed.org/data/CCUSMA02DEA618N</x:v>
      </x:c>
      <x:c r="L359" s="12" t="str">
        <x:v>由欧元回溯单位还原当年本币；非当年实际欧元报价。 欧元回溯单位按不可撤销转换率还原；法国1960年前另乘100。</x:v>
      </x:c>
      <x:c r="M359" s="12" t="str">
        <x:v>A：机构统计／原始统计表</x:v>
      </x:c>
    </x:row>
    <x:row r="360" ht="72" customHeight="1">
      <x:c r="A360" t="n">
        <x:v>1961</x:v>
      </x:c>
      <x:c r="B360" t="str">
        <x:v>IT</x:v>
      </x:c>
      <x:c r="C360" s="12" t="str">
        <x:v>意大利里拉（ITL）</x:v>
      </x:c>
      <x:c r="D360" s="24" t="n">
        <x:v>0.3207642357</x:v>
      </x:c>
      <x:c r="E360" s="20" t="str">
        <x:v>LCU/USD</x:v>
      </x:c>
      <x:c r="F360" s="20" t="n">
        <x:f>'币制说明'!$C$29</x:f>
        <x:v>1936.27</x:v>
      </x:c>
      <x:c r="G360" s="22" t="n">
        <x:f>IF(E360="LCU/USD",D360*F360,F360/D360)</x:f>
        <x:v>621.086166658839</x:v>
      </x:c>
      <x:c r="H360" s="12" t="str">
        <x:v>年均</x:v>
      </x:c>
      <x:c r="I360" s="12" t="str">
        <x:v>1961-01-01—1961-12-31</x:v>
      </x:c>
      <x:c r="J360" s="12" t="str">
        <x:v>OECD_IT</x:v>
      </x:c>
      <x:c r="K360" s="12" t="str">
        <x:v>https://fred.stlouisfed.org/data/CCUSMA02ITA618N</x:v>
      </x:c>
      <x:c r="L360" s="12" t="str">
        <x:v>由欧元回溯单位还原当年本币；非当年实际欧元报价。 欧元回溯单位按不可撤销转换率还原；法国1960年前另乘100。</x:v>
      </x:c>
      <x:c r="M360" s="12" t="str">
        <x:v>A：机构统计／原始统计表</x:v>
      </x:c>
    </x:row>
    <x:row r="361" ht="72" customHeight="1">
      <x:c r="A361" t="n">
        <x:v>1961</x:v>
      </x:c>
      <x:c r="B361" t="str">
        <x:v>JPY</x:v>
      </x:c>
      <x:c r="C361" s="12" t="str">
        <x:v>日元（JPY）</x:v>
      </x:c>
      <x:c r="D361" s="24" t="n">
        <x:v>361.14</x:v>
      </x:c>
      <x:c r="E361" s="20" t="str">
        <x:v>LCU/USD</x:v>
      </x:c>
      <x:c r="F361" s="20" t="n">
        <x:v>1</x:v>
      </x:c>
      <x:c r="G361" s="22" t="n">
        <x:f>IF(E361="LCU/USD",D361*F361,F361/D361)</x:f>
        <x:v>361.14</x:v>
      </x:c>
      <x:c r="H361" s="12" t="str">
        <x:v>年均</x:v>
      </x:c>
      <x:c r="I361" s="12" t="str">
        <x:v>1961-01-01—1961-12-31</x:v>
      </x:c>
      <x:c r="J361" s="12" t="str">
        <x:v>MW_JPY</x:v>
      </x:c>
      <x:c r="K361" s="12" t="str">
        <x:v>https://www.measuringworth.com/datasets/exchangeglobal/result.php?countryE%5B%5D=Japan&amp;year_result=2016&amp;year_source=1916</x:v>
      </x:c>
      <x:c r="L361" s="12" t="str"/>
      <x:c r="M361" s="12" t="str">
        <x:v>B：学术历史汇编</x:v>
      </x:c>
    </x:row>
    <x:row r="362" ht="72" customHeight="1">
      <x:c r="A362" t="n">
        <x:v>1961</x:v>
      </x:c>
      <x:c r="B362" t="str">
        <x:v>CHF</x:v>
      </x:c>
      <x:c r="C362" s="12" t="str">
        <x:v>瑞士法郎（CHF）</x:v>
      </x:c>
      <x:c r="D362" s="24" t="n">
        <x:v>4.3195166667</x:v>
      </x:c>
      <x:c r="E362" s="20" t="str">
        <x:v>LCU/USD</x:v>
      </x:c>
      <x:c r="F362" s="20" t="n">
        <x:v>1</x:v>
      </x:c>
      <x:c r="G362" s="22" t="n">
        <x:f>IF(E362="LCU/USD",D362*F362,F362/D362)</x:f>
        <x:v>4.3195166667</x:v>
      </x:c>
      <x:c r="H362" s="12" t="str">
        <x:v>年均</x:v>
      </x:c>
      <x:c r="I362" s="12" t="str">
        <x:v>1961-01-01—1961-12-31</x:v>
      </x:c>
      <x:c r="J362" s="12" t="str">
        <x:v>OECD_CHF</x:v>
      </x:c>
      <x:c r="K362" s="12" t="str">
        <x:v>https://fred.stlouisfed.org/data/CCUSMA02CHA618N</x:v>
      </x:c>
      <x:c r="L362" s="12" t="str"/>
      <x:c r="M362" s="12" t="str">
        <x:v>A：机构统计／原始统计表</x:v>
      </x:c>
    </x:row>
    <x:row r="363" ht="72" customHeight="1">
      <x:c r="A363" t="n">
        <x:v>1961</x:v>
      </x:c>
      <x:c r="B363" t="str">
        <x:v>INR</x:v>
      </x:c>
      <x:c r="C363" s="12" t="str">
        <x:v>印度卢比（INR）</x:v>
      </x:c>
      <x:c r="D363" s="24" t="n">
        <x:v>4.7619</x:v>
      </x:c>
      <x:c r="E363" s="20" t="str">
        <x:v>LCU/USD</x:v>
      </x:c>
      <x:c r="F363" s="20" t="n">
        <x:v>1</x:v>
      </x:c>
      <x:c r="G363" s="22" t="n">
        <x:f>IF(E363="LCU/USD",D363*F363,F363/D363)</x:f>
        <x:v>4.7619</x:v>
      </x:c>
      <x:c r="H363" s="12" t="str">
        <x:v>年均</x:v>
      </x:c>
      <x:c r="I363" s="12" t="str">
        <x:v>1961-01-01—1961-12-31</x:v>
      </x:c>
      <x:c r="J363" s="12" t="str">
        <x:v>OECD_INR</x:v>
      </x:c>
      <x:c r="K363" s="12" t="str">
        <x:v>https://fred.stlouisfed.org/data/CCUSMA02INA618N</x:v>
      </x:c>
      <x:c r="L363" s="12" t="str"/>
      <x:c r="M363" s="12" t="str">
        <x:v>A：机构统计／原始统计表</x:v>
      </x:c>
    </x:row>
    <x:row r="364" ht="72" customHeight="1">
      <x:c r="A364" t="n">
        <x:v>1961</x:v>
      </x:c>
      <x:c r="B364" t="str">
        <x:v>RUB</x:v>
      </x:c>
      <x:c r="C364" s="12" t="str">
        <x:v>苏联卢布（1961币制）</x:v>
      </x:c>
      <x:c r="D364" s="24" t="n">
        <x:v>0.9</x:v>
      </x:c>
      <x:c r="E364" s="20" t="str">
        <x:v>LCU/USD</x:v>
      </x:c>
      <x:c r="F364" s="20" t="n">
        <x:v>1</x:v>
      </x:c>
      <x:c r="G364" s="22" t="n">
        <x:f>IF(E364="LCU/USD",D364*F364,F364/D364)</x:f>
        <x:v>0.9</x:v>
      </x:c>
      <x:c r="H364" s="12" t="str">
        <x:v>官价区间参考（非年均）</x:v>
      </x:c>
      <x:c r="I364" s="12" t="str">
        <x:v>1961-01-01—1971-12-01</x:v>
      </x:c>
      <x:c r="J364" s="12" t="str">
        <x:v>SUR_OFFICIAL_SECONDARY</x:v>
      </x:c>
      <x:c r="K364" s="12" t="str">
        <x:v>https://en.wikipedia.org/wiki/Soviet_ruble#Exchange_rates</x:v>
      </x:c>
      <x:c r="L364" s="12" t="str">
        <x:v>源表同一官价覆盖的区间内年份；非逐年独立观测。只代表官方折算，非市场成交或购买力；原档案未复核。</x:v>
      </x:c>
      <x:c r="M364" s="12" t="str">
        <x:v>C：二手转引（原档未复核）</x:v>
      </x:c>
    </x:row>
    <x:row r="365" ht="72" customHeight="1">
      <x:c r="A365" t="n">
        <x:v>1961</x:v>
      </x:c>
      <x:c r="B365" t="str">
        <x:v>CNY</x:v>
      </x:c>
      <x:c r="C365" s="12" t="str">
        <x:v>人民币元（1955币制；CNY）</x:v>
      </x:c>
      <x:c r="D365" s="24" t="n">
        <x:v>2.46181</x:v>
      </x:c>
      <x:c r="E365" s="20" t="str">
        <x:v>LCU/USD</x:v>
      </x:c>
      <x:c r="F365" s="20" t="n">
        <x:v>1</x:v>
      </x:c>
      <x:c r="G365" s="22" t="n">
        <x:f>IF(E365="LCU/USD",D365*F365,F365/D365)</x:f>
        <x:v>2.46181</x:v>
      </x:c>
      <x:c r="H365" s="12" t="str">
        <x:v>年均</x:v>
      </x:c>
      <x:c r="I365" s="12" t="str">
        <x:v>1961-01-01—1961-12-31</x:v>
      </x:c>
      <x:c r="J365" s="12" t="str">
        <x:v>OECD_CNY</x:v>
      </x:c>
      <x:c r="K365" s="12" t="str">
        <x:v>https://fred.stlouisfed.org/data/CCUSMA02CNA618N</x:v>
      </x:c>
      <x:c r="L365" s="12" t="str"/>
      <x:c r="M365" s="12" t="str">
        <x:v>A：机构统计／原始统计表</x:v>
      </x:c>
    </x:row>
    <x:row r="366" ht="72" customHeight="1">
      <x:c r="A366" t="n">
        <x:v>1962</x:v>
      </x:c>
      <x:c r="B366" t="str">
        <x:v>GBP</x:v>
      </x:c>
      <x:c r="C366" s="12" t="str">
        <x:v>英镑（GBP）</x:v>
      </x:c>
      <x:c r="D366" s="24" t="n">
        <x:v>0.3561508392</x:v>
      </x:c>
      <x:c r="E366" s="20" t="str">
        <x:v>LCU/USD</x:v>
      </x:c>
      <x:c r="F366" s="20" t="n">
        <x:v>1</x:v>
      </x:c>
      <x:c r="G366" s="22" t="n">
        <x:f>IF(E366="LCU/USD",D366*F366,F366/D366)</x:f>
        <x:v>0.3561508392</x:v>
      </x:c>
      <x:c r="H366" s="12" t="str">
        <x:v>年均</x:v>
      </x:c>
      <x:c r="I366" s="12" t="str">
        <x:v>1962-01-01—1962-12-31</x:v>
      </x:c>
      <x:c r="J366" s="12" t="str">
        <x:v>OECD_GBP</x:v>
      </x:c>
      <x:c r="K366" s="12" t="str">
        <x:v>https://fred.stlouisfed.org/data/CCUSMA02GBA618N</x:v>
      </x:c>
      <x:c r="L366" s="12" t="str"/>
      <x:c r="M366" s="12" t="str">
        <x:v>A：机构统计／原始统计表</x:v>
      </x:c>
    </x:row>
    <x:row r="367" ht="72" customHeight="1">
      <x:c r="A367" t="n">
        <x:v>1962</x:v>
      </x:c>
      <x:c r="B367" t="str">
        <x:v>CAD</x:v>
      </x:c>
      <x:c r="C367" s="12" t="str">
        <x:v>加拿大元（CAD）</x:v>
      </x:c>
      <x:c r="D367" s="24" t="n">
        <x:v>1.06891</x:v>
      </x:c>
      <x:c r="E367" s="20" t="str">
        <x:v>LCU/USD</x:v>
      </x:c>
      <x:c r="F367" s="20" t="n">
        <x:v>1</x:v>
      </x:c>
      <x:c r="G367" s="22" t="n">
        <x:f>IF(E367="LCU/USD",D367*F367,F367/D367)</x:f>
        <x:v>1.06891</x:v>
      </x:c>
      <x:c r="H367" s="12" t="str">
        <x:v>年均</x:v>
      </x:c>
      <x:c r="I367" s="12" t="str">
        <x:v>1962-01-01—1962-12-31</x:v>
      </x:c>
      <x:c r="J367" s="12" t="str">
        <x:v>OECD_CAD</x:v>
      </x:c>
      <x:c r="K367" s="12" t="str">
        <x:v>https://fred.stlouisfed.org/data/CCUSMA02CAA618N</x:v>
      </x:c>
      <x:c r="L367" s="12" t="str"/>
      <x:c r="M367" s="12" t="str">
        <x:v>A：机构统计／原始统计表</x:v>
      </x:c>
    </x:row>
    <x:row r="368" ht="72" customHeight="1">
      <x:c r="A368" t="n">
        <x:v>1962</x:v>
      </x:c>
      <x:c r="B368" t="str">
        <x:v>FR</x:v>
      </x:c>
      <x:c r="C368" s="12" t="str">
        <x:v>法国新法郎</x:v>
      </x:c>
      <x:c r="D368" s="24" t="n">
        <x:v>0.7471343396</x:v>
      </x:c>
      <x:c r="E368" s="20" t="str">
        <x:v>LCU/USD</x:v>
      </x:c>
      <x:c r="F368" s="20" t="n">
        <x:f>'币制说明'!$C$27</x:f>
        <x:v>6.55957</x:v>
      </x:c>
      <x:c r="G368" s="22" t="n">
        <x:f>IF(E368="LCU/USD",D368*F368,F368/D368)</x:f>
        <x:v>4.9008800000099715</x:v>
      </x:c>
      <x:c r="H368" s="12" t="str">
        <x:v>年均</x:v>
      </x:c>
      <x:c r="I368" s="12" t="str">
        <x:v>1962-01-01—1962-12-31</x:v>
      </x:c>
      <x:c r="J368" s="12" t="str">
        <x:v>OECD_FR</x:v>
      </x:c>
      <x:c r="K368" s="12" t="str">
        <x:v>https://fred.stlouisfed.org/data/CCUSMA02FRA618N</x:v>
      </x:c>
      <x:c r="L368" s="12" t="str">
        <x:v>由欧元回溯单位还原当年本币；非当年实际欧元报价。 欧元回溯单位按不可撤销转换率还原；法国1960年前另乘100。</x:v>
      </x:c>
      <x:c r="M368" s="12" t="str">
        <x:v>A：机构统计／原始统计表</x:v>
      </x:c>
    </x:row>
    <x:row r="369" ht="72" customHeight="1">
      <x:c r="A369" t="n">
        <x:v>1962</x:v>
      </x:c>
      <x:c r="B369" t="str">
        <x:v>DE</x:v>
      </x:c>
      <x:c r="C369" s="12" t="str">
        <x:v>西德德国马克（DEM）</x:v>
      </x:c>
      <x:c r="D369" s="24" t="n">
        <x:v>2.0441768968</x:v>
      </x:c>
      <x:c r="E369" s="20" t="str">
        <x:v>LCU/USD</x:v>
      </x:c>
      <x:c r="F369" s="20" t="n">
        <x:f>'币制说明'!$C$28</x:f>
        <x:v>1.95583</x:v>
      </x:c>
      <x:c r="G369" s="22" t="n">
        <x:f>IF(E369="LCU/USD",D369*F369,F369/D369)</x:f>
        <x:v>3.9980625000683436</x:v>
      </x:c>
      <x:c r="H369" s="12" t="str">
        <x:v>年均</x:v>
      </x:c>
      <x:c r="I369" s="12" t="str">
        <x:v>1962-01-01—1962-12-31</x:v>
      </x:c>
      <x:c r="J369" s="12" t="str">
        <x:v>OECD_DE</x:v>
      </x:c>
      <x:c r="K369" s="12" t="str">
        <x:v>https://fred.stlouisfed.org/data/CCUSMA02DEA618N</x:v>
      </x:c>
      <x:c r="L369" s="12" t="str">
        <x:v>由欧元回溯单位还原当年本币；非当年实际欧元报价。 欧元回溯单位按不可撤销转换率还原；法国1960年前另乘100。</x:v>
      </x:c>
      <x:c r="M369" s="12" t="str">
        <x:v>A：机构统计／原始统计表</x:v>
      </x:c>
    </x:row>
    <x:row r="370" ht="72" customHeight="1">
      <x:c r="A370" t="n">
        <x:v>1962</x:v>
      </x:c>
      <x:c r="B370" t="str">
        <x:v>IT</x:v>
      </x:c>
      <x:c r="C370" s="12" t="str">
        <x:v>意大利里拉（ITL）</x:v>
      </x:c>
      <x:c r="D370" s="24" t="n">
        <x:v>0.320631162</x:v>
      </x:c>
      <x:c r="E370" s="20" t="str">
        <x:v>LCU/USD</x:v>
      </x:c>
      <x:c r="F370" s="20" t="n">
        <x:f>'币制说明'!$C$29</x:f>
        <x:v>1936.27</x:v>
      </x:c>
      <x:c r="G370" s="22" t="n">
        <x:f>IF(E370="LCU/USD",D370*F370,F370/D370)</x:f>
        <x:v>620.82850004574</x:v>
      </x:c>
      <x:c r="H370" s="12" t="str">
        <x:v>年均</x:v>
      </x:c>
      <x:c r="I370" s="12" t="str">
        <x:v>1962-01-01—1962-12-31</x:v>
      </x:c>
      <x:c r="J370" s="12" t="str">
        <x:v>OECD_IT</x:v>
      </x:c>
      <x:c r="K370" s="12" t="str">
        <x:v>https://fred.stlouisfed.org/data/CCUSMA02ITA618N</x:v>
      </x:c>
      <x:c r="L370" s="12" t="str">
        <x:v>由欧元回溯单位还原当年本币；非当年实际欧元报价。 欧元回溯单位按不可撤销转换率还原；法国1960年前另乘100。</x:v>
      </x:c>
      <x:c r="M370" s="12" t="str">
        <x:v>A：机构统计／原始统计表</x:v>
      </x:c>
    </x:row>
    <x:row r="371" ht="72" customHeight="1">
      <x:c r="A371" t="n">
        <x:v>1962</x:v>
      </x:c>
      <x:c r="B371" t="str">
        <x:v>JPY</x:v>
      </x:c>
      <x:c r="C371" s="12" t="str">
        <x:v>日元（JPY）</x:v>
      </x:c>
      <x:c r="D371" s="24" t="n">
        <x:v>360.86</x:v>
      </x:c>
      <x:c r="E371" s="20" t="str">
        <x:v>LCU/USD</x:v>
      </x:c>
      <x:c r="F371" s="20" t="n">
        <x:v>1</x:v>
      </x:c>
      <x:c r="G371" s="22" t="n">
        <x:f>IF(E371="LCU/USD",D371*F371,F371/D371)</x:f>
        <x:v>360.86</x:v>
      </x:c>
      <x:c r="H371" s="12" t="str">
        <x:v>年均</x:v>
      </x:c>
      <x:c r="I371" s="12" t="str">
        <x:v>1962-01-01—1962-12-31</x:v>
      </x:c>
      <x:c r="J371" s="12" t="str">
        <x:v>MW_JPY</x:v>
      </x:c>
      <x:c r="K371" s="12" t="str">
        <x:v>https://www.measuringworth.com/datasets/exchangeglobal/result.php?countryE%5B%5D=Japan&amp;year_result=2016&amp;year_source=1916</x:v>
      </x:c>
      <x:c r="L371" s="12" t="str"/>
      <x:c r="M371" s="12" t="str">
        <x:v>B：学术历史汇编</x:v>
      </x:c>
    </x:row>
    <x:row r="372" ht="72" customHeight="1">
      <x:c r="A372" t="n">
        <x:v>1962</x:v>
      </x:c>
      <x:c r="B372" t="str">
        <x:v>CHF</x:v>
      </x:c>
      <x:c r="C372" s="12" t="str">
        <x:v>瑞士法郎（CHF）</x:v>
      </x:c>
      <x:c r="D372" s="24" t="n">
        <x:v>4.324425</x:v>
      </x:c>
      <x:c r="E372" s="20" t="str">
        <x:v>LCU/USD</x:v>
      </x:c>
      <x:c r="F372" s="20" t="n">
        <x:v>1</x:v>
      </x:c>
      <x:c r="G372" s="22" t="n">
        <x:f>IF(E372="LCU/USD",D372*F372,F372/D372)</x:f>
        <x:v>4.324425</x:v>
      </x:c>
      <x:c r="H372" s="12" t="str">
        <x:v>年均</x:v>
      </x:c>
      <x:c r="I372" s="12" t="str">
        <x:v>1962-01-01—1962-12-31</x:v>
      </x:c>
      <x:c r="J372" s="12" t="str">
        <x:v>OECD_CHF</x:v>
      </x:c>
      <x:c r="K372" s="12" t="str">
        <x:v>https://fred.stlouisfed.org/data/CCUSMA02CHA618N</x:v>
      </x:c>
      <x:c r="L372" s="12" t="str"/>
      <x:c r="M372" s="12" t="str">
        <x:v>A：机构统计／原始统计表</x:v>
      </x:c>
    </x:row>
    <x:row r="373" ht="72" customHeight="1">
      <x:c r="A373" t="n">
        <x:v>1962</x:v>
      </x:c>
      <x:c r="B373" t="str">
        <x:v>INR</x:v>
      </x:c>
      <x:c r="C373" s="12" t="str">
        <x:v>印度卢比（INR）</x:v>
      </x:c>
      <x:c r="D373" s="24" t="n">
        <x:v>4.7619</x:v>
      </x:c>
      <x:c r="E373" s="20" t="str">
        <x:v>LCU/USD</x:v>
      </x:c>
      <x:c r="F373" s="20" t="n">
        <x:v>1</x:v>
      </x:c>
      <x:c r="G373" s="22" t="n">
        <x:f>IF(E373="LCU/USD",D373*F373,F373/D373)</x:f>
        <x:v>4.7619</x:v>
      </x:c>
      <x:c r="H373" s="12" t="str">
        <x:v>年均</x:v>
      </x:c>
      <x:c r="I373" s="12" t="str">
        <x:v>1962-01-01—1962-12-31</x:v>
      </x:c>
      <x:c r="J373" s="12" t="str">
        <x:v>OECD_INR</x:v>
      </x:c>
      <x:c r="K373" s="12" t="str">
        <x:v>https://fred.stlouisfed.org/data/CCUSMA02INA618N</x:v>
      </x:c>
      <x:c r="L373" s="12" t="str"/>
      <x:c r="M373" s="12" t="str">
        <x:v>A：机构统计／原始统计表</x:v>
      </x:c>
    </x:row>
    <x:row r="374" ht="72" customHeight="1">
      <x:c r="A374" t="n">
        <x:v>1962</x:v>
      </x:c>
      <x:c r="B374" t="str">
        <x:v>RUB</x:v>
      </x:c>
      <x:c r="C374" s="12" t="str">
        <x:v>苏联卢布（1961币制）</x:v>
      </x:c>
      <x:c r="D374" s="24" t="n">
        <x:v>0.9</x:v>
      </x:c>
      <x:c r="E374" s="20" t="str">
        <x:v>LCU/USD</x:v>
      </x:c>
      <x:c r="F374" s="20" t="n">
        <x:v>1</x:v>
      </x:c>
      <x:c r="G374" s="22" t="n">
        <x:f>IF(E374="LCU/USD",D374*F374,F374/D374)</x:f>
        <x:v>0.9</x:v>
      </x:c>
      <x:c r="H374" s="12" t="str">
        <x:v>官价区间参考（非年均）</x:v>
      </x:c>
      <x:c r="I374" s="12" t="str">
        <x:v>1961-01-01—1971-12-01</x:v>
      </x:c>
      <x:c r="J374" s="12" t="str">
        <x:v>SUR_OFFICIAL_SECONDARY</x:v>
      </x:c>
      <x:c r="K374" s="12" t="str">
        <x:v>https://en.wikipedia.org/wiki/Soviet_ruble#Exchange_rates</x:v>
      </x:c>
      <x:c r="L374" s="12" t="str">
        <x:v>源表同一官价覆盖的区间内年份；非逐年独立观测。只代表官方折算，非市场成交或购买力；原档案未复核。</x:v>
      </x:c>
      <x:c r="M374" s="12" t="str">
        <x:v>C：二手转引（原档未复核）</x:v>
      </x:c>
    </x:row>
    <x:row r="375" ht="72" customHeight="1">
      <x:c r="A375" t="n">
        <x:v>1962</x:v>
      </x:c>
      <x:c r="B375" t="str">
        <x:v>CNY</x:v>
      </x:c>
      <x:c r="C375" s="12" t="str">
        <x:v>人民币元（1955币制；CNY）</x:v>
      </x:c>
      <x:c r="D375" s="24" t="n">
        <x:v>2.46181</x:v>
      </x:c>
      <x:c r="E375" s="20" t="str">
        <x:v>LCU/USD</x:v>
      </x:c>
      <x:c r="F375" s="20" t="n">
        <x:v>1</x:v>
      </x:c>
      <x:c r="G375" s="22" t="n">
        <x:f>IF(E375="LCU/USD",D375*F375,F375/D375)</x:f>
        <x:v>2.46181</x:v>
      </x:c>
      <x:c r="H375" s="12" t="str">
        <x:v>年均</x:v>
      </x:c>
      <x:c r="I375" s="12" t="str">
        <x:v>1962-01-01—1962-12-31</x:v>
      </x:c>
      <x:c r="J375" s="12" t="str">
        <x:v>OECD_CNY</x:v>
      </x:c>
      <x:c r="K375" s="12" t="str">
        <x:v>https://fred.stlouisfed.org/data/CCUSMA02CNA618N</x:v>
      </x:c>
      <x:c r="L375" s="12" t="str"/>
      <x:c r="M375" s="12" t="str">
        <x:v>A：机构统计／原始统计表</x:v>
      </x:c>
    </x:row>
    <x:row r="376" ht="72" customHeight="1">
      <x:c r="A376" t="n">
        <x:v>1963</x:v>
      </x:c>
      <x:c r="B376" t="str">
        <x:v>GBP</x:v>
      </x:c>
      <x:c r="C376" s="12" t="str">
        <x:v>英镑（GBP）</x:v>
      </x:c>
      <x:c r="D376" s="24" t="n">
        <x:v>0.35710799</x:v>
      </x:c>
      <x:c r="E376" s="20" t="str">
        <x:v>LCU/USD</x:v>
      </x:c>
      <x:c r="F376" s="20" t="n">
        <x:v>1</x:v>
      </x:c>
      <x:c r="G376" s="22" t="n">
        <x:f>IF(E376="LCU/USD",D376*F376,F376/D376)</x:f>
        <x:v>0.35710799</x:v>
      </x:c>
      <x:c r="H376" s="12" t="str">
        <x:v>年均</x:v>
      </x:c>
      <x:c r="I376" s="12" t="str">
        <x:v>1963-01-01—1963-12-31</x:v>
      </x:c>
      <x:c r="J376" s="12" t="str">
        <x:v>OECD_GBP</x:v>
      </x:c>
      <x:c r="K376" s="12" t="str">
        <x:v>https://fred.stlouisfed.org/data/CCUSMA02GBA618N</x:v>
      </x:c>
      <x:c r="L376" s="12" t="str"/>
      <x:c r="M376" s="12" t="str">
        <x:v>A：机构统计／原始统计表</x:v>
      </x:c>
    </x:row>
    <x:row r="377" ht="72" customHeight="1">
      <x:c r="A377" t="n">
        <x:v>1963</x:v>
      </x:c>
      <x:c r="B377" t="str">
        <x:v>CAD</x:v>
      </x:c>
      <x:c r="C377" s="12" t="str">
        <x:v>加拿大元（CAD）</x:v>
      </x:c>
      <x:c r="D377" s="24" t="n">
        <x:v>1.078745</x:v>
      </x:c>
      <x:c r="E377" s="20" t="str">
        <x:v>LCU/USD</x:v>
      </x:c>
      <x:c r="F377" s="20" t="n">
        <x:v>1</x:v>
      </x:c>
      <x:c r="G377" s="22" t="n">
        <x:f>IF(E377="LCU/USD",D377*F377,F377/D377)</x:f>
        <x:v>1.078745</x:v>
      </x:c>
      <x:c r="H377" s="12" t="str">
        <x:v>年均</x:v>
      </x:c>
      <x:c r="I377" s="12" t="str">
        <x:v>1963-01-01—1963-12-31</x:v>
      </x:c>
      <x:c r="J377" s="12" t="str">
        <x:v>OECD_CAD</x:v>
      </x:c>
      <x:c r="K377" s="12" t="str">
        <x:v>https://fred.stlouisfed.org/data/CCUSMA02CAA618N</x:v>
      </x:c>
      <x:c r="L377" s="12" t="str"/>
      <x:c r="M377" s="12" t="str">
        <x:v>A：机构统计／原始统计表</x:v>
      </x:c>
    </x:row>
    <x:row r="378" ht="72" customHeight="1">
      <x:c r="A378" t="n">
        <x:v>1963</x:v>
      </x:c>
      <x:c r="B378" t="str">
        <x:v>FR</x:v>
      </x:c>
      <x:c r="C378" s="12" t="str">
        <x:v>法国法郎（FRF；1960币制）</x:v>
      </x:c>
      <x:c r="D378" s="24" t="n">
        <x:v>0.7471373886</x:v>
      </x:c>
      <x:c r="E378" s="20" t="str">
        <x:v>LCU/USD</x:v>
      </x:c>
      <x:c r="F378" s="20" t="n">
        <x:f>'币制说明'!$C$27</x:f>
        <x:v>6.55957</x:v>
      </x:c>
      <x:c r="G378" s="22" t="n">
        <x:f>IF(E378="LCU/USD",D378*F378,F378/D378)</x:f>
        <x:v>4.900900000138902</x:v>
      </x:c>
      <x:c r="H378" s="12" t="str">
        <x:v>年均</x:v>
      </x:c>
      <x:c r="I378" s="12" t="str">
        <x:v>1963-01-01—1963-12-31</x:v>
      </x:c>
      <x:c r="J378" s="12" t="str">
        <x:v>OECD_FR</x:v>
      </x:c>
      <x:c r="K378" s="12" t="str">
        <x:v>https://fred.stlouisfed.org/data/CCUSMA02FRA618N</x:v>
      </x:c>
      <x:c r="L378" s="12" t="str">
        <x:v>由欧元回溯单位还原当年本币；非当年实际欧元报价。 欧元回溯单位按不可撤销转换率还原；法国1960年前另乘100。</x:v>
      </x:c>
      <x:c r="M378" s="12" t="str">
        <x:v>A：机构统计／原始统计表</x:v>
      </x:c>
    </x:row>
    <x:row r="379" ht="72" customHeight="1">
      <x:c r="A379" t="n">
        <x:v>1963</x:v>
      </x:c>
      <x:c r="B379" t="str">
        <x:v>DE</x:v>
      </x:c>
      <x:c r="C379" s="12" t="str">
        <x:v>西德德国马克（DEM）</x:v>
      </x:c>
      <x:c r="D379" s="24" t="n">
        <x:v>2.0382701973</x:v>
      </x:c>
      <x:c r="E379" s="20" t="str">
        <x:v>LCU/USD</x:v>
      </x:c>
      <x:c r="F379" s="20" t="n">
        <x:f>'币制说明'!$C$28</x:f>
        <x:v>1.95583</x:v>
      </x:c>
      <x:c r="G379" s="22" t="n">
        <x:f>IF(E379="LCU/USD",D379*F379,F379/D379)</x:f>
        <x:v>3.9865099999852593</x:v>
      </x:c>
      <x:c r="H379" s="12" t="str">
        <x:v>年均</x:v>
      </x:c>
      <x:c r="I379" s="12" t="str">
        <x:v>1963-01-01—1963-12-31</x:v>
      </x:c>
      <x:c r="J379" s="12" t="str">
        <x:v>OECD_DE</x:v>
      </x:c>
      <x:c r="K379" s="12" t="str">
        <x:v>https://fred.stlouisfed.org/data/CCUSMA02DEA618N</x:v>
      </x:c>
      <x:c r="L379" s="12" t="str">
        <x:v>由欧元回溯单位还原当年本币；非当年实际欧元报价。 欧元回溯单位按不可撤销转换率还原；法国1960年前另乘100。</x:v>
      </x:c>
      <x:c r="M379" s="12" t="str">
        <x:v>A：机构统计／原始统计表</x:v>
      </x:c>
    </x:row>
    <x:row r="380" ht="72" customHeight="1">
      <x:c r="A380" t="n">
        <x:v>1963</x:v>
      </x:c>
      <x:c r="B380" t="str">
        <x:v>IT</x:v>
      </x:c>
      <x:c r="C380" s="12" t="str">
        <x:v>意大利里拉（ITL）</x:v>
      </x:c>
      <x:c r="D380" s="24" t="n">
        <x:v>0.321030254</x:v>
      </x:c>
      <x:c r="E380" s="20" t="str">
        <x:v>LCU/USD</x:v>
      </x:c>
      <x:c r="F380" s="20" t="n">
        <x:f>'币制说明'!$C$29</x:f>
        <x:v>1936.27</x:v>
      </x:c>
      <x:c r="G380" s="22" t="n">
        <x:f>IF(E380="LCU/USD",D380*F380,F380/D380)</x:f>
        <x:v>621.60124991258</x:v>
      </x:c>
      <x:c r="H380" s="12" t="str">
        <x:v>年均</x:v>
      </x:c>
      <x:c r="I380" s="12" t="str">
        <x:v>1963-01-01—1963-12-31</x:v>
      </x:c>
      <x:c r="J380" s="12" t="str">
        <x:v>OECD_IT</x:v>
      </x:c>
      <x:c r="K380" s="12" t="str">
        <x:v>https://fred.stlouisfed.org/data/CCUSMA02ITA618N</x:v>
      </x:c>
      <x:c r="L380" s="12" t="str">
        <x:v>由欧元回溯单位还原当年本币；非当年实际欧元报价。 欧元回溯单位按不可撤销转换率还原；法国1960年前另乘100。</x:v>
      </x:c>
      <x:c r="M380" s="12" t="str">
        <x:v>A：机构统计／原始统计表</x:v>
      </x:c>
    </x:row>
    <x:row r="381" ht="72" customHeight="1">
      <x:c r="A381" t="n">
        <x:v>1963</x:v>
      </x:c>
      <x:c r="B381" t="str">
        <x:v>JPY</x:v>
      </x:c>
      <x:c r="C381" s="12" t="str">
        <x:v>日元（JPY）</x:v>
      </x:c>
      <x:c r="D381" s="24" t="n">
        <x:v>361.49</x:v>
      </x:c>
      <x:c r="E381" s="20" t="str">
        <x:v>LCU/USD</x:v>
      </x:c>
      <x:c r="F381" s="20" t="n">
        <x:v>1</x:v>
      </x:c>
      <x:c r="G381" s="22" t="n">
        <x:f>IF(E381="LCU/USD",D381*F381,F381/D381)</x:f>
        <x:v>361.49</x:v>
      </x:c>
      <x:c r="H381" s="12" t="str">
        <x:v>年均</x:v>
      </x:c>
      <x:c r="I381" s="12" t="str">
        <x:v>1963-01-01—1963-12-31</x:v>
      </x:c>
      <x:c r="J381" s="12" t="str">
        <x:v>MW_JPY</x:v>
      </x:c>
      <x:c r="K381" s="12" t="str">
        <x:v>https://www.measuringworth.com/datasets/exchangeglobal/result.php?countryE%5B%5D=Japan&amp;year_result=2016&amp;year_source=1916</x:v>
      </x:c>
      <x:c r="L381" s="12" t="str"/>
      <x:c r="M381" s="12" t="str">
        <x:v>B：学术历史汇编</x:v>
      </x:c>
    </x:row>
    <x:row r="382" ht="72" customHeight="1">
      <x:c r="A382" t="n">
        <x:v>1963</x:v>
      </x:c>
      <x:c r="B382" t="str">
        <x:v>CHF</x:v>
      </x:c>
      <x:c r="C382" s="12" t="str">
        <x:v>瑞士法郎（CHF）</x:v>
      </x:c>
      <x:c r="D382" s="24" t="n">
        <x:v>4.321725</x:v>
      </x:c>
      <x:c r="E382" s="20" t="str">
        <x:v>LCU/USD</x:v>
      </x:c>
      <x:c r="F382" s="20" t="n">
        <x:v>1</x:v>
      </x:c>
      <x:c r="G382" s="22" t="n">
        <x:f>IF(E382="LCU/USD",D382*F382,F382/D382)</x:f>
        <x:v>4.321725</x:v>
      </x:c>
      <x:c r="H382" s="12" t="str">
        <x:v>年均</x:v>
      </x:c>
      <x:c r="I382" s="12" t="str">
        <x:v>1963-01-01—1963-12-31</x:v>
      </x:c>
      <x:c r="J382" s="12" t="str">
        <x:v>OECD_CHF</x:v>
      </x:c>
      <x:c r="K382" s="12" t="str">
        <x:v>https://fred.stlouisfed.org/data/CCUSMA02CHA618N</x:v>
      </x:c>
      <x:c r="L382" s="12" t="str"/>
      <x:c r="M382" s="12" t="str">
        <x:v>A：机构统计／原始统计表</x:v>
      </x:c>
    </x:row>
    <x:row r="383" ht="72" customHeight="1">
      <x:c r="A383" t="n">
        <x:v>1963</x:v>
      </x:c>
      <x:c r="B383" t="str">
        <x:v>INR</x:v>
      </x:c>
      <x:c r="C383" s="12" t="str">
        <x:v>印度卢比（INR）</x:v>
      </x:c>
      <x:c r="D383" s="24" t="n">
        <x:v>4.7619</x:v>
      </x:c>
      <x:c r="E383" s="20" t="str">
        <x:v>LCU/USD</x:v>
      </x:c>
      <x:c r="F383" s="20" t="n">
        <x:v>1</x:v>
      </x:c>
      <x:c r="G383" s="22" t="n">
        <x:f>IF(E383="LCU/USD",D383*F383,F383/D383)</x:f>
        <x:v>4.7619</x:v>
      </x:c>
      <x:c r="H383" s="12" t="str">
        <x:v>年均</x:v>
      </x:c>
      <x:c r="I383" s="12" t="str">
        <x:v>1963-01-01—1963-12-31</x:v>
      </x:c>
      <x:c r="J383" s="12" t="str">
        <x:v>OECD_INR</x:v>
      </x:c>
      <x:c r="K383" s="12" t="str">
        <x:v>https://fred.stlouisfed.org/data/CCUSMA02INA618N</x:v>
      </x:c>
      <x:c r="L383" s="12" t="str"/>
      <x:c r="M383" s="12" t="str">
        <x:v>A：机构统计／原始统计表</x:v>
      </x:c>
    </x:row>
    <x:row r="384" ht="72" customHeight="1">
      <x:c r="A384" t="n">
        <x:v>1963</x:v>
      </x:c>
      <x:c r="B384" t="str">
        <x:v>RUB</x:v>
      </x:c>
      <x:c r="C384" s="12" t="str">
        <x:v>苏联卢布（1961币制）</x:v>
      </x:c>
      <x:c r="D384" s="24" t="n">
        <x:v>0.9</x:v>
      </x:c>
      <x:c r="E384" s="20" t="str">
        <x:v>LCU/USD</x:v>
      </x:c>
      <x:c r="F384" s="20" t="n">
        <x:v>1</x:v>
      </x:c>
      <x:c r="G384" s="22" t="n">
        <x:f>IF(E384="LCU/USD",D384*F384,F384/D384)</x:f>
        <x:v>0.9</x:v>
      </x:c>
      <x:c r="H384" s="12" t="str">
        <x:v>官价区间参考（非年均）</x:v>
      </x:c>
      <x:c r="I384" s="12" t="str">
        <x:v>1961-01-01—1971-12-01</x:v>
      </x:c>
      <x:c r="J384" s="12" t="str">
        <x:v>SUR_OFFICIAL_SECONDARY</x:v>
      </x:c>
      <x:c r="K384" s="12" t="str">
        <x:v>https://en.wikipedia.org/wiki/Soviet_ruble#Exchange_rates</x:v>
      </x:c>
      <x:c r="L384" s="12" t="str">
        <x:v>源表同一官价覆盖的区间内年份；非逐年独立观测。只代表官方折算，非市场成交或购买力；原档案未复核。</x:v>
      </x:c>
      <x:c r="M384" s="12" t="str">
        <x:v>C：二手转引（原档未复核）</x:v>
      </x:c>
    </x:row>
    <x:row r="385" ht="72" customHeight="1">
      <x:c r="A385" t="n">
        <x:v>1963</x:v>
      </x:c>
      <x:c r="B385" t="str">
        <x:v>CNY</x:v>
      </x:c>
      <x:c r="C385" s="12" t="str">
        <x:v>人民币元（1955币制；CNY）</x:v>
      </x:c>
      <x:c r="D385" s="24" t="n">
        <x:v>2.46181</x:v>
      </x:c>
      <x:c r="E385" s="20" t="str">
        <x:v>LCU/USD</x:v>
      </x:c>
      <x:c r="F385" s="20" t="n">
        <x:v>1</x:v>
      </x:c>
      <x:c r="G385" s="22" t="n">
        <x:f>IF(E385="LCU/USD",D385*F385,F385/D385)</x:f>
        <x:v>2.46181</x:v>
      </x:c>
      <x:c r="H385" s="12" t="str">
        <x:v>年均</x:v>
      </x:c>
      <x:c r="I385" s="12" t="str">
        <x:v>1963-01-01—1963-12-31</x:v>
      </x:c>
      <x:c r="J385" s="12" t="str">
        <x:v>OECD_CNY</x:v>
      </x:c>
      <x:c r="K385" s="12" t="str">
        <x:v>https://fred.stlouisfed.org/data/CCUSMA02CNA618N</x:v>
      </x:c>
      <x:c r="L385" s="12" t="str"/>
      <x:c r="M385" s="12" t="str">
        <x:v>A：机构统计／原始统计表</x:v>
      </x:c>
    </x:row>
    <x:row r="386" ht="72" customHeight="1">
      <x:c r="A386" t="n">
        <x:v>1964</x:v>
      </x:c>
      <x:c r="B386" t="str">
        <x:v>GBP</x:v>
      </x:c>
      <x:c r="C386" s="12" t="str">
        <x:v>英镑（GBP）</x:v>
      </x:c>
      <x:c r="D386" s="24" t="n">
        <x:v>0.3581004917</x:v>
      </x:c>
      <x:c r="E386" s="20" t="str">
        <x:v>LCU/USD</x:v>
      </x:c>
      <x:c r="F386" s="20" t="n">
        <x:v>1</x:v>
      </x:c>
      <x:c r="G386" s="22" t="n">
        <x:f>IF(E386="LCU/USD",D386*F386,F386/D386)</x:f>
        <x:v>0.3581004917</x:v>
      </x:c>
      <x:c r="H386" s="12" t="str">
        <x:v>年均</x:v>
      </x:c>
      <x:c r="I386" s="12" t="str">
        <x:v>1964-01-01—1964-12-31</x:v>
      </x:c>
      <x:c r="J386" s="12" t="str">
        <x:v>OECD_GBP</x:v>
      </x:c>
      <x:c r="K386" s="12" t="str">
        <x:v>https://fred.stlouisfed.org/data/CCUSMA02GBA618N</x:v>
      </x:c>
      <x:c r="L386" s="12" t="str"/>
      <x:c r="M386" s="12" t="str">
        <x:v>A：机构统计／原始统计表</x:v>
      </x:c>
    </x:row>
    <x:row r="387" ht="72" customHeight="1">
      <x:c r="A387" t="n">
        <x:v>1964</x:v>
      </x:c>
      <x:c r="B387" t="str">
        <x:v>CAD</x:v>
      </x:c>
      <x:c r="C387" s="12" t="str">
        <x:v>加拿大元（CAD）</x:v>
      </x:c>
      <x:c r="D387" s="24" t="n">
        <x:v>1.0787991667</x:v>
      </x:c>
      <x:c r="E387" s="20" t="str">
        <x:v>LCU/USD</x:v>
      </x:c>
      <x:c r="F387" s="20" t="n">
        <x:v>1</x:v>
      </x:c>
      <x:c r="G387" s="22" t="n">
        <x:f>IF(E387="LCU/USD",D387*F387,F387/D387)</x:f>
        <x:v>1.0787991667</x:v>
      </x:c>
      <x:c r="H387" s="12" t="str">
        <x:v>年均</x:v>
      </x:c>
      <x:c r="I387" s="12" t="str">
        <x:v>1964-01-01—1964-12-31</x:v>
      </x:c>
      <x:c r="J387" s="12" t="str">
        <x:v>OECD_CAD</x:v>
      </x:c>
      <x:c r="K387" s="12" t="str">
        <x:v>https://fred.stlouisfed.org/data/CCUSMA02CAA618N</x:v>
      </x:c>
      <x:c r="L387" s="12" t="str"/>
      <x:c r="M387" s="12" t="str">
        <x:v>A：机构统计／原始统计表</x:v>
      </x:c>
    </x:row>
    <x:row r="388" ht="72" customHeight="1">
      <x:c r="A388" t="n">
        <x:v>1964</x:v>
      </x:c>
      <x:c r="B388" t="str">
        <x:v>FR</x:v>
      </x:c>
      <x:c r="C388" s="12" t="str">
        <x:v>法国法郎（FRF；1960币制）</x:v>
      </x:c>
      <x:c r="D388" s="24" t="n">
        <x:v>0.7471617804</x:v>
      </x:c>
      <x:c r="E388" s="20" t="str">
        <x:v>LCU/USD</x:v>
      </x:c>
      <x:c r="F388" s="20" t="n">
        <x:f>'币制说明'!$C$27</x:f>
        <x:v>6.55957</x:v>
      </x:c>
      <x:c r="G388" s="22" t="n">
        <x:f>IF(E388="LCU/USD",D388*F388,F388/D388)</x:f>
        <x:v>4.901059999858428</x:v>
      </x:c>
      <x:c r="H388" s="12" t="str">
        <x:v>年均</x:v>
      </x:c>
      <x:c r="I388" s="12" t="str">
        <x:v>1964-01-01—1964-12-31</x:v>
      </x:c>
      <x:c r="J388" s="12" t="str">
        <x:v>OECD_FR</x:v>
      </x:c>
      <x:c r="K388" s="12" t="str">
        <x:v>https://fred.stlouisfed.org/data/CCUSMA02FRA618N</x:v>
      </x:c>
      <x:c r="L388" s="12" t="str">
        <x:v>由欧元回溯单位还原当年本币；非当年实际欧元报价。 欧元回溯单位按不可撤销转换率还原；法国1960年前另乘100。</x:v>
      </x:c>
      <x:c r="M388" s="12" t="str">
        <x:v>A：机构统计／原始统计表</x:v>
      </x:c>
    </x:row>
    <x:row r="389" ht="72" customHeight="1">
      <x:c r="A389" t="n">
        <x:v>1964</x:v>
      </x:c>
      <x:c r="B389" t="str">
        <x:v>DE</x:v>
      </x:c>
      <x:c r="C389" s="12" t="str">
        <x:v>西德德国马克（DEM）</x:v>
      </x:c>
      <x:c r="D389" s="24" t="n">
        <x:v>2.0324039751</x:v>
      </x:c>
      <x:c r="E389" s="20" t="str">
        <x:v>LCU/USD</x:v>
      </x:c>
      <x:c r="F389" s="20" t="n">
        <x:f>'币制说明'!$C$28</x:f>
        <x:v>1.95583</x:v>
      </x:c>
      <x:c r="G389" s="22" t="n">
        <x:f>IF(E389="LCU/USD",D389*F389,F389/D389)</x:f>
        <x:v>3.9750366666198325</x:v>
      </x:c>
      <x:c r="H389" s="12" t="str">
        <x:v>年均</x:v>
      </x:c>
      <x:c r="I389" s="12" t="str">
        <x:v>1964-01-01—1964-12-31</x:v>
      </x:c>
      <x:c r="J389" s="12" t="str">
        <x:v>OECD_DE</x:v>
      </x:c>
      <x:c r="K389" s="12" t="str">
        <x:v>https://fred.stlouisfed.org/data/CCUSMA02DEA618N</x:v>
      </x:c>
      <x:c r="L389" s="12" t="str">
        <x:v>由欧元回溯单位还原当年本币；非当年实际欧元报价。 欧元回溯单位按不可撤销转换率还原；法国1960年前另乘100。</x:v>
      </x:c>
      <x:c r="M389" s="12" t="str">
        <x:v>A：机构统计／原始统计表</x:v>
      </x:c>
    </x:row>
    <x:row r="390" ht="72" customHeight="1">
      <x:c r="A390" t="n">
        <x:v>1964</x:v>
      </x:c>
      <x:c r="B390" t="str">
        <x:v>IT</x:v>
      </x:c>
      <x:c r="C390" s="12" t="str">
        <x:v>意大利里拉（ITL）</x:v>
      </x:c>
      <x:c r="D390" s="24" t="n">
        <x:v>0.3225175638</x:v>
      </x:c>
      <x:c r="E390" s="20" t="str">
        <x:v>LCU/USD</x:v>
      </x:c>
      <x:c r="F390" s="20" t="n">
        <x:f>'币制说明'!$C$29</x:f>
        <x:v>1936.27</x:v>
      </x:c>
      <x:c r="G390" s="22" t="n">
        <x:f>IF(E390="LCU/USD",D390*F390,F390/D390)</x:f>
        <x:v>624.481083259026</x:v>
      </x:c>
      <x:c r="H390" s="12" t="str">
        <x:v>年均</x:v>
      </x:c>
      <x:c r="I390" s="12" t="str">
        <x:v>1964-01-01—1964-12-31</x:v>
      </x:c>
      <x:c r="J390" s="12" t="str">
        <x:v>OECD_IT</x:v>
      </x:c>
      <x:c r="K390" s="12" t="str">
        <x:v>https://fred.stlouisfed.org/data/CCUSMA02ITA618N</x:v>
      </x:c>
      <x:c r="L390" s="12" t="str">
        <x:v>由欧元回溯单位还原当年本币；非当年实际欧元报价。 欧元回溯单位按不可撤销转换率还原；法国1960年前另乘100。</x:v>
      </x:c>
      <x:c r="M390" s="12" t="str">
        <x:v>A：机构统计／原始统计表</x:v>
      </x:c>
    </x:row>
    <x:row r="391" ht="72" customHeight="1">
      <x:c r="A391" t="n">
        <x:v>1964</x:v>
      </x:c>
      <x:c r="B391" t="str">
        <x:v>JPY</x:v>
      </x:c>
      <x:c r="C391" s="12" t="str">
        <x:v>日元（JPY）</x:v>
      </x:c>
      <x:c r="D391" s="24" t="n">
        <x:v>361.99</x:v>
      </x:c>
      <x:c r="E391" s="20" t="str">
        <x:v>LCU/USD</x:v>
      </x:c>
      <x:c r="F391" s="20" t="n">
        <x:v>1</x:v>
      </x:c>
      <x:c r="G391" s="22" t="n">
        <x:f>IF(E391="LCU/USD",D391*F391,F391/D391)</x:f>
        <x:v>361.99</x:v>
      </x:c>
      <x:c r="H391" s="12" t="str">
        <x:v>年均</x:v>
      </x:c>
      <x:c r="I391" s="12" t="str">
        <x:v>1964-01-01—1964-12-31</x:v>
      </x:c>
      <x:c r="J391" s="12" t="str">
        <x:v>MW_JPY</x:v>
      </x:c>
      <x:c r="K391" s="12" t="str">
        <x:v>https://www.measuringworth.com/datasets/exchangeglobal/result.php?countryE%5B%5D=Japan&amp;year_result=2016&amp;year_source=1916</x:v>
      </x:c>
      <x:c r="L391" s="12" t="str"/>
      <x:c r="M391" s="12" t="str">
        <x:v>B：学术历史汇编</x:v>
      </x:c>
    </x:row>
    <x:row r="392" ht="72" customHeight="1">
      <x:c r="A392" t="n">
        <x:v>1964</x:v>
      </x:c>
      <x:c r="B392" t="str">
        <x:v>CHF</x:v>
      </x:c>
      <x:c r="C392" s="12" t="str">
        <x:v>瑞士法郎（CHF）</x:v>
      </x:c>
      <x:c r="D392" s="24" t="n">
        <x:v>4.3192583333</x:v>
      </x:c>
      <x:c r="E392" s="20" t="str">
        <x:v>LCU/USD</x:v>
      </x:c>
      <x:c r="F392" s="20" t="n">
        <x:v>1</x:v>
      </x:c>
      <x:c r="G392" s="22" t="n">
        <x:f>IF(E392="LCU/USD",D392*F392,F392/D392)</x:f>
        <x:v>4.3192583333</x:v>
      </x:c>
      <x:c r="H392" s="12" t="str">
        <x:v>年均</x:v>
      </x:c>
      <x:c r="I392" s="12" t="str">
        <x:v>1964-01-01—1964-12-31</x:v>
      </x:c>
      <x:c r="J392" s="12" t="str">
        <x:v>OECD_CHF</x:v>
      </x:c>
      <x:c r="K392" s="12" t="str">
        <x:v>https://fred.stlouisfed.org/data/CCUSMA02CHA618N</x:v>
      </x:c>
      <x:c r="L392" s="12" t="str"/>
      <x:c r="M392" s="12" t="str">
        <x:v>A：机构统计／原始统计表</x:v>
      </x:c>
    </x:row>
    <x:row r="393" ht="72" customHeight="1">
      <x:c r="A393" t="n">
        <x:v>1964</x:v>
      </x:c>
      <x:c r="B393" t="str">
        <x:v>INR</x:v>
      </x:c>
      <x:c r="C393" s="12" t="str">
        <x:v>印度卢比（INR）</x:v>
      </x:c>
      <x:c r="D393" s="24" t="n">
        <x:v>4.7619</x:v>
      </x:c>
      <x:c r="E393" s="20" t="str">
        <x:v>LCU/USD</x:v>
      </x:c>
      <x:c r="F393" s="20" t="n">
        <x:v>1</x:v>
      </x:c>
      <x:c r="G393" s="22" t="n">
        <x:f>IF(E393="LCU/USD",D393*F393,F393/D393)</x:f>
        <x:v>4.7619</x:v>
      </x:c>
      <x:c r="H393" s="12" t="str">
        <x:v>年均</x:v>
      </x:c>
      <x:c r="I393" s="12" t="str">
        <x:v>1964-01-01—1964-12-31</x:v>
      </x:c>
      <x:c r="J393" s="12" t="str">
        <x:v>OECD_INR</x:v>
      </x:c>
      <x:c r="K393" s="12" t="str">
        <x:v>https://fred.stlouisfed.org/data/CCUSMA02INA618N</x:v>
      </x:c>
      <x:c r="L393" s="12" t="str"/>
      <x:c r="M393" s="12" t="str">
        <x:v>A：机构统计／原始统计表</x:v>
      </x:c>
    </x:row>
    <x:row r="394" ht="72" customHeight="1">
      <x:c r="A394" t="n">
        <x:v>1964</x:v>
      </x:c>
      <x:c r="B394" t="str">
        <x:v>RUB</x:v>
      </x:c>
      <x:c r="C394" s="12" t="str">
        <x:v>苏联卢布（1961币制）</x:v>
      </x:c>
      <x:c r="D394" s="24" t="n">
        <x:v>0.9</x:v>
      </x:c>
      <x:c r="E394" s="20" t="str">
        <x:v>LCU/USD</x:v>
      </x:c>
      <x:c r="F394" s="20" t="n">
        <x:v>1</x:v>
      </x:c>
      <x:c r="G394" s="22" t="n">
        <x:f>IF(E394="LCU/USD",D394*F394,F394/D394)</x:f>
        <x:v>0.9</x:v>
      </x:c>
      <x:c r="H394" s="12" t="str">
        <x:v>官价区间参考（非年均）</x:v>
      </x:c>
      <x:c r="I394" s="12" t="str">
        <x:v>1961-01-01—1971-12-01</x:v>
      </x:c>
      <x:c r="J394" s="12" t="str">
        <x:v>SUR_OFFICIAL_SECONDARY</x:v>
      </x:c>
      <x:c r="K394" s="12" t="str">
        <x:v>https://en.wikipedia.org/wiki/Soviet_ruble#Exchange_rates</x:v>
      </x:c>
      <x:c r="L394" s="12" t="str">
        <x:v>源表同一官价覆盖的区间内年份；非逐年独立观测。只代表官方折算，非市场成交或购买力；原档案未复核。</x:v>
      </x:c>
      <x:c r="M394" s="12" t="str">
        <x:v>C：二手转引（原档未复核）</x:v>
      </x:c>
    </x:row>
    <x:row r="395" ht="72" customHeight="1">
      <x:c r="A395" t="n">
        <x:v>1964</x:v>
      </x:c>
      <x:c r="B395" t="str">
        <x:v>CNY</x:v>
      </x:c>
      <x:c r="C395" s="12" t="str">
        <x:v>人民币元（1955币制；CNY）</x:v>
      </x:c>
      <x:c r="D395" s="24" t="n">
        <x:v>2.46181</x:v>
      </x:c>
      <x:c r="E395" s="20" t="str">
        <x:v>LCU/USD</x:v>
      </x:c>
      <x:c r="F395" s="20" t="n">
        <x:v>1</x:v>
      </x:c>
      <x:c r="G395" s="22" t="n">
        <x:f>IF(E395="LCU/USD",D395*F395,F395/D395)</x:f>
        <x:v>2.46181</x:v>
      </x:c>
      <x:c r="H395" s="12" t="str">
        <x:v>年均</x:v>
      </x:c>
      <x:c r="I395" s="12" t="str">
        <x:v>1964-01-01—1964-12-31</x:v>
      </x:c>
      <x:c r="J395" s="12" t="str">
        <x:v>OECD_CNY</x:v>
      </x:c>
      <x:c r="K395" s="12" t="str">
        <x:v>https://fred.stlouisfed.org/data/CCUSMA02CNA618N</x:v>
      </x:c>
      <x:c r="L395" s="12" t="str"/>
      <x:c r="M395" s="12" t="str">
        <x:v>A：机构统计／原始统计表</x:v>
      </x:c>
    </x:row>
    <x:row r="396" ht="72" customHeight="1">
      <x:c r="A396" t="n">
        <x:v>1965</x:v>
      </x:c>
      <x:c r="B396" t="str">
        <x:v>GBP</x:v>
      </x:c>
      <x:c r="C396" s="12" t="str">
        <x:v>英镑（GBP）</x:v>
      </x:c>
      <x:c r="D396" s="24" t="n">
        <x:v>0.3576260333</x:v>
      </x:c>
      <x:c r="E396" s="20" t="str">
        <x:v>LCU/USD</x:v>
      </x:c>
      <x:c r="F396" s="20" t="n">
        <x:v>1</x:v>
      </x:c>
      <x:c r="G396" s="22" t="n">
        <x:f>IF(E396="LCU/USD",D396*F396,F396/D396)</x:f>
        <x:v>0.3576260333</x:v>
      </x:c>
      <x:c r="H396" s="12" t="str">
        <x:v>年均</x:v>
      </x:c>
      <x:c r="I396" s="12" t="str">
        <x:v>1965-01-01—1965-12-31</x:v>
      </x:c>
      <x:c r="J396" s="12" t="str">
        <x:v>OECD_GBP</x:v>
      </x:c>
      <x:c r="K396" s="12" t="str">
        <x:v>https://fred.stlouisfed.org/data/CCUSMA02GBA618N</x:v>
      </x:c>
      <x:c r="L396" s="12" t="str"/>
      <x:c r="M396" s="12" t="str">
        <x:v>A：机构统计／原始统计表</x:v>
      </x:c>
    </x:row>
    <x:row r="397" ht="72" customHeight="1">
      <x:c r="A397" t="n">
        <x:v>1965</x:v>
      </x:c>
      <x:c r="B397" t="str">
        <x:v>CAD</x:v>
      </x:c>
      <x:c r="C397" s="12" t="str">
        <x:v>加拿大元（CAD）</x:v>
      </x:c>
      <x:c r="D397" s="24" t="n">
        <x:v>1.0781525</x:v>
      </x:c>
      <x:c r="E397" s="20" t="str">
        <x:v>LCU/USD</x:v>
      </x:c>
      <x:c r="F397" s="20" t="n">
        <x:v>1</x:v>
      </x:c>
      <x:c r="G397" s="22" t="n">
        <x:f>IF(E397="LCU/USD",D397*F397,F397/D397)</x:f>
        <x:v>1.0781525</x:v>
      </x:c>
      <x:c r="H397" s="12" t="str">
        <x:v>年均</x:v>
      </x:c>
      <x:c r="I397" s="12" t="str">
        <x:v>1965-01-01—1965-12-31</x:v>
      </x:c>
      <x:c r="J397" s="12" t="str">
        <x:v>OECD_CAD</x:v>
      </x:c>
      <x:c r="K397" s="12" t="str">
        <x:v>https://fred.stlouisfed.org/data/CCUSMA02CAA618N</x:v>
      </x:c>
      <x:c r="L397" s="12" t="str"/>
      <x:c r="M397" s="12" t="str">
        <x:v>A：机构统计／原始统计表</x:v>
      </x:c>
    </x:row>
    <x:row r="398" ht="72" customHeight="1">
      <x:c r="A398" t="n">
        <x:v>1965</x:v>
      </x:c>
      <x:c r="B398" t="str">
        <x:v>FR</x:v>
      </x:c>
      <x:c r="C398" s="12" t="str">
        <x:v>法国法郎（FRF；1960币制）</x:v>
      </x:c>
      <x:c r="D398" s="24" t="n">
        <x:v>0.7472471519</x:v>
      </x:c>
      <x:c r="E398" s="20" t="str">
        <x:v>LCU/USD</x:v>
      </x:c>
      <x:c r="F398" s="20" t="n">
        <x:f>'币制说明'!$C$27</x:f>
        <x:v>6.55957</x:v>
      </x:c>
      <x:c r="G398" s="22" t="n">
        <x:f>IF(E398="LCU/USD",D398*F398,F398/D398)</x:f>
        <x:v>4.901620000188683</x:v>
      </x:c>
      <x:c r="H398" s="12" t="str">
        <x:v>年均</x:v>
      </x:c>
      <x:c r="I398" s="12" t="str">
        <x:v>1965-01-01—1965-12-31</x:v>
      </x:c>
      <x:c r="J398" s="12" t="str">
        <x:v>OECD_FR</x:v>
      </x:c>
      <x:c r="K398" s="12" t="str">
        <x:v>https://fred.stlouisfed.org/data/CCUSMA02FRA618N</x:v>
      </x:c>
      <x:c r="L398" s="12" t="str">
        <x:v>由欧元回溯单位还原当年本币；非当年实际欧元报价。 欧元回溯单位按不可撤销转换率还原；法国1960年前另乘100。</x:v>
      </x:c>
      <x:c r="M398" s="12" t="str">
        <x:v>A：机构统计／原始统计表</x:v>
      </x:c>
    </x:row>
    <x:row r="399" ht="72" customHeight="1">
      <x:c r="A399" t="n">
        <x:v>1965</x:v>
      </x:c>
      <x:c r="B399" t="str">
        <x:v>DE</x:v>
      </x:c>
      <x:c r="C399" s="12" t="str">
        <x:v>西德德国马克（DEM）</x:v>
      </x:c>
      <x:c r="D399" s="24" t="n">
        <x:v>2.042202884</x:v>
      </x:c>
      <x:c r="E399" s="20" t="str">
        <x:v>LCU/USD</x:v>
      </x:c>
      <x:c r="F399" s="20" t="n">
        <x:f>'币制说明'!$C$28</x:f>
        <x:v>1.95583</x:v>
      </x:c>
      <x:c r="G399" s="22" t="n">
        <x:f>IF(E399="LCU/USD",D399*F399,F399/D399)</x:f>
        <x:v>3.9942016666137197</x:v>
      </x:c>
      <x:c r="H399" s="12" t="str">
        <x:v>年均</x:v>
      </x:c>
      <x:c r="I399" s="12" t="str">
        <x:v>1965-01-01—1965-12-31</x:v>
      </x:c>
      <x:c r="J399" s="12" t="str">
        <x:v>OECD_DE</x:v>
      </x:c>
      <x:c r="K399" s="12" t="str">
        <x:v>https://fred.stlouisfed.org/data/CCUSMA02DEA618N</x:v>
      </x:c>
      <x:c r="L399" s="12" t="str">
        <x:v>由欧元回溯单位还原当年本币；非当年实际欧元报价。 欧元回溯单位按不可撤销转换率还原；法国1960年前另乘100。</x:v>
      </x:c>
      <x:c r="M399" s="12" t="str">
        <x:v>A：机构统计／原始统计表</x:v>
      </x:c>
    </x:row>
    <x:row r="400" ht="72" customHeight="1">
      <x:c r="A400" t="n">
        <x:v>1965</x:v>
      </x:c>
      <x:c r="B400" t="str">
        <x:v>IT</x:v>
      </x:c>
      <x:c r="C400" s="12" t="str">
        <x:v>意大利里拉（ITL）</x:v>
      </x:c>
      <x:c r="D400" s="24" t="n">
        <x:v>0.3227352074</x:v>
      </x:c>
      <x:c r="E400" s="20" t="str">
        <x:v>LCU/USD</x:v>
      </x:c>
      <x:c r="F400" s="20" t="n">
        <x:f>'币制说明'!$C$29</x:f>
        <x:v>1936.27</x:v>
      </x:c>
      <x:c r="G400" s="22" t="n">
        <x:f>IF(E400="LCU/USD",D400*F400,F400/D400)</x:f>
        <x:v>624.902500032398</x:v>
      </x:c>
      <x:c r="H400" s="12" t="str">
        <x:v>年均</x:v>
      </x:c>
      <x:c r="I400" s="12" t="str">
        <x:v>1965-01-01—1965-12-31</x:v>
      </x:c>
      <x:c r="J400" s="12" t="str">
        <x:v>OECD_IT</x:v>
      </x:c>
      <x:c r="K400" s="12" t="str">
        <x:v>https://fred.stlouisfed.org/data/CCUSMA02ITA618N</x:v>
      </x:c>
      <x:c r="L400" s="12" t="str">
        <x:v>由欧元回溯单位还原当年本币；非当年实际欧元报价。 欧元回溯单位按不可撤销转换率还原；法国1960年前另乘100。</x:v>
      </x:c>
      <x:c r="M400" s="12" t="str">
        <x:v>A：机构统计／原始统计表</x:v>
      </x:c>
    </x:row>
    <x:row r="401" ht="72" customHeight="1">
      <x:c r="A401" t="n">
        <x:v>1965</x:v>
      </x:c>
      <x:c r="B401" t="str">
        <x:v>JPY</x:v>
      </x:c>
      <x:c r="C401" s="12" t="str">
        <x:v>日元（JPY）</x:v>
      </x:c>
      <x:c r="D401" s="24" t="n">
        <x:v>361.51</x:v>
      </x:c>
      <x:c r="E401" s="20" t="str">
        <x:v>LCU/USD</x:v>
      </x:c>
      <x:c r="F401" s="20" t="n">
        <x:v>1</x:v>
      </x:c>
      <x:c r="G401" s="22" t="n">
        <x:f>IF(E401="LCU/USD",D401*F401,F401/D401)</x:f>
        <x:v>361.51</x:v>
      </x:c>
      <x:c r="H401" s="12" t="str">
        <x:v>年均</x:v>
      </x:c>
      <x:c r="I401" s="12" t="str">
        <x:v>1965-01-01—1965-12-31</x:v>
      </x:c>
      <x:c r="J401" s="12" t="str">
        <x:v>MW_JPY</x:v>
      </x:c>
      <x:c r="K401" s="12" t="str">
        <x:v>https://www.measuringworth.com/datasets/exchangeglobal/result.php?countryE%5B%5D=Japan&amp;year_result=2016&amp;year_source=1916</x:v>
      </x:c>
      <x:c r="L401" s="12" t="str"/>
      <x:c r="M401" s="12" t="str">
        <x:v>B：学术历史汇编</x:v>
      </x:c>
    </x:row>
    <x:row r="402" ht="72" customHeight="1">
      <x:c r="A402" t="n">
        <x:v>1965</x:v>
      </x:c>
      <x:c r="B402" t="str">
        <x:v>CHF</x:v>
      </x:c>
      <x:c r="C402" s="12" t="str">
        <x:v>瑞士法郎（CHF）</x:v>
      </x:c>
      <x:c r="D402" s="24" t="n">
        <x:v>4.32775</x:v>
      </x:c>
      <x:c r="E402" s="20" t="str">
        <x:v>LCU/USD</x:v>
      </x:c>
      <x:c r="F402" s="20" t="n">
        <x:v>1</x:v>
      </x:c>
      <x:c r="G402" s="22" t="n">
        <x:f>IF(E402="LCU/USD",D402*F402,F402/D402)</x:f>
        <x:v>4.32775</x:v>
      </x:c>
      <x:c r="H402" s="12" t="str">
        <x:v>年均</x:v>
      </x:c>
      <x:c r="I402" s="12" t="str">
        <x:v>1965-01-01—1965-12-31</x:v>
      </x:c>
      <x:c r="J402" s="12" t="str">
        <x:v>OECD_CHF</x:v>
      </x:c>
      <x:c r="K402" s="12" t="str">
        <x:v>https://fred.stlouisfed.org/data/CCUSMA02CHA618N</x:v>
      </x:c>
      <x:c r="L402" s="12" t="str"/>
      <x:c r="M402" s="12" t="str">
        <x:v>A：机构统计／原始统计表</x:v>
      </x:c>
    </x:row>
    <x:row r="403" ht="72" customHeight="1">
      <x:c r="A403" t="n">
        <x:v>1965</x:v>
      </x:c>
      <x:c r="B403" t="str">
        <x:v>INR</x:v>
      </x:c>
      <x:c r="C403" s="12" t="str">
        <x:v>印度卢比（INR）</x:v>
      </x:c>
      <x:c r="D403" s="24" t="n">
        <x:v>4.7619</x:v>
      </x:c>
      <x:c r="E403" s="20" t="str">
        <x:v>LCU/USD</x:v>
      </x:c>
      <x:c r="F403" s="20" t="n">
        <x:v>1</x:v>
      </x:c>
      <x:c r="G403" s="22" t="n">
        <x:f>IF(E403="LCU/USD",D403*F403,F403/D403)</x:f>
        <x:v>4.7619</x:v>
      </x:c>
      <x:c r="H403" s="12" t="str">
        <x:v>年均</x:v>
      </x:c>
      <x:c r="I403" s="12" t="str">
        <x:v>1965-01-01—1965-12-31</x:v>
      </x:c>
      <x:c r="J403" s="12" t="str">
        <x:v>OECD_INR</x:v>
      </x:c>
      <x:c r="K403" s="12" t="str">
        <x:v>https://fred.stlouisfed.org/data/CCUSMA02INA618N</x:v>
      </x:c>
      <x:c r="L403" s="12" t="str"/>
      <x:c r="M403" s="12" t="str">
        <x:v>A：机构统计／原始统计表</x:v>
      </x:c>
    </x:row>
    <x:row r="404" ht="72" customHeight="1">
      <x:c r="A404" t="n">
        <x:v>1965</x:v>
      </x:c>
      <x:c r="B404" t="str">
        <x:v>RUB</x:v>
      </x:c>
      <x:c r="C404" s="12" t="str">
        <x:v>苏联卢布（1961币制）</x:v>
      </x:c>
      <x:c r="D404" s="24" t="n">
        <x:v>0.9</x:v>
      </x:c>
      <x:c r="E404" s="20" t="str">
        <x:v>LCU/USD</x:v>
      </x:c>
      <x:c r="F404" s="20" t="n">
        <x:v>1</x:v>
      </x:c>
      <x:c r="G404" s="22" t="n">
        <x:f>IF(E404="LCU/USD",D404*F404,F404/D404)</x:f>
        <x:v>0.9</x:v>
      </x:c>
      <x:c r="H404" s="12" t="str">
        <x:v>官价区间参考（非年均）</x:v>
      </x:c>
      <x:c r="I404" s="12" t="str">
        <x:v>1961-01-01—1971-12-01</x:v>
      </x:c>
      <x:c r="J404" s="12" t="str">
        <x:v>SUR_OFFICIAL_SECONDARY</x:v>
      </x:c>
      <x:c r="K404" s="12" t="str">
        <x:v>https://en.wikipedia.org/wiki/Soviet_ruble#Exchange_rates</x:v>
      </x:c>
      <x:c r="L404" s="12" t="str">
        <x:v>源表同一官价覆盖的区间内年份；非逐年独立观测。只代表官方折算，非市场成交或购买力；原档案未复核。</x:v>
      </x:c>
      <x:c r="M404" s="12" t="str">
        <x:v>C：二手转引（原档未复核）</x:v>
      </x:c>
    </x:row>
    <x:row r="405" ht="72" customHeight="1">
      <x:c r="A405" t="n">
        <x:v>1965</x:v>
      </x:c>
      <x:c r="B405" t="str">
        <x:v>CNY</x:v>
      </x:c>
      <x:c r="C405" s="12" t="str">
        <x:v>人民币元（1955币制；CNY）</x:v>
      </x:c>
      <x:c r="D405" s="24" t="n">
        <x:v>2.46181</x:v>
      </x:c>
      <x:c r="E405" s="20" t="str">
        <x:v>LCU/USD</x:v>
      </x:c>
      <x:c r="F405" s="20" t="n">
        <x:v>1</x:v>
      </x:c>
      <x:c r="G405" s="22" t="n">
        <x:f>IF(E405="LCU/USD",D405*F405,F405/D405)</x:f>
        <x:v>2.46181</x:v>
      </x:c>
      <x:c r="H405" s="12" t="str">
        <x:v>年均</x:v>
      </x:c>
      <x:c r="I405" s="12" t="str">
        <x:v>1965-01-01—1965-12-31</x:v>
      </x:c>
      <x:c r="J405" s="12" t="str">
        <x:v>OECD_CNY</x:v>
      </x:c>
      <x:c r="K405" s="12" t="str">
        <x:v>https://fred.stlouisfed.org/data/CCUSMA02CNA618N</x:v>
      </x:c>
      <x:c r="L405" s="12" t="str"/>
      <x:c r="M405" s="12" t="str">
        <x:v>A：机构统计／原始统计表</x:v>
      </x:c>
    </x:row>
    <x:row r="406" ht="72" customHeight="1">
      <x:c r="A406" t="n">
        <x:v>1966</x:v>
      </x:c>
      <x:c r="B406" t="str">
        <x:v>GBP</x:v>
      </x:c>
      <x:c r="C406" s="12" t="str">
        <x:v>英镑（GBP）</x:v>
      </x:c>
      <x:c r="D406" s="24" t="n">
        <x:v>0.3580092042</x:v>
      </x:c>
      <x:c r="E406" s="20" t="str">
        <x:v>LCU/USD</x:v>
      </x:c>
      <x:c r="F406" s="20" t="n">
        <x:v>1</x:v>
      </x:c>
      <x:c r="G406" s="22" t="n">
        <x:f>IF(E406="LCU/USD",D406*F406,F406/D406)</x:f>
        <x:v>0.3580092042</x:v>
      </x:c>
      <x:c r="H406" s="12" t="str">
        <x:v>年均</x:v>
      </x:c>
      <x:c r="I406" s="12" t="str">
        <x:v>1966-01-01—1966-12-31</x:v>
      </x:c>
      <x:c r="J406" s="12" t="str">
        <x:v>OECD_GBP</x:v>
      </x:c>
      <x:c r="K406" s="12" t="str">
        <x:v>https://fred.stlouisfed.org/data/CCUSMA02GBA618N</x:v>
      </x:c>
      <x:c r="L406" s="12" t="str"/>
      <x:c r="M406" s="12" t="str">
        <x:v>A：机构统计／原始统计表</x:v>
      </x:c>
    </x:row>
    <x:row r="407" ht="72" customHeight="1">
      <x:c r="A407" t="n">
        <x:v>1966</x:v>
      </x:c>
      <x:c r="B407" t="str">
        <x:v>CAD</x:v>
      </x:c>
      <x:c r="C407" s="12" t="str">
        <x:v>加拿大元（CAD）</x:v>
      </x:c>
      <x:c r="D407" s="24" t="n">
        <x:v>1.0775258333</x:v>
      </x:c>
      <x:c r="E407" s="20" t="str">
        <x:v>LCU/USD</x:v>
      </x:c>
      <x:c r="F407" s="20" t="n">
        <x:v>1</x:v>
      </x:c>
      <x:c r="G407" s="22" t="n">
        <x:f>IF(E407="LCU/USD",D407*F407,F407/D407)</x:f>
        <x:v>1.0775258333</x:v>
      </x:c>
      <x:c r="H407" s="12" t="str">
        <x:v>年均</x:v>
      </x:c>
      <x:c r="I407" s="12" t="str">
        <x:v>1966-01-01—1966-12-31</x:v>
      </x:c>
      <x:c r="J407" s="12" t="str">
        <x:v>OECD_CAD</x:v>
      </x:c>
      <x:c r="K407" s="12" t="str">
        <x:v>https://fred.stlouisfed.org/data/CCUSMA02CAA618N</x:v>
      </x:c>
      <x:c r="L407" s="12" t="str"/>
      <x:c r="M407" s="12" t="str">
        <x:v>A：机构统计／原始统计表</x:v>
      </x:c>
    </x:row>
    <x:row r="408" ht="72" customHeight="1">
      <x:c r="A408" t="n">
        <x:v>1966</x:v>
      </x:c>
      <x:c r="B408" t="str">
        <x:v>FR</x:v>
      </x:c>
      <x:c r="C408" s="12" t="str">
        <x:v>法国法郎（FRF；1960币制）</x:v>
      </x:c>
      <x:c r="D408" s="24" t="n">
        <x:v>0.7491517483</x:v>
      </x:c>
      <x:c r="E408" s="20" t="str">
        <x:v>LCU/USD</x:v>
      </x:c>
      <x:c r="F408" s="20" t="n">
        <x:f>'币制说明'!$C$27</x:f>
        <x:v>6.55957</x:v>
      </x:c>
      <x:c r="G408" s="22" t="n">
        <x:f>IF(E408="LCU/USD",D408*F408,F408/D408)</x:f>
        <x:v>4.914113333596231</x:v>
      </x:c>
      <x:c r="H408" s="12" t="str">
        <x:v>年均</x:v>
      </x:c>
      <x:c r="I408" s="12" t="str">
        <x:v>1966-01-01—1966-12-31</x:v>
      </x:c>
      <x:c r="J408" s="12" t="str">
        <x:v>OECD_FR</x:v>
      </x:c>
      <x:c r="K408" s="12" t="str">
        <x:v>https://fred.stlouisfed.org/data/CCUSMA02FRA618N</x:v>
      </x:c>
      <x:c r="L408" s="12" t="str">
        <x:v>由欧元回溯单位还原当年本币；非当年实际欧元报价。 欧元回溯单位按不可撤销转换率还原；法国1960年前另乘100。</x:v>
      </x:c>
      <x:c r="M408" s="12" t="str">
        <x:v>A：机构统计／原始统计表</x:v>
      </x:c>
    </x:row>
    <x:row r="409" ht="72" customHeight="1">
      <x:c r="A409" t="n">
        <x:v>1966</x:v>
      </x:c>
      <x:c r="B409" t="str">
        <x:v>DE</x:v>
      </x:c>
      <x:c r="C409" s="12" t="str">
        <x:v>西德德国马克（DEM）</x:v>
      </x:c>
      <x:c r="D409" s="24" t="n">
        <x:v>2.0445041236</x:v>
      </x:c>
      <x:c r="E409" s="20" t="str">
        <x:v>LCU/USD</x:v>
      </x:c>
      <x:c r="F409" s="20" t="n">
        <x:f>'币制说明'!$C$28</x:f>
        <x:v>1.95583</x:v>
      </x:c>
      <x:c r="G409" s="22" t="n">
        <x:f>IF(E409="LCU/USD",D409*F409,F409/D409)</x:f>
        <x:v>3.998702500060588</x:v>
      </x:c>
      <x:c r="H409" s="12" t="str">
        <x:v>年均</x:v>
      </x:c>
      <x:c r="I409" s="12" t="str">
        <x:v>1966-01-01—1966-12-31</x:v>
      </x:c>
      <x:c r="J409" s="12" t="str">
        <x:v>OECD_DE</x:v>
      </x:c>
      <x:c r="K409" s="12" t="str">
        <x:v>https://fred.stlouisfed.org/data/CCUSMA02DEA618N</x:v>
      </x:c>
      <x:c r="L409" s="12" t="str">
        <x:v>由欧元回溯单位还原当年本币；非当年实际欧元报价。 欧元回溯单位按不可撤销转换率还原；法国1960年前另乘100。</x:v>
      </x:c>
      <x:c r="M409" s="12" t="str">
        <x:v>A：机构统计／原始统计表</x:v>
      </x:c>
    </x:row>
    <x:row r="410" ht="72" customHeight="1">
      <x:c r="A410" t="n">
        <x:v>1966</x:v>
      </x:c>
      <x:c r="B410" t="str">
        <x:v>IT</x:v>
      </x:c>
      <x:c r="C410" s="12" t="str">
        <x:v>意大利里拉（ITL）</x:v>
      </x:c>
      <x:c r="D410" s="24" t="n">
        <x:v>0.3225187259</x:v>
      </x:c>
      <x:c r="E410" s="20" t="str">
        <x:v>LCU/USD</x:v>
      </x:c>
      <x:c r="F410" s="20" t="n">
        <x:f>'币制说明'!$C$29</x:f>
        <x:v>1936.27</x:v>
      </x:c>
      <x:c r="G410" s="22" t="n">
        <x:f>IF(E410="LCU/USD",D410*F410,F410/D410)</x:f>
        <x:v>624.483333398393</x:v>
      </x:c>
      <x:c r="H410" s="12" t="str">
        <x:v>年均</x:v>
      </x:c>
      <x:c r="I410" s="12" t="str">
        <x:v>1966-01-01—1966-12-31</x:v>
      </x:c>
      <x:c r="J410" s="12" t="str">
        <x:v>OECD_IT</x:v>
      </x:c>
      <x:c r="K410" s="12" t="str">
        <x:v>https://fred.stlouisfed.org/data/CCUSMA02ITA618N</x:v>
      </x:c>
      <x:c r="L410" s="12" t="str">
        <x:v>由欧元回溯单位还原当年本币；非当年实际欧元报价。 欧元回溯单位按不可撤销转换率还原；法国1960年前另乘100。</x:v>
      </x:c>
      <x:c r="M410" s="12" t="str">
        <x:v>A：机构统计／原始统计表</x:v>
      </x:c>
    </x:row>
    <x:row r="411" ht="72" customHeight="1">
      <x:c r="A411" t="n">
        <x:v>1966</x:v>
      </x:c>
      <x:c r="B411" t="str">
        <x:v>JPY</x:v>
      </x:c>
      <x:c r="C411" s="12" t="str">
        <x:v>日元（JPY）</x:v>
      </x:c>
      <x:c r="D411" s="24" t="n">
        <x:v>362.35</x:v>
      </x:c>
      <x:c r="E411" s="20" t="str">
        <x:v>LCU/USD</x:v>
      </x:c>
      <x:c r="F411" s="20" t="n">
        <x:v>1</x:v>
      </x:c>
      <x:c r="G411" s="22" t="n">
        <x:f>IF(E411="LCU/USD",D411*F411,F411/D411)</x:f>
        <x:v>362.35</x:v>
      </x:c>
      <x:c r="H411" s="12" t="str">
        <x:v>年均</x:v>
      </x:c>
      <x:c r="I411" s="12" t="str">
        <x:v>1966-01-01—1966-12-31</x:v>
      </x:c>
      <x:c r="J411" s="12" t="str">
        <x:v>MW_JPY</x:v>
      </x:c>
      <x:c r="K411" s="12" t="str">
        <x:v>https://www.measuringworth.com/datasets/exchangeglobal/result.php?countryE%5B%5D=Japan&amp;year_result=2016&amp;year_source=1916</x:v>
      </x:c>
      <x:c r="L411" s="12" t="str"/>
      <x:c r="M411" s="12" t="str">
        <x:v>B：学术历史汇编</x:v>
      </x:c>
    </x:row>
    <x:row r="412" ht="72" customHeight="1">
      <x:c r="A412" t="n">
        <x:v>1966</x:v>
      </x:c>
      <x:c r="B412" t="str">
        <x:v>CHF</x:v>
      </x:c>
      <x:c r="C412" s="12" t="str">
        <x:v>瑞士法郎（CHF）</x:v>
      </x:c>
      <x:c r="D412" s="24" t="n">
        <x:v>4.3264</x:v>
      </x:c>
      <x:c r="E412" s="20" t="str">
        <x:v>LCU/USD</x:v>
      </x:c>
      <x:c r="F412" s="20" t="n">
        <x:v>1</x:v>
      </x:c>
      <x:c r="G412" s="22" t="n">
        <x:f>IF(E412="LCU/USD",D412*F412,F412/D412)</x:f>
        <x:v>4.3264</x:v>
      </x:c>
      <x:c r="H412" s="12" t="str">
        <x:v>年均</x:v>
      </x:c>
      <x:c r="I412" s="12" t="str">
        <x:v>1966-01-01—1966-12-31</x:v>
      </x:c>
      <x:c r="J412" s="12" t="str">
        <x:v>OECD_CHF</x:v>
      </x:c>
      <x:c r="K412" s="12" t="str">
        <x:v>https://fred.stlouisfed.org/data/CCUSMA02CHA618N</x:v>
      </x:c>
      <x:c r="L412" s="12" t="str"/>
      <x:c r="M412" s="12" t="str">
        <x:v>A：机构统计／原始统计表</x:v>
      </x:c>
    </x:row>
    <x:row r="413" ht="72" customHeight="1">
      <x:c r="A413" t="n">
        <x:v>1966</x:v>
      </x:c>
      <x:c r="B413" t="str">
        <x:v>INR</x:v>
      </x:c>
      <x:c r="C413" s="12" t="str">
        <x:v>印度卢比（INR）</x:v>
      </x:c>
      <x:c r="D413" s="24" t="n">
        <x:v>6.359125</x:v>
      </x:c>
      <x:c r="E413" s="20" t="str">
        <x:v>LCU/USD</x:v>
      </x:c>
      <x:c r="F413" s="20" t="n">
        <x:v>1</x:v>
      </x:c>
      <x:c r="G413" s="22" t="n">
        <x:f>IF(E413="LCU/USD",D413*F413,F413/D413)</x:f>
        <x:v>6.359125</x:v>
      </x:c>
      <x:c r="H413" s="12" t="str">
        <x:v>年均</x:v>
      </x:c>
      <x:c r="I413" s="12" t="str">
        <x:v>1966-01-01—1966-12-31</x:v>
      </x:c>
      <x:c r="J413" s="12" t="str">
        <x:v>OECD_INR</x:v>
      </x:c>
      <x:c r="K413" s="12" t="str">
        <x:v>https://fred.stlouisfed.org/data/CCUSMA02INA618N</x:v>
      </x:c>
      <x:c r="L413" s="12" t="str"/>
      <x:c r="M413" s="12" t="str">
        <x:v>A：机构统计／原始统计表</x:v>
      </x:c>
    </x:row>
    <x:row r="414" ht="72" customHeight="1">
      <x:c r="A414" t="n">
        <x:v>1966</x:v>
      </x:c>
      <x:c r="B414" t="str">
        <x:v>RUB</x:v>
      </x:c>
      <x:c r="C414" s="12" t="str">
        <x:v>苏联卢布（1961币制）</x:v>
      </x:c>
      <x:c r="D414" s="24" t="n">
        <x:v>0.9</x:v>
      </x:c>
      <x:c r="E414" s="20" t="str">
        <x:v>LCU/USD</x:v>
      </x:c>
      <x:c r="F414" s="20" t="n">
        <x:v>1</x:v>
      </x:c>
      <x:c r="G414" s="22" t="n">
        <x:f>IF(E414="LCU/USD",D414*F414,F414/D414)</x:f>
        <x:v>0.9</x:v>
      </x:c>
      <x:c r="H414" s="12" t="str">
        <x:v>官价区间参考（非年均）</x:v>
      </x:c>
      <x:c r="I414" s="12" t="str">
        <x:v>1961-01-01—1971-12-01</x:v>
      </x:c>
      <x:c r="J414" s="12" t="str">
        <x:v>SUR_OFFICIAL_SECONDARY</x:v>
      </x:c>
      <x:c r="K414" s="12" t="str">
        <x:v>https://en.wikipedia.org/wiki/Soviet_ruble#Exchange_rates</x:v>
      </x:c>
      <x:c r="L414" s="12" t="str">
        <x:v>源表同一官价覆盖的区间内年份；非逐年独立观测。只代表官方折算，非市场成交或购买力；原档案未复核。</x:v>
      </x:c>
      <x:c r="M414" s="12" t="str">
        <x:v>C：二手转引（原档未复核）</x:v>
      </x:c>
    </x:row>
    <x:row r="415" ht="72" customHeight="1">
      <x:c r="A415" t="n">
        <x:v>1966</x:v>
      </x:c>
      <x:c r="B415" t="str">
        <x:v>CNY</x:v>
      </x:c>
      <x:c r="C415" s="12" t="str">
        <x:v>人民币元（1955币制；CNY）</x:v>
      </x:c>
      <x:c r="D415" s="24" t="n">
        <x:v>2.46181</x:v>
      </x:c>
      <x:c r="E415" s="20" t="str">
        <x:v>LCU/USD</x:v>
      </x:c>
      <x:c r="F415" s="20" t="n">
        <x:v>1</x:v>
      </x:c>
      <x:c r="G415" s="22" t="n">
        <x:f>IF(E415="LCU/USD",D415*F415,F415/D415)</x:f>
        <x:v>2.46181</x:v>
      </x:c>
      <x:c r="H415" s="12" t="str">
        <x:v>年均</x:v>
      </x:c>
      <x:c r="I415" s="12" t="str">
        <x:v>1966-01-01—1966-12-31</x:v>
      </x:c>
      <x:c r="J415" s="12" t="str">
        <x:v>OECD_CNY</x:v>
      </x:c>
      <x:c r="K415" s="12" t="str">
        <x:v>https://fred.stlouisfed.org/data/CCUSMA02CNA618N</x:v>
      </x:c>
      <x:c r="L415" s="12" t="str"/>
      <x:c r="M415" s="12" t="str">
        <x:v>A：机构统计／原始统计表</x:v>
      </x:c>
    </x:row>
    <x:row r="416" ht="72" customHeight="1">
      <x:c r="A416" t="n">
        <x:v>1967</x:v>
      </x:c>
      <x:c r="B416" t="str">
        <x:v>GBP</x:v>
      </x:c>
      <x:c r="C416" s="12" t="str">
        <x:v>英镑（GBP）</x:v>
      </x:c>
      <x:c r="D416" s="24" t="n">
        <x:v>0.3647347542</x:v>
      </x:c>
      <x:c r="E416" s="20" t="str">
        <x:v>LCU/USD</x:v>
      </x:c>
      <x:c r="F416" s="20" t="n">
        <x:v>1</x:v>
      </x:c>
      <x:c r="G416" s="22" t="n">
        <x:f>IF(E416="LCU/USD",D416*F416,F416/D416)</x:f>
        <x:v>0.3647347542</x:v>
      </x:c>
      <x:c r="H416" s="12" t="str">
        <x:v>年均</x:v>
      </x:c>
      <x:c r="I416" s="12" t="str">
        <x:v>1967-01-01—1967-12-31</x:v>
      </x:c>
      <x:c r="J416" s="12" t="str">
        <x:v>OECD_GBP</x:v>
      </x:c>
      <x:c r="K416" s="12" t="str">
        <x:v>https://fred.stlouisfed.org/data/CCUSMA02GBA618N</x:v>
      </x:c>
      <x:c r="L416" s="12" t="str"/>
      <x:c r="M416" s="12" t="str">
        <x:v>A：机构统计／原始统计表</x:v>
      </x:c>
    </x:row>
    <x:row r="417" ht="72" customHeight="1">
      <x:c r="A417" t="n">
        <x:v>1967</x:v>
      </x:c>
      <x:c r="B417" t="str">
        <x:v>CAD</x:v>
      </x:c>
      <x:c r="C417" s="12" t="str">
        <x:v>加拿大元（CAD）</x:v>
      </x:c>
      <x:c r="D417" s="24" t="n">
        <x:v>1.0788616667</x:v>
      </x:c>
      <x:c r="E417" s="20" t="str">
        <x:v>LCU/USD</x:v>
      </x:c>
      <x:c r="F417" s="20" t="n">
        <x:v>1</x:v>
      </x:c>
      <x:c r="G417" s="22" t="n">
        <x:f>IF(E417="LCU/USD",D417*F417,F417/D417)</x:f>
        <x:v>1.0788616667</x:v>
      </x:c>
      <x:c r="H417" s="12" t="str">
        <x:v>年均</x:v>
      </x:c>
      <x:c r="I417" s="12" t="str">
        <x:v>1967-01-01—1967-12-31</x:v>
      </x:c>
      <x:c r="J417" s="12" t="str">
        <x:v>OECD_CAD</x:v>
      </x:c>
      <x:c r="K417" s="12" t="str">
        <x:v>https://fred.stlouisfed.org/data/CCUSMA02CAA618N</x:v>
      </x:c>
      <x:c r="L417" s="12" t="str"/>
      <x:c r="M417" s="12" t="str">
        <x:v>A：机构统计／原始统计表</x:v>
      </x:c>
    </x:row>
    <x:row r="418" ht="72" customHeight="1">
      <x:c r="A418" t="n">
        <x:v>1967</x:v>
      </x:c>
      <x:c r="B418" t="str">
        <x:v>FR</x:v>
      </x:c>
      <x:c r="C418" s="12" t="str">
        <x:v>法国法郎（FRF；1960币制）</x:v>
      </x:c>
      <x:c r="D418" s="24" t="n">
        <x:v>0.7501364419</x:v>
      </x:c>
      <x:c r="E418" s="20" t="str">
        <x:v>LCU/USD</x:v>
      </x:c>
      <x:c r="F418" s="20" t="n">
        <x:f>'币制说明'!$C$27</x:f>
        <x:v>6.55957</x:v>
      </x:c>
      <x:c r="G418" s="22" t="n">
        <x:f>IF(E418="LCU/USD",D418*F418,F418/D418)</x:f>
        <x:v>4.920572500193982</x:v>
      </x:c>
      <x:c r="H418" s="12" t="str">
        <x:v>年均</x:v>
      </x:c>
      <x:c r="I418" s="12" t="str">
        <x:v>1967-01-01—1967-12-31</x:v>
      </x:c>
      <x:c r="J418" s="12" t="str">
        <x:v>OECD_FR</x:v>
      </x:c>
      <x:c r="K418" s="12" t="str">
        <x:v>https://fred.stlouisfed.org/data/CCUSMA02FRA618N</x:v>
      </x:c>
      <x:c r="L418" s="12" t="str">
        <x:v>由欧元回溯单位还原当年本币；非当年实际欧元报价。 欧元回溯单位按不可撤销转换率还原；法国1960年前另乘100。</x:v>
      </x:c>
      <x:c r="M418" s="12" t="str">
        <x:v>A：机构统计／原始统计表</x:v>
      </x:c>
    </x:row>
    <x:row r="419" ht="72" customHeight="1">
      <x:c r="A419" t="n">
        <x:v>1967</x:v>
      </x:c>
      <x:c r="B419" t="str">
        <x:v>DE</x:v>
      </x:c>
      <x:c r="C419" s="12" t="str">
        <x:v>西德德国马克（DEM）</x:v>
      </x:c>
      <x:c r="D419" s="24" t="n">
        <x:v>2.0382689191</x:v>
      </x:c>
      <x:c r="E419" s="20" t="str">
        <x:v>LCU/USD</x:v>
      </x:c>
      <x:c r="F419" s="20" t="n">
        <x:f>'币制说明'!$C$28</x:f>
        <x:v>1.95583</x:v>
      </x:c>
      <x:c r="G419" s="22" t="n">
        <x:f>IF(E419="LCU/USD",D419*F419,F419/D419)</x:f>
        <x:v>3.986507500043353</x:v>
      </x:c>
      <x:c r="H419" s="12" t="str">
        <x:v>年均</x:v>
      </x:c>
      <x:c r="I419" s="12" t="str">
        <x:v>1967-01-01—1967-12-31</x:v>
      </x:c>
      <x:c r="J419" s="12" t="str">
        <x:v>OECD_DE</x:v>
      </x:c>
      <x:c r="K419" s="12" t="str">
        <x:v>https://fred.stlouisfed.org/data/CCUSMA02DEA618N</x:v>
      </x:c>
      <x:c r="L419" s="12" t="str">
        <x:v>由欧元回溯单位还原当年本币；非当年实际欧元报价。 欧元回溯单位按不可撤销转换率还原；法国1960年前另乘100。</x:v>
      </x:c>
      <x:c r="M419" s="12" t="str">
        <x:v>A：机构统计／原始统计表</x:v>
      </x:c>
    </x:row>
    <x:row r="420" ht="72" customHeight="1">
      <x:c r="A420" t="n">
        <x:v>1967</x:v>
      </x:c>
      <x:c r="B420" t="str">
        <x:v>IT</x:v>
      </x:c>
      <x:c r="C420" s="12" t="str">
        <x:v>意大利里拉（ITL）</x:v>
      </x:c>
      <x:c r="D420" s="24" t="n">
        <x:v>0.3223364166</x:v>
      </x:c>
      <x:c r="E420" s="20" t="str">
        <x:v>LCU/USD</x:v>
      </x:c>
      <x:c r="F420" s="20" t="n">
        <x:f>'币制说明'!$C$29</x:f>
        <x:v>1936.27</x:v>
      </x:c>
      <x:c r="G420" s="22" t="n">
        <x:f>IF(E420="LCU/USD",D420*F420,F420/D420)</x:f>
        <x:v>624.130333370082</x:v>
      </x:c>
      <x:c r="H420" s="12" t="str">
        <x:v>年均</x:v>
      </x:c>
      <x:c r="I420" s="12" t="str">
        <x:v>1967-01-01—1967-12-31</x:v>
      </x:c>
      <x:c r="J420" s="12" t="str">
        <x:v>OECD_IT</x:v>
      </x:c>
      <x:c r="K420" s="12" t="str">
        <x:v>https://fred.stlouisfed.org/data/CCUSMA02ITA618N</x:v>
      </x:c>
      <x:c r="L420" s="12" t="str">
        <x:v>由欧元回溯单位还原当年本币；非当年实际欧元报价。 欧元回溯单位按不可撤销转换率还原；法国1960年前另乘100。</x:v>
      </x:c>
      <x:c r="M420" s="12" t="str">
        <x:v>A：机构统计／原始统计表</x:v>
      </x:c>
    </x:row>
    <x:row r="421" ht="72" customHeight="1">
      <x:c r="A421" t="n">
        <x:v>1967</x:v>
      </x:c>
      <x:c r="B421" t="str">
        <x:v>JPY</x:v>
      </x:c>
      <x:c r="C421" s="12" t="str">
        <x:v>日元（JPY）</x:v>
      </x:c>
      <x:c r="D421" s="24" t="n">
        <x:v>362.15</x:v>
      </x:c>
      <x:c r="E421" s="20" t="str">
        <x:v>LCU/USD</x:v>
      </x:c>
      <x:c r="F421" s="20" t="n">
        <x:v>1</x:v>
      </x:c>
      <x:c r="G421" s="22" t="n">
        <x:f>IF(E421="LCU/USD",D421*F421,F421/D421)</x:f>
        <x:v>362.15</x:v>
      </x:c>
      <x:c r="H421" s="12" t="str">
        <x:v>年均</x:v>
      </x:c>
      <x:c r="I421" s="12" t="str">
        <x:v>1967-01-01—1967-12-31</x:v>
      </x:c>
      <x:c r="J421" s="12" t="str">
        <x:v>MW_JPY</x:v>
      </x:c>
      <x:c r="K421" s="12" t="str">
        <x:v>https://www.measuringworth.com/datasets/exchangeglobal/result.php?countryE%5B%5D=Japan&amp;year_result=2016&amp;year_source=1916</x:v>
      </x:c>
      <x:c r="L421" s="12" t="str"/>
      <x:c r="M421" s="12" t="str">
        <x:v>B：学术历史汇编</x:v>
      </x:c>
    </x:row>
    <x:row r="422" ht="72" customHeight="1">
      <x:c r="A422" t="n">
        <x:v>1967</x:v>
      </x:c>
      <x:c r="B422" t="str">
        <x:v>CHF</x:v>
      </x:c>
      <x:c r="C422" s="12" t="str">
        <x:v>瑞士法郎（CHF）</x:v>
      </x:c>
      <x:c r="D422" s="24" t="n">
        <x:v>4.3283166667</x:v>
      </x:c>
      <x:c r="E422" s="20" t="str">
        <x:v>LCU/USD</x:v>
      </x:c>
      <x:c r="F422" s="20" t="n">
        <x:v>1</x:v>
      </x:c>
      <x:c r="G422" s="22" t="n">
        <x:f>IF(E422="LCU/USD",D422*F422,F422/D422)</x:f>
        <x:v>4.3283166667</x:v>
      </x:c>
      <x:c r="H422" s="12" t="str">
        <x:v>年均</x:v>
      </x:c>
      <x:c r="I422" s="12" t="str">
        <x:v>1967-01-01—1967-12-31</x:v>
      </x:c>
      <x:c r="J422" s="12" t="str">
        <x:v>OECD_CHF</x:v>
      </x:c>
      <x:c r="K422" s="12" t="str">
        <x:v>https://fred.stlouisfed.org/data/CCUSMA02CHA618N</x:v>
      </x:c>
      <x:c r="L422" s="12" t="str"/>
      <x:c r="M422" s="12" t="str">
        <x:v>A：机构统计／原始统计表</x:v>
      </x:c>
    </x:row>
    <x:row r="423" ht="72" customHeight="1">
      <x:c r="A423" t="n">
        <x:v>1967</x:v>
      </x:c>
      <x:c r="B423" t="str">
        <x:v>INR</x:v>
      </x:c>
      <x:c r="C423" s="12" t="str">
        <x:v>印度卢比（INR）</x:v>
      </x:c>
      <x:c r="D423" s="24" t="n">
        <x:v>7.5</x:v>
      </x:c>
      <x:c r="E423" s="20" t="str">
        <x:v>LCU/USD</x:v>
      </x:c>
      <x:c r="F423" s="20" t="n">
        <x:v>1</x:v>
      </x:c>
      <x:c r="G423" s="22" t="n">
        <x:f>IF(E423="LCU/USD",D423*F423,F423/D423)</x:f>
        <x:v>7.5</x:v>
      </x:c>
      <x:c r="H423" s="12" t="str">
        <x:v>年均</x:v>
      </x:c>
      <x:c r="I423" s="12" t="str">
        <x:v>1967-01-01—1967-12-31</x:v>
      </x:c>
      <x:c r="J423" s="12" t="str">
        <x:v>OECD_INR</x:v>
      </x:c>
      <x:c r="K423" s="12" t="str">
        <x:v>https://fred.stlouisfed.org/data/CCUSMA02INA618N</x:v>
      </x:c>
      <x:c r="L423" s="12" t="str"/>
      <x:c r="M423" s="12" t="str">
        <x:v>A：机构统计／原始统计表</x:v>
      </x:c>
    </x:row>
    <x:row r="424" ht="72" customHeight="1">
      <x:c r="A424" t="n">
        <x:v>1967</x:v>
      </x:c>
      <x:c r="B424" t="str">
        <x:v>RUB</x:v>
      </x:c>
      <x:c r="C424" s="12" t="str">
        <x:v>苏联卢布（1961币制）</x:v>
      </x:c>
      <x:c r="D424" s="24" t="n">
        <x:v>0.9</x:v>
      </x:c>
      <x:c r="E424" s="20" t="str">
        <x:v>LCU/USD</x:v>
      </x:c>
      <x:c r="F424" s="20" t="n">
        <x:v>1</x:v>
      </x:c>
      <x:c r="G424" s="22" t="n">
        <x:f>IF(E424="LCU/USD",D424*F424,F424/D424)</x:f>
        <x:v>0.9</x:v>
      </x:c>
      <x:c r="H424" s="12" t="str">
        <x:v>官价区间参考（非年均）</x:v>
      </x:c>
      <x:c r="I424" s="12" t="str">
        <x:v>1961-01-01—1971-12-01</x:v>
      </x:c>
      <x:c r="J424" s="12" t="str">
        <x:v>SUR_OFFICIAL_SECONDARY</x:v>
      </x:c>
      <x:c r="K424" s="12" t="str">
        <x:v>https://en.wikipedia.org/wiki/Soviet_ruble#Exchange_rates</x:v>
      </x:c>
      <x:c r="L424" s="12" t="str">
        <x:v>源表同一官价覆盖的区间内年份；非逐年独立观测。只代表官方折算，非市场成交或购买力；原档案未复核。</x:v>
      </x:c>
      <x:c r="M424" s="12" t="str">
        <x:v>C：二手转引（原档未复核）</x:v>
      </x:c>
    </x:row>
    <x:row r="425" ht="72" customHeight="1">
      <x:c r="A425" t="n">
        <x:v>1967</x:v>
      </x:c>
      <x:c r="B425" t="str">
        <x:v>CNY</x:v>
      </x:c>
      <x:c r="C425" s="12" t="str">
        <x:v>人民币元（1955币制；CNY）</x:v>
      </x:c>
      <x:c r="D425" s="24" t="n">
        <x:v>2.46181</x:v>
      </x:c>
      <x:c r="E425" s="20" t="str">
        <x:v>LCU/USD</x:v>
      </x:c>
      <x:c r="F425" s="20" t="n">
        <x:v>1</x:v>
      </x:c>
      <x:c r="G425" s="22" t="n">
        <x:f>IF(E425="LCU/USD",D425*F425,F425/D425)</x:f>
        <x:v>2.46181</x:v>
      </x:c>
      <x:c r="H425" s="12" t="str">
        <x:v>年均</x:v>
      </x:c>
      <x:c r="I425" s="12" t="str">
        <x:v>1967-01-01—1967-12-31</x:v>
      </x:c>
      <x:c r="J425" s="12" t="str">
        <x:v>OECD_CNY</x:v>
      </x:c>
      <x:c r="K425" s="12" t="str">
        <x:v>https://fred.stlouisfed.org/data/CCUSMA02CNA618N</x:v>
      </x:c>
      <x:c r="L425" s="12" t="str"/>
      <x:c r="M425" s="12" t="str">
        <x:v>A：机构统计／原始统计表</x:v>
      </x:c>
    </x:row>
    <x:row r="426" ht="72" customHeight="1">
      <x:c r="A426" t="n">
        <x:v>1968</x:v>
      </x:c>
      <x:c r="B426" t="str">
        <x:v>GBP</x:v>
      </x:c>
      <x:c r="C426" s="12" t="str">
        <x:v>英镑（GBP）</x:v>
      </x:c>
      <x:c r="D426" s="24" t="n">
        <x:v>0.4177686958</x:v>
      </x:c>
      <x:c r="E426" s="20" t="str">
        <x:v>LCU/USD</x:v>
      </x:c>
      <x:c r="F426" s="20" t="n">
        <x:v>1</x:v>
      </x:c>
      <x:c r="G426" s="22" t="n">
        <x:f>IF(E426="LCU/USD",D426*F426,F426/D426)</x:f>
        <x:v>0.4177686958</x:v>
      </x:c>
      <x:c r="H426" s="12" t="str">
        <x:v>年均</x:v>
      </x:c>
      <x:c r="I426" s="12" t="str">
        <x:v>1968-01-01—1968-12-31</x:v>
      </x:c>
      <x:c r="J426" s="12" t="str">
        <x:v>OECD_GBP</x:v>
      </x:c>
      <x:c r="K426" s="12" t="str">
        <x:v>https://fred.stlouisfed.org/data/CCUSMA02GBA618N</x:v>
      </x:c>
      <x:c r="L426" s="12" t="str"/>
      <x:c r="M426" s="12" t="str">
        <x:v>A：机构统计／原始统计表</x:v>
      </x:c>
    </x:row>
    <x:row r="427" ht="72" customHeight="1">
      <x:c r="A427" t="n">
        <x:v>1968</x:v>
      </x:c>
      <x:c r="B427" t="str">
        <x:v>CAD</x:v>
      </x:c>
      <x:c r="C427" s="12" t="str">
        <x:v>加拿大元（CAD）</x:v>
      </x:c>
      <x:c r="D427" s="24" t="n">
        <x:v>1.0776491667</x:v>
      </x:c>
      <x:c r="E427" s="20" t="str">
        <x:v>LCU/USD</x:v>
      </x:c>
      <x:c r="F427" s="20" t="n">
        <x:v>1</x:v>
      </x:c>
      <x:c r="G427" s="22" t="n">
        <x:f>IF(E427="LCU/USD",D427*F427,F427/D427)</x:f>
        <x:v>1.0776491667</x:v>
      </x:c>
      <x:c r="H427" s="12" t="str">
        <x:v>年均</x:v>
      </x:c>
      <x:c r="I427" s="12" t="str">
        <x:v>1968-01-01—1968-12-31</x:v>
      </x:c>
      <x:c r="J427" s="12" t="str">
        <x:v>OECD_CAD</x:v>
      </x:c>
      <x:c r="K427" s="12" t="str">
        <x:v>https://fred.stlouisfed.org/data/CCUSMA02CAA618N</x:v>
      </x:c>
      <x:c r="L427" s="12" t="str"/>
      <x:c r="M427" s="12" t="str">
        <x:v>A：机构统计／原始统计表</x:v>
      </x:c>
    </x:row>
    <x:row r="428" ht="72" customHeight="1">
      <x:c r="A428" t="n">
        <x:v>1968</x:v>
      </x:c>
      <x:c r="B428" t="str">
        <x:v>FR</x:v>
      </x:c>
      <x:c r="C428" s="12" t="str">
        <x:v>法国法郎（FRF；1960币制）</x:v>
      </x:c>
      <x:c r="D428" s="24" t="n">
        <x:v>0.7550586395</x:v>
      </x:c>
      <x:c r="E428" s="20" t="str">
        <x:v>LCU/USD</x:v>
      </x:c>
      <x:c r="F428" s="20" t="n">
        <x:f>'币制说明'!$C$27</x:f>
        <x:v>6.55957</x:v>
      </x:c>
      <x:c r="G428" s="22" t="n">
        <x:f>IF(E428="LCU/USD",D428*F428,F428/D428)</x:f>
        <x:v>4.952859999905015</x:v>
      </x:c>
      <x:c r="H428" s="12" t="str">
        <x:v>年均</x:v>
      </x:c>
      <x:c r="I428" s="12" t="str">
        <x:v>1968-01-01—1968-12-31</x:v>
      </x:c>
      <x:c r="J428" s="12" t="str">
        <x:v>OECD_FR</x:v>
      </x:c>
      <x:c r="K428" s="12" t="str">
        <x:v>https://fred.stlouisfed.org/data/CCUSMA02FRA618N</x:v>
      </x:c>
      <x:c r="L428" s="12" t="str">
        <x:v>由欧元回溯单位还原当年本币；非当年实际欧元报价。 欧元回溯单位按不可撤销转换率还原；法国1960年前另乘100。</x:v>
      </x:c>
      <x:c r="M428" s="12" t="str">
        <x:v>A：机构统计／原始统计表</x:v>
      </x:c>
    </x:row>
    <x:row r="429" ht="72" customHeight="1">
      <x:c r="A429" t="n">
        <x:v>1968</x:v>
      </x:c>
      <x:c r="B429" t="str">
        <x:v>DE</x:v>
      </x:c>
      <x:c r="C429" s="12" t="str">
        <x:v>西德德国马克（DEM）</x:v>
      </x:c>
      <x:c r="D429" s="24" t="n">
        <x:v>2.0410584424</x:v>
      </x:c>
      <x:c r="E429" s="20" t="str">
        <x:v>LCU/USD</x:v>
      </x:c>
      <x:c r="F429" s="20" t="n">
        <x:f>'币制说明'!$C$28</x:f>
        <x:v>1.95583</x:v>
      </x:c>
      <x:c r="G429" s="22" t="n">
        <x:f>IF(E429="LCU/USD",D429*F429,F429/D429)</x:f>
        <x:v>3.9919633333991915</x:v>
      </x:c>
      <x:c r="H429" s="12" t="str">
        <x:v>年均</x:v>
      </x:c>
      <x:c r="I429" s="12" t="str">
        <x:v>1968-01-01—1968-12-31</x:v>
      </x:c>
      <x:c r="J429" s="12" t="str">
        <x:v>OECD_DE</x:v>
      </x:c>
      <x:c r="K429" s="12" t="str">
        <x:v>https://fred.stlouisfed.org/data/CCUSMA02DEA618N</x:v>
      </x:c>
      <x:c r="L429" s="12" t="str">
        <x:v>由欧元回溯单位还原当年本币；非当年实际欧元报价。 欧元回溯单位按不可撤销转换率还原；法国1960年前另乘100。</x:v>
      </x:c>
      <x:c r="M429" s="12" t="str">
        <x:v>A：机构统计／原始统计表</x:v>
      </x:c>
    </x:row>
    <x:row r="430" ht="72" customHeight="1">
      <x:c r="A430" t="n">
        <x:v>1968</x:v>
      </x:c>
      <x:c r="B430" t="str">
        <x:v>IT</x:v>
      </x:c>
      <x:c r="C430" s="12" t="str">
        <x:v>意大利里拉（ITL）</x:v>
      </x:c>
      <x:c r="D430" s="24" t="n">
        <x:v>0.3219581549</x:v>
      </x:c>
      <x:c r="E430" s="20" t="str">
        <x:v>LCU/USD</x:v>
      </x:c>
      <x:c r="F430" s="20" t="n">
        <x:f>'币制说明'!$C$29</x:f>
        <x:v>1936.27</x:v>
      </x:c>
      <x:c r="G430" s="22" t="n">
        <x:f>IF(E430="LCU/USD",D430*F430,F430/D430)</x:f>
        <x:v>623.397916588223</x:v>
      </x:c>
      <x:c r="H430" s="12" t="str">
        <x:v>年均</x:v>
      </x:c>
      <x:c r="I430" s="12" t="str">
        <x:v>1968-01-01—1968-12-31</x:v>
      </x:c>
      <x:c r="J430" s="12" t="str">
        <x:v>OECD_IT</x:v>
      </x:c>
      <x:c r="K430" s="12" t="str">
        <x:v>https://fred.stlouisfed.org/data/CCUSMA02ITA618N</x:v>
      </x:c>
      <x:c r="L430" s="12" t="str">
        <x:v>由欧元回溯单位还原当年本币；非当年实际欧元报价。 欧元回溯单位按不可撤销转换率还原；法国1960年前另乘100。</x:v>
      </x:c>
      <x:c r="M430" s="12" t="str">
        <x:v>A：机构统计／原始统计表</x:v>
      </x:c>
    </x:row>
    <x:row r="431" ht="72" customHeight="1">
      <x:c r="A431" t="n">
        <x:v>1968</x:v>
      </x:c>
      <x:c r="B431" t="str">
        <x:v>JPY</x:v>
      </x:c>
      <x:c r="C431" s="12" t="str">
        <x:v>日元（JPY）</x:v>
      </x:c>
      <x:c r="D431" s="24" t="n">
        <x:v>360.56</x:v>
      </x:c>
      <x:c r="E431" s="20" t="str">
        <x:v>LCU/USD</x:v>
      </x:c>
      <x:c r="F431" s="20" t="n">
        <x:v>1</x:v>
      </x:c>
      <x:c r="G431" s="22" t="n">
        <x:f>IF(E431="LCU/USD",D431*F431,F431/D431)</x:f>
        <x:v>360.56</x:v>
      </x:c>
      <x:c r="H431" s="12" t="str">
        <x:v>年均</x:v>
      </x:c>
      <x:c r="I431" s="12" t="str">
        <x:v>1968-01-01—1968-12-31</x:v>
      </x:c>
      <x:c r="J431" s="12" t="str">
        <x:v>MW_JPY</x:v>
      </x:c>
      <x:c r="K431" s="12" t="str">
        <x:v>https://www.measuringworth.com/datasets/exchangeglobal/result.php?countryE%5B%5D=Japan&amp;year_result=2016&amp;year_source=1916</x:v>
      </x:c>
      <x:c r="L431" s="12" t="str"/>
      <x:c r="M431" s="12" t="str">
        <x:v>B：学术历史汇编</x:v>
      </x:c>
    </x:row>
    <x:row r="432" ht="72" customHeight="1">
      <x:c r="A432" t="n">
        <x:v>1968</x:v>
      </x:c>
      <x:c r="B432" t="str">
        <x:v>CHF</x:v>
      </x:c>
      <x:c r="C432" s="12" t="str">
        <x:v>瑞士法郎（CHF）</x:v>
      </x:c>
      <x:c r="D432" s="24" t="n">
        <x:v>4.316325</x:v>
      </x:c>
      <x:c r="E432" s="20" t="str">
        <x:v>LCU/USD</x:v>
      </x:c>
      <x:c r="F432" s="20" t="n">
        <x:v>1</x:v>
      </x:c>
      <x:c r="G432" s="22" t="n">
        <x:f>IF(E432="LCU/USD",D432*F432,F432/D432)</x:f>
        <x:v>4.316325</x:v>
      </x:c>
      <x:c r="H432" s="12" t="str">
        <x:v>年均</x:v>
      </x:c>
      <x:c r="I432" s="12" t="str">
        <x:v>1968-01-01—1968-12-31</x:v>
      </x:c>
      <x:c r="J432" s="12" t="str">
        <x:v>OECD_CHF</x:v>
      </x:c>
      <x:c r="K432" s="12" t="str">
        <x:v>https://fred.stlouisfed.org/data/CCUSMA02CHA618N</x:v>
      </x:c>
      <x:c r="L432" s="12" t="str"/>
      <x:c r="M432" s="12" t="str">
        <x:v>A：机构统计／原始统计表</x:v>
      </x:c>
    </x:row>
    <x:row r="433" ht="72" customHeight="1">
      <x:c r="A433" t="n">
        <x:v>1968</x:v>
      </x:c>
      <x:c r="B433" t="str">
        <x:v>INR</x:v>
      </x:c>
      <x:c r="C433" s="12" t="str">
        <x:v>印度卢比（INR）</x:v>
      </x:c>
      <x:c r="D433" s="24" t="n">
        <x:v>7.5</x:v>
      </x:c>
      <x:c r="E433" s="20" t="str">
        <x:v>LCU/USD</x:v>
      </x:c>
      <x:c r="F433" s="20" t="n">
        <x:v>1</x:v>
      </x:c>
      <x:c r="G433" s="22" t="n">
        <x:f>IF(E433="LCU/USD",D433*F433,F433/D433)</x:f>
        <x:v>7.5</x:v>
      </x:c>
      <x:c r="H433" s="12" t="str">
        <x:v>年均</x:v>
      </x:c>
      <x:c r="I433" s="12" t="str">
        <x:v>1968-01-01—1968-12-31</x:v>
      </x:c>
      <x:c r="J433" s="12" t="str">
        <x:v>OECD_INR</x:v>
      </x:c>
      <x:c r="K433" s="12" t="str">
        <x:v>https://fred.stlouisfed.org/data/CCUSMA02INA618N</x:v>
      </x:c>
      <x:c r="L433" s="12" t="str"/>
      <x:c r="M433" s="12" t="str">
        <x:v>A：机构统计／原始统计表</x:v>
      </x:c>
    </x:row>
    <x:row r="434" ht="72" customHeight="1">
      <x:c r="A434" t="n">
        <x:v>1968</x:v>
      </x:c>
      <x:c r="B434" t="str">
        <x:v>RUB</x:v>
      </x:c>
      <x:c r="C434" s="12" t="str">
        <x:v>苏联卢布（1961币制）</x:v>
      </x:c>
      <x:c r="D434" s="24" t="n">
        <x:v>0.9</x:v>
      </x:c>
      <x:c r="E434" s="20" t="str">
        <x:v>LCU/USD</x:v>
      </x:c>
      <x:c r="F434" s="20" t="n">
        <x:v>1</x:v>
      </x:c>
      <x:c r="G434" s="22" t="n">
        <x:f>IF(E434="LCU/USD",D434*F434,F434/D434)</x:f>
        <x:v>0.9</x:v>
      </x:c>
      <x:c r="H434" s="12" t="str">
        <x:v>官价区间参考（非年均）</x:v>
      </x:c>
      <x:c r="I434" s="12" t="str">
        <x:v>1961-01-01—1971-12-01</x:v>
      </x:c>
      <x:c r="J434" s="12" t="str">
        <x:v>SUR_OFFICIAL_SECONDARY</x:v>
      </x:c>
      <x:c r="K434" s="12" t="str">
        <x:v>https://en.wikipedia.org/wiki/Soviet_ruble#Exchange_rates</x:v>
      </x:c>
      <x:c r="L434" s="12" t="str">
        <x:v>源表同一官价覆盖的区间内年份；非逐年独立观测。只代表官方折算，非市场成交或购买力；原档案未复核。</x:v>
      </x:c>
      <x:c r="M434" s="12" t="str">
        <x:v>C：二手转引（原档未复核）</x:v>
      </x:c>
    </x:row>
    <x:row r="435" ht="72" customHeight="1">
      <x:c r="A435" t="n">
        <x:v>1968</x:v>
      </x:c>
      <x:c r="B435" t="str">
        <x:v>CNY</x:v>
      </x:c>
      <x:c r="C435" s="12" t="str">
        <x:v>人民币元（1955币制；CNY）</x:v>
      </x:c>
      <x:c r="D435" s="24" t="n">
        <x:v>2.46181</x:v>
      </x:c>
      <x:c r="E435" s="20" t="str">
        <x:v>LCU/USD</x:v>
      </x:c>
      <x:c r="F435" s="20" t="n">
        <x:v>1</x:v>
      </x:c>
      <x:c r="G435" s="22" t="n">
        <x:f>IF(E435="LCU/USD",D435*F435,F435/D435)</x:f>
        <x:v>2.46181</x:v>
      </x:c>
      <x:c r="H435" s="12" t="str">
        <x:v>年均</x:v>
      </x:c>
      <x:c r="I435" s="12" t="str">
        <x:v>1968-01-01—1968-12-31</x:v>
      </x:c>
      <x:c r="J435" s="12" t="str">
        <x:v>OECD_CNY</x:v>
      </x:c>
      <x:c r="K435" s="12" t="str">
        <x:v>https://fred.stlouisfed.org/data/CCUSMA02CNA618N</x:v>
      </x:c>
      <x:c r="L435" s="12" t="str"/>
      <x:c r="M435" s="12" t="str">
        <x:v>A：机构统计／原始统计表</x:v>
      </x:c>
    </x:row>
    <x:row r="436" ht="72" customHeight="1">
      <x:c r="A436" t="n">
        <x:v>1969</x:v>
      </x:c>
      <x:c r="B436" t="str">
        <x:v>GBP</x:v>
      </x:c>
      <x:c r="C436" s="12" t="str">
        <x:v>英镑（GBP）</x:v>
      </x:c>
      <x:c r="D436" s="24" t="n">
        <x:v>0.4183513617</x:v>
      </x:c>
      <x:c r="E436" s="20" t="str">
        <x:v>LCU/USD</x:v>
      </x:c>
      <x:c r="F436" s="20" t="n">
        <x:v>1</x:v>
      </x:c>
      <x:c r="G436" s="22" t="n">
        <x:f>IF(E436="LCU/USD",D436*F436,F436/D436)</x:f>
        <x:v>0.4183513617</x:v>
      </x:c>
      <x:c r="H436" s="12" t="str">
        <x:v>年均</x:v>
      </x:c>
      <x:c r="I436" s="12" t="str">
        <x:v>1969-01-01—1969-12-31</x:v>
      </x:c>
      <x:c r="J436" s="12" t="str">
        <x:v>OECD_GBP</x:v>
      </x:c>
      <x:c r="K436" s="12" t="str">
        <x:v>https://fred.stlouisfed.org/data/CCUSMA02GBA618N</x:v>
      </x:c>
      <x:c r="L436" s="12" t="str"/>
      <x:c r="M436" s="12" t="str">
        <x:v>A：机构统计／原始统计表</x:v>
      </x:c>
    </x:row>
    <x:row r="437" ht="72" customHeight="1">
      <x:c r="A437" t="n">
        <x:v>1969</x:v>
      </x:c>
      <x:c r="B437" t="str">
        <x:v>CAD</x:v>
      </x:c>
      <x:c r="C437" s="12" t="str">
        <x:v>加拿大元（CAD）</x:v>
      </x:c>
      <x:c r="D437" s="24" t="n">
        <x:v>1.0769308333</x:v>
      </x:c>
      <x:c r="E437" s="20" t="str">
        <x:v>LCU/USD</x:v>
      </x:c>
      <x:c r="F437" s="20" t="n">
        <x:v>1</x:v>
      </x:c>
      <x:c r="G437" s="22" t="n">
        <x:f>IF(E437="LCU/USD",D437*F437,F437/D437)</x:f>
        <x:v>1.0769308333</x:v>
      </x:c>
      <x:c r="H437" s="12" t="str">
        <x:v>年均</x:v>
      </x:c>
      <x:c r="I437" s="12" t="str">
        <x:v>1969-01-01—1969-12-31</x:v>
      </x:c>
      <x:c r="J437" s="12" t="str">
        <x:v>OECD_CAD</x:v>
      </x:c>
      <x:c r="K437" s="12" t="str">
        <x:v>https://fred.stlouisfed.org/data/CCUSMA02CAA618N</x:v>
      </x:c>
      <x:c r="L437" s="12" t="str"/>
      <x:c r="M437" s="12" t="str">
        <x:v>A：机构统计／原始统计表</x:v>
      </x:c>
    </x:row>
    <x:row r="438" ht="72" customHeight="1">
      <x:c r="A438" t="n">
        <x:v>1969</x:v>
      </x:c>
      <x:c r="B438" t="str">
        <x:v>FR</x:v>
      </x:c>
      <x:c r="C438" s="12" t="str">
        <x:v>法国法郎（FRF；1960币制）</x:v>
      </x:c>
      <x:c r="D438" s="24" t="n">
        <x:v>0.7927190095</x:v>
      </x:c>
      <x:c r="E438" s="20" t="str">
        <x:v>LCU/USD</x:v>
      </x:c>
      <x:c r="F438" s="20" t="n">
        <x:f>'币制说明'!$C$27</x:f>
        <x:v>6.55957</x:v>
      </x:c>
      <x:c r="G438" s="22" t="n">
        <x:f>IF(E438="LCU/USD",D438*F438,F438/D438)</x:f>
        <x:v>5.199895833145915</x:v>
      </x:c>
      <x:c r="H438" s="12" t="str">
        <x:v>年均</x:v>
      </x:c>
      <x:c r="I438" s="12" t="str">
        <x:v>1969-01-01—1969-12-31</x:v>
      </x:c>
      <x:c r="J438" s="12" t="str">
        <x:v>OECD_FR</x:v>
      </x:c>
      <x:c r="K438" s="12" t="str">
        <x:v>https://fred.stlouisfed.org/data/CCUSMA02FRA618N</x:v>
      </x:c>
      <x:c r="L438" s="12" t="str">
        <x:v>由欧元回溯单位还原当年本币；非当年实际欧元报价。 欧元回溯单位按不可撤销转换率还原；法国1960年前另乘100。</x:v>
      </x:c>
      <x:c r="M438" s="12" t="str">
        <x:v>A：机构统计／原始统计表</x:v>
      </x:c>
    </x:row>
    <x:row r="439" ht="72" customHeight="1">
      <x:c r="A439" t="n">
        <x:v>1969</x:v>
      </x:c>
      <x:c r="B439" t="str">
        <x:v>DE</x:v>
      </x:c>
      <x:c r="C439" s="12" t="str">
        <x:v>西德德国马克（DEM）</x:v>
      </x:c>
      <x:c r="D439" s="24" t="n">
        <x:v>2.0068632414</x:v>
      </x:c>
      <x:c r="E439" s="20" t="str">
        <x:v>LCU/USD</x:v>
      </x:c>
      <x:c r="F439" s="20" t="n">
        <x:f>'币制说明'!$C$28</x:f>
        <x:v>1.95583</x:v>
      </x:c>
      <x:c r="G439" s="22" t="n">
        <x:f>IF(E439="LCU/USD",D439*F439,F439/D439)</x:f>
        <x:v>3.925083333427362</x:v>
      </x:c>
      <x:c r="H439" s="12" t="str">
        <x:v>年均</x:v>
      </x:c>
      <x:c r="I439" s="12" t="str">
        <x:v>1969-01-01—1969-12-31</x:v>
      </x:c>
      <x:c r="J439" s="12" t="str">
        <x:v>OECD_DE</x:v>
      </x:c>
      <x:c r="K439" s="12" t="str">
        <x:v>https://fred.stlouisfed.org/data/CCUSMA02DEA618N</x:v>
      </x:c>
      <x:c r="L439" s="12" t="str">
        <x:v>由欧元回溯单位还原当年本币；非当年实际欧元报价。 欧元回溯单位按不可撤销转换率还原；法国1960年前另乘100。</x:v>
      </x:c>
      <x:c r="M439" s="12" t="str">
        <x:v>A：机构统计／原始统计表</x:v>
      </x:c>
    </x:row>
    <x:row r="440" ht="72" customHeight="1">
      <x:c r="A440" t="n">
        <x:v>1969</x:v>
      </x:c>
      <x:c r="B440" t="str">
        <x:v>IT</x:v>
      </x:c>
      <x:c r="C440" s="12" t="str">
        <x:v>意大利里拉（ITL）</x:v>
      </x:c>
      <x:c r="D440" s="24" t="n">
        <x:v>0.3239835267</x:v>
      </x:c>
      <x:c r="E440" s="20" t="str">
        <x:v>LCU/USD</x:v>
      </x:c>
      <x:c r="F440" s="20" t="n">
        <x:f>'币制说明'!$C$29</x:f>
        <x:v>1936.27</x:v>
      </x:c>
      <x:c r="G440" s="22" t="n">
        <x:f>IF(E440="LCU/USD",D440*F440,F440/D440)</x:f>
        <x:v>627.319583243409</x:v>
      </x:c>
      <x:c r="H440" s="12" t="str">
        <x:v>年均</x:v>
      </x:c>
      <x:c r="I440" s="12" t="str">
        <x:v>1969-01-01—1969-12-31</x:v>
      </x:c>
      <x:c r="J440" s="12" t="str">
        <x:v>OECD_IT</x:v>
      </x:c>
      <x:c r="K440" s="12" t="str">
        <x:v>https://fred.stlouisfed.org/data/CCUSMA02ITA618N</x:v>
      </x:c>
      <x:c r="L440" s="12" t="str">
        <x:v>由欧元回溯单位还原当年本币；非当年实际欧元报价。 欧元回溯单位按不可撤销转换率还原；法国1960年前另乘100。</x:v>
      </x:c>
      <x:c r="M440" s="12" t="str">
        <x:v>A：机构统计／原始统计表</x:v>
      </x:c>
    </x:row>
    <x:row r="441" ht="72" customHeight="1">
      <x:c r="A441" t="n">
        <x:v>1969</x:v>
      </x:c>
      <x:c r="B441" t="str">
        <x:v>JPY</x:v>
      </x:c>
      <x:c r="C441" s="12" t="str">
        <x:v>日元（JPY）</x:v>
      </x:c>
      <x:c r="D441" s="24" t="n">
        <x:v>358.38</x:v>
      </x:c>
      <x:c r="E441" s="20" t="str">
        <x:v>LCU/USD</x:v>
      </x:c>
      <x:c r="F441" s="20" t="n">
        <x:v>1</x:v>
      </x:c>
      <x:c r="G441" s="22" t="n">
        <x:f>IF(E441="LCU/USD",D441*F441,F441/D441)</x:f>
        <x:v>358.38</x:v>
      </x:c>
      <x:c r="H441" s="12" t="str">
        <x:v>年均</x:v>
      </x:c>
      <x:c r="I441" s="12" t="str">
        <x:v>1969-01-01—1969-12-31</x:v>
      </x:c>
      <x:c r="J441" s="12" t="str">
        <x:v>MW_JPY</x:v>
      </x:c>
      <x:c r="K441" s="12" t="str">
        <x:v>https://www.measuringworth.com/datasets/exchangeglobal/result.php?countryE%5B%5D=Japan&amp;year_result=2016&amp;year_source=1916</x:v>
      </x:c>
      <x:c r="L441" s="12" t="str"/>
      <x:c r="M441" s="12" t="str">
        <x:v>B：学术历史汇编</x:v>
      </x:c>
    </x:row>
    <x:row r="442" ht="72" customHeight="1">
      <x:c r="A442" t="n">
        <x:v>1969</x:v>
      </x:c>
      <x:c r="B442" t="str">
        <x:v>CHF</x:v>
      </x:c>
      <x:c r="C442" s="12" t="str">
        <x:v>瑞士法郎（CHF）</x:v>
      </x:c>
      <x:c r="D442" s="24" t="n">
        <x:v>4.31315</x:v>
      </x:c>
      <x:c r="E442" s="20" t="str">
        <x:v>LCU/USD</x:v>
      </x:c>
      <x:c r="F442" s="20" t="n">
        <x:v>1</x:v>
      </x:c>
      <x:c r="G442" s="22" t="n">
        <x:f>IF(E442="LCU/USD",D442*F442,F442/D442)</x:f>
        <x:v>4.31315</x:v>
      </x:c>
      <x:c r="H442" s="12" t="str">
        <x:v>年均</x:v>
      </x:c>
      <x:c r="I442" s="12" t="str">
        <x:v>1969-01-01—1969-12-31</x:v>
      </x:c>
      <x:c r="J442" s="12" t="str">
        <x:v>OECD_CHF</x:v>
      </x:c>
      <x:c r="K442" s="12" t="str">
        <x:v>https://fred.stlouisfed.org/data/CCUSMA02CHA618N</x:v>
      </x:c>
      <x:c r="L442" s="12" t="str"/>
      <x:c r="M442" s="12" t="str">
        <x:v>A：机构统计／原始统计表</x:v>
      </x:c>
    </x:row>
    <x:row r="443" ht="72" customHeight="1">
      <x:c r="A443" t="n">
        <x:v>1969</x:v>
      </x:c>
      <x:c r="B443" t="str">
        <x:v>INR</x:v>
      </x:c>
      <x:c r="C443" s="12" t="str">
        <x:v>印度卢比（INR）</x:v>
      </x:c>
      <x:c r="D443" s="24" t="n">
        <x:v>7.5</x:v>
      </x:c>
      <x:c r="E443" s="20" t="str">
        <x:v>LCU/USD</x:v>
      </x:c>
      <x:c r="F443" s="20" t="n">
        <x:v>1</x:v>
      </x:c>
      <x:c r="G443" s="22" t="n">
        <x:f>IF(E443="LCU/USD",D443*F443,F443/D443)</x:f>
        <x:v>7.5</x:v>
      </x:c>
      <x:c r="H443" s="12" t="str">
        <x:v>年均</x:v>
      </x:c>
      <x:c r="I443" s="12" t="str">
        <x:v>1969-01-01—1969-12-31</x:v>
      </x:c>
      <x:c r="J443" s="12" t="str">
        <x:v>OECD_INR</x:v>
      </x:c>
      <x:c r="K443" s="12" t="str">
        <x:v>https://fred.stlouisfed.org/data/CCUSMA02INA618N</x:v>
      </x:c>
      <x:c r="L443" s="12" t="str"/>
      <x:c r="M443" s="12" t="str">
        <x:v>A：机构统计／原始统计表</x:v>
      </x:c>
    </x:row>
    <x:row r="444" ht="72" customHeight="1">
      <x:c r="A444" t="n">
        <x:v>1969</x:v>
      </x:c>
      <x:c r="B444" t="str">
        <x:v>RUB</x:v>
      </x:c>
      <x:c r="C444" s="12" t="str">
        <x:v>苏联卢布（1961币制）</x:v>
      </x:c>
      <x:c r="D444" s="24" t="n">
        <x:v>0.9</x:v>
      </x:c>
      <x:c r="E444" s="20" t="str">
        <x:v>LCU/USD</x:v>
      </x:c>
      <x:c r="F444" s="20" t="n">
        <x:v>1</x:v>
      </x:c>
      <x:c r="G444" s="22" t="n">
        <x:f>IF(E444="LCU/USD",D444*F444,F444/D444)</x:f>
        <x:v>0.9</x:v>
      </x:c>
      <x:c r="H444" s="12" t="str">
        <x:v>官价区间参考（非年均）</x:v>
      </x:c>
      <x:c r="I444" s="12" t="str">
        <x:v>1961-01-01—1971-12-01</x:v>
      </x:c>
      <x:c r="J444" s="12" t="str">
        <x:v>SUR_OFFICIAL_SECONDARY</x:v>
      </x:c>
      <x:c r="K444" s="12" t="str">
        <x:v>https://en.wikipedia.org/wiki/Soviet_ruble#Exchange_rates</x:v>
      </x:c>
      <x:c r="L444" s="12" t="str">
        <x:v>源表同一官价覆盖的区间内年份；非逐年独立观测。只代表官方折算，非市场成交或购买力；原档案未复核。</x:v>
      </x:c>
      <x:c r="M444" s="12" t="str">
        <x:v>C：二手转引（原档未复核）</x:v>
      </x:c>
    </x:row>
    <x:row r="445" ht="72" customHeight="1">
      <x:c r="A445" t="n">
        <x:v>1969</x:v>
      </x:c>
      <x:c r="B445" t="str">
        <x:v>CNY</x:v>
      </x:c>
      <x:c r="C445" s="12" t="str">
        <x:v>人民币元（1955币制；CNY）</x:v>
      </x:c>
      <x:c r="D445" s="24" t="n">
        <x:v>2.46181</x:v>
      </x:c>
      <x:c r="E445" s="20" t="str">
        <x:v>LCU/USD</x:v>
      </x:c>
      <x:c r="F445" s="20" t="n">
        <x:v>1</x:v>
      </x:c>
      <x:c r="G445" s="22" t="n">
        <x:f>IF(E445="LCU/USD",D445*F445,F445/D445)</x:f>
        <x:v>2.46181</x:v>
      </x:c>
      <x:c r="H445" s="12" t="str">
        <x:v>年均</x:v>
      </x:c>
      <x:c r="I445" s="12" t="str">
        <x:v>1969-01-01—1969-12-31</x:v>
      </x:c>
      <x:c r="J445" s="12" t="str">
        <x:v>OECD_CNY</x:v>
      </x:c>
      <x:c r="K445" s="12" t="str">
        <x:v>https://fred.stlouisfed.org/data/CCUSMA02CNA618N</x:v>
      </x:c>
      <x:c r="L445" s="12" t="str"/>
      <x:c r="M445" s="12" t="str">
        <x:v>A：机构统计／原始统计表</x:v>
      </x:c>
    </x:row>
    <x:row r="446" ht="72" customHeight="1">
      <x:c r="A446" t="n">
        <x:v>1970</x:v>
      </x:c>
      <x:c r="B446" t="str">
        <x:v>GBP</x:v>
      </x:c>
      <x:c r="C446" s="12" t="str">
        <x:v>英镑（GBP）</x:v>
      </x:c>
      <x:c r="D446" s="24" t="n">
        <x:v>0.4173694433</x:v>
      </x:c>
      <x:c r="E446" s="20" t="str">
        <x:v>LCU/USD</x:v>
      </x:c>
      <x:c r="F446" s="20" t="n">
        <x:v>1</x:v>
      </x:c>
      <x:c r="G446" s="22" t="n">
        <x:f>IF(E446="LCU/USD",D446*F446,F446/D446)</x:f>
        <x:v>0.4173694433</x:v>
      </x:c>
      <x:c r="H446" s="12" t="str">
        <x:v>年均</x:v>
      </x:c>
      <x:c r="I446" s="12" t="str">
        <x:v>1970-01-01—1970-12-31</x:v>
      </x:c>
      <x:c r="J446" s="12" t="str">
        <x:v>OECD_GBP</x:v>
      </x:c>
      <x:c r="K446" s="12" t="str">
        <x:v>https://fred.stlouisfed.org/data/CCUSMA02GBA618N</x:v>
      </x:c>
      <x:c r="L446" s="12" t="str"/>
      <x:c r="M446" s="12" t="str">
        <x:v>A：机构统计／原始统计表</x:v>
      </x:c>
    </x:row>
    <x:row r="447" ht="72" customHeight="1">
      <x:c r="A447" t="n">
        <x:v>1970</x:v>
      </x:c>
      <x:c r="B447" t="str">
        <x:v>CAD</x:v>
      </x:c>
      <x:c r="C447" s="12" t="str">
        <x:v>加拿大元（CAD）</x:v>
      </x:c>
      <x:c r="D447" s="24" t="n">
        <x:v>1.0441575</x:v>
      </x:c>
      <x:c r="E447" s="20" t="str">
        <x:v>LCU/USD</x:v>
      </x:c>
      <x:c r="F447" s="20" t="n">
        <x:v>1</x:v>
      </x:c>
      <x:c r="G447" s="22" t="n">
        <x:f>IF(E447="LCU/USD",D447*F447,F447/D447)</x:f>
        <x:v>1.0441575</x:v>
      </x:c>
      <x:c r="H447" s="12" t="str">
        <x:v>年均</x:v>
      </x:c>
      <x:c r="I447" s="12" t="str">
        <x:v>1970-01-01—1970-12-31</x:v>
      </x:c>
      <x:c r="J447" s="12" t="str">
        <x:v>OECD_CAD</x:v>
      </x:c>
      <x:c r="K447" s="12" t="str">
        <x:v>https://fred.stlouisfed.org/data/CCUSMA02CAA618N</x:v>
      </x:c>
      <x:c r="L447" s="12" t="str"/>
      <x:c r="M447" s="12" t="str">
        <x:v>A：机构统计／原始统计表</x:v>
      </x:c>
    </x:row>
    <x:row r="448" ht="72" customHeight="1">
      <x:c r="A448" t="n">
        <x:v>1970</x:v>
      </x:c>
      <x:c r="B448" t="str">
        <x:v>FR</x:v>
      </x:c>
      <x:c r="C448" s="12" t="str">
        <x:v>法国法郎（FRF；1960币制）</x:v>
      </x:c>
      <x:c r="D448" s="24" t="n">
        <x:v>0.8428690194</x:v>
      </x:c>
      <x:c r="E448" s="20" t="str">
        <x:v>LCU/USD</x:v>
      </x:c>
      <x:c r="F448" s="20" t="n">
        <x:f>'币制说明'!$C$27</x:f>
        <x:v>6.55957</x:v>
      </x:c>
      <x:c r="G448" s="22" t="n">
        <x:f>IF(E448="LCU/USD",D448*F448,F448/D448)</x:f>
        <x:v>5.528858333585658</x:v>
      </x:c>
      <x:c r="H448" s="12" t="str">
        <x:v>年均</x:v>
      </x:c>
      <x:c r="I448" s="12" t="str">
        <x:v>1970-01-01—1970-12-31</x:v>
      </x:c>
      <x:c r="J448" s="12" t="str">
        <x:v>OECD_FR</x:v>
      </x:c>
      <x:c r="K448" s="12" t="str">
        <x:v>https://fred.stlouisfed.org/data/CCUSMA02FRA618N</x:v>
      </x:c>
      <x:c r="L448" s="12" t="str">
        <x:v>由欧元回溯单位还原当年本币；非当年实际欧元报价。 欧元回溯单位按不可撤销转换率还原；法国1960年前另乘100。</x:v>
      </x:c>
      <x:c r="M448" s="12" t="str">
        <x:v>A：机构统计／原始统计表</x:v>
      </x:c>
    </x:row>
    <x:row r="449" ht="72" customHeight="1">
      <x:c r="A449" t="n">
        <x:v>1970</x:v>
      </x:c>
      <x:c r="B449" t="str">
        <x:v>DE</x:v>
      </x:c>
      <x:c r="C449" s="12" t="str">
        <x:v>西德德国马克（DEM）</x:v>
      </x:c>
      <x:c r="D449" s="24" t="n">
        <x:v>1.8644343663</x:v>
      </x:c>
      <x:c r="E449" s="20" t="str">
        <x:v>LCU/USD</x:v>
      </x:c>
      <x:c r="F449" s="20" t="n">
        <x:f>'币制说明'!$C$28</x:f>
        <x:v>1.95583</x:v>
      </x:c>
      <x:c r="G449" s="22" t="n">
        <x:f>IF(E449="LCU/USD",D449*F449,F449/D449)</x:f>
        <x:v>3.646516666640529</x:v>
      </x:c>
      <x:c r="H449" s="12" t="str">
        <x:v>年均</x:v>
      </x:c>
      <x:c r="I449" s="12" t="str">
        <x:v>1970-01-01—1970-12-31</x:v>
      </x:c>
      <x:c r="J449" s="12" t="str">
        <x:v>OECD_DE</x:v>
      </x:c>
      <x:c r="K449" s="12" t="str">
        <x:v>https://fred.stlouisfed.org/data/CCUSMA02DEA618N</x:v>
      </x:c>
      <x:c r="L449" s="12" t="str">
        <x:v>由欧元回溯单位还原当年本币；非当年实际欧元报价。 欧元回溯单位按不可撤销转换率还原；法国1960年前另乘100。</x:v>
      </x:c>
      <x:c r="M449" s="12" t="str">
        <x:v>A：机构统计／原始统计表</x:v>
      </x:c>
    </x:row>
    <x:row r="450" ht="72" customHeight="1">
      <x:c r="A450" t="n">
        <x:v>1970</x:v>
      </x:c>
      <x:c r="B450" t="str">
        <x:v>IT</x:v>
      </x:c>
      <x:c r="C450" s="12" t="str">
        <x:v>意大利里拉（ITL）</x:v>
      </x:c>
      <x:c r="D450" s="24" t="n">
        <x:v>0.3238999898</x:v>
      </x:c>
      <x:c r="E450" s="20" t="str">
        <x:v>LCU/USD</x:v>
      </x:c>
      <x:c r="F450" s="20" t="n">
        <x:f>'币制说明'!$C$29</x:f>
        <x:v>1936.27</x:v>
      </x:c>
      <x:c r="G450" s="22" t="n">
        <x:f>IF(E450="LCU/USD",D450*F450,F450/D450)</x:f>
        <x:v>627.157833250046</x:v>
      </x:c>
      <x:c r="H450" s="12" t="str">
        <x:v>年均</x:v>
      </x:c>
      <x:c r="I450" s="12" t="str">
        <x:v>1970-01-01—1970-12-31</x:v>
      </x:c>
      <x:c r="J450" s="12" t="str">
        <x:v>OECD_IT</x:v>
      </x:c>
      <x:c r="K450" s="12" t="str">
        <x:v>https://fred.stlouisfed.org/data/CCUSMA02ITA618N</x:v>
      </x:c>
      <x:c r="L450" s="12" t="str">
        <x:v>由欧元回溯单位还原当年本币；非当年实际欧元报价。 欧元回溯单位按不可撤销转换率还原；法国1960年前另乘100。</x:v>
      </x:c>
      <x:c r="M450" s="12" t="str">
        <x:v>A：机构统计／原始统计表</x:v>
      </x:c>
    </x:row>
    <x:row r="451" ht="72" customHeight="1">
      <x:c r="A451" t="n">
        <x:v>1970</x:v>
      </x:c>
      <x:c r="B451" t="str">
        <x:v>JPY</x:v>
      </x:c>
      <x:c r="C451" s="12" t="str">
        <x:v>日元（JPY）</x:v>
      </x:c>
      <x:c r="D451" s="24" t="n">
        <x:v>358.15</x:v>
      </x:c>
      <x:c r="E451" s="20" t="str">
        <x:v>LCU/USD</x:v>
      </x:c>
      <x:c r="F451" s="20" t="n">
        <x:v>1</x:v>
      </x:c>
      <x:c r="G451" s="22" t="n">
        <x:f>IF(E451="LCU/USD",D451*F451,F451/D451)</x:f>
        <x:v>358.15</x:v>
      </x:c>
      <x:c r="H451" s="12" t="str">
        <x:v>年均</x:v>
      </x:c>
      <x:c r="I451" s="12" t="str">
        <x:v>1970-01-01—1970-12-31</x:v>
      </x:c>
      <x:c r="J451" s="12" t="str">
        <x:v>MW_JPY</x:v>
      </x:c>
      <x:c r="K451" s="12" t="str">
        <x:v>https://www.measuringworth.com/datasets/exchangeglobal/result.php?countryE%5B%5D=Japan&amp;year_result=2016&amp;year_source=1916</x:v>
      </x:c>
      <x:c r="L451" s="12" t="str"/>
      <x:c r="M451" s="12" t="str">
        <x:v>B：学术历史汇编</x:v>
      </x:c>
    </x:row>
    <x:row r="452" ht="72" customHeight="1">
      <x:c r="A452" t="n">
        <x:v>1970</x:v>
      </x:c>
      <x:c r="B452" t="str">
        <x:v>CHF</x:v>
      </x:c>
      <x:c r="C452" s="12" t="str">
        <x:v>瑞士法郎（CHF）</x:v>
      </x:c>
      <x:c r="D452" s="24" t="n">
        <x:v>4.3106416667</x:v>
      </x:c>
      <x:c r="E452" s="20" t="str">
        <x:v>LCU/USD</x:v>
      </x:c>
      <x:c r="F452" s="20" t="n">
        <x:v>1</x:v>
      </x:c>
      <x:c r="G452" s="22" t="n">
        <x:f>IF(E452="LCU/USD",D452*F452,F452/D452)</x:f>
        <x:v>4.3106416667</x:v>
      </x:c>
      <x:c r="H452" s="12" t="str">
        <x:v>年均</x:v>
      </x:c>
      <x:c r="I452" s="12" t="str">
        <x:v>1970-01-01—1970-12-31</x:v>
      </x:c>
      <x:c r="J452" s="12" t="str">
        <x:v>OECD_CHF</x:v>
      </x:c>
      <x:c r="K452" s="12" t="str">
        <x:v>https://fred.stlouisfed.org/data/CCUSMA02CHA618N</x:v>
      </x:c>
      <x:c r="L452" s="12" t="str"/>
      <x:c r="M452" s="12" t="str">
        <x:v>A：机构统计／原始统计表</x:v>
      </x:c>
    </x:row>
    <x:row r="453" ht="72" customHeight="1">
      <x:c r="A453" t="n">
        <x:v>1970</x:v>
      </x:c>
      <x:c r="B453" t="str">
        <x:v>INR</x:v>
      </x:c>
      <x:c r="C453" s="12" t="str">
        <x:v>印度卢比（INR）</x:v>
      </x:c>
      <x:c r="D453" s="24" t="n">
        <x:v>7.5</x:v>
      </x:c>
      <x:c r="E453" s="20" t="str">
        <x:v>LCU/USD</x:v>
      </x:c>
      <x:c r="F453" s="20" t="n">
        <x:v>1</x:v>
      </x:c>
      <x:c r="G453" s="22" t="n">
        <x:f>IF(E453="LCU/USD",D453*F453,F453/D453)</x:f>
        <x:v>7.5</x:v>
      </x:c>
      <x:c r="H453" s="12" t="str">
        <x:v>年均</x:v>
      </x:c>
      <x:c r="I453" s="12" t="str">
        <x:v>1970-01-01—1970-12-31</x:v>
      </x:c>
      <x:c r="J453" s="12" t="str">
        <x:v>OECD_INR</x:v>
      </x:c>
      <x:c r="K453" s="12" t="str">
        <x:v>https://fred.stlouisfed.org/data/CCUSMA02INA618N</x:v>
      </x:c>
      <x:c r="L453" s="12" t="str"/>
      <x:c r="M453" s="12" t="str">
        <x:v>A：机构统计／原始统计表</x:v>
      </x:c>
    </x:row>
    <x:row r="454" ht="72" customHeight="1">
      <x:c r="A454" t="n">
        <x:v>1970</x:v>
      </x:c>
      <x:c r="B454" t="str">
        <x:v>RUB</x:v>
      </x:c>
      <x:c r="C454" s="12" t="str">
        <x:v>苏联卢布（1961币制）</x:v>
      </x:c>
      <x:c r="D454" s="24" t="n">
        <x:v>0.9</x:v>
      </x:c>
      <x:c r="E454" s="20" t="str">
        <x:v>LCU/USD</x:v>
      </x:c>
      <x:c r="F454" s="20" t="n">
        <x:v>1</x:v>
      </x:c>
      <x:c r="G454" s="22" t="n">
        <x:f>IF(E454="LCU/USD",D454*F454,F454/D454)</x:f>
        <x:v>0.9</x:v>
      </x:c>
      <x:c r="H454" s="12" t="str">
        <x:v>官价区间参考（非年均）</x:v>
      </x:c>
      <x:c r="I454" s="12" t="str">
        <x:v>1961-01-01—1971-12-01</x:v>
      </x:c>
      <x:c r="J454" s="12" t="str">
        <x:v>SUR_OFFICIAL_SECONDARY</x:v>
      </x:c>
      <x:c r="K454" s="12" t="str">
        <x:v>https://en.wikipedia.org/wiki/Soviet_ruble#Exchange_rates</x:v>
      </x:c>
      <x:c r="L454" s="12" t="str">
        <x:v>源表同一官价覆盖的区间内年份；非逐年独立观测。只代表官方折算，非市场成交或购买力；原档案未复核。</x:v>
      </x:c>
      <x:c r="M454" s="12" t="str">
        <x:v>C：二手转引（原档未复核）</x:v>
      </x:c>
    </x:row>
    <x:row r="455" ht="72" customHeight="1">
      <x:c r="A455" t="n">
        <x:v>1970</x:v>
      </x:c>
      <x:c r="B455" t="str">
        <x:v>CNY</x:v>
      </x:c>
      <x:c r="C455" s="12" t="str">
        <x:v>人民币元（1955币制；CNY）</x:v>
      </x:c>
      <x:c r="D455" s="24" t="n">
        <x:v>2.462</x:v>
      </x:c>
      <x:c r="E455" s="20" t="str">
        <x:v>LCU/USD</x:v>
      </x:c>
      <x:c r="F455" s="20" t="n">
        <x:v>1</x:v>
      </x:c>
      <x:c r="G455" s="22" t="n">
        <x:f>IF(E455="LCU/USD",D455*F455,F455/D455)</x:f>
        <x:v>2.462</x:v>
      </x:c>
      <x:c r="H455" s="12" t="str">
        <x:v>年均</x:v>
      </x:c>
      <x:c r="I455" s="12" t="str">
        <x:v>1970-01-01—1970-12-31</x:v>
      </x:c>
      <x:c r="J455" s="12" t="str">
        <x:v>OECD_CNY</x:v>
      </x:c>
      <x:c r="K455" s="12" t="str">
        <x:v>https://fred.stlouisfed.org/data/CCUSMA02CNA618N</x:v>
      </x:c>
      <x:c r="L455" s="12" t="str"/>
      <x:c r="M455" s="12" t="str">
        <x:v>A：机构统计／原始统计表</x:v>
      </x:c>
    </x:row>
    <x:row r="456" ht="72" customHeight="1">
      <x:c r="A456" t="n">
        <x:v>1971</x:v>
      </x:c>
      <x:c r="B456" t="str">
        <x:v>GBP</x:v>
      </x:c>
      <x:c r="C456" s="12" t="str">
        <x:v>英镑（GBP）</x:v>
      </x:c>
      <x:c r="D456" s="24" t="n">
        <x:v>2.4442</x:v>
      </x:c>
      <x:c r="E456" s="20" t="str">
        <x:v>USD/LCU</x:v>
      </x:c>
      <x:c r="F456" s="20" t="n">
        <x:v>1</x:v>
      </x:c>
      <x:c r="G456" s="22" t="n">
        <x:f>IF(E456="LCU/USD",D456*F456,F456/D456)</x:f>
        <x:v>0.40913182227313644</x:v>
      </x:c>
      <x:c r="H456" s="12" t="str">
        <x:v>年均</x:v>
      </x:c>
      <x:c r="I456" s="12" t="str">
        <x:v>1971-01-01—1971-12-31</x:v>
      </x:c>
      <x:c r="J456" s="12" t="str">
        <x:v>FRB_GBP</x:v>
      </x:c>
      <x:c r="K456" s="12" t="str">
        <x:v>https://fred.stlouisfed.org/data/AEXUSUK</x:v>
      </x:c>
      <x:c r="L456" s="12" t="str">
        <x:v>反向值由原报价均值取倒数；不等于反向日度汇率的算术平均。</x:v>
      </x:c>
      <x:c r="M456" s="12" t="str">
        <x:v>A：机构统计／原始统计表</x:v>
      </x:c>
    </x:row>
    <x:row r="457" ht="72" customHeight="1">
      <x:c r="A457" t="n">
        <x:v>1971</x:v>
      </x:c>
      <x:c r="B457" t="str">
        <x:v>CAD</x:v>
      </x:c>
      <x:c r="C457" s="12" t="str">
        <x:v>加拿大元（CAD）</x:v>
      </x:c>
      <x:c r="D457" s="24" t="n">
        <x:v>1.0099</x:v>
      </x:c>
      <x:c r="E457" s="20" t="str">
        <x:v>LCU/USD</x:v>
      </x:c>
      <x:c r="F457" s="20" t="n">
        <x:v>1</x:v>
      </x:c>
      <x:c r="G457" s="22" t="n">
        <x:f>IF(E457="LCU/USD",D457*F457,F457/D457)</x:f>
        <x:v>1.0099</x:v>
      </x:c>
      <x:c r="H457" s="12" t="str">
        <x:v>年均</x:v>
      </x:c>
      <x:c r="I457" s="12" t="str">
        <x:v>1971-01-01—1971-12-31</x:v>
      </x:c>
      <x:c r="J457" s="12" t="str">
        <x:v>FRB_CAD</x:v>
      </x:c>
      <x:c r="K457" s="12" t="str">
        <x:v>https://fred.stlouisfed.org/data/AEXCAUS</x:v>
      </x:c>
      <x:c r="L457" s="12" t="str"/>
      <x:c r="M457" s="12" t="str">
        <x:v>A：机构统计／原始统计表</x:v>
      </x:c>
    </x:row>
    <x:row r="458" ht="72" customHeight="1">
      <x:c r="A458" t="n">
        <x:v>1971</x:v>
      </x:c>
      <x:c r="B458" t="str">
        <x:v>FR</x:v>
      </x:c>
      <x:c r="C458" s="12" t="str">
        <x:v>法国法郎（FRF；1960币制）</x:v>
      </x:c>
      <x:c r="D458" s="24" t="n">
        <x:v>0.8400614166</x:v>
      </x:c>
      <x:c r="E458" s="20" t="str">
        <x:v>LCU/USD</x:v>
      </x:c>
      <x:c r="F458" s="20" t="n">
        <x:f>'币制说明'!$C$27</x:f>
        <x:v>6.55957</x:v>
      </x:c>
      <x:c r="G458" s="22" t="n">
        <x:f>IF(E458="LCU/USD",D458*F458,F458/D458)</x:f>
        <x:v>5.510441666486862</x:v>
      </x:c>
      <x:c r="H458" s="12" t="str">
        <x:v>年均</x:v>
      </x:c>
      <x:c r="I458" s="12" t="str">
        <x:v>1971-01-01—1971-12-31</x:v>
      </x:c>
      <x:c r="J458" s="12" t="str">
        <x:v>OECD_FR</x:v>
      </x:c>
      <x:c r="K458" s="12" t="str">
        <x:v>https://fred.stlouisfed.org/data/CCUSMA02FRA618N</x:v>
      </x:c>
      <x:c r="L458" s="12" t="str">
        <x:v>由欧元回溯单位还原当年本币；非当年实际欧元报价。 欧元回溯单位按不可撤销转换率还原；法国1960年前另乘100。</x:v>
      </x:c>
      <x:c r="M458" s="12" t="str">
        <x:v>A：机构统计／原始统计表</x:v>
      </x:c>
    </x:row>
    <x:row r="459" ht="72" customHeight="1">
      <x:c r="A459" t="n">
        <x:v>1971</x:v>
      </x:c>
      <x:c r="B459" t="str">
        <x:v>DE</x:v>
      </x:c>
      <x:c r="C459" s="12" t="str">
        <x:v>西德德国马克（DEM）</x:v>
      </x:c>
      <x:c r="D459" s="24" t="n">
        <x:v>1.7800499021</x:v>
      </x:c>
      <x:c r="E459" s="20" t="str">
        <x:v>LCU/USD</x:v>
      </x:c>
      <x:c r="F459" s="20" t="n">
        <x:f>'币制说明'!$C$28</x:f>
        <x:v>1.95583</x:v>
      </x:c>
      <x:c r="G459" s="22" t="n">
        <x:f>IF(E459="LCU/USD",D459*F459,F459/D459)</x:f>
        <x:v>3.481475000024243</x:v>
      </x:c>
      <x:c r="H459" s="12" t="str">
        <x:v>年均</x:v>
      </x:c>
      <x:c r="I459" s="12" t="str">
        <x:v>1971-01-01—1971-12-31</x:v>
      </x:c>
      <x:c r="J459" s="12" t="str">
        <x:v>OECD_DE</x:v>
      </x:c>
      <x:c r="K459" s="12" t="str">
        <x:v>https://fred.stlouisfed.org/data/CCUSMA02DEA618N</x:v>
      </x:c>
      <x:c r="L459" s="12" t="str">
        <x:v>由欧元回溯单位还原当年本币；非当年实际欧元报价。 欧元回溯单位按不可撤销转换率还原；法国1960年前另乘100。</x:v>
      </x:c>
      <x:c r="M459" s="12" t="str">
        <x:v>A：机构统计／原始统计表</x:v>
      </x:c>
    </x:row>
    <x:row r="460" ht="72" customHeight="1">
      <x:c r="A460" t="n">
        <x:v>1971</x:v>
      </x:c>
      <x:c r="B460" t="str">
        <x:v>IT</x:v>
      </x:c>
      <x:c r="C460" s="12" t="str">
        <x:v>意大利里拉（ITL）</x:v>
      </x:c>
      <x:c r="D460" s="24" t="n">
        <x:v>0.3193552122</x:v>
      </x:c>
      <x:c r="E460" s="20" t="str">
        <x:v>LCU/USD</x:v>
      </x:c>
      <x:c r="F460" s="20" t="n">
        <x:f>'币制说明'!$C$29</x:f>
        <x:v>1936.27</x:v>
      </x:c>
      <x:c r="G460" s="22" t="n">
        <x:f>IF(E460="LCU/USD",D460*F460,F460/D460)</x:f>
        <x:v>618.3579167264941</x:v>
      </x:c>
      <x:c r="H460" s="12" t="str">
        <x:v>年均</x:v>
      </x:c>
      <x:c r="I460" s="12" t="str">
        <x:v>1971-01-01—1971-12-31</x:v>
      </x:c>
      <x:c r="J460" s="12" t="str">
        <x:v>OECD_IT</x:v>
      </x:c>
      <x:c r="K460" s="12" t="str">
        <x:v>https://fred.stlouisfed.org/data/CCUSMA02ITA618N</x:v>
      </x:c>
      <x:c r="L460" s="12" t="str">
        <x:v>由欧元回溯单位还原当年本币；非当年实际欧元报价。 欧元回溯单位按不可撤销转换率还原；法国1960年前另乘100。</x:v>
      </x:c>
      <x:c r="M460" s="12" t="str">
        <x:v>A：机构统计／原始统计表</x:v>
      </x:c>
    </x:row>
    <x:row r="461" ht="72" customHeight="1">
      <x:c r="A461" t="n">
        <x:v>1971</x:v>
      </x:c>
      <x:c r="B461" t="str">
        <x:v>JPY</x:v>
      </x:c>
      <x:c r="C461" s="12" t="str">
        <x:v>日元（JPY）</x:v>
      </x:c>
      <x:c r="D461" s="24" t="n">
        <x:v>347.7857</x:v>
      </x:c>
      <x:c r="E461" s="20" t="str">
        <x:v>LCU/USD</x:v>
      </x:c>
      <x:c r="F461" s="20" t="n">
        <x:v>1</x:v>
      </x:c>
      <x:c r="G461" s="22" t="n">
        <x:f>IF(E461="LCU/USD",D461*F461,F461/D461)</x:f>
        <x:v>347.7857</x:v>
      </x:c>
      <x:c r="H461" s="12" t="str">
        <x:v>年均</x:v>
      </x:c>
      <x:c r="I461" s="12" t="str">
        <x:v>1971-01-01—1971-12-31</x:v>
      </x:c>
      <x:c r="J461" s="12" t="str">
        <x:v>FRB_JPY</x:v>
      </x:c>
      <x:c r="K461" s="12" t="str">
        <x:v>https://fred.stlouisfed.org/data/AEXJPUS</x:v>
      </x:c>
      <x:c r="L461" s="12" t="str"/>
      <x:c r="M461" s="12" t="str">
        <x:v>A：机构统计／原始统计表</x:v>
      </x:c>
    </x:row>
    <x:row r="462" ht="72" customHeight="1">
      <x:c r="A462" t="n">
        <x:v>1971</x:v>
      </x:c>
      <x:c r="B462" t="str">
        <x:v>CHF</x:v>
      </x:c>
      <x:c r="C462" s="12" t="str">
        <x:v>瑞士法郎（CHF）</x:v>
      </x:c>
      <x:c r="D462" s="24" t="n">
        <x:v>4.1171</x:v>
      </x:c>
      <x:c r="E462" s="20" t="str">
        <x:v>LCU/USD</x:v>
      </x:c>
      <x:c r="F462" s="20" t="n">
        <x:v>1</x:v>
      </x:c>
      <x:c r="G462" s="22" t="n">
        <x:f>IF(E462="LCU/USD",D462*F462,F462/D462)</x:f>
        <x:v>4.1171</x:v>
      </x:c>
      <x:c r="H462" s="12" t="str">
        <x:v>年均</x:v>
      </x:c>
      <x:c r="I462" s="12" t="str">
        <x:v>1971-01-01—1971-12-31</x:v>
      </x:c>
      <x:c r="J462" s="12" t="str">
        <x:v>FRB_CHF</x:v>
      </x:c>
      <x:c r="K462" s="12" t="str">
        <x:v>https://fred.stlouisfed.org/data/AEXSZUS</x:v>
      </x:c>
      <x:c r="L462" s="12" t="str"/>
      <x:c r="M462" s="12" t="str">
        <x:v>A：机构统计／原始统计表</x:v>
      </x:c>
    </x:row>
    <x:row r="463" ht="72" customHeight="1">
      <x:c r="A463" t="n">
        <x:v>1971</x:v>
      </x:c>
      <x:c r="B463" t="str">
        <x:v>INR</x:v>
      </x:c>
      <x:c r="C463" s="12" t="str">
        <x:v>印度卢比（INR）</x:v>
      </x:c>
      <x:c r="D463" s="24" t="n">
        <x:v>7.49193333333333</x:v>
      </x:c>
      <x:c r="E463" s="20" t="str">
        <x:v>LCU/USD</x:v>
      </x:c>
      <x:c r="F463" s="20" t="n">
        <x:v>1</x:v>
      </x:c>
      <x:c r="G463" s="22" t="n">
        <x:f>IF(E463="LCU/USD",D463*F463,F463/D463)</x:f>
        <x:v>7.49193333333333</x:v>
      </x:c>
      <x:c r="H463" s="12" t="str">
        <x:v>年均</x:v>
      </x:c>
      <x:c r="I463" s="12" t="str">
        <x:v>1971-01-01—1971-12-31</x:v>
      </x:c>
      <x:c r="J463" s="12" t="str">
        <x:v>OECD_INR</x:v>
      </x:c>
      <x:c r="K463" s="12" t="str">
        <x:v>https://fred.stlouisfed.org/data/CCUSMA02INA618N</x:v>
      </x:c>
      <x:c r="L463" s="12" t="str"/>
      <x:c r="M463" s="12" t="str">
        <x:v>A：机构统计／原始统计表</x:v>
      </x:c>
    </x:row>
    <x:row r="464" ht="72" customHeight="1">
      <x:c r="A464" t="n">
        <x:v>1971</x:v>
      </x:c>
      <x:c r="B464" t="str">
        <x:v>RUB</x:v>
      </x:c>
      <x:c r="C464" s="12" t="str">
        <x:v>苏联卢布（1961币制）</x:v>
      </x:c>
      <x:c r="D464" s="24" t="n">
        <x:v>0.9</x:v>
      </x:c>
      <x:c r="E464" s="20" t="str">
        <x:v>LCU/USD</x:v>
      </x:c>
      <x:c r="F464" s="20" t="n">
        <x:v>1</x:v>
      </x:c>
      <x:c r="G464" s="22" t="n">
        <x:f>IF(E464="LCU/USD",D464*F464,F464/D464)</x:f>
        <x:v>0.9</x:v>
      </x:c>
      <x:c r="H464" s="12" t="str">
        <x:v>定点官价参考（非年均）</x:v>
      </x:c>
      <x:c r="I464" s="12" t="str">
        <x:v>1971-12-01</x:v>
      </x:c>
      <x:c r="J464" s="12" t="str">
        <x:v>SUR_OFFICIAL_SECONDARY</x:v>
      </x:c>
      <x:c r="K464" s="12" t="str">
        <x:v>https://en.wikipedia.org/wiki/Soviet_ruble#Exchange_rates</x:v>
      </x:c>
      <x:c r="L464" s="12" t="str">
        <x:v>选取源表该年最早列出的日期，不代表该年平均、全年固定价或统一可成交价；原档案未复核。</x:v>
      </x:c>
      <x:c r="M464" s="12" t="str">
        <x:v>C：二手转引（原档未复核）</x:v>
      </x:c>
    </x:row>
    <x:row r="465" ht="72" customHeight="1">
      <x:c r="A465" t="n">
        <x:v>1971</x:v>
      </x:c>
      <x:c r="B465" t="str">
        <x:v>CNY</x:v>
      </x:c>
      <x:c r="C465" s="12" t="str">
        <x:v>人民币元（1955币制；CNY）</x:v>
      </x:c>
      <x:c r="D465" s="24" t="n">
        <x:v>2.462</x:v>
      </x:c>
      <x:c r="E465" s="20" t="str">
        <x:v>LCU/USD</x:v>
      </x:c>
      <x:c r="F465" s="20" t="n">
        <x:v>1</x:v>
      </x:c>
      <x:c r="G465" s="22" t="n">
        <x:f>IF(E465="LCU/USD",D465*F465,F465/D465)</x:f>
        <x:v>2.462</x:v>
      </x:c>
      <x:c r="H465" s="12" t="str">
        <x:v>年均</x:v>
      </x:c>
      <x:c r="I465" s="12" t="str">
        <x:v>1971-01-01—1971-12-31</x:v>
      </x:c>
      <x:c r="J465" s="12" t="str">
        <x:v>OECD_CNY</x:v>
      </x:c>
      <x:c r="K465" s="12" t="str">
        <x:v>https://fred.stlouisfed.org/data/CCUSMA02CNA618N</x:v>
      </x:c>
      <x:c r="L465" s="12" t="str"/>
      <x:c r="M465" s="12" t="str">
        <x:v>A：机构统计／原始统计表</x:v>
      </x:c>
    </x:row>
    <x:row r="466" ht="72" customHeight="1">
      <x:c r="A466" t="n">
        <x:v>1972</x:v>
      </x:c>
      <x:c r="B466" t="str">
        <x:v>GBP</x:v>
      </x:c>
      <x:c r="C466" s="12" t="str">
        <x:v>英镑（GBP）</x:v>
      </x:c>
      <x:c r="D466" s="24" t="n">
        <x:v>2.5034</x:v>
      </x:c>
      <x:c r="E466" s="20" t="str">
        <x:v>USD/LCU</x:v>
      </x:c>
      <x:c r="F466" s="20" t="n">
        <x:v>1</x:v>
      </x:c>
      <x:c r="G466" s="22" t="n">
        <x:f>IF(E466="LCU/USD",D466*F466,F466/D466)</x:f>
        <x:v>0.3994567388351841</x:v>
      </x:c>
      <x:c r="H466" s="12" t="str">
        <x:v>年均</x:v>
      </x:c>
      <x:c r="I466" s="12" t="str">
        <x:v>1972-01-01—1972-12-31</x:v>
      </x:c>
      <x:c r="J466" s="12" t="str">
        <x:v>FRB_GBP</x:v>
      </x:c>
      <x:c r="K466" s="12" t="str">
        <x:v>https://fred.stlouisfed.org/data/AEXUSUK</x:v>
      </x:c>
      <x:c r="L466" s="12" t="str">
        <x:v>反向值由原报价均值取倒数；不等于反向日度汇率的算术平均。</x:v>
      </x:c>
      <x:c r="M466" s="12" t="str">
        <x:v>A：机构统计／原始统计表</x:v>
      </x:c>
    </x:row>
    <x:row r="467" ht="72" customHeight="1">
      <x:c r="A467" t="n">
        <x:v>1972</x:v>
      </x:c>
      <x:c r="B467" t="str">
        <x:v>CAD</x:v>
      </x:c>
      <x:c r="C467" s="12" t="str">
        <x:v>加拿大元（CAD）</x:v>
      </x:c>
      <x:c r="D467" s="24" t="n">
        <x:v>0.9907</x:v>
      </x:c>
      <x:c r="E467" s="20" t="str">
        <x:v>LCU/USD</x:v>
      </x:c>
      <x:c r="F467" s="20" t="n">
        <x:v>1</x:v>
      </x:c>
      <x:c r="G467" s="22" t="n">
        <x:f>IF(E467="LCU/USD",D467*F467,F467/D467)</x:f>
        <x:v>0.9907</x:v>
      </x:c>
      <x:c r="H467" s="12" t="str">
        <x:v>年均</x:v>
      </x:c>
      <x:c r="I467" s="12" t="str">
        <x:v>1972-01-01—1972-12-31</x:v>
      </x:c>
      <x:c r="J467" s="12" t="str">
        <x:v>FRB_CAD</x:v>
      </x:c>
      <x:c r="K467" s="12" t="str">
        <x:v>https://fred.stlouisfed.org/data/AEXCAUS</x:v>
      </x:c>
      <x:c r="L467" s="12" t="str"/>
      <x:c r="M467" s="12" t="str">
        <x:v>A：机构统计／原始统计表</x:v>
      </x:c>
    </x:row>
    <x:row r="468" ht="72" customHeight="1">
      <x:c r="A468" t="n">
        <x:v>1972</x:v>
      </x:c>
      <x:c r="B468" t="str">
        <x:v>FR</x:v>
      </x:c>
      <x:c r="C468" s="12" t="str">
        <x:v>法国法郎（FRF；1960币制）</x:v>
      </x:c>
      <x:c r="D468" s="24" t="n">
        <x:v>0.7689909552</x:v>
      </x:c>
      <x:c r="E468" s="20" t="str">
        <x:v>LCU/USD</x:v>
      </x:c>
      <x:c r="F468" s="20" t="n">
        <x:f>'币制说明'!$C$27</x:f>
        <x:v>6.55957</x:v>
      </x:c>
      <x:c r="G468" s="22" t="n">
        <x:f>IF(E468="LCU/USD",D468*F468,F468/D468)</x:f>
        <x:v>5.044250000001265</x:v>
      </x:c>
      <x:c r="H468" s="12" t="str">
        <x:v>年均</x:v>
      </x:c>
      <x:c r="I468" s="12" t="str">
        <x:v>1972-01-01—1972-12-31</x:v>
      </x:c>
      <x:c r="J468" s="12" t="str">
        <x:v>OECD_FR</x:v>
      </x:c>
      <x:c r="K468" s="12" t="str">
        <x:v>https://fred.stlouisfed.org/data/CCUSMA02FRA618N</x:v>
      </x:c>
      <x:c r="L468" s="12" t="str">
        <x:v>由欧元回溯单位还原当年本币；非当年实际欧元报价。 欧元回溯单位按不可撤销转换率还原；法国1960年前另乘100。</x:v>
      </x:c>
      <x:c r="M468" s="12" t="str">
        <x:v>A：机构统计／原始统计表</x:v>
      </x:c>
    </x:row>
    <x:row r="469" ht="72" customHeight="1">
      <x:c r="A469" t="n">
        <x:v>1972</x:v>
      </x:c>
      <x:c r="B469" t="str">
        <x:v>DE</x:v>
      </x:c>
      <x:c r="C469" s="12" t="str">
        <x:v>西德德国马克（DEM）</x:v>
      </x:c>
      <x:c r="D469" s="24" t="n">
        <x:v>1.6305098091</x:v>
      </x:c>
      <x:c r="E469" s="20" t="str">
        <x:v>LCU/USD</x:v>
      </x:c>
      <x:c r="F469" s="20" t="n">
        <x:f>'币制说明'!$C$28</x:f>
        <x:v>1.95583</x:v>
      </x:c>
      <x:c r="G469" s="22" t="n">
        <x:f>IF(E469="LCU/USD",D469*F469,F469/D469)</x:f>
        <x:v>3.188999999932053</x:v>
      </x:c>
      <x:c r="H469" s="12" t="str">
        <x:v>年均</x:v>
      </x:c>
      <x:c r="I469" s="12" t="str">
        <x:v>1972-01-01—1972-12-31</x:v>
      </x:c>
      <x:c r="J469" s="12" t="str">
        <x:v>OECD_DE</x:v>
      </x:c>
      <x:c r="K469" s="12" t="str">
        <x:v>https://fred.stlouisfed.org/data/CCUSMA02DEA618N</x:v>
      </x:c>
      <x:c r="L469" s="12" t="str">
        <x:v>由欧元回溯单位还原当年本币；非当年实际欧元报价。 欧元回溯单位按不可撤销转换率还原；法国1960年前另乘100。</x:v>
      </x:c>
      <x:c r="M469" s="12" t="str">
        <x:v>A：机构统计／原始统计表</x:v>
      </x:c>
    </x:row>
    <x:row r="470" ht="72" customHeight="1">
      <x:c r="A470" t="n">
        <x:v>1972</x:v>
      </x:c>
      <x:c r="B470" t="str">
        <x:v>IT</x:v>
      </x:c>
      <x:c r="C470" s="12" t="str">
        <x:v>意大利里拉（ITL）</x:v>
      </x:c>
      <x:c r="D470" s="24" t="n">
        <x:v>0.3012063142</x:v>
      </x:c>
      <x:c r="E470" s="20" t="str">
        <x:v>LCU/USD</x:v>
      </x:c>
      <x:c r="F470" s="20" t="n">
        <x:f>'币制说明'!$C$29</x:f>
        <x:v>1936.27</x:v>
      </x:c>
      <x:c r="G470" s="22" t="n">
        <x:f>IF(E470="LCU/USD",D470*F470,F470/D470)</x:f>
        <x:v>583.216749996034</x:v>
      </x:c>
      <x:c r="H470" s="12" t="str">
        <x:v>年均</x:v>
      </x:c>
      <x:c r="I470" s="12" t="str">
        <x:v>1972-01-01—1972-12-31</x:v>
      </x:c>
      <x:c r="J470" s="12" t="str">
        <x:v>OECD_IT</x:v>
      </x:c>
      <x:c r="K470" s="12" t="str">
        <x:v>https://fred.stlouisfed.org/data/CCUSMA02ITA618N</x:v>
      </x:c>
      <x:c r="L470" s="12" t="str">
        <x:v>由欧元回溯单位还原当年本币；非当年实际欧元报价。 欧元回溯单位按不可撤销转换率还原；法国1960年前另乘100。</x:v>
      </x:c>
      <x:c r="M470" s="12" t="str">
        <x:v>A：机构统计／原始统计表</x:v>
      </x:c>
    </x:row>
    <x:row r="471" ht="72" customHeight="1">
      <x:c r="A471" t="n">
        <x:v>1972</x:v>
      </x:c>
      <x:c r="B471" t="str">
        <x:v>JPY</x:v>
      </x:c>
      <x:c r="C471" s="12" t="str">
        <x:v>日元（JPY）</x:v>
      </x:c>
      <x:c r="D471" s="24" t="n">
        <x:v>303.125</x:v>
      </x:c>
      <x:c r="E471" s="20" t="str">
        <x:v>LCU/USD</x:v>
      </x:c>
      <x:c r="F471" s="20" t="n">
        <x:v>1</x:v>
      </x:c>
      <x:c r="G471" s="22" t="n">
        <x:f>IF(E471="LCU/USD",D471*F471,F471/D471)</x:f>
        <x:v>303.125</x:v>
      </x:c>
      <x:c r="H471" s="12" t="str">
        <x:v>年均</x:v>
      </x:c>
      <x:c r="I471" s="12" t="str">
        <x:v>1972-01-01—1972-12-31</x:v>
      </x:c>
      <x:c r="J471" s="12" t="str">
        <x:v>FRB_JPY</x:v>
      </x:c>
      <x:c r="K471" s="12" t="str">
        <x:v>https://fred.stlouisfed.org/data/AEXJPUS</x:v>
      </x:c>
      <x:c r="L471" s="12" t="str"/>
      <x:c r="M471" s="12" t="str">
        <x:v>A：机构统计／原始统计表</x:v>
      </x:c>
    </x:row>
    <x:row r="472" ht="72" customHeight="1">
      <x:c r="A472" t="n">
        <x:v>1972</x:v>
      </x:c>
      <x:c r="B472" t="str">
        <x:v>CHF</x:v>
      </x:c>
      <x:c r="C472" s="12" t="str">
        <x:v>瑞士法郎（CHF）</x:v>
      </x:c>
      <x:c r="D472" s="24" t="n">
        <x:v>3.8186</x:v>
      </x:c>
      <x:c r="E472" s="20" t="str">
        <x:v>LCU/USD</x:v>
      </x:c>
      <x:c r="F472" s="20" t="n">
        <x:v>1</x:v>
      </x:c>
      <x:c r="G472" s="22" t="n">
        <x:f>IF(E472="LCU/USD",D472*F472,F472/D472)</x:f>
        <x:v>3.8186</x:v>
      </x:c>
      <x:c r="H472" s="12" t="str">
        <x:v>年均</x:v>
      </x:c>
      <x:c r="I472" s="12" t="str">
        <x:v>1972-01-01—1972-12-31</x:v>
      </x:c>
      <x:c r="J472" s="12" t="str">
        <x:v>FRB_CHF</x:v>
      </x:c>
      <x:c r="K472" s="12" t="str">
        <x:v>https://fred.stlouisfed.org/data/AEXSZUS</x:v>
      </x:c>
      <x:c r="L472" s="12" t="str"/>
      <x:c r="M472" s="12" t="str">
        <x:v>A：机构统计／原始统计表</x:v>
      </x:c>
    </x:row>
    <x:row r="473" ht="72" customHeight="1">
      <x:c r="A473" t="n">
        <x:v>1972</x:v>
      </x:c>
      <x:c r="B473" t="str">
        <x:v>INR</x:v>
      </x:c>
      <x:c r="C473" s="12" t="str">
        <x:v>印度卢比（INR）</x:v>
      </x:c>
      <x:c r="D473" s="24" t="n">
        <x:v>7.59445833333333</x:v>
      </x:c>
      <x:c r="E473" s="20" t="str">
        <x:v>LCU/USD</x:v>
      </x:c>
      <x:c r="F473" s="20" t="n">
        <x:v>1</x:v>
      </x:c>
      <x:c r="G473" s="22" t="n">
        <x:f>IF(E473="LCU/USD",D473*F473,F473/D473)</x:f>
        <x:v>7.59445833333333</x:v>
      </x:c>
      <x:c r="H473" s="12" t="str">
        <x:v>年均</x:v>
      </x:c>
      <x:c r="I473" s="12" t="str">
        <x:v>1972-01-01—1972-12-31</x:v>
      </x:c>
      <x:c r="J473" s="12" t="str">
        <x:v>OECD_INR</x:v>
      </x:c>
      <x:c r="K473" s="12" t="str">
        <x:v>https://fred.stlouisfed.org/data/CCUSMA02INA618N</x:v>
      </x:c>
      <x:c r="L473" s="12" t="str"/>
      <x:c r="M473" s="12" t="str">
        <x:v>A：机构统计／原始统计表</x:v>
      </x:c>
    </x:row>
    <x:row r="474" ht="72" customHeight="1">
      <x:c r="A474" t="n">
        <x:v>1972</x:v>
      </x:c>
      <x:c r="B474" t="str">
        <x:v>RUB</x:v>
      </x:c>
      <x:c r="C474" s="12" t="str">
        <x:v>苏联卢布（1961币制）</x:v>
      </x:c>
      <x:c r="D474" s="24" t="n">
        <x:v>0.829</x:v>
      </x:c>
      <x:c r="E474" s="20" t="str">
        <x:v>LCU/USD</x:v>
      </x:c>
      <x:c r="F474" s="20" t="n">
        <x:v>1</x:v>
      </x:c>
      <x:c r="G474" s="22" t="n">
        <x:f>IF(E474="LCU/USD",D474*F474,F474/D474)</x:f>
        <x:v>0.829</x:v>
      </x:c>
      <x:c r="H474" s="12" t="str">
        <x:v>定点官价参考（非年均）</x:v>
      </x:c>
      <x:c r="I474" s="12" t="str">
        <x:v>1972-01-01</x:v>
      </x:c>
      <x:c r="J474" s="12" t="str">
        <x:v>SUR_OFFICIAL_SECONDARY</x:v>
      </x:c>
      <x:c r="K474" s="12" t="str">
        <x:v>https://en.wikipedia.org/wiki/Soviet_ruble#Exchange_rates</x:v>
      </x:c>
      <x:c r="L474" s="12" t="str">
        <x:v>选取源表该年最早列出的日期，不代表该年平均、全年固定价或统一可成交价；原档案未复核。</x:v>
      </x:c>
      <x:c r="M474" s="12" t="str">
        <x:v>C：二手转引（原档未复核）</x:v>
      </x:c>
    </x:row>
    <x:row r="475" ht="72" customHeight="1">
      <x:c r="A475" t="n">
        <x:v>1972</x:v>
      </x:c>
      <x:c r="B475" t="str">
        <x:v>CNY</x:v>
      </x:c>
      <x:c r="C475" s="12" t="str">
        <x:v>人民币元（1955币制；CNY）</x:v>
      </x:c>
      <x:c r="D475" s="24" t="n">
        <x:v>2.24475</x:v>
      </x:c>
      <x:c r="E475" s="20" t="str">
        <x:v>LCU/USD</x:v>
      </x:c>
      <x:c r="F475" s="20" t="n">
        <x:v>1</x:v>
      </x:c>
      <x:c r="G475" s="22" t="n">
        <x:f>IF(E475="LCU/USD",D475*F475,F475/D475)</x:f>
        <x:v>2.24475</x:v>
      </x:c>
      <x:c r="H475" s="12" t="str">
        <x:v>年均</x:v>
      </x:c>
      <x:c r="I475" s="12" t="str">
        <x:v>1972-01-01—1972-12-31</x:v>
      </x:c>
      <x:c r="J475" s="12" t="str">
        <x:v>OECD_CNY</x:v>
      </x:c>
      <x:c r="K475" s="12" t="str">
        <x:v>https://fred.stlouisfed.org/data/CCUSMA02CNA618N</x:v>
      </x:c>
      <x:c r="L475" s="12" t="str"/>
      <x:c r="M475" s="12" t="str">
        <x:v>A：机构统计／原始统计表</x:v>
      </x:c>
    </x:row>
    <x:row r="476" ht="72" customHeight="1">
      <x:c r="A476" t="n">
        <x:v>1973</x:v>
      </x:c>
      <x:c r="B476" t="str">
        <x:v>GBP</x:v>
      </x:c>
      <x:c r="C476" s="12" t="str">
        <x:v>英镑（GBP）</x:v>
      </x:c>
      <x:c r="D476" s="24" t="n">
        <x:v>2.4525</x:v>
      </x:c>
      <x:c r="E476" s="20" t="str">
        <x:v>USD/LCU</x:v>
      </x:c>
      <x:c r="F476" s="20" t="n">
        <x:v>1</x:v>
      </x:c>
      <x:c r="G476" s="22" t="n">
        <x:f>IF(E476="LCU/USD",D476*F476,F476/D476)</x:f>
        <x:v>0.4077471967380224</x:v>
      </x:c>
      <x:c r="H476" s="12" t="str">
        <x:v>年均</x:v>
      </x:c>
      <x:c r="I476" s="12" t="str">
        <x:v>1973-01-01—1973-12-31</x:v>
      </x:c>
      <x:c r="J476" s="12" t="str">
        <x:v>FRB_GBP</x:v>
      </x:c>
      <x:c r="K476" s="12" t="str">
        <x:v>https://fred.stlouisfed.org/data/AEXUSUK</x:v>
      </x:c>
      <x:c r="L476" s="12" t="str">
        <x:v>反向值由原报价均值取倒数；不等于反向日度汇率的算术平均。</x:v>
      </x:c>
      <x:c r="M476" s="12" t="str">
        <x:v>A：机构统计／原始统计表</x:v>
      </x:c>
    </x:row>
    <x:row r="477" ht="72" customHeight="1">
      <x:c r="A477" t="n">
        <x:v>1973</x:v>
      </x:c>
      <x:c r="B477" t="str">
        <x:v>CAD</x:v>
      </x:c>
      <x:c r="C477" s="12" t="str">
        <x:v>加拿大元（CAD）</x:v>
      </x:c>
      <x:c r="D477" s="24" t="n">
        <x:v>1.0002</x:v>
      </x:c>
      <x:c r="E477" s="20" t="str">
        <x:v>LCU/USD</x:v>
      </x:c>
      <x:c r="F477" s="20" t="n">
        <x:v>1</x:v>
      </x:c>
      <x:c r="G477" s="22" t="n">
        <x:f>IF(E477="LCU/USD",D477*F477,F477/D477)</x:f>
        <x:v>1.0002</x:v>
      </x:c>
      <x:c r="H477" s="12" t="str">
        <x:v>年均</x:v>
      </x:c>
      <x:c r="I477" s="12" t="str">
        <x:v>1973-01-01—1973-12-31</x:v>
      </x:c>
      <x:c r="J477" s="12" t="str">
        <x:v>FRB_CAD</x:v>
      </x:c>
      <x:c r="K477" s="12" t="str">
        <x:v>https://fred.stlouisfed.org/data/AEXCAUS</x:v>
      </x:c>
      <x:c r="L477" s="12" t="str"/>
      <x:c r="M477" s="12" t="str">
        <x:v>A：机构统计／原始统计表</x:v>
      </x:c>
    </x:row>
    <x:row r="478" ht="72" customHeight="1">
      <x:c r="A478" t="n">
        <x:v>1973</x:v>
      </x:c>
      <x:c r="B478" t="str">
        <x:v>FR</x:v>
      </x:c>
      <x:c r="C478" s="12" t="str">
        <x:v>法国法郎（FRF；1960币制）</x:v>
      </x:c>
      <x:c r="D478" s="24" t="n">
        <x:v>0.6789850554</x:v>
      </x:c>
      <x:c r="E478" s="20" t="str">
        <x:v>LCU/USD</x:v>
      </x:c>
      <x:c r="F478" s="20" t="n">
        <x:f>'币制说明'!$C$27</x:f>
        <x:v>6.55957</x:v>
      </x:c>
      <x:c r="G478" s="22" t="n">
        <x:f>IF(E478="LCU/USD",D478*F478,F478/D478)</x:f>
        <x:v>4.453849999850178</x:v>
      </x:c>
      <x:c r="H478" s="12" t="str">
        <x:v>年均</x:v>
      </x:c>
      <x:c r="I478" s="12" t="str">
        <x:v>1973-01-01—1973-12-31</x:v>
      </x:c>
      <x:c r="J478" s="12" t="str">
        <x:v>OECD_FR</x:v>
      </x:c>
      <x:c r="K478" s="12" t="str">
        <x:v>https://fred.stlouisfed.org/data/CCUSMA02FRA618N</x:v>
      </x:c>
      <x:c r="L478" s="12" t="str">
        <x:v>由欧元回溯单位还原当年本币；非当年实际欧元报价。 欧元回溯单位按不可撤销转换率还原；法国1960年前另乘100。</x:v>
      </x:c>
      <x:c r="M478" s="12" t="str">
        <x:v>A：机构统计／原始统计表</x:v>
      </x:c>
    </x:row>
    <x:row r="479" ht="72" customHeight="1">
      <x:c r="A479" t="n">
        <x:v>1973</x:v>
      </x:c>
      <x:c r="B479" t="str">
        <x:v>DE</x:v>
      </x:c>
      <x:c r="C479" s="12" t="str">
        <x:v>西德德国马克（DEM）</x:v>
      </x:c>
      <x:c r="D479" s="24" t="n">
        <x:v>1.3659588683</x:v>
      </x:c>
      <x:c r="E479" s="20" t="str">
        <x:v>LCU/USD</x:v>
      </x:c>
      <x:c r="F479" s="20" t="n">
        <x:f>'币制说明'!$C$28</x:f>
        <x:v>1.95583</x:v>
      </x:c>
      <x:c r="G479" s="22" t="n">
        <x:f>IF(E479="LCU/USD",D479*F479,F479/D479)</x:f>
        <x:v>2.6715833333871886</x:v>
      </x:c>
      <x:c r="H479" s="12" t="str">
        <x:v>年均</x:v>
      </x:c>
      <x:c r="I479" s="12" t="str">
        <x:v>1973-01-01—1973-12-31</x:v>
      </x:c>
      <x:c r="J479" s="12" t="str">
        <x:v>OECD_DE</x:v>
      </x:c>
      <x:c r="K479" s="12" t="str">
        <x:v>https://fred.stlouisfed.org/data/CCUSMA02DEA618N</x:v>
      </x:c>
      <x:c r="L479" s="12" t="str">
        <x:v>由欧元回溯单位还原当年本币；非当年实际欧元报价。 欧元回溯单位按不可撤销转换率还原；法国1960年前另乘100。</x:v>
      </x:c>
      <x:c r="M479" s="12" t="str">
        <x:v>A：机构统计／原始统计表</x:v>
      </x:c>
    </x:row>
    <x:row r="480" ht="72" customHeight="1">
      <x:c r="A480" t="n">
        <x:v>1973</x:v>
      </x:c>
      <x:c r="B480" t="str">
        <x:v>IT</x:v>
      </x:c>
      <x:c r="C480" s="12" t="str">
        <x:v>意大利里拉（ITL）</x:v>
      </x:c>
      <x:c r="D480" s="24" t="n">
        <x:v>0.3005729917</x:v>
      </x:c>
      <x:c r="E480" s="20" t="str">
        <x:v>LCU/USD</x:v>
      </x:c>
      <x:c r="F480" s="20" t="n">
        <x:f>'币制说明'!$C$29</x:f>
        <x:v>1936.27</x:v>
      </x:c>
      <x:c r="G480" s="22" t="n">
        <x:f>IF(E480="LCU/USD",D480*F480,F480/D480)</x:f>
        <x:v>581.990466638959</x:v>
      </x:c>
      <x:c r="H480" s="12" t="str">
        <x:v>年均</x:v>
      </x:c>
      <x:c r="I480" s="12" t="str">
        <x:v>1973-01-01—1973-12-31</x:v>
      </x:c>
      <x:c r="J480" s="12" t="str">
        <x:v>OECD_IT</x:v>
      </x:c>
      <x:c r="K480" s="12" t="str">
        <x:v>https://fred.stlouisfed.org/data/CCUSMA02ITA618N</x:v>
      </x:c>
      <x:c r="L480" s="12" t="str">
        <x:v>由欧元回溯单位还原当年本币；非当年实际欧元报价。 欧元回溯单位按不可撤销转换率还原；法国1960年前另乘100。</x:v>
      </x:c>
      <x:c r="M480" s="12" t="str">
        <x:v>A：机构统计／原始统计表</x:v>
      </x:c>
    </x:row>
    <x:row r="481" ht="72" customHeight="1">
      <x:c r="A481" t="n">
        <x:v>1973</x:v>
      </x:c>
      <x:c r="B481" t="str">
        <x:v>JPY</x:v>
      </x:c>
      <x:c r="C481" s="12" t="str">
        <x:v>日元（JPY）</x:v>
      </x:c>
      <x:c r="D481" s="24" t="n">
        <x:v>271.3055</x:v>
      </x:c>
      <x:c r="E481" s="20" t="str">
        <x:v>LCU/USD</x:v>
      </x:c>
      <x:c r="F481" s="20" t="n">
        <x:v>1</x:v>
      </x:c>
      <x:c r="G481" s="22" t="n">
        <x:f>IF(E481="LCU/USD",D481*F481,F481/D481)</x:f>
        <x:v>271.3055</x:v>
      </x:c>
      <x:c r="H481" s="12" t="str">
        <x:v>年均</x:v>
      </x:c>
      <x:c r="I481" s="12" t="str">
        <x:v>1973-01-01—1973-12-31</x:v>
      </x:c>
      <x:c r="J481" s="12" t="str">
        <x:v>FRB_JPY</x:v>
      </x:c>
      <x:c r="K481" s="12" t="str">
        <x:v>https://fred.stlouisfed.org/data/AEXJPUS</x:v>
      </x:c>
      <x:c r="L481" s="12" t="str"/>
      <x:c r="M481" s="12" t="str">
        <x:v>A：机构统计／原始统计表</x:v>
      </x:c>
    </x:row>
    <x:row r="482" ht="72" customHeight="1">
      <x:c r="A482" t="n">
        <x:v>1973</x:v>
      </x:c>
      <x:c r="B482" t="str">
        <x:v>CHF</x:v>
      </x:c>
      <x:c r="C482" s="12" t="str">
        <x:v>瑞士法郎（CHF）</x:v>
      </x:c>
      <x:c r="D482" s="24" t="n">
        <x:v>3.1688</x:v>
      </x:c>
      <x:c r="E482" s="20" t="str">
        <x:v>LCU/USD</x:v>
      </x:c>
      <x:c r="F482" s="20" t="n">
        <x:v>1</x:v>
      </x:c>
      <x:c r="G482" s="22" t="n">
        <x:f>IF(E482="LCU/USD",D482*F482,F482/D482)</x:f>
        <x:v>3.1688</x:v>
      </x:c>
      <x:c r="H482" s="12" t="str">
        <x:v>年均</x:v>
      </x:c>
      <x:c r="I482" s="12" t="str">
        <x:v>1973-01-01—1973-12-31</x:v>
      </x:c>
      <x:c r="J482" s="12" t="str">
        <x:v>FRB_CHF</x:v>
      </x:c>
      <x:c r="K482" s="12" t="str">
        <x:v>https://fred.stlouisfed.org/data/AEXSZUS</x:v>
      </x:c>
      <x:c r="L482" s="12" t="str"/>
      <x:c r="M482" s="12" t="str">
        <x:v>A：机构统计／原始统计表</x:v>
      </x:c>
    </x:row>
    <x:row r="483" ht="72" customHeight="1">
      <x:c r="A483" t="n">
        <x:v>1973</x:v>
      </x:c>
      <x:c r="B483" t="str">
        <x:v>INR</x:v>
      </x:c>
      <x:c r="C483" s="12" t="str">
        <x:v>印度卢比（INR）</x:v>
      </x:c>
      <x:c r="D483" s="24" t="n">
        <x:v>7.6541</x:v>
      </x:c>
      <x:c r="E483" s="20" t="str">
        <x:v>LCU/USD</x:v>
      </x:c>
      <x:c r="F483" s="20" t="n">
        <x:v>1</x:v>
      </x:c>
      <x:c r="G483" s="22" t="n">
        <x:f>IF(E483="LCU/USD",D483*F483,F483/D483)</x:f>
        <x:v>7.6541</x:v>
      </x:c>
      <x:c r="H483" s="12" t="str">
        <x:v>年均</x:v>
      </x:c>
      <x:c r="I483" s="12" t="str">
        <x:v>1973-01-01—1973-12-31</x:v>
      </x:c>
      <x:c r="J483" s="12" t="str">
        <x:v>FRB_INR</x:v>
      </x:c>
      <x:c r="K483" s="12" t="str">
        <x:v>https://fred.stlouisfed.org/data/AEXINUS</x:v>
      </x:c>
      <x:c r="L483" s="12" t="str"/>
      <x:c r="M483" s="12" t="str">
        <x:v>A：机构统计／原始统计表</x:v>
      </x:c>
    </x:row>
    <x:row r="484" ht="72" customHeight="1">
      <x:c r="A484" t="n">
        <x:v>1973</x:v>
      </x:c>
      <x:c r="B484" t="str">
        <x:v>RUB</x:v>
      </x:c>
      <x:c r="C484" s="12" t="str">
        <x:v>苏联卢布（1961币制）</x:v>
      </x:c>
      <x:c r="D484" s="24" t="n">
        <x:v>0.826</x:v>
      </x:c>
      <x:c r="E484" s="20" t="str">
        <x:v>LCU/USD</x:v>
      </x:c>
      <x:c r="F484" s="20" t="n">
        <x:v>1</x:v>
      </x:c>
      <x:c r="G484" s="22" t="n">
        <x:f>IF(E484="LCU/USD",D484*F484,F484/D484)</x:f>
        <x:v>0.826</x:v>
      </x:c>
      <x:c r="H484" s="12" t="str">
        <x:v>定点官价参考（非年均）</x:v>
      </x:c>
      <x:c r="I484" s="12" t="str">
        <x:v>1973-01-01</x:v>
      </x:c>
      <x:c r="J484" s="12" t="str">
        <x:v>SUR_OFFICIAL_SECONDARY</x:v>
      </x:c>
      <x:c r="K484" s="12" t="str">
        <x:v>https://en.wikipedia.org/wiki/Soviet_ruble#Exchange_rates</x:v>
      </x:c>
      <x:c r="L484" s="12" t="str">
        <x:v>选取源表该年最早列出的日期，不代表该年平均、全年固定价或统一可成交价；原档案未复核。</x:v>
      </x:c>
      <x:c r="M484" s="12" t="str">
        <x:v>C：二手转引（原档未复核）</x:v>
      </x:c>
    </x:row>
    <x:row r="485" ht="72" customHeight="1">
      <x:c r="A485" t="n">
        <x:v>1973</x:v>
      </x:c>
      <x:c r="B485" t="str">
        <x:v>CNY</x:v>
      </x:c>
      <x:c r="C485" s="12" t="str">
        <x:v>人民币元（1955币制；CNY）</x:v>
      </x:c>
      <x:c r="D485" s="24" t="n">
        <x:v>1.98925</x:v>
      </x:c>
      <x:c r="E485" s="20" t="str">
        <x:v>LCU/USD</x:v>
      </x:c>
      <x:c r="F485" s="20" t="n">
        <x:v>1</x:v>
      </x:c>
      <x:c r="G485" s="22" t="n">
        <x:f>IF(E485="LCU/USD",D485*F485,F485/D485)</x:f>
        <x:v>1.98925</x:v>
      </x:c>
      <x:c r="H485" s="12" t="str">
        <x:v>年均</x:v>
      </x:c>
      <x:c r="I485" s="12" t="str">
        <x:v>1973-01-01—1973-12-31</x:v>
      </x:c>
      <x:c r="J485" s="12" t="str">
        <x:v>OECD_CNY</x:v>
      </x:c>
      <x:c r="K485" s="12" t="str">
        <x:v>https://fred.stlouisfed.org/data/CCUSMA02CNA618N</x:v>
      </x:c>
      <x:c r="L485" s="12" t="str"/>
      <x:c r="M485" s="12" t="str">
        <x:v>A：机构统计／原始统计表</x:v>
      </x:c>
    </x:row>
    <x:row r="486" ht="72" customHeight="1">
      <x:c r="A486" t="n">
        <x:v>1974</x:v>
      </x:c>
      <x:c r="B486" t="str">
        <x:v>GBP</x:v>
      </x:c>
      <x:c r="C486" s="12" t="str">
        <x:v>英镑（GBP）</x:v>
      </x:c>
      <x:c r="D486" s="24" t="n">
        <x:v>2.3403</x:v>
      </x:c>
      <x:c r="E486" s="20" t="str">
        <x:v>USD/LCU</x:v>
      </x:c>
      <x:c r="F486" s="20" t="n">
        <x:v>1</x:v>
      </x:c>
      <x:c r="G486" s="22" t="n">
        <x:f>IF(E486="LCU/USD",D486*F486,F486/D486)</x:f>
        <x:v>0.4272956458573687</x:v>
      </x:c>
      <x:c r="H486" s="12" t="str">
        <x:v>年均</x:v>
      </x:c>
      <x:c r="I486" s="12" t="str">
        <x:v>1974-01-01—1974-12-31</x:v>
      </x:c>
      <x:c r="J486" s="12" t="str">
        <x:v>FRB_GBP</x:v>
      </x:c>
      <x:c r="K486" s="12" t="str">
        <x:v>https://fred.stlouisfed.org/data/AEXUSUK</x:v>
      </x:c>
      <x:c r="L486" s="12" t="str">
        <x:v>反向值由原报价均值取倒数；不等于反向日度汇率的算术平均。</x:v>
      </x:c>
      <x:c r="M486" s="12" t="str">
        <x:v>A：机构统计／原始统计表</x:v>
      </x:c>
    </x:row>
    <x:row r="487" ht="72" customHeight="1">
      <x:c r="A487" t="n">
        <x:v>1974</x:v>
      </x:c>
      <x:c r="B487" t="str">
        <x:v>CAD</x:v>
      </x:c>
      <x:c r="C487" s="12" t="str">
        <x:v>加拿大元（CAD）</x:v>
      </x:c>
      <x:c r="D487" s="24" t="n">
        <x:v>0.978</x:v>
      </x:c>
      <x:c r="E487" s="20" t="str">
        <x:v>LCU/USD</x:v>
      </x:c>
      <x:c r="F487" s="20" t="n">
        <x:v>1</x:v>
      </x:c>
      <x:c r="G487" s="22" t="n">
        <x:f>IF(E487="LCU/USD",D487*F487,F487/D487)</x:f>
        <x:v>0.978</x:v>
      </x:c>
      <x:c r="H487" s="12" t="str">
        <x:v>年均</x:v>
      </x:c>
      <x:c r="I487" s="12" t="str">
        <x:v>1974-01-01—1974-12-31</x:v>
      </x:c>
      <x:c r="J487" s="12" t="str">
        <x:v>FRB_CAD</x:v>
      </x:c>
      <x:c r="K487" s="12" t="str">
        <x:v>https://fred.stlouisfed.org/data/AEXCAUS</x:v>
      </x:c>
      <x:c r="L487" s="12" t="str"/>
      <x:c r="M487" s="12" t="str">
        <x:v>A：机构统计／原始统计表</x:v>
      </x:c>
    </x:row>
    <x:row r="488" ht="72" customHeight="1">
      <x:c r="A488" t="n">
        <x:v>1974</x:v>
      </x:c>
      <x:c r="B488" t="str">
        <x:v>FR</x:v>
      </x:c>
      <x:c r="C488" s="12" t="str">
        <x:v>法国法郎（FRF；1960币制）</x:v>
      </x:c>
      <x:c r="D488" s="24" t="n">
        <x:v>0.7331641657</x:v>
      </x:c>
      <x:c r="E488" s="20" t="str">
        <x:v>LCU/USD</x:v>
      </x:c>
      <x:c r="F488" s="20" t="n">
        <x:f>'币制说明'!$C$27</x:f>
        <x:v>6.55957</x:v>
      </x:c>
      <x:c r="G488" s="22" t="n">
        <x:f>IF(E488="LCU/USD",D488*F488,F488/D488)</x:f>
        <x:v>4.809241666400749</x:v>
      </x:c>
      <x:c r="H488" s="12" t="str">
        <x:v>年均</x:v>
      </x:c>
      <x:c r="I488" s="12" t="str">
        <x:v>1974-01-01—1974-12-31</x:v>
      </x:c>
      <x:c r="J488" s="12" t="str">
        <x:v>OECD_FR</x:v>
      </x:c>
      <x:c r="K488" s="12" t="str">
        <x:v>https://fred.stlouisfed.org/data/CCUSMA02FRA618N</x:v>
      </x:c>
      <x:c r="L488" s="12" t="str">
        <x:v>由欧元回溯单位还原当年本币；非当年实际欧元报价。 欧元回溯单位按不可撤销转换率还原；法国1960年前另乘100。</x:v>
      </x:c>
      <x:c r="M488" s="12" t="str">
        <x:v>A：机构统计／原始统计表</x:v>
      </x:c>
    </x:row>
    <x:row r="489" ht="72" customHeight="1">
      <x:c r="A489" t="n">
        <x:v>1974</x:v>
      </x:c>
      <x:c r="B489" t="str">
        <x:v>DE</x:v>
      </x:c>
      <x:c r="C489" s="12" t="str">
        <x:v>西德德国马克（DEM）</x:v>
      </x:c>
      <x:c r="D489" s="24" t="n">
        <x:v>1.3224010608</x:v>
      </x:c>
      <x:c r="E489" s="20" t="str">
        <x:v>LCU/USD</x:v>
      </x:c>
      <x:c r="F489" s="20" t="n">
        <x:f>'币制说明'!$C$28</x:f>
        <x:v>1.95583</x:v>
      </x:c>
      <x:c r="G489" s="22" t="n">
        <x:f>IF(E489="LCU/USD",D489*F489,F489/D489)</x:f>
        <x:v>2.586391666744464</x:v>
      </x:c>
      <x:c r="H489" s="12" t="str">
        <x:v>年均</x:v>
      </x:c>
      <x:c r="I489" s="12" t="str">
        <x:v>1974-01-01—1974-12-31</x:v>
      </x:c>
      <x:c r="J489" s="12" t="str">
        <x:v>OECD_DE</x:v>
      </x:c>
      <x:c r="K489" s="12" t="str">
        <x:v>https://fred.stlouisfed.org/data/CCUSMA02DEA618N</x:v>
      </x:c>
      <x:c r="L489" s="12" t="str">
        <x:v>由欧元回溯单位还原当年本币；非当年实际欧元报价。 欧元回溯单位按不可撤销转换率还原；法国1960年前另乘100。</x:v>
      </x:c>
      <x:c r="M489" s="12" t="str">
        <x:v>A：机构统计／原始统计表</x:v>
      </x:c>
    </x:row>
    <x:row r="490" ht="72" customHeight="1">
      <x:c r="A490" t="n">
        <x:v>1974</x:v>
      </x:c>
      <x:c r="B490" t="str">
        <x:v>IT</x:v>
      </x:c>
      <x:c r="C490" s="12" t="str">
        <x:v>意大利里拉（ITL）</x:v>
      </x:c>
      <x:c r="D490" s="24" t="n">
        <x:v>0.3358633954</x:v>
      </x:c>
      <x:c r="E490" s="20" t="str">
        <x:v>LCU/USD</x:v>
      </x:c>
      <x:c r="F490" s="20" t="n">
        <x:f>'币制说明'!$C$29</x:f>
        <x:v>1936.27</x:v>
      </x:c>
      <x:c r="G490" s="22" t="n">
        <x:f>IF(E490="LCU/USD",D490*F490,F490/D490)</x:f>
        <x:v>650.322216611158</x:v>
      </x:c>
      <x:c r="H490" s="12" t="str">
        <x:v>年均</x:v>
      </x:c>
      <x:c r="I490" s="12" t="str">
        <x:v>1974-01-01—1974-12-31</x:v>
      </x:c>
      <x:c r="J490" s="12" t="str">
        <x:v>OECD_IT</x:v>
      </x:c>
      <x:c r="K490" s="12" t="str">
        <x:v>https://fred.stlouisfed.org/data/CCUSMA02ITA618N</x:v>
      </x:c>
      <x:c r="L490" s="12" t="str">
        <x:v>由欧元回溯单位还原当年本币；非当年实际欧元报价。 欧元回溯单位按不可撤销转换率还原；法国1960年前另乘100。</x:v>
      </x:c>
      <x:c r="M490" s="12" t="str">
        <x:v>A：机构统计／原始统计表</x:v>
      </x:c>
    </x:row>
    <x:row r="491" ht="72" customHeight="1">
      <x:c r="A491" t="n">
        <x:v>1974</x:v>
      </x:c>
      <x:c r="B491" t="str">
        <x:v>JPY</x:v>
      </x:c>
      <x:c r="C491" s="12" t="str">
        <x:v>日元（JPY）</x:v>
      </x:c>
      <x:c r="D491" s="24" t="n">
        <x:v>291.8446</x:v>
      </x:c>
      <x:c r="E491" s="20" t="str">
        <x:v>LCU/USD</x:v>
      </x:c>
      <x:c r="F491" s="20" t="n">
        <x:v>1</x:v>
      </x:c>
      <x:c r="G491" s="22" t="n">
        <x:f>IF(E491="LCU/USD",D491*F491,F491/D491)</x:f>
        <x:v>291.8446</x:v>
      </x:c>
      <x:c r="H491" s="12" t="str">
        <x:v>年均</x:v>
      </x:c>
      <x:c r="I491" s="12" t="str">
        <x:v>1974-01-01—1974-12-31</x:v>
      </x:c>
      <x:c r="J491" s="12" t="str">
        <x:v>FRB_JPY</x:v>
      </x:c>
      <x:c r="K491" s="12" t="str">
        <x:v>https://fred.stlouisfed.org/data/AEXJPUS</x:v>
      </x:c>
      <x:c r="L491" s="12" t="str"/>
      <x:c r="M491" s="12" t="str">
        <x:v>A：机构统计／原始统计表</x:v>
      </x:c>
    </x:row>
    <x:row r="492" ht="72" customHeight="1">
      <x:c r="A492" t="n">
        <x:v>1974</x:v>
      </x:c>
      <x:c r="B492" t="str">
        <x:v>CHF</x:v>
      </x:c>
      <x:c r="C492" s="12" t="str">
        <x:v>瑞士法郎（CHF）</x:v>
      </x:c>
      <x:c r="D492" s="24" t="n">
        <x:v>2.9805</x:v>
      </x:c>
      <x:c r="E492" s="20" t="str">
        <x:v>LCU/USD</x:v>
      </x:c>
      <x:c r="F492" s="20" t="n">
        <x:v>1</x:v>
      </x:c>
      <x:c r="G492" s="22" t="n">
        <x:f>IF(E492="LCU/USD",D492*F492,F492/D492)</x:f>
        <x:v>2.9805</x:v>
      </x:c>
      <x:c r="H492" s="12" t="str">
        <x:v>年均</x:v>
      </x:c>
      <x:c r="I492" s="12" t="str">
        <x:v>1974-01-01—1974-12-31</x:v>
      </x:c>
      <x:c r="J492" s="12" t="str">
        <x:v>FRB_CHF</x:v>
      </x:c>
      <x:c r="K492" s="12" t="str">
        <x:v>https://fred.stlouisfed.org/data/AEXSZUS</x:v>
      </x:c>
      <x:c r="L492" s="12" t="str"/>
      <x:c r="M492" s="12" t="str">
        <x:v>A：机构统计／原始统计表</x:v>
      </x:c>
    </x:row>
    <x:row r="493" ht="72" customHeight="1">
      <x:c r="A493" t="n">
        <x:v>1974</x:v>
      </x:c>
      <x:c r="B493" t="str">
        <x:v>INR</x:v>
      </x:c>
      <x:c r="C493" s="12" t="str">
        <x:v>印度卢比（INR）</x:v>
      </x:c>
      <x:c r="D493" s="24" t="n">
        <x:v>8.0289</x:v>
      </x:c>
      <x:c r="E493" s="20" t="str">
        <x:v>LCU/USD</x:v>
      </x:c>
      <x:c r="F493" s="20" t="n">
        <x:v>1</x:v>
      </x:c>
      <x:c r="G493" s="22" t="n">
        <x:f>IF(E493="LCU/USD",D493*F493,F493/D493)</x:f>
        <x:v>8.0289</x:v>
      </x:c>
      <x:c r="H493" s="12" t="str">
        <x:v>年均</x:v>
      </x:c>
      <x:c r="I493" s="12" t="str">
        <x:v>1974-01-01—1974-12-31</x:v>
      </x:c>
      <x:c r="J493" s="12" t="str">
        <x:v>FRB_INR</x:v>
      </x:c>
      <x:c r="K493" s="12" t="str">
        <x:v>https://fred.stlouisfed.org/data/AEXINUS</x:v>
      </x:c>
      <x:c r="L493" s="12" t="str"/>
      <x:c r="M493" s="12" t="str">
        <x:v>A：机构统计／原始统计表</x:v>
      </x:c>
    </x:row>
    <x:row r="494" ht="72" customHeight="1">
      <x:c r="A494" t="n">
        <x:v>1974</x:v>
      </x:c>
      <x:c r="B494" t="str">
        <x:v>RUB</x:v>
      </x:c>
      <x:c r="C494" s="12" t="str">
        <x:v>苏联卢布（1961币制）</x:v>
      </x:c>
      <x:c r="D494" s="24" t="n">
        <x:v>0.7536</x:v>
      </x:c>
      <x:c r="E494" s="20" t="str">
        <x:v>LCU/USD</x:v>
      </x:c>
      <x:c r="F494" s="20" t="n">
        <x:v>1</x:v>
      </x:c>
      <x:c r="G494" s="22" t="n">
        <x:f>IF(E494="LCU/USD",D494*F494,F494/D494)</x:f>
        <x:v>0.7536</x:v>
      </x:c>
      <x:c r="H494" s="12" t="str">
        <x:v>定点官价参考（非年均）</x:v>
      </x:c>
      <x:c r="I494" s="12" t="str">
        <x:v>1974-01-01</x:v>
      </x:c>
      <x:c r="J494" s="12" t="str">
        <x:v>SUR_OFFICIAL_SECONDARY</x:v>
      </x:c>
      <x:c r="K494" s="12" t="str">
        <x:v>https://en.wikipedia.org/wiki/Soviet_ruble#Exchange_rates</x:v>
      </x:c>
      <x:c r="L494" s="12" t="str">
        <x:v>选取源表该年最早列出的日期，不代表该年平均、全年固定价或统一可成交价；原档案未复核。</x:v>
      </x:c>
      <x:c r="M494" s="12" t="str">
        <x:v>C：二手转引（原档未复核）</x:v>
      </x:c>
    </x:row>
    <x:row r="495" ht="72" customHeight="1">
      <x:c r="A495" t="n">
        <x:v>1974</x:v>
      </x:c>
      <x:c r="B495" t="str">
        <x:v>CNY</x:v>
      </x:c>
      <x:c r="C495" s="12" t="str">
        <x:v>人民币元（1955币制；CNY）</x:v>
      </x:c>
      <x:c r="D495" s="24" t="n">
        <x:v>1.96116666666667</x:v>
      </x:c>
      <x:c r="E495" s="20" t="str">
        <x:v>LCU/USD</x:v>
      </x:c>
      <x:c r="F495" s="20" t="n">
        <x:v>1</x:v>
      </x:c>
      <x:c r="G495" s="22" t="n">
        <x:f>IF(E495="LCU/USD",D495*F495,F495/D495)</x:f>
        <x:v>1.96116666666667</x:v>
      </x:c>
      <x:c r="H495" s="12" t="str">
        <x:v>年均</x:v>
      </x:c>
      <x:c r="I495" s="12" t="str">
        <x:v>1974-01-01—1974-12-31</x:v>
      </x:c>
      <x:c r="J495" s="12" t="str">
        <x:v>OECD_CNY</x:v>
      </x:c>
      <x:c r="K495" s="12" t="str">
        <x:v>https://fred.stlouisfed.org/data/CCUSMA02CNA618N</x:v>
      </x:c>
      <x:c r="L495" s="12" t="str"/>
      <x:c r="M495" s="12" t="str">
        <x:v>A：机构统计／原始统计表</x:v>
      </x:c>
    </x:row>
    <x:row r="496" ht="72" customHeight="1">
      <x:c r="A496" t="n">
        <x:v>1975</x:v>
      </x:c>
      <x:c r="B496" t="str">
        <x:v>GBP</x:v>
      </x:c>
      <x:c r="C496" s="12" t="str">
        <x:v>英镑（GBP）</x:v>
      </x:c>
      <x:c r="D496" s="24" t="n">
        <x:v>2.2217</x:v>
      </x:c>
      <x:c r="E496" s="20" t="str">
        <x:v>USD/LCU</x:v>
      </x:c>
      <x:c r="F496" s="20" t="n">
        <x:v>1</x:v>
      </x:c>
      <x:c r="G496" s="22" t="n">
        <x:f>IF(E496="LCU/USD",D496*F496,F496/D496)</x:f>
        <x:v>0.45010577485709147</x:v>
      </x:c>
      <x:c r="H496" s="12" t="str">
        <x:v>年均</x:v>
      </x:c>
      <x:c r="I496" s="12" t="str">
        <x:v>1975-01-01—1975-12-31</x:v>
      </x:c>
      <x:c r="J496" s="12" t="str">
        <x:v>FRB_GBP</x:v>
      </x:c>
      <x:c r="K496" s="12" t="str">
        <x:v>https://fred.stlouisfed.org/data/AEXUSUK</x:v>
      </x:c>
      <x:c r="L496" s="12" t="str">
        <x:v>反向值由原报价均值取倒数；不等于反向日度汇率的算术平均。</x:v>
      </x:c>
      <x:c r="M496" s="12" t="str">
        <x:v>A：机构统计／原始统计表</x:v>
      </x:c>
    </x:row>
    <x:row r="497" ht="72" customHeight="1">
      <x:c r="A497" t="n">
        <x:v>1975</x:v>
      </x:c>
      <x:c r="B497" t="str">
        <x:v>CAD</x:v>
      </x:c>
      <x:c r="C497" s="12" t="str">
        <x:v>加拿大元（CAD）</x:v>
      </x:c>
      <x:c r="D497" s="24" t="n">
        <x:v>1.0175</x:v>
      </x:c>
      <x:c r="E497" s="20" t="str">
        <x:v>LCU/USD</x:v>
      </x:c>
      <x:c r="F497" s="20" t="n">
        <x:v>1</x:v>
      </x:c>
      <x:c r="G497" s="22" t="n">
        <x:f>IF(E497="LCU/USD",D497*F497,F497/D497)</x:f>
        <x:v>1.0175</x:v>
      </x:c>
      <x:c r="H497" s="12" t="str">
        <x:v>年均</x:v>
      </x:c>
      <x:c r="I497" s="12" t="str">
        <x:v>1975-01-01—1975-12-31</x:v>
      </x:c>
      <x:c r="J497" s="12" t="str">
        <x:v>FRB_CAD</x:v>
      </x:c>
      <x:c r="K497" s="12" t="str">
        <x:v>https://fred.stlouisfed.org/data/AEXCAUS</x:v>
      </x:c>
      <x:c r="L497" s="12" t="str"/>
      <x:c r="M497" s="12" t="str">
        <x:v>A：机构统计／原始统计表</x:v>
      </x:c>
    </x:row>
    <x:row r="498" ht="72" customHeight="1">
      <x:c r="A498" t="n">
        <x:v>1975</x:v>
      </x:c>
      <x:c r="B498" t="str">
        <x:v>FR</x:v>
      </x:c>
      <x:c r="C498" s="12" t="str">
        <x:v>法国法郎（FRF；1960币制）</x:v>
      </x:c>
      <x:c r="D498" s="24" t="n">
        <x:v>0.6535832379</x:v>
      </x:c>
      <x:c r="E498" s="20" t="str">
        <x:v>LCU/USD</x:v>
      </x:c>
      <x:c r="F498" s="20" t="n">
        <x:f>'币制说明'!$C$27</x:f>
        <x:v>6.55957</x:v>
      </x:c>
      <x:c r="G498" s="22" t="n">
        <x:f>IF(E498="LCU/USD",D498*F498,F498/D498)</x:f>
        <x:v>4.287224999831703</x:v>
      </x:c>
      <x:c r="H498" s="12" t="str">
        <x:v>年均</x:v>
      </x:c>
      <x:c r="I498" s="12" t="str">
        <x:v>1975-01-01—1975-12-31</x:v>
      </x:c>
      <x:c r="J498" s="12" t="str">
        <x:v>OECD_FR</x:v>
      </x:c>
      <x:c r="K498" s="12" t="str">
        <x:v>https://fred.stlouisfed.org/data/CCUSMA02FRA618N</x:v>
      </x:c>
      <x:c r="L498" s="12" t="str">
        <x:v>由欧元回溯单位还原当年本币；非当年实际欧元报价。 欧元回溯单位按不可撤销转换率还原；法国1960年前另乘100。</x:v>
      </x:c>
      <x:c r="M498" s="12" t="str">
        <x:v>A：机构统计／原始统计表</x:v>
      </x:c>
    </x:row>
    <x:row r="499" ht="72" customHeight="1">
      <x:c r="A499" t="n">
        <x:v>1975</x:v>
      </x:c>
      <x:c r="B499" t="str">
        <x:v>DE</x:v>
      </x:c>
      <x:c r="C499" s="12" t="str">
        <x:v>西德德国马克（DEM）</x:v>
      </x:c>
      <x:c r="D499" s="24" t="n">
        <x:v>1.2579655014</x:v>
      </x:c>
      <x:c r="E499" s="20" t="str">
        <x:v>LCU/USD</x:v>
      </x:c>
      <x:c r="F499" s="20" t="n">
        <x:f>'币制说明'!$C$28</x:f>
        <x:v>1.95583</x:v>
      </x:c>
      <x:c r="G499" s="22" t="n">
        <x:f>IF(E499="LCU/USD",D499*F499,F499/D499)</x:f>
        <x:v>2.460366666603162</x:v>
      </x:c>
      <x:c r="H499" s="12" t="str">
        <x:v>年均</x:v>
      </x:c>
      <x:c r="I499" s="12" t="str">
        <x:v>1975-01-01—1975-12-31</x:v>
      </x:c>
      <x:c r="J499" s="12" t="str">
        <x:v>OECD_DE</x:v>
      </x:c>
      <x:c r="K499" s="12" t="str">
        <x:v>https://fred.stlouisfed.org/data/CCUSMA02DEA618N</x:v>
      </x:c>
      <x:c r="L499" s="12" t="str">
        <x:v>由欧元回溯单位还原当年本币；非当年实际欧元报价。 欧元回溯单位按不可撤销转换率还原；法国1960年前另乘100。</x:v>
      </x:c>
      <x:c r="M499" s="12" t="str">
        <x:v>A：机构统计／原始统计表</x:v>
      </x:c>
    </x:row>
    <x:row r="500" ht="72" customHeight="1">
      <x:c r="A500" t="n">
        <x:v>1975</x:v>
      </x:c>
      <x:c r="B500" t="str">
        <x:v>IT</x:v>
      </x:c>
      <x:c r="C500" s="12" t="str">
        <x:v>意大利里拉（ITL）</x:v>
      </x:c>
      <x:c r="D500" s="24" t="n">
        <x:v>0.3371014889</x:v>
      </x:c>
      <x:c r="E500" s="20" t="str">
        <x:v>LCU/USD</x:v>
      </x:c>
      <x:c r="F500" s="20" t="n">
        <x:f>'币制说明'!$C$29</x:f>
        <x:v>1936.27</x:v>
      </x:c>
      <x:c r="G500" s="22" t="n">
        <x:f>IF(E500="LCU/USD",D500*F500,F500/D500)</x:f>
        <x:v>652.7194999124031</x:v>
      </x:c>
      <x:c r="H500" s="12" t="str">
        <x:v>年均</x:v>
      </x:c>
      <x:c r="I500" s="12" t="str">
        <x:v>1975-01-01—1975-12-31</x:v>
      </x:c>
      <x:c r="J500" s="12" t="str">
        <x:v>OECD_IT</x:v>
      </x:c>
      <x:c r="K500" s="12" t="str">
        <x:v>https://fred.stlouisfed.org/data/CCUSMA02ITA618N</x:v>
      </x:c>
      <x:c r="L500" s="12" t="str">
        <x:v>由欧元回溯单位还原当年本币；非当年实际欧元报价。 欧元回溯单位按不可撤销转换率还原；法国1960年前另乘100。</x:v>
      </x:c>
      <x:c r="M500" s="12" t="str">
        <x:v>A：机构统计／原始统计表</x:v>
      </x:c>
    </x:row>
    <x:row r="501" ht="72" customHeight="1">
      <x:c r="A501" t="n">
        <x:v>1975</x:v>
      </x:c>
      <x:c r="B501" t="str">
        <x:v>JPY</x:v>
      </x:c>
      <x:c r="C501" s="12" t="str">
        <x:v>日元（JPY）</x:v>
      </x:c>
      <x:c r="D501" s="24" t="n">
        <x:v>296.7849</x:v>
      </x:c>
      <x:c r="E501" s="20" t="str">
        <x:v>LCU/USD</x:v>
      </x:c>
      <x:c r="F501" s="20" t="n">
        <x:v>1</x:v>
      </x:c>
      <x:c r="G501" s="22" t="n">
        <x:f>IF(E501="LCU/USD",D501*F501,F501/D501)</x:f>
        <x:v>296.7849</x:v>
      </x:c>
      <x:c r="H501" s="12" t="str">
        <x:v>年均</x:v>
      </x:c>
      <x:c r="I501" s="12" t="str">
        <x:v>1975-01-01—1975-12-31</x:v>
      </x:c>
      <x:c r="J501" s="12" t="str">
        <x:v>FRB_JPY</x:v>
      </x:c>
      <x:c r="K501" s="12" t="str">
        <x:v>https://fred.stlouisfed.org/data/AEXJPUS</x:v>
      </x:c>
      <x:c r="L501" s="12" t="str"/>
      <x:c r="M501" s="12" t="str">
        <x:v>A：机构统计／原始统计表</x:v>
      </x:c>
    </x:row>
    <x:row r="502" ht="72" customHeight="1">
      <x:c r="A502" t="n">
        <x:v>1975</x:v>
      </x:c>
      <x:c r="B502" t="str">
        <x:v>CHF</x:v>
      </x:c>
      <x:c r="C502" s="12" t="str">
        <x:v>瑞士法郎（CHF）</x:v>
      </x:c>
      <x:c r="D502" s="24" t="n">
        <x:v>2.5839</x:v>
      </x:c>
      <x:c r="E502" s="20" t="str">
        <x:v>LCU/USD</x:v>
      </x:c>
      <x:c r="F502" s="20" t="n">
        <x:v>1</x:v>
      </x:c>
      <x:c r="G502" s="22" t="n">
        <x:f>IF(E502="LCU/USD",D502*F502,F502/D502)</x:f>
        <x:v>2.5839</x:v>
      </x:c>
      <x:c r="H502" s="12" t="str">
        <x:v>年均</x:v>
      </x:c>
      <x:c r="I502" s="12" t="str">
        <x:v>1975-01-01—1975-12-31</x:v>
      </x:c>
      <x:c r="J502" s="12" t="str">
        <x:v>FRB_CHF</x:v>
      </x:c>
      <x:c r="K502" s="12" t="str">
        <x:v>https://fred.stlouisfed.org/data/AEXSZUS</x:v>
      </x:c>
      <x:c r="L502" s="12" t="str"/>
      <x:c r="M502" s="12" t="str">
        <x:v>A：机构统计／原始统计表</x:v>
      </x:c>
    </x:row>
    <x:row r="503" ht="72" customHeight="1">
      <x:c r="A503" t="n">
        <x:v>1975</x:v>
      </x:c>
      <x:c r="B503" t="str">
        <x:v>INR</x:v>
      </x:c>
      <x:c r="C503" s="12" t="str">
        <x:v>印度卢比（INR）</x:v>
      </x:c>
      <x:c r="D503" s="24" t="n">
        <x:v>8.4086</x:v>
      </x:c>
      <x:c r="E503" s="20" t="str">
        <x:v>LCU/USD</x:v>
      </x:c>
      <x:c r="F503" s="20" t="n">
        <x:v>1</x:v>
      </x:c>
      <x:c r="G503" s="22" t="n">
        <x:f>IF(E503="LCU/USD",D503*F503,F503/D503)</x:f>
        <x:v>8.4086</x:v>
      </x:c>
      <x:c r="H503" s="12" t="str">
        <x:v>年均</x:v>
      </x:c>
      <x:c r="I503" s="12" t="str">
        <x:v>1975-01-01—1975-12-31</x:v>
      </x:c>
      <x:c r="J503" s="12" t="str">
        <x:v>FRB_INR</x:v>
      </x:c>
      <x:c r="K503" s="12" t="str">
        <x:v>https://fred.stlouisfed.org/data/AEXINUS</x:v>
      </x:c>
      <x:c r="L503" s="12" t="str"/>
      <x:c r="M503" s="12" t="str">
        <x:v>A：机构统计／原始统计表</x:v>
      </x:c>
    </x:row>
    <x:row r="504" ht="72" customHeight="1">
      <x:c r="A504" t="n">
        <x:v>1975</x:v>
      </x:c>
      <x:c r="B504" t="str">
        <x:v>RUB</x:v>
      </x:c>
      <x:c r="C504" s="12" t="str">
        <x:v>苏联卢布（1961币制）</x:v>
      </x:c>
      <x:c r="D504" s="24" t="n">
        <x:v>0.73</x:v>
      </x:c>
      <x:c r="E504" s="20" t="str">
        <x:v>LCU/USD</x:v>
      </x:c>
      <x:c r="F504" s="20" t="n">
        <x:v>1</x:v>
      </x:c>
      <x:c r="G504" s="22" t="n">
        <x:f>IF(E504="LCU/USD",D504*F504,F504/D504)</x:f>
        <x:v>0.73</x:v>
      </x:c>
      <x:c r="H504" s="12" t="str">
        <x:v>定点官价参考（非年均）</x:v>
      </x:c>
      <x:c r="I504" s="12" t="str">
        <x:v>1975-01-01</x:v>
      </x:c>
      <x:c r="J504" s="12" t="str">
        <x:v>SUR_OFFICIAL_SECONDARY</x:v>
      </x:c>
      <x:c r="K504" s="12" t="str">
        <x:v>https://en.wikipedia.org/wiki/Soviet_ruble#Exchange_rates</x:v>
      </x:c>
      <x:c r="L504" s="12" t="str">
        <x:v>选取源表该年最早列出的日期，不代表该年平均、全年固定价或统一可成交价；原档案未复核。</x:v>
      </x:c>
      <x:c r="M504" s="12" t="str">
        <x:v>C：二手转引（原档未复核）</x:v>
      </x:c>
    </x:row>
    <x:row r="505" ht="72" customHeight="1">
      <x:c r="A505" t="n">
        <x:v>1975</x:v>
      </x:c>
      <x:c r="B505" t="str">
        <x:v>CNY</x:v>
      </x:c>
      <x:c r="C505" s="12" t="str">
        <x:v>人民币元（1955币制；CNY）</x:v>
      </x:c>
      <x:c r="D505" s="24" t="n">
        <x:v>1.85983333333333</x:v>
      </x:c>
      <x:c r="E505" s="20" t="str">
        <x:v>LCU/USD</x:v>
      </x:c>
      <x:c r="F505" s="20" t="n">
        <x:v>1</x:v>
      </x:c>
      <x:c r="G505" s="22" t="n">
        <x:f>IF(E505="LCU/USD",D505*F505,F505/D505)</x:f>
        <x:v>1.85983333333333</x:v>
      </x:c>
      <x:c r="H505" s="12" t="str">
        <x:v>年均</x:v>
      </x:c>
      <x:c r="I505" s="12" t="str">
        <x:v>1975-01-01—1975-12-31</x:v>
      </x:c>
      <x:c r="J505" s="12" t="str">
        <x:v>OECD_CNY</x:v>
      </x:c>
      <x:c r="K505" s="12" t="str">
        <x:v>https://fred.stlouisfed.org/data/CCUSMA02CNA618N</x:v>
      </x:c>
      <x:c r="L505" s="12" t="str"/>
      <x:c r="M505" s="12" t="str">
        <x:v>A：机构统计／原始统计表</x:v>
      </x:c>
    </x:row>
    <x:row r="506" ht="72" customHeight="1">
      <x:c r="A506" t="n">
        <x:v>1976</x:v>
      </x:c>
      <x:c r="B506" t="str">
        <x:v>GBP</x:v>
      </x:c>
      <x:c r="C506" s="12" t="str">
        <x:v>英镑（GBP）</x:v>
      </x:c>
      <x:c r="D506" s="24" t="n">
        <x:v>1.8048</x:v>
      </x:c>
      <x:c r="E506" s="20" t="str">
        <x:v>USD/LCU</x:v>
      </x:c>
      <x:c r="F506" s="20" t="n">
        <x:v>1</x:v>
      </x:c>
      <x:c r="G506" s="22" t="n">
        <x:f>IF(E506="LCU/USD",D506*F506,F506/D506)</x:f>
        <x:v>0.5540780141843972</x:v>
      </x:c>
      <x:c r="H506" s="12" t="str">
        <x:v>年均</x:v>
      </x:c>
      <x:c r="I506" s="12" t="str">
        <x:v>1976-01-01—1976-12-31</x:v>
      </x:c>
      <x:c r="J506" s="12" t="str">
        <x:v>FRB_GBP</x:v>
      </x:c>
      <x:c r="K506" s="12" t="str">
        <x:v>https://fred.stlouisfed.org/data/AEXUSUK</x:v>
      </x:c>
      <x:c r="L506" s="12" t="str">
        <x:v>反向值由原报价均值取倒数；不等于反向日度汇率的算术平均。</x:v>
      </x:c>
      <x:c r="M506" s="12" t="str">
        <x:v>A：机构统计／原始统计表</x:v>
      </x:c>
    </x:row>
    <x:row r="507" ht="72" customHeight="1">
      <x:c r="A507" t="n">
        <x:v>1976</x:v>
      </x:c>
      <x:c r="B507" t="str">
        <x:v>CAD</x:v>
      </x:c>
      <x:c r="C507" s="12" t="str">
        <x:v>加拿大元（CAD）</x:v>
      </x:c>
      <x:c r="D507" s="24" t="n">
        <x:v>0.9863</x:v>
      </x:c>
      <x:c r="E507" s="20" t="str">
        <x:v>LCU/USD</x:v>
      </x:c>
      <x:c r="F507" s="20" t="n">
        <x:v>1</x:v>
      </x:c>
      <x:c r="G507" s="22" t="n">
        <x:f>IF(E507="LCU/USD",D507*F507,F507/D507)</x:f>
        <x:v>0.9863</x:v>
      </x:c>
      <x:c r="H507" s="12" t="str">
        <x:v>年均</x:v>
      </x:c>
      <x:c r="I507" s="12" t="str">
        <x:v>1976-01-01—1976-12-31</x:v>
      </x:c>
      <x:c r="J507" s="12" t="str">
        <x:v>FRB_CAD</x:v>
      </x:c>
      <x:c r="K507" s="12" t="str">
        <x:v>https://fred.stlouisfed.org/data/AEXCAUS</x:v>
      </x:c>
      <x:c r="L507" s="12" t="str"/>
      <x:c r="M507" s="12" t="str">
        <x:v>A：机构统计／原始统计表</x:v>
      </x:c>
    </x:row>
    <x:row r="508" ht="72" customHeight="1">
      <x:c r="A508" t="n">
        <x:v>1976</x:v>
      </x:c>
      <x:c r="B508" t="str">
        <x:v>FR</x:v>
      </x:c>
      <x:c r="C508" s="12" t="str">
        <x:v>法国法郎（FRF；1960币制）</x:v>
      </x:c>
      <x:c r="D508" s="24" t="n">
        <x:v>0.7287571187</x:v>
      </x:c>
      <x:c r="E508" s="20" t="str">
        <x:v>LCU/USD</x:v>
      </x:c>
      <x:c r="F508" s="20" t="n">
        <x:f>'币制说明'!$C$27</x:f>
        <x:v>6.55957</x:v>
      </x:c>
      <x:c r="G508" s="22" t="n">
        <x:f>IF(E508="LCU/USD",D508*F508,F508/D508)</x:f>
        <x:v>4.780333333110959</x:v>
      </x:c>
      <x:c r="H508" s="12" t="str">
        <x:v>年均</x:v>
      </x:c>
      <x:c r="I508" s="12" t="str">
        <x:v>1976-01-01—1976-12-31</x:v>
      </x:c>
      <x:c r="J508" s="12" t="str">
        <x:v>OECD_FR</x:v>
      </x:c>
      <x:c r="K508" s="12" t="str">
        <x:v>https://fred.stlouisfed.org/data/CCUSMA02FRA618N</x:v>
      </x:c>
      <x:c r="L508" s="12" t="str">
        <x:v>由欧元回溯单位还原当年本币；非当年实际欧元报价。 欧元回溯单位按不可撤销转换率还原；法国1960年前另乘100。</x:v>
      </x:c>
      <x:c r="M508" s="12" t="str">
        <x:v>A：机构统计／原始统计表</x:v>
      </x:c>
    </x:row>
    <x:row r="509" ht="72" customHeight="1">
      <x:c r="A509" t="n">
        <x:v>1976</x:v>
      </x:c>
      <x:c r="B509" t="str">
        <x:v>DE</x:v>
      </x:c>
      <x:c r="C509" s="12" t="str">
        <x:v>西德德国马克（DEM）</x:v>
      </x:c>
      <x:c r="D509" s="24" t="n">
        <x:v>1.2877354712</x:v>
      </x:c>
      <x:c r="E509" s="20" t="str">
        <x:v>LCU/USD</x:v>
      </x:c>
      <x:c r="F509" s="20" t="n">
        <x:f>'币制说明'!$C$28</x:f>
        <x:v>1.95583</x:v>
      </x:c>
      <x:c r="G509" s="22" t="n">
        <x:f>IF(E509="LCU/USD",D509*F509,F509/D509)</x:f>
        <x:v>2.518591666637096</x:v>
      </x:c>
      <x:c r="H509" s="12" t="str">
        <x:v>年均</x:v>
      </x:c>
      <x:c r="I509" s="12" t="str">
        <x:v>1976-01-01—1976-12-31</x:v>
      </x:c>
      <x:c r="J509" s="12" t="str">
        <x:v>OECD_DE</x:v>
      </x:c>
      <x:c r="K509" s="12" t="str">
        <x:v>https://fred.stlouisfed.org/data/CCUSMA02DEA618N</x:v>
      </x:c>
      <x:c r="L509" s="12" t="str">
        <x:v>由欧元回溯单位还原当年本币；非当年实际欧元报价。 欧元回溯单位按不可撤销转换率还原；法国1960年前另乘100。</x:v>
      </x:c>
      <x:c r="M509" s="12" t="str">
        <x:v>A：机构统计／原始统计表</x:v>
      </x:c>
    </x:row>
    <x:row r="510" ht="72" customHeight="1">
      <x:c r="A510" t="n">
        <x:v>1976</x:v>
      </x:c>
      <x:c r="B510" t="str">
        <x:v>IT</x:v>
      </x:c>
      <x:c r="C510" s="12" t="str">
        <x:v>意大利里拉（ITL）</x:v>
      </x:c>
      <x:c r="D510" s="24" t="n">
        <x:v>0.4297624987</x:v>
      </x:c>
      <x:c r="E510" s="20" t="str">
        <x:v>LCU/USD</x:v>
      </x:c>
      <x:c r="F510" s="20" t="n">
        <x:f>'币制说明'!$C$29</x:f>
        <x:v>1936.27</x:v>
      </x:c>
      <x:c r="G510" s="22" t="n">
        <x:f>IF(E510="LCU/USD",D510*F510,F510/D510)</x:f>
        <x:v>832.1362333578489</x:v>
      </x:c>
      <x:c r="H510" s="12" t="str">
        <x:v>年均</x:v>
      </x:c>
      <x:c r="I510" s="12" t="str">
        <x:v>1976-01-01—1976-12-31</x:v>
      </x:c>
      <x:c r="J510" s="12" t="str">
        <x:v>OECD_IT</x:v>
      </x:c>
      <x:c r="K510" s="12" t="str">
        <x:v>https://fred.stlouisfed.org/data/CCUSMA02ITA618N</x:v>
      </x:c>
      <x:c r="L510" s="12" t="str">
        <x:v>由欧元回溯单位还原当年本币；非当年实际欧元报价。 欧元回溯单位按不可撤销转换率还原；法国1960年前另乘100。</x:v>
      </x:c>
      <x:c r="M510" s="12" t="str">
        <x:v>A：机构统计／原始统计表</x:v>
      </x:c>
    </x:row>
    <x:row r="511" ht="72" customHeight="1">
      <x:c r="A511" t="n">
        <x:v>1976</x:v>
      </x:c>
      <x:c r="B511" t="str">
        <x:v>JPY</x:v>
      </x:c>
      <x:c r="C511" s="12" t="str">
        <x:v>日元（JPY）</x:v>
      </x:c>
      <x:c r="D511" s="24" t="n">
        <x:v>296.4544</x:v>
      </x:c>
      <x:c r="E511" s="20" t="str">
        <x:v>LCU/USD</x:v>
      </x:c>
      <x:c r="F511" s="20" t="n">
        <x:v>1</x:v>
      </x:c>
      <x:c r="G511" s="22" t="n">
        <x:f>IF(E511="LCU/USD",D511*F511,F511/D511)</x:f>
        <x:v>296.4544</x:v>
      </x:c>
      <x:c r="H511" s="12" t="str">
        <x:v>年均</x:v>
      </x:c>
      <x:c r="I511" s="12" t="str">
        <x:v>1976-01-01—1976-12-31</x:v>
      </x:c>
      <x:c r="J511" s="12" t="str">
        <x:v>FRB_JPY</x:v>
      </x:c>
      <x:c r="K511" s="12" t="str">
        <x:v>https://fred.stlouisfed.org/data/AEXJPUS</x:v>
      </x:c>
      <x:c r="L511" s="12" t="str"/>
      <x:c r="M511" s="12" t="str">
        <x:v>A：机构统计／原始统计表</x:v>
      </x:c>
    </x:row>
    <x:row r="512" ht="72" customHeight="1">
      <x:c r="A512" t="n">
        <x:v>1976</x:v>
      </x:c>
      <x:c r="B512" t="str">
        <x:v>CHF</x:v>
      </x:c>
      <x:c r="C512" s="12" t="str">
        <x:v>瑞士法郎（CHF）</x:v>
      </x:c>
      <x:c r="D512" s="24" t="n">
        <x:v>2.5002</x:v>
      </x:c>
      <x:c r="E512" s="20" t="str">
        <x:v>LCU/USD</x:v>
      </x:c>
      <x:c r="F512" s="20" t="n">
        <x:v>1</x:v>
      </x:c>
      <x:c r="G512" s="22" t="n">
        <x:f>IF(E512="LCU/USD",D512*F512,F512/D512)</x:f>
        <x:v>2.5002</x:v>
      </x:c>
      <x:c r="H512" s="12" t="str">
        <x:v>年均</x:v>
      </x:c>
      <x:c r="I512" s="12" t="str">
        <x:v>1976-01-01—1976-12-31</x:v>
      </x:c>
      <x:c r="J512" s="12" t="str">
        <x:v>FRB_CHF</x:v>
      </x:c>
      <x:c r="K512" s="12" t="str">
        <x:v>https://fred.stlouisfed.org/data/AEXSZUS</x:v>
      </x:c>
      <x:c r="L512" s="12" t="str"/>
      <x:c r="M512" s="12" t="str">
        <x:v>A：机构统计／原始统计表</x:v>
      </x:c>
    </x:row>
    <x:row r="513" ht="72" customHeight="1">
      <x:c r="A513" t="n">
        <x:v>1976</x:v>
      </x:c>
      <x:c r="B513" t="str">
        <x:v>INR</x:v>
      </x:c>
      <x:c r="C513" s="12" t="str">
        <x:v>印度卢比（INR）</x:v>
      </x:c>
      <x:c r="D513" s="24" t="n">
        <x:v>8.9715</x:v>
      </x:c>
      <x:c r="E513" s="20" t="str">
        <x:v>LCU/USD</x:v>
      </x:c>
      <x:c r="F513" s="20" t="n">
        <x:v>1</x:v>
      </x:c>
      <x:c r="G513" s="22" t="n">
        <x:f>IF(E513="LCU/USD",D513*F513,F513/D513)</x:f>
        <x:v>8.9715</x:v>
      </x:c>
      <x:c r="H513" s="12" t="str">
        <x:v>年均</x:v>
      </x:c>
      <x:c r="I513" s="12" t="str">
        <x:v>1976-01-01—1976-12-31</x:v>
      </x:c>
      <x:c r="J513" s="12" t="str">
        <x:v>FRB_INR</x:v>
      </x:c>
      <x:c r="K513" s="12" t="str">
        <x:v>https://fred.stlouisfed.org/data/AEXINUS</x:v>
      </x:c>
      <x:c r="L513" s="12" t="str"/>
      <x:c r="M513" s="12" t="str">
        <x:v>A：机构统计／原始统计表</x:v>
      </x:c>
    </x:row>
    <x:row r="514" ht="72" customHeight="1">
      <x:c r="A514" t="n">
        <x:v>1976</x:v>
      </x:c>
      <x:c r="B514" t="str">
        <x:v>RUB</x:v>
      </x:c>
      <x:c r="C514" s="12" t="str">
        <x:v>苏联卢布（1961币制）</x:v>
      </x:c>
      <x:c r="D514" s="24" t="n">
        <x:v>0.758</x:v>
      </x:c>
      <x:c r="E514" s="20" t="str">
        <x:v>LCU/USD</x:v>
      </x:c>
      <x:c r="F514" s="20" t="n">
        <x:v>1</x:v>
      </x:c>
      <x:c r="G514" s="22" t="n">
        <x:f>IF(E514="LCU/USD",D514*F514,F514/D514)</x:f>
        <x:v>0.758</x:v>
      </x:c>
      <x:c r="H514" s="12" t="str">
        <x:v>定点官价参考（非年均）</x:v>
      </x:c>
      <x:c r="I514" s="12" t="str">
        <x:v>1976-01-01</x:v>
      </x:c>
      <x:c r="J514" s="12" t="str">
        <x:v>SUR_OFFICIAL_SECONDARY</x:v>
      </x:c>
      <x:c r="K514" s="12" t="str">
        <x:v>https://en.wikipedia.org/wiki/Soviet_ruble#Exchange_rates</x:v>
      </x:c>
      <x:c r="L514" s="12" t="str">
        <x:v>选取源表该年最早列出的日期，不代表该年平均、全年固定价或统一可成交价；原档案未复核。</x:v>
      </x:c>
      <x:c r="M514" s="12" t="str">
        <x:v>C：二手转引（原档未复核）</x:v>
      </x:c>
    </x:row>
    <x:row r="515" ht="72" customHeight="1">
      <x:c r="A515" t="n">
        <x:v>1976</x:v>
      </x:c>
      <x:c r="B515" t="str">
        <x:v>CNY</x:v>
      </x:c>
      <x:c r="C515" s="12" t="str">
        <x:v>人民币元（1955币制；CNY）</x:v>
      </x:c>
      <x:c r="D515" s="24" t="n">
        <x:v>1.9415</x:v>
      </x:c>
      <x:c r="E515" s="20" t="str">
        <x:v>LCU/USD</x:v>
      </x:c>
      <x:c r="F515" s="20" t="n">
        <x:v>1</x:v>
      </x:c>
      <x:c r="G515" s="22" t="n">
        <x:f>IF(E515="LCU/USD",D515*F515,F515/D515)</x:f>
        <x:v>1.9415</x:v>
      </x:c>
      <x:c r="H515" s="12" t="str">
        <x:v>年均</x:v>
      </x:c>
      <x:c r="I515" s="12" t="str">
        <x:v>1976-01-01—1976-12-31</x:v>
      </x:c>
      <x:c r="J515" s="12" t="str">
        <x:v>OECD_CNY</x:v>
      </x:c>
      <x:c r="K515" s="12" t="str">
        <x:v>https://fred.stlouisfed.org/data/CCUSMA02CNA618N</x:v>
      </x:c>
      <x:c r="L515" s="12" t="str"/>
      <x:c r="M515" s="12" t="str">
        <x:v>A：机构统计／原始统计表</x:v>
      </x:c>
    </x:row>
    <x:row r="516" ht="72" customHeight="1">
      <x:c r="A516" t="n">
        <x:v>1977</x:v>
      </x:c>
      <x:c r="B516" t="str">
        <x:v>GBP</x:v>
      </x:c>
      <x:c r="C516" s="12" t="str">
        <x:v>英镑（GBP）</x:v>
      </x:c>
      <x:c r="D516" s="24" t="n">
        <x:v>1.7449</x:v>
      </x:c>
      <x:c r="E516" s="20" t="str">
        <x:v>USD/LCU</x:v>
      </x:c>
      <x:c r="F516" s="20" t="n">
        <x:v>1</x:v>
      </x:c>
      <x:c r="G516" s="22" t="n">
        <x:f>IF(E516="LCU/USD",D516*F516,F516/D516)</x:f>
        <x:v>0.5730987449137487</x:v>
      </x:c>
      <x:c r="H516" s="12" t="str">
        <x:v>年均</x:v>
      </x:c>
      <x:c r="I516" s="12" t="str">
        <x:v>1977-01-01—1977-12-31</x:v>
      </x:c>
      <x:c r="J516" s="12" t="str">
        <x:v>FRB_GBP</x:v>
      </x:c>
      <x:c r="K516" s="12" t="str">
        <x:v>https://fred.stlouisfed.org/data/AEXUSUK</x:v>
      </x:c>
      <x:c r="L516" s="12" t="str">
        <x:v>反向值由原报价均值取倒数；不等于反向日度汇率的算术平均。</x:v>
      </x:c>
      <x:c r="M516" s="12" t="str">
        <x:v>A：机构统计／原始统计表</x:v>
      </x:c>
    </x:row>
    <x:row r="517" ht="72" customHeight="1">
      <x:c r="A517" t="n">
        <x:v>1977</x:v>
      </x:c>
      <x:c r="B517" t="str">
        <x:v>CAD</x:v>
      </x:c>
      <x:c r="C517" s="12" t="str">
        <x:v>加拿大元（CAD）</x:v>
      </x:c>
      <x:c r="D517" s="24" t="n">
        <x:v>1.0633</x:v>
      </x:c>
      <x:c r="E517" s="20" t="str">
        <x:v>LCU/USD</x:v>
      </x:c>
      <x:c r="F517" s="20" t="n">
        <x:v>1</x:v>
      </x:c>
      <x:c r="G517" s="22" t="n">
        <x:f>IF(E517="LCU/USD",D517*F517,F517/D517)</x:f>
        <x:v>1.0633</x:v>
      </x:c>
      <x:c r="H517" s="12" t="str">
        <x:v>年均</x:v>
      </x:c>
      <x:c r="I517" s="12" t="str">
        <x:v>1977-01-01—1977-12-31</x:v>
      </x:c>
      <x:c r="J517" s="12" t="str">
        <x:v>FRB_CAD</x:v>
      </x:c>
      <x:c r="K517" s="12" t="str">
        <x:v>https://fred.stlouisfed.org/data/AEXCAUS</x:v>
      </x:c>
      <x:c r="L517" s="12" t="str"/>
      <x:c r="M517" s="12" t="str">
        <x:v>A：机构统计／原始统计表</x:v>
      </x:c>
    </x:row>
    <x:row r="518" ht="72" customHeight="1">
      <x:c r="A518" t="n">
        <x:v>1977</x:v>
      </x:c>
      <x:c r="B518" t="str">
        <x:v>FR</x:v>
      </x:c>
      <x:c r="C518" s="12" t="str">
        <x:v>法国法郎（FRF；1960币制）</x:v>
      </x:c>
      <x:c r="D518" s="24" t="n">
        <x:v>0.7490595166</x:v>
      </x:c>
      <x:c r="E518" s="20" t="str">
        <x:v>LCU/USD</x:v>
      </x:c>
      <x:c r="F518" s="20" t="n">
        <x:f>'币制说明'!$C$27</x:f>
        <x:v>6.55957</x:v>
      </x:c>
      <x:c r="G518" s="22" t="n">
        <x:f>IF(E518="LCU/USD",D518*F518,F518/D518)</x:f>
        <x:v>4.913508333303862</x:v>
      </x:c>
      <x:c r="H518" s="12" t="str">
        <x:v>年均</x:v>
      </x:c>
      <x:c r="I518" s="12" t="str">
        <x:v>1977-01-01—1977-12-31</x:v>
      </x:c>
      <x:c r="J518" s="12" t="str">
        <x:v>OECD_FR</x:v>
      </x:c>
      <x:c r="K518" s="12" t="str">
        <x:v>https://fred.stlouisfed.org/data/CCUSMA02FRA618N</x:v>
      </x:c>
      <x:c r="L518" s="12" t="str">
        <x:v>由欧元回溯单位还原当年本币；非当年实际欧元报价。 欧元回溯单位按不可撤销转换率还原；法国1960年前另乘100。</x:v>
      </x:c>
      <x:c r="M518" s="12" t="str">
        <x:v>A：机构统计／原始统计表</x:v>
      </x:c>
    </x:row>
    <x:row r="519" ht="72" customHeight="1">
      <x:c r="A519" t="n">
        <x:v>1977</x:v>
      </x:c>
      <x:c r="B519" t="str">
        <x:v>DE</x:v>
      </x:c>
      <x:c r="C519" s="12" t="str">
        <x:v>西德德国马克（DEM）</x:v>
      </x:c>
      <x:c r="D519" s="24" t="n">
        <x:v>1.1873603534</x:v>
      </x:c>
      <x:c r="E519" s="20" t="str">
        <x:v>LCU/USD</x:v>
      </x:c>
      <x:c r="F519" s="20" t="n">
        <x:f>'币制说明'!$C$28</x:f>
        <x:v>1.95583</x:v>
      </x:c>
      <x:c r="G519" s="22" t="n">
        <x:f>IF(E519="LCU/USD",D519*F519,F519/D519)</x:f>
        <x:v>2.322274999990322</x:v>
      </x:c>
      <x:c r="H519" s="12" t="str">
        <x:v>年均</x:v>
      </x:c>
      <x:c r="I519" s="12" t="str">
        <x:v>1977-01-01—1977-12-31</x:v>
      </x:c>
      <x:c r="J519" s="12" t="str">
        <x:v>OECD_DE</x:v>
      </x:c>
      <x:c r="K519" s="12" t="str">
        <x:v>https://fred.stlouisfed.org/data/CCUSMA02DEA618N</x:v>
      </x:c>
      <x:c r="L519" s="12" t="str">
        <x:v>由欧元回溯单位还原当年本币；非当年实际欧元报价。 欧元回溯单位按不可撤销转换率还原；法国1960年前另乘100。</x:v>
      </x:c>
      <x:c r="M519" s="12" t="str">
        <x:v>A：机构统计／原始统计表</x:v>
      </x:c>
    </x:row>
    <x:row r="520" ht="72" customHeight="1">
      <x:c r="A520" t="n">
        <x:v>1977</x:v>
      </x:c>
      <x:c r="B520" t="str">
        <x:v>IT</x:v>
      </x:c>
      <x:c r="C520" s="12" t="str">
        <x:v>意大利里拉（ITL）</x:v>
      </x:c>
      <x:c r="D520" s="24" t="n">
        <x:v>0.4556961452</x:v>
      </x:c>
      <x:c r="E520" s="20" t="str">
        <x:v>LCU/USD</x:v>
      </x:c>
      <x:c r="F520" s="20" t="n">
        <x:f>'币制说明'!$C$29</x:f>
        <x:v>1936.27</x:v>
      </x:c>
      <x:c r="G520" s="22" t="n">
        <x:f>IF(E520="LCU/USD",D520*F520,F520/D520)</x:f>
        <x:v>882.350775066404</x:v>
      </x:c>
      <x:c r="H520" s="12" t="str">
        <x:v>年均</x:v>
      </x:c>
      <x:c r="I520" s="12" t="str">
        <x:v>1977-01-01—1977-12-31</x:v>
      </x:c>
      <x:c r="J520" s="12" t="str">
        <x:v>OECD_IT</x:v>
      </x:c>
      <x:c r="K520" s="12" t="str">
        <x:v>https://fred.stlouisfed.org/data/CCUSMA02ITA618N</x:v>
      </x:c>
      <x:c r="L520" s="12" t="str">
        <x:v>由欧元回溯单位还原当年本币；非当年实际欧元报价。 欧元回溯单位按不可撤销转换率还原；法国1960年前另乘100。</x:v>
      </x:c>
      <x:c r="M520" s="12" t="str">
        <x:v>A：机构统计／原始统计表</x:v>
      </x:c>
    </x:row>
    <x:row r="521" ht="72" customHeight="1">
      <x:c r="A521" t="n">
        <x:v>1977</x:v>
      </x:c>
      <x:c r="B521" t="str">
        <x:v>JPY</x:v>
      </x:c>
      <x:c r="C521" s="12" t="str">
        <x:v>日元（JPY）</x:v>
      </x:c>
      <x:c r="D521" s="24" t="n">
        <x:v>268.6194</x:v>
      </x:c>
      <x:c r="E521" s="20" t="str">
        <x:v>LCU/USD</x:v>
      </x:c>
      <x:c r="F521" s="20" t="n">
        <x:v>1</x:v>
      </x:c>
      <x:c r="G521" s="22" t="n">
        <x:f>IF(E521="LCU/USD",D521*F521,F521/D521)</x:f>
        <x:v>268.6194</x:v>
      </x:c>
      <x:c r="H521" s="12" t="str">
        <x:v>年均</x:v>
      </x:c>
      <x:c r="I521" s="12" t="str">
        <x:v>1977-01-01—1977-12-31</x:v>
      </x:c>
      <x:c r="J521" s="12" t="str">
        <x:v>FRB_JPY</x:v>
      </x:c>
      <x:c r="K521" s="12" t="str">
        <x:v>https://fred.stlouisfed.org/data/AEXJPUS</x:v>
      </x:c>
      <x:c r="L521" s="12" t="str"/>
      <x:c r="M521" s="12" t="str">
        <x:v>A：机构统计／原始统计表</x:v>
      </x:c>
    </x:row>
    <x:row r="522" ht="72" customHeight="1">
      <x:c r="A522" t="n">
        <x:v>1977</x:v>
      </x:c>
      <x:c r="B522" t="str">
        <x:v>CHF</x:v>
      </x:c>
      <x:c r="C522" s="12" t="str">
        <x:v>瑞士法郎（CHF）</x:v>
      </x:c>
      <x:c r="D522" s="24" t="n">
        <x:v>2.4065</x:v>
      </x:c>
      <x:c r="E522" s="20" t="str">
        <x:v>LCU/USD</x:v>
      </x:c>
      <x:c r="F522" s="20" t="n">
        <x:v>1</x:v>
      </x:c>
      <x:c r="G522" s="22" t="n">
        <x:f>IF(E522="LCU/USD",D522*F522,F522/D522)</x:f>
        <x:v>2.4065</x:v>
      </x:c>
      <x:c r="H522" s="12" t="str">
        <x:v>年均</x:v>
      </x:c>
      <x:c r="I522" s="12" t="str">
        <x:v>1977-01-01—1977-12-31</x:v>
      </x:c>
      <x:c r="J522" s="12" t="str">
        <x:v>FRB_CHF</x:v>
      </x:c>
      <x:c r="K522" s="12" t="str">
        <x:v>https://fred.stlouisfed.org/data/AEXSZUS</x:v>
      </x:c>
      <x:c r="L522" s="12" t="str"/>
      <x:c r="M522" s="12" t="str">
        <x:v>A：机构统计／原始统计表</x:v>
      </x:c>
    </x:row>
    <x:row r="523" ht="72" customHeight="1">
      <x:c r="A523" t="n">
        <x:v>1977</x:v>
      </x:c>
      <x:c r="B523" t="str">
        <x:v>INR</x:v>
      </x:c>
      <x:c r="C523" s="12" t="str">
        <x:v>印度卢比（INR）</x:v>
      </x:c>
      <x:c r="D523" s="24" t="n">
        <x:v>8.7683</x:v>
      </x:c>
      <x:c r="E523" s="20" t="str">
        <x:v>LCU/USD</x:v>
      </x:c>
      <x:c r="F523" s="20" t="n">
        <x:v>1</x:v>
      </x:c>
      <x:c r="G523" s="22" t="n">
        <x:f>IF(E523="LCU/USD",D523*F523,F523/D523)</x:f>
        <x:v>8.7683</x:v>
      </x:c>
      <x:c r="H523" s="12" t="str">
        <x:v>年均</x:v>
      </x:c>
      <x:c r="I523" s="12" t="str">
        <x:v>1977-01-01—1977-12-31</x:v>
      </x:c>
      <x:c r="J523" s="12" t="str">
        <x:v>FRB_INR</x:v>
      </x:c>
      <x:c r="K523" s="12" t="str">
        <x:v>https://fred.stlouisfed.org/data/AEXINUS</x:v>
      </x:c>
      <x:c r="L523" s="12" t="str"/>
      <x:c r="M523" s="12" t="str">
        <x:v>A：机构统计／原始统计表</x:v>
      </x:c>
    </x:row>
    <x:row r="524" ht="72" customHeight="1">
      <x:c r="A524" t="n">
        <x:v>1977</x:v>
      </x:c>
      <x:c r="B524" t="str">
        <x:v>RUB</x:v>
      </x:c>
      <x:c r="C524" s="12" t="str">
        <x:v>苏联卢布（1961币制）</x:v>
      </x:c>
      <x:c r="D524" s="24" t="n">
        <x:v>0.742</x:v>
      </x:c>
      <x:c r="E524" s="20" t="str">
        <x:v>LCU/USD</x:v>
      </x:c>
      <x:c r="F524" s="20" t="n">
        <x:v>1</x:v>
      </x:c>
      <x:c r="G524" s="22" t="n">
        <x:f>IF(E524="LCU/USD",D524*F524,F524/D524)</x:f>
        <x:v>0.742</x:v>
      </x:c>
      <x:c r="H524" s="12" t="str">
        <x:v>定点官价参考（非年均）</x:v>
      </x:c>
      <x:c r="I524" s="12" t="str">
        <x:v>1977-01-01</x:v>
      </x:c>
      <x:c r="J524" s="12" t="str">
        <x:v>SUR_OFFICIAL_SECONDARY</x:v>
      </x:c>
      <x:c r="K524" s="12" t="str">
        <x:v>https://en.wikipedia.org/wiki/Soviet_ruble#Exchange_rates</x:v>
      </x:c>
      <x:c r="L524" s="12" t="str">
        <x:v>选取源表该年最早列出的日期，不代表该年平均、全年固定价或统一可成交价；原档案未复核。</x:v>
      </x:c>
      <x:c r="M524" s="12" t="str">
        <x:v>C：二手转引（原档未复核）</x:v>
      </x:c>
    </x:row>
    <x:row r="525" ht="72" customHeight="1">
      <x:c r="A525" t="n">
        <x:v>1977</x:v>
      </x:c>
      <x:c r="B525" t="str">
        <x:v>CNY</x:v>
      </x:c>
      <x:c r="C525" s="12" t="str">
        <x:v>人民币元（1955币制；CNY）</x:v>
      </x:c>
      <x:c r="D525" s="24" t="n">
        <x:v>1.83808333333333</x:v>
      </x:c>
      <x:c r="E525" s="20" t="str">
        <x:v>LCU/USD</x:v>
      </x:c>
      <x:c r="F525" s="20" t="n">
        <x:v>1</x:v>
      </x:c>
      <x:c r="G525" s="22" t="n">
        <x:f>IF(E525="LCU/USD",D525*F525,F525/D525)</x:f>
        <x:v>1.83808333333333</x:v>
      </x:c>
      <x:c r="H525" s="12" t="str">
        <x:v>年均</x:v>
      </x:c>
      <x:c r="I525" s="12" t="str">
        <x:v>1977-01-01—1977-12-31</x:v>
      </x:c>
      <x:c r="J525" s="12" t="str">
        <x:v>OECD_CNY</x:v>
      </x:c>
      <x:c r="K525" s="12" t="str">
        <x:v>https://fred.stlouisfed.org/data/CCUSMA02CNA618N</x:v>
      </x:c>
      <x:c r="L525" s="12" t="str"/>
      <x:c r="M525" s="12" t="str">
        <x:v>A：机构统计／原始统计表</x:v>
      </x:c>
    </x:row>
    <x:row r="526" ht="72" customHeight="1">
      <x:c r="A526" t="n">
        <x:v>1978</x:v>
      </x:c>
      <x:c r="B526" t="str">
        <x:v>GBP</x:v>
      </x:c>
      <x:c r="C526" s="12" t="str">
        <x:v>英镑（GBP）</x:v>
      </x:c>
      <x:c r="D526" s="24" t="n">
        <x:v>1.9184</x:v>
      </x:c>
      <x:c r="E526" s="20" t="str">
        <x:v>USD/LCU</x:v>
      </x:c>
      <x:c r="F526" s="20" t="n">
        <x:v>1</x:v>
      </x:c>
      <x:c r="G526" s="22" t="n">
        <x:f>IF(E526="LCU/USD",D526*F526,F526/D526)</x:f>
        <x:v>0.5212677231025855</x:v>
      </x:c>
      <x:c r="H526" s="12" t="str">
        <x:v>年均</x:v>
      </x:c>
      <x:c r="I526" s="12" t="str">
        <x:v>1978-01-01—1978-12-31</x:v>
      </x:c>
      <x:c r="J526" s="12" t="str">
        <x:v>FRB_GBP</x:v>
      </x:c>
      <x:c r="K526" s="12" t="str">
        <x:v>https://fred.stlouisfed.org/data/AEXUSUK</x:v>
      </x:c>
      <x:c r="L526" s="12" t="str">
        <x:v>反向值由原报价均值取倒数；不等于反向日度汇率的算术平均。</x:v>
      </x:c>
      <x:c r="M526" s="12" t="str">
        <x:v>A：机构统计／原始统计表</x:v>
      </x:c>
    </x:row>
    <x:row r="527" ht="72" customHeight="1">
      <x:c r="A527" t="n">
        <x:v>1978</x:v>
      </x:c>
      <x:c r="B527" t="str">
        <x:v>CAD</x:v>
      </x:c>
      <x:c r="C527" s="12" t="str">
        <x:v>加拿大元（CAD）</x:v>
      </x:c>
      <x:c r="D527" s="24" t="n">
        <x:v>1.1405</x:v>
      </x:c>
      <x:c r="E527" s="20" t="str">
        <x:v>LCU/USD</x:v>
      </x:c>
      <x:c r="F527" s="20" t="n">
        <x:v>1</x:v>
      </x:c>
      <x:c r="G527" s="22" t="n">
        <x:f>IF(E527="LCU/USD",D527*F527,F527/D527)</x:f>
        <x:v>1.1405</x:v>
      </x:c>
      <x:c r="H527" s="12" t="str">
        <x:v>年均</x:v>
      </x:c>
      <x:c r="I527" s="12" t="str">
        <x:v>1978-01-01—1978-12-31</x:v>
      </x:c>
      <x:c r="J527" s="12" t="str">
        <x:v>FRB_CAD</x:v>
      </x:c>
      <x:c r="K527" s="12" t="str">
        <x:v>https://fred.stlouisfed.org/data/AEXCAUS</x:v>
      </x:c>
      <x:c r="L527" s="12" t="str"/>
      <x:c r="M527" s="12" t="str">
        <x:v>A：机构统计／原始统计表</x:v>
      </x:c>
    </x:row>
    <x:row r="528" ht="72" customHeight="1">
      <x:c r="A528" t="n">
        <x:v>1978</x:v>
      </x:c>
      <x:c r="B528" t="str">
        <x:v>FR</x:v>
      </x:c>
      <x:c r="C528" s="12" t="str">
        <x:v>法国法郎（FRF；1960币制）</x:v>
      </x:c>
      <x:c r="D528" s="24" t="n">
        <x:v>0.6878245576</x:v>
      </x:c>
      <x:c r="E528" s="20" t="str">
        <x:v>LCU/USD</x:v>
      </x:c>
      <x:c r="F528" s="20" t="n">
        <x:f>'币制说明'!$C$27</x:f>
        <x:v>6.55957</x:v>
      </x:c>
      <x:c r="G528" s="22" t="n">
        <x:f>IF(E528="LCU/USD",D528*F528,F528/D528)</x:f>
        <x:v>4.511833333296233</x:v>
      </x:c>
      <x:c r="H528" s="12" t="str">
        <x:v>年均</x:v>
      </x:c>
      <x:c r="I528" s="12" t="str">
        <x:v>1978-01-01—1978-12-31</x:v>
      </x:c>
      <x:c r="J528" s="12" t="str">
        <x:v>OECD_FR</x:v>
      </x:c>
      <x:c r="K528" s="12" t="str">
        <x:v>https://fred.stlouisfed.org/data/CCUSMA02FRA618N</x:v>
      </x:c>
      <x:c r="L528" s="12" t="str">
        <x:v>由欧元回溯单位还原当年本币；非当年实际欧元报价。 欧元回溯单位按不可撤销转换率还原；法国1960年前另乘100。</x:v>
      </x:c>
      <x:c r="M528" s="12" t="str">
        <x:v>A：机构统计／原始统计表</x:v>
      </x:c>
    </x:row>
    <x:row r="529" ht="72" customHeight="1">
      <x:c r="A529" t="n">
        <x:v>1978</x:v>
      </x:c>
      <x:c r="B529" t="str">
        <x:v>DE</x:v>
      </x:c>
      <x:c r="C529" s="12" t="str">
        <x:v>西德德国马克（DEM）</x:v>
      </x:c>
      <x:c r="D529" s="24" t="n">
        <x:v>1.027027741</x:v>
      </x:c>
      <x:c r="E529" s="20" t="str">
        <x:v>LCU/USD</x:v>
      </x:c>
      <x:c r="F529" s="20" t="n">
        <x:f>'币制说明'!$C$28</x:f>
        <x:v>1.95583</x:v>
      </x:c>
      <x:c r="G529" s="22" t="n">
        <x:f>IF(E529="LCU/USD",D529*F529,F529/D529)</x:f>
        <x:v>2.0086916666800296</x:v>
      </x:c>
      <x:c r="H529" s="12" t="str">
        <x:v>年均</x:v>
      </x:c>
      <x:c r="I529" s="12" t="str">
        <x:v>1978-01-01—1978-12-31</x:v>
      </x:c>
      <x:c r="J529" s="12" t="str">
        <x:v>OECD_DE</x:v>
      </x:c>
      <x:c r="K529" s="12" t="str">
        <x:v>https://fred.stlouisfed.org/data/CCUSMA02DEA618N</x:v>
      </x:c>
      <x:c r="L529" s="12" t="str">
        <x:v>由欧元回溯单位还原当年本币；非当年实际欧元报价。 欧元回溯单位按不可撤销转换率还原；法国1960年前另乘100。</x:v>
      </x:c>
      <x:c r="M529" s="12" t="str">
        <x:v>A：机构统计／原始统计表</x:v>
      </x:c>
    </x:row>
    <x:row r="530" ht="72" customHeight="1">
      <x:c r="A530" t="n">
        <x:v>1978</x:v>
      </x:c>
      <x:c r="B530" t="str">
        <x:v>IT</x:v>
      </x:c>
      <x:c r="C530" s="12" t="str">
        <x:v>意大利里拉（ITL）</x:v>
      </x:c>
      <x:c r="D530" s="24" t="n">
        <x:v>0.438330467</x:v>
      </x:c>
      <x:c r="E530" s="20" t="str">
        <x:v>LCU/USD</x:v>
      </x:c>
      <x:c r="F530" s="20" t="n">
        <x:f>'币制说明'!$C$29</x:f>
        <x:v>1936.27</x:v>
      </x:c>
      <x:c r="G530" s="22" t="n">
        <x:f>IF(E530="LCU/USD",D530*F530,F530/D530)</x:f>
        <x:v>848.72613333809</x:v>
      </x:c>
      <x:c r="H530" s="12" t="str">
        <x:v>年均</x:v>
      </x:c>
      <x:c r="I530" s="12" t="str">
        <x:v>1978-01-01—1978-12-31</x:v>
      </x:c>
      <x:c r="J530" s="12" t="str">
        <x:v>OECD_IT</x:v>
      </x:c>
      <x:c r="K530" s="12" t="str">
        <x:v>https://fred.stlouisfed.org/data/CCUSMA02ITA618N</x:v>
      </x:c>
      <x:c r="L530" s="12" t="str">
        <x:v>由欧元回溯单位还原当年本币；非当年实际欧元报价。 欧元回溯单位按不可撤销转换率还原；法国1960年前另乘100。</x:v>
      </x:c>
      <x:c r="M530" s="12" t="str">
        <x:v>A：机构统计／原始统计表</x:v>
      </x:c>
    </x:row>
    <x:row r="531" ht="72" customHeight="1">
      <x:c r="A531" t="n">
        <x:v>1978</x:v>
      </x:c>
      <x:c r="B531" t="str">
        <x:v>JPY</x:v>
      </x:c>
      <x:c r="C531" s="12" t="str">
        <x:v>日元（JPY）</x:v>
      </x:c>
      <x:c r="D531" s="24" t="n">
        <x:v>210.3854</x:v>
      </x:c>
      <x:c r="E531" s="20" t="str">
        <x:v>LCU/USD</x:v>
      </x:c>
      <x:c r="F531" s="20" t="n">
        <x:v>1</x:v>
      </x:c>
      <x:c r="G531" s="22" t="n">
        <x:f>IF(E531="LCU/USD",D531*F531,F531/D531)</x:f>
        <x:v>210.3854</x:v>
      </x:c>
      <x:c r="H531" s="12" t="str">
        <x:v>年均</x:v>
      </x:c>
      <x:c r="I531" s="12" t="str">
        <x:v>1978-01-01—1978-12-31</x:v>
      </x:c>
      <x:c r="J531" s="12" t="str">
        <x:v>FRB_JPY</x:v>
      </x:c>
      <x:c r="K531" s="12" t="str">
        <x:v>https://fred.stlouisfed.org/data/AEXJPUS</x:v>
      </x:c>
      <x:c r="L531" s="12" t="str"/>
      <x:c r="M531" s="12" t="str">
        <x:v>A：机构统计／原始统计表</x:v>
      </x:c>
    </x:row>
    <x:row r="532" ht="72" customHeight="1">
      <x:c r="A532" t="n">
        <x:v>1978</x:v>
      </x:c>
      <x:c r="B532" t="str">
        <x:v>CHF</x:v>
      </x:c>
      <x:c r="C532" s="12" t="str">
        <x:v>瑞士法郎（CHF）</x:v>
      </x:c>
      <x:c r="D532" s="24" t="n">
        <x:v>1.7907</x:v>
      </x:c>
      <x:c r="E532" s="20" t="str">
        <x:v>LCU/USD</x:v>
      </x:c>
      <x:c r="F532" s="20" t="n">
        <x:v>1</x:v>
      </x:c>
      <x:c r="G532" s="22" t="n">
        <x:f>IF(E532="LCU/USD",D532*F532,F532/D532)</x:f>
        <x:v>1.7907</x:v>
      </x:c>
      <x:c r="H532" s="12" t="str">
        <x:v>年均</x:v>
      </x:c>
      <x:c r="I532" s="12" t="str">
        <x:v>1978-01-01—1978-12-31</x:v>
      </x:c>
      <x:c r="J532" s="12" t="str">
        <x:v>FRB_CHF</x:v>
      </x:c>
      <x:c r="K532" s="12" t="str">
        <x:v>https://fred.stlouisfed.org/data/AEXSZUS</x:v>
      </x:c>
      <x:c r="L532" s="12" t="str"/>
      <x:c r="M532" s="12" t="str">
        <x:v>A：机构统计／原始统计表</x:v>
      </x:c>
    </x:row>
    <x:row r="533" ht="72" customHeight="1">
      <x:c r="A533" t="n">
        <x:v>1978</x:v>
      </x:c>
      <x:c r="B533" t="str">
        <x:v>INR</x:v>
      </x:c>
      <x:c r="C533" s="12" t="str">
        <x:v>印度卢比（INR）</x:v>
      </x:c>
      <x:c r="D533" s="24" t="n">
        <x:v>8.1979</x:v>
      </x:c>
      <x:c r="E533" s="20" t="str">
        <x:v>LCU/USD</x:v>
      </x:c>
      <x:c r="F533" s="20" t="n">
        <x:v>1</x:v>
      </x:c>
      <x:c r="G533" s="22" t="n">
        <x:f>IF(E533="LCU/USD",D533*F533,F533/D533)</x:f>
        <x:v>8.1979</x:v>
      </x:c>
      <x:c r="H533" s="12" t="str">
        <x:v>年均</x:v>
      </x:c>
      <x:c r="I533" s="12" t="str">
        <x:v>1978-01-01—1978-12-31</x:v>
      </x:c>
      <x:c r="J533" s="12" t="str">
        <x:v>FRB_INR</x:v>
      </x:c>
      <x:c r="K533" s="12" t="str">
        <x:v>https://fred.stlouisfed.org/data/AEXINUS</x:v>
      </x:c>
      <x:c r="L533" s="12" t="str"/>
      <x:c r="M533" s="12" t="str">
        <x:v>A：机构统计／原始统计表</x:v>
      </x:c>
    </x:row>
    <x:row r="534" ht="72" customHeight="1">
      <x:c r="A534" t="n">
        <x:v>1978</x:v>
      </x:c>
      <x:c r="B534" t="str">
        <x:v>RUB</x:v>
      </x:c>
      <x:c r="C534" s="12" t="str">
        <x:v>苏联卢布（1961币制）</x:v>
      </x:c>
      <x:c r="D534" s="24" t="n">
        <x:v>0.706</x:v>
      </x:c>
      <x:c r="E534" s="20" t="str">
        <x:v>LCU/USD</x:v>
      </x:c>
      <x:c r="F534" s="20" t="n">
        <x:v>1</x:v>
      </x:c>
      <x:c r="G534" s="22" t="n">
        <x:f>IF(E534="LCU/USD",D534*F534,F534/D534)</x:f>
        <x:v>0.706</x:v>
      </x:c>
      <x:c r="H534" s="12" t="str">
        <x:v>定点官价参考（非年均）</x:v>
      </x:c>
      <x:c r="I534" s="12" t="str">
        <x:v>1978-01-01</x:v>
      </x:c>
      <x:c r="J534" s="12" t="str">
        <x:v>SUR_OFFICIAL_SECONDARY</x:v>
      </x:c>
      <x:c r="K534" s="12" t="str">
        <x:v>https://en.wikipedia.org/wiki/Soviet_ruble#Exchange_rates</x:v>
      </x:c>
      <x:c r="L534" s="12" t="str">
        <x:v>选取源表该年最早列出的日期，不代表该年平均、全年固定价或统一可成交价；原档案未复核。</x:v>
      </x:c>
      <x:c r="M534" s="12" t="str">
        <x:v>C：二手转引（原档未复核）</x:v>
      </x:c>
    </x:row>
    <x:row r="535" ht="72" customHeight="1">
      <x:c r="A535" t="n">
        <x:v>1978</x:v>
      </x:c>
      <x:c r="B535" t="str">
        <x:v>CNY</x:v>
      </x:c>
      <x:c r="C535" s="12" t="str">
        <x:v>人民币元（1955币制；CNY）</x:v>
      </x:c>
      <x:c r="D535" s="24" t="n">
        <x:v>1.68358333333333</x:v>
      </x:c>
      <x:c r="E535" s="20" t="str">
        <x:v>LCU/USD</x:v>
      </x:c>
      <x:c r="F535" s="20" t="n">
        <x:v>1</x:v>
      </x:c>
      <x:c r="G535" s="22" t="n">
        <x:f>IF(E535="LCU/USD",D535*F535,F535/D535)</x:f>
        <x:v>1.68358333333333</x:v>
      </x:c>
      <x:c r="H535" s="12" t="str">
        <x:v>年均</x:v>
      </x:c>
      <x:c r="I535" s="12" t="str">
        <x:v>1978-01-01—1978-12-31</x:v>
      </x:c>
      <x:c r="J535" s="12" t="str">
        <x:v>OECD_CNY</x:v>
      </x:c>
      <x:c r="K535" s="12" t="str">
        <x:v>https://fred.stlouisfed.org/data/CCUSMA02CNA618N</x:v>
      </x:c>
      <x:c r="L535" s="12" t="str"/>
      <x:c r="M535" s="12" t="str">
        <x:v>A：机构统计／原始统计表</x:v>
      </x:c>
    </x:row>
    <x:row r="536" ht="72" customHeight="1">
      <x:c r="A536" t="n">
        <x:v>1979</x:v>
      </x:c>
      <x:c r="B536" t="str">
        <x:v>GBP</x:v>
      </x:c>
      <x:c r="C536" s="12" t="str">
        <x:v>英镑（GBP）</x:v>
      </x:c>
      <x:c r="D536" s="24" t="n">
        <x:v>2.1224</x:v>
      </x:c>
      <x:c r="E536" s="20" t="str">
        <x:v>USD/LCU</x:v>
      </x:c>
      <x:c r="F536" s="20" t="n">
        <x:v>1</x:v>
      </x:c>
      <x:c r="G536" s="22" t="n">
        <x:f>IF(E536="LCU/USD",D536*F536,F536/D536)</x:f>
        <x:v>0.4711647191858274</x:v>
      </x:c>
      <x:c r="H536" s="12" t="str">
        <x:v>年均</x:v>
      </x:c>
      <x:c r="I536" s="12" t="str">
        <x:v>1979-01-01—1979-12-31</x:v>
      </x:c>
      <x:c r="J536" s="12" t="str">
        <x:v>FRB_GBP</x:v>
      </x:c>
      <x:c r="K536" s="12" t="str">
        <x:v>https://fred.stlouisfed.org/data/AEXUSUK</x:v>
      </x:c>
      <x:c r="L536" s="12" t="str">
        <x:v>反向值由原报价均值取倒数；不等于反向日度汇率的算术平均。</x:v>
      </x:c>
      <x:c r="M536" s="12" t="str">
        <x:v>A：机构统计／原始统计表</x:v>
      </x:c>
    </x:row>
    <x:row r="537" ht="72" customHeight="1">
      <x:c r="A537" t="n">
        <x:v>1979</x:v>
      </x:c>
      <x:c r="B537" t="str">
        <x:v>CAD</x:v>
      </x:c>
      <x:c r="C537" s="12" t="str">
        <x:v>加拿大元（CAD）</x:v>
      </x:c>
      <x:c r="D537" s="24" t="n">
        <x:v>1.1713</x:v>
      </x:c>
      <x:c r="E537" s="20" t="str">
        <x:v>LCU/USD</x:v>
      </x:c>
      <x:c r="F537" s="20" t="n">
        <x:v>1</x:v>
      </x:c>
      <x:c r="G537" s="22" t="n">
        <x:f>IF(E537="LCU/USD",D537*F537,F537/D537)</x:f>
        <x:v>1.1713</x:v>
      </x:c>
      <x:c r="H537" s="12" t="str">
        <x:v>年均</x:v>
      </x:c>
      <x:c r="I537" s="12" t="str">
        <x:v>1979-01-01—1979-12-31</x:v>
      </x:c>
      <x:c r="J537" s="12" t="str">
        <x:v>FRB_CAD</x:v>
      </x:c>
      <x:c r="K537" s="12" t="str">
        <x:v>https://fred.stlouisfed.org/data/AEXCAUS</x:v>
      </x:c>
      <x:c r="L537" s="12" t="str"/>
      <x:c r="M537" s="12" t="str">
        <x:v>A：机构统计／原始统计表</x:v>
      </x:c>
    </x:row>
    <x:row r="538" ht="72" customHeight="1">
      <x:c r="A538" t="n">
        <x:v>1979</x:v>
      </x:c>
      <x:c r="B538" t="str">
        <x:v>FR</x:v>
      </x:c>
      <x:c r="C538" s="12" t="str">
        <x:v>法国法郎（FRF；1960币制）</x:v>
      </x:c>
      <x:c r="D538" s="24" t="n">
        <x:v>0.6486121296</x:v>
      </x:c>
      <x:c r="E538" s="20" t="str">
        <x:v>LCU/USD</x:v>
      </x:c>
      <x:c r="F538" s="20" t="n">
        <x:f>'币制说明'!$C$27</x:f>
        <x:v>6.55957</x:v>
      </x:c>
      <x:c r="G538" s="22" t="n">
        <x:f>IF(E538="LCU/USD",D538*F538,F538/D538)</x:f>
        <x:v>4.254616666960272</x:v>
      </x:c>
      <x:c r="H538" s="12" t="str">
        <x:v>年均</x:v>
      </x:c>
      <x:c r="I538" s="12" t="str">
        <x:v>1979-01-01—1979-12-31</x:v>
      </x:c>
      <x:c r="J538" s="12" t="str">
        <x:v>OECD_FR</x:v>
      </x:c>
      <x:c r="K538" s="12" t="str">
        <x:v>https://fred.stlouisfed.org/data/CCUSMA02FRA618N</x:v>
      </x:c>
      <x:c r="L538" s="12" t="str">
        <x:v>由欧元回溯单位还原当年本币；非当年实际欧元报价。 欧元回溯单位按不可撤销转换率还原；法国1960年前另乘100。</x:v>
      </x:c>
      <x:c r="M538" s="12" t="str">
        <x:v>A：机构统计／原始统计表</x:v>
      </x:c>
    </x:row>
    <x:row r="539" ht="72" customHeight="1">
      <x:c r="A539" t="n">
        <x:v>1979</x:v>
      </x:c>
      <x:c r="B539" t="str">
        <x:v>DE</x:v>
      </x:c>
      <x:c r="C539" s="12" t="str">
        <x:v>西德德国马克（DEM）</x:v>
      </x:c>
      <x:c r="D539" s="24" t="n">
        <x:v>0.9371341067</x:v>
      </x:c>
      <x:c r="E539" s="20" t="str">
        <x:v>LCU/USD</x:v>
      </x:c>
      <x:c r="F539" s="20" t="n">
        <x:f>'币制说明'!$C$28</x:f>
        <x:v>1.95583</x:v>
      </x:c>
      <x:c r="G539" s="22" t="n">
        <x:f>IF(E539="LCU/USD",D539*F539,F539/D539)</x:f>
        <x:v>1.8328749999070608</x:v>
      </x:c>
      <x:c r="H539" s="12" t="str">
        <x:v>年均</x:v>
      </x:c>
      <x:c r="I539" s="12" t="str">
        <x:v>1979-01-01—1979-12-31</x:v>
      </x:c>
      <x:c r="J539" s="12" t="str">
        <x:v>OECD_DE</x:v>
      </x:c>
      <x:c r="K539" s="12" t="str">
        <x:v>https://fred.stlouisfed.org/data/CCUSMA02DEA618N</x:v>
      </x:c>
      <x:c r="L539" s="12" t="str">
        <x:v>由欧元回溯单位还原当年本币；非当年实际欧元报价。 欧元回溯单位按不可撤销转换率还原；法国1960年前另乘100。</x:v>
      </x:c>
      <x:c r="M539" s="12" t="str">
        <x:v>A：机构统计／原始统计表</x:v>
      </x:c>
    </x:row>
    <x:row r="540" ht="72" customHeight="1">
      <x:c r="A540" t="n">
        <x:v>1979</x:v>
      </x:c>
      <x:c r="B540" t="str">
        <x:v>IT</x:v>
      </x:c>
      <x:c r="C540" s="12" t="str">
        <x:v>意大利里拉（ITL）</x:v>
      </x:c>
      <x:c r="D540" s="24" t="n">
        <x:v>0.4291364367</x:v>
      </x:c>
      <x:c r="E540" s="20" t="str">
        <x:v>LCU/USD</x:v>
      </x:c>
      <x:c r="F540" s="20" t="n">
        <x:f>'币制说明'!$C$29</x:f>
        <x:v>1936.27</x:v>
      </x:c>
      <x:c r="G540" s="22" t="n">
        <x:f>IF(E540="LCU/USD",D540*F540,F540/D540)</x:f>
        <x:v>830.924008289109</x:v>
      </x:c>
      <x:c r="H540" s="12" t="str">
        <x:v>年均</x:v>
      </x:c>
      <x:c r="I540" s="12" t="str">
        <x:v>1979-01-01—1979-12-31</x:v>
      </x:c>
      <x:c r="J540" s="12" t="str">
        <x:v>OECD_IT</x:v>
      </x:c>
      <x:c r="K540" s="12" t="str">
        <x:v>https://fred.stlouisfed.org/data/CCUSMA02ITA618N</x:v>
      </x:c>
      <x:c r="L540" s="12" t="str">
        <x:v>由欧元回溯单位还原当年本币；非当年实际欧元报价。 欧元回溯单位按不可撤销转换率还原；法国1960年前另乘100。</x:v>
      </x:c>
      <x:c r="M540" s="12" t="str">
        <x:v>A：机构统计／原始统计表</x:v>
      </x:c>
    </x:row>
    <x:row r="541" ht="72" customHeight="1">
      <x:c r="A541" t="n">
        <x:v>1979</x:v>
      </x:c>
      <x:c r="B541" t="str">
        <x:v>JPY</x:v>
      </x:c>
      <x:c r="C541" s="12" t="str">
        <x:v>日元（JPY）</x:v>
      </x:c>
      <x:c r="D541" s="24" t="n">
        <x:v>219.0168</x:v>
      </x:c>
      <x:c r="E541" s="20" t="str">
        <x:v>LCU/USD</x:v>
      </x:c>
      <x:c r="F541" s="20" t="n">
        <x:v>1</x:v>
      </x:c>
      <x:c r="G541" s="22" t="n">
        <x:f>IF(E541="LCU/USD",D541*F541,F541/D541)</x:f>
        <x:v>219.0168</x:v>
      </x:c>
      <x:c r="H541" s="12" t="str">
        <x:v>年均</x:v>
      </x:c>
      <x:c r="I541" s="12" t="str">
        <x:v>1979-01-01—1979-12-31</x:v>
      </x:c>
      <x:c r="J541" s="12" t="str">
        <x:v>FRB_JPY</x:v>
      </x:c>
      <x:c r="K541" s="12" t="str">
        <x:v>https://fred.stlouisfed.org/data/AEXJPUS</x:v>
      </x:c>
      <x:c r="L541" s="12" t="str"/>
      <x:c r="M541" s="12" t="str">
        <x:v>A：机构统计／原始统计表</x:v>
      </x:c>
    </x:row>
    <x:row r="542" ht="72" customHeight="1">
      <x:c r="A542" t="n">
        <x:v>1979</x:v>
      </x:c>
      <x:c r="B542" t="str">
        <x:v>CHF</x:v>
      </x:c>
      <x:c r="C542" s="12" t="str">
        <x:v>瑞士法郎（CHF）</x:v>
      </x:c>
      <x:c r="D542" s="24" t="n">
        <x:v>1.6644</x:v>
      </x:c>
      <x:c r="E542" s="20" t="str">
        <x:v>LCU/USD</x:v>
      </x:c>
      <x:c r="F542" s="20" t="n">
        <x:v>1</x:v>
      </x:c>
      <x:c r="G542" s="22" t="n">
        <x:f>IF(E542="LCU/USD",D542*F542,F542/D542)</x:f>
        <x:v>1.6644</x:v>
      </x:c>
      <x:c r="H542" s="12" t="str">
        <x:v>年均</x:v>
      </x:c>
      <x:c r="I542" s="12" t="str">
        <x:v>1979-01-01—1979-12-31</x:v>
      </x:c>
      <x:c r="J542" s="12" t="str">
        <x:v>FRB_CHF</x:v>
      </x:c>
      <x:c r="K542" s="12" t="str">
        <x:v>https://fred.stlouisfed.org/data/AEXSZUS</x:v>
      </x:c>
      <x:c r="L542" s="12" t="str"/>
      <x:c r="M542" s="12" t="str">
        <x:v>A：机构统计／原始统计表</x:v>
      </x:c>
    </x:row>
    <x:row r="543" ht="72" customHeight="1">
      <x:c r="A543" t="n">
        <x:v>1979</x:v>
      </x:c>
      <x:c r="B543" t="str">
        <x:v>INR</x:v>
      </x:c>
      <x:c r="C543" s="12" t="str">
        <x:v>印度卢比（INR）</x:v>
      </x:c>
      <x:c r="D543" s="24" t="n">
        <x:v>8.1564</x:v>
      </x:c>
      <x:c r="E543" s="20" t="str">
        <x:v>LCU/USD</x:v>
      </x:c>
      <x:c r="F543" s="20" t="n">
        <x:v>1</x:v>
      </x:c>
      <x:c r="G543" s="22" t="n">
        <x:f>IF(E543="LCU/USD",D543*F543,F543/D543)</x:f>
        <x:v>8.1564</x:v>
      </x:c>
      <x:c r="H543" s="12" t="str">
        <x:v>年均</x:v>
      </x:c>
      <x:c r="I543" s="12" t="str">
        <x:v>1979-01-01—1979-12-31</x:v>
      </x:c>
      <x:c r="J543" s="12" t="str">
        <x:v>FRB_INR</x:v>
      </x:c>
      <x:c r="K543" s="12" t="str">
        <x:v>https://fred.stlouisfed.org/data/AEXINUS</x:v>
      </x:c>
      <x:c r="L543" s="12" t="str"/>
      <x:c r="M543" s="12" t="str">
        <x:v>A：机构统计／原始统计表</x:v>
      </x:c>
    </x:row>
    <x:row r="544" ht="72" customHeight="1">
      <x:c r="A544" t="n">
        <x:v>1979</x:v>
      </x:c>
      <x:c r="B544" t="str">
        <x:v>RUB</x:v>
      </x:c>
      <x:c r="C544" s="12" t="str">
        <x:v>苏联卢布（1961币制）</x:v>
      </x:c>
      <x:c r="D544" s="24" t="n">
        <x:v>0.659</x:v>
      </x:c>
      <x:c r="E544" s="20" t="str">
        <x:v>LCU/USD</x:v>
      </x:c>
      <x:c r="F544" s="20" t="n">
        <x:v>1</x:v>
      </x:c>
      <x:c r="G544" s="22" t="n">
        <x:f>IF(E544="LCU/USD",D544*F544,F544/D544)</x:f>
        <x:v>0.659</x:v>
      </x:c>
      <x:c r="H544" s="12" t="str">
        <x:v>定点官价参考（非年均）</x:v>
      </x:c>
      <x:c r="I544" s="12" t="str">
        <x:v>1979-01-01</x:v>
      </x:c>
      <x:c r="J544" s="12" t="str">
        <x:v>SUR_OFFICIAL_SECONDARY</x:v>
      </x:c>
      <x:c r="K544" s="12" t="str">
        <x:v>https://en.wikipedia.org/wiki/Soviet_ruble#Exchange_rates</x:v>
      </x:c>
      <x:c r="L544" s="12" t="str">
        <x:v>选取源表该年最早列出的日期，不代表该年平均、全年固定价或统一可成交价；原档案未复核。</x:v>
      </x:c>
      <x:c r="M544" s="12" t="str">
        <x:v>C：二手转引（原档未复核）</x:v>
      </x:c>
    </x:row>
    <x:row r="545" ht="72" customHeight="1">
      <x:c r="A545" t="n">
        <x:v>1979</x:v>
      </x:c>
      <x:c r="B545" t="str">
        <x:v>CNY</x:v>
      </x:c>
      <x:c r="C545" s="12" t="str">
        <x:v>人民币元（1955币制；CNY）</x:v>
      </x:c>
      <x:c r="D545" s="24" t="n">
        <x:v>1.55516666666667</x:v>
      </x:c>
      <x:c r="E545" s="20" t="str">
        <x:v>LCU/USD</x:v>
      </x:c>
      <x:c r="F545" s="20" t="n">
        <x:v>1</x:v>
      </x:c>
      <x:c r="G545" s="22" t="n">
        <x:f>IF(E545="LCU/USD",D545*F545,F545/D545)</x:f>
        <x:v>1.55516666666667</x:v>
      </x:c>
      <x:c r="H545" s="12" t="str">
        <x:v>年均</x:v>
      </x:c>
      <x:c r="I545" s="12" t="str">
        <x:v>1979-01-01—1979-12-31</x:v>
      </x:c>
      <x:c r="J545" s="12" t="str">
        <x:v>OECD_CNY</x:v>
      </x:c>
      <x:c r="K545" s="12" t="str">
        <x:v>https://fred.stlouisfed.org/data/CCUSMA02CNA618N</x:v>
      </x:c>
      <x:c r="L545" s="12" t="str"/>
      <x:c r="M545" s="12" t="str">
        <x:v>A：机构统计／原始统计表</x:v>
      </x:c>
    </x:row>
    <x:row r="546" ht="72" customHeight="1">
      <x:c r="A546" t="n">
        <x:v>1980</x:v>
      </x:c>
      <x:c r="B546" t="str">
        <x:v>GBP</x:v>
      </x:c>
      <x:c r="C546" s="12" t="str">
        <x:v>英镑（GBP）</x:v>
      </x:c>
      <x:c r="D546" s="24" t="n">
        <x:v>2.3246</x:v>
      </x:c>
      <x:c r="E546" s="20" t="str">
        <x:v>USD/LCU</x:v>
      </x:c>
      <x:c r="F546" s="20" t="n">
        <x:v>1</x:v>
      </x:c>
      <x:c r="G546" s="22" t="n">
        <x:f>IF(E546="LCU/USD",D546*F546,F546/D546)</x:f>
        <x:v>0.4301815366084487</x:v>
      </x:c>
      <x:c r="H546" s="12" t="str">
        <x:v>年均</x:v>
      </x:c>
      <x:c r="I546" s="12" t="str">
        <x:v>1980-01-01—1980-12-31</x:v>
      </x:c>
      <x:c r="J546" s="12" t="str">
        <x:v>FRB_GBP</x:v>
      </x:c>
      <x:c r="K546" s="12" t="str">
        <x:v>https://fred.stlouisfed.org/data/AEXUSUK</x:v>
      </x:c>
      <x:c r="L546" s="12" t="str">
        <x:v>反向值由原报价均值取倒数；不等于反向日度汇率的算术平均。</x:v>
      </x:c>
      <x:c r="M546" s="12" t="str">
        <x:v>A：机构统计／原始统计表</x:v>
      </x:c>
    </x:row>
    <x:row r="547" ht="72" customHeight="1">
      <x:c r="A547" t="n">
        <x:v>1980</x:v>
      </x:c>
      <x:c r="B547" t="str">
        <x:v>CAD</x:v>
      </x:c>
      <x:c r="C547" s="12" t="str">
        <x:v>加拿大元（CAD）</x:v>
      </x:c>
      <x:c r="D547" s="24" t="n">
        <x:v>1.1693</x:v>
      </x:c>
      <x:c r="E547" s="20" t="str">
        <x:v>LCU/USD</x:v>
      </x:c>
      <x:c r="F547" s="20" t="n">
        <x:v>1</x:v>
      </x:c>
      <x:c r="G547" s="22" t="n">
        <x:f>IF(E547="LCU/USD",D547*F547,F547/D547)</x:f>
        <x:v>1.1693</x:v>
      </x:c>
      <x:c r="H547" s="12" t="str">
        <x:v>年均</x:v>
      </x:c>
      <x:c r="I547" s="12" t="str">
        <x:v>1980-01-01—1980-12-31</x:v>
      </x:c>
      <x:c r="J547" s="12" t="str">
        <x:v>FRB_CAD</x:v>
      </x:c>
      <x:c r="K547" s="12" t="str">
        <x:v>https://fred.stlouisfed.org/data/AEXCAUS</x:v>
      </x:c>
      <x:c r="L547" s="12" t="str"/>
      <x:c r="M547" s="12" t="str">
        <x:v>A：机构统计／原始统计表</x:v>
      </x:c>
    </x:row>
    <x:row r="548" ht="72" customHeight="1">
      <x:c r="A548" t="n">
        <x:v>1980</x:v>
      </x:c>
      <x:c r="B548" t="str">
        <x:v>FR</x:v>
      </x:c>
      <x:c r="C548" s="12" t="str">
        <x:v>法国法郎（FRF；1960币制）</x:v>
      </x:c>
      <x:c r="D548" s="24" t="n">
        <x:v>0.6442698734</x:v>
      </x:c>
      <x:c r="E548" s="20" t="str">
        <x:v>LCU/USD</x:v>
      </x:c>
      <x:c r="F548" s="20" t="n">
        <x:f>'币制说明'!$C$27</x:f>
        <x:v>6.55957</x:v>
      </x:c>
      <x:c r="G548" s="22" t="n">
        <x:f>IF(E548="LCU/USD",D548*F548,F548/D548)</x:f>
        <x:v>4.226133333458438</x:v>
      </x:c>
      <x:c r="H548" s="12" t="str">
        <x:v>年均</x:v>
      </x:c>
      <x:c r="I548" s="12" t="str">
        <x:v>1980-01-01—1980-12-31</x:v>
      </x:c>
      <x:c r="J548" s="12" t="str">
        <x:v>OECD_FR</x:v>
      </x:c>
      <x:c r="K548" s="12" t="str">
        <x:v>https://fred.stlouisfed.org/data/CCUSMA02FRA618N</x:v>
      </x:c>
      <x:c r="L548" s="12" t="str">
        <x:v>由欧元回溯单位还原当年本币；非当年实际欧元报价。 欧元回溯单位按不可撤销转换率还原；法国1960年前另乘100。</x:v>
      </x:c>
      <x:c r="M548" s="12" t="str">
        <x:v>A：机构统计／原始统计表</x:v>
      </x:c>
    </x:row>
    <x:row r="549" ht="72" customHeight="1">
      <x:c r="A549" t="n">
        <x:v>1980</x:v>
      </x:c>
      <x:c r="B549" t="str">
        <x:v>DE</x:v>
      </x:c>
      <x:c r="C549" s="12" t="str">
        <x:v>西德德国马克（DEM）</x:v>
      </x:c>
      <x:c r="D549" s="24" t="n">
        <x:v>0.9291238673</x:v>
      </x:c>
      <x:c r="E549" s="20" t="str">
        <x:v>LCU/USD</x:v>
      </x:c>
      <x:c r="F549" s="20" t="n">
        <x:f>'币制说明'!$C$28</x:f>
        <x:v>1.95583</x:v>
      </x:c>
      <x:c r="G549" s="22" t="n">
        <x:f>IF(E549="LCU/USD",D549*F549,F549/D549)</x:f>
        <x:v>1.817208333381359</x:v>
      </x:c>
      <x:c r="H549" s="12" t="str">
        <x:v>年均</x:v>
      </x:c>
      <x:c r="I549" s="12" t="str">
        <x:v>1980-01-01—1980-12-31</x:v>
      </x:c>
      <x:c r="J549" s="12" t="str">
        <x:v>OECD_DE</x:v>
      </x:c>
      <x:c r="K549" s="12" t="str">
        <x:v>https://fred.stlouisfed.org/data/CCUSMA02DEA618N</x:v>
      </x:c>
      <x:c r="L549" s="12" t="str">
        <x:v>由欧元回溯单位还原当年本币；非当年实际欧元报价。 欧元回溯单位按不可撤销转换率还原；法国1960年前另乘100。</x:v>
      </x:c>
      <x:c r="M549" s="12" t="str">
        <x:v>A：机构统计／原始统计表</x:v>
      </x:c>
    </x:row>
    <x:row r="550" ht="72" customHeight="1">
      <x:c r="A550" t="n">
        <x:v>1980</x:v>
      </x:c>
      <x:c r="B550" t="str">
        <x:v>IT</x:v>
      </x:c>
      <x:c r="C550" s="12" t="str">
        <x:v>意大利里拉（ITL）</x:v>
      </x:c>
      <x:c r="D550" s="24" t="n">
        <x:v>0.4423137527</x:v>
      </x:c>
      <x:c r="E550" s="20" t="str">
        <x:v>LCU/USD</x:v>
      </x:c>
      <x:c r="F550" s="20" t="n">
        <x:f>'币制说明'!$C$29</x:f>
        <x:v>1936.27</x:v>
      </x:c>
      <x:c r="G550" s="22" t="n">
        <x:f>IF(E550="LCU/USD",D550*F550,F550/D550)</x:f>
        <x:v>856.438849940429</x:v>
      </x:c>
      <x:c r="H550" s="12" t="str">
        <x:v>年均</x:v>
      </x:c>
      <x:c r="I550" s="12" t="str">
        <x:v>1980-01-01—1980-12-31</x:v>
      </x:c>
      <x:c r="J550" s="12" t="str">
        <x:v>OECD_IT</x:v>
      </x:c>
      <x:c r="K550" s="12" t="str">
        <x:v>https://fred.stlouisfed.org/data/CCUSMA02ITA618N</x:v>
      </x:c>
      <x:c r="L550" s="12" t="str">
        <x:v>由欧元回溯单位还原当年本币；非当年实际欧元报价。 欧元回溯单位按不可撤销转换率还原；法国1960年前另乘100。</x:v>
      </x:c>
      <x:c r="M550" s="12" t="str">
        <x:v>A：机构统计／原始统计表</x:v>
      </x:c>
    </x:row>
    <x:row r="551" ht="72" customHeight="1">
      <x:c r="A551" t="n">
        <x:v>1980</x:v>
      </x:c>
      <x:c r="B551" t="str">
        <x:v>JPY</x:v>
      </x:c>
      <x:c r="C551" s="12" t="str">
        <x:v>日元（JPY）</x:v>
      </x:c>
      <x:c r="D551" s="24" t="n">
        <x:v>226.6309</x:v>
      </x:c>
      <x:c r="E551" s="20" t="str">
        <x:v>LCU/USD</x:v>
      </x:c>
      <x:c r="F551" s="20" t="n">
        <x:v>1</x:v>
      </x:c>
      <x:c r="G551" s="22" t="n">
        <x:f>IF(E551="LCU/USD",D551*F551,F551/D551)</x:f>
        <x:v>226.6309</x:v>
      </x:c>
      <x:c r="H551" s="12" t="str">
        <x:v>年均</x:v>
      </x:c>
      <x:c r="I551" s="12" t="str">
        <x:v>1980-01-01—1980-12-31</x:v>
      </x:c>
      <x:c r="J551" s="12" t="str">
        <x:v>FRB_JPY</x:v>
      </x:c>
      <x:c r="K551" s="12" t="str">
        <x:v>https://fred.stlouisfed.org/data/AEXJPUS</x:v>
      </x:c>
      <x:c r="L551" s="12" t="str"/>
      <x:c r="M551" s="12" t="str">
        <x:v>A：机构统计／原始统计表</x:v>
      </x:c>
    </x:row>
    <x:row r="552" ht="72" customHeight="1">
      <x:c r="A552" t="n">
        <x:v>1980</x:v>
      </x:c>
      <x:c r="B552" t="str">
        <x:v>CHF</x:v>
      </x:c>
      <x:c r="C552" s="12" t="str">
        <x:v>瑞士法郎（CHF）</x:v>
      </x:c>
      <x:c r="D552" s="24" t="n">
        <x:v>1.6772</x:v>
      </x:c>
      <x:c r="E552" s="20" t="str">
        <x:v>LCU/USD</x:v>
      </x:c>
      <x:c r="F552" s="20" t="n">
        <x:v>1</x:v>
      </x:c>
      <x:c r="G552" s="22" t="n">
        <x:f>IF(E552="LCU/USD",D552*F552,F552/D552)</x:f>
        <x:v>1.6772</x:v>
      </x:c>
      <x:c r="H552" s="12" t="str">
        <x:v>年均</x:v>
      </x:c>
      <x:c r="I552" s="12" t="str">
        <x:v>1980-01-01—1980-12-31</x:v>
      </x:c>
      <x:c r="J552" s="12" t="str">
        <x:v>FRB_CHF</x:v>
      </x:c>
      <x:c r="K552" s="12" t="str">
        <x:v>https://fred.stlouisfed.org/data/AEXSZUS</x:v>
      </x:c>
      <x:c r="L552" s="12" t="str"/>
      <x:c r="M552" s="12" t="str">
        <x:v>A：机构统计／原始统计表</x:v>
      </x:c>
    </x:row>
    <x:row r="553" ht="72" customHeight="1">
      <x:c r="A553" t="n">
        <x:v>1980</x:v>
      </x:c>
      <x:c r="B553" t="str">
        <x:v>INR</x:v>
      </x:c>
      <x:c r="C553" s="12" t="str">
        <x:v>印度卢比（INR）</x:v>
      </x:c>
      <x:c r="D553" s="24" t="n">
        <x:v>7.8868</x:v>
      </x:c>
      <x:c r="E553" s="20" t="str">
        <x:v>LCU/USD</x:v>
      </x:c>
      <x:c r="F553" s="20" t="n">
        <x:v>1</x:v>
      </x:c>
      <x:c r="G553" s="22" t="n">
        <x:f>IF(E553="LCU/USD",D553*F553,F553/D553)</x:f>
        <x:v>7.8868</x:v>
      </x:c>
      <x:c r="H553" s="12" t="str">
        <x:v>年均</x:v>
      </x:c>
      <x:c r="I553" s="12" t="str">
        <x:v>1980-01-01—1980-12-31</x:v>
      </x:c>
      <x:c r="J553" s="12" t="str">
        <x:v>FRB_INR</x:v>
      </x:c>
      <x:c r="K553" s="12" t="str">
        <x:v>https://fred.stlouisfed.org/data/AEXINUS</x:v>
      </x:c>
      <x:c r="L553" s="12" t="str"/>
      <x:c r="M553" s="12" t="str">
        <x:v>A：机构统计／原始统计表</x:v>
      </x:c>
    </x:row>
    <x:row r="554" ht="72" customHeight="1">
      <x:c r="A554" t="n">
        <x:v>1980</x:v>
      </x:c>
      <x:c r="B554" t="str">
        <x:v>RUB</x:v>
      </x:c>
      <x:c r="C554" s="12" t="str">
        <x:v>苏联卢布（1961币制）</x:v>
      </x:c>
      <x:c r="D554" s="24" t="n">
        <x:v>0.6395</x:v>
      </x:c>
      <x:c r="E554" s="20" t="str">
        <x:v>LCU/USD</x:v>
      </x:c>
      <x:c r="F554" s="20" t="n">
        <x:v>1</x:v>
      </x:c>
      <x:c r="G554" s="22" t="n">
        <x:f>IF(E554="LCU/USD",D554*F554,F554/D554)</x:f>
        <x:v>0.6395</x:v>
      </x:c>
      <x:c r="H554" s="12" t="str">
        <x:v>定点官价参考（非年均）</x:v>
      </x:c>
      <x:c r="I554" s="12" t="str">
        <x:v>1980-01-03</x:v>
      </x:c>
      <x:c r="J554" s="12" t="str">
        <x:v>SUR_OFFICIAL_SECONDARY</x:v>
      </x:c>
      <x:c r="K554" s="12" t="str">
        <x:v>https://en.wikipedia.org/wiki/Soviet_ruble#Exchange_rates</x:v>
      </x:c>
      <x:c r="L554" s="12" t="str">
        <x:v>选取源表该年最早列出的日期，不代表该年平均、全年固定价或统一可成交价；原档案未复核。</x:v>
      </x:c>
      <x:c r="M554" s="12" t="str">
        <x:v>C：二手转引（原档未复核）</x:v>
      </x:c>
    </x:row>
    <x:row r="555" ht="72" customHeight="1">
      <x:c r="A555" t="n">
        <x:v>1980</x:v>
      </x:c>
      <x:c r="B555" t="str">
        <x:v>CNY</x:v>
      </x:c>
      <x:c r="C555" s="12" t="str">
        <x:v>人民币元（1955币制；CNY）</x:v>
      </x:c>
      <x:c r="D555" s="24" t="n">
        <x:v>1.4985</x:v>
      </x:c>
      <x:c r="E555" s="20" t="str">
        <x:v>LCU/USD</x:v>
      </x:c>
      <x:c r="F555" s="20" t="n">
        <x:v>1</x:v>
      </x:c>
      <x:c r="G555" s="22" t="n">
        <x:f>IF(E555="LCU/USD",D555*F555,F555/D555)</x:f>
        <x:v>1.4985</x:v>
      </x:c>
      <x:c r="H555" s="12" t="str">
        <x:v>年均</x:v>
      </x:c>
      <x:c r="I555" s="12" t="str">
        <x:v>1980-01-01—1980-12-31</x:v>
      </x:c>
      <x:c r="J555" s="12" t="str">
        <x:v>OECD_CNY</x:v>
      </x:c>
      <x:c r="K555" s="12" t="str">
        <x:v>https://fred.stlouisfed.org/data/CCUSMA02CNA618N</x:v>
      </x:c>
      <x:c r="L555" s="12" t="str"/>
      <x:c r="M555" s="12" t="str">
        <x:v>A：机构统计／原始统计表</x:v>
      </x:c>
    </x:row>
    <x:row r="556" ht="72" customHeight="1">
      <x:c r="A556" t="n">
        <x:v>1981</x:v>
      </x:c>
      <x:c r="B556" t="str">
        <x:v>GBP</x:v>
      </x:c>
      <x:c r="C556" s="12" t="str">
        <x:v>英镑（GBP）</x:v>
      </x:c>
      <x:c r="D556" s="24" t="n">
        <x:v>2.0243</x:v>
      </x:c>
      <x:c r="E556" s="20" t="str">
        <x:v>USD/LCU</x:v>
      </x:c>
      <x:c r="F556" s="20" t="n">
        <x:v>1</x:v>
      </x:c>
      <x:c r="G556" s="22" t="n">
        <x:f>IF(E556="LCU/USD",D556*F556,F556/D556)</x:f>
        <x:v>0.49399792520871405</x:v>
      </x:c>
      <x:c r="H556" s="12" t="str">
        <x:v>年均</x:v>
      </x:c>
      <x:c r="I556" s="12" t="str">
        <x:v>1981-01-01—1981-12-31</x:v>
      </x:c>
      <x:c r="J556" s="12" t="str">
        <x:v>FRB_GBP</x:v>
      </x:c>
      <x:c r="K556" s="12" t="str">
        <x:v>https://fred.stlouisfed.org/data/AEXUSUK</x:v>
      </x:c>
      <x:c r="L556" s="12" t="str">
        <x:v>反向值由原报价均值取倒数；不等于反向日度汇率的算术平均。</x:v>
      </x:c>
      <x:c r="M556" s="12" t="str">
        <x:v>A：机构统计／原始统计表</x:v>
      </x:c>
    </x:row>
    <x:row r="557" ht="72" customHeight="1">
      <x:c r="A557" t="n">
        <x:v>1981</x:v>
      </x:c>
      <x:c r="B557" t="str">
        <x:v>CAD</x:v>
      </x:c>
      <x:c r="C557" s="12" t="str">
        <x:v>加拿大元（CAD）</x:v>
      </x:c>
      <x:c r="D557" s="24" t="n">
        <x:v>1.199</x:v>
      </x:c>
      <x:c r="E557" s="20" t="str">
        <x:v>LCU/USD</x:v>
      </x:c>
      <x:c r="F557" s="20" t="n">
        <x:v>1</x:v>
      </x:c>
      <x:c r="G557" s="22" t="n">
        <x:f>IF(E557="LCU/USD",D557*F557,F557/D557)</x:f>
        <x:v>1.199</x:v>
      </x:c>
      <x:c r="H557" s="12" t="str">
        <x:v>年均</x:v>
      </x:c>
      <x:c r="I557" s="12" t="str">
        <x:v>1981-01-01—1981-12-31</x:v>
      </x:c>
      <x:c r="J557" s="12" t="str">
        <x:v>FRB_CAD</x:v>
      </x:c>
      <x:c r="K557" s="12" t="str">
        <x:v>https://fred.stlouisfed.org/data/AEXCAUS</x:v>
      </x:c>
      <x:c r="L557" s="12" t="str"/>
      <x:c r="M557" s="12" t="str">
        <x:v>A：机构统计／原始统计表</x:v>
      </x:c>
    </x:row>
    <x:row r="558" ht="72" customHeight="1">
      <x:c r="A558" t="n">
        <x:v>1981</x:v>
      </x:c>
      <x:c r="B558" t="str">
        <x:v>FR</x:v>
      </x:c>
      <x:c r="C558" s="12" t="str">
        <x:v>法国法郎（FRF；1960币制）</x:v>
      </x:c>
      <x:c r="D558" s="24" t="n">
        <x:v>0.8284638576</x:v>
      </x:c>
      <x:c r="E558" s="20" t="str">
        <x:v>LCU/USD</x:v>
      </x:c>
      <x:c r="F558" s="20" t="n">
        <x:f>'币制说明'!$C$27</x:f>
        <x:v>6.55957</x:v>
      </x:c>
      <x:c r="G558" s="22" t="n">
        <x:f>IF(E558="LCU/USD",D558*F558,F558/D558)</x:f>
        <x:v>5.434366666397231</x:v>
      </x:c>
      <x:c r="H558" s="12" t="str">
        <x:v>年均</x:v>
      </x:c>
      <x:c r="I558" s="12" t="str">
        <x:v>1981-01-01—1981-12-31</x:v>
      </x:c>
      <x:c r="J558" s="12" t="str">
        <x:v>OECD_FR</x:v>
      </x:c>
      <x:c r="K558" s="12" t="str">
        <x:v>https://fred.stlouisfed.org/data/CCUSMA02FRA618N</x:v>
      </x:c>
      <x:c r="L558" s="12" t="str">
        <x:v>由欧元回溯单位还原当年本币；非当年实际欧元报价。 欧元回溯单位按不可撤销转换率还原；法国1960年前另乘100。</x:v>
      </x:c>
      <x:c r="M558" s="12" t="str">
        <x:v>A：机构统计／原始统计表</x:v>
      </x:c>
    </x:row>
    <x:row r="559" ht="72" customHeight="1">
      <x:c r="A559" t="n">
        <x:v>1981</x:v>
      </x:c>
      <x:c r="B559" t="str">
        <x:v>DE</x:v>
      </x:c>
      <x:c r="C559" s="12" t="str">
        <x:v>西德德国马克（DEM）</x:v>
      </x:c>
      <x:c r="D559" s="24" t="n">
        <x:v>1.1551489649</x:v>
      </x:c>
      <x:c r="E559" s="20" t="str">
        <x:v>LCU/USD</x:v>
      </x:c>
      <x:c r="F559" s="20" t="n">
        <x:f>'币制说明'!$C$28</x:f>
        <x:v>1.95583</x:v>
      </x:c>
      <x:c r="G559" s="22" t="n">
        <x:f>IF(E559="LCU/USD",D559*F559,F559/D559)</x:f>
        <x:v>2.259275000020367</x:v>
      </x:c>
      <x:c r="H559" s="12" t="str">
        <x:v>年均</x:v>
      </x:c>
      <x:c r="I559" s="12" t="str">
        <x:v>1981-01-01—1981-12-31</x:v>
      </x:c>
      <x:c r="J559" s="12" t="str">
        <x:v>OECD_DE</x:v>
      </x:c>
      <x:c r="K559" s="12" t="str">
        <x:v>https://fred.stlouisfed.org/data/CCUSMA02DEA618N</x:v>
      </x:c>
      <x:c r="L559" s="12" t="str">
        <x:v>由欧元回溯单位还原当年本币；非当年实际欧元报价。 欧元回溯单位按不可撤销转换率还原；法国1960年前另乘100。</x:v>
      </x:c>
      <x:c r="M559" s="12" t="str">
        <x:v>A：机构统计／原始统计表</x:v>
      </x:c>
    </x:row>
    <x:row r="560" ht="72" customHeight="1">
      <x:c r="A560" t="n">
        <x:v>1981</x:v>
      </x:c>
      <x:c r="B560" t="str">
        <x:v>IT</x:v>
      </x:c>
      <x:c r="C560" s="12" t="str">
        <x:v>意大利里拉（ITL）</x:v>
      </x:c>
      <x:c r="D560" s="24" t="n">
        <x:v>0.5869782107</x:v>
      </x:c>
      <x:c r="E560" s="20" t="str">
        <x:v>LCU/USD</x:v>
      </x:c>
      <x:c r="F560" s="20" t="n">
        <x:f>'币制说明'!$C$29</x:f>
        <x:v>1936.27</x:v>
      </x:c>
      <x:c r="G560" s="22" t="n">
        <x:f>IF(E560="LCU/USD",D560*F560,F560/D560)</x:f>
        <x:v>1136.548300032089</x:v>
      </x:c>
      <x:c r="H560" s="12" t="str">
        <x:v>年均</x:v>
      </x:c>
      <x:c r="I560" s="12" t="str">
        <x:v>1981-01-01—1981-12-31</x:v>
      </x:c>
      <x:c r="J560" s="12" t="str">
        <x:v>OECD_IT</x:v>
      </x:c>
      <x:c r="K560" s="12" t="str">
        <x:v>https://fred.stlouisfed.org/data/CCUSMA02ITA618N</x:v>
      </x:c>
      <x:c r="L560" s="12" t="str">
        <x:v>由欧元回溯单位还原当年本币；非当年实际欧元报价。 欧元回溯单位按不可撤销转换率还原；法国1960年前另乘100。</x:v>
      </x:c>
      <x:c r="M560" s="12" t="str">
        <x:v>A：机构统计／原始统计表</x:v>
      </x:c>
    </x:row>
    <x:row r="561" ht="72" customHeight="1">
      <x:c r="A561" t="n">
        <x:v>1981</x:v>
      </x:c>
      <x:c r="B561" t="str">
        <x:v>JPY</x:v>
      </x:c>
      <x:c r="C561" s="12" t="str">
        <x:v>日元（JPY）</x:v>
      </x:c>
      <x:c r="D561" s="24" t="n">
        <x:v>220.6281</x:v>
      </x:c>
      <x:c r="E561" s="20" t="str">
        <x:v>LCU/USD</x:v>
      </x:c>
      <x:c r="F561" s="20" t="n">
        <x:v>1</x:v>
      </x:c>
      <x:c r="G561" s="22" t="n">
        <x:f>IF(E561="LCU/USD",D561*F561,F561/D561)</x:f>
        <x:v>220.6281</x:v>
      </x:c>
      <x:c r="H561" s="12" t="str">
        <x:v>年均</x:v>
      </x:c>
      <x:c r="I561" s="12" t="str">
        <x:v>1981-01-01—1981-12-31</x:v>
      </x:c>
      <x:c r="J561" s="12" t="str">
        <x:v>FRB_JPY</x:v>
      </x:c>
      <x:c r="K561" s="12" t="str">
        <x:v>https://fred.stlouisfed.org/data/AEXJPUS</x:v>
      </x:c>
      <x:c r="L561" s="12" t="str"/>
      <x:c r="M561" s="12" t="str">
        <x:v>A：机构统计／原始统计表</x:v>
      </x:c>
    </x:row>
    <x:row r="562" ht="72" customHeight="1">
      <x:c r="A562" t="n">
        <x:v>1981</x:v>
      </x:c>
      <x:c r="B562" t="str">
        <x:v>CHF</x:v>
      </x:c>
      <x:c r="C562" s="12" t="str">
        <x:v>瑞士法郎（CHF）</x:v>
      </x:c>
      <x:c r="D562" s="24" t="n">
        <x:v>1.9675</x:v>
      </x:c>
      <x:c r="E562" s="20" t="str">
        <x:v>LCU/USD</x:v>
      </x:c>
      <x:c r="F562" s="20" t="n">
        <x:v>1</x:v>
      </x:c>
      <x:c r="G562" s="22" t="n">
        <x:f>IF(E562="LCU/USD",D562*F562,F562/D562)</x:f>
        <x:v>1.9675</x:v>
      </x:c>
      <x:c r="H562" s="12" t="str">
        <x:v>年均</x:v>
      </x:c>
      <x:c r="I562" s="12" t="str">
        <x:v>1981-01-01—1981-12-31</x:v>
      </x:c>
      <x:c r="J562" s="12" t="str">
        <x:v>FRB_CHF</x:v>
      </x:c>
      <x:c r="K562" s="12" t="str">
        <x:v>https://fred.stlouisfed.org/data/AEXSZUS</x:v>
      </x:c>
      <x:c r="L562" s="12" t="str"/>
      <x:c r="M562" s="12" t="str">
        <x:v>A：机构统计／原始统计表</x:v>
      </x:c>
    </x:row>
    <x:row r="563" ht="72" customHeight="1">
      <x:c r="A563" t="n">
        <x:v>1981</x:v>
      </x:c>
      <x:c r="B563" t="str">
        <x:v>INR</x:v>
      </x:c>
      <x:c r="C563" s="12" t="str">
        <x:v>印度卢比（INR）</x:v>
      </x:c>
      <x:c r="D563" s="24" t="n">
        <x:v>8.6807</x:v>
      </x:c>
      <x:c r="E563" s="20" t="str">
        <x:v>LCU/USD</x:v>
      </x:c>
      <x:c r="F563" s="20" t="n">
        <x:v>1</x:v>
      </x:c>
      <x:c r="G563" s="22" t="n">
        <x:f>IF(E563="LCU/USD",D563*F563,F563/D563)</x:f>
        <x:v>8.6807</x:v>
      </x:c>
      <x:c r="H563" s="12" t="str">
        <x:v>年均</x:v>
      </x:c>
      <x:c r="I563" s="12" t="str">
        <x:v>1981-01-01—1981-12-31</x:v>
      </x:c>
      <x:c r="J563" s="12" t="str">
        <x:v>FRB_INR</x:v>
      </x:c>
      <x:c r="K563" s="12" t="str">
        <x:v>https://fred.stlouisfed.org/data/AEXINUS</x:v>
      </x:c>
      <x:c r="L563" s="12" t="str"/>
      <x:c r="M563" s="12" t="str">
        <x:v>A：机构统计／原始统计表</x:v>
      </x:c>
    </x:row>
    <x:row r="564" ht="72" customHeight="1">
      <x:c r="A564" t="n">
        <x:v>1981</x:v>
      </x:c>
      <x:c r="B564" t="str">
        <x:v>RUB</x:v>
      </x:c>
      <x:c r="C564" s="12" t="str">
        <x:v>苏联卢布（1961币制）</x:v>
      </x:c>
      <x:c r="D564" s="24" t="n">
        <x:v>0.675</x:v>
      </x:c>
      <x:c r="E564" s="20" t="str">
        <x:v>LCU/USD</x:v>
      </x:c>
      <x:c r="F564" s="20" t="n">
        <x:v>1</x:v>
      </x:c>
      <x:c r="G564" s="22" t="n">
        <x:f>IF(E564="LCU/USD",D564*F564,F564/D564)</x:f>
        <x:v>0.675</x:v>
      </x:c>
      <x:c r="H564" s="12" t="str">
        <x:v>定点官价参考（非年均）</x:v>
      </x:c>
      <x:c r="I564" s="12" t="str">
        <x:v>1981-01-01</x:v>
      </x:c>
      <x:c r="J564" s="12" t="str">
        <x:v>SUR_OFFICIAL_SECONDARY</x:v>
      </x:c>
      <x:c r="K564" s="12" t="str">
        <x:v>https://en.wikipedia.org/wiki/Soviet_ruble#Exchange_rates</x:v>
      </x:c>
      <x:c r="L564" s="12" t="str">
        <x:v>选取源表该年最早列出的日期，不代表该年平均、全年固定价或统一可成交价；原档案未复核。</x:v>
      </x:c>
      <x:c r="M564" s="12" t="str">
        <x:v>C：二手转引（原档未复核）</x:v>
      </x:c>
    </x:row>
    <x:row r="565" ht="72" customHeight="1">
      <x:c r="A565" t="n">
        <x:v>1981</x:v>
      </x:c>
      <x:c r="B565" t="str">
        <x:v>CNY</x:v>
      </x:c>
      <x:c r="C565" s="12" t="str">
        <x:v>人民币元（1955币制；CNY）</x:v>
      </x:c>
      <x:c r="D565" s="24" t="n">
        <x:v>1.71</x:v>
      </x:c>
      <x:c r="E565" s="20" t="str">
        <x:v>LCU/USD</x:v>
      </x:c>
      <x:c r="F565" s="20" t="n">
        <x:v>1</x:v>
      </x:c>
      <x:c r="G565" s="22" t="n">
        <x:f>IF(E565="LCU/USD",D565*F565,F565/D565)</x:f>
        <x:v>1.71</x:v>
      </x:c>
      <x:c r="H565" s="12" t="str">
        <x:v>年均</x:v>
      </x:c>
      <x:c r="I565" s="12" t="str">
        <x:v>1981-01-01—1981-12-31</x:v>
      </x:c>
      <x:c r="J565" s="12" t="str">
        <x:v>FRB_CNY</x:v>
      </x:c>
      <x:c r="K565" s="12" t="str">
        <x:v>https://fred.stlouisfed.org/data/AEXCHUS</x:v>
      </x:c>
      <x:c r="L565" s="12" t="str"/>
      <x:c r="M565" s="12" t="str">
        <x:v>A：机构统计／原始统计表</x:v>
      </x:c>
    </x:row>
    <x:row r="566" ht="72" customHeight="1">
      <x:c r="A566" t="n">
        <x:v>1982</x:v>
      </x:c>
      <x:c r="B566" t="str">
        <x:v>GBP</x:v>
      </x:c>
      <x:c r="C566" s="12" t="str">
        <x:v>英镑（GBP）</x:v>
      </x:c>
      <x:c r="D566" s="24" t="n">
        <x:v>1.748</x:v>
      </x:c>
      <x:c r="E566" s="20" t="str">
        <x:v>USD/LCU</x:v>
      </x:c>
      <x:c r="F566" s="20" t="n">
        <x:v>1</x:v>
      </x:c>
      <x:c r="G566" s="22" t="n">
        <x:f>IF(E566="LCU/USD",D566*F566,F566/D566)</x:f>
        <x:v>0.5720823798627003</x:v>
      </x:c>
      <x:c r="H566" s="12" t="str">
        <x:v>年均</x:v>
      </x:c>
      <x:c r="I566" s="12" t="str">
        <x:v>1982-01-01—1982-12-31</x:v>
      </x:c>
      <x:c r="J566" s="12" t="str">
        <x:v>FRB_GBP</x:v>
      </x:c>
      <x:c r="K566" s="12" t="str">
        <x:v>https://fred.stlouisfed.org/data/AEXUSUK</x:v>
      </x:c>
      <x:c r="L566" s="12" t="str">
        <x:v>反向值由原报价均值取倒数；不等于反向日度汇率的算术平均。</x:v>
      </x:c>
      <x:c r="M566" s="12" t="str">
        <x:v>A：机构统计／原始统计表</x:v>
      </x:c>
    </x:row>
    <x:row r="567" ht="72" customHeight="1">
      <x:c r="A567" t="n">
        <x:v>1982</x:v>
      </x:c>
      <x:c r="B567" t="str">
        <x:v>CAD</x:v>
      </x:c>
      <x:c r="C567" s="12" t="str">
        <x:v>加拿大元（CAD）</x:v>
      </x:c>
      <x:c r="D567" s="24" t="n">
        <x:v>1.2344</x:v>
      </x:c>
      <x:c r="E567" s="20" t="str">
        <x:v>LCU/USD</x:v>
      </x:c>
      <x:c r="F567" s="20" t="n">
        <x:v>1</x:v>
      </x:c>
      <x:c r="G567" s="22" t="n">
        <x:f>IF(E567="LCU/USD",D567*F567,F567/D567)</x:f>
        <x:v>1.2344</x:v>
      </x:c>
      <x:c r="H567" s="12" t="str">
        <x:v>年均</x:v>
      </x:c>
      <x:c r="I567" s="12" t="str">
        <x:v>1982-01-01—1982-12-31</x:v>
      </x:c>
      <x:c r="J567" s="12" t="str">
        <x:v>FRB_CAD</x:v>
      </x:c>
      <x:c r="K567" s="12" t="str">
        <x:v>https://fred.stlouisfed.org/data/AEXCAUS</x:v>
      </x:c>
      <x:c r="L567" s="12" t="str"/>
      <x:c r="M567" s="12" t="str">
        <x:v>A：机构统计／原始统计表</x:v>
      </x:c>
    </x:row>
    <x:row r="568" ht="72" customHeight="1">
      <x:c r="A568" t="n">
        <x:v>1982</x:v>
      </x:c>
      <x:c r="B568" t="str">
        <x:v>FR</x:v>
      </x:c>
      <x:c r="C568" s="12" t="str">
        <x:v>法国法郎（FRF；1960币制）</x:v>
      </x:c>
      <x:c r="D568" s="24" t="n">
        <x:v>1.0019038341</x:v>
      </x:c>
      <x:c r="E568" s="20" t="str">
        <x:v>LCU/USD</x:v>
      </x:c>
      <x:c r="F568" s="20" t="n">
        <x:f>'币制说明'!$C$27</x:f>
        <x:v>6.55957</x:v>
      </x:c>
      <x:c r="G568" s="22" t="n">
        <x:f>IF(E568="LCU/USD",D568*F568,F568/D568)</x:f>
        <x:v>6.5720583330473366</x:v>
      </x:c>
      <x:c r="H568" s="12" t="str">
        <x:v>年均</x:v>
      </x:c>
      <x:c r="I568" s="12" t="str">
        <x:v>1982-01-01—1982-12-31</x:v>
      </x:c>
      <x:c r="J568" s="12" t="str">
        <x:v>OECD_FR</x:v>
      </x:c>
      <x:c r="K568" s="12" t="str">
        <x:v>https://fred.stlouisfed.org/data/CCUSMA02FRA618N</x:v>
      </x:c>
      <x:c r="L568" s="12" t="str">
        <x:v>由欧元回溯单位还原当年本币；非当年实际欧元报价。 欧元回溯单位按不可撤销转换率还原；法国1960年前另乘100。</x:v>
      </x:c>
      <x:c r="M568" s="12" t="str">
        <x:v>A：机构统计／原始统计表</x:v>
      </x:c>
    </x:row>
    <x:row r="569" ht="72" customHeight="1">
      <x:c r="A569" t="n">
        <x:v>1982</x:v>
      </x:c>
      <x:c r="B569" t="str">
        <x:v>DE</x:v>
      </x:c>
      <x:c r="C569" s="12" t="str">
        <x:v>西德德国马克（DEM）</x:v>
      </x:c>
      <x:c r="D569" s="24" t="n">
        <x:v>1.2407392258</x:v>
      </x:c>
      <x:c r="E569" s="20" t="str">
        <x:v>LCU/USD</x:v>
      </x:c>
      <x:c r="F569" s="20" t="n">
        <x:f>'币制说明'!$C$28</x:f>
        <x:v>1.95583</x:v>
      </x:c>
      <x:c r="G569" s="22" t="n">
        <x:f>IF(E569="LCU/USD",D569*F569,F569/D569)</x:f>
        <x:v>2.426674999996414</x:v>
      </x:c>
      <x:c r="H569" s="12" t="str">
        <x:v>年均</x:v>
      </x:c>
      <x:c r="I569" s="12" t="str">
        <x:v>1982-01-01—1982-12-31</x:v>
      </x:c>
      <x:c r="J569" s="12" t="str">
        <x:v>OECD_DE</x:v>
      </x:c>
      <x:c r="K569" s="12" t="str">
        <x:v>https://fred.stlouisfed.org/data/CCUSMA02DEA618N</x:v>
      </x:c>
      <x:c r="L569" s="12" t="str">
        <x:v>由欧元回溯单位还原当年本币；非当年实际欧元报价。 欧元回溯单位按不可撤销转换率还原；法国1960年前另乘100。</x:v>
      </x:c>
      <x:c r="M569" s="12" t="str">
        <x:v>A：机构统计／原始统计表</x:v>
      </x:c>
    </x:row>
    <x:row r="570" ht="72" customHeight="1">
      <x:c r="A570" t="n">
        <x:v>1982</x:v>
      </x:c>
      <x:c r="B570" t="str">
        <x:v>IT</x:v>
      </x:c>
      <x:c r="C570" s="12" t="str">
        <x:v>意大利里拉（ITL）</x:v>
      </x:c>
      <x:c r="D570" s="24" t="n">
        <x:v>0.6985911271</x:v>
      </x:c>
      <x:c r="E570" s="20" t="str">
        <x:v>LCU/USD</x:v>
      </x:c>
      <x:c r="F570" s="20" t="n">
        <x:f>'币制说明'!$C$29</x:f>
        <x:v>1936.27</x:v>
      </x:c>
      <x:c r="G570" s="22" t="n">
        <x:f>IF(E570="LCU/USD",D570*F570,F570/D570)</x:f>
        <x:v>1352.661041669917</x:v>
      </x:c>
      <x:c r="H570" s="12" t="str">
        <x:v>年均</x:v>
      </x:c>
      <x:c r="I570" s="12" t="str">
        <x:v>1982-01-01—1982-12-31</x:v>
      </x:c>
      <x:c r="J570" s="12" t="str">
        <x:v>OECD_IT</x:v>
      </x:c>
      <x:c r="K570" s="12" t="str">
        <x:v>https://fred.stlouisfed.org/data/CCUSMA02ITA618N</x:v>
      </x:c>
      <x:c r="L570" s="12" t="str">
        <x:v>由欧元回溯单位还原当年本币；非当年实际欧元报价。 欧元回溯单位按不可撤销转换率还原；法国1960年前另乘100。</x:v>
      </x:c>
      <x:c r="M570" s="12" t="str">
        <x:v>A：机构统计／原始统计表</x:v>
      </x:c>
    </x:row>
    <x:row r="571" ht="72" customHeight="1">
      <x:c r="A571" t="n">
        <x:v>1982</x:v>
      </x:c>
      <x:c r="B571" t="str">
        <x:v>JPY</x:v>
      </x:c>
      <x:c r="C571" s="12" t="str">
        <x:v>日元（JPY）</x:v>
      </x:c>
      <x:c r="D571" s="24" t="n">
        <x:v>249.0601</x:v>
      </x:c>
      <x:c r="E571" s="20" t="str">
        <x:v>LCU/USD</x:v>
      </x:c>
      <x:c r="F571" s="20" t="n">
        <x:v>1</x:v>
      </x:c>
      <x:c r="G571" s="22" t="n">
        <x:f>IF(E571="LCU/USD",D571*F571,F571/D571)</x:f>
        <x:v>249.0601</x:v>
      </x:c>
      <x:c r="H571" s="12" t="str">
        <x:v>年均</x:v>
      </x:c>
      <x:c r="I571" s="12" t="str">
        <x:v>1982-01-01—1982-12-31</x:v>
      </x:c>
      <x:c r="J571" s="12" t="str">
        <x:v>FRB_JPY</x:v>
      </x:c>
      <x:c r="K571" s="12" t="str">
        <x:v>https://fred.stlouisfed.org/data/AEXJPUS</x:v>
      </x:c>
      <x:c r="L571" s="12" t="str"/>
      <x:c r="M571" s="12" t="str">
        <x:v>A：机构统计／原始统计表</x:v>
      </x:c>
    </x:row>
    <x:row r="572" ht="72" customHeight="1">
      <x:c r="A572" t="n">
        <x:v>1982</x:v>
      </x:c>
      <x:c r="B572" t="str">
        <x:v>CHF</x:v>
      </x:c>
      <x:c r="C572" s="12" t="str">
        <x:v>瑞士法郎（CHF）</x:v>
      </x:c>
      <x:c r="D572" s="24" t="n">
        <x:v>2.0319</x:v>
      </x:c>
      <x:c r="E572" s="20" t="str">
        <x:v>LCU/USD</x:v>
      </x:c>
      <x:c r="F572" s="20" t="n">
        <x:v>1</x:v>
      </x:c>
      <x:c r="G572" s="22" t="n">
        <x:f>IF(E572="LCU/USD",D572*F572,F572/D572)</x:f>
        <x:v>2.0319</x:v>
      </x:c>
      <x:c r="H572" s="12" t="str">
        <x:v>年均</x:v>
      </x:c>
      <x:c r="I572" s="12" t="str">
        <x:v>1982-01-01—1982-12-31</x:v>
      </x:c>
      <x:c r="J572" s="12" t="str">
        <x:v>FRB_CHF</x:v>
      </x:c>
      <x:c r="K572" s="12" t="str">
        <x:v>https://fred.stlouisfed.org/data/AEXSZUS</x:v>
      </x:c>
      <x:c r="L572" s="12" t="str"/>
      <x:c r="M572" s="12" t="str">
        <x:v>A：机构统计／原始统计表</x:v>
      </x:c>
    </x:row>
    <x:row r="573" ht="72" customHeight="1">
      <x:c r="A573" t="n">
        <x:v>1982</x:v>
      </x:c>
      <x:c r="B573" t="str">
        <x:v>INR</x:v>
      </x:c>
      <x:c r="C573" s="12" t="str">
        <x:v>印度卢比（INR）</x:v>
      </x:c>
      <x:c r="D573" s="24" t="n">
        <x:v>9.4847</x:v>
      </x:c>
      <x:c r="E573" s="20" t="str">
        <x:v>LCU/USD</x:v>
      </x:c>
      <x:c r="F573" s="20" t="n">
        <x:v>1</x:v>
      </x:c>
      <x:c r="G573" s="22" t="n">
        <x:f>IF(E573="LCU/USD",D573*F573,F573/D573)</x:f>
        <x:v>9.4847</x:v>
      </x:c>
      <x:c r="H573" s="12" t="str">
        <x:v>年均</x:v>
      </x:c>
      <x:c r="I573" s="12" t="str">
        <x:v>1982-01-01—1982-12-31</x:v>
      </x:c>
      <x:c r="J573" s="12" t="str">
        <x:v>FRB_INR</x:v>
      </x:c>
      <x:c r="K573" s="12" t="str">
        <x:v>https://fred.stlouisfed.org/data/AEXINUS</x:v>
      </x:c>
      <x:c r="L573" s="12" t="str"/>
      <x:c r="M573" s="12" t="str">
        <x:v>A：机构统计／原始统计表</x:v>
      </x:c>
    </x:row>
    <x:row r="574" ht="72" customHeight="1">
      <x:c r="A574" t="n">
        <x:v>1982</x:v>
      </x:c>
      <x:c r="B574" t="str">
        <x:v>RUB</x:v>
      </x:c>
      <x:c r="C574" s="12" t="str">
        <x:v>苏联卢布（1961币制）</x:v>
      </x:c>
      <x:c r="D574" s="24" t="n">
        <x:v>0.708</x:v>
      </x:c>
      <x:c r="E574" s="20" t="str">
        <x:v>LCU/USD</x:v>
      </x:c>
      <x:c r="F574" s="20" t="n">
        <x:v>1</x:v>
      </x:c>
      <x:c r="G574" s="22" t="n">
        <x:f>IF(E574="LCU/USD",D574*F574,F574/D574)</x:f>
        <x:v>0.708</x:v>
      </x:c>
      <x:c r="H574" s="12" t="str">
        <x:v>定点官价参考（非年均）</x:v>
      </x:c>
      <x:c r="I574" s="12" t="str">
        <x:v>1982-01-01</x:v>
      </x:c>
      <x:c r="J574" s="12" t="str">
        <x:v>SUR_OFFICIAL_SECONDARY</x:v>
      </x:c>
      <x:c r="K574" s="12" t="str">
        <x:v>https://en.wikipedia.org/wiki/Soviet_ruble#Exchange_rates</x:v>
      </x:c>
      <x:c r="L574" s="12" t="str">
        <x:v>选取源表该年最早列出的日期，不代表该年平均、全年固定价或统一可成交价；原档案未复核。</x:v>
      </x:c>
      <x:c r="M574" s="12" t="str">
        <x:v>C：二手转引（原档未复核）</x:v>
      </x:c>
    </x:row>
    <x:row r="575" ht="72" customHeight="1">
      <x:c r="A575" t="n">
        <x:v>1982</x:v>
      </x:c>
      <x:c r="B575" t="str">
        <x:v>CNY</x:v>
      </x:c>
      <x:c r="C575" s="12" t="str">
        <x:v>人民币元（1955币制；CNY）</x:v>
      </x:c>
      <x:c r="D575" s="24" t="n">
        <x:v>1.8979</x:v>
      </x:c>
      <x:c r="E575" s="20" t="str">
        <x:v>LCU/USD</x:v>
      </x:c>
      <x:c r="F575" s="20" t="n">
        <x:v>1</x:v>
      </x:c>
      <x:c r="G575" s="22" t="n">
        <x:f>IF(E575="LCU/USD",D575*F575,F575/D575)</x:f>
        <x:v>1.8979</x:v>
      </x:c>
      <x:c r="H575" s="12" t="str">
        <x:v>年均</x:v>
      </x:c>
      <x:c r="I575" s="12" t="str">
        <x:v>1982-01-01—1982-12-31</x:v>
      </x:c>
      <x:c r="J575" s="12" t="str">
        <x:v>FRB_CNY</x:v>
      </x:c>
      <x:c r="K575" s="12" t="str">
        <x:v>https://fred.stlouisfed.org/data/AEXCHUS</x:v>
      </x:c>
      <x:c r="L575" s="12" t="str"/>
      <x:c r="M575" s="12" t="str">
        <x:v>A：机构统计／原始统计表</x:v>
      </x:c>
    </x:row>
    <x:row r="576" ht="72" customHeight="1">
      <x:c r="A576" t="n">
        <x:v>1983</x:v>
      </x:c>
      <x:c r="B576" t="str">
        <x:v>GBP</x:v>
      </x:c>
      <x:c r="C576" s="12" t="str">
        <x:v>英镑（GBP）</x:v>
      </x:c>
      <x:c r="D576" s="24" t="n">
        <x:v>1.5159</x:v>
      </x:c>
      <x:c r="E576" s="20" t="str">
        <x:v>USD/LCU</x:v>
      </x:c>
      <x:c r="F576" s="20" t="n">
        <x:v>1</x:v>
      </x:c>
      <x:c r="G576" s="22" t="n">
        <x:f>IF(E576="LCU/USD",D576*F576,F576/D576)</x:f>
        <x:v>0.6596741209842337</x:v>
      </x:c>
      <x:c r="H576" s="12" t="str">
        <x:v>年均</x:v>
      </x:c>
      <x:c r="I576" s="12" t="str">
        <x:v>1983-01-01—1983-12-31</x:v>
      </x:c>
      <x:c r="J576" s="12" t="str">
        <x:v>FRB_GBP</x:v>
      </x:c>
      <x:c r="K576" s="12" t="str">
        <x:v>https://fred.stlouisfed.org/data/AEXUSUK</x:v>
      </x:c>
      <x:c r="L576" s="12" t="str">
        <x:v>反向值由原报价均值取倒数；不等于反向日度汇率的算术平均。</x:v>
      </x:c>
      <x:c r="M576" s="12" t="str">
        <x:v>A：机构统计／原始统计表</x:v>
      </x:c>
    </x:row>
    <x:row r="577" ht="72" customHeight="1">
      <x:c r="A577" t="n">
        <x:v>1983</x:v>
      </x:c>
      <x:c r="B577" t="str">
        <x:v>CAD</x:v>
      </x:c>
      <x:c r="C577" s="12" t="str">
        <x:v>加拿大元（CAD）</x:v>
      </x:c>
      <x:c r="D577" s="24" t="n">
        <x:v>1.2325</x:v>
      </x:c>
      <x:c r="E577" s="20" t="str">
        <x:v>LCU/USD</x:v>
      </x:c>
      <x:c r="F577" s="20" t="n">
        <x:v>1</x:v>
      </x:c>
      <x:c r="G577" s="22" t="n">
        <x:f>IF(E577="LCU/USD",D577*F577,F577/D577)</x:f>
        <x:v>1.2325</x:v>
      </x:c>
      <x:c r="H577" s="12" t="str">
        <x:v>年均</x:v>
      </x:c>
      <x:c r="I577" s="12" t="str">
        <x:v>1983-01-01—1983-12-31</x:v>
      </x:c>
      <x:c r="J577" s="12" t="str">
        <x:v>FRB_CAD</x:v>
      </x:c>
      <x:c r="K577" s="12" t="str">
        <x:v>https://fred.stlouisfed.org/data/AEXCAUS</x:v>
      </x:c>
      <x:c r="L577" s="12" t="str"/>
      <x:c r="M577" s="12" t="str">
        <x:v>A：机构统计／原始统计表</x:v>
      </x:c>
    </x:row>
    <x:row r="578" ht="72" customHeight="1">
      <x:c r="A578" t="n">
        <x:v>1983</x:v>
      </x:c>
      <x:c r="B578" t="str">
        <x:v>FR</x:v>
      </x:c>
      <x:c r="C578" s="12" t="str">
        <x:v>法国法郎（FRF；1960币制）</x:v>
      </x:c>
      <x:c r="D578" s="24" t="n">
        <x:v>1.1618584247</x:v>
      </x:c>
      <x:c r="E578" s="20" t="str">
        <x:v>LCU/USD</x:v>
      </x:c>
      <x:c r="F578" s="20" t="n">
        <x:f>'币制说明'!$C$27</x:f>
        <x:v>6.55957</x:v>
      </x:c>
      <x:c r="G578" s="22" t="n">
        <x:f>IF(E578="LCU/USD",D578*F578,F578/D578)</x:f>
        <x:v>7.621291666909378</x:v>
      </x:c>
      <x:c r="H578" s="12" t="str">
        <x:v>年均</x:v>
      </x:c>
      <x:c r="I578" s="12" t="str">
        <x:v>1983-01-01—1983-12-31</x:v>
      </x:c>
      <x:c r="J578" s="12" t="str">
        <x:v>OECD_FR</x:v>
      </x:c>
      <x:c r="K578" s="12" t="str">
        <x:v>https://fred.stlouisfed.org/data/CCUSMA02FRA618N</x:v>
      </x:c>
      <x:c r="L578" s="12" t="str">
        <x:v>由欧元回溯单位还原当年本币；非当年实际欧元报价。 欧元回溯单位按不可撤销转换率还原；法国1960年前另乘100。</x:v>
      </x:c>
      <x:c r="M578" s="12" t="str">
        <x:v>A：机构统计／原始统计表</x:v>
      </x:c>
    </x:row>
    <x:row r="579" ht="72" customHeight="1">
      <x:c r="A579" t="n">
        <x:v>1983</x:v>
      </x:c>
      <x:c r="B579" t="str">
        <x:v>DE</x:v>
      </x:c>
      <x:c r="C579" s="12" t="str">
        <x:v>西德德国马克（DEM）</x:v>
      </x:c>
      <x:c r="D579" s="24" t="n">
        <x:v>1.3055156464</x:v>
      </x:c>
      <x:c r="E579" s="20" t="str">
        <x:v>LCU/USD</x:v>
      </x:c>
      <x:c r="F579" s="20" t="n">
        <x:f>'币制说明'!$C$28</x:f>
        <x:v>1.95583</x:v>
      </x:c>
      <x:c r="G579" s="22" t="n">
        <x:f>IF(E579="LCU/USD",D579*F579,F579/D579)</x:f>
        <x:v>2.553366666698512</x:v>
      </x:c>
      <x:c r="H579" s="12" t="str">
        <x:v>年均</x:v>
      </x:c>
      <x:c r="I579" s="12" t="str">
        <x:v>1983-01-01—1983-12-31</x:v>
      </x:c>
      <x:c r="J579" s="12" t="str">
        <x:v>OECD_DE</x:v>
      </x:c>
      <x:c r="K579" s="12" t="str">
        <x:v>https://fred.stlouisfed.org/data/CCUSMA02DEA618N</x:v>
      </x:c>
      <x:c r="L579" s="12" t="str">
        <x:v>由欧元回溯单位还原当年本币；非当年实际欧元报价。 欧元回溯单位按不可撤销转换率还原；法国1960年前另乘100。</x:v>
      </x:c>
      <x:c r="M579" s="12" t="str">
        <x:v>A：机构统计／原始统计表</x:v>
      </x:c>
    </x:row>
    <x:row r="580" ht="72" customHeight="1">
      <x:c r="A580" t="n">
        <x:v>1983</x:v>
      </x:c>
      <x:c r="B580" t="str">
        <x:v>IT</x:v>
      </x:c>
      <x:c r="C580" s="12" t="str">
        <x:v>意大利里拉（ITL）</x:v>
      </x:c>
      <x:c r="D580" s="24" t="n">
        <x:v>0.7844694697</x:v>
      </x:c>
      <x:c r="E580" s="20" t="str">
        <x:v>LCU/USD</x:v>
      </x:c>
      <x:c r="F580" s="20" t="n">
        <x:f>'币制说明'!$C$29</x:f>
        <x:v>1936.27</x:v>
      </x:c>
      <x:c r="G580" s="22" t="n">
        <x:f>IF(E580="LCU/USD",D580*F580,F580/D580)</x:f>
        <x:v>1518.944700096019</x:v>
      </x:c>
      <x:c r="H580" s="12" t="str">
        <x:v>年均</x:v>
      </x:c>
      <x:c r="I580" s="12" t="str">
        <x:v>1983-01-01—1983-12-31</x:v>
      </x:c>
      <x:c r="J580" s="12" t="str">
        <x:v>OECD_IT</x:v>
      </x:c>
      <x:c r="K580" s="12" t="str">
        <x:v>https://fred.stlouisfed.org/data/CCUSMA02ITA618N</x:v>
      </x:c>
      <x:c r="L580" s="12" t="str">
        <x:v>由欧元回溯单位还原当年本币；非当年实际欧元报价。 欧元回溯单位按不可撤销转换率还原；法国1960年前另乘100。</x:v>
      </x:c>
      <x:c r="M580" s="12" t="str">
        <x:v>A：机构统计／原始统计表</x:v>
      </x:c>
    </x:row>
    <x:row r="581" ht="72" customHeight="1">
      <x:c r="A581" t="n">
        <x:v>1983</x:v>
      </x:c>
      <x:c r="B581" t="str">
        <x:v>JPY</x:v>
      </x:c>
      <x:c r="C581" s="12" t="str">
        <x:v>日元（JPY）</x:v>
      </x:c>
      <x:c r="D581" s="24" t="n">
        <x:v>237.5535</x:v>
      </x:c>
      <x:c r="E581" s="20" t="str">
        <x:v>LCU/USD</x:v>
      </x:c>
      <x:c r="F581" s="20" t="n">
        <x:v>1</x:v>
      </x:c>
      <x:c r="G581" s="22" t="n">
        <x:f>IF(E581="LCU/USD",D581*F581,F581/D581)</x:f>
        <x:v>237.5535</x:v>
      </x:c>
      <x:c r="H581" s="12" t="str">
        <x:v>年均</x:v>
      </x:c>
      <x:c r="I581" s="12" t="str">
        <x:v>1983-01-01—1983-12-31</x:v>
      </x:c>
      <x:c r="J581" s="12" t="str">
        <x:v>FRB_JPY</x:v>
      </x:c>
      <x:c r="K581" s="12" t="str">
        <x:v>https://fred.stlouisfed.org/data/AEXJPUS</x:v>
      </x:c>
      <x:c r="L581" s="12" t="str"/>
      <x:c r="M581" s="12" t="str">
        <x:v>A：机构统计／原始统计表</x:v>
      </x:c>
    </x:row>
    <x:row r="582" ht="72" customHeight="1">
      <x:c r="A582" t="n">
        <x:v>1983</x:v>
      </x:c>
      <x:c r="B582" t="str">
        <x:v>CHF</x:v>
      </x:c>
      <x:c r="C582" s="12" t="str">
        <x:v>瑞士法郎（CHF）</x:v>
      </x:c>
      <x:c r="D582" s="24" t="n">
        <x:v>2.1007</x:v>
      </x:c>
      <x:c r="E582" s="20" t="str">
        <x:v>LCU/USD</x:v>
      </x:c>
      <x:c r="F582" s="20" t="n">
        <x:v>1</x:v>
      </x:c>
      <x:c r="G582" s="22" t="n">
        <x:f>IF(E582="LCU/USD",D582*F582,F582/D582)</x:f>
        <x:v>2.1007</x:v>
      </x:c>
      <x:c r="H582" s="12" t="str">
        <x:v>年均</x:v>
      </x:c>
      <x:c r="I582" s="12" t="str">
        <x:v>1983-01-01—1983-12-31</x:v>
      </x:c>
      <x:c r="J582" s="12" t="str">
        <x:v>FRB_CHF</x:v>
      </x:c>
      <x:c r="K582" s="12" t="str">
        <x:v>https://fred.stlouisfed.org/data/AEXSZUS</x:v>
      </x:c>
      <x:c r="L582" s="12" t="str"/>
      <x:c r="M582" s="12" t="str">
        <x:v>A：机构统计／原始统计表</x:v>
      </x:c>
    </x:row>
    <x:row r="583" ht="72" customHeight="1">
      <x:c r="A583" t="n">
        <x:v>1983</x:v>
      </x:c>
      <x:c r="B583" t="str">
        <x:v>INR</x:v>
      </x:c>
      <x:c r="C583" s="12" t="str">
        <x:v>印度卢比（INR）</x:v>
      </x:c>
      <x:c r="D583" s="24" t="n">
        <x:v>10.1041</x:v>
      </x:c>
      <x:c r="E583" s="20" t="str">
        <x:v>LCU/USD</x:v>
      </x:c>
      <x:c r="F583" s="20" t="n">
        <x:v>1</x:v>
      </x:c>
      <x:c r="G583" s="22" t="n">
        <x:f>IF(E583="LCU/USD",D583*F583,F583/D583)</x:f>
        <x:v>10.1041</x:v>
      </x:c>
      <x:c r="H583" s="12" t="str">
        <x:v>年均</x:v>
      </x:c>
      <x:c r="I583" s="12" t="str">
        <x:v>1983-01-01—1983-12-31</x:v>
      </x:c>
      <x:c r="J583" s="12" t="str">
        <x:v>FRB_INR</x:v>
      </x:c>
      <x:c r="K583" s="12" t="str">
        <x:v>https://fred.stlouisfed.org/data/AEXINUS</x:v>
      </x:c>
      <x:c r="L583" s="12" t="str"/>
      <x:c r="M583" s="12" t="str">
        <x:v>A：机构统计／原始统计表</x:v>
      </x:c>
    </x:row>
    <x:row r="584" ht="72" customHeight="1">
      <x:c r="A584" t="n">
        <x:v>1983</x:v>
      </x:c>
      <x:c r="B584" t="str">
        <x:v>RUB</x:v>
      </x:c>
      <x:c r="C584" s="12" t="str">
        <x:v>苏联卢布（1961币制）</x:v>
      </x:c>
      <x:c r="D584" s="24" t="n">
        <x:v>0.707</x:v>
      </x:c>
      <x:c r="E584" s="20" t="str">
        <x:v>LCU/USD</x:v>
      </x:c>
      <x:c r="F584" s="20" t="n">
        <x:v>1</x:v>
      </x:c>
      <x:c r="G584" s="22" t="n">
        <x:f>IF(E584="LCU/USD",D584*F584,F584/D584)</x:f>
        <x:v>0.707</x:v>
      </x:c>
      <x:c r="H584" s="12" t="str">
        <x:v>定点官价参考（非年均）</x:v>
      </x:c>
      <x:c r="I584" s="12" t="str">
        <x:v>1983-01-13</x:v>
      </x:c>
      <x:c r="J584" s="12" t="str">
        <x:v>SUR_OFFICIAL_SECONDARY</x:v>
      </x:c>
      <x:c r="K584" s="12" t="str">
        <x:v>https://en.wikipedia.org/wiki/Soviet_ruble#Exchange_rates</x:v>
      </x:c>
      <x:c r="L584" s="12" t="str">
        <x:v>选取源表该年最早列出的日期，不代表该年平均、全年固定价或统一可成交价；原档案未复核。</x:v>
      </x:c>
      <x:c r="M584" s="12" t="str">
        <x:v>C：二手转引（原档未复核）</x:v>
      </x:c>
    </x:row>
    <x:row r="585" ht="72" customHeight="1">
      <x:c r="A585" t="n">
        <x:v>1983</x:v>
      </x:c>
      <x:c r="B585" t="str">
        <x:v>CNY</x:v>
      </x:c>
      <x:c r="C585" s="12" t="str">
        <x:v>人民币元（1955币制；CNY）</x:v>
      </x:c>
      <x:c r="D585" s="24" t="n">
        <x:v>1.981</x:v>
      </x:c>
      <x:c r="E585" s="20" t="str">
        <x:v>LCU/USD</x:v>
      </x:c>
      <x:c r="F585" s="20" t="n">
        <x:v>1</x:v>
      </x:c>
      <x:c r="G585" s="22" t="n">
        <x:f>IF(E585="LCU/USD",D585*F585,F585/D585)</x:f>
        <x:v>1.981</x:v>
      </x:c>
      <x:c r="H585" s="12" t="str">
        <x:v>年均</x:v>
      </x:c>
      <x:c r="I585" s="12" t="str">
        <x:v>1983-01-01—1983-12-31</x:v>
      </x:c>
      <x:c r="J585" s="12" t="str">
        <x:v>FRB_CNY</x:v>
      </x:c>
      <x:c r="K585" s="12" t="str">
        <x:v>https://fred.stlouisfed.org/data/AEXCHUS</x:v>
      </x:c>
      <x:c r="L585" s="12" t="str"/>
      <x:c r="M585" s="12" t="str">
        <x:v>A：机构统计／原始统计表</x:v>
      </x:c>
    </x:row>
    <x:row r="586" ht="72" customHeight="1">
      <x:c r="A586" t="n">
        <x:v>1984</x:v>
      </x:c>
      <x:c r="B586" t="str">
        <x:v>GBP</x:v>
      </x:c>
      <x:c r="C586" s="12" t="str">
        <x:v>英镑（GBP）</x:v>
      </x:c>
      <x:c r="D586" s="24" t="n">
        <x:v>1.3368</x:v>
      </x:c>
      <x:c r="E586" s="20" t="str">
        <x:v>USD/LCU</x:v>
      </x:c>
      <x:c r="F586" s="20" t="n">
        <x:v>1</x:v>
      </x:c>
      <x:c r="G586" s="22" t="n">
        <x:f>IF(E586="LCU/USD",D586*F586,F586/D586)</x:f>
        <x:v>0.7480550568521843</x:v>
      </x:c>
      <x:c r="H586" s="12" t="str">
        <x:v>年均</x:v>
      </x:c>
      <x:c r="I586" s="12" t="str">
        <x:v>1984-01-01—1984-12-31</x:v>
      </x:c>
      <x:c r="J586" s="12" t="str">
        <x:v>FRB_GBP</x:v>
      </x:c>
      <x:c r="K586" s="12" t="str">
        <x:v>https://fred.stlouisfed.org/data/AEXUSUK</x:v>
      </x:c>
      <x:c r="L586" s="12" t="str">
        <x:v>反向值由原报价均值取倒数；不等于反向日度汇率的算术平均。</x:v>
      </x:c>
      <x:c r="M586" s="12" t="str">
        <x:v>A：机构统计／原始统计表</x:v>
      </x:c>
    </x:row>
    <x:row r="587" ht="72" customHeight="1">
      <x:c r="A587" t="n">
        <x:v>1984</x:v>
      </x:c>
      <x:c r="B587" t="str">
        <x:v>CAD</x:v>
      </x:c>
      <x:c r="C587" s="12" t="str">
        <x:v>加拿大元（CAD）</x:v>
      </x:c>
      <x:c r="D587" s="24" t="n">
        <x:v>1.2952</x:v>
      </x:c>
      <x:c r="E587" s="20" t="str">
        <x:v>LCU/USD</x:v>
      </x:c>
      <x:c r="F587" s="20" t="n">
        <x:v>1</x:v>
      </x:c>
      <x:c r="G587" s="22" t="n">
        <x:f>IF(E587="LCU/USD",D587*F587,F587/D587)</x:f>
        <x:v>1.2952</x:v>
      </x:c>
      <x:c r="H587" s="12" t="str">
        <x:v>年均</x:v>
      </x:c>
      <x:c r="I587" s="12" t="str">
        <x:v>1984-01-01—1984-12-31</x:v>
      </x:c>
      <x:c r="J587" s="12" t="str">
        <x:v>FRB_CAD</x:v>
      </x:c>
      <x:c r="K587" s="12" t="str">
        <x:v>https://fred.stlouisfed.org/data/AEXCAUS</x:v>
      </x:c>
      <x:c r="L587" s="12" t="str"/>
      <x:c r="M587" s="12" t="str">
        <x:v>A：机构统计／原始统计表</x:v>
      </x:c>
    </x:row>
    <x:row r="588" ht="72" customHeight="1">
      <x:c r="A588" t="n">
        <x:v>1984</x:v>
      </x:c>
      <x:c r="B588" t="str">
        <x:v>FR</x:v>
      </x:c>
      <x:c r="C588" s="12" t="str">
        <x:v>法国法郎（FRF；1960币制）</x:v>
      </x:c>
      <x:c r="D588" s="24" t="n">
        <x:v>1.3323192933</x:v>
      </x:c>
      <x:c r="E588" s="20" t="str">
        <x:v>LCU/USD</x:v>
      </x:c>
      <x:c r="F588" s="20" t="n">
        <x:f>'币制说明'!$C$27</x:f>
        <x:v>6.55957</x:v>
      </x:c>
      <x:c r="G588" s="22" t="n">
        <x:f>IF(E588="LCU/USD",D588*F588,F588/D588)</x:f>
        <x:v>8.739441666751881</x:v>
      </x:c>
      <x:c r="H588" s="12" t="str">
        <x:v>年均</x:v>
      </x:c>
      <x:c r="I588" s="12" t="str">
        <x:v>1984-01-01—1984-12-31</x:v>
      </x:c>
      <x:c r="J588" s="12" t="str">
        <x:v>OECD_FR</x:v>
      </x:c>
      <x:c r="K588" s="12" t="str">
        <x:v>https://fred.stlouisfed.org/data/CCUSMA02FRA618N</x:v>
      </x:c>
      <x:c r="L588" s="12" t="str">
        <x:v>由欧元回溯单位还原当年本币；非当年实际欧元报价。 欧元回溯单位按不可撤销转换率还原；法国1960年前另乘100。</x:v>
      </x:c>
      <x:c r="M588" s="12" t="str">
        <x:v>A：机构统计／原始统计表</x:v>
      </x:c>
    </x:row>
    <x:row r="589" ht="72" customHeight="1">
      <x:c r="A589" t="n">
        <x:v>1984</x:v>
      </x:c>
      <x:c r="B589" t="str">
        <x:v>DE</x:v>
      </x:c>
      <x:c r="C589" s="12" t="str">
        <x:v>西德德国马克（DEM）</x:v>
      </x:c>
      <x:c r="D589" s="24" t="n">
        <x:v>1.4553582537</x:v>
      </x:c>
      <x:c r="E589" s="20" t="str">
        <x:v>LCU/USD</x:v>
      </x:c>
      <x:c r="F589" s="20" t="n">
        <x:f>'币制说明'!$C$28</x:f>
        <x:v>1.95583</x:v>
      </x:c>
      <x:c r="G589" s="22" t="n">
        <x:f>IF(E589="LCU/USD",D589*F589,F589/D589)</x:f>
        <x:v>2.8464333333340712</x:v>
      </x:c>
      <x:c r="H589" s="12" t="str">
        <x:v>年均</x:v>
      </x:c>
      <x:c r="I589" s="12" t="str">
        <x:v>1984-01-01—1984-12-31</x:v>
      </x:c>
      <x:c r="J589" s="12" t="str">
        <x:v>OECD_DE</x:v>
      </x:c>
      <x:c r="K589" s="12" t="str">
        <x:v>https://fred.stlouisfed.org/data/CCUSMA02DEA618N</x:v>
      </x:c>
      <x:c r="L589" s="12" t="str">
        <x:v>由欧元回溯单位还原当年本币；非当年实际欧元报价。 欧元回溯单位按不可撤销转换率还原；法国1960年前另乘100。</x:v>
      </x:c>
      <x:c r="M589" s="12" t="str">
        <x:v>A：机构统计／原始统计表</x:v>
      </x:c>
    </x:row>
    <x:row r="590" ht="72" customHeight="1">
      <x:c r="A590" t="n">
        <x:v>1984</x:v>
      </x:c>
      <x:c r="B590" t="str">
        <x:v>IT</x:v>
      </x:c>
      <x:c r="C590" s="12" t="str">
        <x:v>意大利里拉（ITL）</x:v>
      </x:c>
      <x:c r="D590" s="24" t="n">
        <x:v>0.9072775749</x:v>
      </x:c>
      <x:c r="E590" s="20" t="str">
        <x:v>LCU/USD</x:v>
      </x:c>
      <x:c r="F590" s="20" t="n">
        <x:f>'币制说明'!$C$29</x:f>
        <x:v>1936.27</x:v>
      </x:c>
      <x:c r="G590" s="22" t="n">
        <x:f>IF(E590="LCU/USD",D590*F590,F590/D590)</x:f>
        <x:v>1756.734349951623</x:v>
      </x:c>
      <x:c r="H590" s="12" t="str">
        <x:v>年均</x:v>
      </x:c>
      <x:c r="I590" s="12" t="str">
        <x:v>1984-01-01—1984-12-31</x:v>
      </x:c>
      <x:c r="J590" s="12" t="str">
        <x:v>OECD_IT</x:v>
      </x:c>
      <x:c r="K590" s="12" t="str">
        <x:v>https://fred.stlouisfed.org/data/CCUSMA02ITA618N</x:v>
      </x:c>
      <x:c r="L590" s="12" t="str">
        <x:v>由欧元回溯单位还原当年本币；非当年实际欧元报价。 欧元回溯单位按不可撤销转换率还原；法国1960年前另乘100。</x:v>
      </x:c>
      <x:c r="M590" s="12" t="str">
        <x:v>A：机构统计／原始统计表</x:v>
      </x:c>
    </x:row>
    <x:row r="591" ht="72" customHeight="1">
      <x:c r="A591" t="n">
        <x:v>1984</x:v>
      </x:c>
      <x:c r="B591" t="str">
        <x:v>JPY</x:v>
      </x:c>
      <x:c r="C591" s="12" t="str">
        <x:v>日元（JPY）</x:v>
      </x:c>
      <x:c r="D591" s="24" t="n">
        <x:v>237.4622</x:v>
      </x:c>
      <x:c r="E591" s="20" t="str">
        <x:v>LCU/USD</x:v>
      </x:c>
      <x:c r="F591" s="20" t="n">
        <x:v>1</x:v>
      </x:c>
      <x:c r="G591" s="22" t="n">
        <x:f>IF(E591="LCU/USD",D591*F591,F591/D591)</x:f>
        <x:v>237.4622</x:v>
      </x:c>
      <x:c r="H591" s="12" t="str">
        <x:v>年均</x:v>
      </x:c>
      <x:c r="I591" s="12" t="str">
        <x:v>1984-01-01—1984-12-31</x:v>
      </x:c>
      <x:c r="J591" s="12" t="str">
        <x:v>FRB_JPY</x:v>
      </x:c>
      <x:c r="K591" s="12" t="str">
        <x:v>https://fred.stlouisfed.org/data/AEXJPUS</x:v>
      </x:c>
      <x:c r="L591" s="12" t="str"/>
      <x:c r="M591" s="12" t="str">
        <x:v>A：机构统计／原始统计表</x:v>
      </x:c>
    </x:row>
    <x:row r="592" ht="72" customHeight="1">
      <x:c r="A592" t="n">
        <x:v>1984</x:v>
      </x:c>
      <x:c r="B592" t="str">
        <x:v>CHF</x:v>
      </x:c>
      <x:c r="C592" s="12" t="str">
        <x:v>瑞士法郎（CHF）</x:v>
      </x:c>
      <x:c r="D592" s="24" t="n">
        <x:v>2.35</x:v>
      </x:c>
      <x:c r="E592" s="20" t="str">
        <x:v>LCU/USD</x:v>
      </x:c>
      <x:c r="F592" s="20" t="n">
        <x:v>1</x:v>
      </x:c>
      <x:c r="G592" s="22" t="n">
        <x:f>IF(E592="LCU/USD",D592*F592,F592/D592)</x:f>
        <x:v>2.35</x:v>
      </x:c>
      <x:c r="H592" s="12" t="str">
        <x:v>年均</x:v>
      </x:c>
      <x:c r="I592" s="12" t="str">
        <x:v>1984-01-01—1984-12-31</x:v>
      </x:c>
      <x:c r="J592" s="12" t="str">
        <x:v>FRB_CHF</x:v>
      </x:c>
      <x:c r="K592" s="12" t="str">
        <x:v>https://fred.stlouisfed.org/data/AEXSZUS</x:v>
      </x:c>
      <x:c r="L592" s="12" t="str"/>
      <x:c r="M592" s="12" t="str">
        <x:v>A：机构统计／原始统计表</x:v>
      </x:c>
    </x:row>
    <x:row r="593" ht="72" customHeight="1">
      <x:c r="A593" t="n">
        <x:v>1984</x:v>
      </x:c>
      <x:c r="B593" t="str">
        <x:v>INR</x:v>
      </x:c>
      <x:c r="C593" s="12" t="str">
        <x:v>印度卢比（INR）</x:v>
      </x:c>
      <x:c r="D593" s="24" t="n">
        <x:v>11.3465</x:v>
      </x:c>
      <x:c r="E593" s="20" t="str">
        <x:v>LCU/USD</x:v>
      </x:c>
      <x:c r="F593" s="20" t="n">
        <x:v>1</x:v>
      </x:c>
      <x:c r="G593" s="22" t="n">
        <x:f>IF(E593="LCU/USD",D593*F593,F593/D593)</x:f>
        <x:v>11.3465</x:v>
      </x:c>
      <x:c r="H593" s="12" t="str">
        <x:v>年均</x:v>
      </x:c>
      <x:c r="I593" s="12" t="str">
        <x:v>1984-01-01—1984-12-31</x:v>
      </x:c>
      <x:c r="J593" s="12" t="str">
        <x:v>FRB_INR</x:v>
      </x:c>
      <x:c r="K593" s="12" t="str">
        <x:v>https://fred.stlouisfed.org/data/AEXINUS</x:v>
      </x:c>
      <x:c r="L593" s="12" t="str"/>
      <x:c r="M593" s="12" t="str">
        <x:v>A：机构统计／原始统计表</x:v>
      </x:c>
    </x:row>
    <x:row r="594" ht="72" customHeight="1">
      <x:c r="A594" t="n">
        <x:v>1984</x:v>
      </x:c>
      <x:c r="B594" t="str">
        <x:v>RUB</x:v>
      </x:c>
      <x:c r="C594" s="12" t="str">
        <x:v>苏联卢布（1961币制）</x:v>
      </x:c>
      <x:c r="D594" s="24" t="n">
        <x:v>0.791</x:v>
      </x:c>
      <x:c r="E594" s="20" t="str">
        <x:v>LCU/USD</x:v>
      </x:c>
      <x:c r="F594" s="20" t="n">
        <x:v>1</x:v>
      </x:c>
      <x:c r="G594" s="22" t="n">
        <x:f>IF(E594="LCU/USD",D594*F594,F594/D594)</x:f>
        <x:v>0.791</x:v>
      </x:c>
      <x:c r="H594" s="12" t="str">
        <x:v>定点官价参考（非年均）</x:v>
      </x:c>
      <x:c r="I594" s="12" t="str">
        <x:v>1984-01-01</x:v>
      </x:c>
      <x:c r="J594" s="12" t="str">
        <x:v>SUR_OFFICIAL_SECONDARY</x:v>
      </x:c>
      <x:c r="K594" s="12" t="str">
        <x:v>https://en.wikipedia.org/wiki/Soviet_ruble#Exchange_rates</x:v>
      </x:c>
      <x:c r="L594" s="12" t="str">
        <x:v>选取源表该年最早列出的日期，不代表该年平均、全年固定价或统一可成交价；原档案未复核。</x:v>
      </x:c>
      <x:c r="M594" s="12" t="str">
        <x:v>C：二手转引（原档未复核）</x:v>
      </x:c>
    </x:row>
    <x:row r="595" ht="72" customHeight="1">
      <x:c r="A595" t="n">
        <x:v>1984</x:v>
      </x:c>
      <x:c r="B595" t="str">
        <x:v>CNY</x:v>
      </x:c>
      <x:c r="C595" s="12" t="str">
        <x:v>人民币元（1955币制；CNY）</x:v>
      </x:c>
      <x:c r="D595" s="24" t="n">
        <x:v>2.3303</x:v>
      </x:c>
      <x:c r="E595" s="20" t="str">
        <x:v>LCU/USD</x:v>
      </x:c>
      <x:c r="F595" s="20" t="n">
        <x:v>1</x:v>
      </x:c>
      <x:c r="G595" s="22" t="n">
        <x:f>IF(E595="LCU/USD",D595*F595,F595/D595)</x:f>
        <x:v>2.3303</x:v>
      </x:c>
      <x:c r="H595" s="12" t="str">
        <x:v>年均</x:v>
      </x:c>
      <x:c r="I595" s="12" t="str">
        <x:v>1984-01-01—1984-12-31</x:v>
      </x:c>
      <x:c r="J595" s="12" t="str">
        <x:v>FRB_CNY</x:v>
      </x:c>
      <x:c r="K595" s="12" t="str">
        <x:v>https://fred.stlouisfed.org/data/AEXCHUS</x:v>
      </x:c>
      <x:c r="L595" s="12" t="str"/>
      <x:c r="M595" s="12" t="str">
        <x:v>A：机构统计／原始统计表</x:v>
      </x:c>
    </x:row>
    <x:row r="596" ht="72" customHeight="1">
      <x:c r="A596" t="n">
        <x:v>1985</x:v>
      </x:c>
      <x:c r="B596" t="str">
        <x:v>GBP</x:v>
      </x:c>
      <x:c r="C596" s="12" t="str">
        <x:v>英镑（GBP）</x:v>
      </x:c>
      <x:c r="D596" s="24" t="n">
        <x:v>1.2974</x:v>
      </x:c>
      <x:c r="E596" s="20" t="str">
        <x:v>USD/LCU</x:v>
      </x:c>
      <x:c r="F596" s="20" t="n">
        <x:v>1</x:v>
      </x:c>
      <x:c r="G596" s="22" t="n">
        <x:f>IF(E596="LCU/USD",D596*F596,F596/D596)</x:f>
        <x:v>0.7707723138584861</x:v>
      </x:c>
      <x:c r="H596" s="12" t="str">
        <x:v>年均</x:v>
      </x:c>
      <x:c r="I596" s="12" t="str">
        <x:v>1985-01-01—1985-12-31</x:v>
      </x:c>
      <x:c r="J596" s="12" t="str">
        <x:v>FRB_GBP</x:v>
      </x:c>
      <x:c r="K596" s="12" t="str">
        <x:v>https://fred.stlouisfed.org/data/AEXUSUK</x:v>
      </x:c>
      <x:c r="L596" s="12" t="str">
        <x:v>反向值由原报价均值取倒数；不等于反向日度汇率的算术平均。</x:v>
      </x:c>
      <x:c r="M596" s="12" t="str">
        <x:v>A：机构统计／原始统计表</x:v>
      </x:c>
    </x:row>
    <x:row r="597" ht="72" customHeight="1">
      <x:c r="A597" t="n">
        <x:v>1985</x:v>
      </x:c>
      <x:c r="B597" t="str">
        <x:v>CAD</x:v>
      </x:c>
      <x:c r="C597" s="12" t="str">
        <x:v>加拿大元（CAD）</x:v>
      </x:c>
      <x:c r="D597" s="24" t="n">
        <x:v>1.3659</x:v>
      </x:c>
      <x:c r="E597" s="20" t="str">
        <x:v>LCU/USD</x:v>
      </x:c>
      <x:c r="F597" s="20" t="n">
        <x:v>1</x:v>
      </x:c>
      <x:c r="G597" s="22" t="n">
        <x:f>IF(E597="LCU/USD",D597*F597,F597/D597)</x:f>
        <x:v>1.3659</x:v>
      </x:c>
      <x:c r="H597" s="12" t="str">
        <x:v>年均</x:v>
      </x:c>
      <x:c r="I597" s="12" t="str">
        <x:v>1985-01-01—1985-12-31</x:v>
      </x:c>
      <x:c r="J597" s="12" t="str">
        <x:v>FRB_CAD</x:v>
      </x:c>
      <x:c r="K597" s="12" t="str">
        <x:v>https://fred.stlouisfed.org/data/AEXCAUS</x:v>
      </x:c>
      <x:c r="L597" s="12" t="str"/>
      <x:c r="M597" s="12" t="str">
        <x:v>A：机构统计／原始统计表</x:v>
      </x:c>
    </x:row>
    <x:row r="598" ht="72" customHeight="1">
      <x:c r="A598" t="n">
        <x:v>1985</x:v>
      </x:c>
      <x:c r="B598" t="str">
        <x:v>FR</x:v>
      </x:c>
      <x:c r="C598" s="12" t="str">
        <x:v>法国法郎（FRF；1960币制）</x:v>
      </x:c>
      <x:c r="D598" s="24" t="n">
        <x:v>1.3696261086</x:v>
      </x:c>
      <x:c r="E598" s="20" t="str">
        <x:v>LCU/USD</x:v>
      </x:c>
      <x:c r="F598" s="20" t="n">
        <x:f>'币制说明'!$C$27</x:f>
        <x:v>6.55957</x:v>
      </x:c>
      <x:c r="G598" s="22" t="n">
        <x:f>IF(E598="LCU/USD",D598*F598,F598/D598)</x:f>
        <x:v>8.984158333189301</x:v>
      </x:c>
      <x:c r="H598" s="12" t="str">
        <x:v>年均</x:v>
      </x:c>
      <x:c r="I598" s="12" t="str">
        <x:v>1985-01-01—1985-12-31</x:v>
      </x:c>
      <x:c r="J598" s="12" t="str">
        <x:v>OECD_FR</x:v>
      </x:c>
      <x:c r="K598" s="12" t="str">
        <x:v>https://fred.stlouisfed.org/data/CCUSMA02FRA618N</x:v>
      </x:c>
      <x:c r="L598" s="12" t="str">
        <x:v>由欧元回溯单位还原当年本币；非当年实际欧元报价。 欧元回溯单位按不可撤销转换率还原；法国1960年前另乘100。</x:v>
      </x:c>
      <x:c r="M598" s="12" t="str">
        <x:v>A：机构统计／原始统计表</x:v>
      </x:c>
    </x:row>
    <x:row r="599" ht="72" customHeight="1">
      <x:c r="A599" t="n">
        <x:v>1985</x:v>
      </x:c>
      <x:c r="B599" t="str">
        <x:v>DE</x:v>
      </x:c>
      <x:c r="C599" s="12" t="str">
        <x:v>西德德国马克（DEM）</x:v>
      </x:c>
      <x:c r="D599" s="24" t="n">
        <x:v>1.5051325183</x:v>
      </x:c>
      <x:c r="E599" s="20" t="str">
        <x:v>LCU/USD</x:v>
      </x:c>
      <x:c r="F599" s="20" t="n">
        <x:f>'币制说明'!$C$28</x:f>
        <x:v>1.95583</x:v>
      </x:c>
      <x:c r="G599" s="22" t="n">
        <x:f>IF(E599="LCU/USD",D599*F599,F599/D599)</x:f>
        <x:v>2.9437833332666887</x:v>
      </x:c>
      <x:c r="H599" s="12" t="str">
        <x:v>年均</x:v>
      </x:c>
      <x:c r="I599" s="12" t="str">
        <x:v>1985-01-01—1985-12-31</x:v>
      </x:c>
      <x:c r="J599" s="12" t="str">
        <x:v>OECD_DE</x:v>
      </x:c>
      <x:c r="K599" s="12" t="str">
        <x:v>https://fred.stlouisfed.org/data/CCUSMA02DEA618N</x:v>
      </x:c>
      <x:c r="L599" s="12" t="str">
        <x:v>由欧元回溯单位还原当年本币；非当年实际欧元报价。 欧元回溯单位按不可撤销转换率还原；法国1960年前另乘100。</x:v>
      </x:c>
      <x:c r="M599" s="12" t="str">
        <x:v>A：机构统计／原始统计表</x:v>
      </x:c>
    </x:row>
    <x:row r="600" ht="72" customHeight="1">
      <x:c r="A600" t="n">
        <x:v>1985</x:v>
      </x:c>
      <x:c r="B600" t="str">
        <x:v>IT</x:v>
      </x:c>
      <x:c r="C600" s="12" t="str">
        <x:v>意大利里拉（ITL）</x:v>
      </x:c>
      <x:c r="D600" s="24" t="n">
        <x:v>0.9861314968</x:v>
      </x:c>
      <x:c r="E600" s="20" t="str">
        <x:v>LCU/USD</x:v>
      </x:c>
      <x:c r="F600" s="20" t="n">
        <x:f>'币制说明'!$C$29</x:f>
        <x:v>1936.27</x:v>
      </x:c>
      <x:c r="G600" s="22" t="n">
        <x:f>IF(E600="LCU/USD",D600*F600,F600/D600)</x:f>
        <x:v>1909.416833308936</x:v>
      </x:c>
      <x:c r="H600" s="12" t="str">
        <x:v>年均</x:v>
      </x:c>
      <x:c r="I600" s="12" t="str">
        <x:v>1985-01-01—1985-12-31</x:v>
      </x:c>
      <x:c r="J600" s="12" t="str">
        <x:v>OECD_IT</x:v>
      </x:c>
      <x:c r="K600" s="12" t="str">
        <x:v>https://fred.stlouisfed.org/data/CCUSMA02ITA618N</x:v>
      </x:c>
      <x:c r="L600" s="12" t="str">
        <x:v>由欧元回溯单位还原当年本币；非当年实际欧元报价。 欧元回溯单位按不可撤销转换率还原；法国1960年前另乘100。</x:v>
      </x:c>
      <x:c r="M600" s="12" t="str">
        <x:v>A：机构统计／原始统计表</x:v>
      </x:c>
    </x:row>
    <x:row r="601" ht="72" customHeight="1">
      <x:c r="A601" t="n">
        <x:v>1985</x:v>
      </x:c>
      <x:c r="B601" t="str">
        <x:v>JPY</x:v>
      </x:c>
      <x:c r="C601" s="12" t="str">
        <x:v>日元（JPY）</x:v>
      </x:c>
      <x:c r="D601" s="24" t="n">
        <x:v>238.4673</x:v>
      </x:c>
      <x:c r="E601" s="20" t="str">
        <x:v>LCU/USD</x:v>
      </x:c>
      <x:c r="F601" s="20" t="n">
        <x:v>1</x:v>
      </x:c>
      <x:c r="G601" s="22" t="n">
        <x:f>IF(E601="LCU/USD",D601*F601,F601/D601)</x:f>
        <x:v>238.4673</x:v>
      </x:c>
      <x:c r="H601" s="12" t="str">
        <x:v>年均</x:v>
      </x:c>
      <x:c r="I601" s="12" t="str">
        <x:v>1985-01-01—1985-12-31</x:v>
      </x:c>
      <x:c r="J601" s="12" t="str">
        <x:v>FRB_JPY</x:v>
      </x:c>
      <x:c r="K601" s="12" t="str">
        <x:v>https://fred.stlouisfed.org/data/AEXJPUS</x:v>
      </x:c>
      <x:c r="L601" s="12" t="str"/>
      <x:c r="M601" s="12" t="str">
        <x:v>A：机构统计／原始统计表</x:v>
      </x:c>
    </x:row>
    <x:row r="602" ht="72" customHeight="1">
      <x:c r="A602" t="n">
        <x:v>1985</x:v>
      </x:c>
      <x:c r="B602" t="str">
        <x:v>CHF</x:v>
      </x:c>
      <x:c r="C602" s="12" t="str">
        <x:v>瑞士法郎（CHF）</x:v>
      </x:c>
      <x:c r="D602" s="24" t="n">
        <x:v>2.4552</x:v>
      </x:c>
      <x:c r="E602" s="20" t="str">
        <x:v>LCU/USD</x:v>
      </x:c>
      <x:c r="F602" s="20" t="n">
        <x:v>1</x:v>
      </x:c>
      <x:c r="G602" s="22" t="n">
        <x:f>IF(E602="LCU/USD",D602*F602,F602/D602)</x:f>
        <x:v>2.4552</x:v>
      </x:c>
      <x:c r="H602" s="12" t="str">
        <x:v>年均</x:v>
      </x:c>
      <x:c r="I602" s="12" t="str">
        <x:v>1985-01-01—1985-12-31</x:v>
      </x:c>
      <x:c r="J602" s="12" t="str">
        <x:v>FRB_CHF</x:v>
      </x:c>
      <x:c r="K602" s="12" t="str">
        <x:v>https://fred.stlouisfed.org/data/AEXSZUS</x:v>
      </x:c>
      <x:c r="L602" s="12" t="str"/>
      <x:c r="M602" s="12" t="str">
        <x:v>A：机构统计／原始统计表</x:v>
      </x:c>
    </x:row>
    <x:row r="603" ht="72" customHeight="1">
      <x:c r="A603" t="n">
        <x:v>1985</x:v>
      </x:c>
      <x:c r="B603" t="str">
        <x:v>INR</x:v>
      </x:c>
      <x:c r="C603" s="12" t="str">
        <x:v>印度卢比（INR）</x:v>
      </x:c>
      <x:c r="D603" s="24" t="n">
        <x:v>12.3318</x:v>
      </x:c>
      <x:c r="E603" s="20" t="str">
        <x:v>LCU/USD</x:v>
      </x:c>
      <x:c r="F603" s="20" t="n">
        <x:v>1</x:v>
      </x:c>
      <x:c r="G603" s="22" t="n">
        <x:f>IF(E603="LCU/USD",D603*F603,F603/D603)</x:f>
        <x:v>12.3318</x:v>
      </x:c>
      <x:c r="H603" s="12" t="str">
        <x:v>年均</x:v>
      </x:c>
      <x:c r="I603" s="12" t="str">
        <x:v>1985-01-01—1985-12-31</x:v>
      </x:c>
      <x:c r="J603" s="12" t="str">
        <x:v>FRB_INR</x:v>
      </x:c>
      <x:c r="K603" s="12" t="str">
        <x:v>https://fred.stlouisfed.org/data/AEXINUS</x:v>
      </x:c>
      <x:c r="L603" s="12" t="str"/>
      <x:c r="M603" s="12" t="str">
        <x:v>A：机构统计／原始统计表</x:v>
      </x:c>
    </x:row>
    <x:row r="604" ht="72" customHeight="1">
      <x:c r="A604" t="n">
        <x:v>1985</x:v>
      </x:c>
      <x:c r="B604" t="str">
        <x:v>RUB</x:v>
      </x:c>
      <x:c r="C604" s="12" t="str">
        <x:v>苏联卢布（1961币制）</x:v>
      </x:c>
      <x:c r="D604" s="24" t="n">
        <x:v>0.92</x:v>
      </x:c>
      <x:c r="E604" s="20" t="str">
        <x:v>LCU/USD</x:v>
      </x:c>
      <x:c r="F604" s="20" t="n">
        <x:v>1</x:v>
      </x:c>
      <x:c r="G604" s="22" t="n">
        <x:f>IF(E604="LCU/USD",D604*F604,F604/D604)</x:f>
        <x:v>0.92</x:v>
      </x:c>
      <x:c r="H604" s="12" t="str">
        <x:v>定点官价参考（非年均）</x:v>
      </x:c>
      <x:c r="I604" s="12" t="str">
        <x:v>1985-02-28</x:v>
      </x:c>
      <x:c r="J604" s="12" t="str">
        <x:v>SUR_OFFICIAL_SECONDARY</x:v>
      </x:c>
      <x:c r="K604" s="12" t="str">
        <x:v>https://en.wikipedia.org/wiki/Soviet_ruble#Exchange_rates</x:v>
      </x:c>
      <x:c r="L604" s="12" t="str">
        <x:v>选取源表该年最早列出的日期，不代表该年平均、全年固定价或统一可成交价；原档案未复核。</x:v>
      </x:c>
      <x:c r="M604" s="12" t="str">
        <x:v>C：二手转引（原档未复核）</x:v>
      </x:c>
    </x:row>
    <x:row r="605" ht="72" customHeight="1">
      <x:c r="A605" t="n">
        <x:v>1985</x:v>
      </x:c>
      <x:c r="B605" t="str">
        <x:v>CNY</x:v>
      </x:c>
      <x:c r="C605" s="12" t="str">
        <x:v>人民币元（1955币制；CNY）</x:v>
      </x:c>
      <x:c r="D605" s="24" t="n">
        <x:v>2.9434</x:v>
      </x:c>
      <x:c r="E605" s="20" t="str">
        <x:v>LCU/USD</x:v>
      </x:c>
      <x:c r="F605" s="20" t="n">
        <x:v>1</x:v>
      </x:c>
      <x:c r="G605" s="22" t="n">
        <x:f>IF(E605="LCU/USD",D605*F605,F605/D605)</x:f>
        <x:v>2.9434</x:v>
      </x:c>
      <x:c r="H605" s="12" t="str">
        <x:v>年均</x:v>
      </x:c>
      <x:c r="I605" s="12" t="str">
        <x:v>1985-01-01—1985-12-31</x:v>
      </x:c>
      <x:c r="J605" s="12" t="str">
        <x:v>FRB_CNY</x:v>
      </x:c>
      <x:c r="K605" s="12" t="str">
        <x:v>https://fred.stlouisfed.org/data/AEXCHUS</x:v>
      </x:c>
      <x:c r="L605" s="12" t="str"/>
      <x:c r="M605" s="12" t="str">
        <x:v>A：机构统计／原始统计表</x:v>
      </x:c>
    </x:row>
    <x:row r="606" ht="72" customHeight="1">
      <x:c r="A606" t="n">
        <x:v>1986</x:v>
      </x:c>
      <x:c r="B606" t="str">
        <x:v>GBP</x:v>
      </x:c>
      <x:c r="C606" s="12" t="str">
        <x:v>英镑（GBP）</x:v>
      </x:c>
      <x:c r="D606" s="24" t="n">
        <x:v>1.4677</x:v>
      </x:c>
      <x:c r="E606" s="20" t="str">
        <x:v>USD/LCU</x:v>
      </x:c>
      <x:c r="F606" s="20" t="n">
        <x:v>1</x:v>
      </x:c>
      <x:c r="G606" s="22" t="n">
        <x:f>IF(E606="LCU/USD",D606*F606,F606/D606)</x:f>
        <x:v>0.6813381481229134</x:v>
      </x:c>
      <x:c r="H606" s="12" t="str">
        <x:v>年均</x:v>
      </x:c>
      <x:c r="I606" s="12" t="str">
        <x:v>1986-01-01—1986-12-31</x:v>
      </x:c>
      <x:c r="J606" s="12" t="str">
        <x:v>FRB_GBP</x:v>
      </x:c>
      <x:c r="K606" s="12" t="str">
        <x:v>https://fred.stlouisfed.org/data/AEXUSUK</x:v>
      </x:c>
      <x:c r="L606" s="12" t="str">
        <x:v>反向值由原报价均值取倒数；不等于反向日度汇率的算术平均。</x:v>
      </x:c>
      <x:c r="M606" s="12" t="str">
        <x:v>A：机构统计／原始统计表</x:v>
      </x:c>
    </x:row>
    <x:row r="607" ht="72" customHeight="1">
      <x:c r="A607" t="n">
        <x:v>1986</x:v>
      </x:c>
      <x:c r="B607" t="str">
        <x:v>CAD</x:v>
      </x:c>
      <x:c r="C607" s="12" t="str">
        <x:v>加拿大元（CAD）</x:v>
      </x:c>
      <x:c r="D607" s="24" t="n">
        <x:v>1.3896</x:v>
      </x:c>
      <x:c r="E607" s="20" t="str">
        <x:v>LCU/USD</x:v>
      </x:c>
      <x:c r="F607" s="20" t="n">
        <x:v>1</x:v>
      </x:c>
      <x:c r="G607" s="22" t="n">
        <x:f>IF(E607="LCU/USD",D607*F607,F607/D607)</x:f>
        <x:v>1.3896</x:v>
      </x:c>
      <x:c r="H607" s="12" t="str">
        <x:v>年均</x:v>
      </x:c>
      <x:c r="I607" s="12" t="str">
        <x:v>1986-01-01—1986-12-31</x:v>
      </x:c>
      <x:c r="J607" s="12" t="str">
        <x:v>FRB_CAD</x:v>
      </x:c>
      <x:c r="K607" s="12" t="str">
        <x:v>https://fred.stlouisfed.org/data/AEXCAUS</x:v>
      </x:c>
      <x:c r="L607" s="12" t="str"/>
      <x:c r="M607" s="12" t="str">
        <x:v>A：机构统计／原始统计表</x:v>
      </x:c>
    </x:row>
    <x:row r="608" ht="72" customHeight="1">
      <x:c r="A608" t="n">
        <x:v>1986</x:v>
      </x:c>
      <x:c r="B608" t="str">
        <x:v>FR</x:v>
      </x:c>
      <x:c r="C608" s="12" t="str">
        <x:v>法国法郎（FRF；1960币制）</x:v>
      </x:c>
      <x:c r="D608" s="24" t="n">
        <x:v>1.0560054495</x:v>
      </x:c>
      <x:c r="E608" s="20" t="str">
        <x:v>LCU/USD</x:v>
      </x:c>
      <x:c r="F608" s="20" t="n">
        <x:f>'币制说明'!$C$27</x:f>
        <x:v>6.55957</x:v>
      </x:c>
      <x:c r="G608" s="22" t="n">
        <x:f>IF(E608="LCU/USD",D608*F608,F608/D608)</x:f>
        <x:v>6.926941666376715</x:v>
      </x:c>
      <x:c r="H608" s="12" t="str">
        <x:v>年均</x:v>
      </x:c>
      <x:c r="I608" s="12" t="str">
        <x:v>1986-01-01—1986-12-31</x:v>
      </x:c>
      <x:c r="J608" s="12" t="str">
        <x:v>OECD_FR</x:v>
      </x:c>
      <x:c r="K608" s="12" t="str">
        <x:v>https://fred.stlouisfed.org/data/CCUSMA02FRA618N</x:v>
      </x:c>
      <x:c r="L608" s="12" t="str">
        <x:v>由欧元回溯单位还原当年本币；非当年实际欧元报价。 欧元回溯单位按不可撤销转换率还原；法国1960年前另乘100。</x:v>
      </x:c>
      <x:c r="M608" s="12" t="str">
        <x:v>A：机构统计／原始统计表</x:v>
      </x:c>
    </x:row>
    <x:row r="609" ht="72" customHeight="1">
      <x:c r="A609" t="n">
        <x:v>1986</x:v>
      </x:c>
      <x:c r="B609" t="str">
        <x:v>DE</x:v>
      </x:c>
      <x:c r="C609" s="12" t="str">
        <x:v>西德德国马克（DEM）</x:v>
      </x:c>
      <x:c r="D609" s="24" t="n">
        <x:v>1.1104961406</x:v>
      </x:c>
      <x:c r="E609" s="20" t="str">
        <x:v>LCU/USD</x:v>
      </x:c>
      <x:c r="F609" s="20" t="n">
        <x:f>'币制说明'!$C$28</x:f>
        <x:v>1.95583</x:v>
      </x:c>
      <x:c r="G609" s="22" t="n">
        <x:f>IF(E609="LCU/USD",D609*F609,F609/D609)</x:f>
        <x:v>2.171941666669698</x:v>
      </x:c>
      <x:c r="H609" s="12" t="str">
        <x:v>年均</x:v>
      </x:c>
      <x:c r="I609" s="12" t="str">
        <x:v>1986-01-01—1986-12-31</x:v>
      </x:c>
      <x:c r="J609" s="12" t="str">
        <x:v>OECD_DE</x:v>
      </x:c>
      <x:c r="K609" s="12" t="str">
        <x:v>https://fred.stlouisfed.org/data/CCUSMA02DEA618N</x:v>
      </x:c>
      <x:c r="L609" s="12" t="str">
        <x:v>由欧元回溯单位还原当年本币；非当年实际欧元报价。 欧元回溯单位按不可撤销转换率还原；法国1960年前另乘100。</x:v>
      </x:c>
      <x:c r="M609" s="12" t="str">
        <x:v>A：机构统计／原始统计表</x:v>
      </x:c>
    </x:row>
    <x:row r="610" ht="72" customHeight="1">
      <x:c r="A610" t="n">
        <x:v>1986</x:v>
      </x:c>
      <x:c r="B610" t="str">
        <x:v>IT</x:v>
      </x:c>
      <x:c r="C610" s="12" t="str">
        <x:v>意大利里拉（ITL）</x:v>
      </x:c>
      <x:c r="D610" s="24" t="n">
        <x:v>0.7700623536</x:v>
      </x:c>
      <x:c r="E610" s="20" t="str">
        <x:v>LCU/USD</x:v>
      </x:c>
      <x:c r="F610" s="20" t="n">
        <x:f>'币制说明'!$C$29</x:f>
        <x:v>1936.27</x:v>
      </x:c>
      <x:c r="G610" s="22" t="n">
        <x:f>IF(E610="LCU/USD",D610*F610,F610/D610)</x:f>
        <x:v>1491.048633405072</x:v>
      </x:c>
      <x:c r="H610" s="12" t="str">
        <x:v>年均</x:v>
      </x:c>
      <x:c r="I610" s="12" t="str">
        <x:v>1986-01-01—1986-12-31</x:v>
      </x:c>
      <x:c r="J610" s="12" t="str">
        <x:v>OECD_IT</x:v>
      </x:c>
      <x:c r="K610" s="12" t="str">
        <x:v>https://fred.stlouisfed.org/data/CCUSMA02ITA618N</x:v>
      </x:c>
      <x:c r="L610" s="12" t="str">
        <x:v>由欧元回溯单位还原当年本币；非当年实际欧元报价。 欧元回溯单位按不可撤销转换率还原；法国1960年前另乘100。</x:v>
      </x:c>
      <x:c r="M610" s="12" t="str">
        <x:v>A：机构统计／原始统计表</x:v>
      </x:c>
    </x:row>
    <x:row r="611" ht="72" customHeight="1">
      <x:c r="A611" t="n">
        <x:v>1986</x:v>
      </x:c>
      <x:c r="B611" t="str">
        <x:v>JPY</x:v>
      </x:c>
      <x:c r="C611" s="12" t="str">
        <x:v>日元（JPY）</x:v>
      </x:c>
      <x:c r="D611" s="24" t="n">
        <x:v>168.3496</x:v>
      </x:c>
      <x:c r="E611" s="20" t="str">
        <x:v>LCU/USD</x:v>
      </x:c>
      <x:c r="F611" s="20" t="n">
        <x:v>1</x:v>
      </x:c>
      <x:c r="G611" s="22" t="n">
        <x:f>IF(E611="LCU/USD",D611*F611,F611/D611)</x:f>
        <x:v>168.3496</x:v>
      </x:c>
      <x:c r="H611" s="12" t="str">
        <x:v>年均</x:v>
      </x:c>
      <x:c r="I611" s="12" t="str">
        <x:v>1986-01-01—1986-12-31</x:v>
      </x:c>
      <x:c r="J611" s="12" t="str">
        <x:v>FRB_JPY</x:v>
      </x:c>
      <x:c r="K611" s="12" t="str">
        <x:v>https://fred.stlouisfed.org/data/AEXJPUS</x:v>
      </x:c>
      <x:c r="L611" s="12" t="str"/>
      <x:c r="M611" s="12" t="str">
        <x:v>A：机构统计／原始统计表</x:v>
      </x:c>
    </x:row>
    <x:row r="612" ht="72" customHeight="1">
      <x:c r="A612" t="n">
        <x:v>1986</x:v>
      </x:c>
      <x:c r="B612" t="str">
        <x:v>CHF</x:v>
      </x:c>
      <x:c r="C612" s="12" t="str">
        <x:v>瑞士法郎（CHF）</x:v>
      </x:c>
      <x:c r="D612" s="24" t="n">
        <x:v>1.7979</x:v>
      </x:c>
      <x:c r="E612" s="20" t="str">
        <x:v>LCU/USD</x:v>
      </x:c>
      <x:c r="F612" s="20" t="n">
        <x:v>1</x:v>
      </x:c>
      <x:c r="G612" s="22" t="n">
        <x:f>IF(E612="LCU/USD",D612*F612,F612/D612)</x:f>
        <x:v>1.7979</x:v>
      </x:c>
      <x:c r="H612" s="12" t="str">
        <x:v>年均</x:v>
      </x:c>
      <x:c r="I612" s="12" t="str">
        <x:v>1986-01-01—1986-12-31</x:v>
      </x:c>
      <x:c r="J612" s="12" t="str">
        <x:v>FRB_CHF</x:v>
      </x:c>
      <x:c r="K612" s="12" t="str">
        <x:v>https://fred.stlouisfed.org/data/AEXSZUS</x:v>
      </x:c>
      <x:c r="L612" s="12" t="str"/>
      <x:c r="M612" s="12" t="str">
        <x:v>A：机构统计／原始统计表</x:v>
      </x:c>
    </x:row>
    <x:row r="613" ht="72" customHeight="1">
      <x:c r="A613" t="n">
        <x:v>1986</x:v>
      </x:c>
      <x:c r="B613" t="str">
        <x:v>INR</x:v>
      </x:c>
      <x:c r="C613" s="12" t="str">
        <x:v>印度卢比（INR）</x:v>
      </x:c>
      <x:c r="D613" s="24" t="n">
        <x:v>12.5967</x:v>
      </x:c>
      <x:c r="E613" s="20" t="str">
        <x:v>LCU/USD</x:v>
      </x:c>
      <x:c r="F613" s="20" t="n">
        <x:v>1</x:v>
      </x:c>
      <x:c r="G613" s="22" t="n">
        <x:f>IF(E613="LCU/USD",D613*F613,F613/D613)</x:f>
        <x:v>12.5967</x:v>
      </x:c>
      <x:c r="H613" s="12" t="str">
        <x:v>年均</x:v>
      </x:c>
      <x:c r="I613" s="12" t="str">
        <x:v>1986-01-01—1986-12-31</x:v>
      </x:c>
      <x:c r="J613" s="12" t="str">
        <x:v>FRB_INR</x:v>
      </x:c>
      <x:c r="K613" s="12" t="str">
        <x:v>https://fred.stlouisfed.org/data/AEXINUS</x:v>
      </x:c>
      <x:c r="L613" s="12" t="str"/>
      <x:c r="M613" s="12" t="str">
        <x:v>A：机构统计／原始统计表</x:v>
      </x:c>
    </x:row>
    <x:row r="614" ht="72" customHeight="1">
      <x:c r="A614" t="n">
        <x:v>1986</x:v>
      </x:c>
      <x:c r="B614" t="str">
        <x:v>RUB</x:v>
      </x:c>
      <x:c r="C614" s="12" t="str">
        <x:v>苏联卢布（1961币制）</x:v>
      </x:c>
      <x:c r="D614" s="24" t="n">
        <x:v>0.7585</x:v>
      </x:c>
      <x:c r="E614" s="20" t="str">
        <x:v>LCU/USD</x:v>
      </x:c>
      <x:c r="F614" s="20" t="n">
        <x:v>1</x:v>
      </x:c>
      <x:c r="G614" s="22" t="n">
        <x:f>IF(E614="LCU/USD",D614*F614,F614/D614)</x:f>
        <x:v>0.7585</x:v>
      </x:c>
      <x:c r="H614" s="12" t="str">
        <x:v>定点官价参考（非年均）</x:v>
      </x:c>
      <x:c r="I614" s="12" t="str">
        <x:v>1986-01-01</x:v>
      </x:c>
      <x:c r="J614" s="12" t="str">
        <x:v>SUR_OFFICIAL_SECONDARY</x:v>
      </x:c>
      <x:c r="K614" s="12" t="str">
        <x:v>https://en.wikipedia.org/wiki/Soviet_ruble#Exchange_rates</x:v>
      </x:c>
      <x:c r="L614" s="12" t="str">
        <x:v>选取源表该年最早列出的日期，不代表该年平均、全年固定价或统一可成交价；原档案未复核。</x:v>
      </x:c>
      <x:c r="M614" s="12" t="str">
        <x:v>C：二手转引（原档未复核）</x:v>
      </x:c>
    </x:row>
    <x:row r="615" ht="72" customHeight="1">
      <x:c r="A615" t="n">
        <x:v>1986</x:v>
      </x:c>
      <x:c r="B615" t="str">
        <x:v>CNY</x:v>
      </x:c>
      <x:c r="C615" s="12" t="str">
        <x:v>人民币元（1955币制；CNY）</x:v>
      </x:c>
      <x:c r="D615" s="24" t="n">
        <x:v>3.4616</x:v>
      </x:c>
      <x:c r="E615" s="20" t="str">
        <x:v>LCU/USD</x:v>
      </x:c>
      <x:c r="F615" s="20" t="n">
        <x:v>1</x:v>
      </x:c>
      <x:c r="G615" s="22" t="n">
        <x:f>IF(E615="LCU/USD",D615*F615,F615/D615)</x:f>
        <x:v>3.4616</x:v>
      </x:c>
      <x:c r="H615" s="12" t="str">
        <x:v>年均</x:v>
      </x:c>
      <x:c r="I615" s="12" t="str">
        <x:v>1986-01-01—1986-12-31</x:v>
      </x:c>
      <x:c r="J615" s="12" t="str">
        <x:v>FRB_CNY</x:v>
      </x:c>
      <x:c r="K615" s="12" t="str">
        <x:v>https://fred.stlouisfed.org/data/AEXCHUS</x:v>
      </x:c>
      <x:c r="L615" s="12" t="str"/>
      <x:c r="M615" s="12" t="str">
        <x:v>A：机构统计／原始统计表</x:v>
      </x:c>
    </x:row>
    <x:row r="616" ht="72" customHeight="1">
      <x:c r="A616" t="n">
        <x:v>1987</x:v>
      </x:c>
      <x:c r="B616" t="str">
        <x:v>GBP</x:v>
      </x:c>
      <x:c r="C616" s="12" t="str">
        <x:v>英镑（GBP）</x:v>
      </x:c>
      <x:c r="D616" s="24" t="n">
        <x:v>1.6398</x:v>
      </x:c>
      <x:c r="E616" s="20" t="str">
        <x:v>USD/LCU</x:v>
      </x:c>
      <x:c r="F616" s="20" t="n">
        <x:v>1</x:v>
      </x:c>
      <x:c r="G616" s="22" t="n">
        <x:f>IF(E616="LCU/USD",D616*F616,F616/D616)</x:f>
        <x:v>0.6098304671301379</x:v>
      </x:c>
      <x:c r="H616" s="12" t="str">
        <x:v>年均</x:v>
      </x:c>
      <x:c r="I616" s="12" t="str">
        <x:v>1987-01-01—1987-12-31</x:v>
      </x:c>
      <x:c r="J616" s="12" t="str">
        <x:v>FRB_GBP</x:v>
      </x:c>
      <x:c r="K616" s="12" t="str">
        <x:v>https://fred.stlouisfed.org/data/AEXUSUK</x:v>
      </x:c>
      <x:c r="L616" s="12" t="str">
        <x:v>反向值由原报价均值取倒数；不等于反向日度汇率的算术平均。</x:v>
      </x:c>
      <x:c r="M616" s="12" t="str">
        <x:v>A：机构统计／原始统计表</x:v>
      </x:c>
    </x:row>
    <x:row r="617" ht="72" customHeight="1">
      <x:c r="A617" t="n">
        <x:v>1987</x:v>
      </x:c>
      <x:c r="B617" t="str">
        <x:v>CAD</x:v>
      </x:c>
      <x:c r="C617" s="12" t="str">
        <x:v>加拿大元（CAD）</x:v>
      </x:c>
      <x:c r="D617" s="24" t="n">
        <x:v>1.3259</x:v>
      </x:c>
      <x:c r="E617" s="20" t="str">
        <x:v>LCU/USD</x:v>
      </x:c>
      <x:c r="F617" s="20" t="n">
        <x:v>1</x:v>
      </x:c>
      <x:c r="G617" s="22" t="n">
        <x:f>IF(E617="LCU/USD",D617*F617,F617/D617)</x:f>
        <x:v>1.3259</x:v>
      </x:c>
      <x:c r="H617" s="12" t="str">
        <x:v>年均</x:v>
      </x:c>
      <x:c r="I617" s="12" t="str">
        <x:v>1987-01-01—1987-12-31</x:v>
      </x:c>
      <x:c r="J617" s="12" t="str">
        <x:v>FRB_CAD</x:v>
      </x:c>
      <x:c r="K617" s="12" t="str">
        <x:v>https://fred.stlouisfed.org/data/AEXCAUS</x:v>
      </x:c>
      <x:c r="L617" s="12" t="str"/>
      <x:c r="M617" s="12" t="str">
        <x:v>A：机构统计／原始统计表</x:v>
      </x:c>
    </x:row>
    <x:row r="618" ht="72" customHeight="1">
      <x:c r="A618" t="n">
        <x:v>1987</x:v>
      </x:c>
      <x:c r="B618" t="str">
        <x:v>FR</x:v>
      </x:c>
      <x:c r="C618" s="12" t="str">
        <x:v>法国法郎（FRF；1960币制）</x:v>
      </x:c>
      <x:c r="D618" s="24" t="n">
        <x:v>0.9160242211</x:v>
      </x:c>
      <x:c r="E618" s="20" t="str">
        <x:v>LCU/USD</x:v>
      </x:c>
      <x:c r="F618" s="20" t="n">
        <x:f>'币制说明'!$C$27</x:f>
        <x:v>6.55957</x:v>
      </x:c>
      <x:c r="G618" s="22" t="n">
        <x:f>IF(E618="LCU/USD",D618*F618,F618/D618)</x:f>
        <x:v>6.008725000000927</x:v>
      </x:c>
      <x:c r="H618" s="12" t="str">
        <x:v>年均</x:v>
      </x:c>
      <x:c r="I618" s="12" t="str">
        <x:v>1987-01-01—1987-12-31</x:v>
      </x:c>
      <x:c r="J618" s="12" t="str">
        <x:v>OECD_FR</x:v>
      </x:c>
      <x:c r="K618" s="12" t="str">
        <x:v>https://fred.stlouisfed.org/data/CCUSMA02FRA618N</x:v>
      </x:c>
      <x:c r="L618" s="12" t="str">
        <x:v>由欧元回溯单位还原当年本币；非当年实际欧元报价。 欧元回溯单位按不可撤销转换率还原；法国1960年前另乘100。</x:v>
      </x:c>
      <x:c r="M618" s="12" t="str">
        <x:v>A：机构统计／原始统计表</x:v>
      </x:c>
    </x:row>
    <x:row r="619" ht="72" customHeight="1">
      <x:c r="A619" t="n">
        <x:v>1987</x:v>
      </x:c>
      <x:c r="B619" t="str">
        <x:v>DE</x:v>
      </x:c>
      <x:c r="C619" s="12" t="str">
        <x:v>西德德国马克（DEM）</x:v>
      </x:c>
      <x:c r="D619" s="24" t="n">
        <x:v>0.9189704627</x:v>
      </x:c>
      <x:c r="E619" s="20" t="str">
        <x:v>LCU/USD</x:v>
      </x:c>
      <x:c r="F619" s="20" t="n">
        <x:f>'币制说明'!$C$28</x:f>
        <x:v>1.95583</x:v>
      </x:c>
      <x:c r="G619" s="22" t="n">
        <x:f>IF(E619="LCU/USD",D619*F619,F619/D619)</x:f>
        <x:v>1.797350000062541</x:v>
      </x:c>
      <x:c r="H619" s="12" t="str">
        <x:v>年均</x:v>
      </x:c>
      <x:c r="I619" s="12" t="str">
        <x:v>1987-01-01—1987-12-31</x:v>
      </x:c>
      <x:c r="J619" s="12" t="str">
        <x:v>OECD_DE</x:v>
      </x:c>
      <x:c r="K619" s="12" t="str">
        <x:v>https://fred.stlouisfed.org/data/CCUSMA02DEA618N</x:v>
      </x:c>
      <x:c r="L619" s="12" t="str">
        <x:v>由欧元回溯单位还原当年本币；非当年实际欧元报价。 欧元回溯单位按不可撤销转换率还原；法国1960年前另乘100。</x:v>
      </x:c>
      <x:c r="M619" s="12" t="str">
        <x:v>A：机构统计／原始统计表</x:v>
      </x:c>
    </x:row>
    <x:row r="620" ht="72" customHeight="1">
      <x:c r="A620" t="n">
        <x:v>1987</x:v>
      </x:c>
      <x:c r="B620" t="str">
        <x:v>IT</x:v>
      </x:c>
      <x:c r="C620" s="12" t="str">
        <x:v>意大利里拉（ITL）</x:v>
      </x:c>
      <x:c r="D620" s="24" t="n">
        <x:v>0.6698307226</x:v>
      </x:c>
      <x:c r="E620" s="20" t="str">
        <x:v>LCU/USD</x:v>
      </x:c>
      <x:c r="F620" s="20" t="n">
        <x:f>'币制说明'!$C$29</x:f>
        <x:v>1936.27</x:v>
      </x:c>
      <x:c r="G620" s="22" t="n">
        <x:f>IF(E620="LCU/USD",D620*F620,F620/D620)</x:f>
        <x:v>1296.973133248702</x:v>
      </x:c>
      <x:c r="H620" s="12" t="str">
        <x:v>年均</x:v>
      </x:c>
      <x:c r="I620" s="12" t="str">
        <x:v>1987-01-01—1987-12-31</x:v>
      </x:c>
      <x:c r="J620" s="12" t="str">
        <x:v>OECD_IT</x:v>
      </x:c>
      <x:c r="K620" s="12" t="str">
        <x:v>https://fred.stlouisfed.org/data/CCUSMA02ITA618N</x:v>
      </x:c>
      <x:c r="L620" s="12" t="str">
        <x:v>由欧元回溯单位还原当年本币；非当年实际欧元报价。 欧元回溯单位按不可撤销转换率还原；法国1960年前另乘100。</x:v>
      </x:c>
      <x:c r="M620" s="12" t="str">
        <x:v>A：机构统计／原始统计表</x:v>
      </x:c>
    </x:row>
    <x:row r="621" ht="72" customHeight="1">
      <x:c r="A621" t="n">
        <x:v>1987</x:v>
      </x:c>
      <x:c r="B621" t="str">
        <x:v>JPY</x:v>
      </x:c>
      <x:c r="C621" s="12" t="str">
        <x:v>日元（JPY）</x:v>
      </x:c>
      <x:c r="D621" s="24" t="n">
        <x:v>144.6023</x:v>
      </x:c>
      <x:c r="E621" s="20" t="str">
        <x:v>LCU/USD</x:v>
      </x:c>
      <x:c r="F621" s="20" t="n">
        <x:v>1</x:v>
      </x:c>
      <x:c r="G621" s="22" t="n">
        <x:f>IF(E621="LCU/USD",D621*F621,F621/D621)</x:f>
        <x:v>144.6023</x:v>
      </x:c>
      <x:c r="H621" s="12" t="str">
        <x:v>年均</x:v>
      </x:c>
      <x:c r="I621" s="12" t="str">
        <x:v>1987-01-01—1987-12-31</x:v>
      </x:c>
      <x:c r="J621" s="12" t="str">
        <x:v>FRB_JPY</x:v>
      </x:c>
      <x:c r="K621" s="12" t="str">
        <x:v>https://fred.stlouisfed.org/data/AEXJPUS</x:v>
      </x:c>
      <x:c r="L621" s="12" t="str"/>
      <x:c r="M621" s="12" t="str">
        <x:v>A：机构统计／原始统计表</x:v>
      </x:c>
    </x:row>
    <x:row r="622" ht="72" customHeight="1">
      <x:c r="A622" t="n">
        <x:v>1987</x:v>
      </x:c>
      <x:c r="B622" t="str">
        <x:v>CHF</x:v>
      </x:c>
      <x:c r="C622" s="12" t="str">
        <x:v>瑞士法郎（CHF）</x:v>
      </x:c>
      <x:c r="D622" s="24" t="n">
        <x:v>1.4918</x:v>
      </x:c>
      <x:c r="E622" s="20" t="str">
        <x:v>LCU/USD</x:v>
      </x:c>
      <x:c r="F622" s="20" t="n">
        <x:v>1</x:v>
      </x:c>
      <x:c r="G622" s="22" t="n">
        <x:f>IF(E622="LCU/USD",D622*F622,F622/D622)</x:f>
        <x:v>1.4918</x:v>
      </x:c>
      <x:c r="H622" s="12" t="str">
        <x:v>年均</x:v>
      </x:c>
      <x:c r="I622" s="12" t="str">
        <x:v>1987-01-01—1987-12-31</x:v>
      </x:c>
      <x:c r="J622" s="12" t="str">
        <x:v>FRB_CHF</x:v>
      </x:c>
      <x:c r="K622" s="12" t="str">
        <x:v>https://fred.stlouisfed.org/data/AEXSZUS</x:v>
      </x:c>
      <x:c r="L622" s="12" t="str"/>
      <x:c r="M622" s="12" t="str">
        <x:v>A：机构统计／原始统计表</x:v>
      </x:c>
    </x:row>
    <x:row r="623" ht="72" customHeight="1">
      <x:c r="A623" t="n">
        <x:v>1987</x:v>
      </x:c>
      <x:c r="B623" t="str">
        <x:v>INR</x:v>
      </x:c>
      <x:c r="C623" s="12" t="str">
        <x:v>印度卢比（INR）</x:v>
      </x:c>
      <x:c r="D623" s="24" t="n">
        <x:v>12.9469</x:v>
      </x:c>
      <x:c r="E623" s="20" t="str">
        <x:v>LCU/USD</x:v>
      </x:c>
      <x:c r="F623" s="20" t="n">
        <x:v>1</x:v>
      </x:c>
      <x:c r="G623" s="22" t="n">
        <x:f>IF(E623="LCU/USD",D623*F623,F623/D623)</x:f>
        <x:v>12.9469</x:v>
      </x:c>
      <x:c r="H623" s="12" t="str">
        <x:v>年均</x:v>
      </x:c>
      <x:c r="I623" s="12" t="str">
        <x:v>1987-01-01—1987-12-31</x:v>
      </x:c>
      <x:c r="J623" s="12" t="str">
        <x:v>FRB_INR</x:v>
      </x:c>
      <x:c r="K623" s="12" t="str">
        <x:v>https://fred.stlouisfed.org/data/AEXINUS</x:v>
      </x:c>
      <x:c r="L623" s="12" t="str"/>
      <x:c r="M623" s="12" t="str">
        <x:v>A：机构统计／原始统计表</x:v>
      </x:c>
    </x:row>
    <x:row r="624" ht="72" customHeight="1">
      <x:c r="A624" t="n">
        <x:v>1987</x:v>
      </x:c>
      <x:c r="B624" t="str">
        <x:v>RUB</x:v>
      </x:c>
      <x:c r="C624" s="12" t="str">
        <x:v>苏联卢布（1961币制）</x:v>
      </x:c>
      <x:c r="D624" s="24" t="n">
        <x:v>0.67</x:v>
      </x:c>
      <x:c r="E624" s="20" t="str">
        <x:v>LCU/USD</x:v>
      </x:c>
      <x:c r="F624" s="20" t="n">
        <x:v>1</x:v>
      </x:c>
      <x:c r="G624" s="22" t="n">
        <x:f>IF(E624="LCU/USD",D624*F624,F624/D624)</x:f>
        <x:v>0.67</x:v>
      </x:c>
      <x:c r="H624" s="12" t="str">
        <x:v>定点官价参考（非年均）</x:v>
      </x:c>
      <x:c r="I624" s="12" t="str">
        <x:v>1987-01-01</x:v>
      </x:c>
      <x:c r="J624" s="12" t="str">
        <x:v>SUR_OFFICIAL_SECONDARY</x:v>
      </x:c>
      <x:c r="K624" s="12" t="str">
        <x:v>https://en.wikipedia.org/wiki/Soviet_ruble#Exchange_rates</x:v>
      </x:c>
      <x:c r="L624" s="12" t="str">
        <x:v>选取源表该年最早列出的日期，不代表该年平均、全年固定价或统一可成交价；原档案未复核。</x:v>
      </x:c>
      <x:c r="M624" s="12" t="str">
        <x:v>C：二手转引（原档未复核）</x:v>
      </x:c>
    </x:row>
    <x:row r="625" ht="72" customHeight="1">
      <x:c r="A625" t="n">
        <x:v>1987</x:v>
      </x:c>
      <x:c r="B625" t="str">
        <x:v>CNY</x:v>
      </x:c>
      <x:c r="C625" s="12" t="str">
        <x:v>人民币元（1955币制；CNY）</x:v>
      </x:c>
      <x:c r="D625" s="24" t="n">
        <x:v>3.7314</x:v>
      </x:c>
      <x:c r="E625" s="20" t="str">
        <x:v>LCU/USD</x:v>
      </x:c>
      <x:c r="F625" s="20" t="n">
        <x:v>1</x:v>
      </x:c>
      <x:c r="G625" s="22" t="n">
        <x:f>IF(E625="LCU/USD",D625*F625,F625/D625)</x:f>
        <x:v>3.7314</x:v>
      </x:c>
      <x:c r="H625" s="12" t="str">
        <x:v>年均</x:v>
      </x:c>
      <x:c r="I625" s="12" t="str">
        <x:v>1987-01-01—1987-12-31</x:v>
      </x:c>
      <x:c r="J625" s="12" t="str">
        <x:v>FRB_CNY</x:v>
      </x:c>
      <x:c r="K625" s="12" t="str">
        <x:v>https://fred.stlouisfed.org/data/AEXCHUS</x:v>
      </x:c>
      <x:c r="L625" s="12" t="str"/>
      <x:c r="M625" s="12" t="str">
        <x:v>A：机构统计／原始统计表</x:v>
      </x:c>
    </x:row>
    <x:row r="626" ht="72" customHeight="1">
      <x:c r="A626" t="n">
        <x:v>1988</x:v>
      </x:c>
      <x:c r="B626" t="str">
        <x:v>GBP</x:v>
      </x:c>
      <x:c r="C626" s="12" t="str">
        <x:v>英镑（GBP）</x:v>
      </x:c>
      <x:c r="D626" s="24" t="n">
        <x:v>1.7813</x:v>
      </x:c>
      <x:c r="E626" s="20" t="str">
        <x:v>USD/LCU</x:v>
      </x:c>
      <x:c r="F626" s="20" t="n">
        <x:v>1</x:v>
      </x:c>
      <x:c r="G626" s="22" t="n">
        <x:f>IF(E626="LCU/USD",D626*F626,F626/D626)</x:f>
        <x:v>0.5613877505192837</x:v>
      </x:c>
      <x:c r="H626" s="12" t="str">
        <x:v>年均</x:v>
      </x:c>
      <x:c r="I626" s="12" t="str">
        <x:v>1988-01-01—1988-12-31</x:v>
      </x:c>
      <x:c r="J626" s="12" t="str">
        <x:v>FRB_GBP</x:v>
      </x:c>
      <x:c r="K626" s="12" t="str">
        <x:v>https://fred.stlouisfed.org/data/AEXUSUK</x:v>
      </x:c>
      <x:c r="L626" s="12" t="str">
        <x:v>反向值由原报价均值取倒数；不等于反向日度汇率的算术平均。</x:v>
      </x:c>
      <x:c r="M626" s="12" t="str">
        <x:v>A：机构统计／原始统计表</x:v>
      </x:c>
    </x:row>
    <x:row r="627" ht="72" customHeight="1">
      <x:c r="A627" t="n">
        <x:v>1988</x:v>
      </x:c>
      <x:c r="B627" t="str">
        <x:v>CAD</x:v>
      </x:c>
      <x:c r="C627" s="12" t="str">
        <x:v>加拿大元（CAD）</x:v>
      </x:c>
      <x:c r="D627" s="24" t="n">
        <x:v>1.2306</x:v>
      </x:c>
      <x:c r="E627" s="20" t="str">
        <x:v>LCU/USD</x:v>
      </x:c>
      <x:c r="F627" s="20" t="n">
        <x:v>1</x:v>
      </x:c>
      <x:c r="G627" s="22" t="n">
        <x:f>IF(E627="LCU/USD",D627*F627,F627/D627)</x:f>
        <x:v>1.2306</x:v>
      </x:c>
      <x:c r="H627" s="12" t="str">
        <x:v>年均</x:v>
      </x:c>
      <x:c r="I627" s="12" t="str">
        <x:v>1988-01-01—1988-12-31</x:v>
      </x:c>
      <x:c r="J627" s="12" t="str">
        <x:v>FRB_CAD</x:v>
      </x:c>
      <x:c r="K627" s="12" t="str">
        <x:v>https://fred.stlouisfed.org/data/AEXCAUS</x:v>
      </x:c>
      <x:c r="L627" s="12" t="str"/>
      <x:c r="M627" s="12" t="str">
        <x:v>A：机构统计／原始统计表</x:v>
      </x:c>
    </x:row>
    <x:row r="628" ht="72" customHeight="1">
      <x:c r="A628" t="n">
        <x:v>1988</x:v>
      </x:c>
      <x:c r="B628" t="str">
        <x:v>FR</x:v>
      </x:c>
      <x:c r="C628" s="12" t="str">
        <x:v>法国法郎（FRF；1960币制）</x:v>
      </x:c>
      <x:c r="D628" s="24" t="n">
        <x:v>0.9081426069</x:v>
      </x:c>
      <x:c r="E628" s="20" t="str">
        <x:v>LCU/USD</x:v>
      </x:c>
      <x:c r="F628" s="20" t="n">
        <x:f>'币制说明'!$C$27</x:f>
        <x:v>6.55957</x:v>
      </x:c>
      <x:c r="G628" s="22" t="n">
        <x:f>IF(E628="LCU/USD",D628*F628,F628/D628)</x:f>
        <x:v>5.957024999943033</x:v>
      </x:c>
      <x:c r="H628" s="12" t="str">
        <x:v>年均</x:v>
      </x:c>
      <x:c r="I628" s="12" t="str">
        <x:v>1988-01-01—1988-12-31</x:v>
      </x:c>
      <x:c r="J628" s="12" t="str">
        <x:v>OECD_FR</x:v>
      </x:c>
      <x:c r="K628" s="12" t="str">
        <x:v>https://fred.stlouisfed.org/data/CCUSMA02FRA618N</x:v>
      </x:c>
      <x:c r="L628" s="12" t="str">
        <x:v>由欧元回溯单位还原当年本币；非当年实际欧元报价。 欧元回溯单位按不可撤销转换率还原；法国1960年前另乘100。</x:v>
      </x:c>
      <x:c r="M628" s="12" t="str">
        <x:v>A：机构统计／原始统计表</x:v>
      </x:c>
    </x:row>
    <x:row r="629" ht="72" customHeight="1">
      <x:c r="A629" t="n">
        <x:v>1988</x:v>
      </x:c>
      <x:c r="B629" t="str">
        <x:v>DE</x:v>
      </x:c>
      <x:c r="C629" s="12" t="str">
        <x:v>西德德国马克（DEM）</x:v>
      </x:c>
      <x:c r="D629" s="24" t="n">
        <x:v>0.8979052372</x:v>
      </x:c>
      <x:c r="E629" s="20" t="str">
        <x:v>LCU/USD</x:v>
      </x:c>
      <x:c r="F629" s="20" t="n">
        <x:f>'币制说明'!$C$28</x:f>
        <x:v>1.95583</x:v>
      </x:c>
      <x:c r="G629" s="22" t="n">
        <x:f>IF(E629="LCU/USD",D629*F629,F629/D629)</x:f>
        <x:v>1.756150000072876</x:v>
      </x:c>
      <x:c r="H629" s="12" t="str">
        <x:v>年均</x:v>
      </x:c>
      <x:c r="I629" s="12" t="str">
        <x:v>1988-01-01—1988-12-31</x:v>
      </x:c>
      <x:c r="J629" s="12" t="str">
        <x:v>OECD_DE</x:v>
      </x:c>
      <x:c r="K629" s="12" t="str">
        <x:v>https://fred.stlouisfed.org/data/CCUSMA02DEA618N</x:v>
      </x:c>
      <x:c r="L629" s="12" t="str">
        <x:v>由欧元回溯单位还原当年本币；非当年实际欧元报价。 欧元回溯单位按不可撤销转换率还原；法国1960年前另乘100。</x:v>
      </x:c>
      <x:c r="M629" s="12" t="str">
        <x:v>A：机构统计／原始统计表</x:v>
      </x:c>
    </x:row>
    <x:row r="630" ht="72" customHeight="1">
      <x:c r="A630" t="n">
        <x:v>1988</x:v>
      </x:c>
      <x:c r="B630" t="str">
        <x:v>IT</x:v>
      </x:c>
      <x:c r="C630" s="12" t="str">
        <x:v>意大利里拉（ITL）</x:v>
      </x:c>
      <x:c r="D630" s="24" t="n">
        <x:v>0.6722750787</x:v>
      </x:c>
      <x:c r="E630" s="20" t="str">
        <x:v>LCU/USD</x:v>
      </x:c>
      <x:c r="F630" s="20" t="n">
        <x:f>'币制说明'!$C$29</x:f>
        <x:v>1936.27</x:v>
      </x:c>
      <x:c r="G630" s="22" t="n">
        <x:f>IF(E630="LCU/USD",D630*F630,F630/D630)</x:f>
        <x:v>1301.7060666344491</x:v>
      </x:c>
      <x:c r="H630" s="12" t="str">
        <x:v>年均</x:v>
      </x:c>
      <x:c r="I630" s="12" t="str">
        <x:v>1988-01-01—1988-12-31</x:v>
      </x:c>
      <x:c r="J630" s="12" t="str">
        <x:v>OECD_IT</x:v>
      </x:c>
      <x:c r="K630" s="12" t="str">
        <x:v>https://fred.stlouisfed.org/data/CCUSMA02ITA618N</x:v>
      </x:c>
      <x:c r="L630" s="12" t="str">
        <x:v>由欧元回溯单位还原当年本币；非当年实际欧元报价。 欧元回溯单位按不可撤销转换率还原；法国1960年前另乘100。</x:v>
      </x:c>
      <x:c r="M630" s="12" t="str">
        <x:v>A：机构统计／原始统计表</x:v>
      </x:c>
    </x:row>
    <x:row r="631" ht="72" customHeight="1">
      <x:c r="A631" t="n">
        <x:v>1988</x:v>
      </x:c>
      <x:c r="B631" t="str">
        <x:v>JPY</x:v>
      </x:c>
      <x:c r="C631" s="12" t="str">
        <x:v>日元（JPY）</x:v>
      </x:c>
      <x:c r="D631" s="24" t="n">
        <x:v>128.1742</x:v>
      </x:c>
      <x:c r="E631" s="20" t="str">
        <x:v>LCU/USD</x:v>
      </x:c>
      <x:c r="F631" s="20" t="n">
        <x:v>1</x:v>
      </x:c>
      <x:c r="G631" s="22" t="n">
        <x:f>IF(E631="LCU/USD",D631*F631,F631/D631)</x:f>
        <x:v>128.1742</x:v>
      </x:c>
      <x:c r="H631" s="12" t="str">
        <x:v>年均</x:v>
      </x:c>
      <x:c r="I631" s="12" t="str">
        <x:v>1988-01-01—1988-12-31</x:v>
      </x:c>
      <x:c r="J631" s="12" t="str">
        <x:v>FRB_JPY</x:v>
      </x:c>
      <x:c r="K631" s="12" t="str">
        <x:v>https://fred.stlouisfed.org/data/AEXJPUS</x:v>
      </x:c>
      <x:c r="L631" s="12" t="str"/>
      <x:c r="M631" s="12" t="str">
        <x:v>A：机构统计／原始统计表</x:v>
      </x:c>
    </x:row>
    <x:row r="632" ht="72" customHeight="1">
      <x:c r="A632" t="n">
        <x:v>1988</x:v>
      </x:c>
      <x:c r="B632" t="str">
        <x:v>CHF</x:v>
      </x:c>
      <x:c r="C632" s="12" t="str">
        <x:v>瑞士法郎（CHF）</x:v>
      </x:c>
      <x:c r="D632" s="24" t="n">
        <x:v>1.4643</x:v>
      </x:c>
      <x:c r="E632" s="20" t="str">
        <x:v>LCU/USD</x:v>
      </x:c>
      <x:c r="F632" s="20" t="n">
        <x:v>1</x:v>
      </x:c>
      <x:c r="G632" s="22" t="n">
        <x:f>IF(E632="LCU/USD",D632*F632,F632/D632)</x:f>
        <x:v>1.4643</x:v>
      </x:c>
      <x:c r="H632" s="12" t="str">
        <x:v>年均</x:v>
      </x:c>
      <x:c r="I632" s="12" t="str">
        <x:v>1988-01-01—1988-12-31</x:v>
      </x:c>
      <x:c r="J632" s="12" t="str">
        <x:v>FRB_CHF</x:v>
      </x:c>
      <x:c r="K632" s="12" t="str">
        <x:v>https://fred.stlouisfed.org/data/AEXSZUS</x:v>
      </x:c>
      <x:c r="L632" s="12" t="str"/>
      <x:c r="M632" s="12" t="str">
        <x:v>A：机构统计／原始统计表</x:v>
      </x:c>
    </x:row>
    <x:row r="633" ht="72" customHeight="1">
      <x:c r="A633" t="n">
        <x:v>1988</x:v>
      </x:c>
      <x:c r="B633" t="str">
        <x:v>INR</x:v>
      </x:c>
      <x:c r="C633" s="12" t="str">
        <x:v>印度卢比（INR）</x:v>
      </x:c>
      <x:c r="D633" s="24" t="n">
        <x:v>13.8995</x:v>
      </x:c>
      <x:c r="E633" s="20" t="str">
        <x:v>LCU/USD</x:v>
      </x:c>
      <x:c r="F633" s="20" t="n">
        <x:v>1</x:v>
      </x:c>
      <x:c r="G633" s="22" t="n">
        <x:f>IF(E633="LCU/USD",D633*F633,F633/D633)</x:f>
        <x:v>13.8995</x:v>
      </x:c>
      <x:c r="H633" s="12" t="str">
        <x:v>年均</x:v>
      </x:c>
      <x:c r="I633" s="12" t="str">
        <x:v>1988-01-01—1988-12-31</x:v>
      </x:c>
      <x:c r="J633" s="12" t="str">
        <x:v>FRB_INR</x:v>
      </x:c>
      <x:c r="K633" s="12" t="str">
        <x:v>https://fred.stlouisfed.org/data/AEXINUS</x:v>
      </x:c>
      <x:c r="L633" s="12" t="str"/>
      <x:c r="M633" s="12" t="str">
        <x:v>A：机构统计／原始统计表</x:v>
      </x:c>
    </x:row>
    <x:row r="634" ht="72" customHeight="1">
      <x:c r="A634" t="n">
        <x:v>1988</x:v>
      </x:c>
      <x:c r="B634" t="str">
        <x:v>RUB</x:v>
      </x:c>
      <x:c r="C634" s="12" t="str">
        <x:v>苏联卢布（1961币制）</x:v>
      </x:c>
      <x:c r="D634" s="24" t="n">
        <x:v>0.5804</x:v>
      </x:c>
      <x:c r="E634" s="20" t="str">
        <x:v>LCU/USD</x:v>
      </x:c>
      <x:c r="F634" s="20" t="n">
        <x:v>1</x:v>
      </x:c>
      <x:c r="G634" s="22" t="n">
        <x:f>IF(E634="LCU/USD",D634*F634,F634/D634)</x:f>
        <x:v>0.5804</x:v>
      </x:c>
      <x:c r="H634" s="12" t="str">
        <x:v>定点官价参考（非年均）</x:v>
      </x:c>
      <x:c r="I634" s="12" t="str">
        <x:v>1988-01-06</x:v>
      </x:c>
      <x:c r="J634" s="12" t="str">
        <x:v>SUR_OFFICIAL_SECONDARY</x:v>
      </x:c>
      <x:c r="K634" s="12" t="str">
        <x:v>https://en.wikipedia.org/wiki/Soviet_ruble#Exchange_rates</x:v>
      </x:c>
      <x:c r="L634" s="12" t="str">
        <x:v>选取源表该年最早列出的日期，不代表该年平均、全年固定价或统一可成交价；原档案未复核。</x:v>
      </x:c>
      <x:c r="M634" s="12" t="str">
        <x:v>C：二手转引（原档未复核）</x:v>
      </x:c>
    </x:row>
    <x:row r="635" ht="72" customHeight="1">
      <x:c r="A635" t="n">
        <x:v>1988</x:v>
      </x:c>
      <x:c r="B635" t="str">
        <x:v>CNY</x:v>
      </x:c>
      <x:c r="C635" s="12" t="str">
        <x:v>人民币元（1955币制；CNY）</x:v>
      </x:c>
      <x:c r="D635" s="24" t="n">
        <x:v>3.7314</x:v>
      </x:c>
      <x:c r="E635" s="20" t="str">
        <x:v>LCU/USD</x:v>
      </x:c>
      <x:c r="F635" s="20" t="n">
        <x:v>1</x:v>
      </x:c>
      <x:c r="G635" s="22" t="n">
        <x:f>IF(E635="LCU/USD",D635*F635,F635/D635)</x:f>
        <x:v>3.7314</x:v>
      </x:c>
      <x:c r="H635" s="12" t="str">
        <x:v>年均</x:v>
      </x:c>
      <x:c r="I635" s="12" t="str">
        <x:v>1988-01-01—1988-12-31</x:v>
      </x:c>
      <x:c r="J635" s="12" t="str">
        <x:v>FRB_CNY</x:v>
      </x:c>
      <x:c r="K635" s="12" t="str">
        <x:v>https://fred.stlouisfed.org/data/AEXCHUS</x:v>
      </x:c>
      <x:c r="L635" s="12" t="str"/>
      <x:c r="M635" s="12" t="str">
        <x:v>A：机构统计／原始统计表</x:v>
      </x:c>
    </x:row>
    <x:row r="636" ht="72" customHeight="1">
      <x:c r="A636" t="n">
        <x:v>1989</x:v>
      </x:c>
      <x:c r="B636" t="str">
        <x:v>GBP</x:v>
      </x:c>
      <x:c r="C636" s="12" t="str">
        <x:v>英镑（GBP）</x:v>
      </x:c>
      <x:c r="D636" s="24" t="n">
        <x:v>1.6382</x:v>
      </x:c>
      <x:c r="E636" s="20" t="str">
        <x:v>USD/LCU</x:v>
      </x:c>
      <x:c r="F636" s="20" t="n">
        <x:v>1</x:v>
      </x:c>
      <x:c r="G636" s="22" t="n">
        <x:f>IF(E636="LCU/USD",D636*F636,F636/D636)</x:f>
        <x:v>0.6104260774020266</x:v>
      </x:c>
      <x:c r="H636" s="12" t="str">
        <x:v>年均</x:v>
      </x:c>
      <x:c r="I636" s="12" t="str">
        <x:v>1989-01-01—1989-12-31</x:v>
      </x:c>
      <x:c r="J636" s="12" t="str">
        <x:v>FRB_GBP</x:v>
      </x:c>
      <x:c r="K636" s="12" t="str">
        <x:v>https://fred.stlouisfed.org/data/AEXUSUK</x:v>
      </x:c>
      <x:c r="L636" s="12" t="str">
        <x:v>反向值由原报价均值取倒数；不等于反向日度汇率的算术平均。</x:v>
      </x:c>
      <x:c r="M636" s="12" t="str">
        <x:v>A：机构统计／原始统计表</x:v>
      </x:c>
    </x:row>
    <x:row r="637" ht="72" customHeight="1">
      <x:c r="A637" t="n">
        <x:v>1989</x:v>
      </x:c>
      <x:c r="B637" t="str">
        <x:v>CAD</x:v>
      </x:c>
      <x:c r="C637" s="12" t="str">
        <x:v>加拿大元（CAD）</x:v>
      </x:c>
      <x:c r="D637" s="24" t="n">
        <x:v>1.1842</x:v>
      </x:c>
      <x:c r="E637" s="20" t="str">
        <x:v>LCU/USD</x:v>
      </x:c>
      <x:c r="F637" s="20" t="n">
        <x:v>1</x:v>
      </x:c>
      <x:c r="G637" s="22" t="n">
        <x:f>IF(E637="LCU/USD",D637*F637,F637/D637)</x:f>
        <x:v>1.1842</x:v>
      </x:c>
      <x:c r="H637" s="12" t="str">
        <x:v>年均</x:v>
      </x:c>
      <x:c r="I637" s="12" t="str">
        <x:v>1989-01-01—1989-12-31</x:v>
      </x:c>
      <x:c r="J637" s="12" t="str">
        <x:v>FRB_CAD</x:v>
      </x:c>
      <x:c r="K637" s="12" t="str">
        <x:v>https://fred.stlouisfed.org/data/AEXCAUS</x:v>
      </x:c>
      <x:c r="L637" s="12" t="str"/>
      <x:c r="M637" s="12" t="str">
        <x:v>A：机构统计／原始统计表</x:v>
      </x:c>
    </x:row>
    <x:row r="638" ht="72" customHeight="1">
      <x:c r="A638" t="n">
        <x:v>1989</x:v>
      </x:c>
      <x:c r="B638" t="str">
        <x:v>FR</x:v>
      </x:c>
      <x:c r="C638" s="12" t="str">
        <x:v>法国法郎（FRF；1960币制）</x:v>
      </x:c>
      <x:c r="D638" s="24" t="n">
        <x:v>0.9726488677</x:v>
      </x:c>
      <x:c r="E638" s="20" t="str">
        <x:v>LCU/USD</x:v>
      </x:c>
      <x:c r="F638" s="20" t="n">
        <x:f>'币制说明'!$C$27</x:f>
        <x:v>6.55957</x:v>
      </x:c>
      <x:c r="G638" s="22" t="n">
        <x:f>IF(E638="LCU/USD",D638*F638,F638/D638)</x:f>
        <x:v>6.380158333098889</x:v>
      </x:c>
      <x:c r="H638" s="12" t="str">
        <x:v>年均</x:v>
      </x:c>
      <x:c r="I638" s="12" t="str">
        <x:v>1989-01-01—1989-12-31</x:v>
      </x:c>
      <x:c r="J638" s="12" t="str">
        <x:v>OECD_FR</x:v>
      </x:c>
      <x:c r="K638" s="12" t="str">
        <x:v>https://fred.stlouisfed.org/data/CCUSMA02FRA618N</x:v>
      </x:c>
      <x:c r="L638" s="12" t="str">
        <x:v>由欧元回溯单位还原当年本币；非当年实际欧元报价。 欧元回溯单位按不可撤销转换率还原；法国1960年前另乘100。</x:v>
      </x:c>
      <x:c r="M638" s="12" t="str">
        <x:v>A：机构统计／原始统计表</x:v>
      </x:c>
    </x:row>
    <x:row r="639" ht="72" customHeight="1">
      <x:c r="A639" t="n">
        <x:v>1989</x:v>
      </x:c>
      <x:c r="B639" t="str">
        <x:v>DE</x:v>
      </x:c>
      <x:c r="C639" s="12" t="str">
        <x:v>西德德国马克（DEM）</x:v>
      </x:c>
      <x:c r="D639" s="24" t="n">
        <x:v>0.9612202151</x:v>
      </x:c>
      <x:c r="E639" s="20" t="str">
        <x:v>LCU/USD</x:v>
      </x:c>
      <x:c r="F639" s="20" t="n">
        <x:f>'币制说明'!$C$28</x:f>
        <x:v>1.95583</x:v>
      </x:c>
      <x:c r="G639" s="22" t="n">
        <x:f>IF(E639="LCU/USD",D639*F639,F639/D639)</x:f>
        <x:v>1.879983333299033</x:v>
      </x:c>
      <x:c r="H639" s="12" t="str">
        <x:v>年均</x:v>
      </x:c>
      <x:c r="I639" s="12" t="str">
        <x:v>1989-01-01—1989-12-31</x:v>
      </x:c>
      <x:c r="J639" s="12" t="str">
        <x:v>OECD_DE</x:v>
      </x:c>
      <x:c r="K639" s="12" t="str">
        <x:v>https://fred.stlouisfed.org/data/CCUSMA02DEA618N</x:v>
      </x:c>
      <x:c r="L639" s="12" t="str">
        <x:v>由欧元回溯单位还原当年本币；非当年实际欧元报价。 欧元回溯单位按不可撤销转换率还原；法国1960年前另乘100。</x:v>
      </x:c>
      <x:c r="M639" s="12" t="str">
        <x:v>A：机构统计／原始统计表</x:v>
      </x:c>
    </x:row>
    <x:row r="640" ht="72" customHeight="1">
      <x:c r="A640" t="n">
        <x:v>1989</x:v>
      </x:c>
      <x:c r="B640" t="str">
        <x:v>IT</x:v>
      </x:c>
      <x:c r="C640" s="12" t="str">
        <x:v>意大利里拉（ITL）</x:v>
      </x:c>
      <x:c r="D640" s="24" t="n">
        <x:v>0.70841749</x:v>
      </x:c>
      <x:c r="E640" s="20" t="str">
        <x:v>LCU/USD</x:v>
      </x:c>
      <x:c r="F640" s="20" t="n">
        <x:f>'币制说明'!$C$29</x:f>
        <x:v>1936.27</x:v>
      </x:c>
      <x:c r="G640" s="22" t="n">
        <x:f>IF(E640="LCU/USD",D640*F640,F640/D640)</x:f>
        <x:v>1371.6875333623</x:v>
      </x:c>
      <x:c r="H640" s="12" t="str">
        <x:v>年均</x:v>
      </x:c>
      <x:c r="I640" s="12" t="str">
        <x:v>1989-01-01—1989-12-31</x:v>
      </x:c>
      <x:c r="J640" s="12" t="str">
        <x:v>OECD_IT</x:v>
      </x:c>
      <x:c r="K640" s="12" t="str">
        <x:v>https://fred.stlouisfed.org/data/CCUSMA02ITA618N</x:v>
      </x:c>
      <x:c r="L640" s="12" t="str">
        <x:v>由欧元回溯单位还原当年本币；非当年实际欧元报价。 欧元回溯单位按不可撤销转换率还原；法国1960年前另乘100。</x:v>
      </x:c>
      <x:c r="M640" s="12" t="str">
        <x:v>A：机构统计／原始统计表</x:v>
      </x:c>
    </x:row>
    <x:row r="641" ht="72" customHeight="1">
      <x:c r="A641" t="n">
        <x:v>1989</x:v>
      </x:c>
      <x:c r="B641" t="str">
        <x:v>JPY</x:v>
      </x:c>
      <x:c r="C641" s="12" t="str">
        <x:v>日元（JPY）</x:v>
      </x:c>
      <x:c r="D641" s="24" t="n">
        <x:v>138.0738</x:v>
      </x:c>
      <x:c r="E641" s="20" t="str">
        <x:v>LCU/USD</x:v>
      </x:c>
      <x:c r="F641" s="20" t="n">
        <x:v>1</x:v>
      </x:c>
      <x:c r="G641" s="22" t="n">
        <x:f>IF(E641="LCU/USD",D641*F641,F641/D641)</x:f>
        <x:v>138.0738</x:v>
      </x:c>
      <x:c r="H641" s="12" t="str">
        <x:v>年均</x:v>
      </x:c>
      <x:c r="I641" s="12" t="str">
        <x:v>1989-01-01—1989-12-31</x:v>
      </x:c>
      <x:c r="J641" s="12" t="str">
        <x:v>FRB_JPY</x:v>
      </x:c>
      <x:c r="K641" s="12" t="str">
        <x:v>https://fred.stlouisfed.org/data/AEXJPUS</x:v>
      </x:c>
      <x:c r="L641" s="12" t="str"/>
      <x:c r="M641" s="12" t="str">
        <x:v>A：机构统计／原始统计表</x:v>
      </x:c>
    </x:row>
    <x:row r="642" ht="72" customHeight="1">
      <x:c r="A642" t="n">
        <x:v>1989</x:v>
      </x:c>
      <x:c r="B642" t="str">
        <x:v>CHF</x:v>
      </x:c>
      <x:c r="C642" s="12" t="str">
        <x:v>瑞士法郎（CHF）</x:v>
      </x:c>
      <x:c r="D642" s="24" t="n">
        <x:v>1.6369</x:v>
      </x:c>
      <x:c r="E642" s="20" t="str">
        <x:v>LCU/USD</x:v>
      </x:c>
      <x:c r="F642" s="20" t="n">
        <x:v>1</x:v>
      </x:c>
      <x:c r="G642" s="22" t="n">
        <x:f>IF(E642="LCU/USD",D642*F642,F642/D642)</x:f>
        <x:v>1.6369</x:v>
      </x:c>
      <x:c r="H642" s="12" t="str">
        <x:v>年均</x:v>
      </x:c>
      <x:c r="I642" s="12" t="str">
        <x:v>1989-01-01—1989-12-31</x:v>
      </x:c>
      <x:c r="J642" s="12" t="str">
        <x:v>FRB_CHF</x:v>
      </x:c>
      <x:c r="K642" s="12" t="str">
        <x:v>https://fred.stlouisfed.org/data/AEXSZUS</x:v>
      </x:c>
      <x:c r="L642" s="12" t="str"/>
      <x:c r="M642" s="12" t="str">
        <x:v>A：机构统计／原始统计表</x:v>
      </x:c>
    </x:row>
    <x:row r="643" ht="72" customHeight="1">
      <x:c r="A643" t="n">
        <x:v>1989</x:v>
      </x:c>
      <x:c r="B643" t="str">
        <x:v>INR</x:v>
      </x:c>
      <x:c r="C643" s="12" t="str">
        <x:v>印度卢比（INR）</x:v>
      </x:c>
      <x:c r="D643" s="24" t="n">
        <x:v>16.2131</x:v>
      </x:c>
      <x:c r="E643" s="20" t="str">
        <x:v>LCU/USD</x:v>
      </x:c>
      <x:c r="F643" s="20" t="n">
        <x:v>1</x:v>
      </x:c>
      <x:c r="G643" s="22" t="n">
        <x:f>IF(E643="LCU/USD",D643*F643,F643/D643)</x:f>
        <x:v>16.2131</x:v>
      </x:c>
      <x:c r="H643" s="12" t="str">
        <x:v>年均</x:v>
      </x:c>
      <x:c r="I643" s="12" t="str">
        <x:v>1989-01-01—1989-12-31</x:v>
      </x:c>
      <x:c r="J643" s="12" t="str">
        <x:v>FRB_INR</x:v>
      </x:c>
      <x:c r="K643" s="12" t="str">
        <x:v>https://fred.stlouisfed.org/data/AEXINUS</x:v>
      </x:c>
      <x:c r="L643" s="12" t="str"/>
      <x:c r="M643" s="12" t="str">
        <x:v>A：机构统计／原始统计表</x:v>
      </x:c>
    </x:row>
    <x:row r="644" ht="72" customHeight="1">
      <x:c r="A644" t="n">
        <x:v>1989</x:v>
      </x:c>
      <x:c r="B644" t="str">
        <x:v>RUB</x:v>
      </x:c>
      <x:c r="C644" s="12" t="str">
        <x:v>苏联卢布（1961币制）</x:v>
      </x:c>
      <x:c r="D644" s="24" t="n">
        <x:v>0.6059</x:v>
      </x:c>
      <x:c r="E644" s="20" t="str">
        <x:v>LCU/USD</x:v>
      </x:c>
      <x:c r="F644" s="20" t="n">
        <x:v>1</x:v>
      </x:c>
      <x:c r="G644" s="22" t="n">
        <x:f>IF(E644="LCU/USD",D644*F644,F644/D644)</x:f>
        <x:v>0.6059</x:v>
      </x:c>
      <x:c r="H644" s="12" t="str">
        <x:v>定点官价参考（非年均）</x:v>
      </x:c>
      <x:c r="I644" s="12" t="str">
        <x:v>1989-01-04</x:v>
      </x:c>
      <x:c r="J644" s="12" t="str">
        <x:v>SUR_OFFICIAL_SECONDARY</x:v>
      </x:c>
      <x:c r="K644" s="12" t="str">
        <x:v>https://en.wikipedia.org/wiki/Soviet_ruble#Exchange_rates</x:v>
      </x:c>
      <x:c r="L644" s="12" t="str">
        <x:v>选取源表该年最早列出的日期，不代表该年平均、全年固定价或统一可成交价；原档案未复核。</x:v>
      </x:c>
      <x:c r="M644" s="12" t="str">
        <x:v>C：二手转引（原档未复核）</x:v>
      </x:c>
    </x:row>
    <x:row r="645" ht="72" customHeight="1">
      <x:c r="A645" t="n">
        <x:v>1989</x:v>
      </x:c>
      <x:c r="B645" t="str">
        <x:v>CNY</x:v>
      </x:c>
      <x:c r="C645" s="12" t="str">
        <x:v>人民币元（1955币制；CNY）</x:v>
      </x:c>
      <x:c r="D645" s="24" t="n">
        <x:v>3.7673</x:v>
      </x:c>
      <x:c r="E645" s="20" t="str">
        <x:v>LCU/USD</x:v>
      </x:c>
      <x:c r="F645" s="20" t="n">
        <x:v>1</x:v>
      </x:c>
      <x:c r="G645" s="22" t="n">
        <x:f>IF(E645="LCU/USD",D645*F645,F645/D645)</x:f>
        <x:v>3.7673</x:v>
      </x:c>
      <x:c r="H645" s="12" t="str">
        <x:v>年均</x:v>
      </x:c>
      <x:c r="I645" s="12" t="str">
        <x:v>1989-01-01—1989-12-31</x:v>
      </x:c>
      <x:c r="J645" s="12" t="str">
        <x:v>FRB_CNY</x:v>
      </x:c>
      <x:c r="K645" s="12" t="str">
        <x:v>https://fred.stlouisfed.org/data/AEXCHUS</x:v>
      </x:c>
      <x:c r="L645" s="12" t="str"/>
      <x:c r="M645" s="12" t="str">
        <x:v>A：机构统计／原始统计表</x:v>
      </x:c>
    </x:row>
    <x:row r="646" ht="72" customHeight="1">
      <x:c r="A646" t="n">
        <x:v>1990</x:v>
      </x:c>
      <x:c r="B646" t="str">
        <x:v>GBP</x:v>
      </x:c>
      <x:c r="C646" s="12" t="str">
        <x:v>英镑（GBP）</x:v>
      </x:c>
      <x:c r="D646" s="24" t="n">
        <x:v>1.7841</x:v>
      </x:c>
      <x:c r="E646" s="20" t="str">
        <x:v>USD/LCU</x:v>
      </x:c>
      <x:c r="F646" s="20" t="n">
        <x:v>1</x:v>
      </x:c>
      <x:c r="G646" s="22" t="n">
        <x:f>IF(E646="LCU/USD",D646*F646,F646/D646)</x:f>
        <x:v>0.5605066980550417</x:v>
      </x:c>
      <x:c r="H646" s="12" t="str">
        <x:v>年均</x:v>
      </x:c>
      <x:c r="I646" s="12" t="str">
        <x:v>1990-01-01—1990-12-31</x:v>
      </x:c>
      <x:c r="J646" s="12" t="str">
        <x:v>FRB_GBP</x:v>
      </x:c>
      <x:c r="K646" s="12" t="str">
        <x:v>https://fred.stlouisfed.org/data/AEXUSUK</x:v>
      </x:c>
      <x:c r="L646" s="12" t="str">
        <x:v>反向值由原报价均值取倒数；不等于反向日度汇率的算术平均。</x:v>
      </x:c>
      <x:c r="M646" s="12" t="str">
        <x:v>A：机构统计／原始统计表</x:v>
      </x:c>
    </x:row>
    <x:row r="647" ht="72" customHeight="1">
      <x:c r="A647" t="n">
        <x:v>1990</x:v>
      </x:c>
      <x:c r="B647" t="str">
        <x:v>CAD</x:v>
      </x:c>
      <x:c r="C647" s="12" t="str">
        <x:v>加拿大元（CAD）</x:v>
      </x:c>
      <x:c r="D647" s="24" t="n">
        <x:v>1.1668</x:v>
      </x:c>
      <x:c r="E647" s="20" t="str">
        <x:v>LCU/USD</x:v>
      </x:c>
      <x:c r="F647" s="20" t="n">
        <x:v>1</x:v>
      </x:c>
      <x:c r="G647" s="22" t="n">
        <x:f>IF(E647="LCU/USD",D647*F647,F647/D647)</x:f>
        <x:v>1.1668</x:v>
      </x:c>
      <x:c r="H647" s="12" t="str">
        <x:v>年均</x:v>
      </x:c>
      <x:c r="I647" s="12" t="str">
        <x:v>1990-01-01—1990-12-31</x:v>
      </x:c>
      <x:c r="J647" s="12" t="str">
        <x:v>FRB_CAD</x:v>
      </x:c>
      <x:c r="K647" s="12" t="str">
        <x:v>https://fred.stlouisfed.org/data/AEXCAUS</x:v>
      </x:c>
      <x:c r="L647" s="12" t="str"/>
      <x:c r="M647" s="12" t="str">
        <x:v>A：机构统计／原始统计表</x:v>
      </x:c>
    </x:row>
    <x:row r="648" ht="72" customHeight="1">
      <x:c r="A648" t="n">
        <x:v>1990</x:v>
      </x:c>
      <x:c r="B648" t="str">
        <x:v>FR</x:v>
      </x:c>
      <x:c r="C648" s="12" t="str">
        <x:v>法国法郎（FRF；1960币制）</x:v>
      </x:c>
      <x:c r="D648" s="24" t="n">
        <x:v>0.8302297254</x:v>
      </x:c>
      <x:c r="E648" s="20" t="str">
        <x:v>LCU/USD</x:v>
      </x:c>
      <x:c r="F648" s="20" t="n">
        <x:f>'币制说明'!$C$27</x:f>
        <x:v>6.55957</x:v>
      </x:c>
      <x:c r="G648" s="22" t="n">
        <x:f>IF(E648="LCU/USD",D648*F648,F648/D648)</x:f>
        <x:v>5.445949999842077</x:v>
      </x:c>
      <x:c r="H648" s="12" t="str">
        <x:v>年均</x:v>
      </x:c>
      <x:c r="I648" s="12" t="str">
        <x:v>1990-01-01—1990-12-31</x:v>
      </x:c>
      <x:c r="J648" s="12" t="str">
        <x:v>OECD_FR</x:v>
      </x:c>
      <x:c r="K648" s="12" t="str">
        <x:v>https://fred.stlouisfed.org/data/CCUSMA02FRA618N</x:v>
      </x:c>
      <x:c r="L648" s="12" t="str">
        <x:v>由欧元回溯单位还原当年本币；非当年实际欧元报价。 欧元回溯单位按不可撤销转换率还原；法国1960年前另乘100。</x:v>
      </x:c>
      <x:c r="M648" s="12" t="str">
        <x:v>A：机构统计／原始统计表</x:v>
      </x:c>
    </x:row>
    <x:row r="649" ht="72" customHeight="1">
      <x:c r="A649" t="n">
        <x:v>1990</x:v>
      </x:c>
      <x:c r="B649" t="str">
        <x:v>DE</x:v>
      </x:c>
      <x:c r="C649" s="12" t="str">
        <x:v>德国马克（DEM）</x:v>
      </x:c>
      <x:c r="D649" s="24" t="n">
        <x:v>0.8261837685</x:v>
      </x:c>
      <x:c r="E649" s="20" t="str">
        <x:v>LCU/USD</x:v>
      </x:c>
      <x:c r="F649" s="20" t="n">
        <x:f>'币制说明'!$C$28</x:f>
        <x:v>1.95583</x:v>
      </x:c>
      <x:c r="G649" s="22" t="n">
        <x:f>IF(E649="LCU/USD",D649*F649,F649/D649)</x:f>
        <x:v>1.615874999945355</x:v>
      </x:c>
      <x:c r="H649" s="12" t="str">
        <x:v>年均</x:v>
      </x:c>
      <x:c r="I649" s="12" t="str">
        <x:v>1990-01-01—1990-12-31</x:v>
      </x:c>
      <x:c r="J649" s="12" t="str">
        <x:v>OECD_DE</x:v>
      </x:c>
      <x:c r="K649" s="12" t="str">
        <x:v>https://fred.stlouisfed.org/data/CCUSMA02DEA618N</x:v>
      </x:c>
      <x:c r="L649" s="12" t="str">
        <x:v>由欧元回溯单位还原当年本币；非当年实际欧元报价。 欧元回溯单位按不可撤销转换率还原；法国1960年前另乘100。</x:v>
      </x:c>
      <x:c r="M649" s="12" t="str">
        <x:v>A：机构统计／原始统计表</x:v>
      </x:c>
    </x:row>
    <x:row r="650" ht="72" customHeight="1">
      <x:c r="A650" t="n">
        <x:v>1990</x:v>
      </x:c>
      <x:c r="B650" t="str">
        <x:v>IT</x:v>
      </x:c>
      <x:c r="C650" s="12" t="str">
        <x:v>意大利里拉（ITL）</x:v>
      </x:c>
      <x:c r="D650" s="24" t="n">
        <x:v>0.6189092043</x:v>
      </x:c>
      <x:c r="E650" s="20" t="str">
        <x:v>LCU/USD</x:v>
      </x:c>
      <x:c r="F650" s="20" t="n">
        <x:f>'币制说明'!$C$29</x:f>
        <x:v>1936.27</x:v>
      </x:c>
      <x:c r="G650" s="22" t="n">
        <x:f>IF(E650="LCU/USD",D650*F650,F650/D650)</x:f>
        <x:v>1198.375325009961</x:v>
      </x:c>
      <x:c r="H650" s="12" t="str">
        <x:v>年均</x:v>
      </x:c>
      <x:c r="I650" s="12" t="str">
        <x:v>1990-01-01—1990-12-31</x:v>
      </x:c>
      <x:c r="J650" s="12" t="str">
        <x:v>OECD_IT</x:v>
      </x:c>
      <x:c r="K650" s="12" t="str">
        <x:v>https://fred.stlouisfed.org/data/CCUSMA02ITA618N</x:v>
      </x:c>
      <x:c r="L650" s="12" t="str">
        <x:v>由欧元回溯单位还原当年本币；非当年实际欧元报价。 欧元回溯单位按不可撤销转换率还原；法国1960年前另乘100。</x:v>
      </x:c>
      <x:c r="M650" s="12" t="str">
        <x:v>A：机构统计／原始统计表</x:v>
      </x:c>
    </x:row>
    <x:row r="651" ht="72" customHeight="1">
      <x:c r="A651" t="n">
        <x:v>1990</x:v>
      </x:c>
      <x:c r="B651" t="str">
        <x:v>JPY</x:v>
      </x:c>
      <x:c r="C651" s="12" t="str">
        <x:v>日元（JPY）</x:v>
      </x:c>
      <x:c r="D651" s="24" t="n">
        <x:v>144.9987</x:v>
      </x:c>
      <x:c r="E651" s="20" t="str">
        <x:v>LCU/USD</x:v>
      </x:c>
      <x:c r="F651" s="20" t="n">
        <x:v>1</x:v>
      </x:c>
      <x:c r="G651" s="22" t="n">
        <x:f>IF(E651="LCU/USD",D651*F651,F651/D651)</x:f>
        <x:v>144.9987</x:v>
      </x:c>
      <x:c r="H651" s="12" t="str">
        <x:v>年均</x:v>
      </x:c>
      <x:c r="I651" s="12" t="str">
        <x:v>1990-01-01—1990-12-31</x:v>
      </x:c>
      <x:c r="J651" s="12" t="str">
        <x:v>FRB_JPY</x:v>
      </x:c>
      <x:c r="K651" s="12" t="str">
        <x:v>https://fred.stlouisfed.org/data/AEXJPUS</x:v>
      </x:c>
      <x:c r="L651" s="12" t="str"/>
      <x:c r="M651" s="12" t="str">
        <x:v>A：机构统计／原始统计表</x:v>
      </x:c>
    </x:row>
    <x:row r="652" ht="72" customHeight="1">
      <x:c r="A652" t="n">
        <x:v>1990</x:v>
      </x:c>
      <x:c r="B652" t="str">
        <x:v>CHF</x:v>
      </x:c>
      <x:c r="C652" s="12" t="str">
        <x:v>瑞士法郎（CHF）</x:v>
      </x:c>
      <x:c r="D652" s="24" t="n">
        <x:v>1.3901</x:v>
      </x:c>
      <x:c r="E652" s="20" t="str">
        <x:v>LCU/USD</x:v>
      </x:c>
      <x:c r="F652" s="20" t="n">
        <x:v>1</x:v>
      </x:c>
      <x:c r="G652" s="22" t="n">
        <x:f>IF(E652="LCU/USD",D652*F652,F652/D652)</x:f>
        <x:v>1.3901</x:v>
      </x:c>
      <x:c r="H652" s="12" t="str">
        <x:v>年均</x:v>
      </x:c>
      <x:c r="I652" s="12" t="str">
        <x:v>1990-01-01—1990-12-31</x:v>
      </x:c>
      <x:c r="J652" s="12" t="str">
        <x:v>FRB_CHF</x:v>
      </x:c>
      <x:c r="K652" s="12" t="str">
        <x:v>https://fred.stlouisfed.org/data/AEXSZUS</x:v>
      </x:c>
      <x:c r="L652" s="12" t="str"/>
      <x:c r="M652" s="12" t="str">
        <x:v>A：机构统计／原始统计表</x:v>
      </x:c>
    </x:row>
    <x:row r="653" ht="72" customHeight="1">
      <x:c r="A653" t="n">
        <x:v>1990</x:v>
      </x:c>
      <x:c r="B653" t="str">
        <x:v>INR</x:v>
      </x:c>
      <x:c r="C653" s="12" t="str">
        <x:v>印度卢比（INR）</x:v>
      </x:c>
      <x:c r="D653" s="24" t="n">
        <x:v>17.4922</x:v>
      </x:c>
      <x:c r="E653" s="20" t="str">
        <x:v>LCU/USD</x:v>
      </x:c>
      <x:c r="F653" s="20" t="n">
        <x:v>1</x:v>
      </x:c>
      <x:c r="G653" s="22" t="n">
        <x:f>IF(E653="LCU/USD",D653*F653,F653/D653)</x:f>
        <x:v>17.4922</x:v>
      </x:c>
      <x:c r="H653" s="12" t="str">
        <x:v>年均</x:v>
      </x:c>
      <x:c r="I653" s="12" t="str">
        <x:v>1990-01-01—1990-12-31</x:v>
      </x:c>
      <x:c r="J653" s="12" t="str">
        <x:v>FRB_INR</x:v>
      </x:c>
      <x:c r="K653" s="12" t="str">
        <x:v>https://fred.stlouisfed.org/data/AEXINUS</x:v>
      </x:c>
      <x:c r="L653" s="12" t="str"/>
      <x:c r="M653" s="12" t="str">
        <x:v>A：机构统计／原始统计表</x:v>
      </x:c>
    </x:row>
    <x:row r="654" ht="72" customHeight="1">
      <x:c r="A654" t="n">
        <x:v>1990</x:v>
      </x:c>
      <x:c r="B654" t="str">
        <x:v>RUB</x:v>
      </x:c>
      <x:c r="C654" s="12" t="str">
        <x:v>苏联卢布（1961币制）</x:v>
      </x:c>
      <x:c r="D654" s="24" t="n">
        <x:v>0.6072</x:v>
      </x:c>
      <x:c r="E654" s="20" t="str">
        <x:v>LCU/USD</x:v>
      </x:c>
      <x:c r="F654" s="20" t="n">
        <x:v>1</x:v>
      </x:c>
      <x:c r="G654" s="22" t="n">
        <x:f>IF(E654="LCU/USD",D654*F654,F654/D654)</x:f>
        <x:v>0.6072</x:v>
      </x:c>
      <x:c r="H654" s="12" t="str">
        <x:v>定点官价参考（非年均）</x:v>
      </x:c>
      <x:c r="I654" s="12" t="str">
        <x:v>1990-01-03</x:v>
      </x:c>
      <x:c r="J654" s="12" t="str">
        <x:v>SUR_OFFICIAL_SECONDARY</x:v>
      </x:c>
      <x:c r="K654" s="12" t="str">
        <x:v>https://en.wikipedia.org/wiki/Soviet_ruble#Exchange_rates</x:v>
      </x:c>
      <x:c r="L654" s="12" t="str">
        <x:v>选取源表该年最早列出的日期，不代表该年平均、全年固定价或统一可成交价；原档案未复核。</x:v>
      </x:c>
      <x:c r="M654" s="12" t="str">
        <x:v>C：二手转引（原档未复核）</x:v>
      </x:c>
    </x:row>
    <x:row r="655" ht="72" customHeight="1">
      <x:c r="A655" t="n">
        <x:v>1990</x:v>
      </x:c>
      <x:c r="B655" t="str">
        <x:v>CNY</x:v>
      </x:c>
      <x:c r="C655" s="12" t="str">
        <x:v>人民币元（1955币制；CNY）</x:v>
      </x:c>
      <x:c r="D655" s="24" t="n">
        <x:v>4.7921</x:v>
      </x:c>
      <x:c r="E655" s="20" t="str">
        <x:v>LCU/USD</x:v>
      </x:c>
      <x:c r="F655" s="20" t="n">
        <x:v>1</x:v>
      </x:c>
      <x:c r="G655" s="22" t="n">
        <x:f>IF(E655="LCU/USD",D655*F655,F655/D655)</x:f>
        <x:v>4.7921</x:v>
      </x:c>
      <x:c r="H655" s="12" t="str">
        <x:v>年均</x:v>
      </x:c>
      <x:c r="I655" s="12" t="str">
        <x:v>1990-01-01—1990-12-31</x:v>
      </x:c>
      <x:c r="J655" s="12" t="str">
        <x:v>FRB_CNY</x:v>
      </x:c>
      <x:c r="K655" s="12" t="str">
        <x:v>https://fred.stlouisfed.org/data/AEXCHUS</x:v>
      </x:c>
      <x:c r="L655" s="12" t="str"/>
      <x:c r="M655" s="12" t="str">
        <x:v>A：机构统计／原始统计表</x:v>
      </x:c>
    </x:row>
    <x:row r="656" ht="72" customHeight="1">
      <x:c r="A656" t="n">
        <x:v>1991</x:v>
      </x:c>
      <x:c r="B656" t="str">
        <x:v>GBP</x:v>
      </x:c>
      <x:c r="C656" s="12" t="str">
        <x:v>英镑（GBP）</x:v>
      </x:c>
      <x:c r="D656" s="24" t="n">
        <x:v>1.7674</x:v>
      </x:c>
      <x:c r="E656" s="20" t="str">
        <x:v>USD/LCU</x:v>
      </x:c>
      <x:c r="F656" s="20" t="n">
        <x:v>1</x:v>
      </x:c>
      <x:c r="G656" s="22" t="n">
        <x:f>IF(E656="LCU/USD",D656*F656,F656/D656)</x:f>
        <x:v>0.5658028742786013</x:v>
      </x:c>
      <x:c r="H656" s="12" t="str">
        <x:v>年均</x:v>
      </x:c>
      <x:c r="I656" s="12" t="str">
        <x:v>1991-01-01—1991-12-31</x:v>
      </x:c>
      <x:c r="J656" s="12" t="str">
        <x:v>FRB_GBP</x:v>
      </x:c>
      <x:c r="K656" s="12" t="str">
        <x:v>https://fred.stlouisfed.org/data/AEXUSUK</x:v>
      </x:c>
      <x:c r="L656" s="12" t="str">
        <x:v>反向值由原报价均值取倒数；不等于反向日度汇率的算术平均。</x:v>
      </x:c>
      <x:c r="M656" s="12" t="str">
        <x:v>A：机构统计／原始统计表</x:v>
      </x:c>
    </x:row>
    <x:row r="657" ht="72" customHeight="1">
      <x:c r="A657" t="n">
        <x:v>1991</x:v>
      </x:c>
      <x:c r="B657" t="str">
        <x:v>CAD</x:v>
      </x:c>
      <x:c r="C657" s="12" t="str">
        <x:v>加拿大元（CAD）</x:v>
      </x:c>
      <x:c r="D657" s="24" t="n">
        <x:v>1.146</x:v>
      </x:c>
      <x:c r="E657" s="20" t="str">
        <x:v>LCU/USD</x:v>
      </x:c>
      <x:c r="F657" s="20" t="n">
        <x:v>1</x:v>
      </x:c>
      <x:c r="G657" s="22" t="n">
        <x:f>IF(E657="LCU/USD",D657*F657,F657/D657)</x:f>
        <x:v>1.146</x:v>
      </x:c>
      <x:c r="H657" s="12" t="str">
        <x:v>年均</x:v>
      </x:c>
      <x:c r="I657" s="12" t="str">
        <x:v>1991-01-01—1991-12-31</x:v>
      </x:c>
      <x:c r="J657" s="12" t="str">
        <x:v>FRB_CAD</x:v>
      </x:c>
      <x:c r="K657" s="12" t="str">
        <x:v>https://fred.stlouisfed.org/data/AEXCAUS</x:v>
      </x:c>
      <x:c r="L657" s="12" t="str"/>
      <x:c r="M657" s="12" t="str">
        <x:v>A：机构统计／原始统计表</x:v>
      </x:c>
    </x:row>
    <x:row r="658" ht="72" customHeight="1">
      <x:c r="A658" t="n">
        <x:v>1991</x:v>
      </x:c>
      <x:c r="B658" t="str">
        <x:v>FR</x:v>
      </x:c>
      <x:c r="C658" s="12" t="str">
        <x:v>法国法郎（FRF；1960币制）</x:v>
      </x:c>
      <x:c r="D658" s="24" t="n">
        <x:v>0.8599420389</x:v>
      </x:c>
      <x:c r="E658" s="20" t="str">
        <x:v>LCU/USD</x:v>
      </x:c>
      <x:c r="F658" s="20" t="n">
        <x:f>'币制说明'!$C$27</x:f>
        <x:v>6.55957</x:v>
      </x:c>
      <x:c r="G658" s="22" t="n">
        <x:f>IF(E658="LCU/USD",D658*F658,F658/D658)</x:f>
        <x:v>5.640850000107273</x:v>
      </x:c>
      <x:c r="H658" s="12" t="str">
        <x:v>年均</x:v>
      </x:c>
      <x:c r="I658" s="12" t="str">
        <x:v>1991-01-01—1991-12-31</x:v>
      </x:c>
      <x:c r="J658" s="12" t="str">
        <x:v>OECD_FR</x:v>
      </x:c>
      <x:c r="K658" s="12" t="str">
        <x:v>https://fred.stlouisfed.org/data/CCUSMA02FRA618N</x:v>
      </x:c>
      <x:c r="L658" s="12" t="str">
        <x:v>由欧元回溯单位还原当年本币；非当年实际欧元报价。 欧元回溯单位按不可撤销转换率还原；法国1960年前另乘100。</x:v>
      </x:c>
      <x:c r="M658" s="12" t="str">
        <x:v>A：机构统计／原始统计表</x:v>
      </x:c>
    </x:row>
    <x:row r="659" ht="72" customHeight="1">
      <x:c r="A659" t="n">
        <x:v>1991</x:v>
      </x:c>
      <x:c r="B659" t="str">
        <x:v>DE</x:v>
      </x:c>
      <x:c r="C659" s="12" t="str">
        <x:v>德国马克（DEM）</x:v>
      </x:c>
      <x:c r="D659" s="24" t="n">
        <x:v>0.8481352333</x:v>
      </x:c>
      <x:c r="E659" s="20" t="str">
        <x:v>LCU/USD</x:v>
      </x:c>
      <x:c r="F659" s="20" t="n">
        <x:f>'币制说明'!$C$28</x:f>
        <x:v>1.95583</x:v>
      </x:c>
      <x:c r="G659" s="22" t="n">
        <x:f>IF(E659="LCU/USD",D659*F659,F659/D659)</x:f>
        <x:v>1.6588083333451389</x:v>
      </x:c>
      <x:c r="H659" s="12" t="str">
        <x:v>年均</x:v>
      </x:c>
      <x:c r="I659" s="12" t="str">
        <x:v>1991-01-01—1991-12-31</x:v>
      </x:c>
      <x:c r="J659" s="12" t="str">
        <x:v>OECD_DE</x:v>
      </x:c>
      <x:c r="K659" s="12" t="str">
        <x:v>https://fred.stlouisfed.org/data/CCUSMA02DEA618N</x:v>
      </x:c>
      <x:c r="L659" s="12" t="str">
        <x:v>由欧元回溯单位还原当年本币；非当年实际欧元报价。 欧元回溯单位按不可撤销转换率还原；法国1960年前另乘100。</x:v>
      </x:c>
      <x:c r="M659" s="12" t="str">
        <x:v>A：机构统计／原始统计表</x:v>
      </x:c>
    </x:row>
    <x:row r="660" ht="72" customHeight="1">
      <x:c r="A660" t="n">
        <x:v>1991</x:v>
      </x:c>
      <x:c r="B660" t="str">
        <x:v>IT</x:v>
      </x:c>
      <x:c r="C660" s="12" t="str">
        <x:v>意大利里拉（ITL）</x:v>
      </x:c>
      <x:c r="D660" s="24" t="n">
        <x:v>0.6407400827</x:v>
      </x:c>
      <x:c r="E660" s="20" t="str">
        <x:v>LCU/USD</x:v>
      </x:c>
      <x:c r="F660" s="20" t="n">
        <x:f>'币制说明'!$C$29</x:f>
        <x:v>1936.27</x:v>
      </x:c>
      <x:c r="G660" s="22" t="n">
        <x:f>IF(E660="LCU/USD",D660*F660,F660/D660)</x:f>
        <x:v>1240.6457999295292</x:v>
      </x:c>
      <x:c r="H660" s="12" t="str">
        <x:v>年均</x:v>
      </x:c>
      <x:c r="I660" s="12" t="str">
        <x:v>1991-01-01—1991-12-31</x:v>
      </x:c>
      <x:c r="J660" s="12" t="str">
        <x:v>OECD_IT</x:v>
      </x:c>
      <x:c r="K660" s="12" t="str">
        <x:v>https://fred.stlouisfed.org/data/CCUSMA02ITA618N</x:v>
      </x:c>
      <x:c r="L660" s="12" t="str">
        <x:v>由欧元回溯单位还原当年本币；非当年实际欧元报价。 欧元回溯单位按不可撤销转换率还原；法国1960年前另乘100。</x:v>
      </x:c>
      <x:c r="M660" s="12" t="str">
        <x:v>A：机构统计／原始统计表</x:v>
      </x:c>
    </x:row>
    <x:row r="661" ht="72" customHeight="1">
      <x:c r="A661" t="n">
        <x:v>1991</x:v>
      </x:c>
      <x:c r="B661" t="str">
        <x:v>JPY</x:v>
      </x:c>
      <x:c r="C661" s="12" t="str">
        <x:v>日元（JPY）</x:v>
      </x:c>
      <x:c r="D661" s="24" t="n">
        <x:v>134.5909</x:v>
      </x:c>
      <x:c r="E661" s="20" t="str">
        <x:v>LCU/USD</x:v>
      </x:c>
      <x:c r="F661" s="20" t="n">
        <x:v>1</x:v>
      </x:c>
      <x:c r="G661" s="22" t="n">
        <x:f>IF(E661="LCU/USD",D661*F661,F661/D661)</x:f>
        <x:v>134.5909</x:v>
      </x:c>
      <x:c r="H661" s="12" t="str">
        <x:v>年均</x:v>
      </x:c>
      <x:c r="I661" s="12" t="str">
        <x:v>1991-01-01—1991-12-31</x:v>
      </x:c>
      <x:c r="J661" s="12" t="str">
        <x:v>FRB_JPY</x:v>
      </x:c>
      <x:c r="K661" s="12" t="str">
        <x:v>https://fred.stlouisfed.org/data/AEXJPUS</x:v>
      </x:c>
      <x:c r="L661" s="12" t="str"/>
      <x:c r="M661" s="12" t="str">
        <x:v>A：机构统计／原始统计表</x:v>
      </x:c>
    </x:row>
    <x:row r="662" ht="72" customHeight="1">
      <x:c r="A662" t="n">
        <x:v>1991</x:v>
      </x:c>
      <x:c r="B662" t="str">
        <x:v>CHF</x:v>
      </x:c>
      <x:c r="C662" s="12" t="str">
        <x:v>瑞士法郎（CHF）</x:v>
      </x:c>
      <x:c r="D662" s="24" t="n">
        <x:v>1.4356</x:v>
      </x:c>
      <x:c r="E662" s="20" t="str">
        <x:v>LCU/USD</x:v>
      </x:c>
      <x:c r="F662" s="20" t="n">
        <x:v>1</x:v>
      </x:c>
      <x:c r="G662" s="22" t="n">
        <x:f>IF(E662="LCU/USD",D662*F662,F662/D662)</x:f>
        <x:v>1.4356</x:v>
      </x:c>
      <x:c r="H662" s="12" t="str">
        <x:v>年均</x:v>
      </x:c>
      <x:c r="I662" s="12" t="str">
        <x:v>1991-01-01—1991-12-31</x:v>
      </x:c>
      <x:c r="J662" s="12" t="str">
        <x:v>FRB_CHF</x:v>
      </x:c>
      <x:c r="K662" s="12" t="str">
        <x:v>https://fred.stlouisfed.org/data/AEXSZUS</x:v>
      </x:c>
      <x:c r="L662" s="12" t="str"/>
      <x:c r="M662" s="12" t="str">
        <x:v>A：机构统计／原始统计表</x:v>
      </x:c>
    </x:row>
    <x:row r="663" ht="72" customHeight="1">
      <x:c r="A663" t="n">
        <x:v>1991</x:v>
      </x:c>
      <x:c r="B663" t="str">
        <x:v>INR</x:v>
      </x:c>
      <x:c r="C663" s="12" t="str">
        <x:v>印度卢比（INR）</x:v>
      </x:c>
      <x:c r="D663" s="24" t="n">
        <x:v>22.7116</x:v>
      </x:c>
      <x:c r="E663" s="20" t="str">
        <x:v>LCU/USD</x:v>
      </x:c>
      <x:c r="F663" s="20" t="n">
        <x:v>1</x:v>
      </x:c>
      <x:c r="G663" s="22" t="n">
        <x:f>IF(E663="LCU/USD",D663*F663,F663/D663)</x:f>
        <x:v>22.7116</x:v>
      </x:c>
      <x:c r="H663" s="12" t="str">
        <x:v>年均</x:v>
      </x:c>
      <x:c r="I663" s="12" t="str">
        <x:v>1991-01-01—1991-12-31</x:v>
      </x:c>
      <x:c r="J663" s="12" t="str">
        <x:v>FRB_INR</x:v>
      </x:c>
      <x:c r="K663" s="12" t="str">
        <x:v>https://fred.stlouisfed.org/data/AEXINUS</x:v>
      </x:c>
      <x:c r="L663" s="12" t="str"/>
      <x:c r="M663" s="12" t="str">
        <x:v>A：机构统计／原始统计表</x:v>
      </x:c>
    </x:row>
    <x:row r="664" ht="72" customHeight="1">
      <x:c r="A664" t="n">
        <x:v>1991</x:v>
      </x:c>
      <x:c r="B664" t="str">
        <x:v>RUB</x:v>
      </x:c>
      <x:c r="C664" s="12" t="str">
        <x:v>苏联卢布（1961币制）</x:v>
      </x:c>
      <x:c r="D664" s="24" t="n">
        <x:v>0.5605</x:v>
      </x:c>
      <x:c r="E664" s="20" t="str">
        <x:v>LCU/USD</x:v>
      </x:c>
      <x:c r="F664" s="20" t="n">
        <x:v>1</x:v>
      </x:c>
      <x:c r="G664" s="22" t="n">
        <x:f>IF(E664="LCU/USD",D664*F664,F664/D664)</x:f>
        <x:v>0.5605</x:v>
      </x:c>
      <x:c r="H664" s="12" t="str">
        <x:v>定点官价参考（非年均）</x:v>
      </x:c>
      <x:c r="I664" s="12" t="str">
        <x:v>1991-01-02</x:v>
      </x:c>
      <x:c r="J664" s="12" t="str">
        <x:v>SUR_OFFICIAL_SECONDARY</x:v>
      </x:c>
      <x:c r="K664" s="12" t="str">
        <x:v>https://en.wikipedia.org/wiki/Soviet_ruble#Exchange_rates</x:v>
      </x:c>
      <x:c r="L664" s="12" t="str">
        <x:v>选取源表该年最早列出的日期，不代表该年平均、全年固定价或统一可成交价；原档案未复核。</x:v>
      </x:c>
      <x:c r="M664" s="12" t="str">
        <x:v>C：二手转引（原档未复核）</x:v>
      </x:c>
    </x:row>
    <x:row r="665" ht="72" customHeight="1">
      <x:c r="A665" t="n">
        <x:v>1991</x:v>
      </x:c>
      <x:c r="B665" t="str">
        <x:v>CNY</x:v>
      </x:c>
      <x:c r="C665" s="12" t="str">
        <x:v>人民币元（1955币制；CNY）</x:v>
      </x:c>
      <x:c r="D665" s="24" t="n">
        <x:v>5.3337</x:v>
      </x:c>
      <x:c r="E665" s="20" t="str">
        <x:v>LCU/USD</x:v>
      </x:c>
      <x:c r="F665" s="20" t="n">
        <x:v>1</x:v>
      </x:c>
      <x:c r="G665" s="22" t="n">
        <x:f>IF(E665="LCU/USD",D665*F665,F665/D665)</x:f>
        <x:v>5.3337</x:v>
      </x:c>
      <x:c r="H665" s="12" t="str">
        <x:v>年均</x:v>
      </x:c>
      <x:c r="I665" s="12" t="str">
        <x:v>1991-01-01—1991-12-31</x:v>
      </x:c>
      <x:c r="J665" s="12" t="str">
        <x:v>FRB_CNY</x:v>
      </x:c>
      <x:c r="K665" s="12" t="str">
        <x:v>https://fred.stlouisfed.org/data/AEXCHUS</x:v>
      </x:c>
      <x:c r="L665" s="12" t="str"/>
      <x:c r="M665" s="12" t="str">
        <x:v>A：机构统计／原始统计表</x:v>
      </x:c>
    </x:row>
    <x:row r="666" ht="72" customHeight="1">
      <x:c r="A666" t="n">
        <x:v>1992</x:v>
      </x:c>
      <x:c r="B666" t="str">
        <x:v>GBP</x:v>
      </x:c>
      <x:c r="C666" s="12" t="str">
        <x:v>英镑（GBP）</x:v>
      </x:c>
      <x:c r="D666" s="24" t="n">
        <x:v>1.7663</x:v>
      </x:c>
      <x:c r="E666" s="20" t="str">
        <x:v>USD/LCU</x:v>
      </x:c>
      <x:c r="F666" s="20" t="n">
        <x:v>1</x:v>
      </x:c>
      <x:c r="G666" s="22" t="n">
        <x:f>IF(E666="LCU/USD",D666*F666,F666/D666)</x:f>
        <x:v>0.5661552397667441</x:v>
      </x:c>
      <x:c r="H666" s="12" t="str">
        <x:v>年均</x:v>
      </x:c>
      <x:c r="I666" s="12" t="str">
        <x:v>1992-01-01—1992-12-31</x:v>
      </x:c>
      <x:c r="J666" s="12" t="str">
        <x:v>FRB_GBP</x:v>
      </x:c>
      <x:c r="K666" s="12" t="str">
        <x:v>https://fred.stlouisfed.org/data/AEXUSUK</x:v>
      </x:c>
      <x:c r="L666" s="12" t="str">
        <x:v>反向值由原报价均值取倒数；不等于反向日度汇率的算术平均。</x:v>
      </x:c>
      <x:c r="M666" s="12" t="str">
        <x:v>A：机构统计／原始统计表</x:v>
      </x:c>
    </x:row>
    <x:row r="667" ht="72" customHeight="1">
      <x:c r="A667" t="n">
        <x:v>1992</x:v>
      </x:c>
      <x:c r="B667" t="str">
        <x:v>CAD</x:v>
      </x:c>
      <x:c r="C667" s="12" t="str">
        <x:v>加拿大元（CAD）</x:v>
      </x:c>
      <x:c r="D667" s="24" t="n">
        <x:v>1.2085</x:v>
      </x:c>
      <x:c r="E667" s="20" t="str">
        <x:v>LCU/USD</x:v>
      </x:c>
      <x:c r="F667" s="20" t="n">
        <x:v>1</x:v>
      </x:c>
      <x:c r="G667" s="22" t="n">
        <x:f>IF(E667="LCU/USD",D667*F667,F667/D667)</x:f>
        <x:v>1.2085</x:v>
      </x:c>
      <x:c r="H667" s="12" t="str">
        <x:v>年均</x:v>
      </x:c>
      <x:c r="I667" s="12" t="str">
        <x:v>1992-01-01—1992-12-31</x:v>
      </x:c>
      <x:c r="J667" s="12" t="str">
        <x:v>FRB_CAD</x:v>
      </x:c>
      <x:c r="K667" s="12" t="str">
        <x:v>https://fred.stlouisfed.org/data/AEXCAUS</x:v>
      </x:c>
      <x:c r="L667" s="12" t="str"/>
      <x:c r="M667" s="12" t="str">
        <x:v>A：机构统计／原始统计表</x:v>
      </x:c>
    </x:row>
    <x:row r="668" ht="72" customHeight="1">
      <x:c r="A668" t="n">
        <x:v>1992</x:v>
      </x:c>
      <x:c r="B668" t="str">
        <x:v>FR</x:v>
      </x:c>
      <x:c r="C668" s="12" t="str">
        <x:v>法国法郎（FRF；1960币制）</x:v>
      </x:c>
      <x:c r="D668" s="24" t="n">
        <x:v>0.8070193625</x:v>
      </x:c>
      <x:c r="E668" s="20" t="str">
        <x:v>LCU/USD</x:v>
      </x:c>
      <x:c r="F668" s="20" t="n">
        <x:f>'币制说明'!$C$27</x:f>
        <x:v>6.55957</x:v>
      </x:c>
      <x:c r="G668" s="22" t="n">
        <x:f>IF(E668="LCU/USD",D668*F668,F668/D668)</x:f>
        <x:v>5.293699999674125</x:v>
      </x:c>
      <x:c r="H668" s="12" t="str">
        <x:v>年均</x:v>
      </x:c>
      <x:c r="I668" s="12" t="str">
        <x:v>1992-01-01—1992-12-31</x:v>
      </x:c>
      <x:c r="J668" s="12" t="str">
        <x:v>OECD_FR</x:v>
      </x:c>
      <x:c r="K668" s="12" t="str">
        <x:v>https://fred.stlouisfed.org/data/CCUSMA02FRA618N</x:v>
      </x:c>
      <x:c r="L668" s="12" t="str">
        <x:v>由欧元回溯单位还原当年本币；非当年实际欧元报价。 欧元回溯单位按不可撤销转换率还原；法国1960年前另乘100。</x:v>
      </x:c>
      <x:c r="M668" s="12" t="str">
        <x:v>A：机构统计／原始统计表</x:v>
      </x:c>
    </x:row>
    <x:row r="669" ht="72" customHeight="1">
      <x:c r="A669" t="n">
        <x:v>1992</x:v>
      </x:c>
      <x:c r="B669" t="str">
        <x:v>DE</x:v>
      </x:c>
      <x:c r="C669" s="12" t="str">
        <x:v>德国马克（DEM）</x:v>
      </x:c>
      <x:c r="D669" s="24" t="n">
        <x:v>0.7986123538</x:v>
      </x:c>
      <x:c r="E669" s="20" t="str">
        <x:v>LCU/USD</x:v>
      </x:c>
      <x:c r="F669" s="20" t="n">
        <x:f>'币制说明'!$C$28</x:f>
        <x:v>1.95583</x:v>
      </x:c>
      <x:c r="G669" s="22" t="n">
        <x:f>IF(E669="LCU/USD",D669*F669,F669/D669)</x:f>
        <x:v>1.5619499999326538</x:v>
      </x:c>
      <x:c r="H669" s="12" t="str">
        <x:v>年均</x:v>
      </x:c>
      <x:c r="I669" s="12" t="str">
        <x:v>1992-01-01—1992-12-31</x:v>
      </x:c>
      <x:c r="J669" s="12" t="str">
        <x:v>OECD_DE</x:v>
      </x:c>
      <x:c r="K669" s="12" t="str">
        <x:v>https://fred.stlouisfed.org/data/CCUSMA02DEA618N</x:v>
      </x:c>
      <x:c r="L669" s="12" t="str">
        <x:v>由欧元回溯单位还原当年本币；非当年实际欧元报价。 欧元回溯单位按不可撤销转换率还原；法国1960年前另乘100。</x:v>
      </x:c>
      <x:c r="M669" s="12" t="str">
        <x:v>A：机构统计／原始统计表</x:v>
      </x:c>
    </x:row>
    <x:row r="670" ht="72" customHeight="1">
      <x:c r="A670" t="n">
        <x:v>1992</x:v>
      </x:c>
      <x:c r="B670" t="str">
        <x:v>IT</x:v>
      </x:c>
      <x:c r="C670" s="12" t="str">
        <x:v>意大利里拉（ITL）</x:v>
      </x:c>
      <x:c r="D670" s="24" t="n">
        <x:v>0.6362888053</x:v>
      </x:c>
      <x:c r="E670" s="20" t="str">
        <x:v>LCU/USD</x:v>
      </x:c>
      <x:c r="F670" s="20" t="n">
        <x:f>'币制说明'!$C$29</x:f>
        <x:v>1936.27</x:v>
      </x:c>
      <x:c r="G670" s="22" t="n">
        <x:f>IF(E670="LCU/USD",D670*F670,F670/D670)</x:f>
        <x:v>1232.026925038231</x:v>
      </x:c>
      <x:c r="H670" s="12" t="str">
        <x:v>年均</x:v>
      </x:c>
      <x:c r="I670" s="12" t="str">
        <x:v>1992-01-01—1992-12-31</x:v>
      </x:c>
      <x:c r="J670" s="12" t="str">
        <x:v>OECD_IT</x:v>
      </x:c>
      <x:c r="K670" s="12" t="str">
        <x:v>https://fred.stlouisfed.org/data/CCUSMA02ITA618N</x:v>
      </x:c>
      <x:c r="L670" s="12" t="str">
        <x:v>由欧元回溯单位还原当年本币；非当年实际欧元报价。 欧元回溯单位按不可撤销转换率还原；法国1960年前另乘100。</x:v>
      </x:c>
      <x:c r="M670" s="12" t="str">
        <x:v>A：机构统计／原始统计表</x:v>
      </x:c>
    </x:row>
    <x:row r="671" ht="72" customHeight="1">
      <x:c r="A671" t="n">
        <x:v>1992</x:v>
      </x:c>
      <x:c r="B671" t="str">
        <x:v>JPY</x:v>
      </x:c>
      <x:c r="C671" s="12" t="str">
        <x:v>日元（JPY）</x:v>
      </x:c>
      <x:c r="D671" s="24" t="n">
        <x:v>126.7801</x:v>
      </x:c>
      <x:c r="E671" s="20" t="str">
        <x:v>LCU/USD</x:v>
      </x:c>
      <x:c r="F671" s="20" t="n">
        <x:v>1</x:v>
      </x:c>
      <x:c r="G671" s="22" t="n">
        <x:f>IF(E671="LCU/USD",D671*F671,F671/D671)</x:f>
        <x:v>126.7801</x:v>
      </x:c>
      <x:c r="H671" s="12" t="str">
        <x:v>年均</x:v>
      </x:c>
      <x:c r="I671" s="12" t="str">
        <x:v>1992-01-01—1992-12-31</x:v>
      </x:c>
      <x:c r="J671" s="12" t="str">
        <x:v>FRB_JPY</x:v>
      </x:c>
      <x:c r="K671" s="12" t="str">
        <x:v>https://fred.stlouisfed.org/data/AEXJPUS</x:v>
      </x:c>
      <x:c r="L671" s="12" t="str"/>
      <x:c r="M671" s="12" t="str">
        <x:v>A：机构统计／原始统计表</x:v>
      </x:c>
    </x:row>
    <x:row r="672" ht="72" customHeight="1">
      <x:c r="A672" t="n">
        <x:v>1992</x:v>
      </x:c>
      <x:c r="B672" t="str">
        <x:v>CHF</x:v>
      </x:c>
      <x:c r="C672" s="12" t="str">
        <x:v>瑞士法郎（CHF）</x:v>
      </x:c>
      <x:c r="D672" s="24" t="n">
        <x:v>1.4064</x:v>
      </x:c>
      <x:c r="E672" s="20" t="str">
        <x:v>LCU/USD</x:v>
      </x:c>
      <x:c r="F672" s="20" t="n">
        <x:v>1</x:v>
      </x:c>
      <x:c r="G672" s="22" t="n">
        <x:f>IF(E672="LCU/USD",D672*F672,F672/D672)</x:f>
        <x:v>1.4064</x:v>
      </x:c>
      <x:c r="H672" s="12" t="str">
        <x:v>年均</x:v>
      </x:c>
      <x:c r="I672" s="12" t="str">
        <x:v>1992-01-01—1992-12-31</x:v>
      </x:c>
      <x:c r="J672" s="12" t="str">
        <x:v>FRB_CHF</x:v>
      </x:c>
      <x:c r="K672" s="12" t="str">
        <x:v>https://fred.stlouisfed.org/data/AEXSZUS</x:v>
      </x:c>
      <x:c r="L672" s="12" t="str"/>
      <x:c r="M672" s="12" t="str">
        <x:v>A：机构统计／原始统计表</x:v>
      </x:c>
    </x:row>
    <x:row r="673" ht="72" customHeight="1">
      <x:c r="A673" t="n">
        <x:v>1992</x:v>
      </x:c>
      <x:c r="B673" t="str">
        <x:v>INR</x:v>
      </x:c>
      <x:c r="C673" s="12" t="str">
        <x:v>印度卢比（INR）</x:v>
      </x:c>
      <x:c r="D673" s="24" t="n">
        <x:v>28.1558</x:v>
      </x:c>
      <x:c r="E673" s="20" t="str">
        <x:v>LCU/USD</x:v>
      </x:c>
      <x:c r="F673" s="20" t="n">
        <x:v>1</x:v>
      </x:c>
      <x:c r="G673" s="22" t="n">
        <x:f>IF(E673="LCU/USD",D673*F673,F673/D673)</x:f>
        <x:v>28.1558</x:v>
      </x:c>
      <x:c r="H673" s="12" t="str">
        <x:v>年均</x:v>
      </x:c>
      <x:c r="I673" s="12" t="str">
        <x:v>1992-01-01—1992-12-31</x:v>
      </x:c>
      <x:c r="J673" s="12" t="str">
        <x:v>FRB_INR</x:v>
      </x:c>
      <x:c r="K673" s="12" t="str">
        <x:v>https://fred.stlouisfed.org/data/AEXINUS</x:v>
      </x:c>
      <x:c r="L673" s="12" t="str"/>
      <x:c r="M673" s="12" t="str">
        <x:v>A：机构统计／原始统计表</x:v>
      </x:c>
    </x:row>
    <x:row r="674" ht="72" customHeight="1">
      <x:c r="A674" t="n">
        <x:v>1992</x:v>
      </x:c>
      <x:c r="B674" t="str">
        <x:v>RUB</x:v>
      </x:c>
      <x:c r="C674" s="12" t="str">
        <x:v>俄罗斯旧卢布（RUR）</x:v>
      </x:c>
      <x:c r="D674" s="24" t="n">
        <x:v>0.5549</x:v>
      </x:c>
      <x:c r="E674" s="20" t="str">
        <x:v>LCU/USD</x:v>
      </x:c>
      <x:c r="F674" s="20" t="n">
        <x:v>1</x:v>
      </x:c>
      <x:c r="G674" s="22" t="n">
        <x:f>IF(E674="LCU/USD",D674*F674,F674/D674)</x:f>
        <x:v>0.5549</x:v>
      </x:c>
      <x:c r="H674" s="12" t="str">
        <x:v>定点官价参考（非年均）</x:v>
      </x:c>
      <x:c r="I674" s="12" t="str">
        <x:v>1992-01-01</x:v>
      </x:c>
      <x:c r="J674" s="12" t="str">
        <x:v>SUR_OFFICIAL_SECONDARY</x:v>
      </x:c>
      <x:c r="K674" s="12" t="str">
        <x:v>https://en.wikipedia.org/wiki/Soviet_ruble#Exchange_rates</x:v>
      </x:c>
      <x:c r="L674" s="12" t="str">
        <x:v>选取源表该年最早列出的日期，不代表该年平均、全年固定价或统一可成交价；原档案未复核。</x:v>
      </x:c>
      <x:c r="M674" s="12" t="str">
        <x:v>C：二手转引（原档未复核）</x:v>
      </x:c>
    </x:row>
    <x:row r="675" ht="72" customHeight="1">
      <x:c r="A675" t="n">
        <x:v>1992</x:v>
      </x:c>
      <x:c r="B675" t="str">
        <x:v>CNY</x:v>
      </x:c>
      <x:c r="C675" s="12" t="str">
        <x:v>人民币元（1955币制；CNY）</x:v>
      </x:c>
      <x:c r="D675" s="24" t="n">
        <x:v>5.5206</x:v>
      </x:c>
      <x:c r="E675" s="20" t="str">
        <x:v>LCU/USD</x:v>
      </x:c>
      <x:c r="F675" s="20" t="n">
        <x:v>1</x:v>
      </x:c>
      <x:c r="G675" s="22" t="n">
        <x:f>IF(E675="LCU/USD",D675*F675,F675/D675)</x:f>
        <x:v>5.5206</x:v>
      </x:c>
      <x:c r="H675" s="12" t="str">
        <x:v>年均</x:v>
      </x:c>
      <x:c r="I675" s="12" t="str">
        <x:v>1992-01-01—1992-12-31</x:v>
      </x:c>
      <x:c r="J675" s="12" t="str">
        <x:v>FRB_CNY</x:v>
      </x:c>
      <x:c r="K675" s="12" t="str">
        <x:v>https://fred.stlouisfed.org/data/AEXCHUS</x:v>
      </x:c>
      <x:c r="L675" s="12" t="str"/>
      <x:c r="M675" s="12" t="str">
        <x:v>A：机构统计／原始统计表</x:v>
      </x:c>
    </x:row>
    <x:row r="676" ht="72" customHeight="1">
      <x:c r="A676" t="n">
        <x:v>1993</x:v>
      </x:c>
      <x:c r="B676" t="str">
        <x:v>GBP</x:v>
      </x:c>
      <x:c r="C676" s="12" t="str">
        <x:v>英镑（GBP）</x:v>
      </x:c>
      <x:c r="D676" s="24" t="n">
        <x:v>1.5016</x:v>
      </x:c>
      <x:c r="E676" s="20" t="str">
        <x:v>USD/LCU</x:v>
      </x:c>
      <x:c r="F676" s="20" t="n">
        <x:v>1</x:v>
      </x:c>
      <x:c r="G676" s="22" t="n">
        <x:f>IF(E676="LCU/USD",D676*F676,F676/D676)</x:f>
        <x:v>0.6659563132658497</x:v>
      </x:c>
      <x:c r="H676" s="12" t="str">
        <x:v>年均</x:v>
      </x:c>
      <x:c r="I676" s="12" t="str">
        <x:v>1993-01-01—1993-12-31</x:v>
      </x:c>
      <x:c r="J676" s="12" t="str">
        <x:v>FRB_GBP</x:v>
      </x:c>
      <x:c r="K676" s="12" t="str">
        <x:v>https://fred.stlouisfed.org/data/AEXUSUK</x:v>
      </x:c>
      <x:c r="L676" s="12" t="str">
        <x:v>反向值由原报价均值取倒数；不等于反向日度汇率的算术平均。</x:v>
      </x:c>
      <x:c r="M676" s="12" t="str">
        <x:v>A：机构统计／原始统计表</x:v>
      </x:c>
    </x:row>
    <x:row r="677" ht="72" customHeight="1">
      <x:c r="A677" t="n">
        <x:v>1993</x:v>
      </x:c>
      <x:c r="B677" t="str">
        <x:v>CAD</x:v>
      </x:c>
      <x:c r="C677" s="12" t="str">
        <x:v>加拿大元（CAD）</x:v>
      </x:c>
      <x:c r="D677" s="24" t="n">
        <x:v>1.2902</x:v>
      </x:c>
      <x:c r="E677" s="20" t="str">
        <x:v>LCU/USD</x:v>
      </x:c>
      <x:c r="F677" s="20" t="n">
        <x:v>1</x:v>
      </x:c>
      <x:c r="G677" s="22" t="n">
        <x:f>IF(E677="LCU/USD",D677*F677,F677/D677)</x:f>
        <x:v>1.2902</x:v>
      </x:c>
      <x:c r="H677" s="12" t="str">
        <x:v>年均</x:v>
      </x:c>
      <x:c r="I677" s="12" t="str">
        <x:v>1993-01-01—1993-12-31</x:v>
      </x:c>
      <x:c r="J677" s="12" t="str">
        <x:v>FRB_CAD</x:v>
      </x:c>
      <x:c r="K677" s="12" t="str">
        <x:v>https://fred.stlouisfed.org/data/AEXCAUS</x:v>
      </x:c>
      <x:c r="L677" s="12" t="str"/>
      <x:c r="M677" s="12" t="str">
        <x:v>A：机构统计／原始统计表</x:v>
      </x:c>
    </x:row>
    <x:row r="678" ht="72" customHeight="1">
      <x:c r="A678" t="n">
        <x:v>1993</x:v>
      </x:c>
      <x:c r="B678" t="str">
        <x:v>FR</x:v>
      </x:c>
      <x:c r="C678" s="12" t="str">
        <x:v>法国法郎（FRF；1960币制）</x:v>
      </x:c>
      <x:c r="D678" s="24" t="n">
        <x:v>0.8632146111</x:v>
      </x:c>
      <x:c r="E678" s="20" t="str">
        <x:v>LCU/USD</x:v>
      </x:c>
      <x:c r="F678" s="20" t="n">
        <x:f>'币制说明'!$C$27</x:f>
        <x:v>6.55957</x:v>
      </x:c>
      <x:c r="G678" s="22" t="n">
        <x:f>IF(E678="LCU/USD",D678*F678,F678/D678)</x:f>
        <x:v>5.6623166665332265</x:v>
      </x:c>
      <x:c r="H678" s="12" t="str">
        <x:v>年均</x:v>
      </x:c>
      <x:c r="I678" s="12" t="str">
        <x:v>1993-01-01—1993-12-31</x:v>
      </x:c>
      <x:c r="J678" s="12" t="str">
        <x:v>OECD_FR</x:v>
      </x:c>
      <x:c r="K678" s="12" t="str">
        <x:v>https://fred.stlouisfed.org/data/CCUSMA02FRA618N</x:v>
      </x:c>
      <x:c r="L678" s="12" t="str">
        <x:v>由欧元回溯单位还原当年本币；非当年实际欧元报价。 欧元回溯单位按不可撤销转换率还原；法国1960年前另乘100。</x:v>
      </x:c>
      <x:c r="M678" s="12" t="str">
        <x:v>A：机构统计／原始统计表</x:v>
      </x:c>
    </x:row>
    <x:row r="679" ht="72" customHeight="1">
      <x:c r="A679" t="n">
        <x:v>1993</x:v>
      </x:c>
      <x:c r="B679" t="str">
        <x:v>DE</x:v>
      </x:c>
      <x:c r="C679" s="12" t="str">
        <x:v>德国马克（DEM）</x:v>
      </x:c>
      <x:c r="D679" s="24" t="n">
        <x:v>0.8453231279</x:v>
      </x:c>
      <x:c r="E679" s="20" t="str">
        <x:v>LCU/USD</x:v>
      </x:c>
      <x:c r="F679" s="20" t="n">
        <x:f>'币制说明'!$C$28</x:f>
        <x:v>1.95583</x:v>
      </x:c>
      <x:c r="G679" s="22" t="n">
        <x:f>IF(E679="LCU/USD",D679*F679,F679/D679)</x:f>
        <x:v>1.6533083332406568</x:v>
      </x:c>
      <x:c r="H679" s="12" t="str">
        <x:v>年均</x:v>
      </x:c>
      <x:c r="I679" s="12" t="str">
        <x:v>1993-01-01—1993-12-31</x:v>
      </x:c>
      <x:c r="J679" s="12" t="str">
        <x:v>OECD_DE</x:v>
      </x:c>
      <x:c r="K679" s="12" t="str">
        <x:v>https://fred.stlouisfed.org/data/CCUSMA02DEA618N</x:v>
      </x:c>
      <x:c r="L679" s="12" t="str">
        <x:v>由欧元回溯单位还原当年本币；非当年实际欧元报价。 欧元回溯单位按不可撤销转换率还原；法国1960年前另乘100。</x:v>
      </x:c>
      <x:c r="M679" s="12" t="str">
        <x:v>A：机构统计／原始统计表</x:v>
      </x:c>
    </x:row>
    <x:row r="680" ht="72" customHeight="1">
      <x:c r="A680" t="n">
        <x:v>1993</x:v>
      </x:c>
      <x:c r="B680" t="str">
        <x:v>IT</x:v>
      </x:c>
      <x:c r="C680" s="12" t="str">
        <x:v>意大利里拉（ITL）</x:v>
      </x:c>
      <x:c r="D680" s="24" t="n">
        <x:v>0.8116937032</x:v>
      </x:c>
      <x:c r="E680" s="20" t="str">
        <x:v>LCU/USD</x:v>
      </x:c>
      <x:c r="F680" s="20" t="n">
        <x:f>'币制说明'!$C$29</x:f>
        <x:v>1936.27</x:v>
      </x:c>
      <x:c r="G680" s="22" t="n">
        <x:f>IF(E680="LCU/USD",D680*F680,F680/D680)</x:f>
        <x:v>1571.658166695064</x:v>
      </x:c>
      <x:c r="H680" s="12" t="str">
        <x:v>年均</x:v>
      </x:c>
      <x:c r="I680" s="12" t="str">
        <x:v>1993-01-01—1993-12-31</x:v>
      </x:c>
      <x:c r="J680" s="12" t="str">
        <x:v>OECD_IT</x:v>
      </x:c>
      <x:c r="K680" s="12" t="str">
        <x:v>https://fred.stlouisfed.org/data/CCUSMA02ITA618N</x:v>
      </x:c>
      <x:c r="L680" s="12" t="str">
        <x:v>由欧元回溯单位还原当年本币；非当年实际欧元报价。 欧元回溯单位按不可撤销转换率还原；法国1960年前另乘100。</x:v>
      </x:c>
      <x:c r="M680" s="12" t="str">
        <x:v>A：机构统计／原始统计表</x:v>
      </x:c>
    </x:row>
    <x:row r="681" ht="72" customHeight="1">
      <x:c r="A681" t="n">
        <x:v>1993</x:v>
      </x:c>
      <x:c r="B681" t="str">
        <x:v>JPY</x:v>
      </x:c>
      <x:c r="C681" s="12" t="str">
        <x:v>日元（JPY）</x:v>
      </x:c>
      <x:c r="D681" s="24" t="n">
        <x:v>111.0755</x:v>
      </x:c>
      <x:c r="E681" s="20" t="str">
        <x:v>LCU/USD</x:v>
      </x:c>
      <x:c r="F681" s="20" t="n">
        <x:v>1</x:v>
      </x:c>
      <x:c r="G681" s="22" t="n">
        <x:f>IF(E681="LCU/USD",D681*F681,F681/D681)</x:f>
        <x:v>111.0755</x:v>
      </x:c>
      <x:c r="H681" s="12" t="str">
        <x:v>年均</x:v>
      </x:c>
      <x:c r="I681" s="12" t="str">
        <x:v>1993-01-01—1993-12-31</x:v>
      </x:c>
      <x:c r="J681" s="12" t="str">
        <x:v>FRB_JPY</x:v>
      </x:c>
      <x:c r="K681" s="12" t="str">
        <x:v>https://fred.stlouisfed.org/data/AEXJPUS</x:v>
      </x:c>
      <x:c r="L681" s="12" t="str"/>
      <x:c r="M681" s="12" t="str">
        <x:v>A：机构统计／原始统计表</x:v>
      </x:c>
    </x:row>
    <x:row r="682" ht="72" customHeight="1">
      <x:c r="A682" t="n">
        <x:v>1993</x:v>
      </x:c>
      <x:c r="B682" t="str">
        <x:v>CHF</x:v>
      </x:c>
      <x:c r="C682" s="12" t="str">
        <x:v>瑞士法郎（CHF）</x:v>
      </x:c>
      <x:c r="D682" s="24" t="n">
        <x:v>1.4781</x:v>
      </x:c>
      <x:c r="E682" s="20" t="str">
        <x:v>LCU/USD</x:v>
      </x:c>
      <x:c r="F682" s="20" t="n">
        <x:v>1</x:v>
      </x:c>
      <x:c r="G682" s="22" t="n">
        <x:f>IF(E682="LCU/USD",D682*F682,F682/D682)</x:f>
        <x:v>1.4781</x:v>
      </x:c>
      <x:c r="H682" s="12" t="str">
        <x:v>年均</x:v>
      </x:c>
      <x:c r="I682" s="12" t="str">
        <x:v>1993-01-01—1993-12-31</x:v>
      </x:c>
      <x:c r="J682" s="12" t="str">
        <x:v>FRB_CHF</x:v>
      </x:c>
      <x:c r="K682" s="12" t="str">
        <x:v>https://fred.stlouisfed.org/data/AEXSZUS</x:v>
      </x:c>
      <x:c r="L682" s="12" t="str"/>
      <x:c r="M682" s="12" t="str">
        <x:v>A：机构统计／原始统计表</x:v>
      </x:c>
    </x:row>
    <x:row r="683" ht="72" customHeight="1">
      <x:c r="A683" t="n">
        <x:v>1993</x:v>
      </x:c>
      <x:c r="B683" t="str">
        <x:v>INR</x:v>
      </x:c>
      <x:c r="C683" s="12" t="str">
        <x:v>印度卢比（INR）</x:v>
      </x:c>
      <x:c r="D683" s="24" t="n">
        <x:v>31.2911</x:v>
      </x:c>
      <x:c r="E683" s="20" t="str">
        <x:v>LCU/USD</x:v>
      </x:c>
      <x:c r="F683" s="20" t="n">
        <x:v>1</x:v>
      </x:c>
      <x:c r="G683" s="22" t="n">
        <x:f>IF(E683="LCU/USD",D683*F683,F683/D683)</x:f>
        <x:v>31.2911</x:v>
      </x:c>
      <x:c r="H683" s="12" t="str">
        <x:v>年均</x:v>
      </x:c>
      <x:c r="I683" s="12" t="str">
        <x:v>1993-01-01—1993-12-31</x:v>
      </x:c>
      <x:c r="J683" s="12" t="str">
        <x:v>FRB_INR</x:v>
      </x:c>
      <x:c r="K683" s="12" t="str">
        <x:v>https://fred.stlouisfed.org/data/AEXINUS</x:v>
      </x:c>
      <x:c r="L683" s="12" t="str"/>
      <x:c r="M683" s="12" t="str">
        <x:v>A：机构统计／原始统计表</x:v>
      </x:c>
    </x:row>
    <x:row r="684" ht="72" customHeight="1">
      <x:c r="A684" t="n">
        <x:v>1993</x:v>
      </x:c>
      <x:c r="B684" t="str">
        <x:v>RUB</x:v>
      </x:c>
      <x:c r="C684" s="12" t="str">
        <x:v>俄罗斯旧卢布（RUR）</x:v>
      </x:c>
      <x:c r="D684" s="24" t="n">
        <x:v>0.973208815631083</x:v>
      </x:c>
      <x:c r="E684" s="20" t="str">
        <x:v>LCU/USD</x:v>
      </x:c>
      <x:c r="F684" s="20" t="n">
        <x:f>'币制说明'!$C$30</x:f>
        <x:v>1000</x:v>
      </x:c>
      <x:c r="G684" s="22" t="n">
        <x:f>IF(E684="LCU/USD",D684*F684,F684/D684)</x:f>
        <x:v>973.208815631083</x:v>
      </x:c>
      <x:c r="H684" s="12" t="str">
        <x:v>年均</x:v>
      </x:c>
      <x:c r="I684" s="12" t="str">
        <x:v>1993-01-01—1993-12-31</x:v>
      </x:c>
      <x:c r="J684" s="12" t="str">
        <x:v>OECD_RUB</x:v>
      </x:c>
      <x:c r="K684" s="12" t="str">
        <x:v>https://fred.stlouisfed.org/data/CCUSMA02RUA618N</x:v>
      </x:c>
      <x:c r="L684" s="12" t="str">
        <x:v>源数据以1998年新卢布回溯表示，乘1000还原旧卢布；不是当年1美元不足1卢布。</x:v>
      </x:c>
      <x:c r="M684" s="12" t="str">
        <x:v>A：机构统计／原始统计表</x:v>
      </x:c>
    </x:row>
    <x:row r="685" ht="72" customHeight="1">
      <x:c r="A685" t="n">
        <x:v>1993</x:v>
      </x:c>
      <x:c r="B685" t="str">
        <x:v>CNY</x:v>
      </x:c>
      <x:c r="C685" s="12" t="str">
        <x:v>人民币元（1955币制；CNY）</x:v>
      </x:c>
      <x:c r="D685" s="24" t="n">
        <x:v>5.7795</x:v>
      </x:c>
      <x:c r="E685" s="20" t="str">
        <x:v>LCU/USD</x:v>
      </x:c>
      <x:c r="F685" s="20" t="n">
        <x:v>1</x:v>
      </x:c>
      <x:c r="G685" s="22" t="n">
        <x:f>IF(E685="LCU/USD",D685*F685,F685/D685)</x:f>
        <x:v>5.7795</x:v>
      </x:c>
      <x:c r="H685" s="12" t="str">
        <x:v>年均</x:v>
      </x:c>
      <x:c r="I685" s="12" t="str">
        <x:v>1993-01-01—1993-12-31</x:v>
      </x:c>
      <x:c r="J685" s="12" t="str">
        <x:v>FRB_CNY</x:v>
      </x:c>
      <x:c r="K685" s="12" t="str">
        <x:v>https://fred.stlouisfed.org/data/AEXCHUS</x:v>
      </x:c>
      <x:c r="L685" s="12" t="str"/>
      <x:c r="M685" s="12" t="str">
        <x:v>A：机构统计／原始统计表</x:v>
      </x:c>
    </x:row>
    <x:row r="686" ht="72" customHeight="1">
      <x:c r="A686" t="n">
        <x:v>1994</x:v>
      </x:c>
      <x:c r="B686" t="str">
        <x:v>GBP</x:v>
      </x:c>
      <x:c r="C686" s="12" t="str">
        <x:v>英镑（GBP）</x:v>
      </x:c>
      <x:c r="D686" s="24" t="n">
        <x:v>1.5319</x:v>
      </x:c>
      <x:c r="E686" s="20" t="str">
        <x:v>USD/LCU</x:v>
      </x:c>
      <x:c r="F686" s="20" t="n">
        <x:v>1</x:v>
      </x:c>
      <x:c r="G686" s="22" t="n">
        <x:f>IF(E686="LCU/USD",D686*F686,F686/D686)</x:f>
        <x:v>0.6527841242900972</x:v>
      </x:c>
      <x:c r="H686" s="12" t="str">
        <x:v>年均</x:v>
      </x:c>
      <x:c r="I686" s="12" t="str">
        <x:v>1994-01-01—1994-12-31</x:v>
      </x:c>
      <x:c r="J686" s="12" t="str">
        <x:v>FRB_GBP</x:v>
      </x:c>
      <x:c r="K686" s="12" t="str">
        <x:v>https://fred.stlouisfed.org/data/AEXUSUK</x:v>
      </x:c>
      <x:c r="L686" s="12" t="str">
        <x:v>反向值由原报价均值取倒数；不等于反向日度汇率的算术平均。</x:v>
      </x:c>
      <x:c r="M686" s="12" t="str">
        <x:v>A：机构统计／原始统计表</x:v>
      </x:c>
    </x:row>
    <x:row r="687" ht="72" customHeight="1">
      <x:c r="A687" t="n">
        <x:v>1994</x:v>
      </x:c>
      <x:c r="B687" t="str">
        <x:v>CAD</x:v>
      </x:c>
      <x:c r="C687" s="12" t="str">
        <x:v>加拿大元（CAD）</x:v>
      </x:c>
      <x:c r="D687" s="24" t="n">
        <x:v>1.3664</x:v>
      </x:c>
      <x:c r="E687" s="20" t="str">
        <x:v>LCU/USD</x:v>
      </x:c>
      <x:c r="F687" s="20" t="n">
        <x:v>1</x:v>
      </x:c>
      <x:c r="G687" s="22" t="n">
        <x:f>IF(E687="LCU/USD",D687*F687,F687/D687)</x:f>
        <x:v>1.3664</x:v>
      </x:c>
      <x:c r="H687" s="12" t="str">
        <x:v>年均</x:v>
      </x:c>
      <x:c r="I687" s="12" t="str">
        <x:v>1994-01-01—1994-12-31</x:v>
      </x:c>
      <x:c r="J687" s="12" t="str">
        <x:v>FRB_CAD</x:v>
      </x:c>
      <x:c r="K687" s="12" t="str">
        <x:v>https://fred.stlouisfed.org/data/AEXCAUS</x:v>
      </x:c>
      <x:c r="L687" s="12" t="str"/>
      <x:c r="M687" s="12" t="str">
        <x:v>A：机构统计／原始统计表</x:v>
      </x:c>
    </x:row>
    <x:row r="688" ht="72" customHeight="1">
      <x:c r="A688" t="n">
        <x:v>1994</x:v>
      </x:c>
      <x:c r="B688" t="str">
        <x:v>FR</x:v>
      </x:c>
      <x:c r="C688" s="12" t="str">
        <x:v>法国法郎（FRF；1960币制）</x:v>
      </x:c>
      <x:c r="D688" s="24" t="n">
        <x:v>0.8464058366</x:v>
      </x:c>
      <x:c r="E688" s="20" t="str">
        <x:v>LCU/USD</x:v>
      </x:c>
      <x:c r="F688" s="20" t="n">
        <x:f>'币制说明'!$C$27</x:f>
        <x:v>6.55957</x:v>
      </x:c>
      <x:c r="G688" s="22" t="n">
        <x:f>IF(E688="LCU/USD",D688*F688,F688/D688)</x:f>
        <x:v>5.552058333586262</x:v>
      </x:c>
      <x:c r="H688" s="12" t="str">
        <x:v>年均</x:v>
      </x:c>
      <x:c r="I688" s="12" t="str">
        <x:v>1994-01-01—1994-12-31</x:v>
      </x:c>
      <x:c r="J688" s="12" t="str">
        <x:v>OECD_FR</x:v>
      </x:c>
      <x:c r="K688" s="12" t="str">
        <x:v>https://fred.stlouisfed.org/data/CCUSMA02FRA618N</x:v>
      </x:c>
      <x:c r="L688" s="12" t="str">
        <x:v>由欧元回溯单位还原当年本币；非当年实际欧元报价。 欧元回溯单位按不可撤销转换率还原；法国1960年前另乘100。</x:v>
      </x:c>
      <x:c r="M688" s="12" t="str">
        <x:v>A：机构统计／原始统计表</x:v>
      </x:c>
    </x:row>
    <x:row r="689" ht="72" customHeight="1">
      <x:c r="A689" t="n">
        <x:v>1994</x:v>
      </x:c>
      <x:c r="B689" t="str">
        <x:v>DE</x:v>
      </x:c>
      <x:c r="C689" s="12" t="str">
        <x:v>德国马克（DEM）</x:v>
      </x:c>
      <x:c r="D689" s="24" t="n">
        <x:v>0.8297883763</x:v>
      </x:c>
      <x:c r="E689" s="20" t="str">
        <x:v>LCU/USD</x:v>
      </x:c>
      <x:c r="F689" s="20" t="n">
        <x:f>'币制说明'!$C$28</x:f>
        <x:v>1.95583</x:v>
      </x:c>
      <x:c r="G689" s="22" t="n">
        <x:f>IF(E689="LCU/USD",D689*F689,F689/D689)</x:f>
        <x:v>1.6229250000188291</x:v>
      </x:c>
      <x:c r="H689" s="12" t="str">
        <x:v>年均</x:v>
      </x:c>
      <x:c r="I689" s="12" t="str">
        <x:v>1994-01-01—1994-12-31</x:v>
      </x:c>
      <x:c r="J689" s="12" t="str">
        <x:v>OECD_DE</x:v>
      </x:c>
      <x:c r="K689" s="12" t="str">
        <x:v>https://fred.stlouisfed.org/data/CCUSMA02DEA618N</x:v>
      </x:c>
      <x:c r="L689" s="12" t="str">
        <x:v>由欧元回溯单位还原当年本币；非当年实际欧元报价。 欧元回溯单位按不可撤销转换率还原；法国1960年前另乘100。</x:v>
      </x:c>
      <x:c r="M689" s="12" t="str">
        <x:v>A：机构统计／原始统计表</x:v>
      </x:c>
    </x:row>
    <x:row r="690" ht="72" customHeight="1">
      <x:c r="A690" t="n">
        <x:v>1994</x:v>
      </x:c>
      <x:c r="B690" t="str">
        <x:v>IT</x:v>
      </x:c>
      <x:c r="C690" s="12" t="str">
        <x:v>意大利里拉（ITL）</x:v>
      </x:c>
      <x:c r="D690" s="24" t="n">
        <x:v>0.8328713067</x:v>
      </x:c>
      <x:c r="E690" s="20" t="str">
        <x:v>LCU/USD</x:v>
      </x:c>
      <x:c r="F690" s="20" t="n">
        <x:f>'币制说明'!$C$29</x:f>
        <x:v>1936.27</x:v>
      </x:c>
      <x:c r="G690" s="22" t="n">
        <x:f>IF(E690="LCU/USD",D690*F690,F690/D690)</x:f>
        <x:v>1612.663725024009</x:v>
      </x:c>
      <x:c r="H690" s="12" t="str">
        <x:v>年均</x:v>
      </x:c>
      <x:c r="I690" s="12" t="str">
        <x:v>1994-01-01—1994-12-31</x:v>
      </x:c>
      <x:c r="J690" s="12" t="str">
        <x:v>OECD_IT</x:v>
      </x:c>
      <x:c r="K690" s="12" t="str">
        <x:v>https://fred.stlouisfed.org/data/CCUSMA02ITA618N</x:v>
      </x:c>
      <x:c r="L690" s="12" t="str">
        <x:v>由欧元回溯单位还原当年本币；非当年实际欧元报价。 欧元回溯单位按不可撤销转换率还原；法国1960年前另乘100。</x:v>
      </x:c>
      <x:c r="M690" s="12" t="str">
        <x:v>A：机构统计／原始统计表</x:v>
      </x:c>
    </x:row>
    <x:row r="691" ht="72" customHeight="1">
      <x:c r="A691" t="n">
        <x:v>1994</x:v>
      </x:c>
      <x:c r="B691" t="str">
        <x:v>JPY</x:v>
      </x:c>
      <x:c r="C691" s="12" t="str">
        <x:v>日元（JPY）</x:v>
      </x:c>
      <x:c r="D691" s="24" t="n">
        <x:v>102.179</x:v>
      </x:c>
      <x:c r="E691" s="20" t="str">
        <x:v>LCU/USD</x:v>
      </x:c>
      <x:c r="F691" s="20" t="n">
        <x:v>1</x:v>
      </x:c>
      <x:c r="G691" s="22" t="n">
        <x:f>IF(E691="LCU/USD",D691*F691,F691/D691)</x:f>
        <x:v>102.179</x:v>
      </x:c>
      <x:c r="H691" s="12" t="str">
        <x:v>年均</x:v>
      </x:c>
      <x:c r="I691" s="12" t="str">
        <x:v>1994-01-01—1994-12-31</x:v>
      </x:c>
      <x:c r="J691" s="12" t="str">
        <x:v>FRB_JPY</x:v>
      </x:c>
      <x:c r="K691" s="12" t="str">
        <x:v>https://fred.stlouisfed.org/data/AEXJPUS</x:v>
      </x:c>
      <x:c r="L691" s="12" t="str"/>
      <x:c r="M691" s="12" t="str">
        <x:v>A：机构统计／原始统计表</x:v>
      </x:c>
    </x:row>
    <x:row r="692" ht="72" customHeight="1">
      <x:c r="A692" t="n">
        <x:v>1994</x:v>
      </x:c>
      <x:c r="B692" t="str">
        <x:v>CHF</x:v>
      </x:c>
      <x:c r="C692" s="12" t="str">
        <x:v>瑞士法郎（CHF）</x:v>
      </x:c>
      <x:c r="D692" s="24" t="n">
        <x:v>1.3667</x:v>
      </x:c>
      <x:c r="E692" s="20" t="str">
        <x:v>LCU/USD</x:v>
      </x:c>
      <x:c r="F692" s="20" t="n">
        <x:v>1</x:v>
      </x:c>
      <x:c r="G692" s="22" t="n">
        <x:f>IF(E692="LCU/USD",D692*F692,F692/D692)</x:f>
        <x:v>1.3667</x:v>
      </x:c>
      <x:c r="H692" s="12" t="str">
        <x:v>年均</x:v>
      </x:c>
      <x:c r="I692" s="12" t="str">
        <x:v>1994-01-01—1994-12-31</x:v>
      </x:c>
      <x:c r="J692" s="12" t="str">
        <x:v>FRB_CHF</x:v>
      </x:c>
      <x:c r="K692" s="12" t="str">
        <x:v>https://fred.stlouisfed.org/data/AEXSZUS</x:v>
      </x:c>
      <x:c r="L692" s="12" t="str"/>
      <x:c r="M692" s="12" t="str">
        <x:v>A：机构统计／原始统计表</x:v>
      </x:c>
    </x:row>
    <x:row r="693" ht="72" customHeight="1">
      <x:c r="A693" t="n">
        <x:v>1994</x:v>
      </x:c>
      <x:c r="B693" t="str">
        <x:v>INR</x:v>
      </x:c>
      <x:c r="C693" s="12" t="str">
        <x:v>印度卢比（INR）</x:v>
      </x:c>
      <x:c r="D693" s="24" t="n">
        <x:v>31.3939</x:v>
      </x:c>
      <x:c r="E693" s="20" t="str">
        <x:v>LCU/USD</x:v>
      </x:c>
      <x:c r="F693" s="20" t="n">
        <x:v>1</x:v>
      </x:c>
      <x:c r="G693" s="22" t="n">
        <x:f>IF(E693="LCU/USD",D693*F693,F693/D693)</x:f>
        <x:v>31.3939</x:v>
      </x:c>
      <x:c r="H693" s="12" t="str">
        <x:v>年均</x:v>
      </x:c>
      <x:c r="I693" s="12" t="str">
        <x:v>1994-01-01—1994-12-31</x:v>
      </x:c>
      <x:c r="J693" s="12" t="str">
        <x:v>FRB_INR</x:v>
      </x:c>
      <x:c r="K693" s="12" t="str">
        <x:v>https://fred.stlouisfed.org/data/AEXINUS</x:v>
      </x:c>
      <x:c r="L693" s="12" t="str"/>
      <x:c r="M693" s="12" t="str">
        <x:v>A：机构统计／原始统计表</x:v>
      </x:c>
    </x:row>
    <x:row r="694" ht="72" customHeight="1">
      <x:c r="A694" t="n">
        <x:v>1994</x:v>
      </x:c>
      <x:c r="B694" t="str">
        <x:v>RUB</x:v>
      </x:c>
      <x:c r="C694" s="12" t="str">
        <x:v>俄罗斯旧卢布（RUR）</x:v>
      </x:c>
      <x:c r="D694" s="24" t="n">
        <x:v>2.2040725331</x:v>
      </x:c>
      <x:c r="E694" s="20" t="str">
        <x:v>LCU/USD</x:v>
      </x:c>
      <x:c r="F694" s="20" t="n">
        <x:f>'币制说明'!$C$30</x:f>
        <x:v>1000</x:v>
      </x:c>
      <x:c r="G694" s="22" t="n">
        <x:f>IF(E694="LCU/USD",D694*F694,F694/D694)</x:f>
        <x:v>2204.0725331000003</x:v>
      </x:c>
      <x:c r="H694" s="12" t="str">
        <x:v>年均</x:v>
      </x:c>
      <x:c r="I694" s="12" t="str">
        <x:v>1994-01-01—1994-12-31</x:v>
      </x:c>
      <x:c r="J694" s="12" t="str">
        <x:v>OECD_RUB</x:v>
      </x:c>
      <x:c r="K694" s="12" t="str">
        <x:v>https://fred.stlouisfed.org/data/CCUSMA02RUA618N</x:v>
      </x:c>
      <x:c r="L694" s="12" t="str">
        <x:v>源数据以1998年新卢布回溯表示，乘1000还原旧卢布；不是当年1美元不足1卢布。</x:v>
      </x:c>
      <x:c r="M694" s="12" t="str">
        <x:v>A：机构统计／原始统计表</x:v>
      </x:c>
    </x:row>
    <x:row r="695" ht="72" customHeight="1">
      <x:c r="A695" t="n">
        <x:v>1994</x:v>
      </x:c>
      <x:c r="B695" t="str">
        <x:v>CNY</x:v>
      </x:c>
      <x:c r="C695" s="12" t="str">
        <x:v>人民币元（1955币制；CNY）</x:v>
      </x:c>
      <x:c r="D695" s="24" t="n">
        <x:v>8.6397</x:v>
      </x:c>
      <x:c r="E695" s="20" t="str">
        <x:v>LCU/USD</x:v>
      </x:c>
      <x:c r="F695" s="20" t="n">
        <x:v>1</x:v>
      </x:c>
      <x:c r="G695" s="22" t="n">
        <x:f>IF(E695="LCU/USD",D695*F695,F695/D695)</x:f>
        <x:v>8.6397</x:v>
      </x:c>
      <x:c r="H695" s="12" t="str">
        <x:v>年均</x:v>
      </x:c>
      <x:c r="I695" s="12" t="str">
        <x:v>1994-01-01—1994-12-31</x:v>
      </x:c>
      <x:c r="J695" s="12" t="str">
        <x:v>FRB_CNY</x:v>
      </x:c>
      <x:c r="K695" s="12" t="str">
        <x:v>https://fred.stlouisfed.org/data/AEXCHUS</x:v>
      </x:c>
      <x:c r="L695" s="12" t="str"/>
      <x:c r="M695" s="12" t="str">
        <x:v>A：机构统计／原始统计表</x:v>
      </x:c>
    </x:row>
    <x:row r="696" ht="72" customHeight="1">
      <x:c r="A696" t="n">
        <x:v>1995</x:v>
      </x:c>
      <x:c r="B696" t="str">
        <x:v>GBP</x:v>
      </x:c>
      <x:c r="C696" s="12" t="str">
        <x:v>英镑（GBP）</x:v>
      </x:c>
      <x:c r="D696" s="24" t="n">
        <x:v>1.5785</x:v>
      </x:c>
      <x:c r="E696" s="20" t="str">
        <x:v>USD/LCU</x:v>
      </x:c>
      <x:c r="F696" s="20" t="n">
        <x:v>1</x:v>
      </x:c>
      <x:c r="G696" s="22" t="n">
        <x:f>IF(E696="LCU/USD",D696*F696,F696/D696)</x:f>
        <x:v>0.6335128286347799</x:v>
      </x:c>
      <x:c r="H696" s="12" t="str">
        <x:v>年均</x:v>
      </x:c>
      <x:c r="I696" s="12" t="str">
        <x:v>1995-01-01—1995-12-31</x:v>
      </x:c>
      <x:c r="J696" s="12" t="str">
        <x:v>FRB_GBP</x:v>
      </x:c>
      <x:c r="K696" s="12" t="str">
        <x:v>https://fred.stlouisfed.org/data/AEXUSUK</x:v>
      </x:c>
      <x:c r="L696" s="12" t="str">
        <x:v>反向值由原报价均值取倒数；不等于反向日度汇率的算术平均。</x:v>
      </x:c>
      <x:c r="M696" s="12" t="str">
        <x:v>A：机构统计／原始统计表</x:v>
      </x:c>
    </x:row>
    <x:row r="697" ht="72" customHeight="1">
      <x:c r="A697" t="n">
        <x:v>1995</x:v>
      </x:c>
      <x:c r="B697" t="str">
        <x:v>CAD</x:v>
      </x:c>
      <x:c r="C697" s="12" t="str">
        <x:v>加拿大元（CAD）</x:v>
      </x:c>
      <x:c r="D697" s="24" t="n">
        <x:v>1.3725</x:v>
      </x:c>
      <x:c r="E697" s="20" t="str">
        <x:v>LCU/USD</x:v>
      </x:c>
      <x:c r="F697" s="20" t="n">
        <x:v>1</x:v>
      </x:c>
      <x:c r="G697" s="22" t="n">
        <x:f>IF(E697="LCU/USD",D697*F697,F697/D697)</x:f>
        <x:v>1.3725</x:v>
      </x:c>
      <x:c r="H697" s="12" t="str">
        <x:v>年均</x:v>
      </x:c>
      <x:c r="I697" s="12" t="str">
        <x:v>1995-01-01—1995-12-31</x:v>
      </x:c>
      <x:c r="J697" s="12" t="str">
        <x:v>FRB_CAD</x:v>
      </x:c>
      <x:c r="K697" s="12" t="str">
        <x:v>https://fred.stlouisfed.org/data/AEXCAUS</x:v>
      </x:c>
      <x:c r="L697" s="12" t="str"/>
      <x:c r="M697" s="12" t="str">
        <x:v>A：机构统计／原始统计表</x:v>
      </x:c>
    </x:row>
    <x:row r="698" ht="72" customHeight="1">
      <x:c r="A698" t="n">
        <x:v>1995</x:v>
      </x:c>
      <x:c r="B698" t="str">
        <x:v>FR</x:v>
      </x:c>
      <x:c r="C698" s="12" t="str">
        <x:v>法国法郎（FRF；1960币制）</x:v>
      </x:c>
      <x:c r="D698" s="24" t="n">
        <x:v>0.760845096</x:v>
      </x:c>
      <x:c r="E698" s="20" t="str">
        <x:v>LCU/USD</x:v>
      </x:c>
      <x:c r="F698" s="20" t="n">
        <x:f>'币制说明'!$C$27</x:f>
        <x:v>6.55957</x:v>
      </x:c>
      <x:c r="G698" s="22" t="n">
        <x:f>IF(E698="LCU/USD",D698*F698,F698/D698)</x:f>
        <x:v>4.99081666636872</x:v>
      </x:c>
      <x:c r="H698" s="12" t="str">
        <x:v>年均</x:v>
      </x:c>
      <x:c r="I698" s="12" t="str">
        <x:v>1995-01-01—1995-12-31</x:v>
      </x:c>
      <x:c r="J698" s="12" t="str">
        <x:v>OECD_FR</x:v>
      </x:c>
      <x:c r="K698" s="12" t="str">
        <x:v>https://fred.stlouisfed.org/data/CCUSMA02FRA618N</x:v>
      </x:c>
      <x:c r="L698" s="12" t="str">
        <x:v>由欧元回溯单位还原当年本币；非当年实际欧元报价。 欧元回溯单位按不可撤销转换率还原；法国1960年前另乘100。</x:v>
      </x:c>
      <x:c r="M698" s="12" t="str">
        <x:v>A：机构统计／原始统计表</x:v>
      </x:c>
    </x:row>
    <x:row r="699" ht="72" customHeight="1">
      <x:c r="A699" t="n">
        <x:v>1995</x:v>
      </x:c>
      <x:c r="B699" t="str">
        <x:v>DE</x:v>
      </x:c>
      <x:c r="C699" s="12" t="str">
        <x:v>德国马克（DEM）</x:v>
      </x:c>
      <x:c r="D699" s="24" t="n">
        <x:v>0.7326897873</x:v>
      </x:c>
      <x:c r="E699" s="20" t="str">
        <x:v>LCU/USD</x:v>
      </x:c>
      <x:c r="F699" s="20" t="n">
        <x:f>'币制说明'!$C$28</x:f>
        <x:v>1.95583</x:v>
      </x:c>
      <x:c r="G699" s="22" t="n">
        <x:f>IF(E699="LCU/USD",D699*F699,F699/D699)</x:f>
        <x:v>1.433016666694959</x:v>
      </x:c>
      <x:c r="H699" s="12" t="str">
        <x:v>年均</x:v>
      </x:c>
      <x:c r="I699" s="12" t="str">
        <x:v>1995-01-01—1995-12-31</x:v>
      </x:c>
      <x:c r="J699" s="12" t="str">
        <x:v>OECD_DE</x:v>
      </x:c>
      <x:c r="K699" s="12" t="str">
        <x:v>https://fred.stlouisfed.org/data/CCUSMA02DEA618N</x:v>
      </x:c>
      <x:c r="L699" s="12" t="str">
        <x:v>由欧元回溯单位还原当年本币；非当年实际欧元报价。 欧元回溯单位按不可撤销转换率还原；法国1960年前另乘100。</x:v>
      </x:c>
      <x:c r="M699" s="12" t="str">
        <x:v>A：机构统计／原始统计表</x:v>
      </x:c>
    </x:row>
    <x:row r="700" ht="72" customHeight="1">
      <x:c r="A700" t="n">
        <x:v>1995</x:v>
      </x:c>
      <x:c r="B700" t="str">
        <x:v>IT</x:v>
      </x:c>
      <x:c r="C700" s="12" t="str">
        <x:v>意大利里拉（ITL）</x:v>
      </x:c>
      <x:c r="D700" s="24" t="n">
        <x:v>0.8413262828</x:v>
      </x:c>
      <x:c r="E700" s="20" t="str">
        <x:v>LCU/USD</x:v>
      </x:c>
      <x:c r="F700" s="20" t="n">
        <x:f>'币制说明'!$C$29</x:f>
        <x:v>1936.27</x:v>
      </x:c>
      <x:c r="G700" s="22" t="n">
        <x:f>IF(E700="LCU/USD",D700*F700,F700/D700)</x:f>
        <x:v>1629.034841597156</x:v>
      </x:c>
      <x:c r="H700" s="12" t="str">
        <x:v>年均</x:v>
      </x:c>
      <x:c r="I700" s="12" t="str">
        <x:v>1995-01-01—1995-12-31</x:v>
      </x:c>
      <x:c r="J700" s="12" t="str">
        <x:v>OECD_IT</x:v>
      </x:c>
      <x:c r="K700" s="12" t="str">
        <x:v>https://fred.stlouisfed.org/data/CCUSMA02ITA618N</x:v>
      </x:c>
      <x:c r="L700" s="12" t="str">
        <x:v>由欧元回溯单位还原当年本币；非当年实际欧元报价。 欧元回溯单位按不可撤销转换率还原；法国1960年前另乘100。</x:v>
      </x:c>
      <x:c r="M700" s="12" t="str">
        <x:v>A：机构统计／原始统计表</x:v>
      </x:c>
    </x:row>
    <x:row r="701" ht="72" customHeight="1">
      <x:c r="A701" t="n">
        <x:v>1995</x:v>
      </x:c>
      <x:c r="B701" t="str">
        <x:v>JPY</x:v>
      </x:c>
      <x:c r="C701" s="12" t="str">
        <x:v>日元（JPY）</x:v>
      </x:c>
      <x:c r="D701" s="24" t="n">
        <x:v>93.9649</x:v>
      </x:c>
      <x:c r="E701" s="20" t="str">
        <x:v>LCU/USD</x:v>
      </x:c>
      <x:c r="F701" s="20" t="n">
        <x:v>1</x:v>
      </x:c>
      <x:c r="G701" s="22" t="n">
        <x:f>IF(E701="LCU/USD",D701*F701,F701/D701)</x:f>
        <x:v>93.9649</x:v>
      </x:c>
      <x:c r="H701" s="12" t="str">
        <x:v>年均</x:v>
      </x:c>
      <x:c r="I701" s="12" t="str">
        <x:v>1995-01-01—1995-12-31</x:v>
      </x:c>
      <x:c r="J701" s="12" t="str">
        <x:v>FRB_JPY</x:v>
      </x:c>
      <x:c r="K701" s="12" t="str">
        <x:v>https://fred.stlouisfed.org/data/AEXJPUS</x:v>
      </x:c>
      <x:c r="L701" s="12" t="str"/>
      <x:c r="M701" s="12" t="str">
        <x:v>A：机构统计／原始统计表</x:v>
      </x:c>
    </x:row>
    <x:row r="702" ht="72" customHeight="1">
      <x:c r="A702" t="n">
        <x:v>1995</x:v>
      </x:c>
      <x:c r="B702" t="str">
        <x:v>CHF</x:v>
      </x:c>
      <x:c r="C702" s="12" t="str">
        <x:v>瑞士法郎（CHF）</x:v>
      </x:c>
      <x:c r="D702" s="24" t="n">
        <x:v>1.1812</x:v>
      </x:c>
      <x:c r="E702" s="20" t="str">
        <x:v>LCU/USD</x:v>
      </x:c>
      <x:c r="F702" s="20" t="n">
        <x:v>1</x:v>
      </x:c>
      <x:c r="G702" s="22" t="n">
        <x:f>IF(E702="LCU/USD",D702*F702,F702/D702)</x:f>
        <x:v>1.1812</x:v>
      </x:c>
      <x:c r="H702" s="12" t="str">
        <x:v>年均</x:v>
      </x:c>
      <x:c r="I702" s="12" t="str">
        <x:v>1995-01-01—1995-12-31</x:v>
      </x:c>
      <x:c r="J702" s="12" t="str">
        <x:v>FRB_CHF</x:v>
      </x:c>
      <x:c r="K702" s="12" t="str">
        <x:v>https://fred.stlouisfed.org/data/AEXSZUS</x:v>
      </x:c>
      <x:c r="L702" s="12" t="str"/>
      <x:c r="M702" s="12" t="str">
        <x:v>A：机构统计／原始统计表</x:v>
      </x:c>
    </x:row>
    <x:row r="703" ht="72" customHeight="1">
      <x:c r="A703" t="n">
        <x:v>1995</x:v>
      </x:c>
      <x:c r="B703" t="str">
        <x:v>INR</x:v>
      </x:c>
      <x:c r="C703" s="12" t="str">
        <x:v>印度卢比（INR）</x:v>
      </x:c>
      <x:c r="D703" s="24" t="n">
        <x:v>32.4181</x:v>
      </x:c>
      <x:c r="E703" s="20" t="str">
        <x:v>LCU/USD</x:v>
      </x:c>
      <x:c r="F703" s="20" t="n">
        <x:v>1</x:v>
      </x:c>
      <x:c r="G703" s="22" t="n">
        <x:f>IF(E703="LCU/USD",D703*F703,F703/D703)</x:f>
        <x:v>32.4181</x:v>
      </x:c>
      <x:c r="H703" s="12" t="str">
        <x:v>年均</x:v>
      </x:c>
      <x:c r="I703" s="12" t="str">
        <x:v>1995-01-01—1995-12-31</x:v>
      </x:c>
      <x:c r="J703" s="12" t="str">
        <x:v>FRB_INR</x:v>
      </x:c>
      <x:c r="K703" s="12" t="str">
        <x:v>https://fred.stlouisfed.org/data/AEXINUS</x:v>
      </x:c>
      <x:c r="L703" s="12" t="str"/>
      <x:c r="M703" s="12" t="str">
        <x:v>A：机构统计／原始统计表</x:v>
      </x:c>
    </x:row>
    <x:row r="704" ht="72" customHeight="1">
      <x:c r="A704" t="n">
        <x:v>1995</x:v>
      </x:c>
      <x:c r="B704" t="str">
        <x:v>RUB</x:v>
      </x:c>
      <x:c r="C704" s="12" t="str">
        <x:v>俄罗斯旧卢布（RUR）</x:v>
      </x:c>
      <x:c r="D704" s="24" t="n">
        <x:v>4.56050023843709</x:v>
      </x:c>
      <x:c r="E704" s="20" t="str">
        <x:v>LCU/USD</x:v>
      </x:c>
      <x:c r="F704" s="20" t="n">
        <x:f>'币制说明'!$C$30</x:f>
        <x:v>1000</x:v>
      </x:c>
      <x:c r="G704" s="22" t="n">
        <x:f>IF(E704="LCU/USD",D704*F704,F704/D704)</x:f>
        <x:v>4560.50023843709</x:v>
      </x:c>
      <x:c r="H704" s="12" t="str">
        <x:v>年均</x:v>
      </x:c>
      <x:c r="I704" s="12" t="str">
        <x:v>1995-01-01—1995-12-31</x:v>
      </x:c>
      <x:c r="J704" s="12" t="str">
        <x:v>OECD_RUB</x:v>
      </x:c>
      <x:c r="K704" s="12" t="str">
        <x:v>https://fred.stlouisfed.org/data/CCUSMA02RUA618N</x:v>
      </x:c>
      <x:c r="L704" s="12" t="str">
        <x:v>源数据以1998年新卢布回溯表示，乘1000还原旧卢布；不是当年1美元不足1卢布。</x:v>
      </x:c>
      <x:c r="M704" s="12" t="str">
        <x:v>A：机构统计／原始统计表</x:v>
      </x:c>
    </x:row>
    <x:row r="705" ht="72" customHeight="1">
      <x:c r="A705" t="n">
        <x:v>1995</x:v>
      </x:c>
      <x:c r="B705" t="str">
        <x:v>CNY</x:v>
      </x:c>
      <x:c r="C705" s="12" t="str">
        <x:v>人民币元（1955币制；CNY）</x:v>
      </x:c>
      <x:c r="D705" s="24" t="n">
        <x:v>8.37</x:v>
      </x:c>
      <x:c r="E705" s="20" t="str">
        <x:v>LCU/USD</x:v>
      </x:c>
      <x:c r="F705" s="20" t="n">
        <x:v>1</x:v>
      </x:c>
      <x:c r="G705" s="22" t="n">
        <x:f>IF(E705="LCU/USD",D705*F705,F705/D705)</x:f>
        <x:v>8.37</x:v>
      </x:c>
      <x:c r="H705" s="12" t="str">
        <x:v>年均</x:v>
      </x:c>
      <x:c r="I705" s="12" t="str">
        <x:v>1995-01-01—1995-12-31</x:v>
      </x:c>
      <x:c r="J705" s="12" t="str">
        <x:v>FRB_CNY</x:v>
      </x:c>
      <x:c r="K705" s="12" t="str">
        <x:v>https://fred.stlouisfed.org/data/AEXCHUS</x:v>
      </x:c>
      <x:c r="L705" s="12" t="str"/>
      <x:c r="M705" s="12" t="str">
        <x:v>A：机构统计／原始统计表</x:v>
      </x:c>
    </x:row>
    <x:row r="706" ht="72" customHeight="1">
      <x:c r="A706" t="n">
        <x:v>1996</x:v>
      </x:c>
      <x:c r="B706" t="str">
        <x:v>GBP</x:v>
      </x:c>
      <x:c r="C706" s="12" t="str">
        <x:v>英镑（GBP）</x:v>
      </x:c>
      <x:c r="D706" s="24" t="n">
        <x:v>1.5607</x:v>
      </x:c>
      <x:c r="E706" s="20" t="str">
        <x:v>USD/LCU</x:v>
      </x:c>
      <x:c r="F706" s="20" t="n">
        <x:v>1</x:v>
      </x:c>
      <x:c r="G706" s="22" t="n">
        <x:f>IF(E706="LCU/USD",D706*F706,F706/D706)</x:f>
        <x:v>0.6407381303261357</x:v>
      </x:c>
      <x:c r="H706" s="12" t="str">
        <x:v>年均</x:v>
      </x:c>
      <x:c r="I706" s="12" t="str">
        <x:v>1996-01-01—1996-12-31</x:v>
      </x:c>
      <x:c r="J706" s="12" t="str">
        <x:v>FRB_GBP</x:v>
      </x:c>
      <x:c r="K706" s="12" t="str">
        <x:v>https://fred.stlouisfed.org/data/AEXUSUK</x:v>
      </x:c>
      <x:c r="L706" s="12" t="str">
        <x:v>反向值由原报价均值取倒数；不等于反向日度汇率的算术平均。</x:v>
      </x:c>
      <x:c r="M706" s="12" t="str">
        <x:v>A：机构统计／原始统计表</x:v>
      </x:c>
    </x:row>
    <x:row r="707" ht="72" customHeight="1">
      <x:c r="A707" t="n">
        <x:v>1996</x:v>
      </x:c>
      <x:c r="B707" t="str">
        <x:v>CAD</x:v>
      </x:c>
      <x:c r="C707" s="12" t="str">
        <x:v>加拿大元（CAD）</x:v>
      </x:c>
      <x:c r="D707" s="24" t="n">
        <x:v>1.3638</x:v>
      </x:c>
      <x:c r="E707" s="20" t="str">
        <x:v>LCU/USD</x:v>
      </x:c>
      <x:c r="F707" s="20" t="n">
        <x:v>1</x:v>
      </x:c>
      <x:c r="G707" s="22" t="n">
        <x:f>IF(E707="LCU/USD",D707*F707,F707/D707)</x:f>
        <x:v>1.3638</x:v>
      </x:c>
      <x:c r="H707" s="12" t="str">
        <x:v>年均</x:v>
      </x:c>
      <x:c r="I707" s="12" t="str">
        <x:v>1996-01-01—1996-12-31</x:v>
      </x:c>
      <x:c r="J707" s="12" t="str">
        <x:v>FRB_CAD</x:v>
      </x:c>
      <x:c r="K707" s="12" t="str">
        <x:v>https://fred.stlouisfed.org/data/AEXCAUS</x:v>
      </x:c>
      <x:c r="L707" s="12" t="str"/>
      <x:c r="M707" s="12" t="str">
        <x:v>A：机构统计／原始统计表</x:v>
      </x:c>
    </x:row>
    <x:row r="708" ht="72" customHeight="1">
      <x:c r="A708" t="n">
        <x:v>1996</x:v>
      </x:c>
      <x:c r="B708" t="str">
        <x:v>FR</x:v>
      </x:c>
      <x:c r="C708" s="12" t="str">
        <x:v>法国法郎（FRF；1960币制）</x:v>
      </x:c>
      <x:c r="D708" s="24" t="n">
        <x:v>0.7798986824</x:v>
      </x:c>
      <x:c r="E708" s="20" t="str">
        <x:v>LCU/USD</x:v>
      </x:c>
      <x:c r="F708" s="20" t="n">
        <x:f>'币制说明'!$C$27</x:f>
        <x:v>6.55957</x:v>
      </x:c>
      <x:c r="G708" s="22" t="n">
        <x:f>IF(E708="LCU/USD",D708*F708,F708/D708)</x:f>
        <x:v>5.115800000110569</x:v>
      </x:c>
      <x:c r="H708" s="12" t="str">
        <x:v>年均</x:v>
      </x:c>
      <x:c r="I708" s="12" t="str">
        <x:v>1996-01-01—1996-12-31</x:v>
      </x:c>
      <x:c r="J708" s="12" t="str">
        <x:v>OECD_FR</x:v>
      </x:c>
      <x:c r="K708" s="12" t="str">
        <x:v>https://fred.stlouisfed.org/data/CCUSMA02FRA618N</x:v>
      </x:c>
      <x:c r="L708" s="12" t="str">
        <x:v>由欧元回溯单位还原当年本币；非当年实际欧元报价。 欧元回溯单位按不可撤销转换率还原；法国1960年前另乘100。</x:v>
      </x:c>
      <x:c r="M708" s="12" t="str">
        <x:v>A：机构统计／原始统计表</x:v>
      </x:c>
    </x:row>
    <x:row r="709" ht="72" customHeight="1">
      <x:c r="A709" t="n">
        <x:v>1996</x:v>
      </x:c>
      <x:c r="B709" t="str">
        <x:v>DE</x:v>
      </x:c>
      <x:c r="C709" s="12" t="str">
        <x:v>德国马克（DEM）</x:v>
      </x:c>
      <x:c r="D709" s="24" t="n">
        <x:v>0.7693366329</x:v>
      </x:c>
      <x:c r="E709" s="20" t="str">
        <x:v>LCU/USD</x:v>
      </x:c>
      <x:c r="F709" s="20" t="n">
        <x:f>'币制说明'!$C$28</x:f>
        <x:v>1.95583</x:v>
      </x:c>
      <x:c r="G709" s="22" t="n">
        <x:f>IF(E709="LCU/USD",D709*F709,F709/D709)</x:f>
        <x:v>1.504691666724807</x:v>
      </x:c>
      <x:c r="H709" s="12" t="str">
        <x:v>年均</x:v>
      </x:c>
      <x:c r="I709" s="12" t="str">
        <x:v>1996-01-01—1996-12-31</x:v>
      </x:c>
      <x:c r="J709" s="12" t="str">
        <x:v>OECD_DE</x:v>
      </x:c>
      <x:c r="K709" s="12" t="str">
        <x:v>https://fred.stlouisfed.org/data/CCUSMA02DEA618N</x:v>
      </x:c>
      <x:c r="L709" s="12" t="str">
        <x:v>由欧元回溯单位还原当年本币；非当年实际欧元报价。 欧元回溯单位按不可撤销转换率还原；法国1960年前另乘100。</x:v>
      </x:c>
      <x:c r="M709" s="12" t="str">
        <x:v>A：机构统计／原始统计表</x:v>
      </x:c>
    </x:row>
    <x:row r="710" ht="72" customHeight="1">
      <x:c r="A710" t="n">
        <x:v>1996</x:v>
      </x:c>
      <x:c r="B710" t="str">
        <x:v>IT</x:v>
      </x:c>
      <x:c r="C710" s="12" t="str">
        <x:v>意大利里拉（ITL）</x:v>
      </x:c>
      <x:c r="D710" s="24" t="n">
        <x:v>0.7969158356</x:v>
      </x:c>
      <x:c r="E710" s="20" t="str">
        <x:v>LCU/USD</x:v>
      </x:c>
      <x:c r="F710" s="20" t="n">
        <x:f>'币制说明'!$C$29</x:f>
        <x:v>1936.27</x:v>
      </x:c>
      <x:c r="G710" s="22" t="n">
        <x:f>IF(E710="LCU/USD",D710*F710,F710/D710)</x:f>
        <x:v>1543.044224997212</x:v>
      </x:c>
      <x:c r="H710" s="12" t="str">
        <x:v>年均</x:v>
      </x:c>
      <x:c r="I710" s="12" t="str">
        <x:v>1996-01-01—1996-12-31</x:v>
      </x:c>
      <x:c r="J710" s="12" t="str">
        <x:v>OECD_IT</x:v>
      </x:c>
      <x:c r="K710" s="12" t="str">
        <x:v>https://fred.stlouisfed.org/data/CCUSMA02ITA618N</x:v>
      </x:c>
      <x:c r="L710" s="12" t="str">
        <x:v>由欧元回溯单位还原当年本币；非当年实际欧元报价。 欧元回溯单位按不可撤销转换率还原；法国1960年前另乘100。</x:v>
      </x:c>
      <x:c r="M710" s="12" t="str">
        <x:v>A：机构统计／原始统计表</x:v>
      </x:c>
    </x:row>
    <x:row r="711" ht="72" customHeight="1">
      <x:c r="A711" t="n">
        <x:v>1996</x:v>
      </x:c>
      <x:c r="B711" t="str">
        <x:v>JPY</x:v>
      </x:c>
      <x:c r="C711" s="12" t="str">
        <x:v>日元（JPY）</x:v>
      </x:c>
      <x:c r="D711" s="24" t="n">
        <x:v>108.78</x:v>
      </x:c>
      <x:c r="E711" s="20" t="str">
        <x:v>LCU/USD</x:v>
      </x:c>
      <x:c r="F711" s="20" t="n">
        <x:v>1</x:v>
      </x:c>
      <x:c r="G711" s="22" t="n">
        <x:f>IF(E711="LCU/USD",D711*F711,F711/D711)</x:f>
        <x:v>108.78</x:v>
      </x:c>
      <x:c r="H711" s="12" t="str">
        <x:v>年均</x:v>
      </x:c>
      <x:c r="I711" s="12" t="str">
        <x:v>1996-01-01—1996-12-31</x:v>
      </x:c>
      <x:c r="J711" s="12" t="str">
        <x:v>FRB_JPY</x:v>
      </x:c>
      <x:c r="K711" s="12" t="str">
        <x:v>https://fred.stlouisfed.org/data/AEXJPUS</x:v>
      </x:c>
      <x:c r="L711" s="12" t="str"/>
      <x:c r="M711" s="12" t="str">
        <x:v>A：机构统计／原始统计表</x:v>
      </x:c>
    </x:row>
    <x:row r="712" ht="72" customHeight="1">
      <x:c r="A712" t="n">
        <x:v>1996</x:v>
      </x:c>
      <x:c r="B712" t="str">
        <x:v>CHF</x:v>
      </x:c>
      <x:c r="C712" s="12" t="str">
        <x:v>瑞士法郎（CHF）</x:v>
      </x:c>
      <x:c r="D712" s="24" t="n">
        <x:v>1.2361</x:v>
      </x:c>
      <x:c r="E712" s="20" t="str">
        <x:v>LCU/USD</x:v>
      </x:c>
      <x:c r="F712" s="20" t="n">
        <x:v>1</x:v>
      </x:c>
      <x:c r="G712" s="22" t="n">
        <x:f>IF(E712="LCU/USD",D712*F712,F712/D712)</x:f>
        <x:v>1.2361</x:v>
      </x:c>
      <x:c r="H712" s="12" t="str">
        <x:v>年均</x:v>
      </x:c>
      <x:c r="I712" s="12" t="str">
        <x:v>1996-01-01—1996-12-31</x:v>
      </x:c>
      <x:c r="J712" s="12" t="str">
        <x:v>FRB_CHF</x:v>
      </x:c>
      <x:c r="K712" s="12" t="str">
        <x:v>https://fred.stlouisfed.org/data/AEXSZUS</x:v>
      </x:c>
      <x:c r="L712" s="12" t="str"/>
      <x:c r="M712" s="12" t="str">
        <x:v>A：机构统计／原始统计表</x:v>
      </x:c>
    </x:row>
    <x:row r="713" ht="72" customHeight="1">
      <x:c r="A713" t="n">
        <x:v>1996</x:v>
      </x:c>
      <x:c r="B713" t="str">
        <x:v>INR</x:v>
      </x:c>
      <x:c r="C713" s="12" t="str">
        <x:v>印度卢比（INR）</x:v>
      </x:c>
      <x:c r="D713" s="24" t="n">
        <x:v>35.506</x:v>
      </x:c>
      <x:c r="E713" s="20" t="str">
        <x:v>LCU/USD</x:v>
      </x:c>
      <x:c r="F713" s="20" t="n">
        <x:v>1</x:v>
      </x:c>
      <x:c r="G713" s="22" t="n">
        <x:f>IF(E713="LCU/USD",D713*F713,F713/D713)</x:f>
        <x:v>35.506</x:v>
      </x:c>
      <x:c r="H713" s="12" t="str">
        <x:v>年均</x:v>
      </x:c>
      <x:c r="I713" s="12" t="str">
        <x:v>1996-01-01—1996-12-31</x:v>
      </x:c>
      <x:c r="J713" s="12" t="str">
        <x:v>FRB_INR</x:v>
      </x:c>
      <x:c r="K713" s="12" t="str">
        <x:v>https://fred.stlouisfed.org/data/AEXINUS</x:v>
      </x:c>
      <x:c r="L713" s="12" t="str"/>
      <x:c r="M713" s="12" t="str">
        <x:v>A：机构统计／原始统计表</x:v>
      </x:c>
    </x:row>
    <x:row r="714" ht="72" customHeight="1">
      <x:c r="A714" t="n">
        <x:v>1996</x:v>
      </x:c>
      <x:c r="B714" t="str">
        <x:v>RUB</x:v>
      </x:c>
      <x:c r="C714" s="12" t="str">
        <x:v>俄罗斯旧卢布（RUR）</x:v>
      </x:c>
      <x:c r="D714" s="24" t="n">
        <x:v>5.12547236845057</x:v>
      </x:c>
      <x:c r="E714" s="20" t="str">
        <x:v>LCU/USD</x:v>
      </x:c>
      <x:c r="F714" s="20" t="n">
        <x:f>'币制说明'!$C$30</x:f>
        <x:v>1000</x:v>
      </x:c>
      <x:c r="G714" s="22" t="n">
        <x:f>IF(E714="LCU/USD",D714*F714,F714/D714)</x:f>
        <x:v>5125.47236845057</x:v>
      </x:c>
      <x:c r="H714" s="12" t="str">
        <x:v>年均</x:v>
      </x:c>
      <x:c r="I714" s="12" t="str">
        <x:v>1996-01-01—1996-12-31</x:v>
      </x:c>
      <x:c r="J714" s="12" t="str">
        <x:v>OECD_RUB</x:v>
      </x:c>
      <x:c r="K714" s="12" t="str">
        <x:v>https://fred.stlouisfed.org/data/CCUSMA02RUA618N</x:v>
      </x:c>
      <x:c r="L714" s="12" t="str">
        <x:v>源数据以1998年新卢布回溯表示，乘1000还原旧卢布；不是当年1美元不足1卢布。</x:v>
      </x:c>
      <x:c r="M714" s="12" t="str">
        <x:v>A：机构统计／原始统计表</x:v>
      </x:c>
    </x:row>
    <x:row r="715" ht="72" customHeight="1">
      <x:c r="A715" t="n">
        <x:v>1996</x:v>
      </x:c>
      <x:c r="B715" t="str">
        <x:v>CNY</x:v>
      </x:c>
      <x:c r="C715" s="12" t="str">
        <x:v>人民币元（1955币制；CNY）</x:v>
      </x:c>
      <x:c r="D715" s="24" t="n">
        <x:v>8.3389</x:v>
      </x:c>
      <x:c r="E715" s="20" t="str">
        <x:v>LCU/USD</x:v>
      </x:c>
      <x:c r="F715" s="20" t="n">
        <x:v>1</x:v>
      </x:c>
      <x:c r="G715" s="22" t="n">
        <x:f>IF(E715="LCU/USD",D715*F715,F715/D715)</x:f>
        <x:v>8.3389</x:v>
      </x:c>
      <x:c r="H715" s="12" t="str">
        <x:v>年均</x:v>
      </x:c>
      <x:c r="I715" s="12" t="str">
        <x:v>1996-01-01—1996-12-31</x:v>
      </x:c>
      <x:c r="J715" s="12" t="str">
        <x:v>FRB_CNY</x:v>
      </x:c>
      <x:c r="K715" s="12" t="str">
        <x:v>https://fred.stlouisfed.org/data/AEXCHUS</x:v>
      </x:c>
      <x:c r="L715" s="12" t="str"/>
      <x:c r="M715" s="12" t="str">
        <x:v>A：机构统计／原始统计表</x:v>
      </x:c>
    </x:row>
    <x:row r="716" ht="72" customHeight="1">
      <x:c r="A716" t="n">
        <x:v>1997</x:v>
      </x:c>
      <x:c r="B716" t="str">
        <x:v>GBP</x:v>
      </x:c>
      <x:c r="C716" s="12" t="str">
        <x:v>英镑（GBP）</x:v>
      </x:c>
      <x:c r="D716" s="24" t="n">
        <x:v>1.6376</x:v>
      </x:c>
      <x:c r="E716" s="20" t="str">
        <x:v>USD/LCU</x:v>
      </x:c>
      <x:c r="F716" s="20" t="n">
        <x:v>1</x:v>
      </x:c>
      <x:c r="G716" s="22" t="n">
        <x:f>IF(E716="LCU/USD",D716*F716,F716/D716)</x:f>
        <x:v>0.6106497313141183</x:v>
      </x:c>
      <x:c r="H716" s="12" t="str">
        <x:v>年均</x:v>
      </x:c>
      <x:c r="I716" s="12" t="str">
        <x:v>1997-01-01—1997-12-31</x:v>
      </x:c>
      <x:c r="J716" s="12" t="str">
        <x:v>FRB_GBP</x:v>
      </x:c>
      <x:c r="K716" s="12" t="str">
        <x:v>https://fred.stlouisfed.org/data/AEXUSUK</x:v>
      </x:c>
      <x:c r="L716" s="12" t="str">
        <x:v>反向值由原报价均值取倒数；不等于反向日度汇率的算术平均。</x:v>
      </x:c>
      <x:c r="M716" s="12" t="str">
        <x:v>A：机构统计／原始统计表</x:v>
      </x:c>
    </x:row>
    <x:row r="717" ht="72" customHeight="1">
      <x:c r="A717" t="n">
        <x:v>1997</x:v>
      </x:c>
      <x:c r="B717" t="str">
        <x:v>CAD</x:v>
      </x:c>
      <x:c r="C717" s="12" t="str">
        <x:v>加拿大元（CAD）</x:v>
      </x:c>
      <x:c r="D717" s="24" t="n">
        <x:v>1.3849</x:v>
      </x:c>
      <x:c r="E717" s="20" t="str">
        <x:v>LCU/USD</x:v>
      </x:c>
      <x:c r="F717" s="20" t="n">
        <x:v>1</x:v>
      </x:c>
      <x:c r="G717" s="22" t="n">
        <x:f>IF(E717="LCU/USD",D717*F717,F717/D717)</x:f>
        <x:v>1.3849</x:v>
      </x:c>
      <x:c r="H717" s="12" t="str">
        <x:v>年均</x:v>
      </x:c>
      <x:c r="I717" s="12" t="str">
        <x:v>1997-01-01—1997-12-31</x:v>
      </x:c>
      <x:c r="J717" s="12" t="str">
        <x:v>FRB_CAD</x:v>
      </x:c>
      <x:c r="K717" s="12" t="str">
        <x:v>https://fred.stlouisfed.org/data/AEXCAUS</x:v>
      </x:c>
      <x:c r="L717" s="12" t="str"/>
      <x:c r="M717" s="12" t="str">
        <x:v>A：机构统计／原始统计表</x:v>
      </x:c>
    </x:row>
    <x:row r="718" ht="72" customHeight="1">
      <x:c r="A718" t="n">
        <x:v>1997</x:v>
      </x:c>
      <x:c r="B718" t="str">
        <x:v>FR</x:v>
      </x:c>
      <x:c r="C718" s="12" t="str">
        <x:v>法国法郎（FRF；1960币制）</x:v>
      </x:c>
      <x:c r="D718" s="24" t="n">
        <x:v>0.8898931891</x:v>
      </x:c>
      <x:c r="E718" s="20" t="str">
        <x:v>LCU/USD</x:v>
      </x:c>
      <x:c r="F718" s="20" t="n">
        <x:f>'币制说明'!$C$27</x:f>
        <x:v>6.55957</x:v>
      </x:c>
      <x:c r="G718" s="22" t="n">
        <x:f>IF(E718="LCU/USD",D718*F718,F718/D718)</x:f>
        <x:v>5.837316666424687</x:v>
      </x:c>
      <x:c r="H718" s="12" t="str">
        <x:v>年均</x:v>
      </x:c>
      <x:c r="I718" s="12" t="str">
        <x:v>1997-01-01—1997-12-31</x:v>
      </x:c>
      <x:c r="J718" s="12" t="str">
        <x:v>OECD_FR</x:v>
      </x:c>
      <x:c r="K718" s="12" t="str">
        <x:v>https://fred.stlouisfed.org/data/CCUSMA02FRA618N</x:v>
      </x:c>
      <x:c r="L718" s="12" t="str">
        <x:v>由欧元回溯单位还原当年本币；非当年实际欧元报价。 欧元回溯单位按不可撤销转换率还原；法国1960年前另乘100。</x:v>
      </x:c>
      <x:c r="M718" s="12" t="str">
        <x:v>A：机构统计／原始统计表</x:v>
      </x:c>
    </x:row>
    <x:row r="719" ht="72" customHeight="1">
      <x:c r="A719" t="n">
        <x:v>1997</x:v>
      </x:c>
      <x:c r="B719" t="str">
        <x:v>DE</x:v>
      </x:c>
      <x:c r="C719" s="12" t="str">
        <x:v>德国马克（DEM）</x:v>
      </x:c>
      <x:c r="D719" s="24" t="n">
        <x:v>0.8866568158</x:v>
      </x:c>
      <x:c r="E719" s="20" t="str">
        <x:v>LCU/USD</x:v>
      </x:c>
      <x:c r="F719" s="20" t="n">
        <x:f>'币制说明'!$C$28</x:f>
        <x:v>1.95583</x:v>
      </x:c>
      <x:c r="G719" s="22" t="n">
        <x:f>IF(E719="LCU/USD",D719*F719,F719/D719)</x:f>
        <x:v>1.7341500000461139</x:v>
      </x:c>
      <x:c r="H719" s="12" t="str">
        <x:v>年均</x:v>
      </x:c>
      <x:c r="I719" s="12" t="str">
        <x:v>1997-01-01—1997-12-31</x:v>
      </x:c>
      <x:c r="J719" s="12" t="str">
        <x:v>OECD_DE</x:v>
      </x:c>
      <x:c r="K719" s="12" t="str">
        <x:v>https://fred.stlouisfed.org/data/CCUSMA02DEA618N</x:v>
      </x:c>
      <x:c r="L719" s="12" t="str">
        <x:v>由欧元回溯单位还原当年本币；非当年实际欧元报价。 欧元回溯单位按不可撤销转换率还原；法国1960年前另乘100。</x:v>
      </x:c>
      <x:c r="M719" s="12" t="str">
        <x:v>A：机构统计／原始统计表</x:v>
      </x:c>
    </x:row>
    <x:row r="720" ht="72" customHeight="1">
      <x:c r="A720" t="n">
        <x:v>1997</x:v>
      </x:c>
      <x:c r="B720" t="str">
        <x:v>IT</x:v>
      </x:c>
      <x:c r="C720" s="12" t="str">
        <x:v>意大利里拉（ITL）</x:v>
      </x:c>
      <x:c r="D720" s="24" t="n">
        <x:v>0.8794028811</x:v>
      </x:c>
      <x:c r="E720" s="20" t="str">
        <x:v>LCU/USD</x:v>
      </x:c>
      <x:c r="F720" s="20" t="n">
        <x:f>'币制说明'!$C$29</x:f>
        <x:v>1936.27</x:v>
      </x:c>
      <x:c r="G720" s="22" t="n">
        <x:f>IF(E720="LCU/USD",D720*F720,F720/D720)</x:f>
        <x:v>1702.761416587497</x:v>
      </x:c>
      <x:c r="H720" s="12" t="str">
        <x:v>年均</x:v>
      </x:c>
      <x:c r="I720" s="12" t="str">
        <x:v>1997-01-01—1997-12-31</x:v>
      </x:c>
      <x:c r="J720" s="12" t="str">
        <x:v>OECD_IT</x:v>
      </x:c>
      <x:c r="K720" s="12" t="str">
        <x:v>https://fred.stlouisfed.org/data/CCUSMA02ITA618N</x:v>
      </x:c>
      <x:c r="L720" s="12" t="str">
        <x:v>由欧元回溯单位还原当年本币；非当年实际欧元报价。 欧元回溯单位按不可撤销转换率还原；法国1960年前另乘100。</x:v>
      </x:c>
      <x:c r="M720" s="12" t="str">
        <x:v>A：机构统计／原始统计表</x:v>
      </x:c>
    </x:row>
    <x:row r="721" ht="72" customHeight="1">
      <x:c r="A721" t="n">
        <x:v>1997</x:v>
      </x:c>
      <x:c r="B721" t="str">
        <x:v>JPY</x:v>
      </x:c>
      <x:c r="C721" s="12" t="str">
        <x:v>日元（JPY）</x:v>
      </x:c>
      <x:c r="D721" s="24" t="n">
        <x:v>121.0581</x:v>
      </x:c>
      <x:c r="E721" s="20" t="str">
        <x:v>LCU/USD</x:v>
      </x:c>
      <x:c r="F721" s="20" t="n">
        <x:v>1</x:v>
      </x:c>
      <x:c r="G721" s="22" t="n">
        <x:f>IF(E721="LCU/USD",D721*F721,F721/D721)</x:f>
        <x:v>121.0581</x:v>
      </x:c>
      <x:c r="H721" s="12" t="str">
        <x:v>年均</x:v>
      </x:c>
      <x:c r="I721" s="12" t="str">
        <x:v>1997-01-01—1997-12-31</x:v>
      </x:c>
      <x:c r="J721" s="12" t="str">
        <x:v>FRB_JPY</x:v>
      </x:c>
      <x:c r="K721" s="12" t="str">
        <x:v>https://fred.stlouisfed.org/data/AEXJPUS</x:v>
      </x:c>
      <x:c r="L721" s="12" t="str"/>
      <x:c r="M721" s="12" t="str">
        <x:v>A：机构统计／原始统计表</x:v>
      </x:c>
    </x:row>
    <x:row r="722" ht="72" customHeight="1">
      <x:c r="A722" t="n">
        <x:v>1997</x:v>
      </x:c>
      <x:c r="B722" t="str">
        <x:v>CHF</x:v>
      </x:c>
      <x:c r="C722" s="12" t="str">
        <x:v>瑞士法郎（CHF）</x:v>
      </x:c>
      <x:c r="D722" s="24" t="n">
        <x:v>1.4514</x:v>
      </x:c>
      <x:c r="E722" s="20" t="str">
        <x:v>LCU/USD</x:v>
      </x:c>
      <x:c r="F722" s="20" t="n">
        <x:v>1</x:v>
      </x:c>
      <x:c r="G722" s="22" t="n">
        <x:f>IF(E722="LCU/USD",D722*F722,F722/D722)</x:f>
        <x:v>1.4514</x:v>
      </x:c>
      <x:c r="H722" s="12" t="str">
        <x:v>年均</x:v>
      </x:c>
      <x:c r="I722" s="12" t="str">
        <x:v>1997-01-01—1997-12-31</x:v>
      </x:c>
      <x:c r="J722" s="12" t="str">
        <x:v>FRB_CHF</x:v>
      </x:c>
      <x:c r="K722" s="12" t="str">
        <x:v>https://fred.stlouisfed.org/data/AEXSZUS</x:v>
      </x:c>
      <x:c r="L722" s="12" t="str"/>
      <x:c r="M722" s="12" t="str">
        <x:v>A：机构统计／原始统计表</x:v>
      </x:c>
    </x:row>
    <x:row r="723" ht="72" customHeight="1">
      <x:c r="A723" t="n">
        <x:v>1997</x:v>
      </x:c>
      <x:c r="B723" t="str">
        <x:v>INR</x:v>
      </x:c>
      <x:c r="C723" s="12" t="str">
        <x:v>印度卢比（INR）</x:v>
      </x:c>
      <x:c r="D723" s="24" t="n">
        <x:v>36.3645</x:v>
      </x:c>
      <x:c r="E723" s="20" t="str">
        <x:v>LCU/USD</x:v>
      </x:c>
      <x:c r="F723" s="20" t="n">
        <x:v>1</x:v>
      </x:c>
      <x:c r="G723" s="22" t="n">
        <x:f>IF(E723="LCU/USD",D723*F723,F723/D723)</x:f>
        <x:v>36.3645</x:v>
      </x:c>
      <x:c r="H723" s="12" t="str">
        <x:v>年均</x:v>
      </x:c>
      <x:c r="I723" s="12" t="str">
        <x:v>1997-01-01—1997-12-31</x:v>
      </x:c>
      <x:c r="J723" s="12" t="str">
        <x:v>FRB_INR</x:v>
      </x:c>
      <x:c r="K723" s="12" t="str">
        <x:v>https://fred.stlouisfed.org/data/AEXINUS</x:v>
      </x:c>
      <x:c r="L723" s="12" t="str"/>
      <x:c r="M723" s="12" t="str">
        <x:v>A：机构统计／原始统计表</x:v>
      </x:c>
    </x:row>
    <x:row r="724" ht="72" customHeight="1">
      <x:c r="A724" t="n">
        <x:v>1997</x:v>
      </x:c>
      <x:c r="B724" t="str">
        <x:v>RUB</x:v>
      </x:c>
      <x:c r="C724" s="12" t="str">
        <x:v>俄罗斯旧卢布（RUR）</x:v>
      </x:c>
      <x:c r="D724" s="24" t="n">
        <x:v>5.78353801296135</x:v>
      </x:c>
      <x:c r="E724" s="20" t="str">
        <x:v>LCU/USD</x:v>
      </x:c>
      <x:c r="F724" s="20" t="n">
        <x:f>'币制说明'!$C$30</x:f>
        <x:v>1000</x:v>
      </x:c>
      <x:c r="G724" s="22" t="n">
        <x:f>IF(E724="LCU/USD",D724*F724,F724/D724)</x:f>
        <x:v>5783.53801296135</x:v>
      </x:c>
      <x:c r="H724" s="12" t="str">
        <x:v>年均</x:v>
      </x:c>
      <x:c r="I724" s="12" t="str">
        <x:v>1997-01-01—1997-12-31</x:v>
      </x:c>
      <x:c r="J724" s="12" t="str">
        <x:v>OECD_RUB</x:v>
      </x:c>
      <x:c r="K724" s="12" t="str">
        <x:v>https://fred.stlouisfed.org/data/CCUSMA02RUA618N</x:v>
      </x:c>
      <x:c r="L724" s="12" t="str">
        <x:v>源数据以1998年新卢布回溯表示，乘1000还原旧卢布；不是当年1美元不足1卢布。</x:v>
      </x:c>
      <x:c r="M724" s="12" t="str">
        <x:v>A：机构统计／原始统计表</x:v>
      </x:c>
    </x:row>
    <x:row r="725" ht="72" customHeight="1">
      <x:c r="A725" t="n">
        <x:v>1997</x:v>
      </x:c>
      <x:c r="B725" t="str">
        <x:v>CNY</x:v>
      </x:c>
      <x:c r="C725" s="12" t="str">
        <x:v>人民币元（1955币制；CNY）</x:v>
      </x:c>
      <x:c r="D725" s="24" t="n">
        <x:v>8.3193</x:v>
      </x:c>
      <x:c r="E725" s="20" t="str">
        <x:v>LCU/USD</x:v>
      </x:c>
      <x:c r="F725" s="20" t="n">
        <x:v>1</x:v>
      </x:c>
      <x:c r="G725" s="22" t="n">
        <x:f>IF(E725="LCU/USD",D725*F725,F725/D725)</x:f>
        <x:v>8.3193</x:v>
      </x:c>
      <x:c r="H725" s="12" t="str">
        <x:v>年均</x:v>
      </x:c>
      <x:c r="I725" s="12" t="str">
        <x:v>1997-01-01—1997-12-31</x:v>
      </x:c>
      <x:c r="J725" s="12" t="str">
        <x:v>FRB_CNY</x:v>
      </x:c>
      <x:c r="K725" s="12" t="str">
        <x:v>https://fred.stlouisfed.org/data/AEXCHUS</x:v>
      </x:c>
      <x:c r="L725" s="12" t="str"/>
      <x:c r="M725" s="12" t="str">
        <x:v>A：机构统计／原始统计表</x:v>
      </x:c>
    </x:row>
    <x:row r="726" ht="72" customHeight="1">
      <x:c r="A726" t="n">
        <x:v>1998</x:v>
      </x:c>
      <x:c r="B726" t="str">
        <x:v>GBP</x:v>
      </x:c>
      <x:c r="C726" s="12" t="str">
        <x:v>英镑（GBP）</x:v>
      </x:c>
      <x:c r="D726" s="24" t="n">
        <x:v>1.6573</x:v>
      </x:c>
      <x:c r="E726" s="20" t="str">
        <x:v>USD/LCU</x:v>
      </x:c>
      <x:c r="F726" s="20" t="n">
        <x:v>1</x:v>
      </x:c>
      <x:c r="G726" s="22" t="n">
        <x:f>IF(E726="LCU/USD",D726*F726,F726/D726)</x:f>
        <x:v>0.6033910577445242</x:v>
      </x:c>
      <x:c r="H726" s="12" t="str">
        <x:v>年均</x:v>
      </x:c>
      <x:c r="I726" s="12" t="str">
        <x:v>1998-01-01—1998-12-31</x:v>
      </x:c>
      <x:c r="J726" s="12" t="str">
        <x:v>FRB_GBP</x:v>
      </x:c>
      <x:c r="K726" s="12" t="str">
        <x:v>https://fred.stlouisfed.org/data/AEXUSUK</x:v>
      </x:c>
      <x:c r="L726" s="12" t="str">
        <x:v>反向值由原报价均值取倒数；不等于反向日度汇率的算术平均。</x:v>
      </x:c>
      <x:c r="M726" s="12" t="str">
        <x:v>A：机构统计／原始统计表</x:v>
      </x:c>
    </x:row>
    <x:row r="727" ht="72" customHeight="1">
      <x:c r="A727" t="n">
        <x:v>1998</x:v>
      </x:c>
      <x:c r="B727" t="str">
        <x:v>CAD</x:v>
      </x:c>
      <x:c r="C727" s="12" t="str">
        <x:v>加拿大元（CAD）</x:v>
      </x:c>
      <x:c r="D727" s="24" t="n">
        <x:v>1.4836</x:v>
      </x:c>
      <x:c r="E727" s="20" t="str">
        <x:v>LCU/USD</x:v>
      </x:c>
      <x:c r="F727" s="20" t="n">
        <x:v>1</x:v>
      </x:c>
      <x:c r="G727" s="22" t="n">
        <x:f>IF(E727="LCU/USD",D727*F727,F727/D727)</x:f>
        <x:v>1.4836</x:v>
      </x:c>
      <x:c r="H727" s="12" t="str">
        <x:v>年均</x:v>
      </x:c>
      <x:c r="I727" s="12" t="str">
        <x:v>1998-01-01—1998-12-31</x:v>
      </x:c>
      <x:c r="J727" s="12" t="str">
        <x:v>FRB_CAD</x:v>
      </x:c>
      <x:c r="K727" s="12" t="str">
        <x:v>https://fred.stlouisfed.org/data/AEXCAUS</x:v>
      </x:c>
      <x:c r="L727" s="12" t="str"/>
      <x:c r="M727" s="12" t="str">
        <x:v>A：机构统计／原始统计表</x:v>
      </x:c>
    </x:row>
    <x:row r="728" ht="72" customHeight="1">
      <x:c r="A728" t="n">
        <x:v>1998</x:v>
      </x:c>
      <x:c r="B728" t="str">
        <x:v>FR</x:v>
      </x:c>
      <x:c r="C728" s="12" t="str">
        <x:v>法国法郎（FRF；1960币制）</x:v>
      </x:c>
      <x:c r="D728" s="24" t="n">
        <x:v>0.8993564619</x:v>
      </x:c>
      <x:c r="E728" s="20" t="str">
        <x:v>LCU/USD</x:v>
      </x:c>
      <x:c r="F728" s="20" t="n">
        <x:f>'币制说明'!$C$27</x:f>
        <x:v>6.55957</x:v>
      </x:c>
      <x:c r="G728" s="22" t="n">
        <x:f>IF(E728="LCU/USD",D728*F728,F728/D728)</x:f>
        <x:v>5.899391666785383</x:v>
      </x:c>
      <x:c r="H728" s="12" t="str">
        <x:v>年均</x:v>
      </x:c>
      <x:c r="I728" s="12" t="str">
        <x:v>1998-01-01—1998-12-31</x:v>
      </x:c>
      <x:c r="J728" s="12" t="str">
        <x:v>OECD_FR</x:v>
      </x:c>
      <x:c r="K728" s="12" t="str">
        <x:v>https://fred.stlouisfed.org/data/CCUSMA02FRA618N</x:v>
      </x:c>
      <x:c r="L728" s="12" t="str">
        <x:v>由欧元回溯单位还原当年本币；非当年实际欧元报价。 欧元回溯单位按不可撤销转换率还原；法国1960年前另乘100。</x:v>
      </x:c>
      <x:c r="M728" s="12" t="str">
        <x:v>A：机构统计／原始统计表</x:v>
      </x:c>
    </x:row>
    <x:row r="729" ht="72" customHeight="1">
      <x:c r="A729" t="n">
        <x:v>1998</x:v>
      </x:c>
      <x:c r="B729" t="str">
        <x:v>DE</x:v>
      </x:c>
      <x:c r="C729" s="12" t="str">
        <x:v>德国马克（DEM）</x:v>
      </x:c>
      <x:c r="D729" s="24" t="n">
        <x:v>0.8995541535</x:v>
      </x:c>
      <x:c r="E729" s="20" t="str">
        <x:v>LCU/USD</x:v>
      </x:c>
      <x:c r="F729" s="20" t="n">
        <x:f>'币制说明'!$C$28</x:f>
        <x:v>1.95583</x:v>
      </x:c>
      <x:c r="G729" s="22" t="n">
        <x:f>IF(E729="LCU/USD",D729*F729,F729/D729)</x:f>
        <x:v>1.7593750000399049</x:v>
      </x:c>
      <x:c r="H729" s="12" t="str">
        <x:v>年均</x:v>
      </x:c>
      <x:c r="I729" s="12" t="str">
        <x:v>1998-01-01—1998-12-31</x:v>
      </x:c>
      <x:c r="J729" s="12" t="str">
        <x:v>OECD_DE</x:v>
      </x:c>
      <x:c r="K729" s="12" t="str">
        <x:v>https://fred.stlouisfed.org/data/CCUSMA02DEA618N</x:v>
      </x:c>
      <x:c r="L729" s="12" t="str">
        <x:v>由欧元回溯单位还原当年本币；非当年实际欧元报价。 欧元回溯单位按不可撤销转换率还原；法国1960年前另乘100。</x:v>
      </x:c>
      <x:c r="M729" s="12" t="str">
        <x:v>A：机构统计／原始统计表</x:v>
      </x:c>
    </x:row>
    <x:row r="730" ht="72" customHeight="1">
      <x:c r="A730" t="n">
        <x:v>1998</x:v>
      </x:c>
      <x:c r="B730" t="str">
        <x:v>IT</x:v>
      </x:c>
      <x:c r="C730" s="12" t="str">
        <x:v>意大利里拉（ITL）</x:v>
      </x:c>
      <x:c r="D730" s="24" t="n">
        <x:v>0.896773315</x:v>
      </x:c>
      <x:c r="E730" s="20" t="str">
        <x:v>LCU/USD</x:v>
      </x:c>
      <x:c r="F730" s="20" t="n">
        <x:f>'币制说明'!$C$29</x:f>
        <x:v>1936.27</x:v>
      </x:c>
      <x:c r="G730" s="22" t="n">
        <x:f>IF(E730="LCU/USD",D730*F730,F730/D730)</x:f>
        <x:v>1736.3952666350501</x:v>
      </x:c>
      <x:c r="H730" s="12" t="str">
        <x:v>年均</x:v>
      </x:c>
      <x:c r="I730" s="12" t="str">
        <x:v>1998-01-01—1998-12-31</x:v>
      </x:c>
      <x:c r="J730" s="12" t="str">
        <x:v>OECD_IT</x:v>
      </x:c>
      <x:c r="K730" s="12" t="str">
        <x:v>https://fred.stlouisfed.org/data/CCUSMA02ITA618N</x:v>
      </x:c>
      <x:c r="L730" s="12" t="str">
        <x:v>由欧元回溯单位还原当年本币；非当年实际欧元报价。 欧元回溯单位按不可撤销转换率还原；法国1960年前另乘100。</x:v>
      </x:c>
      <x:c r="M730" s="12" t="str">
        <x:v>A：机构统计／原始统计表</x:v>
      </x:c>
    </x:row>
    <x:row r="731" ht="72" customHeight="1">
      <x:c r="A731" t="n">
        <x:v>1998</x:v>
      </x:c>
      <x:c r="B731" t="str">
        <x:v>JPY</x:v>
      </x:c>
      <x:c r="C731" s="12" t="str">
        <x:v>日元（JPY）</x:v>
      </x:c>
      <x:c r="D731" s="24" t="n">
        <x:v>130.9892</x:v>
      </x:c>
      <x:c r="E731" s="20" t="str">
        <x:v>LCU/USD</x:v>
      </x:c>
      <x:c r="F731" s="20" t="n">
        <x:v>1</x:v>
      </x:c>
      <x:c r="G731" s="22" t="n">
        <x:f>IF(E731="LCU/USD",D731*F731,F731/D731)</x:f>
        <x:v>130.9892</x:v>
      </x:c>
      <x:c r="H731" s="12" t="str">
        <x:v>年均</x:v>
      </x:c>
      <x:c r="I731" s="12" t="str">
        <x:v>1998-01-01—1998-12-31</x:v>
      </x:c>
      <x:c r="J731" s="12" t="str">
        <x:v>FRB_JPY</x:v>
      </x:c>
      <x:c r="K731" s="12" t="str">
        <x:v>https://fred.stlouisfed.org/data/AEXJPUS</x:v>
      </x:c>
      <x:c r="L731" s="12" t="str"/>
      <x:c r="M731" s="12" t="str">
        <x:v>A：机构统计／原始统计表</x:v>
      </x:c>
    </x:row>
    <x:row r="732" ht="72" customHeight="1">
      <x:c r="A732" t="n">
        <x:v>1998</x:v>
      </x:c>
      <x:c r="B732" t="str">
        <x:v>CHF</x:v>
      </x:c>
      <x:c r="C732" s="12" t="str">
        <x:v>瑞士法郎（CHF）</x:v>
      </x:c>
      <x:c r="D732" s="24" t="n">
        <x:v>1.4506</x:v>
      </x:c>
      <x:c r="E732" s="20" t="str">
        <x:v>LCU/USD</x:v>
      </x:c>
      <x:c r="F732" s="20" t="n">
        <x:v>1</x:v>
      </x:c>
      <x:c r="G732" s="22" t="n">
        <x:f>IF(E732="LCU/USD",D732*F732,F732/D732)</x:f>
        <x:v>1.4506</x:v>
      </x:c>
      <x:c r="H732" s="12" t="str">
        <x:v>年均</x:v>
      </x:c>
      <x:c r="I732" s="12" t="str">
        <x:v>1998-01-01—1998-12-31</x:v>
      </x:c>
      <x:c r="J732" s="12" t="str">
        <x:v>FRB_CHF</x:v>
      </x:c>
      <x:c r="K732" s="12" t="str">
        <x:v>https://fred.stlouisfed.org/data/AEXSZUS</x:v>
      </x:c>
      <x:c r="L732" s="12" t="str"/>
      <x:c r="M732" s="12" t="str">
        <x:v>A：机构统计／原始统计表</x:v>
      </x:c>
    </x:row>
    <x:row r="733" ht="72" customHeight="1">
      <x:c r="A733" t="n">
        <x:v>1998</x:v>
      </x:c>
      <x:c r="B733" t="str">
        <x:v>INR</x:v>
      </x:c>
      <x:c r="C733" s="12" t="str">
        <x:v>印度卢比（INR）</x:v>
      </x:c>
      <x:c r="D733" s="24" t="n">
        <x:v>41.3561</x:v>
      </x:c>
      <x:c r="E733" s="20" t="str">
        <x:v>LCU/USD</x:v>
      </x:c>
      <x:c r="F733" s="20" t="n">
        <x:v>1</x:v>
      </x:c>
      <x:c r="G733" s="22" t="n">
        <x:f>IF(E733="LCU/USD",D733*F733,F733/D733)</x:f>
        <x:v>41.3561</x:v>
      </x:c>
      <x:c r="H733" s="12" t="str">
        <x:v>年均</x:v>
      </x:c>
      <x:c r="I733" s="12" t="str">
        <x:v>1998-01-01—1998-12-31</x:v>
      </x:c>
      <x:c r="J733" s="12" t="str">
        <x:v>FRB_INR</x:v>
      </x:c>
      <x:c r="K733" s="12" t="str">
        <x:v>https://fred.stlouisfed.org/data/AEXINUS</x:v>
      </x:c>
      <x:c r="L733" s="12" t="str"/>
      <x:c r="M733" s="12" t="str">
        <x:v>A：机构统计／原始统计表</x:v>
      </x:c>
    </x:row>
    <x:row r="734" ht="72" customHeight="1">
      <x:c r="A734" t="n">
        <x:v>1998</x:v>
      </x:c>
      <x:c r="B734" t="str">
        <x:v>RUB</x:v>
      </x:c>
      <x:c r="C734" s="12" t="str">
        <x:v>俄罗斯卢布（RUB；1998币制）</x:v>
      </x:c>
      <x:c r="D734" s="24" t="n">
        <x:v>9.69179065234559</x:v>
      </x:c>
      <x:c r="E734" s="20" t="str">
        <x:v>LCU/USD</x:v>
      </x:c>
      <x:c r="F734" s="20" t="n">
        <x:v>1</x:v>
      </x:c>
      <x:c r="G734" s="22" t="n">
        <x:f>IF(E734="LCU/USD",D734*F734,F734/D734)</x:f>
        <x:v>9.69179065234559</x:v>
      </x:c>
      <x:c r="H734" s="12" t="str">
        <x:v>年均</x:v>
      </x:c>
      <x:c r="I734" s="12" t="str">
        <x:v>1998-01-01—1998-12-31</x:v>
      </x:c>
      <x:c r="J734" s="12" t="str">
        <x:v>OECD_RUB</x:v>
      </x:c>
      <x:c r="K734" s="12" t="str">
        <x:v>https://fred.stlouisfed.org/data/CCUSMA02RUA618N</x:v>
      </x:c>
      <x:c r="L734" s="12" t="str"/>
      <x:c r="M734" s="12" t="str">
        <x:v>A：机构统计／原始统计表</x:v>
      </x:c>
    </x:row>
    <x:row r="735" ht="72" customHeight="1">
      <x:c r="A735" t="n">
        <x:v>1998</x:v>
      </x:c>
      <x:c r="B735" t="str">
        <x:v>CNY</x:v>
      </x:c>
      <x:c r="C735" s="12" t="str">
        <x:v>人民币元（1955币制；CNY）</x:v>
      </x:c>
      <x:c r="D735" s="24" t="n">
        <x:v>8.3008</x:v>
      </x:c>
      <x:c r="E735" s="20" t="str">
        <x:v>LCU/USD</x:v>
      </x:c>
      <x:c r="F735" s="20" t="n">
        <x:v>1</x:v>
      </x:c>
      <x:c r="G735" s="22" t="n">
        <x:f>IF(E735="LCU/USD",D735*F735,F735/D735)</x:f>
        <x:v>8.3008</x:v>
      </x:c>
      <x:c r="H735" s="12" t="str">
        <x:v>年均</x:v>
      </x:c>
      <x:c r="I735" s="12" t="str">
        <x:v>1998-01-01—1998-12-31</x:v>
      </x:c>
      <x:c r="J735" s="12" t="str">
        <x:v>FRB_CNY</x:v>
      </x:c>
      <x:c r="K735" s="12" t="str">
        <x:v>https://fred.stlouisfed.org/data/AEXCHUS</x:v>
      </x:c>
      <x:c r="L735" s="12" t="str"/>
      <x:c r="M735" s="12" t="str">
        <x:v>A：机构统计／原始统计表</x:v>
      </x:c>
    </x:row>
    <x:row r="736" ht="72" customHeight="1">
      <x:c r="A736" t="n">
        <x:v>1999</x:v>
      </x:c>
      <x:c r="B736" t="str">
        <x:v>GBP</x:v>
      </x:c>
      <x:c r="C736" s="12" t="str">
        <x:v>英镑（GBP）</x:v>
      </x:c>
      <x:c r="D736" s="24" t="n">
        <x:v>1.6172</x:v>
      </x:c>
      <x:c r="E736" s="20" t="str">
        <x:v>USD/LCU</x:v>
      </x:c>
      <x:c r="F736" s="20" t="n">
        <x:v>1</x:v>
      </x:c>
      <x:c r="G736" s="22" t="n">
        <x:f>IF(E736="LCU/USD",D736*F736,F736/D736)</x:f>
        <x:v>0.6183527083848628</x:v>
      </x:c>
      <x:c r="H736" s="12" t="str">
        <x:v>年均</x:v>
      </x:c>
      <x:c r="I736" s="12" t="str">
        <x:v>1999-01-01—1999-12-31</x:v>
      </x:c>
      <x:c r="J736" s="12" t="str">
        <x:v>FRB_GBP</x:v>
      </x:c>
      <x:c r="K736" s="12" t="str">
        <x:v>https://fred.stlouisfed.org/data/AEXUSUK</x:v>
      </x:c>
      <x:c r="L736" s="12" t="str">
        <x:v>反向值由原报价均值取倒数；不等于反向日度汇率的算术平均。</x:v>
      </x:c>
      <x:c r="M736" s="12" t="str">
        <x:v>A：机构统计／原始统计表</x:v>
      </x:c>
    </x:row>
    <x:row r="737" ht="72" customHeight="1">
      <x:c r="A737" t="n">
        <x:v>1999</x:v>
      </x:c>
      <x:c r="B737" t="str">
        <x:v>CAD</x:v>
      </x:c>
      <x:c r="C737" s="12" t="str">
        <x:v>加拿大元（CAD）</x:v>
      </x:c>
      <x:c r="D737" s="24" t="n">
        <x:v>1.4858</x:v>
      </x:c>
      <x:c r="E737" s="20" t="str">
        <x:v>LCU/USD</x:v>
      </x:c>
      <x:c r="F737" s="20" t="n">
        <x:v>1</x:v>
      </x:c>
      <x:c r="G737" s="22" t="n">
        <x:f>IF(E737="LCU/USD",D737*F737,F737/D737)</x:f>
        <x:v>1.4858</x:v>
      </x:c>
      <x:c r="H737" s="12" t="str">
        <x:v>年均</x:v>
      </x:c>
      <x:c r="I737" s="12" t="str">
        <x:v>1999-01-01—1999-12-31</x:v>
      </x:c>
      <x:c r="J737" s="12" t="str">
        <x:v>FRB_CAD</x:v>
      </x:c>
      <x:c r="K737" s="12" t="str">
        <x:v>https://fred.stlouisfed.org/data/AEXCAUS</x:v>
      </x:c>
      <x:c r="L737" s="12" t="str"/>
      <x:c r="M737" s="12" t="str">
        <x:v>A：机构统计／原始统计表</x:v>
      </x:c>
    </x:row>
    <x:row r="738" ht="72" customHeight="1">
      <x:c r="A738" t="n">
        <x:v>1999</x:v>
      </x:c>
      <x:c r="B738" t="str">
        <x:v>JPY</x:v>
      </x:c>
      <x:c r="C738" s="12" t="str">
        <x:v>日元（JPY）</x:v>
      </x:c>
      <x:c r="D738" s="24" t="n">
        <x:v>113.7342</x:v>
      </x:c>
      <x:c r="E738" s="20" t="str">
        <x:v>LCU/USD</x:v>
      </x:c>
      <x:c r="F738" s="20" t="n">
        <x:v>1</x:v>
      </x:c>
      <x:c r="G738" s="22" t="n">
        <x:f>IF(E738="LCU/USD",D738*F738,F738/D738)</x:f>
        <x:v>113.7342</x:v>
      </x:c>
      <x:c r="H738" s="12" t="str">
        <x:v>年均</x:v>
      </x:c>
      <x:c r="I738" s="12" t="str">
        <x:v>1999-01-01—1999-12-31</x:v>
      </x:c>
      <x:c r="J738" s="12" t="str">
        <x:v>FRB_JPY</x:v>
      </x:c>
      <x:c r="K738" s="12" t="str">
        <x:v>https://fred.stlouisfed.org/data/AEXJPUS</x:v>
      </x:c>
      <x:c r="L738" s="12" t="str"/>
      <x:c r="M738" s="12" t="str">
        <x:v>A：机构统计／原始统计表</x:v>
      </x:c>
    </x:row>
    <x:row r="739" ht="72" customHeight="1">
      <x:c r="A739" t="n">
        <x:v>1999</x:v>
      </x:c>
      <x:c r="B739" t="str">
        <x:v>CHF</x:v>
      </x:c>
      <x:c r="C739" s="12" t="str">
        <x:v>瑞士法郎（CHF）</x:v>
      </x:c>
      <x:c r="D739" s="24" t="n">
        <x:v>1.5045</x:v>
      </x:c>
      <x:c r="E739" s="20" t="str">
        <x:v>LCU/USD</x:v>
      </x:c>
      <x:c r="F739" s="20" t="n">
        <x:v>1</x:v>
      </x:c>
      <x:c r="G739" s="22" t="n">
        <x:f>IF(E739="LCU/USD",D739*F739,F739/D739)</x:f>
        <x:v>1.5045</x:v>
      </x:c>
      <x:c r="H739" s="12" t="str">
        <x:v>年均</x:v>
      </x:c>
      <x:c r="I739" s="12" t="str">
        <x:v>1999-01-01—1999-12-31</x:v>
      </x:c>
      <x:c r="J739" s="12" t="str">
        <x:v>FRB_CHF</x:v>
      </x:c>
      <x:c r="K739" s="12" t="str">
        <x:v>https://fred.stlouisfed.org/data/AEXSZUS</x:v>
      </x:c>
      <x:c r="L739" s="12" t="str"/>
      <x:c r="M739" s="12" t="str">
        <x:v>A：机构统计／原始统计表</x:v>
      </x:c>
    </x:row>
    <x:row r="740" ht="72" customHeight="1">
      <x:c r="A740" t="n">
        <x:v>1999</x:v>
      </x:c>
      <x:c r="B740" t="str">
        <x:v>INR</x:v>
      </x:c>
      <x:c r="C740" s="12" t="str">
        <x:v>印度卢比（INR）</x:v>
      </x:c>
      <x:c r="D740" s="24" t="n">
        <x:v>43.1274</x:v>
      </x:c>
      <x:c r="E740" s="20" t="str">
        <x:v>LCU/USD</x:v>
      </x:c>
      <x:c r="F740" s="20" t="n">
        <x:v>1</x:v>
      </x:c>
      <x:c r="G740" s="22" t="n">
        <x:f>IF(E740="LCU/USD",D740*F740,F740/D740)</x:f>
        <x:v>43.1274</x:v>
      </x:c>
      <x:c r="H740" s="12" t="str">
        <x:v>年均</x:v>
      </x:c>
      <x:c r="I740" s="12" t="str">
        <x:v>1999-01-01—1999-12-31</x:v>
      </x:c>
      <x:c r="J740" s="12" t="str">
        <x:v>FRB_INR</x:v>
      </x:c>
      <x:c r="K740" s="12" t="str">
        <x:v>https://fred.stlouisfed.org/data/AEXINUS</x:v>
      </x:c>
      <x:c r="L740" s="12" t="str"/>
      <x:c r="M740" s="12" t="str">
        <x:v>A：机构统计／原始统计表</x:v>
      </x:c>
    </x:row>
    <x:row r="741" ht="72" customHeight="1">
      <x:c r="A741" t="n">
        <x:v>1999</x:v>
      </x:c>
      <x:c r="B741" t="str">
        <x:v>RUB</x:v>
      </x:c>
      <x:c r="C741" s="12" t="str">
        <x:v>俄罗斯卢布（RUB；1998币制）</x:v>
      </x:c>
      <x:c r="D741" s="24" t="n">
        <x:v>24.6190096272511</x:v>
      </x:c>
      <x:c r="E741" s="20" t="str">
        <x:v>LCU/USD</x:v>
      </x:c>
      <x:c r="F741" s="20" t="n">
        <x:v>1</x:v>
      </x:c>
      <x:c r="G741" s="22" t="n">
        <x:f>IF(E741="LCU/USD",D741*F741,F741/D741)</x:f>
        <x:v>24.6190096272511</x:v>
      </x:c>
      <x:c r="H741" s="12" t="str">
        <x:v>年均</x:v>
      </x:c>
      <x:c r="I741" s="12" t="str">
        <x:v>1999-01-01—1999-12-31</x:v>
      </x:c>
      <x:c r="J741" s="12" t="str">
        <x:v>OECD_RUB</x:v>
      </x:c>
      <x:c r="K741" s="12" t="str">
        <x:v>https://fred.stlouisfed.org/data/CCUSMA02RUA618N</x:v>
      </x:c>
      <x:c r="L741" s="12" t="str"/>
      <x:c r="M741" s="12" t="str">
        <x:v>A：机构统计／原始统计表</x:v>
      </x:c>
    </x:row>
    <x:row r="742" ht="72" customHeight="1">
      <x:c r="A742" t="n">
        <x:v>1999</x:v>
      </x:c>
      <x:c r="B742" t="str">
        <x:v>CNY</x:v>
      </x:c>
      <x:c r="C742" s="12" t="str">
        <x:v>人民币元（1955币制；CNY）</x:v>
      </x:c>
      <x:c r="D742" s="24" t="n">
        <x:v>8.2783</x:v>
      </x:c>
      <x:c r="E742" s="20" t="str">
        <x:v>LCU/USD</x:v>
      </x:c>
      <x:c r="F742" s="20" t="n">
        <x:v>1</x:v>
      </x:c>
      <x:c r="G742" s="22" t="n">
        <x:f>IF(E742="LCU/USD",D742*F742,F742/D742)</x:f>
        <x:v>8.2783</x:v>
      </x:c>
      <x:c r="H742" s="12" t="str">
        <x:v>年均</x:v>
      </x:c>
      <x:c r="I742" s="12" t="str">
        <x:v>1999-01-01—1999-12-31</x:v>
      </x:c>
      <x:c r="J742" s="12" t="str">
        <x:v>FRB_CNY</x:v>
      </x:c>
      <x:c r="K742" s="12" t="str">
        <x:v>https://fred.stlouisfed.org/data/AEXCHUS</x:v>
      </x:c>
      <x:c r="L742" s="12" t="str"/>
      <x:c r="M742" s="12" t="str">
        <x:v>A：机构统计／原始统计表</x:v>
      </x:c>
    </x:row>
    <x:row r="743" ht="72" customHeight="1">
      <x:c r="A743" t="n">
        <x:v>1999</x:v>
      </x:c>
      <x:c r="B743" t="str">
        <x:v>EUR</x:v>
      </x:c>
      <x:c r="C743" s="12" t="str">
        <x:v>欧元（EUR）</x:v>
      </x:c>
      <x:c r="D743" s="24" t="n">
        <x:v>1.0653</x:v>
      </x:c>
      <x:c r="E743" s="20" t="str">
        <x:v>USD/LCU</x:v>
      </x:c>
      <x:c r="F743" s="20" t="n">
        <x:v>1</x:v>
      </x:c>
      <x:c r="G743" s="22" t="n">
        <x:f>IF(E743="LCU/USD",D743*F743,F743/D743)</x:f>
        <x:v>0.9387027128508402</x:v>
      </x:c>
      <x:c r="H743" s="12" t="str">
        <x:v>年均</x:v>
      </x:c>
      <x:c r="I743" s="12" t="str">
        <x:v>1999-01-01—1999-12-31</x:v>
      </x:c>
      <x:c r="J743" s="12" t="str">
        <x:v>FRB_EUR</x:v>
      </x:c>
      <x:c r="K743" s="12" t="str">
        <x:v>https://fred.stlouisfed.org/data/AEXUSEU</x:v>
      </x:c>
      <x:c r="L743" s="12" t="str">
        <x:v>反向值由原报价均值取倒数；不等于反向日度汇率的算术平均。</x:v>
      </x:c>
      <x:c r="M743" s="12" t="str">
        <x:v>A：机构统计／原始统计表</x:v>
      </x:c>
    </x:row>
    <x:row r="744" ht="72" customHeight="1">
      <x:c r="A744" t="n">
        <x:v>2000</x:v>
      </x:c>
      <x:c r="B744" t="str">
        <x:v>GBP</x:v>
      </x:c>
      <x:c r="C744" s="12" t="str">
        <x:v>英镑（GBP）</x:v>
      </x:c>
      <x:c r="D744" s="24" t="n">
        <x:v>1.5156</x:v>
      </x:c>
      <x:c r="E744" s="20" t="str">
        <x:v>USD/LCU</x:v>
      </x:c>
      <x:c r="F744" s="20" t="n">
        <x:v>1</x:v>
      </x:c>
      <x:c r="G744" s="22" t="n">
        <x:f>IF(E744="LCU/USD",D744*F744,F744/D744)</x:f>
        <x:v>0.6598046978094484</x:v>
      </x:c>
      <x:c r="H744" s="12" t="str">
        <x:v>年均</x:v>
      </x:c>
      <x:c r="I744" s="12" t="str">
        <x:v>2000-01-01—2000-12-31</x:v>
      </x:c>
      <x:c r="J744" s="12" t="str">
        <x:v>FRB_GBP</x:v>
      </x:c>
      <x:c r="K744" s="12" t="str">
        <x:v>https://fred.stlouisfed.org/data/AEXUSUK</x:v>
      </x:c>
      <x:c r="L744" s="12" t="str">
        <x:v>反向值由原报价均值取倒数；不等于反向日度汇率的算术平均。</x:v>
      </x:c>
      <x:c r="M744" s="12" t="str">
        <x:v>A：机构统计／原始统计表</x:v>
      </x:c>
    </x:row>
    <x:row r="745" ht="72" customHeight="1">
      <x:c r="A745" t="n">
        <x:v>2000</x:v>
      </x:c>
      <x:c r="B745" t="str">
        <x:v>CAD</x:v>
      </x:c>
      <x:c r="C745" s="12" t="str">
        <x:v>加拿大元（CAD）</x:v>
      </x:c>
      <x:c r="D745" s="24" t="n">
        <x:v>1.4855</x:v>
      </x:c>
      <x:c r="E745" s="20" t="str">
        <x:v>LCU/USD</x:v>
      </x:c>
      <x:c r="F745" s="20" t="n">
        <x:v>1</x:v>
      </x:c>
      <x:c r="G745" s="22" t="n">
        <x:f>IF(E745="LCU/USD",D745*F745,F745/D745)</x:f>
        <x:v>1.4855</x:v>
      </x:c>
      <x:c r="H745" s="12" t="str">
        <x:v>年均</x:v>
      </x:c>
      <x:c r="I745" s="12" t="str">
        <x:v>2000-01-01—2000-12-31</x:v>
      </x:c>
      <x:c r="J745" s="12" t="str">
        <x:v>FRB_CAD</x:v>
      </x:c>
      <x:c r="K745" s="12" t="str">
        <x:v>https://fred.stlouisfed.org/data/AEXCAUS</x:v>
      </x:c>
      <x:c r="L745" s="12" t="str"/>
      <x:c r="M745" s="12" t="str">
        <x:v>A：机构统计／原始统计表</x:v>
      </x:c>
    </x:row>
    <x:row r="746" ht="72" customHeight="1">
      <x:c r="A746" t="n">
        <x:v>2000</x:v>
      </x:c>
      <x:c r="B746" t="str">
        <x:v>JPY</x:v>
      </x:c>
      <x:c r="C746" s="12" t="str">
        <x:v>日元（JPY）</x:v>
      </x:c>
      <x:c r="D746" s="24" t="n">
        <x:v>107.804</x:v>
      </x:c>
      <x:c r="E746" s="20" t="str">
        <x:v>LCU/USD</x:v>
      </x:c>
      <x:c r="F746" s="20" t="n">
        <x:v>1</x:v>
      </x:c>
      <x:c r="G746" s="22" t="n">
        <x:f>IF(E746="LCU/USD",D746*F746,F746/D746)</x:f>
        <x:v>107.804</x:v>
      </x:c>
      <x:c r="H746" s="12" t="str">
        <x:v>年均</x:v>
      </x:c>
      <x:c r="I746" s="12" t="str">
        <x:v>2000-01-01—2000-12-31</x:v>
      </x:c>
      <x:c r="J746" s="12" t="str">
        <x:v>FRB_JPY</x:v>
      </x:c>
      <x:c r="K746" s="12" t="str">
        <x:v>https://fred.stlouisfed.org/data/AEXJPUS</x:v>
      </x:c>
      <x:c r="L746" s="12" t="str"/>
      <x:c r="M746" s="12" t="str">
        <x:v>A：机构统计／原始统计表</x:v>
      </x:c>
    </x:row>
    <x:row r="747" ht="72" customHeight="1">
      <x:c r="A747" t="n">
        <x:v>2000</x:v>
      </x:c>
      <x:c r="B747" t="str">
        <x:v>CHF</x:v>
      </x:c>
      <x:c r="C747" s="12" t="str">
        <x:v>瑞士法郎（CHF）</x:v>
      </x:c>
      <x:c r="D747" s="24" t="n">
        <x:v>1.6904</x:v>
      </x:c>
      <x:c r="E747" s="20" t="str">
        <x:v>LCU/USD</x:v>
      </x:c>
      <x:c r="F747" s="20" t="n">
        <x:v>1</x:v>
      </x:c>
      <x:c r="G747" s="22" t="n">
        <x:f>IF(E747="LCU/USD",D747*F747,F747/D747)</x:f>
        <x:v>1.6904</x:v>
      </x:c>
      <x:c r="H747" s="12" t="str">
        <x:v>年均</x:v>
      </x:c>
      <x:c r="I747" s="12" t="str">
        <x:v>2000-01-01—2000-12-31</x:v>
      </x:c>
      <x:c r="J747" s="12" t="str">
        <x:v>FRB_CHF</x:v>
      </x:c>
      <x:c r="K747" s="12" t="str">
        <x:v>https://fred.stlouisfed.org/data/AEXSZUS</x:v>
      </x:c>
      <x:c r="L747" s="12" t="str"/>
      <x:c r="M747" s="12" t="str">
        <x:v>A：机构统计／原始统计表</x:v>
      </x:c>
    </x:row>
    <x:row r="748" ht="72" customHeight="1">
      <x:c r="A748" t="n">
        <x:v>2000</x:v>
      </x:c>
      <x:c r="B748" t="str">
        <x:v>INR</x:v>
      </x:c>
      <x:c r="C748" s="12" t="str">
        <x:v>印度卢比（INR）</x:v>
      </x:c>
      <x:c r="D748" s="24" t="n">
        <x:v>44.9975</x:v>
      </x:c>
      <x:c r="E748" s="20" t="str">
        <x:v>LCU/USD</x:v>
      </x:c>
      <x:c r="F748" s="20" t="n">
        <x:v>1</x:v>
      </x:c>
      <x:c r="G748" s="22" t="n">
        <x:f>IF(E748="LCU/USD",D748*F748,F748/D748)</x:f>
        <x:v>44.9975</x:v>
      </x:c>
      <x:c r="H748" s="12" t="str">
        <x:v>年均</x:v>
      </x:c>
      <x:c r="I748" s="12" t="str">
        <x:v>2000-01-01—2000-12-31</x:v>
      </x:c>
      <x:c r="J748" s="12" t="str">
        <x:v>FRB_INR</x:v>
      </x:c>
      <x:c r="K748" s="12" t="str">
        <x:v>https://fred.stlouisfed.org/data/AEXINUS</x:v>
      </x:c>
      <x:c r="L748" s="12" t="str"/>
      <x:c r="M748" s="12" t="str">
        <x:v>A：机构统计／原始统计表</x:v>
      </x:c>
    </x:row>
    <x:row r="749" ht="72" customHeight="1">
      <x:c r="A749" t="n">
        <x:v>2000</x:v>
      </x:c>
      <x:c r="B749" t="str">
        <x:v>RUB</x:v>
      </x:c>
      <x:c r="C749" s="12" t="str">
        <x:v>俄罗斯卢布（RUB；1998币制）</x:v>
      </x:c>
      <x:c r="D749" s="24" t="n">
        <x:v>28.1170698145317</x:v>
      </x:c>
      <x:c r="E749" s="20" t="str">
        <x:v>LCU/USD</x:v>
      </x:c>
      <x:c r="F749" s="20" t="n">
        <x:v>1</x:v>
      </x:c>
      <x:c r="G749" s="22" t="n">
        <x:f>IF(E749="LCU/USD",D749*F749,F749/D749)</x:f>
        <x:v>28.1170698145317</x:v>
      </x:c>
      <x:c r="H749" s="12" t="str">
        <x:v>年均</x:v>
      </x:c>
      <x:c r="I749" s="12" t="str">
        <x:v>2000-01-01—2000-12-31</x:v>
      </x:c>
      <x:c r="J749" s="12" t="str">
        <x:v>OECD_RUB</x:v>
      </x:c>
      <x:c r="K749" s="12" t="str">
        <x:v>https://fred.stlouisfed.org/data/CCUSMA02RUA618N</x:v>
      </x:c>
      <x:c r="L749" s="12" t="str"/>
      <x:c r="M749" s="12" t="str">
        <x:v>A：机构统计／原始统计表</x:v>
      </x:c>
    </x:row>
    <x:row r="750" ht="72" customHeight="1">
      <x:c r="A750" t="n">
        <x:v>2000</x:v>
      </x:c>
      <x:c r="B750" t="str">
        <x:v>CNY</x:v>
      </x:c>
      <x:c r="C750" s="12" t="str">
        <x:v>人民币元（1955币制；CNY）</x:v>
      </x:c>
      <x:c r="D750" s="24" t="n">
        <x:v>8.2784</x:v>
      </x:c>
      <x:c r="E750" s="20" t="str">
        <x:v>LCU/USD</x:v>
      </x:c>
      <x:c r="F750" s="20" t="n">
        <x:v>1</x:v>
      </x:c>
      <x:c r="G750" s="22" t="n">
        <x:f>IF(E750="LCU/USD",D750*F750,F750/D750)</x:f>
        <x:v>8.2784</x:v>
      </x:c>
      <x:c r="H750" s="12" t="str">
        <x:v>年均</x:v>
      </x:c>
      <x:c r="I750" s="12" t="str">
        <x:v>2000-01-01—2000-12-31</x:v>
      </x:c>
      <x:c r="J750" s="12" t="str">
        <x:v>FRB_CNY</x:v>
      </x:c>
      <x:c r="K750" s="12" t="str">
        <x:v>https://fred.stlouisfed.org/data/AEXCHUS</x:v>
      </x:c>
      <x:c r="L750" s="12" t="str"/>
      <x:c r="M750" s="12" t="str">
        <x:v>A：机构统计／原始统计表</x:v>
      </x:c>
    </x:row>
    <x:row r="751" ht="72" customHeight="1">
      <x:c r="A751" t="n">
        <x:v>2000</x:v>
      </x:c>
      <x:c r="B751" t="str">
        <x:v>EUR</x:v>
      </x:c>
      <x:c r="C751" s="12" t="str">
        <x:v>欧元（EUR）</x:v>
      </x:c>
      <x:c r="D751" s="24" t="n">
        <x:v>0.9232</x:v>
      </x:c>
      <x:c r="E751" s="20" t="str">
        <x:v>USD/LCU</x:v>
      </x:c>
      <x:c r="F751" s="20" t="n">
        <x:v>1</x:v>
      </x:c>
      <x:c r="G751" s="22" t="n">
        <x:f>IF(E751="LCU/USD",D751*F751,F751/D751)</x:f>
        <x:v>1.0831889081455806</x:v>
      </x:c>
      <x:c r="H751" s="12" t="str">
        <x:v>年均</x:v>
      </x:c>
      <x:c r="I751" s="12" t="str">
        <x:v>2000-01-01—2000-12-31</x:v>
      </x:c>
      <x:c r="J751" s="12" t="str">
        <x:v>FRB_EUR</x:v>
      </x:c>
      <x:c r="K751" s="12" t="str">
        <x:v>https://fred.stlouisfed.org/data/AEXUSEU</x:v>
      </x:c>
      <x:c r="L751" s="12" t="str">
        <x:v>反向值由原报价均值取倒数；不等于反向日度汇率的算术平均。</x:v>
      </x:c>
      <x:c r="M751" s="12" t="str">
        <x:v>A：机构统计／原始统计表</x:v>
      </x:c>
    </x:row>
    <x:row r="752" ht="72" customHeight="1">
      <x:c r="A752" t="n">
        <x:v>2001</x:v>
      </x:c>
      <x:c r="B752" t="str">
        <x:v>GBP</x:v>
      </x:c>
      <x:c r="C752" s="12" t="str">
        <x:v>英镑（GBP）</x:v>
      </x:c>
      <x:c r="D752" s="24" t="n">
        <x:v>1.4396</x:v>
      </x:c>
      <x:c r="E752" s="20" t="str">
        <x:v>USD/LCU</x:v>
      </x:c>
      <x:c r="F752" s="20" t="n">
        <x:v>1</x:v>
      </x:c>
      <x:c r="G752" s="22" t="n">
        <x:f>IF(E752="LCU/USD",D752*F752,F752/D752)</x:f>
        <x:v>0.6946373992775771</x:v>
      </x:c>
      <x:c r="H752" s="12" t="str">
        <x:v>年均</x:v>
      </x:c>
      <x:c r="I752" s="12" t="str">
        <x:v>2001-01-01—2001-12-31</x:v>
      </x:c>
      <x:c r="J752" s="12" t="str">
        <x:v>FRB_GBP</x:v>
      </x:c>
      <x:c r="K752" s="12" t="str">
        <x:v>https://fred.stlouisfed.org/data/AEXUSUK</x:v>
      </x:c>
      <x:c r="L752" s="12" t="str">
        <x:v>反向值由原报价均值取倒数；不等于反向日度汇率的算术平均。</x:v>
      </x:c>
      <x:c r="M752" s="12" t="str">
        <x:v>A：机构统计／原始统计表</x:v>
      </x:c>
    </x:row>
    <x:row r="753" ht="72" customHeight="1">
      <x:c r="A753" t="n">
        <x:v>2001</x:v>
      </x:c>
      <x:c r="B753" t="str">
        <x:v>CAD</x:v>
      </x:c>
      <x:c r="C753" s="12" t="str">
        <x:v>加拿大元（CAD）</x:v>
      </x:c>
      <x:c r="D753" s="24" t="n">
        <x:v>1.5487</x:v>
      </x:c>
      <x:c r="E753" s="20" t="str">
        <x:v>LCU/USD</x:v>
      </x:c>
      <x:c r="F753" s="20" t="n">
        <x:v>1</x:v>
      </x:c>
      <x:c r="G753" s="22" t="n">
        <x:f>IF(E753="LCU/USD",D753*F753,F753/D753)</x:f>
        <x:v>1.5487</x:v>
      </x:c>
      <x:c r="H753" s="12" t="str">
        <x:v>年均</x:v>
      </x:c>
      <x:c r="I753" s="12" t="str">
        <x:v>2001-01-01—2001-12-31</x:v>
      </x:c>
      <x:c r="J753" s="12" t="str">
        <x:v>FRB_CAD</x:v>
      </x:c>
      <x:c r="K753" s="12" t="str">
        <x:v>https://fred.stlouisfed.org/data/AEXCAUS</x:v>
      </x:c>
      <x:c r="L753" s="12" t="str"/>
      <x:c r="M753" s="12" t="str">
        <x:v>A：机构统计／原始统计表</x:v>
      </x:c>
    </x:row>
    <x:row r="754" ht="72" customHeight="1">
      <x:c r="A754" t="n">
        <x:v>2001</x:v>
      </x:c>
      <x:c r="B754" t="str">
        <x:v>JPY</x:v>
      </x:c>
      <x:c r="C754" s="12" t="str">
        <x:v>日元（JPY）</x:v>
      </x:c>
      <x:c r="D754" s="24" t="n">
        <x:v>121.568</x:v>
      </x:c>
      <x:c r="E754" s="20" t="str">
        <x:v>LCU/USD</x:v>
      </x:c>
      <x:c r="F754" s="20" t="n">
        <x:v>1</x:v>
      </x:c>
      <x:c r="G754" s="22" t="n">
        <x:f>IF(E754="LCU/USD",D754*F754,F754/D754)</x:f>
        <x:v>121.568</x:v>
      </x:c>
      <x:c r="H754" s="12" t="str">
        <x:v>年均</x:v>
      </x:c>
      <x:c r="I754" s="12" t="str">
        <x:v>2001-01-01—2001-12-31</x:v>
      </x:c>
      <x:c r="J754" s="12" t="str">
        <x:v>FRB_JPY</x:v>
      </x:c>
      <x:c r="K754" s="12" t="str">
        <x:v>https://fred.stlouisfed.org/data/AEXJPUS</x:v>
      </x:c>
      <x:c r="L754" s="12" t="str"/>
      <x:c r="M754" s="12" t="str">
        <x:v>A：机构统计／原始统计表</x:v>
      </x:c>
    </x:row>
    <x:row r="755" ht="72" customHeight="1">
      <x:c r="A755" t="n">
        <x:v>2001</x:v>
      </x:c>
      <x:c r="B755" t="str">
        <x:v>CHF</x:v>
      </x:c>
      <x:c r="C755" s="12" t="str">
        <x:v>瑞士法郎（CHF）</x:v>
      </x:c>
      <x:c r="D755" s="24" t="n">
        <x:v>1.6891</x:v>
      </x:c>
      <x:c r="E755" s="20" t="str">
        <x:v>LCU/USD</x:v>
      </x:c>
      <x:c r="F755" s="20" t="n">
        <x:v>1</x:v>
      </x:c>
      <x:c r="G755" s="22" t="n">
        <x:f>IF(E755="LCU/USD",D755*F755,F755/D755)</x:f>
        <x:v>1.6891</x:v>
      </x:c>
      <x:c r="H755" s="12" t="str">
        <x:v>年均</x:v>
      </x:c>
      <x:c r="I755" s="12" t="str">
        <x:v>2001-01-01—2001-12-31</x:v>
      </x:c>
      <x:c r="J755" s="12" t="str">
        <x:v>FRB_CHF</x:v>
      </x:c>
      <x:c r="K755" s="12" t="str">
        <x:v>https://fred.stlouisfed.org/data/AEXSZUS</x:v>
      </x:c>
      <x:c r="L755" s="12" t="str"/>
      <x:c r="M755" s="12" t="str">
        <x:v>A：机构统计／原始统计表</x:v>
      </x:c>
    </x:row>
    <x:row r="756" ht="72" customHeight="1">
      <x:c r="A756" t="n">
        <x:v>2001</x:v>
      </x:c>
      <x:c r="B756" t="str">
        <x:v>INR</x:v>
      </x:c>
      <x:c r="C756" s="12" t="str">
        <x:v>印度卢比（INR）</x:v>
      </x:c>
      <x:c r="D756" s="24" t="n">
        <x:v>47.22</x:v>
      </x:c>
      <x:c r="E756" s="20" t="str">
        <x:v>LCU/USD</x:v>
      </x:c>
      <x:c r="F756" s="20" t="n">
        <x:v>1</x:v>
      </x:c>
      <x:c r="G756" s="22" t="n">
        <x:f>IF(E756="LCU/USD",D756*F756,F756/D756)</x:f>
        <x:v>47.22</x:v>
      </x:c>
      <x:c r="H756" s="12" t="str">
        <x:v>年均</x:v>
      </x:c>
      <x:c r="I756" s="12" t="str">
        <x:v>2001-01-01—2001-12-31</x:v>
      </x:c>
      <x:c r="J756" s="12" t="str">
        <x:v>FRB_INR</x:v>
      </x:c>
      <x:c r="K756" s="12" t="str">
        <x:v>https://fred.stlouisfed.org/data/AEXINUS</x:v>
      </x:c>
      <x:c r="L756" s="12" t="str"/>
      <x:c r="M756" s="12" t="str">
        <x:v>A：机构统计／原始统计表</x:v>
      </x:c>
    </x:row>
    <x:row r="757" ht="72" customHeight="1">
      <x:c r="A757" t="n">
        <x:v>2001</x:v>
      </x:c>
      <x:c r="B757" t="str">
        <x:v>RUB</x:v>
      </x:c>
      <x:c r="C757" s="12" t="str">
        <x:v>俄罗斯卢布（RUB；1998币制）</x:v>
      </x:c>
      <x:c r="D757" s="24" t="n">
        <x:v>29.1752722645507</x:v>
      </x:c>
      <x:c r="E757" s="20" t="str">
        <x:v>LCU/USD</x:v>
      </x:c>
      <x:c r="F757" s="20" t="n">
        <x:v>1</x:v>
      </x:c>
      <x:c r="G757" s="22" t="n">
        <x:f>IF(E757="LCU/USD",D757*F757,F757/D757)</x:f>
        <x:v>29.1752722645507</x:v>
      </x:c>
      <x:c r="H757" s="12" t="str">
        <x:v>年均</x:v>
      </x:c>
      <x:c r="I757" s="12" t="str">
        <x:v>2001-01-01—2001-12-31</x:v>
      </x:c>
      <x:c r="J757" s="12" t="str">
        <x:v>OECD_RUB</x:v>
      </x:c>
      <x:c r="K757" s="12" t="str">
        <x:v>https://fred.stlouisfed.org/data/CCUSMA02RUA618N</x:v>
      </x:c>
      <x:c r="L757" s="12" t="str"/>
      <x:c r="M757" s="12" t="str">
        <x:v>A：机构统计／原始统计表</x:v>
      </x:c>
    </x:row>
    <x:row r="758" ht="72" customHeight="1">
      <x:c r="A758" t="n">
        <x:v>2001</x:v>
      </x:c>
      <x:c r="B758" t="str">
        <x:v>CNY</x:v>
      </x:c>
      <x:c r="C758" s="12" t="str">
        <x:v>人民币元（1955币制；CNY）</x:v>
      </x:c>
      <x:c r="D758" s="24" t="n">
        <x:v>8.277</x:v>
      </x:c>
      <x:c r="E758" s="20" t="str">
        <x:v>LCU/USD</x:v>
      </x:c>
      <x:c r="F758" s="20" t="n">
        <x:v>1</x:v>
      </x:c>
      <x:c r="G758" s="22" t="n">
        <x:f>IF(E758="LCU/USD",D758*F758,F758/D758)</x:f>
        <x:v>8.277</x:v>
      </x:c>
      <x:c r="H758" s="12" t="str">
        <x:v>年均</x:v>
      </x:c>
      <x:c r="I758" s="12" t="str">
        <x:v>2001-01-01—2001-12-31</x:v>
      </x:c>
      <x:c r="J758" s="12" t="str">
        <x:v>FRB_CNY</x:v>
      </x:c>
      <x:c r="K758" s="12" t="str">
        <x:v>https://fred.stlouisfed.org/data/AEXCHUS</x:v>
      </x:c>
      <x:c r="L758" s="12" t="str"/>
      <x:c r="M758" s="12" t="str">
        <x:v>A：机构统计／原始统计表</x:v>
      </x:c>
    </x:row>
    <x:row r="759" ht="72" customHeight="1">
      <x:c r="A759" t="n">
        <x:v>2001</x:v>
      </x:c>
      <x:c r="B759" t="str">
        <x:v>EUR</x:v>
      </x:c>
      <x:c r="C759" s="12" t="str">
        <x:v>欧元（EUR）</x:v>
      </x:c>
      <x:c r="D759" s="24" t="n">
        <x:v>0.8952</x:v>
      </x:c>
      <x:c r="E759" s="20" t="str">
        <x:v>USD/LCU</x:v>
      </x:c>
      <x:c r="F759" s="20" t="n">
        <x:v>1</x:v>
      </x:c>
      <x:c r="G759" s="22" t="n">
        <x:f>IF(E759="LCU/USD",D759*F759,F759/D759)</x:f>
        <x:v>1.1170688114387846</x:v>
      </x:c>
      <x:c r="H759" s="12" t="str">
        <x:v>年均</x:v>
      </x:c>
      <x:c r="I759" s="12" t="str">
        <x:v>2001-01-01—2001-12-31</x:v>
      </x:c>
      <x:c r="J759" s="12" t="str">
        <x:v>FRB_EUR</x:v>
      </x:c>
      <x:c r="K759" s="12" t="str">
        <x:v>https://fred.stlouisfed.org/data/AEXUSEU</x:v>
      </x:c>
      <x:c r="L759" s="12" t="str">
        <x:v>反向值由原报价均值取倒数；不等于反向日度汇率的算术平均。</x:v>
      </x:c>
      <x:c r="M759" s="12" t="str">
        <x:v>A：机构统计／原始统计表</x:v>
      </x:c>
    </x:row>
    <x:row r="760" ht="72" customHeight="1">
      <x:c r="A760" t="n">
        <x:v>2002</x:v>
      </x:c>
      <x:c r="B760" t="str">
        <x:v>GBP</x:v>
      </x:c>
      <x:c r="C760" s="12" t="str">
        <x:v>英镑（GBP）</x:v>
      </x:c>
      <x:c r="D760" s="24" t="n">
        <x:v>1.5025</x:v>
      </x:c>
      <x:c r="E760" s="20" t="str">
        <x:v>USD/LCU</x:v>
      </x:c>
      <x:c r="F760" s="20" t="n">
        <x:v>1</x:v>
      </x:c>
      <x:c r="G760" s="22" t="n">
        <x:f>IF(E760="LCU/USD",D760*F760,F760/D760)</x:f>
        <x:v>0.6655574043261232</x:v>
      </x:c>
      <x:c r="H760" s="12" t="str">
        <x:v>年均</x:v>
      </x:c>
      <x:c r="I760" s="12" t="str">
        <x:v>2002-01-01—2002-12-31</x:v>
      </x:c>
      <x:c r="J760" s="12" t="str">
        <x:v>FRB_GBP</x:v>
      </x:c>
      <x:c r="K760" s="12" t="str">
        <x:v>https://fred.stlouisfed.org/data/AEXUSUK</x:v>
      </x:c>
      <x:c r="L760" s="12" t="str">
        <x:v>反向值由原报价均值取倒数；不等于反向日度汇率的算术平均。</x:v>
      </x:c>
      <x:c r="M760" s="12" t="str">
        <x:v>A：机构统计／原始统计表</x:v>
      </x:c>
    </x:row>
    <x:row r="761" ht="72" customHeight="1">
      <x:c r="A761" t="n">
        <x:v>2002</x:v>
      </x:c>
      <x:c r="B761" t="str">
        <x:v>CAD</x:v>
      </x:c>
      <x:c r="C761" s="12" t="str">
        <x:v>加拿大元（CAD）</x:v>
      </x:c>
      <x:c r="D761" s="24" t="n">
        <x:v>1.5704</x:v>
      </x:c>
      <x:c r="E761" s="20" t="str">
        <x:v>LCU/USD</x:v>
      </x:c>
      <x:c r="F761" s="20" t="n">
        <x:v>1</x:v>
      </x:c>
      <x:c r="G761" s="22" t="n">
        <x:f>IF(E761="LCU/USD",D761*F761,F761/D761)</x:f>
        <x:v>1.5704</x:v>
      </x:c>
      <x:c r="H761" s="12" t="str">
        <x:v>年均</x:v>
      </x:c>
      <x:c r="I761" s="12" t="str">
        <x:v>2002-01-01—2002-12-31</x:v>
      </x:c>
      <x:c r="J761" s="12" t="str">
        <x:v>FRB_CAD</x:v>
      </x:c>
      <x:c r="K761" s="12" t="str">
        <x:v>https://fred.stlouisfed.org/data/AEXCAUS</x:v>
      </x:c>
      <x:c r="L761" s="12" t="str"/>
      <x:c r="M761" s="12" t="str">
        <x:v>A：机构统计／原始统计表</x:v>
      </x:c>
    </x:row>
    <x:row r="762" ht="72" customHeight="1">
      <x:c r="A762" t="n">
        <x:v>2002</x:v>
      </x:c>
      <x:c r="B762" t="str">
        <x:v>JPY</x:v>
      </x:c>
      <x:c r="C762" s="12" t="str">
        <x:v>日元（JPY）</x:v>
      </x:c>
      <x:c r="D762" s="24" t="n">
        <x:v>125.2204</x:v>
      </x:c>
      <x:c r="E762" s="20" t="str">
        <x:v>LCU/USD</x:v>
      </x:c>
      <x:c r="F762" s="20" t="n">
        <x:v>1</x:v>
      </x:c>
      <x:c r="G762" s="22" t="n">
        <x:f>IF(E762="LCU/USD",D762*F762,F762/D762)</x:f>
        <x:v>125.2204</x:v>
      </x:c>
      <x:c r="H762" s="12" t="str">
        <x:v>年均</x:v>
      </x:c>
      <x:c r="I762" s="12" t="str">
        <x:v>2002-01-01—2002-12-31</x:v>
      </x:c>
      <x:c r="J762" s="12" t="str">
        <x:v>FRB_JPY</x:v>
      </x:c>
      <x:c r="K762" s="12" t="str">
        <x:v>https://fred.stlouisfed.org/data/AEXJPUS</x:v>
      </x:c>
      <x:c r="L762" s="12" t="str"/>
      <x:c r="M762" s="12" t="str">
        <x:v>A：机构统计／原始统计表</x:v>
      </x:c>
    </x:row>
    <x:row r="763" ht="72" customHeight="1">
      <x:c r="A763" t="n">
        <x:v>2002</x:v>
      </x:c>
      <x:c r="B763" t="str">
        <x:v>CHF</x:v>
      </x:c>
      <x:c r="C763" s="12" t="str">
        <x:v>瑞士法郎（CHF）</x:v>
      </x:c>
      <x:c r="D763" s="24" t="n">
        <x:v>1.5567</x:v>
      </x:c>
      <x:c r="E763" s="20" t="str">
        <x:v>LCU/USD</x:v>
      </x:c>
      <x:c r="F763" s="20" t="n">
        <x:v>1</x:v>
      </x:c>
      <x:c r="G763" s="22" t="n">
        <x:f>IF(E763="LCU/USD",D763*F763,F763/D763)</x:f>
        <x:v>1.5567</x:v>
      </x:c>
      <x:c r="H763" s="12" t="str">
        <x:v>年均</x:v>
      </x:c>
      <x:c r="I763" s="12" t="str">
        <x:v>2002-01-01—2002-12-31</x:v>
      </x:c>
      <x:c r="J763" s="12" t="str">
        <x:v>FRB_CHF</x:v>
      </x:c>
      <x:c r="K763" s="12" t="str">
        <x:v>https://fred.stlouisfed.org/data/AEXSZUS</x:v>
      </x:c>
      <x:c r="L763" s="12" t="str"/>
      <x:c r="M763" s="12" t="str">
        <x:v>A：机构统计／原始统计表</x:v>
      </x:c>
    </x:row>
    <x:row r="764" ht="72" customHeight="1">
      <x:c r="A764" t="n">
        <x:v>2002</x:v>
      </x:c>
      <x:c r="B764" t="str">
        <x:v>INR</x:v>
      </x:c>
      <x:c r="C764" s="12" t="str">
        <x:v>印度卢比（INR）</x:v>
      </x:c>
      <x:c r="D764" s="24" t="n">
        <x:v>48.6257</x:v>
      </x:c>
      <x:c r="E764" s="20" t="str">
        <x:v>LCU/USD</x:v>
      </x:c>
      <x:c r="F764" s="20" t="n">
        <x:v>1</x:v>
      </x:c>
      <x:c r="G764" s="22" t="n">
        <x:f>IF(E764="LCU/USD",D764*F764,F764/D764)</x:f>
        <x:v>48.6257</x:v>
      </x:c>
      <x:c r="H764" s="12" t="str">
        <x:v>年均</x:v>
      </x:c>
      <x:c r="I764" s="12" t="str">
        <x:v>2002-01-01—2002-12-31</x:v>
      </x:c>
      <x:c r="J764" s="12" t="str">
        <x:v>FRB_INR</x:v>
      </x:c>
      <x:c r="K764" s="12" t="str">
        <x:v>https://fred.stlouisfed.org/data/AEXINUS</x:v>
      </x:c>
      <x:c r="L764" s="12" t="str"/>
      <x:c r="M764" s="12" t="str">
        <x:v>A：机构统计／原始统计表</x:v>
      </x:c>
    </x:row>
    <x:row r="765" ht="72" customHeight="1">
      <x:c r="A765" t="n">
        <x:v>2002</x:v>
      </x:c>
      <x:c r="B765" t="str">
        <x:v>RUB</x:v>
      </x:c>
      <x:c r="C765" s="12" t="str">
        <x:v>俄罗斯卢布（RUB；1998币制）</x:v>
      </x:c>
      <x:c r="D765" s="24" t="n">
        <x:v>31.3755425125802</x:v>
      </x:c>
      <x:c r="E765" s="20" t="str">
        <x:v>LCU/USD</x:v>
      </x:c>
      <x:c r="F765" s="20" t="n">
        <x:v>1</x:v>
      </x:c>
      <x:c r="G765" s="22" t="n">
        <x:f>IF(E765="LCU/USD",D765*F765,F765/D765)</x:f>
        <x:v>31.3755425125802</x:v>
      </x:c>
      <x:c r="H765" s="12" t="str">
        <x:v>年均</x:v>
      </x:c>
      <x:c r="I765" s="12" t="str">
        <x:v>2002-01-01—2002-12-31</x:v>
      </x:c>
      <x:c r="J765" s="12" t="str">
        <x:v>OECD_RUB</x:v>
      </x:c>
      <x:c r="K765" s="12" t="str">
        <x:v>https://fred.stlouisfed.org/data/CCUSMA02RUA618N</x:v>
      </x:c>
      <x:c r="L765" s="12" t="str"/>
      <x:c r="M765" s="12" t="str">
        <x:v>A：机构统计／原始统计表</x:v>
      </x:c>
    </x:row>
    <x:row r="766" ht="72" customHeight="1">
      <x:c r="A766" t="n">
        <x:v>2002</x:v>
      </x:c>
      <x:c r="B766" t="str">
        <x:v>CNY</x:v>
      </x:c>
      <x:c r="C766" s="12" t="str">
        <x:v>人民币元（1955币制；CNY）</x:v>
      </x:c>
      <x:c r="D766" s="24" t="n">
        <x:v>8.2771</x:v>
      </x:c>
      <x:c r="E766" s="20" t="str">
        <x:v>LCU/USD</x:v>
      </x:c>
      <x:c r="F766" s="20" t="n">
        <x:v>1</x:v>
      </x:c>
      <x:c r="G766" s="22" t="n">
        <x:f>IF(E766="LCU/USD",D766*F766,F766/D766)</x:f>
        <x:v>8.2771</x:v>
      </x:c>
      <x:c r="H766" s="12" t="str">
        <x:v>年均</x:v>
      </x:c>
      <x:c r="I766" s="12" t="str">
        <x:v>2002-01-01—2002-12-31</x:v>
      </x:c>
      <x:c r="J766" s="12" t="str">
        <x:v>FRB_CNY</x:v>
      </x:c>
      <x:c r="K766" s="12" t="str">
        <x:v>https://fred.stlouisfed.org/data/AEXCHUS</x:v>
      </x:c>
      <x:c r="L766" s="12" t="str"/>
      <x:c r="M766" s="12" t="str">
        <x:v>A：机构统计／原始统计表</x:v>
      </x:c>
    </x:row>
    <x:row r="767" ht="72" customHeight="1">
      <x:c r="A767" t="n">
        <x:v>2002</x:v>
      </x:c>
      <x:c r="B767" t="str">
        <x:v>EUR</x:v>
      </x:c>
      <x:c r="C767" s="12" t="str">
        <x:v>欧元（EUR）</x:v>
      </x:c>
      <x:c r="D767" s="24" t="n">
        <x:v>0.9454</x:v>
      </x:c>
      <x:c r="E767" s="20" t="str">
        <x:v>USD/LCU</x:v>
      </x:c>
      <x:c r="F767" s="20" t="n">
        <x:v>1</x:v>
      </x:c>
      <x:c r="G767" s="22" t="n">
        <x:f>IF(E767="LCU/USD",D767*F767,F767/D767)</x:f>
        <x:v>1.0577533319229955</x:v>
      </x:c>
      <x:c r="H767" s="12" t="str">
        <x:v>年均</x:v>
      </x:c>
      <x:c r="I767" s="12" t="str">
        <x:v>2002-01-01—2002-12-31</x:v>
      </x:c>
      <x:c r="J767" s="12" t="str">
        <x:v>FRB_EUR</x:v>
      </x:c>
      <x:c r="K767" s="12" t="str">
        <x:v>https://fred.stlouisfed.org/data/AEXUSEU</x:v>
      </x:c>
      <x:c r="L767" s="12" t="str">
        <x:v>反向值由原报价均值取倒数；不等于反向日度汇率的算术平均。</x:v>
      </x:c>
      <x:c r="M767" s="12" t="str">
        <x:v>A：机构统计／原始统计表</x:v>
      </x:c>
    </x:row>
    <x:row r="768" ht="72" customHeight="1">
      <x:c r="A768" t="n">
        <x:v>2003</x:v>
      </x:c>
      <x:c r="B768" t="str">
        <x:v>GBP</x:v>
      </x:c>
      <x:c r="C768" s="12" t="str">
        <x:v>英镑（GBP）</x:v>
      </x:c>
      <x:c r="D768" s="24" t="n">
        <x:v>1.6347</x:v>
      </x:c>
      <x:c r="E768" s="20" t="str">
        <x:v>USD/LCU</x:v>
      </x:c>
      <x:c r="F768" s="20" t="n">
        <x:v>1</x:v>
      </x:c>
      <x:c r="G768" s="22" t="n">
        <x:f>IF(E768="LCU/USD",D768*F768,F768/D768)</x:f>
        <x:v>0.6117330397014743</x:v>
      </x:c>
      <x:c r="H768" s="12" t="str">
        <x:v>年均</x:v>
      </x:c>
      <x:c r="I768" s="12" t="str">
        <x:v>2003-01-01—2003-12-31</x:v>
      </x:c>
      <x:c r="J768" s="12" t="str">
        <x:v>FRB_GBP</x:v>
      </x:c>
      <x:c r="K768" s="12" t="str">
        <x:v>https://fred.stlouisfed.org/data/AEXUSUK</x:v>
      </x:c>
      <x:c r="L768" s="12" t="str">
        <x:v>反向值由原报价均值取倒数；不等于反向日度汇率的算术平均。</x:v>
      </x:c>
      <x:c r="M768" s="12" t="str">
        <x:v>A：机构统计／原始统计表</x:v>
      </x:c>
    </x:row>
    <x:row r="769" ht="72" customHeight="1">
      <x:c r="A769" t="n">
        <x:v>2003</x:v>
      </x:c>
      <x:c r="B769" t="str">
        <x:v>CAD</x:v>
      </x:c>
      <x:c r="C769" s="12" t="str">
        <x:v>加拿大元（CAD）</x:v>
      </x:c>
      <x:c r="D769" s="24" t="n">
        <x:v>1.4008</x:v>
      </x:c>
      <x:c r="E769" s="20" t="str">
        <x:v>LCU/USD</x:v>
      </x:c>
      <x:c r="F769" s="20" t="n">
        <x:v>1</x:v>
      </x:c>
      <x:c r="G769" s="22" t="n">
        <x:f>IF(E769="LCU/USD",D769*F769,F769/D769)</x:f>
        <x:v>1.4008</x:v>
      </x:c>
      <x:c r="H769" s="12" t="str">
        <x:v>年均</x:v>
      </x:c>
      <x:c r="I769" s="12" t="str">
        <x:v>2003-01-01—2003-12-31</x:v>
      </x:c>
      <x:c r="J769" s="12" t="str">
        <x:v>FRB_CAD</x:v>
      </x:c>
      <x:c r="K769" s="12" t="str">
        <x:v>https://fred.stlouisfed.org/data/AEXCAUS</x:v>
      </x:c>
      <x:c r="L769" s="12" t="str"/>
      <x:c r="M769" s="12" t="str">
        <x:v>A：机构统计／原始统计表</x:v>
      </x:c>
    </x:row>
    <x:row r="770" ht="72" customHeight="1">
      <x:c r="A770" t="n">
        <x:v>2003</x:v>
      </x:c>
      <x:c r="B770" t="str">
        <x:v>JPY</x:v>
      </x:c>
      <x:c r="C770" s="12" t="str">
        <x:v>日元（JPY）</x:v>
      </x:c>
      <x:c r="D770" s="24" t="n">
        <x:v>115.9387</x:v>
      </x:c>
      <x:c r="E770" s="20" t="str">
        <x:v>LCU/USD</x:v>
      </x:c>
      <x:c r="F770" s="20" t="n">
        <x:v>1</x:v>
      </x:c>
      <x:c r="G770" s="22" t="n">
        <x:f>IF(E770="LCU/USD",D770*F770,F770/D770)</x:f>
        <x:v>115.9387</x:v>
      </x:c>
      <x:c r="H770" s="12" t="str">
        <x:v>年均</x:v>
      </x:c>
      <x:c r="I770" s="12" t="str">
        <x:v>2003-01-01—2003-12-31</x:v>
      </x:c>
      <x:c r="J770" s="12" t="str">
        <x:v>FRB_JPY</x:v>
      </x:c>
      <x:c r="K770" s="12" t="str">
        <x:v>https://fred.stlouisfed.org/data/AEXJPUS</x:v>
      </x:c>
      <x:c r="L770" s="12" t="str"/>
      <x:c r="M770" s="12" t="str">
        <x:v>A：机构统计／原始统计表</x:v>
      </x:c>
    </x:row>
    <x:row r="771" ht="72" customHeight="1">
      <x:c r="A771" t="n">
        <x:v>2003</x:v>
      </x:c>
      <x:c r="B771" t="str">
        <x:v>CHF</x:v>
      </x:c>
      <x:c r="C771" s="12" t="str">
        <x:v>瑞士法郎（CHF）</x:v>
      </x:c>
      <x:c r="D771" s="24" t="n">
        <x:v>1.345</x:v>
      </x:c>
      <x:c r="E771" s="20" t="str">
        <x:v>LCU/USD</x:v>
      </x:c>
      <x:c r="F771" s="20" t="n">
        <x:v>1</x:v>
      </x:c>
      <x:c r="G771" s="22" t="n">
        <x:f>IF(E771="LCU/USD",D771*F771,F771/D771)</x:f>
        <x:v>1.345</x:v>
      </x:c>
      <x:c r="H771" s="12" t="str">
        <x:v>年均</x:v>
      </x:c>
      <x:c r="I771" s="12" t="str">
        <x:v>2003-01-01—2003-12-31</x:v>
      </x:c>
      <x:c r="J771" s="12" t="str">
        <x:v>FRB_CHF</x:v>
      </x:c>
      <x:c r="K771" s="12" t="str">
        <x:v>https://fred.stlouisfed.org/data/AEXSZUS</x:v>
      </x:c>
      <x:c r="L771" s="12" t="str"/>
      <x:c r="M771" s="12" t="str">
        <x:v>A：机构统计／原始统计表</x:v>
      </x:c>
    </x:row>
    <x:row r="772" ht="72" customHeight="1">
      <x:c r="A772" t="n">
        <x:v>2003</x:v>
      </x:c>
      <x:c r="B772" t="str">
        <x:v>INR</x:v>
      </x:c>
      <x:c r="C772" s="12" t="str">
        <x:v>印度卢比（INR）</x:v>
      </x:c>
      <x:c r="D772" s="24" t="n">
        <x:v>46.5908</x:v>
      </x:c>
      <x:c r="E772" s="20" t="str">
        <x:v>LCU/USD</x:v>
      </x:c>
      <x:c r="F772" s="20" t="n">
        <x:v>1</x:v>
      </x:c>
      <x:c r="G772" s="22" t="n">
        <x:f>IF(E772="LCU/USD",D772*F772,F772/D772)</x:f>
        <x:v>46.5908</x:v>
      </x:c>
      <x:c r="H772" s="12" t="str">
        <x:v>年均</x:v>
      </x:c>
      <x:c r="I772" s="12" t="str">
        <x:v>2003-01-01—2003-12-31</x:v>
      </x:c>
      <x:c r="J772" s="12" t="str">
        <x:v>FRB_INR</x:v>
      </x:c>
      <x:c r="K772" s="12" t="str">
        <x:v>https://fred.stlouisfed.org/data/AEXINUS</x:v>
      </x:c>
      <x:c r="L772" s="12" t="str"/>
      <x:c r="M772" s="12" t="str">
        <x:v>A：机构统计／原始统计表</x:v>
      </x:c>
    </x:row>
    <x:row r="773" ht="72" customHeight="1">
      <x:c r="A773" t="n">
        <x:v>2003</x:v>
      </x:c>
      <x:c r="B773" t="str">
        <x:v>RUB</x:v>
      </x:c>
      <x:c r="C773" s="12" t="str">
        <x:v>俄罗斯卢布（RUB；1998币制）</x:v>
      </x:c>
      <x:c r="D773" s="24" t="n">
        <x:v>30.6915097450951</x:v>
      </x:c>
      <x:c r="E773" s="20" t="str">
        <x:v>LCU/USD</x:v>
      </x:c>
      <x:c r="F773" s="20" t="n">
        <x:v>1</x:v>
      </x:c>
      <x:c r="G773" s="22" t="n">
        <x:f>IF(E773="LCU/USD",D773*F773,F773/D773)</x:f>
        <x:v>30.6915097450951</x:v>
      </x:c>
      <x:c r="H773" s="12" t="str">
        <x:v>年均</x:v>
      </x:c>
      <x:c r="I773" s="12" t="str">
        <x:v>2003-01-01—2003-12-31</x:v>
      </x:c>
      <x:c r="J773" s="12" t="str">
        <x:v>OECD_RUB</x:v>
      </x:c>
      <x:c r="K773" s="12" t="str">
        <x:v>https://fred.stlouisfed.org/data/CCUSMA02RUA618N</x:v>
      </x:c>
      <x:c r="L773" s="12" t="str"/>
      <x:c r="M773" s="12" t="str">
        <x:v>A：机构统计／原始统计表</x:v>
      </x:c>
    </x:row>
    <x:row r="774" ht="72" customHeight="1">
      <x:c r="A774" t="n">
        <x:v>2003</x:v>
      </x:c>
      <x:c r="B774" t="str">
        <x:v>CNY</x:v>
      </x:c>
      <x:c r="C774" s="12" t="str">
        <x:v>人民币元（1955币制；CNY）</x:v>
      </x:c>
      <x:c r="D774" s="24" t="n">
        <x:v>8.2772</x:v>
      </x:c>
      <x:c r="E774" s="20" t="str">
        <x:v>LCU/USD</x:v>
      </x:c>
      <x:c r="F774" s="20" t="n">
        <x:v>1</x:v>
      </x:c>
      <x:c r="G774" s="22" t="n">
        <x:f>IF(E774="LCU/USD",D774*F774,F774/D774)</x:f>
        <x:v>8.2772</x:v>
      </x:c>
      <x:c r="H774" s="12" t="str">
        <x:v>年均</x:v>
      </x:c>
      <x:c r="I774" s="12" t="str">
        <x:v>2003-01-01—2003-12-31</x:v>
      </x:c>
      <x:c r="J774" s="12" t="str">
        <x:v>FRB_CNY</x:v>
      </x:c>
      <x:c r="K774" s="12" t="str">
        <x:v>https://fred.stlouisfed.org/data/AEXCHUS</x:v>
      </x:c>
      <x:c r="L774" s="12" t="str"/>
      <x:c r="M774" s="12" t="str">
        <x:v>A：机构统计／原始统计表</x:v>
      </x:c>
    </x:row>
    <x:row r="775" ht="72" customHeight="1">
      <x:c r="A775" t="n">
        <x:v>2003</x:v>
      </x:c>
      <x:c r="B775" t="str">
        <x:v>EUR</x:v>
      </x:c>
      <x:c r="C775" s="12" t="str">
        <x:v>欧元（EUR）</x:v>
      </x:c>
      <x:c r="D775" s="24" t="n">
        <x:v>1.1321</x:v>
      </x:c>
      <x:c r="E775" s="20" t="str">
        <x:v>USD/LCU</x:v>
      </x:c>
      <x:c r="F775" s="20" t="n">
        <x:v>1</x:v>
      </x:c>
      <x:c r="G775" s="22" t="n">
        <x:f>IF(E775="LCU/USD",D775*F775,F775/D775)</x:f>
        <x:v>0.8833141948591113</x:v>
      </x:c>
      <x:c r="H775" s="12" t="str">
        <x:v>年均</x:v>
      </x:c>
      <x:c r="I775" s="12" t="str">
        <x:v>2003-01-01—2003-12-31</x:v>
      </x:c>
      <x:c r="J775" s="12" t="str">
        <x:v>FRB_EUR</x:v>
      </x:c>
      <x:c r="K775" s="12" t="str">
        <x:v>https://fred.stlouisfed.org/data/AEXUSEU</x:v>
      </x:c>
      <x:c r="L775" s="12" t="str">
        <x:v>反向值由原报价均值取倒数；不等于反向日度汇率的算术平均。</x:v>
      </x:c>
      <x:c r="M775" s="12" t="str">
        <x:v>A：机构统计／原始统计表</x:v>
      </x:c>
    </x:row>
    <x:row r="776" ht="72" customHeight="1">
      <x:c r="A776" t="n">
        <x:v>2004</x:v>
      </x:c>
      <x:c r="B776" t="str">
        <x:v>GBP</x:v>
      </x:c>
      <x:c r="C776" s="12" t="str">
        <x:v>英镑（GBP）</x:v>
      </x:c>
      <x:c r="D776" s="24" t="n">
        <x:v>1.833</x:v>
      </x:c>
      <x:c r="E776" s="20" t="str">
        <x:v>USD/LCU</x:v>
      </x:c>
      <x:c r="F776" s="20" t="n">
        <x:v>1</x:v>
      </x:c>
      <x:c r="G776" s="22" t="n">
        <x:f>IF(E776="LCU/USD",D776*F776,F776/D776)</x:f>
        <x:v>0.5455537370430987</x:v>
      </x:c>
      <x:c r="H776" s="12" t="str">
        <x:v>年均</x:v>
      </x:c>
      <x:c r="I776" s="12" t="str">
        <x:v>2004-01-01—2004-12-31</x:v>
      </x:c>
      <x:c r="J776" s="12" t="str">
        <x:v>FRB_GBP</x:v>
      </x:c>
      <x:c r="K776" s="12" t="str">
        <x:v>https://fred.stlouisfed.org/data/AEXUSUK</x:v>
      </x:c>
      <x:c r="L776" s="12" t="str">
        <x:v>反向值由原报价均值取倒数；不等于反向日度汇率的算术平均。</x:v>
      </x:c>
      <x:c r="M776" s="12" t="str">
        <x:v>A：机构统计／原始统计表</x:v>
      </x:c>
    </x:row>
    <x:row r="777" ht="72" customHeight="1">
      <x:c r="A777" t="n">
        <x:v>2004</x:v>
      </x:c>
      <x:c r="B777" t="str">
        <x:v>CAD</x:v>
      </x:c>
      <x:c r="C777" s="12" t="str">
        <x:v>加拿大元（CAD）</x:v>
      </x:c>
      <x:c r="D777" s="24" t="n">
        <x:v>1.3017</x:v>
      </x:c>
      <x:c r="E777" s="20" t="str">
        <x:v>LCU/USD</x:v>
      </x:c>
      <x:c r="F777" s="20" t="n">
        <x:v>1</x:v>
      </x:c>
      <x:c r="G777" s="22" t="n">
        <x:f>IF(E777="LCU/USD",D777*F777,F777/D777)</x:f>
        <x:v>1.3017</x:v>
      </x:c>
      <x:c r="H777" s="12" t="str">
        <x:v>年均</x:v>
      </x:c>
      <x:c r="I777" s="12" t="str">
        <x:v>2004-01-01—2004-12-31</x:v>
      </x:c>
      <x:c r="J777" s="12" t="str">
        <x:v>FRB_CAD</x:v>
      </x:c>
      <x:c r="K777" s="12" t="str">
        <x:v>https://fred.stlouisfed.org/data/AEXCAUS</x:v>
      </x:c>
      <x:c r="L777" s="12" t="str"/>
      <x:c r="M777" s="12" t="str">
        <x:v>A：机构统计／原始统计表</x:v>
      </x:c>
    </x:row>
    <x:row r="778" ht="72" customHeight="1">
      <x:c r="A778" t="n">
        <x:v>2004</x:v>
      </x:c>
      <x:c r="B778" t="str">
        <x:v>JPY</x:v>
      </x:c>
      <x:c r="C778" s="12" t="str">
        <x:v>日元（JPY）</x:v>
      </x:c>
      <x:c r="D778" s="24" t="n">
        <x:v>108.1508</x:v>
      </x:c>
      <x:c r="E778" s="20" t="str">
        <x:v>LCU/USD</x:v>
      </x:c>
      <x:c r="F778" s="20" t="n">
        <x:v>1</x:v>
      </x:c>
      <x:c r="G778" s="22" t="n">
        <x:f>IF(E778="LCU/USD",D778*F778,F778/D778)</x:f>
        <x:v>108.1508</x:v>
      </x:c>
      <x:c r="H778" s="12" t="str">
        <x:v>年均</x:v>
      </x:c>
      <x:c r="I778" s="12" t="str">
        <x:v>2004-01-01—2004-12-31</x:v>
      </x:c>
      <x:c r="J778" s="12" t="str">
        <x:v>FRB_JPY</x:v>
      </x:c>
      <x:c r="K778" s="12" t="str">
        <x:v>https://fred.stlouisfed.org/data/AEXJPUS</x:v>
      </x:c>
      <x:c r="L778" s="12" t="str"/>
      <x:c r="M778" s="12" t="str">
        <x:v>A：机构统计／原始统计表</x:v>
      </x:c>
    </x:row>
    <x:row r="779" ht="72" customHeight="1">
      <x:c r="A779" t="n">
        <x:v>2004</x:v>
      </x:c>
      <x:c r="B779" t="str">
        <x:v>CHF</x:v>
      </x:c>
      <x:c r="C779" s="12" t="str">
        <x:v>瑞士法郎（CHF）</x:v>
      </x:c>
      <x:c r="D779" s="24" t="n">
        <x:v>1.2428</x:v>
      </x:c>
      <x:c r="E779" s="20" t="str">
        <x:v>LCU/USD</x:v>
      </x:c>
      <x:c r="F779" s="20" t="n">
        <x:v>1</x:v>
      </x:c>
      <x:c r="G779" s="22" t="n">
        <x:f>IF(E779="LCU/USD",D779*F779,F779/D779)</x:f>
        <x:v>1.2428</x:v>
      </x:c>
      <x:c r="H779" s="12" t="str">
        <x:v>年均</x:v>
      </x:c>
      <x:c r="I779" s="12" t="str">
        <x:v>2004-01-01—2004-12-31</x:v>
      </x:c>
      <x:c r="J779" s="12" t="str">
        <x:v>FRB_CHF</x:v>
      </x:c>
      <x:c r="K779" s="12" t="str">
        <x:v>https://fred.stlouisfed.org/data/AEXSZUS</x:v>
      </x:c>
      <x:c r="L779" s="12" t="str"/>
      <x:c r="M779" s="12" t="str">
        <x:v>A：机构统计／原始统计表</x:v>
      </x:c>
    </x:row>
    <x:row r="780" ht="72" customHeight="1">
      <x:c r="A780" t="n">
        <x:v>2004</x:v>
      </x:c>
      <x:c r="B780" t="str">
        <x:v>INR</x:v>
      </x:c>
      <x:c r="C780" s="12" t="str">
        <x:v>印度卢比（INR）</x:v>
      </x:c>
      <x:c r="D780" s="24" t="n">
        <x:v>45.261</x:v>
      </x:c>
      <x:c r="E780" s="20" t="str">
        <x:v>LCU/USD</x:v>
      </x:c>
      <x:c r="F780" s="20" t="n">
        <x:v>1</x:v>
      </x:c>
      <x:c r="G780" s="22" t="n">
        <x:f>IF(E780="LCU/USD",D780*F780,F780/D780)</x:f>
        <x:v>45.261</x:v>
      </x:c>
      <x:c r="H780" s="12" t="str">
        <x:v>年均</x:v>
      </x:c>
      <x:c r="I780" s="12" t="str">
        <x:v>2004-01-01—2004-12-31</x:v>
      </x:c>
      <x:c r="J780" s="12" t="str">
        <x:v>FRB_INR</x:v>
      </x:c>
      <x:c r="K780" s="12" t="str">
        <x:v>https://fred.stlouisfed.org/data/AEXINUS</x:v>
      </x:c>
      <x:c r="L780" s="12" t="str"/>
      <x:c r="M780" s="12" t="str">
        <x:v>A：机构统计／原始统计表</x:v>
      </x:c>
    </x:row>
    <x:row r="781" ht="72" customHeight="1">
      <x:c r="A781" t="n">
        <x:v>2004</x:v>
      </x:c>
      <x:c r="B781" t="str">
        <x:v>RUB</x:v>
      </x:c>
      <x:c r="C781" s="12" t="str">
        <x:v>俄罗斯卢布（RUB；1998币制）</x:v>
      </x:c>
      <x:c r="D781" s="24" t="n">
        <x:v>28.7991634655537</x:v>
      </x:c>
      <x:c r="E781" s="20" t="str">
        <x:v>LCU/USD</x:v>
      </x:c>
      <x:c r="F781" s="20" t="n">
        <x:v>1</x:v>
      </x:c>
      <x:c r="G781" s="22" t="n">
        <x:f>IF(E781="LCU/USD",D781*F781,F781/D781)</x:f>
        <x:v>28.7991634655537</x:v>
      </x:c>
      <x:c r="H781" s="12" t="str">
        <x:v>年均</x:v>
      </x:c>
      <x:c r="I781" s="12" t="str">
        <x:v>2004-01-01—2004-12-31</x:v>
      </x:c>
      <x:c r="J781" s="12" t="str">
        <x:v>OECD_RUB</x:v>
      </x:c>
      <x:c r="K781" s="12" t="str">
        <x:v>https://fred.stlouisfed.org/data/CCUSMA02RUA618N</x:v>
      </x:c>
      <x:c r="L781" s="12" t="str"/>
      <x:c r="M781" s="12" t="str">
        <x:v>A：机构统计／原始统计表</x:v>
      </x:c>
    </x:row>
    <x:row r="782" ht="72" customHeight="1">
      <x:c r="A782" t="n">
        <x:v>2004</x:v>
      </x:c>
      <x:c r="B782" t="str">
        <x:v>CNY</x:v>
      </x:c>
      <x:c r="C782" s="12" t="str">
        <x:v>人民币元（1955币制；CNY）</x:v>
      </x:c>
      <x:c r="D782" s="24" t="n">
        <x:v>8.2768</x:v>
      </x:c>
      <x:c r="E782" s="20" t="str">
        <x:v>LCU/USD</x:v>
      </x:c>
      <x:c r="F782" s="20" t="n">
        <x:v>1</x:v>
      </x:c>
      <x:c r="G782" s="22" t="n">
        <x:f>IF(E782="LCU/USD",D782*F782,F782/D782)</x:f>
        <x:v>8.2768</x:v>
      </x:c>
      <x:c r="H782" s="12" t="str">
        <x:v>年均</x:v>
      </x:c>
      <x:c r="I782" s="12" t="str">
        <x:v>2004-01-01—2004-12-31</x:v>
      </x:c>
      <x:c r="J782" s="12" t="str">
        <x:v>FRB_CNY</x:v>
      </x:c>
      <x:c r="K782" s="12" t="str">
        <x:v>https://fred.stlouisfed.org/data/AEXCHUS</x:v>
      </x:c>
      <x:c r="L782" s="12" t="str"/>
      <x:c r="M782" s="12" t="str">
        <x:v>A：机构统计／原始统计表</x:v>
      </x:c>
    </x:row>
    <x:row r="783" ht="72" customHeight="1">
      <x:c r="A783" t="n">
        <x:v>2004</x:v>
      </x:c>
      <x:c r="B783" t="str">
        <x:v>EUR</x:v>
      </x:c>
      <x:c r="C783" s="12" t="str">
        <x:v>欧元（EUR）</x:v>
      </x:c>
      <x:c r="D783" s="24" t="n">
        <x:v>1.2438</x:v>
      </x:c>
      <x:c r="E783" s="20" t="str">
        <x:v>USD/LCU</x:v>
      </x:c>
      <x:c r="F783" s="20" t="n">
        <x:v>1</x:v>
      </x:c>
      <x:c r="G783" s="22" t="n">
        <x:f>IF(E783="LCU/USD",D783*F783,F783/D783)</x:f>
        <x:v>0.8039877793857533</x:v>
      </x:c>
      <x:c r="H783" s="12" t="str">
        <x:v>年均</x:v>
      </x:c>
      <x:c r="I783" s="12" t="str">
        <x:v>2004-01-01—2004-12-31</x:v>
      </x:c>
      <x:c r="J783" s="12" t="str">
        <x:v>FRB_EUR</x:v>
      </x:c>
      <x:c r="K783" s="12" t="str">
        <x:v>https://fred.stlouisfed.org/data/AEXUSEU</x:v>
      </x:c>
      <x:c r="L783" s="12" t="str">
        <x:v>反向值由原报价均值取倒数；不等于反向日度汇率的算术平均。</x:v>
      </x:c>
      <x:c r="M783" s="12" t="str">
        <x:v>A：机构统计／原始统计表</x:v>
      </x:c>
    </x:row>
    <x:row r="784" ht="72" customHeight="1">
      <x:c r="A784" t="n">
        <x:v>2005</x:v>
      </x:c>
      <x:c r="B784" t="str">
        <x:v>GBP</x:v>
      </x:c>
      <x:c r="C784" s="12" t="str">
        <x:v>英镑（GBP）</x:v>
      </x:c>
      <x:c r="D784" s="24" t="n">
        <x:v>1.8204</x:v>
      </x:c>
      <x:c r="E784" s="20" t="str">
        <x:v>USD/LCU</x:v>
      </x:c>
      <x:c r="F784" s="20" t="n">
        <x:v>1</x:v>
      </x:c>
      <x:c r="G784" s="22" t="n">
        <x:f>IF(E784="LCU/USD",D784*F784,F784/D784)</x:f>
        <x:v>0.5493298176225005</x:v>
      </x:c>
      <x:c r="H784" s="12" t="str">
        <x:v>年均</x:v>
      </x:c>
      <x:c r="I784" s="12" t="str">
        <x:v>2005-01-01—2005-12-31</x:v>
      </x:c>
      <x:c r="J784" s="12" t="str">
        <x:v>FRB_GBP</x:v>
      </x:c>
      <x:c r="K784" s="12" t="str">
        <x:v>https://fred.stlouisfed.org/data/AEXUSUK</x:v>
      </x:c>
      <x:c r="L784" s="12" t="str">
        <x:v>反向值由原报价均值取倒数；不等于反向日度汇率的算术平均。</x:v>
      </x:c>
      <x:c r="M784" s="12" t="str">
        <x:v>A：机构统计／原始统计表</x:v>
      </x:c>
    </x:row>
    <x:row r="785" ht="72" customHeight="1">
      <x:c r="A785" t="n">
        <x:v>2005</x:v>
      </x:c>
      <x:c r="B785" t="str">
        <x:v>CAD</x:v>
      </x:c>
      <x:c r="C785" s="12" t="str">
        <x:v>加拿大元（CAD）</x:v>
      </x:c>
      <x:c r="D785" s="24" t="n">
        <x:v>1.2115</x:v>
      </x:c>
      <x:c r="E785" s="20" t="str">
        <x:v>LCU/USD</x:v>
      </x:c>
      <x:c r="F785" s="20" t="n">
        <x:v>1</x:v>
      </x:c>
      <x:c r="G785" s="22" t="n">
        <x:f>IF(E785="LCU/USD",D785*F785,F785/D785)</x:f>
        <x:v>1.2115</x:v>
      </x:c>
      <x:c r="H785" s="12" t="str">
        <x:v>年均</x:v>
      </x:c>
      <x:c r="I785" s="12" t="str">
        <x:v>2005-01-01—2005-12-31</x:v>
      </x:c>
      <x:c r="J785" s="12" t="str">
        <x:v>FRB_CAD</x:v>
      </x:c>
      <x:c r="K785" s="12" t="str">
        <x:v>https://fred.stlouisfed.org/data/AEXCAUS</x:v>
      </x:c>
      <x:c r="L785" s="12" t="str"/>
      <x:c r="M785" s="12" t="str">
        <x:v>A：机构统计／原始统计表</x:v>
      </x:c>
    </x:row>
    <x:row r="786" ht="72" customHeight="1">
      <x:c r="A786" t="n">
        <x:v>2005</x:v>
      </x:c>
      <x:c r="B786" t="str">
        <x:v>JPY</x:v>
      </x:c>
      <x:c r="C786" s="12" t="str">
        <x:v>日元（JPY）</x:v>
      </x:c>
      <x:c r="D786" s="24" t="n">
        <x:v>110.1069</x:v>
      </x:c>
      <x:c r="E786" s="20" t="str">
        <x:v>LCU/USD</x:v>
      </x:c>
      <x:c r="F786" s="20" t="n">
        <x:v>1</x:v>
      </x:c>
      <x:c r="G786" s="22" t="n">
        <x:f>IF(E786="LCU/USD",D786*F786,F786/D786)</x:f>
        <x:v>110.1069</x:v>
      </x:c>
      <x:c r="H786" s="12" t="str">
        <x:v>年均</x:v>
      </x:c>
      <x:c r="I786" s="12" t="str">
        <x:v>2005-01-01—2005-12-31</x:v>
      </x:c>
      <x:c r="J786" s="12" t="str">
        <x:v>FRB_JPY</x:v>
      </x:c>
      <x:c r="K786" s="12" t="str">
        <x:v>https://fred.stlouisfed.org/data/AEXJPUS</x:v>
      </x:c>
      <x:c r="L786" s="12" t="str"/>
      <x:c r="M786" s="12" t="str">
        <x:v>A：机构统计／原始统计表</x:v>
      </x:c>
    </x:row>
    <x:row r="787" ht="72" customHeight="1">
      <x:c r="A787" t="n">
        <x:v>2005</x:v>
      </x:c>
      <x:c r="B787" t="str">
        <x:v>CHF</x:v>
      </x:c>
      <x:c r="C787" s="12" t="str">
        <x:v>瑞士法郎（CHF）</x:v>
      </x:c>
      <x:c r="D787" s="24" t="n">
        <x:v>1.2459</x:v>
      </x:c>
      <x:c r="E787" s="20" t="str">
        <x:v>LCU/USD</x:v>
      </x:c>
      <x:c r="F787" s="20" t="n">
        <x:v>1</x:v>
      </x:c>
      <x:c r="G787" s="22" t="n">
        <x:f>IF(E787="LCU/USD",D787*F787,F787/D787)</x:f>
        <x:v>1.2459</x:v>
      </x:c>
      <x:c r="H787" s="12" t="str">
        <x:v>年均</x:v>
      </x:c>
      <x:c r="I787" s="12" t="str">
        <x:v>2005-01-01—2005-12-31</x:v>
      </x:c>
      <x:c r="J787" s="12" t="str">
        <x:v>FRB_CHF</x:v>
      </x:c>
      <x:c r="K787" s="12" t="str">
        <x:v>https://fred.stlouisfed.org/data/AEXSZUS</x:v>
      </x:c>
      <x:c r="L787" s="12" t="str"/>
      <x:c r="M787" s="12" t="str">
        <x:v>A：机构统计／原始统计表</x:v>
      </x:c>
    </x:row>
    <x:row r="788" ht="72" customHeight="1">
      <x:c r="A788" t="n">
        <x:v>2005</x:v>
      </x:c>
      <x:c r="B788" t="str">
        <x:v>INR</x:v>
      </x:c>
      <x:c r="C788" s="12" t="str">
        <x:v>印度卢比（INR）</x:v>
      </x:c>
      <x:c r="D788" s="24" t="n">
        <x:v>44.0002</x:v>
      </x:c>
      <x:c r="E788" s="20" t="str">
        <x:v>LCU/USD</x:v>
      </x:c>
      <x:c r="F788" s="20" t="n">
        <x:v>1</x:v>
      </x:c>
      <x:c r="G788" s="22" t="n">
        <x:f>IF(E788="LCU/USD",D788*F788,F788/D788)</x:f>
        <x:v>44.0002</x:v>
      </x:c>
      <x:c r="H788" s="12" t="str">
        <x:v>年均</x:v>
      </x:c>
      <x:c r="I788" s="12" t="str">
        <x:v>2005-01-01—2005-12-31</x:v>
      </x:c>
      <x:c r="J788" s="12" t="str">
        <x:v>FRB_INR</x:v>
      </x:c>
      <x:c r="K788" s="12" t="str">
        <x:v>https://fred.stlouisfed.org/data/AEXINUS</x:v>
      </x:c>
      <x:c r="L788" s="12" t="str"/>
      <x:c r="M788" s="12" t="str">
        <x:v>A：机构统计／原始统计表</x:v>
      </x:c>
    </x:row>
    <x:row r="789" ht="72" customHeight="1">
      <x:c r="A789" t="n">
        <x:v>2005</x:v>
      </x:c>
      <x:c r="B789" t="str">
        <x:v>RUB</x:v>
      </x:c>
      <x:c r="C789" s="12" t="str">
        <x:v>俄罗斯卢布（RUB；1998币制）</x:v>
      </x:c>
      <x:c r="D789" s="24" t="n">
        <x:v>28.2446160282799</x:v>
      </x:c>
      <x:c r="E789" s="20" t="str">
        <x:v>LCU/USD</x:v>
      </x:c>
      <x:c r="F789" s="20" t="n">
        <x:v>1</x:v>
      </x:c>
      <x:c r="G789" s="22" t="n">
        <x:f>IF(E789="LCU/USD",D789*F789,F789/D789)</x:f>
        <x:v>28.2446160282799</x:v>
      </x:c>
      <x:c r="H789" s="12" t="str">
        <x:v>年均</x:v>
      </x:c>
      <x:c r="I789" s="12" t="str">
        <x:v>2005-01-01—2005-12-31</x:v>
      </x:c>
      <x:c r="J789" s="12" t="str">
        <x:v>OECD_RUB</x:v>
      </x:c>
      <x:c r="K789" s="12" t="str">
        <x:v>https://fred.stlouisfed.org/data/CCUSMA02RUA618N</x:v>
      </x:c>
      <x:c r="L789" s="12" t="str"/>
      <x:c r="M789" s="12" t="str">
        <x:v>A：机构统计／原始统计表</x:v>
      </x:c>
    </x:row>
    <x:row r="790" ht="72" customHeight="1">
      <x:c r="A790" t="n">
        <x:v>2005</x:v>
      </x:c>
      <x:c r="B790" t="str">
        <x:v>CNY</x:v>
      </x:c>
      <x:c r="C790" s="12" t="str">
        <x:v>人民币元（1955币制；CNY）</x:v>
      </x:c>
      <x:c r="D790" s="24" t="n">
        <x:v>8.1936</x:v>
      </x:c>
      <x:c r="E790" s="20" t="str">
        <x:v>LCU/USD</x:v>
      </x:c>
      <x:c r="F790" s="20" t="n">
        <x:v>1</x:v>
      </x:c>
      <x:c r="G790" s="22" t="n">
        <x:f>IF(E790="LCU/USD",D790*F790,F790/D790)</x:f>
        <x:v>8.1936</x:v>
      </x:c>
      <x:c r="H790" s="12" t="str">
        <x:v>年均</x:v>
      </x:c>
      <x:c r="I790" s="12" t="str">
        <x:v>2005-01-01—2005-12-31</x:v>
      </x:c>
      <x:c r="J790" s="12" t="str">
        <x:v>FRB_CNY</x:v>
      </x:c>
      <x:c r="K790" s="12" t="str">
        <x:v>https://fred.stlouisfed.org/data/AEXCHUS</x:v>
      </x:c>
      <x:c r="L790" s="12" t="str"/>
      <x:c r="M790" s="12" t="str">
        <x:v>A：机构统计／原始统计表</x:v>
      </x:c>
    </x:row>
    <x:row r="791" ht="72" customHeight="1">
      <x:c r="A791" t="n">
        <x:v>2005</x:v>
      </x:c>
      <x:c r="B791" t="str">
        <x:v>EUR</x:v>
      </x:c>
      <x:c r="C791" s="12" t="str">
        <x:v>欧元（EUR）</x:v>
      </x:c>
      <x:c r="D791" s="24" t="n">
        <x:v>1.2449</x:v>
      </x:c>
      <x:c r="E791" s="20" t="str">
        <x:v>USD/LCU</x:v>
      </x:c>
      <x:c r="F791" s="20" t="n">
        <x:v>1</x:v>
      </x:c>
      <x:c r="G791" s="22" t="n">
        <x:f>IF(E791="LCU/USD",D791*F791,F791/D791)</x:f>
        <x:v>0.80327737167644</x:v>
      </x:c>
      <x:c r="H791" s="12" t="str">
        <x:v>年均</x:v>
      </x:c>
      <x:c r="I791" s="12" t="str">
        <x:v>2005-01-01—2005-12-31</x:v>
      </x:c>
      <x:c r="J791" s="12" t="str">
        <x:v>FRB_EUR</x:v>
      </x:c>
      <x:c r="K791" s="12" t="str">
        <x:v>https://fred.stlouisfed.org/data/AEXUSEU</x:v>
      </x:c>
      <x:c r="L791" s="12" t="str">
        <x:v>反向值由原报价均值取倒数；不等于反向日度汇率的算术平均。</x:v>
      </x:c>
      <x:c r="M791" s="12" t="str">
        <x:v>A：机构统计／原始统计表</x:v>
      </x:c>
    </x:row>
    <x:row r="792" ht="72" customHeight="1">
      <x:c r="A792" t="n">
        <x:v>2006</x:v>
      </x:c>
      <x:c r="B792" t="str">
        <x:v>GBP</x:v>
      </x:c>
      <x:c r="C792" s="12" t="str">
        <x:v>英镑（GBP）</x:v>
      </x:c>
      <x:c r="D792" s="24" t="n">
        <x:v>1.8434</x:v>
      </x:c>
      <x:c r="E792" s="20" t="str">
        <x:v>USD/LCU</x:v>
      </x:c>
      <x:c r="F792" s="20" t="n">
        <x:v>1</x:v>
      </x:c>
      <x:c r="G792" s="22" t="n">
        <x:f>IF(E792="LCU/USD",D792*F792,F792/D792)</x:f>
        <x:v>0.5424758598242378</x:v>
      </x:c>
      <x:c r="H792" s="12" t="str">
        <x:v>年均</x:v>
      </x:c>
      <x:c r="I792" s="12" t="str">
        <x:v>2006-01-01—2006-12-31</x:v>
      </x:c>
      <x:c r="J792" s="12" t="str">
        <x:v>FRB_GBP</x:v>
      </x:c>
      <x:c r="K792" s="12" t="str">
        <x:v>https://fred.stlouisfed.org/data/AEXUSUK</x:v>
      </x:c>
      <x:c r="L792" s="12" t="str">
        <x:v>反向值由原报价均值取倒数；不等于反向日度汇率的算术平均。</x:v>
      </x:c>
      <x:c r="M792" s="12" t="str">
        <x:v>A：机构统计／原始统计表</x:v>
      </x:c>
    </x:row>
    <x:row r="793" ht="72" customHeight="1">
      <x:c r="A793" t="n">
        <x:v>2006</x:v>
      </x:c>
      <x:c r="B793" t="str">
        <x:v>CAD</x:v>
      </x:c>
      <x:c r="C793" s="12" t="str">
        <x:v>加拿大元（CAD）</x:v>
      </x:c>
      <x:c r="D793" s="24" t="n">
        <x:v>1.134</x:v>
      </x:c>
      <x:c r="E793" s="20" t="str">
        <x:v>LCU/USD</x:v>
      </x:c>
      <x:c r="F793" s="20" t="n">
        <x:v>1</x:v>
      </x:c>
      <x:c r="G793" s="22" t="n">
        <x:f>IF(E793="LCU/USD",D793*F793,F793/D793)</x:f>
        <x:v>1.134</x:v>
      </x:c>
      <x:c r="H793" s="12" t="str">
        <x:v>年均</x:v>
      </x:c>
      <x:c r="I793" s="12" t="str">
        <x:v>2006-01-01—2006-12-31</x:v>
      </x:c>
      <x:c r="J793" s="12" t="str">
        <x:v>FRB_CAD</x:v>
      </x:c>
      <x:c r="K793" s="12" t="str">
        <x:v>https://fred.stlouisfed.org/data/AEXCAUS</x:v>
      </x:c>
      <x:c r="L793" s="12" t="str"/>
      <x:c r="M793" s="12" t="str">
        <x:v>A：机构统计／原始统计表</x:v>
      </x:c>
    </x:row>
    <x:row r="794" ht="72" customHeight="1">
      <x:c r="A794" t="n">
        <x:v>2006</x:v>
      </x:c>
      <x:c r="B794" t="str">
        <x:v>JPY</x:v>
      </x:c>
      <x:c r="C794" s="12" t="str">
        <x:v>日元（JPY）</x:v>
      </x:c>
      <x:c r="D794" s="24" t="n">
        <x:v>116.3121</x:v>
      </x:c>
      <x:c r="E794" s="20" t="str">
        <x:v>LCU/USD</x:v>
      </x:c>
      <x:c r="F794" s="20" t="n">
        <x:v>1</x:v>
      </x:c>
      <x:c r="G794" s="22" t="n">
        <x:f>IF(E794="LCU/USD",D794*F794,F794/D794)</x:f>
        <x:v>116.3121</x:v>
      </x:c>
      <x:c r="H794" s="12" t="str">
        <x:v>年均</x:v>
      </x:c>
      <x:c r="I794" s="12" t="str">
        <x:v>2006-01-01—2006-12-31</x:v>
      </x:c>
      <x:c r="J794" s="12" t="str">
        <x:v>FRB_JPY</x:v>
      </x:c>
      <x:c r="K794" s="12" t="str">
        <x:v>https://fred.stlouisfed.org/data/AEXJPUS</x:v>
      </x:c>
      <x:c r="L794" s="12" t="str"/>
      <x:c r="M794" s="12" t="str">
        <x:v>A：机构统计／原始统计表</x:v>
      </x:c>
    </x:row>
    <x:row r="795" ht="72" customHeight="1">
      <x:c r="A795" t="n">
        <x:v>2006</x:v>
      </x:c>
      <x:c r="B795" t="str">
        <x:v>CHF</x:v>
      </x:c>
      <x:c r="C795" s="12" t="str">
        <x:v>瑞士法郎（CHF）</x:v>
      </x:c>
      <x:c r="D795" s="24" t="n">
        <x:v>1.2532</x:v>
      </x:c>
      <x:c r="E795" s="20" t="str">
        <x:v>LCU/USD</x:v>
      </x:c>
      <x:c r="F795" s="20" t="n">
        <x:v>1</x:v>
      </x:c>
      <x:c r="G795" s="22" t="n">
        <x:f>IF(E795="LCU/USD",D795*F795,F795/D795)</x:f>
        <x:v>1.2532</x:v>
      </x:c>
      <x:c r="H795" s="12" t="str">
        <x:v>年均</x:v>
      </x:c>
      <x:c r="I795" s="12" t="str">
        <x:v>2006-01-01—2006-12-31</x:v>
      </x:c>
      <x:c r="J795" s="12" t="str">
        <x:v>FRB_CHF</x:v>
      </x:c>
      <x:c r="K795" s="12" t="str">
        <x:v>https://fred.stlouisfed.org/data/AEXSZUS</x:v>
      </x:c>
      <x:c r="L795" s="12" t="str"/>
      <x:c r="M795" s="12" t="str">
        <x:v>A：机构统计／原始统计表</x:v>
      </x:c>
    </x:row>
    <x:row r="796" ht="72" customHeight="1">
      <x:c r="A796" t="n">
        <x:v>2006</x:v>
      </x:c>
      <x:c r="B796" t="str">
        <x:v>INR</x:v>
      </x:c>
      <x:c r="C796" s="12" t="str">
        <x:v>印度卢比（INR）</x:v>
      </x:c>
      <x:c r="D796" s="24" t="n">
        <x:v>45.1861</x:v>
      </x:c>
      <x:c r="E796" s="20" t="str">
        <x:v>LCU/USD</x:v>
      </x:c>
      <x:c r="F796" s="20" t="n">
        <x:v>1</x:v>
      </x:c>
      <x:c r="G796" s="22" t="n">
        <x:f>IF(E796="LCU/USD",D796*F796,F796/D796)</x:f>
        <x:v>45.1861</x:v>
      </x:c>
      <x:c r="H796" s="12" t="str">
        <x:v>年均</x:v>
      </x:c>
      <x:c r="I796" s="12" t="str">
        <x:v>2006-01-01—2006-12-31</x:v>
      </x:c>
      <x:c r="J796" s="12" t="str">
        <x:v>FRB_INR</x:v>
      </x:c>
      <x:c r="K796" s="12" t="str">
        <x:v>https://fred.stlouisfed.org/data/AEXINUS</x:v>
      </x:c>
      <x:c r="L796" s="12" t="str"/>
      <x:c r="M796" s="12" t="str">
        <x:v>A：机构统计／原始统计表</x:v>
      </x:c>
    </x:row>
    <x:row r="797" ht="72" customHeight="1">
      <x:c r="A797" t="n">
        <x:v>2006</x:v>
      </x:c>
      <x:c r="B797" t="str">
        <x:v>RUB</x:v>
      </x:c>
      <x:c r="C797" s="12" t="str">
        <x:v>俄罗斯卢布（RUB；1998币制）</x:v>
      </x:c>
      <x:c r="D797" s="24" t="n">
        <x:v>27.1751630496288</x:v>
      </x:c>
      <x:c r="E797" s="20" t="str">
        <x:v>LCU/USD</x:v>
      </x:c>
      <x:c r="F797" s="20" t="n">
        <x:v>1</x:v>
      </x:c>
      <x:c r="G797" s="22" t="n">
        <x:f>IF(E797="LCU/USD",D797*F797,F797/D797)</x:f>
        <x:v>27.1751630496288</x:v>
      </x:c>
      <x:c r="H797" s="12" t="str">
        <x:v>年均</x:v>
      </x:c>
      <x:c r="I797" s="12" t="str">
        <x:v>2006-01-01—2006-12-31</x:v>
      </x:c>
      <x:c r="J797" s="12" t="str">
        <x:v>OECD_RUB</x:v>
      </x:c>
      <x:c r="K797" s="12" t="str">
        <x:v>https://fred.stlouisfed.org/data/CCUSMA02RUA618N</x:v>
      </x:c>
      <x:c r="L797" s="12" t="str"/>
      <x:c r="M797" s="12" t="str">
        <x:v>A：机构统计／原始统计表</x:v>
      </x:c>
    </x:row>
    <x:row r="798" ht="72" customHeight="1">
      <x:c r="A798" t="n">
        <x:v>2006</x:v>
      </x:c>
      <x:c r="B798" t="str">
        <x:v>CNY</x:v>
      </x:c>
      <x:c r="C798" s="12" t="str">
        <x:v>人民币元（1955币制；CNY）</x:v>
      </x:c>
      <x:c r="D798" s="24" t="n">
        <x:v>7.9723</x:v>
      </x:c>
      <x:c r="E798" s="20" t="str">
        <x:v>LCU/USD</x:v>
      </x:c>
      <x:c r="F798" s="20" t="n">
        <x:v>1</x:v>
      </x:c>
      <x:c r="G798" s="22" t="n">
        <x:f>IF(E798="LCU/USD",D798*F798,F798/D798)</x:f>
        <x:v>7.9723</x:v>
      </x:c>
      <x:c r="H798" s="12" t="str">
        <x:v>年均</x:v>
      </x:c>
      <x:c r="I798" s="12" t="str">
        <x:v>2006-01-01—2006-12-31</x:v>
      </x:c>
      <x:c r="J798" s="12" t="str">
        <x:v>FRB_CNY</x:v>
      </x:c>
      <x:c r="K798" s="12" t="str">
        <x:v>https://fred.stlouisfed.org/data/AEXCHUS</x:v>
      </x:c>
      <x:c r="L798" s="12" t="str"/>
      <x:c r="M798" s="12" t="str">
        <x:v>A：机构统计／原始统计表</x:v>
      </x:c>
    </x:row>
    <x:row r="799" ht="72" customHeight="1">
      <x:c r="A799" t="n">
        <x:v>2006</x:v>
      </x:c>
      <x:c r="B799" t="str">
        <x:v>EUR</x:v>
      </x:c>
      <x:c r="C799" s="12" t="str">
        <x:v>欧元（EUR）</x:v>
      </x:c>
      <x:c r="D799" s="24" t="n">
        <x:v>1.2563</x:v>
      </x:c>
      <x:c r="E799" s="20" t="str">
        <x:v>USD/LCU</x:v>
      </x:c>
      <x:c r="F799" s="20" t="n">
        <x:v>1</x:v>
      </x:c>
      <x:c r="G799" s="22" t="n">
        <x:f>IF(E799="LCU/USD",D799*F799,F799/D799)</x:f>
        <x:v>0.7959882193743533</x:v>
      </x:c>
      <x:c r="H799" s="12" t="str">
        <x:v>年均</x:v>
      </x:c>
      <x:c r="I799" s="12" t="str">
        <x:v>2006-01-01—2006-12-31</x:v>
      </x:c>
      <x:c r="J799" s="12" t="str">
        <x:v>FRB_EUR</x:v>
      </x:c>
      <x:c r="K799" s="12" t="str">
        <x:v>https://fred.stlouisfed.org/data/AEXUSEU</x:v>
      </x:c>
      <x:c r="L799" s="12" t="str">
        <x:v>反向值由原报价均值取倒数；不等于反向日度汇率的算术平均。</x:v>
      </x:c>
      <x:c r="M799" s="12" t="str">
        <x:v>A：机构统计／原始统计表</x:v>
      </x:c>
    </x:row>
    <x:row r="800" ht="72" customHeight="1">
      <x:c r="A800" t="n">
        <x:v>2007</x:v>
      </x:c>
      <x:c r="B800" t="str">
        <x:v>GBP</x:v>
      </x:c>
      <x:c r="C800" s="12" t="str">
        <x:v>英镑（GBP）</x:v>
      </x:c>
      <x:c r="D800" s="24" t="n">
        <x:v>2.002</x:v>
      </x:c>
      <x:c r="E800" s="20" t="str">
        <x:v>USD/LCU</x:v>
      </x:c>
      <x:c r="F800" s="20" t="n">
        <x:v>1</x:v>
      </x:c>
      <x:c r="G800" s="22" t="n">
        <x:f>IF(E800="LCU/USD",D800*F800,F800/D800)</x:f>
        <x:v>0.4995004995004996</x:v>
      </x:c>
      <x:c r="H800" s="12" t="str">
        <x:v>年均</x:v>
      </x:c>
      <x:c r="I800" s="12" t="str">
        <x:v>2007-01-01—2007-12-31</x:v>
      </x:c>
      <x:c r="J800" s="12" t="str">
        <x:v>FRB_GBP</x:v>
      </x:c>
      <x:c r="K800" s="12" t="str">
        <x:v>https://fred.stlouisfed.org/data/AEXUSUK</x:v>
      </x:c>
      <x:c r="L800" s="12" t="str">
        <x:v>反向值由原报价均值取倒数；不等于反向日度汇率的算术平均。</x:v>
      </x:c>
      <x:c r="M800" s="12" t="str">
        <x:v>A：机构统计／原始统计表</x:v>
      </x:c>
    </x:row>
    <x:row r="801" ht="72" customHeight="1">
      <x:c r="A801" t="n">
        <x:v>2007</x:v>
      </x:c>
      <x:c r="B801" t="str">
        <x:v>CAD</x:v>
      </x:c>
      <x:c r="C801" s="12" t="str">
        <x:v>加拿大元（CAD）</x:v>
      </x:c>
      <x:c r="D801" s="24" t="n">
        <x:v>1.0734</x:v>
      </x:c>
      <x:c r="E801" s="20" t="str">
        <x:v>LCU/USD</x:v>
      </x:c>
      <x:c r="F801" s="20" t="n">
        <x:v>1</x:v>
      </x:c>
      <x:c r="G801" s="22" t="n">
        <x:f>IF(E801="LCU/USD",D801*F801,F801/D801)</x:f>
        <x:v>1.0734</x:v>
      </x:c>
      <x:c r="H801" s="12" t="str">
        <x:v>年均</x:v>
      </x:c>
      <x:c r="I801" s="12" t="str">
        <x:v>2007-01-01—2007-12-31</x:v>
      </x:c>
      <x:c r="J801" s="12" t="str">
        <x:v>FRB_CAD</x:v>
      </x:c>
      <x:c r="K801" s="12" t="str">
        <x:v>https://fred.stlouisfed.org/data/AEXCAUS</x:v>
      </x:c>
      <x:c r="L801" s="12" t="str"/>
      <x:c r="M801" s="12" t="str">
        <x:v>A：机构统计／原始统计表</x:v>
      </x:c>
    </x:row>
    <x:row r="802" ht="72" customHeight="1">
      <x:c r="A802" t="n">
        <x:v>2007</x:v>
      </x:c>
      <x:c r="B802" t="str">
        <x:v>JPY</x:v>
      </x:c>
      <x:c r="C802" s="12" t="str">
        <x:v>日元（JPY）</x:v>
      </x:c>
      <x:c r="D802" s="24" t="n">
        <x:v>117.7623</x:v>
      </x:c>
      <x:c r="E802" s="20" t="str">
        <x:v>LCU/USD</x:v>
      </x:c>
      <x:c r="F802" s="20" t="n">
        <x:v>1</x:v>
      </x:c>
      <x:c r="G802" s="22" t="n">
        <x:f>IF(E802="LCU/USD",D802*F802,F802/D802)</x:f>
        <x:v>117.7623</x:v>
      </x:c>
      <x:c r="H802" s="12" t="str">
        <x:v>年均</x:v>
      </x:c>
      <x:c r="I802" s="12" t="str">
        <x:v>2007-01-01—2007-12-31</x:v>
      </x:c>
      <x:c r="J802" s="12" t="str">
        <x:v>FRB_JPY</x:v>
      </x:c>
      <x:c r="K802" s="12" t="str">
        <x:v>https://fred.stlouisfed.org/data/AEXJPUS</x:v>
      </x:c>
      <x:c r="L802" s="12" t="str"/>
      <x:c r="M802" s="12" t="str">
        <x:v>A：机构统计／原始统计表</x:v>
      </x:c>
    </x:row>
    <x:row r="803" ht="72" customHeight="1">
      <x:c r="A803" t="n">
        <x:v>2007</x:v>
      </x:c>
      <x:c r="B803" t="str">
        <x:v>CHF</x:v>
      </x:c>
      <x:c r="C803" s="12" t="str">
        <x:v>瑞士法郎（CHF）</x:v>
      </x:c>
      <x:c r="D803" s="24" t="n">
        <x:v>1.1999</x:v>
      </x:c>
      <x:c r="E803" s="20" t="str">
        <x:v>LCU/USD</x:v>
      </x:c>
      <x:c r="F803" s="20" t="n">
        <x:v>1</x:v>
      </x:c>
      <x:c r="G803" s="22" t="n">
        <x:f>IF(E803="LCU/USD",D803*F803,F803/D803)</x:f>
        <x:v>1.1999</x:v>
      </x:c>
      <x:c r="H803" s="12" t="str">
        <x:v>年均</x:v>
      </x:c>
      <x:c r="I803" s="12" t="str">
        <x:v>2007-01-01—2007-12-31</x:v>
      </x:c>
      <x:c r="J803" s="12" t="str">
        <x:v>FRB_CHF</x:v>
      </x:c>
      <x:c r="K803" s="12" t="str">
        <x:v>https://fred.stlouisfed.org/data/AEXSZUS</x:v>
      </x:c>
      <x:c r="L803" s="12" t="str"/>
      <x:c r="M803" s="12" t="str">
        <x:v>A：机构统计／原始统计表</x:v>
      </x:c>
    </x:row>
    <x:row r="804" ht="72" customHeight="1">
      <x:c r="A804" t="n">
        <x:v>2007</x:v>
      </x:c>
      <x:c r="B804" t="str">
        <x:v>INR</x:v>
      </x:c>
      <x:c r="C804" s="12" t="str">
        <x:v>印度卢比（INR）</x:v>
      </x:c>
      <x:c r="D804" s="24" t="n">
        <x:v>41.1774</x:v>
      </x:c>
      <x:c r="E804" s="20" t="str">
        <x:v>LCU/USD</x:v>
      </x:c>
      <x:c r="F804" s="20" t="n">
        <x:v>1</x:v>
      </x:c>
      <x:c r="G804" s="22" t="n">
        <x:f>IF(E804="LCU/USD",D804*F804,F804/D804)</x:f>
        <x:v>41.1774</x:v>
      </x:c>
      <x:c r="H804" s="12" t="str">
        <x:v>年均</x:v>
      </x:c>
      <x:c r="I804" s="12" t="str">
        <x:v>2007-01-01—2007-12-31</x:v>
      </x:c>
      <x:c r="J804" s="12" t="str">
        <x:v>FRB_INR</x:v>
      </x:c>
      <x:c r="K804" s="12" t="str">
        <x:v>https://fred.stlouisfed.org/data/AEXINUS</x:v>
      </x:c>
      <x:c r="L804" s="12" t="str"/>
      <x:c r="M804" s="12" t="str">
        <x:v>A：机构统计／原始统计表</x:v>
      </x:c>
    </x:row>
    <x:row r="805" ht="72" customHeight="1">
      <x:c r="A805" t="n">
        <x:v>2007</x:v>
      </x:c>
      <x:c r="B805" t="str">
        <x:v>RUB</x:v>
      </x:c>
      <x:c r="C805" s="12" t="str">
        <x:v>俄罗斯卢布（RUB；1998币制）</x:v>
      </x:c>
      <x:c r="D805" s="24" t="n">
        <x:v>25.571011172508</x:v>
      </x:c>
      <x:c r="E805" s="20" t="str">
        <x:v>LCU/USD</x:v>
      </x:c>
      <x:c r="F805" s="20" t="n">
        <x:v>1</x:v>
      </x:c>
      <x:c r="G805" s="22" t="n">
        <x:f>IF(E805="LCU/USD",D805*F805,F805/D805)</x:f>
        <x:v>25.571011172508</x:v>
      </x:c>
      <x:c r="H805" s="12" t="str">
        <x:v>年均</x:v>
      </x:c>
      <x:c r="I805" s="12" t="str">
        <x:v>2007-01-01—2007-12-31</x:v>
      </x:c>
      <x:c r="J805" s="12" t="str">
        <x:v>OECD_RUB</x:v>
      </x:c>
      <x:c r="K805" s="12" t="str">
        <x:v>https://fred.stlouisfed.org/data/CCUSMA02RUA618N</x:v>
      </x:c>
      <x:c r="L805" s="12" t="str"/>
      <x:c r="M805" s="12" t="str">
        <x:v>A：机构统计／原始统计表</x:v>
      </x:c>
    </x:row>
    <x:row r="806" ht="72" customHeight="1">
      <x:c r="A806" t="n">
        <x:v>2007</x:v>
      </x:c>
      <x:c r="B806" t="str">
        <x:v>CNY</x:v>
      </x:c>
      <x:c r="C806" s="12" t="str">
        <x:v>人民币元（1955币制；CNY）</x:v>
      </x:c>
      <x:c r="D806" s="24" t="n">
        <x:v>7.6058</x:v>
      </x:c>
      <x:c r="E806" s="20" t="str">
        <x:v>LCU/USD</x:v>
      </x:c>
      <x:c r="F806" s="20" t="n">
        <x:v>1</x:v>
      </x:c>
      <x:c r="G806" s="22" t="n">
        <x:f>IF(E806="LCU/USD",D806*F806,F806/D806)</x:f>
        <x:v>7.6058</x:v>
      </x:c>
      <x:c r="H806" s="12" t="str">
        <x:v>年均</x:v>
      </x:c>
      <x:c r="I806" s="12" t="str">
        <x:v>2007-01-01—2007-12-31</x:v>
      </x:c>
      <x:c r="J806" s="12" t="str">
        <x:v>FRB_CNY</x:v>
      </x:c>
      <x:c r="K806" s="12" t="str">
        <x:v>https://fred.stlouisfed.org/data/AEXCHUS</x:v>
      </x:c>
      <x:c r="L806" s="12" t="str"/>
      <x:c r="M806" s="12" t="str">
        <x:v>A：机构统计／原始统计表</x:v>
      </x:c>
    </x:row>
    <x:row r="807" ht="72" customHeight="1">
      <x:c r="A807" t="n">
        <x:v>2007</x:v>
      </x:c>
      <x:c r="B807" t="str">
        <x:v>EUR</x:v>
      </x:c>
      <x:c r="C807" s="12" t="str">
        <x:v>欧元（EUR）</x:v>
      </x:c>
      <x:c r="D807" s="24" t="n">
        <x:v>1.3711</x:v>
      </x:c>
      <x:c r="E807" s="20" t="str">
        <x:v>USD/LCU</x:v>
      </x:c>
      <x:c r="F807" s="20" t="n">
        <x:v>1</x:v>
      </x:c>
      <x:c r="G807" s="22" t="n">
        <x:f>IF(E807="LCU/USD",D807*F807,F807/D807)</x:f>
        <x:v>0.7293414047115455</x:v>
      </x:c>
      <x:c r="H807" s="12" t="str">
        <x:v>年均</x:v>
      </x:c>
      <x:c r="I807" s="12" t="str">
        <x:v>2007-01-01—2007-12-31</x:v>
      </x:c>
      <x:c r="J807" s="12" t="str">
        <x:v>FRB_EUR</x:v>
      </x:c>
      <x:c r="K807" s="12" t="str">
        <x:v>https://fred.stlouisfed.org/data/AEXUSEU</x:v>
      </x:c>
      <x:c r="L807" s="12" t="str">
        <x:v>反向值由原报价均值取倒数；不等于反向日度汇率的算术平均。</x:v>
      </x:c>
      <x:c r="M807" s="12" t="str">
        <x:v>A：机构统计／原始统计表</x:v>
      </x:c>
    </x:row>
    <x:row r="808" ht="72" customHeight="1">
      <x:c r="A808" t="n">
        <x:v>2008</x:v>
      </x:c>
      <x:c r="B808" t="str">
        <x:v>GBP</x:v>
      </x:c>
      <x:c r="C808" s="12" t="str">
        <x:v>英镑（GBP）</x:v>
      </x:c>
      <x:c r="D808" s="24" t="n">
        <x:v>1.8545</x:v>
      </x:c>
      <x:c r="E808" s="20" t="str">
        <x:v>USD/LCU</x:v>
      </x:c>
      <x:c r="F808" s="20" t="n">
        <x:v>1</x:v>
      </x:c>
      <x:c r="G808" s="22" t="n">
        <x:f>IF(E808="LCU/USD",D808*F808,F808/D808)</x:f>
        <x:v>0.5392289026691831</x:v>
      </x:c>
      <x:c r="H808" s="12" t="str">
        <x:v>年均</x:v>
      </x:c>
      <x:c r="I808" s="12" t="str">
        <x:v>2008-01-01—2008-12-31</x:v>
      </x:c>
      <x:c r="J808" s="12" t="str">
        <x:v>FRB_GBP</x:v>
      </x:c>
      <x:c r="K808" s="12" t="str">
        <x:v>https://fred.stlouisfed.org/data/AEXUSUK</x:v>
      </x:c>
      <x:c r="L808" s="12" t="str">
        <x:v>反向值由原报价均值取倒数；不等于反向日度汇率的算术平均。</x:v>
      </x:c>
      <x:c r="M808" s="12" t="str">
        <x:v>A：机构统计／原始统计表</x:v>
      </x:c>
    </x:row>
    <x:row r="809" ht="72" customHeight="1">
      <x:c r="A809" t="n">
        <x:v>2008</x:v>
      </x:c>
      <x:c r="B809" t="str">
        <x:v>CAD</x:v>
      </x:c>
      <x:c r="C809" s="12" t="str">
        <x:v>加拿大元（CAD）</x:v>
      </x:c>
      <x:c r="D809" s="24" t="n">
        <x:v>1.066</x:v>
      </x:c>
      <x:c r="E809" s="20" t="str">
        <x:v>LCU/USD</x:v>
      </x:c>
      <x:c r="F809" s="20" t="n">
        <x:v>1</x:v>
      </x:c>
      <x:c r="G809" s="22" t="n">
        <x:f>IF(E809="LCU/USD",D809*F809,F809/D809)</x:f>
        <x:v>1.066</x:v>
      </x:c>
      <x:c r="H809" s="12" t="str">
        <x:v>年均</x:v>
      </x:c>
      <x:c r="I809" s="12" t="str">
        <x:v>2008-01-01—2008-12-31</x:v>
      </x:c>
      <x:c r="J809" s="12" t="str">
        <x:v>FRB_CAD</x:v>
      </x:c>
      <x:c r="K809" s="12" t="str">
        <x:v>https://fred.stlouisfed.org/data/AEXCAUS</x:v>
      </x:c>
      <x:c r="L809" s="12" t="str"/>
      <x:c r="M809" s="12" t="str">
        <x:v>A：机构统计／原始统计表</x:v>
      </x:c>
    </x:row>
    <x:row r="810" ht="72" customHeight="1">
      <x:c r="A810" t="n">
        <x:v>2008</x:v>
      </x:c>
      <x:c r="B810" t="str">
        <x:v>JPY</x:v>
      </x:c>
      <x:c r="C810" s="12" t="str">
        <x:v>日元（JPY）</x:v>
      </x:c>
      <x:c r="D810" s="24" t="n">
        <x:v>103.3906</x:v>
      </x:c>
      <x:c r="E810" s="20" t="str">
        <x:v>LCU/USD</x:v>
      </x:c>
      <x:c r="F810" s="20" t="n">
        <x:v>1</x:v>
      </x:c>
      <x:c r="G810" s="22" t="n">
        <x:f>IF(E810="LCU/USD",D810*F810,F810/D810)</x:f>
        <x:v>103.3906</x:v>
      </x:c>
      <x:c r="H810" s="12" t="str">
        <x:v>年均</x:v>
      </x:c>
      <x:c r="I810" s="12" t="str">
        <x:v>2008-01-01—2008-12-31</x:v>
      </x:c>
      <x:c r="J810" s="12" t="str">
        <x:v>FRB_JPY</x:v>
      </x:c>
      <x:c r="K810" s="12" t="str">
        <x:v>https://fred.stlouisfed.org/data/AEXJPUS</x:v>
      </x:c>
      <x:c r="L810" s="12" t="str"/>
      <x:c r="M810" s="12" t="str">
        <x:v>A：机构统计／原始统计表</x:v>
      </x:c>
    </x:row>
    <x:row r="811" ht="72" customHeight="1">
      <x:c r="A811" t="n">
        <x:v>2008</x:v>
      </x:c>
      <x:c r="B811" t="str">
        <x:v>CHF</x:v>
      </x:c>
      <x:c r="C811" s="12" t="str">
        <x:v>瑞士法郎（CHF）</x:v>
      </x:c>
      <x:c r="D811" s="24" t="n">
        <x:v>1.0816</x:v>
      </x:c>
      <x:c r="E811" s="20" t="str">
        <x:v>LCU/USD</x:v>
      </x:c>
      <x:c r="F811" s="20" t="n">
        <x:v>1</x:v>
      </x:c>
      <x:c r="G811" s="22" t="n">
        <x:f>IF(E811="LCU/USD",D811*F811,F811/D811)</x:f>
        <x:v>1.0816</x:v>
      </x:c>
      <x:c r="H811" s="12" t="str">
        <x:v>年均</x:v>
      </x:c>
      <x:c r="I811" s="12" t="str">
        <x:v>2008-01-01—2008-12-31</x:v>
      </x:c>
      <x:c r="J811" s="12" t="str">
        <x:v>FRB_CHF</x:v>
      </x:c>
      <x:c r="K811" s="12" t="str">
        <x:v>https://fred.stlouisfed.org/data/AEXSZUS</x:v>
      </x:c>
      <x:c r="L811" s="12" t="str"/>
      <x:c r="M811" s="12" t="str">
        <x:v>A：机构统计／原始统计表</x:v>
      </x:c>
    </x:row>
    <x:row r="812" ht="72" customHeight="1">
      <x:c r="A812" t="n">
        <x:v>2008</x:v>
      </x:c>
      <x:c r="B812" t="str">
        <x:v>INR</x:v>
      </x:c>
      <x:c r="C812" s="12" t="str">
        <x:v>印度卢比（INR）</x:v>
      </x:c>
      <x:c r="D812" s="24" t="n">
        <x:v>43.3859</x:v>
      </x:c>
      <x:c r="E812" s="20" t="str">
        <x:v>LCU/USD</x:v>
      </x:c>
      <x:c r="F812" s="20" t="n">
        <x:v>1</x:v>
      </x:c>
      <x:c r="G812" s="22" t="n">
        <x:f>IF(E812="LCU/USD",D812*F812,F812/D812)</x:f>
        <x:v>43.3859</x:v>
      </x:c>
      <x:c r="H812" s="12" t="str">
        <x:v>年均</x:v>
      </x:c>
      <x:c r="I812" s="12" t="str">
        <x:v>2008-01-01—2008-12-31</x:v>
      </x:c>
      <x:c r="J812" s="12" t="str">
        <x:v>FRB_INR</x:v>
      </x:c>
      <x:c r="K812" s="12" t="str">
        <x:v>https://fred.stlouisfed.org/data/AEXINUS</x:v>
      </x:c>
      <x:c r="L812" s="12" t="str"/>
      <x:c r="M812" s="12" t="str">
        <x:v>A：机构统计／原始统计表</x:v>
      </x:c>
    </x:row>
    <x:row r="813" ht="72" customHeight="1">
      <x:c r="A813" t="n">
        <x:v>2008</x:v>
      </x:c>
      <x:c r="B813" t="str">
        <x:v>RUB</x:v>
      </x:c>
      <x:c r="C813" s="12" t="str">
        <x:v>俄罗斯卢布（RUB；1998币制）</x:v>
      </x:c>
      <x:c r="D813" s="24" t="n">
        <x:v>24.8668997183431</x:v>
      </x:c>
      <x:c r="E813" s="20" t="str">
        <x:v>LCU/USD</x:v>
      </x:c>
      <x:c r="F813" s="20" t="n">
        <x:v>1</x:v>
      </x:c>
      <x:c r="G813" s="22" t="n">
        <x:f>IF(E813="LCU/USD",D813*F813,F813/D813)</x:f>
        <x:v>24.8668997183431</x:v>
      </x:c>
      <x:c r="H813" s="12" t="str">
        <x:v>年均</x:v>
      </x:c>
      <x:c r="I813" s="12" t="str">
        <x:v>2008-01-01—2008-12-31</x:v>
      </x:c>
      <x:c r="J813" s="12" t="str">
        <x:v>OECD_RUB</x:v>
      </x:c>
      <x:c r="K813" s="12" t="str">
        <x:v>https://fred.stlouisfed.org/data/CCUSMA02RUA618N</x:v>
      </x:c>
      <x:c r="L813" s="12" t="str"/>
      <x:c r="M813" s="12" t="str">
        <x:v>A：机构统计／原始统计表</x:v>
      </x:c>
    </x:row>
    <x:row r="814" ht="72" customHeight="1">
      <x:c r="A814" t="n">
        <x:v>2008</x:v>
      </x:c>
      <x:c r="B814" t="str">
        <x:v>CNY</x:v>
      </x:c>
      <x:c r="C814" s="12" t="str">
        <x:v>人民币元（1955币制；CNY）</x:v>
      </x:c>
      <x:c r="D814" s="24" t="n">
        <x:v>6.9477</x:v>
      </x:c>
      <x:c r="E814" s="20" t="str">
        <x:v>LCU/USD</x:v>
      </x:c>
      <x:c r="F814" s="20" t="n">
        <x:v>1</x:v>
      </x:c>
      <x:c r="G814" s="22" t="n">
        <x:f>IF(E814="LCU/USD",D814*F814,F814/D814)</x:f>
        <x:v>6.9477</x:v>
      </x:c>
      <x:c r="H814" s="12" t="str">
        <x:v>年均</x:v>
      </x:c>
      <x:c r="I814" s="12" t="str">
        <x:v>2008-01-01—2008-12-31</x:v>
      </x:c>
      <x:c r="J814" s="12" t="str">
        <x:v>FRB_CNY</x:v>
      </x:c>
      <x:c r="K814" s="12" t="str">
        <x:v>https://fred.stlouisfed.org/data/AEXCHUS</x:v>
      </x:c>
      <x:c r="L814" s="12" t="str"/>
      <x:c r="M814" s="12" t="str">
        <x:v>A：机构统计／原始统计表</x:v>
      </x:c>
    </x:row>
    <x:row r="815" ht="72" customHeight="1">
      <x:c r="A815" t="n">
        <x:v>2008</x:v>
      </x:c>
      <x:c r="B815" t="str">
        <x:v>EUR</x:v>
      </x:c>
      <x:c r="C815" s="12" t="str">
        <x:v>欧元（EUR）</x:v>
      </x:c>
      <x:c r="D815" s="24" t="n">
        <x:v>1.4726</x:v>
      </x:c>
      <x:c r="E815" s="20" t="str">
        <x:v>USD/LCU</x:v>
      </x:c>
      <x:c r="F815" s="20" t="n">
        <x:v>1</x:v>
      </x:c>
      <x:c r="G815" s="22" t="n">
        <x:f>IF(E815="LCU/USD",D815*F815,F815/D815)</x:f>
        <x:v>0.6790710308298249</x:v>
      </x:c>
      <x:c r="H815" s="12" t="str">
        <x:v>年均</x:v>
      </x:c>
      <x:c r="I815" s="12" t="str">
        <x:v>2008-01-01—2008-12-31</x:v>
      </x:c>
      <x:c r="J815" s="12" t="str">
        <x:v>FRB_EUR</x:v>
      </x:c>
      <x:c r="K815" s="12" t="str">
        <x:v>https://fred.stlouisfed.org/data/AEXUSEU</x:v>
      </x:c>
      <x:c r="L815" s="12" t="str">
        <x:v>反向值由原报价均值取倒数；不等于反向日度汇率的算术平均。</x:v>
      </x:c>
      <x:c r="M815" s="12" t="str">
        <x:v>A：机构统计／原始统计表</x:v>
      </x:c>
    </x:row>
    <x:row r="816" ht="72" customHeight="1">
      <x:c r="A816" t="n">
        <x:v>2009</x:v>
      </x:c>
      <x:c r="B816" t="str">
        <x:v>GBP</x:v>
      </x:c>
      <x:c r="C816" s="12" t="str">
        <x:v>英镑（GBP）</x:v>
      </x:c>
      <x:c r="D816" s="24" t="n">
        <x:v>1.5661</x:v>
      </x:c>
      <x:c r="E816" s="20" t="str">
        <x:v>USD/LCU</x:v>
      </x:c>
      <x:c r="F816" s="20" t="n">
        <x:v>1</x:v>
      </x:c>
      <x:c r="G816" s="22" t="n">
        <x:f>IF(E816="LCU/USD",D816*F816,F816/D816)</x:f>
        <x:v>0.6385288295766554</x:v>
      </x:c>
      <x:c r="H816" s="12" t="str">
        <x:v>年均</x:v>
      </x:c>
      <x:c r="I816" s="12" t="str">
        <x:v>2009-01-01—2009-12-31</x:v>
      </x:c>
      <x:c r="J816" s="12" t="str">
        <x:v>FRB_GBP</x:v>
      </x:c>
      <x:c r="K816" s="12" t="str">
        <x:v>https://fred.stlouisfed.org/data/AEXUSUK</x:v>
      </x:c>
      <x:c r="L816" s="12" t="str">
        <x:v>反向值由原报价均值取倒数；不等于反向日度汇率的算术平均。</x:v>
      </x:c>
      <x:c r="M816" s="12" t="str">
        <x:v>A：机构统计／原始统计表</x:v>
      </x:c>
    </x:row>
    <x:row r="817" ht="72" customHeight="1">
      <x:c r="A817" t="n">
        <x:v>2009</x:v>
      </x:c>
      <x:c r="B817" t="str">
        <x:v>CAD</x:v>
      </x:c>
      <x:c r="C817" s="12" t="str">
        <x:v>加拿大元（CAD）</x:v>
      </x:c>
      <x:c r="D817" s="24" t="n">
        <x:v>1.1412</x:v>
      </x:c>
      <x:c r="E817" s="20" t="str">
        <x:v>LCU/USD</x:v>
      </x:c>
      <x:c r="F817" s="20" t="n">
        <x:v>1</x:v>
      </x:c>
      <x:c r="G817" s="22" t="n">
        <x:f>IF(E817="LCU/USD",D817*F817,F817/D817)</x:f>
        <x:v>1.1412</x:v>
      </x:c>
      <x:c r="H817" s="12" t="str">
        <x:v>年均</x:v>
      </x:c>
      <x:c r="I817" s="12" t="str">
        <x:v>2009-01-01—2009-12-31</x:v>
      </x:c>
      <x:c r="J817" s="12" t="str">
        <x:v>FRB_CAD</x:v>
      </x:c>
      <x:c r="K817" s="12" t="str">
        <x:v>https://fred.stlouisfed.org/data/AEXCAUS</x:v>
      </x:c>
      <x:c r="L817" s="12" t="str"/>
      <x:c r="M817" s="12" t="str">
        <x:v>A：机构统计／原始统计表</x:v>
      </x:c>
    </x:row>
    <x:row r="818" ht="72" customHeight="1">
      <x:c r="A818" t="n">
        <x:v>2009</x:v>
      </x:c>
      <x:c r="B818" t="str">
        <x:v>JPY</x:v>
      </x:c>
      <x:c r="C818" s="12" t="str">
        <x:v>日元（JPY）</x:v>
      </x:c>
      <x:c r="D818" s="24" t="n">
        <x:v>93.6827</x:v>
      </x:c>
      <x:c r="E818" s="20" t="str">
        <x:v>LCU/USD</x:v>
      </x:c>
      <x:c r="F818" s="20" t="n">
        <x:v>1</x:v>
      </x:c>
      <x:c r="G818" s="22" t="n">
        <x:f>IF(E818="LCU/USD",D818*F818,F818/D818)</x:f>
        <x:v>93.6827</x:v>
      </x:c>
      <x:c r="H818" s="12" t="str">
        <x:v>年均</x:v>
      </x:c>
      <x:c r="I818" s="12" t="str">
        <x:v>2009-01-01—2009-12-31</x:v>
      </x:c>
      <x:c r="J818" s="12" t="str">
        <x:v>FRB_JPY</x:v>
      </x:c>
      <x:c r="K818" s="12" t="str">
        <x:v>https://fred.stlouisfed.org/data/AEXJPUS</x:v>
      </x:c>
      <x:c r="L818" s="12" t="str"/>
      <x:c r="M818" s="12" t="str">
        <x:v>A：机构统计／原始统计表</x:v>
      </x:c>
    </x:row>
    <x:row r="819" ht="72" customHeight="1">
      <x:c r="A819" t="n">
        <x:v>2009</x:v>
      </x:c>
      <x:c r="B819" t="str">
        <x:v>CHF</x:v>
      </x:c>
      <x:c r="C819" s="12" t="str">
        <x:v>瑞士法郎（CHF）</x:v>
      </x:c>
      <x:c r="D819" s="24" t="n">
        <x:v>1.086</x:v>
      </x:c>
      <x:c r="E819" s="20" t="str">
        <x:v>LCU/USD</x:v>
      </x:c>
      <x:c r="F819" s="20" t="n">
        <x:v>1</x:v>
      </x:c>
      <x:c r="G819" s="22" t="n">
        <x:f>IF(E819="LCU/USD",D819*F819,F819/D819)</x:f>
        <x:v>1.086</x:v>
      </x:c>
      <x:c r="H819" s="12" t="str">
        <x:v>年均</x:v>
      </x:c>
      <x:c r="I819" s="12" t="str">
        <x:v>2009-01-01—2009-12-31</x:v>
      </x:c>
      <x:c r="J819" s="12" t="str">
        <x:v>FRB_CHF</x:v>
      </x:c>
      <x:c r="K819" s="12" t="str">
        <x:v>https://fred.stlouisfed.org/data/AEXSZUS</x:v>
      </x:c>
      <x:c r="L819" s="12" t="str"/>
      <x:c r="M819" s="12" t="str">
        <x:v>A：机构统计／原始统计表</x:v>
      </x:c>
    </x:row>
    <x:row r="820" ht="72" customHeight="1">
      <x:c r="A820" t="n">
        <x:v>2009</x:v>
      </x:c>
      <x:c r="B820" t="str">
        <x:v>INR</x:v>
      </x:c>
      <x:c r="C820" s="12" t="str">
        <x:v>印度卢比（INR）</x:v>
      </x:c>
      <x:c r="D820" s="24" t="n">
        <x:v>48.3324</x:v>
      </x:c>
      <x:c r="E820" s="20" t="str">
        <x:v>LCU/USD</x:v>
      </x:c>
      <x:c r="F820" s="20" t="n">
        <x:v>1</x:v>
      </x:c>
      <x:c r="G820" s="22" t="n">
        <x:f>IF(E820="LCU/USD",D820*F820,F820/D820)</x:f>
        <x:v>48.3324</x:v>
      </x:c>
      <x:c r="H820" s="12" t="str">
        <x:v>年均</x:v>
      </x:c>
      <x:c r="I820" s="12" t="str">
        <x:v>2009-01-01—2009-12-31</x:v>
      </x:c>
      <x:c r="J820" s="12" t="str">
        <x:v>FRB_INR</x:v>
      </x:c>
      <x:c r="K820" s="12" t="str">
        <x:v>https://fred.stlouisfed.org/data/AEXINUS</x:v>
      </x:c>
      <x:c r="L820" s="12" t="str"/>
      <x:c r="M820" s="12" t="str">
        <x:v>A：机构统计／原始统计表</x:v>
      </x:c>
    </x:row>
    <x:row r="821" ht="72" customHeight="1">
      <x:c r="A821" t="n">
        <x:v>2009</x:v>
      </x:c>
      <x:c r="B821" t="str">
        <x:v>RUB</x:v>
      </x:c>
      <x:c r="C821" s="12" t="str">
        <x:v>俄罗斯卢布（RUB；1998币制）</x:v>
      </x:c>
      <x:c r="D821" s="24" t="n">
        <x:v>31.7737463659284</x:v>
      </x:c>
      <x:c r="E821" s="20" t="str">
        <x:v>LCU/USD</x:v>
      </x:c>
      <x:c r="F821" s="20" t="n">
        <x:v>1</x:v>
      </x:c>
      <x:c r="G821" s="22" t="n">
        <x:f>IF(E821="LCU/USD",D821*F821,F821/D821)</x:f>
        <x:v>31.7737463659284</x:v>
      </x:c>
      <x:c r="H821" s="12" t="str">
        <x:v>年均</x:v>
      </x:c>
      <x:c r="I821" s="12" t="str">
        <x:v>2009-01-01—2009-12-31</x:v>
      </x:c>
      <x:c r="J821" s="12" t="str">
        <x:v>OECD_RUB</x:v>
      </x:c>
      <x:c r="K821" s="12" t="str">
        <x:v>https://fred.stlouisfed.org/data/CCUSMA02RUA618N</x:v>
      </x:c>
      <x:c r="L821" s="12" t="str"/>
      <x:c r="M821" s="12" t="str">
        <x:v>A：机构统计／原始统计表</x:v>
      </x:c>
    </x:row>
    <x:row r="822" ht="72" customHeight="1">
      <x:c r="A822" t="n">
        <x:v>2009</x:v>
      </x:c>
      <x:c r="B822" t="str">
        <x:v>CNY</x:v>
      </x:c>
      <x:c r="C822" s="12" t="str">
        <x:v>人民币元（1955币制；CNY）</x:v>
      </x:c>
      <x:c r="D822" s="24" t="n">
        <x:v>6.8307</x:v>
      </x:c>
      <x:c r="E822" s="20" t="str">
        <x:v>LCU/USD</x:v>
      </x:c>
      <x:c r="F822" s="20" t="n">
        <x:v>1</x:v>
      </x:c>
      <x:c r="G822" s="22" t="n">
        <x:f>IF(E822="LCU/USD",D822*F822,F822/D822)</x:f>
        <x:v>6.8307</x:v>
      </x:c>
      <x:c r="H822" s="12" t="str">
        <x:v>年均</x:v>
      </x:c>
      <x:c r="I822" s="12" t="str">
        <x:v>2009-01-01—2009-12-31</x:v>
      </x:c>
      <x:c r="J822" s="12" t="str">
        <x:v>FRB_CNY</x:v>
      </x:c>
      <x:c r="K822" s="12" t="str">
        <x:v>https://fred.stlouisfed.org/data/AEXCHUS</x:v>
      </x:c>
      <x:c r="L822" s="12" t="str"/>
      <x:c r="M822" s="12" t="str">
        <x:v>A：机构统计／原始统计表</x:v>
      </x:c>
    </x:row>
    <x:row r="823" ht="72" customHeight="1">
      <x:c r="A823" t="n">
        <x:v>2009</x:v>
      </x:c>
      <x:c r="B823" t="str">
        <x:v>EUR</x:v>
      </x:c>
      <x:c r="C823" s="12" t="str">
        <x:v>欧元（EUR）</x:v>
      </x:c>
      <x:c r="D823" s="24" t="n">
        <x:v>1.3935</x:v>
      </x:c>
      <x:c r="E823" s="20" t="str">
        <x:v>USD/LCU</x:v>
      </x:c>
      <x:c r="F823" s="20" t="n">
        <x:v>1</x:v>
      </x:c>
      <x:c r="G823" s="22" t="n">
        <x:f>IF(E823="LCU/USD",D823*F823,F823/D823)</x:f>
        <x:v>0.7176175098672408</x:v>
      </x:c>
      <x:c r="H823" s="12" t="str">
        <x:v>年均</x:v>
      </x:c>
      <x:c r="I823" s="12" t="str">
        <x:v>2009-01-01—2009-12-31</x:v>
      </x:c>
      <x:c r="J823" s="12" t="str">
        <x:v>FRB_EUR</x:v>
      </x:c>
      <x:c r="K823" s="12" t="str">
        <x:v>https://fred.stlouisfed.org/data/AEXUSEU</x:v>
      </x:c>
      <x:c r="L823" s="12" t="str">
        <x:v>反向值由原报价均值取倒数；不等于反向日度汇率的算术平均。</x:v>
      </x:c>
      <x:c r="M823" s="12" t="str">
        <x:v>A：机构统计／原始统计表</x:v>
      </x:c>
    </x:row>
    <x:row r="824" ht="72" customHeight="1">
      <x:c r="A824" t="n">
        <x:v>2010</x:v>
      </x:c>
      <x:c r="B824" t="str">
        <x:v>GBP</x:v>
      </x:c>
      <x:c r="C824" s="12" t="str">
        <x:v>英镑（GBP）</x:v>
      </x:c>
      <x:c r="D824" s="24" t="n">
        <x:v>1.5452</x:v>
      </x:c>
      <x:c r="E824" s="20" t="str">
        <x:v>USD/LCU</x:v>
      </x:c>
      <x:c r="F824" s="20" t="n">
        <x:v>1</x:v>
      </x:c>
      <x:c r="G824" s="22" t="n">
        <x:f>IF(E824="LCU/USD",D824*F824,F824/D824)</x:f>
        <x:v>0.6471654154801968</x:v>
      </x:c>
      <x:c r="H824" s="12" t="str">
        <x:v>年均</x:v>
      </x:c>
      <x:c r="I824" s="12" t="str">
        <x:v>2010-01-01—2010-12-31</x:v>
      </x:c>
      <x:c r="J824" s="12" t="str">
        <x:v>FRB_GBP</x:v>
      </x:c>
      <x:c r="K824" s="12" t="str">
        <x:v>https://fred.stlouisfed.org/data/AEXUSUK</x:v>
      </x:c>
      <x:c r="L824" s="12" t="str">
        <x:v>反向值由原报价均值取倒数；不等于反向日度汇率的算术平均。</x:v>
      </x:c>
      <x:c r="M824" s="12" t="str">
        <x:v>A：机构统计／原始统计表</x:v>
      </x:c>
    </x:row>
    <x:row r="825" ht="72" customHeight="1">
      <x:c r="A825" t="n">
        <x:v>2010</x:v>
      </x:c>
      <x:c r="B825" t="str">
        <x:v>CAD</x:v>
      </x:c>
      <x:c r="C825" s="12" t="str">
        <x:v>加拿大元（CAD）</x:v>
      </x:c>
      <x:c r="D825" s="24" t="n">
        <x:v>1.0298</x:v>
      </x:c>
      <x:c r="E825" s="20" t="str">
        <x:v>LCU/USD</x:v>
      </x:c>
      <x:c r="F825" s="20" t="n">
        <x:v>1</x:v>
      </x:c>
      <x:c r="G825" s="22" t="n">
        <x:f>IF(E825="LCU/USD",D825*F825,F825/D825)</x:f>
        <x:v>1.0298</x:v>
      </x:c>
      <x:c r="H825" s="12" t="str">
        <x:v>年均</x:v>
      </x:c>
      <x:c r="I825" s="12" t="str">
        <x:v>2010-01-01—2010-12-31</x:v>
      </x:c>
      <x:c r="J825" s="12" t="str">
        <x:v>FRB_CAD</x:v>
      </x:c>
      <x:c r="K825" s="12" t="str">
        <x:v>https://fred.stlouisfed.org/data/AEXCAUS</x:v>
      </x:c>
      <x:c r="L825" s="12" t="str"/>
      <x:c r="M825" s="12" t="str">
        <x:v>A：机构统计／原始统计表</x:v>
      </x:c>
    </x:row>
    <x:row r="826" ht="72" customHeight="1">
      <x:c r="A826" t="n">
        <x:v>2010</x:v>
      </x:c>
      <x:c r="B826" t="str">
        <x:v>JPY</x:v>
      </x:c>
      <x:c r="C826" s="12" t="str">
        <x:v>日元（JPY）</x:v>
      </x:c>
      <x:c r="D826" s="24" t="n">
        <x:v>87.7817</x:v>
      </x:c>
      <x:c r="E826" s="20" t="str">
        <x:v>LCU/USD</x:v>
      </x:c>
      <x:c r="F826" s="20" t="n">
        <x:v>1</x:v>
      </x:c>
      <x:c r="G826" s="22" t="n">
        <x:f>IF(E826="LCU/USD",D826*F826,F826/D826)</x:f>
        <x:v>87.7817</x:v>
      </x:c>
      <x:c r="H826" s="12" t="str">
        <x:v>年均</x:v>
      </x:c>
      <x:c r="I826" s="12" t="str">
        <x:v>2010-01-01—2010-12-31</x:v>
      </x:c>
      <x:c r="J826" s="12" t="str">
        <x:v>FRB_JPY</x:v>
      </x:c>
      <x:c r="K826" s="12" t="str">
        <x:v>https://fred.stlouisfed.org/data/AEXJPUS</x:v>
      </x:c>
      <x:c r="L826" s="12" t="str"/>
      <x:c r="M826" s="12" t="str">
        <x:v>A：机构统计／原始统计表</x:v>
      </x:c>
    </x:row>
    <x:row r="827" ht="72" customHeight="1">
      <x:c r="A827" t="n">
        <x:v>2010</x:v>
      </x:c>
      <x:c r="B827" t="str">
        <x:v>CHF</x:v>
      </x:c>
      <x:c r="C827" s="12" t="str">
        <x:v>瑞士法郎（CHF）</x:v>
      </x:c>
      <x:c r="D827" s="24" t="n">
        <x:v>1.0432</x:v>
      </x:c>
      <x:c r="E827" s="20" t="str">
        <x:v>LCU/USD</x:v>
      </x:c>
      <x:c r="F827" s="20" t="n">
        <x:v>1</x:v>
      </x:c>
      <x:c r="G827" s="22" t="n">
        <x:f>IF(E827="LCU/USD",D827*F827,F827/D827)</x:f>
        <x:v>1.0432</x:v>
      </x:c>
      <x:c r="H827" s="12" t="str">
        <x:v>年均</x:v>
      </x:c>
      <x:c r="I827" s="12" t="str">
        <x:v>2010-01-01—2010-12-31</x:v>
      </x:c>
      <x:c r="J827" s="12" t="str">
        <x:v>FRB_CHF</x:v>
      </x:c>
      <x:c r="K827" s="12" t="str">
        <x:v>https://fred.stlouisfed.org/data/AEXSZUS</x:v>
      </x:c>
      <x:c r="L827" s="12" t="str"/>
      <x:c r="M827" s="12" t="str">
        <x:v>A：机构统计／原始统计表</x:v>
      </x:c>
    </x:row>
    <x:row r="828" ht="72" customHeight="1">
      <x:c r="A828" t="n">
        <x:v>2010</x:v>
      </x:c>
      <x:c r="B828" t="str">
        <x:v>INR</x:v>
      </x:c>
      <x:c r="C828" s="12" t="str">
        <x:v>印度卢比（INR）</x:v>
      </x:c>
      <x:c r="D828" s="24" t="n">
        <x:v>45.6507</x:v>
      </x:c>
      <x:c r="E828" s="20" t="str">
        <x:v>LCU/USD</x:v>
      </x:c>
      <x:c r="F828" s="20" t="n">
        <x:v>1</x:v>
      </x:c>
      <x:c r="G828" s="22" t="n">
        <x:f>IF(E828="LCU/USD",D828*F828,F828/D828)</x:f>
        <x:v>45.6507</x:v>
      </x:c>
      <x:c r="H828" s="12" t="str">
        <x:v>年均</x:v>
      </x:c>
      <x:c r="I828" s="12" t="str">
        <x:v>2010-01-01—2010-12-31</x:v>
      </x:c>
      <x:c r="J828" s="12" t="str">
        <x:v>FRB_INR</x:v>
      </x:c>
      <x:c r="K828" s="12" t="str">
        <x:v>https://fred.stlouisfed.org/data/AEXINUS</x:v>
      </x:c>
      <x:c r="L828" s="12" t="str"/>
      <x:c r="M828" s="12" t="str">
        <x:v>A：机构统计／原始统计表</x:v>
      </x:c>
    </x:row>
    <x:row r="829" ht="72" customHeight="1">
      <x:c r="A829" t="n">
        <x:v>2010</x:v>
      </x:c>
      <x:c r="B829" t="str">
        <x:v>RUB</x:v>
      </x:c>
      <x:c r="C829" s="12" t="str">
        <x:v>俄罗斯卢布（RUB；1998币制）</x:v>
      </x:c>
      <x:c r="D829" s="24" t="n">
        <x:v>30.3728609513991</x:v>
      </x:c>
      <x:c r="E829" s="20" t="str">
        <x:v>LCU/USD</x:v>
      </x:c>
      <x:c r="F829" s="20" t="n">
        <x:v>1</x:v>
      </x:c>
      <x:c r="G829" s="22" t="n">
        <x:f>IF(E829="LCU/USD",D829*F829,F829/D829)</x:f>
        <x:v>30.3728609513991</x:v>
      </x:c>
      <x:c r="H829" s="12" t="str">
        <x:v>年均</x:v>
      </x:c>
      <x:c r="I829" s="12" t="str">
        <x:v>2010-01-01—2010-12-31</x:v>
      </x:c>
      <x:c r="J829" s="12" t="str">
        <x:v>OECD_RUB</x:v>
      </x:c>
      <x:c r="K829" s="12" t="str">
        <x:v>https://fred.stlouisfed.org/data/CCUSMA02RUA618N</x:v>
      </x:c>
      <x:c r="L829" s="12" t="str"/>
      <x:c r="M829" s="12" t="str">
        <x:v>A：机构统计／原始统计表</x:v>
      </x:c>
    </x:row>
    <x:row r="830" ht="72" customHeight="1">
      <x:c r="A830" t="n">
        <x:v>2010</x:v>
      </x:c>
      <x:c r="B830" t="str">
        <x:v>CNY</x:v>
      </x:c>
      <x:c r="C830" s="12" t="str">
        <x:v>人民币元（1955币制；CNY）</x:v>
      </x:c>
      <x:c r="D830" s="24" t="n">
        <x:v>6.7696</x:v>
      </x:c>
      <x:c r="E830" s="20" t="str">
        <x:v>LCU/USD</x:v>
      </x:c>
      <x:c r="F830" s="20" t="n">
        <x:v>1</x:v>
      </x:c>
      <x:c r="G830" s="22" t="n">
        <x:f>IF(E830="LCU/USD",D830*F830,F830/D830)</x:f>
        <x:v>6.7696</x:v>
      </x:c>
      <x:c r="H830" s="12" t="str">
        <x:v>年均</x:v>
      </x:c>
      <x:c r="I830" s="12" t="str">
        <x:v>2010-01-01—2010-12-31</x:v>
      </x:c>
      <x:c r="J830" s="12" t="str">
        <x:v>FRB_CNY</x:v>
      </x:c>
      <x:c r="K830" s="12" t="str">
        <x:v>https://fred.stlouisfed.org/data/AEXCHUS</x:v>
      </x:c>
      <x:c r="L830" s="12" t="str"/>
      <x:c r="M830" s="12" t="str">
        <x:v>A：机构统计／原始统计表</x:v>
      </x:c>
    </x:row>
    <x:row r="831" ht="72" customHeight="1">
      <x:c r="A831" t="n">
        <x:v>2010</x:v>
      </x:c>
      <x:c r="B831" t="str">
        <x:v>EUR</x:v>
      </x:c>
      <x:c r="C831" s="12" t="str">
        <x:v>欧元（EUR）</x:v>
      </x:c>
      <x:c r="D831" s="24" t="n">
        <x:v>1.3261</x:v>
      </x:c>
      <x:c r="E831" s="20" t="str">
        <x:v>USD/LCU</x:v>
      </x:c>
      <x:c r="F831" s="20" t="n">
        <x:v>1</x:v>
      </x:c>
      <x:c r="G831" s="22" t="n">
        <x:f>IF(E831="LCU/USD",D831*F831,F831/D831)</x:f>
        <x:v>0.7540909433677702</x:v>
      </x:c>
      <x:c r="H831" s="12" t="str">
        <x:v>年均</x:v>
      </x:c>
      <x:c r="I831" s="12" t="str">
        <x:v>2010-01-01—2010-12-31</x:v>
      </x:c>
      <x:c r="J831" s="12" t="str">
        <x:v>FRB_EUR</x:v>
      </x:c>
      <x:c r="K831" s="12" t="str">
        <x:v>https://fred.stlouisfed.org/data/AEXUSEU</x:v>
      </x:c>
      <x:c r="L831" s="12" t="str">
        <x:v>反向值由原报价均值取倒数；不等于反向日度汇率的算术平均。</x:v>
      </x:c>
      <x:c r="M831" s="12" t="str">
        <x:v>A：机构统计／原始统计表</x:v>
      </x:c>
    </x:row>
    <x:row r="832" ht="72" customHeight="1">
      <x:c r="A832" t="n">
        <x:v>2011</x:v>
      </x:c>
      <x:c r="B832" t="str">
        <x:v>GBP</x:v>
      </x:c>
      <x:c r="C832" s="12" t="str">
        <x:v>英镑（GBP）</x:v>
      </x:c>
      <x:c r="D832" s="24" t="n">
        <x:v>1.6043</x:v>
      </x:c>
      <x:c r="E832" s="20" t="str">
        <x:v>USD/LCU</x:v>
      </x:c>
      <x:c r="F832" s="20" t="n">
        <x:v>1</x:v>
      </x:c>
      <x:c r="G832" s="22" t="n">
        <x:f>IF(E832="LCU/USD",D832*F832,F832/D832)</x:f>
        <x:v>0.6233248145608676</x:v>
      </x:c>
      <x:c r="H832" s="12" t="str">
        <x:v>年均</x:v>
      </x:c>
      <x:c r="I832" s="12" t="str">
        <x:v>2011-01-01—2011-12-31</x:v>
      </x:c>
      <x:c r="J832" s="12" t="str">
        <x:v>FRB_GBP</x:v>
      </x:c>
      <x:c r="K832" s="12" t="str">
        <x:v>https://fred.stlouisfed.org/data/AEXUSUK</x:v>
      </x:c>
      <x:c r="L832" s="12" t="str">
        <x:v>反向值由原报价均值取倒数；不等于反向日度汇率的算术平均。</x:v>
      </x:c>
      <x:c r="M832" s="12" t="str">
        <x:v>A：机构统计／原始统计表</x:v>
      </x:c>
    </x:row>
    <x:row r="833" ht="72" customHeight="1">
      <x:c r="A833" t="n">
        <x:v>2011</x:v>
      </x:c>
      <x:c r="B833" t="str">
        <x:v>CAD</x:v>
      </x:c>
      <x:c r="C833" s="12" t="str">
        <x:v>加拿大元（CAD）</x:v>
      </x:c>
      <x:c r="D833" s="24" t="n">
        <x:v>0.9887</x:v>
      </x:c>
      <x:c r="E833" s="20" t="str">
        <x:v>LCU/USD</x:v>
      </x:c>
      <x:c r="F833" s="20" t="n">
        <x:v>1</x:v>
      </x:c>
      <x:c r="G833" s="22" t="n">
        <x:f>IF(E833="LCU/USD",D833*F833,F833/D833)</x:f>
        <x:v>0.9887</x:v>
      </x:c>
      <x:c r="H833" s="12" t="str">
        <x:v>年均</x:v>
      </x:c>
      <x:c r="I833" s="12" t="str">
        <x:v>2011-01-01—2011-12-31</x:v>
      </x:c>
      <x:c r="J833" s="12" t="str">
        <x:v>FRB_CAD</x:v>
      </x:c>
      <x:c r="K833" s="12" t="str">
        <x:v>https://fred.stlouisfed.org/data/AEXCAUS</x:v>
      </x:c>
      <x:c r="L833" s="12" t="str"/>
      <x:c r="M833" s="12" t="str">
        <x:v>A：机构统计／原始统计表</x:v>
      </x:c>
    </x:row>
    <x:row r="834" ht="72" customHeight="1">
      <x:c r="A834" t="n">
        <x:v>2011</x:v>
      </x:c>
      <x:c r="B834" t="str">
        <x:v>JPY</x:v>
      </x:c>
      <x:c r="C834" s="12" t="str">
        <x:v>日元（JPY）</x:v>
      </x:c>
      <x:c r="D834" s="24" t="n">
        <x:v>79.6967</x:v>
      </x:c>
      <x:c r="E834" s="20" t="str">
        <x:v>LCU/USD</x:v>
      </x:c>
      <x:c r="F834" s="20" t="n">
        <x:v>1</x:v>
      </x:c>
      <x:c r="G834" s="22" t="n">
        <x:f>IF(E834="LCU/USD",D834*F834,F834/D834)</x:f>
        <x:v>79.6967</x:v>
      </x:c>
      <x:c r="H834" s="12" t="str">
        <x:v>年均</x:v>
      </x:c>
      <x:c r="I834" s="12" t="str">
        <x:v>2011-01-01—2011-12-31</x:v>
      </x:c>
      <x:c r="J834" s="12" t="str">
        <x:v>FRB_JPY</x:v>
      </x:c>
      <x:c r="K834" s="12" t="str">
        <x:v>https://fred.stlouisfed.org/data/AEXJPUS</x:v>
      </x:c>
      <x:c r="L834" s="12" t="str"/>
      <x:c r="M834" s="12" t="str">
        <x:v>A：机构统计／原始统计表</x:v>
      </x:c>
    </x:row>
    <x:row r="835" ht="72" customHeight="1">
      <x:c r="A835" t="n">
        <x:v>2011</x:v>
      </x:c>
      <x:c r="B835" t="str">
        <x:v>CHF</x:v>
      </x:c>
      <x:c r="C835" s="12" t="str">
        <x:v>瑞士法郎（CHF）</x:v>
      </x:c>
      <x:c r="D835" s="24" t="n">
        <x:v>0.8862</x:v>
      </x:c>
      <x:c r="E835" s="20" t="str">
        <x:v>LCU/USD</x:v>
      </x:c>
      <x:c r="F835" s="20" t="n">
        <x:v>1</x:v>
      </x:c>
      <x:c r="G835" s="22" t="n">
        <x:f>IF(E835="LCU/USD",D835*F835,F835/D835)</x:f>
        <x:v>0.8862</x:v>
      </x:c>
      <x:c r="H835" s="12" t="str">
        <x:v>年均</x:v>
      </x:c>
      <x:c r="I835" s="12" t="str">
        <x:v>2011-01-01—2011-12-31</x:v>
      </x:c>
      <x:c r="J835" s="12" t="str">
        <x:v>FRB_CHF</x:v>
      </x:c>
      <x:c r="K835" s="12" t="str">
        <x:v>https://fred.stlouisfed.org/data/AEXSZUS</x:v>
      </x:c>
      <x:c r="L835" s="12" t="str"/>
      <x:c r="M835" s="12" t="str">
        <x:v>A：机构统计／原始统计表</x:v>
      </x:c>
    </x:row>
    <x:row r="836" ht="72" customHeight="1">
      <x:c r="A836" t="n">
        <x:v>2011</x:v>
      </x:c>
      <x:c r="B836" t="str">
        <x:v>INR</x:v>
      </x:c>
      <x:c r="C836" s="12" t="str">
        <x:v>印度卢比（INR）</x:v>
      </x:c>
      <x:c r="D836" s="24" t="n">
        <x:v>46.5782</x:v>
      </x:c>
      <x:c r="E836" s="20" t="str">
        <x:v>LCU/USD</x:v>
      </x:c>
      <x:c r="F836" s="20" t="n">
        <x:v>1</x:v>
      </x:c>
      <x:c r="G836" s="22" t="n">
        <x:f>IF(E836="LCU/USD",D836*F836,F836/D836)</x:f>
        <x:v>46.5782</x:v>
      </x:c>
      <x:c r="H836" s="12" t="str">
        <x:v>年均</x:v>
      </x:c>
      <x:c r="I836" s="12" t="str">
        <x:v>2011-01-01—2011-12-31</x:v>
      </x:c>
      <x:c r="J836" s="12" t="str">
        <x:v>FRB_INR</x:v>
      </x:c>
      <x:c r="K836" s="12" t="str">
        <x:v>https://fred.stlouisfed.org/data/AEXINUS</x:v>
      </x:c>
      <x:c r="L836" s="12" t="str"/>
      <x:c r="M836" s="12" t="str">
        <x:v>A：机构统计／原始统计表</x:v>
      </x:c>
    </x:row>
    <x:row r="837" ht="72" customHeight="1">
      <x:c r="A837" t="n">
        <x:v>2011</x:v>
      </x:c>
      <x:c r="B837" t="str">
        <x:v>RUB</x:v>
      </x:c>
      <x:c r="C837" s="12" t="str">
        <x:v>俄罗斯卢布（RUB；1998币制）</x:v>
      </x:c>
      <x:c r="D837" s="24" t="n">
        <x:v>29.4026144513222</x:v>
      </x:c>
      <x:c r="E837" s="20" t="str">
        <x:v>LCU/USD</x:v>
      </x:c>
      <x:c r="F837" s="20" t="n">
        <x:v>1</x:v>
      </x:c>
      <x:c r="G837" s="22" t="n">
        <x:f>IF(E837="LCU/USD",D837*F837,F837/D837)</x:f>
        <x:v>29.4026144513222</x:v>
      </x:c>
      <x:c r="H837" s="12" t="str">
        <x:v>年均</x:v>
      </x:c>
      <x:c r="I837" s="12" t="str">
        <x:v>2011-01-01—2011-12-31</x:v>
      </x:c>
      <x:c r="J837" s="12" t="str">
        <x:v>OECD_RUB</x:v>
      </x:c>
      <x:c r="K837" s="12" t="str">
        <x:v>https://fred.stlouisfed.org/data/CCUSMA02RUA618N</x:v>
      </x:c>
      <x:c r="L837" s="12" t="str"/>
      <x:c r="M837" s="12" t="str">
        <x:v>A：机构统计／原始统计表</x:v>
      </x:c>
    </x:row>
    <x:row r="838" ht="72" customHeight="1">
      <x:c r="A838" t="n">
        <x:v>2011</x:v>
      </x:c>
      <x:c r="B838" t="str">
        <x:v>CNY</x:v>
      </x:c>
      <x:c r="C838" s="12" t="str">
        <x:v>人民币元（1955币制；CNY）</x:v>
      </x:c>
      <x:c r="D838" s="24" t="n">
        <x:v>6.463</x:v>
      </x:c>
      <x:c r="E838" s="20" t="str">
        <x:v>LCU/USD</x:v>
      </x:c>
      <x:c r="F838" s="20" t="n">
        <x:v>1</x:v>
      </x:c>
      <x:c r="G838" s="22" t="n">
        <x:f>IF(E838="LCU/USD",D838*F838,F838/D838)</x:f>
        <x:v>6.463</x:v>
      </x:c>
      <x:c r="H838" s="12" t="str">
        <x:v>年均</x:v>
      </x:c>
      <x:c r="I838" s="12" t="str">
        <x:v>2011-01-01—2011-12-31</x:v>
      </x:c>
      <x:c r="J838" s="12" t="str">
        <x:v>FRB_CNY</x:v>
      </x:c>
      <x:c r="K838" s="12" t="str">
        <x:v>https://fred.stlouisfed.org/data/AEXCHUS</x:v>
      </x:c>
      <x:c r="L838" s="12" t="str"/>
      <x:c r="M838" s="12" t="str">
        <x:v>A：机构统计／原始统计表</x:v>
      </x:c>
    </x:row>
    <x:row r="839" ht="72" customHeight="1">
      <x:c r="A839" t="n">
        <x:v>2011</x:v>
      </x:c>
      <x:c r="B839" t="str">
        <x:v>EUR</x:v>
      </x:c>
      <x:c r="C839" s="12" t="str">
        <x:v>欧元（EUR）</x:v>
      </x:c>
      <x:c r="D839" s="24" t="n">
        <x:v>1.3931</x:v>
      </x:c>
      <x:c r="E839" s="20" t="str">
        <x:v>USD/LCU</x:v>
      </x:c>
      <x:c r="F839" s="20" t="n">
        <x:v>1</x:v>
      </x:c>
      <x:c r="G839" s="22" t="n">
        <x:f>IF(E839="LCU/USD",D839*F839,F839/D839)</x:f>
        <x:v>0.7178235589692054</x:v>
      </x:c>
      <x:c r="H839" s="12" t="str">
        <x:v>年均</x:v>
      </x:c>
      <x:c r="I839" s="12" t="str">
        <x:v>2011-01-01—2011-12-31</x:v>
      </x:c>
      <x:c r="J839" s="12" t="str">
        <x:v>FRB_EUR</x:v>
      </x:c>
      <x:c r="K839" s="12" t="str">
        <x:v>https://fred.stlouisfed.org/data/AEXUSEU</x:v>
      </x:c>
      <x:c r="L839" s="12" t="str">
        <x:v>反向值由原报价均值取倒数；不等于反向日度汇率的算术平均。</x:v>
      </x:c>
      <x:c r="M839" s="12" t="str">
        <x:v>A：机构统计／原始统计表</x:v>
      </x:c>
    </x:row>
    <x:row r="840" ht="72" customHeight="1">
      <x:c r="A840" t="n">
        <x:v>2012</x:v>
      </x:c>
      <x:c r="B840" t="str">
        <x:v>GBP</x:v>
      </x:c>
      <x:c r="C840" s="12" t="str">
        <x:v>英镑（GBP）</x:v>
      </x:c>
      <x:c r="D840" s="24" t="n">
        <x:v>1.5853</x:v>
      </x:c>
      <x:c r="E840" s="20" t="str">
        <x:v>USD/LCU</x:v>
      </x:c>
      <x:c r="F840" s="20" t="n">
        <x:v>1</x:v>
      </x:c>
      <x:c r="G840" s="22" t="n">
        <x:f>IF(E840="LCU/USD",D840*F840,F840/D840)</x:f>
        <x:v>0.6307954330410648</x:v>
      </x:c>
      <x:c r="H840" s="12" t="str">
        <x:v>年均</x:v>
      </x:c>
      <x:c r="I840" s="12" t="str">
        <x:v>2012-01-01—2012-12-31</x:v>
      </x:c>
      <x:c r="J840" s="12" t="str">
        <x:v>FRB_GBP</x:v>
      </x:c>
      <x:c r="K840" s="12" t="str">
        <x:v>https://fred.stlouisfed.org/data/AEXUSUK</x:v>
      </x:c>
      <x:c r="L840" s="12" t="str">
        <x:v>反向值由原报价均值取倒数；不等于反向日度汇率的算术平均。</x:v>
      </x:c>
      <x:c r="M840" s="12" t="str">
        <x:v>A：机构统计／原始统计表</x:v>
      </x:c>
    </x:row>
    <x:row r="841" ht="72" customHeight="1">
      <x:c r="A841" t="n">
        <x:v>2012</x:v>
      </x:c>
      <x:c r="B841" t="str">
        <x:v>CAD</x:v>
      </x:c>
      <x:c r="C841" s="12" t="str">
        <x:v>加拿大元（CAD）</x:v>
      </x:c>
      <x:c r="D841" s="24" t="n">
        <x:v>0.9995</x:v>
      </x:c>
      <x:c r="E841" s="20" t="str">
        <x:v>LCU/USD</x:v>
      </x:c>
      <x:c r="F841" s="20" t="n">
        <x:v>1</x:v>
      </x:c>
      <x:c r="G841" s="22" t="n">
        <x:f>IF(E841="LCU/USD",D841*F841,F841/D841)</x:f>
        <x:v>0.9995</x:v>
      </x:c>
      <x:c r="H841" s="12" t="str">
        <x:v>年均</x:v>
      </x:c>
      <x:c r="I841" s="12" t="str">
        <x:v>2012-01-01—2012-12-31</x:v>
      </x:c>
      <x:c r="J841" s="12" t="str">
        <x:v>FRB_CAD</x:v>
      </x:c>
      <x:c r="K841" s="12" t="str">
        <x:v>https://fred.stlouisfed.org/data/AEXCAUS</x:v>
      </x:c>
      <x:c r="L841" s="12" t="str"/>
      <x:c r="M841" s="12" t="str">
        <x:v>A：机构统计／原始统计表</x:v>
      </x:c>
    </x:row>
    <x:row r="842" ht="72" customHeight="1">
      <x:c r="A842" t="n">
        <x:v>2012</x:v>
      </x:c>
      <x:c r="B842" t="str">
        <x:v>JPY</x:v>
      </x:c>
      <x:c r="C842" s="12" t="str">
        <x:v>日元（JPY）</x:v>
      </x:c>
      <x:c r="D842" s="24" t="n">
        <x:v>79.818</x:v>
      </x:c>
      <x:c r="E842" s="20" t="str">
        <x:v>LCU/USD</x:v>
      </x:c>
      <x:c r="F842" s="20" t="n">
        <x:v>1</x:v>
      </x:c>
      <x:c r="G842" s="22" t="n">
        <x:f>IF(E842="LCU/USD",D842*F842,F842/D842)</x:f>
        <x:v>79.818</x:v>
      </x:c>
      <x:c r="H842" s="12" t="str">
        <x:v>年均</x:v>
      </x:c>
      <x:c r="I842" s="12" t="str">
        <x:v>2012-01-01—2012-12-31</x:v>
      </x:c>
      <x:c r="J842" s="12" t="str">
        <x:v>FRB_JPY</x:v>
      </x:c>
      <x:c r="K842" s="12" t="str">
        <x:v>https://fred.stlouisfed.org/data/AEXJPUS</x:v>
      </x:c>
      <x:c r="L842" s="12" t="str"/>
      <x:c r="M842" s="12" t="str">
        <x:v>A：机构统计／原始统计表</x:v>
      </x:c>
    </x:row>
    <x:row r="843" ht="72" customHeight="1">
      <x:c r="A843" t="n">
        <x:v>2012</x:v>
      </x:c>
      <x:c r="B843" t="str">
        <x:v>CHF</x:v>
      </x:c>
      <x:c r="C843" s="12" t="str">
        <x:v>瑞士法郎（CHF）</x:v>
      </x:c>
      <x:c r="D843" s="24" t="n">
        <x:v>0.9377</x:v>
      </x:c>
      <x:c r="E843" s="20" t="str">
        <x:v>LCU/USD</x:v>
      </x:c>
      <x:c r="F843" s="20" t="n">
        <x:v>1</x:v>
      </x:c>
      <x:c r="G843" s="22" t="n">
        <x:f>IF(E843="LCU/USD",D843*F843,F843/D843)</x:f>
        <x:v>0.9377</x:v>
      </x:c>
      <x:c r="H843" s="12" t="str">
        <x:v>年均</x:v>
      </x:c>
      <x:c r="I843" s="12" t="str">
        <x:v>2012-01-01—2012-12-31</x:v>
      </x:c>
      <x:c r="J843" s="12" t="str">
        <x:v>FRB_CHF</x:v>
      </x:c>
      <x:c r="K843" s="12" t="str">
        <x:v>https://fred.stlouisfed.org/data/AEXSZUS</x:v>
      </x:c>
      <x:c r="L843" s="12" t="str"/>
      <x:c r="M843" s="12" t="str">
        <x:v>A：机构统计／原始统计表</x:v>
      </x:c>
    </x:row>
    <x:row r="844" ht="72" customHeight="1">
      <x:c r="A844" t="n">
        <x:v>2012</x:v>
      </x:c>
      <x:c r="B844" t="str">
        <x:v>INR</x:v>
      </x:c>
      <x:c r="C844" s="12" t="str">
        <x:v>印度卢比（INR）</x:v>
      </x:c>
      <x:c r="D844" s="24" t="n">
        <x:v>53.3743</x:v>
      </x:c>
      <x:c r="E844" s="20" t="str">
        <x:v>LCU/USD</x:v>
      </x:c>
      <x:c r="F844" s="20" t="n">
        <x:v>1</x:v>
      </x:c>
      <x:c r="G844" s="22" t="n">
        <x:f>IF(E844="LCU/USD",D844*F844,F844/D844)</x:f>
        <x:v>53.3743</x:v>
      </x:c>
      <x:c r="H844" s="12" t="str">
        <x:v>年均</x:v>
      </x:c>
      <x:c r="I844" s="12" t="str">
        <x:v>2012-01-01—2012-12-31</x:v>
      </x:c>
      <x:c r="J844" s="12" t="str">
        <x:v>FRB_INR</x:v>
      </x:c>
      <x:c r="K844" s="12" t="str">
        <x:v>https://fred.stlouisfed.org/data/AEXINUS</x:v>
      </x:c>
      <x:c r="L844" s="12" t="str"/>
      <x:c r="M844" s="12" t="str">
        <x:v>A：机构统计／原始统计表</x:v>
      </x:c>
    </x:row>
    <x:row r="845" ht="72" customHeight="1">
      <x:c r="A845" t="n">
        <x:v>2012</x:v>
      </x:c>
      <x:c r="B845" t="str">
        <x:v>RUB</x:v>
      </x:c>
      <x:c r="C845" s="12" t="str">
        <x:v>俄罗斯卢布（RUB；1998币制）</x:v>
      </x:c>
      <x:c r="D845" s="24" t="n">
        <x:v>31.0482610512356</x:v>
      </x:c>
      <x:c r="E845" s="20" t="str">
        <x:v>LCU/USD</x:v>
      </x:c>
      <x:c r="F845" s="20" t="n">
        <x:v>1</x:v>
      </x:c>
      <x:c r="G845" s="22" t="n">
        <x:f>IF(E845="LCU/USD",D845*F845,F845/D845)</x:f>
        <x:v>31.0482610512356</x:v>
      </x:c>
      <x:c r="H845" s="12" t="str">
        <x:v>年均</x:v>
      </x:c>
      <x:c r="I845" s="12" t="str">
        <x:v>2012-01-01—2012-12-31</x:v>
      </x:c>
      <x:c r="J845" s="12" t="str">
        <x:v>OECD_RUB</x:v>
      </x:c>
      <x:c r="K845" s="12" t="str">
        <x:v>https://fred.stlouisfed.org/data/CCUSMA02RUA618N</x:v>
      </x:c>
      <x:c r="L845" s="12" t="str"/>
      <x:c r="M845" s="12" t="str">
        <x:v>A：机构统计／原始统计表</x:v>
      </x:c>
    </x:row>
    <x:row r="846" ht="72" customHeight="1">
      <x:c r="A846" t="n">
        <x:v>2012</x:v>
      </x:c>
      <x:c r="B846" t="str">
        <x:v>CNY</x:v>
      </x:c>
      <x:c r="C846" s="12" t="str">
        <x:v>人民币元（1955币制；CNY）</x:v>
      </x:c>
      <x:c r="D846" s="24" t="n">
        <x:v>6.3093</x:v>
      </x:c>
      <x:c r="E846" s="20" t="str">
        <x:v>LCU/USD</x:v>
      </x:c>
      <x:c r="F846" s="20" t="n">
        <x:v>1</x:v>
      </x:c>
      <x:c r="G846" s="22" t="n">
        <x:f>IF(E846="LCU/USD",D846*F846,F846/D846)</x:f>
        <x:v>6.3093</x:v>
      </x:c>
      <x:c r="H846" s="12" t="str">
        <x:v>年均</x:v>
      </x:c>
      <x:c r="I846" s="12" t="str">
        <x:v>2012-01-01—2012-12-31</x:v>
      </x:c>
      <x:c r="J846" s="12" t="str">
        <x:v>FRB_CNY</x:v>
      </x:c>
      <x:c r="K846" s="12" t="str">
        <x:v>https://fred.stlouisfed.org/data/AEXCHUS</x:v>
      </x:c>
      <x:c r="L846" s="12" t="str"/>
      <x:c r="M846" s="12" t="str">
        <x:v>A：机构统计／原始统计表</x:v>
      </x:c>
    </x:row>
    <x:row r="847" ht="72" customHeight="1">
      <x:c r="A847" t="n">
        <x:v>2012</x:v>
      </x:c>
      <x:c r="B847" t="str">
        <x:v>EUR</x:v>
      </x:c>
      <x:c r="C847" s="12" t="str">
        <x:v>欧元（EUR）</x:v>
      </x:c>
      <x:c r="D847" s="24" t="n">
        <x:v>1.2859</x:v>
      </x:c>
      <x:c r="E847" s="20" t="str">
        <x:v>USD/LCU</x:v>
      </x:c>
      <x:c r="F847" s="20" t="n">
        <x:v>1</x:v>
      </x:c>
      <x:c r="G847" s="22" t="n">
        <x:f>IF(E847="LCU/USD",D847*F847,F847/D847)</x:f>
        <x:v>0.777665448324131</x:v>
      </x:c>
      <x:c r="H847" s="12" t="str">
        <x:v>年均</x:v>
      </x:c>
      <x:c r="I847" s="12" t="str">
        <x:v>2012-01-01—2012-12-31</x:v>
      </x:c>
      <x:c r="J847" s="12" t="str">
        <x:v>FRB_EUR</x:v>
      </x:c>
      <x:c r="K847" s="12" t="str">
        <x:v>https://fred.stlouisfed.org/data/AEXUSEU</x:v>
      </x:c>
      <x:c r="L847" s="12" t="str">
        <x:v>反向值由原报价均值取倒数；不等于反向日度汇率的算术平均。</x:v>
      </x:c>
      <x:c r="M847" s="12" t="str">
        <x:v>A：机构统计／原始统计表</x:v>
      </x:c>
    </x:row>
    <x:row r="848" ht="72" customHeight="1">
      <x:c r="A848" t="n">
        <x:v>2013</x:v>
      </x:c>
      <x:c r="B848" t="str">
        <x:v>GBP</x:v>
      </x:c>
      <x:c r="C848" s="12" t="str">
        <x:v>英镑（GBP）</x:v>
      </x:c>
      <x:c r="D848" s="24" t="n">
        <x:v>1.5642</x:v>
      </x:c>
      <x:c r="E848" s="20" t="str">
        <x:v>USD/LCU</x:v>
      </x:c>
      <x:c r="F848" s="20" t="n">
        <x:v>1</x:v>
      </x:c>
      <x:c r="G848" s="22" t="n">
        <x:f>IF(E848="LCU/USD",D848*F848,F848/D848)</x:f>
        <x:v>0.6393044367727911</x:v>
      </x:c>
      <x:c r="H848" s="12" t="str">
        <x:v>年均</x:v>
      </x:c>
      <x:c r="I848" s="12" t="str">
        <x:v>2013-01-01—2013-12-31</x:v>
      </x:c>
      <x:c r="J848" s="12" t="str">
        <x:v>FRB_GBP</x:v>
      </x:c>
      <x:c r="K848" s="12" t="str">
        <x:v>https://fred.stlouisfed.org/data/AEXUSUK</x:v>
      </x:c>
      <x:c r="L848" s="12" t="str">
        <x:v>反向值由原报价均值取倒数；不等于反向日度汇率的算术平均。</x:v>
      </x:c>
      <x:c r="M848" s="12" t="str">
        <x:v>A：机构统计／原始统计表</x:v>
      </x:c>
    </x:row>
    <x:row r="849" ht="72" customHeight="1">
      <x:c r="A849" t="n">
        <x:v>2013</x:v>
      </x:c>
      <x:c r="B849" t="str">
        <x:v>CAD</x:v>
      </x:c>
      <x:c r="C849" s="12" t="str">
        <x:v>加拿大元（CAD）</x:v>
      </x:c>
      <x:c r="D849" s="24" t="n">
        <x:v>1.03</x:v>
      </x:c>
      <x:c r="E849" s="20" t="str">
        <x:v>LCU/USD</x:v>
      </x:c>
      <x:c r="F849" s="20" t="n">
        <x:v>1</x:v>
      </x:c>
      <x:c r="G849" s="22" t="n">
        <x:f>IF(E849="LCU/USD",D849*F849,F849/D849)</x:f>
        <x:v>1.03</x:v>
      </x:c>
      <x:c r="H849" s="12" t="str">
        <x:v>年均</x:v>
      </x:c>
      <x:c r="I849" s="12" t="str">
        <x:v>2013-01-01—2013-12-31</x:v>
      </x:c>
      <x:c r="J849" s="12" t="str">
        <x:v>FRB_CAD</x:v>
      </x:c>
      <x:c r="K849" s="12" t="str">
        <x:v>https://fred.stlouisfed.org/data/AEXCAUS</x:v>
      </x:c>
      <x:c r="L849" s="12" t="str"/>
      <x:c r="M849" s="12" t="str">
        <x:v>A：机构统计／原始统计表</x:v>
      </x:c>
    </x:row>
    <x:row r="850" ht="72" customHeight="1">
      <x:c r="A850" t="n">
        <x:v>2013</x:v>
      </x:c>
      <x:c r="B850" t="str">
        <x:v>JPY</x:v>
      </x:c>
      <x:c r="C850" s="12" t="str">
        <x:v>日元（JPY）</x:v>
      </x:c>
      <x:c r="D850" s="24" t="n">
        <x:v>97.5971</x:v>
      </x:c>
      <x:c r="E850" s="20" t="str">
        <x:v>LCU/USD</x:v>
      </x:c>
      <x:c r="F850" s="20" t="n">
        <x:v>1</x:v>
      </x:c>
      <x:c r="G850" s="22" t="n">
        <x:f>IF(E850="LCU/USD",D850*F850,F850/D850)</x:f>
        <x:v>97.5971</x:v>
      </x:c>
      <x:c r="H850" s="12" t="str">
        <x:v>年均</x:v>
      </x:c>
      <x:c r="I850" s="12" t="str">
        <x:v>2013-01-01—2013-12-31</x:v>
      </x:c>
      <x:c r="J850" s="12" t="str">
        <x:v>FRB_JPY</x:v>
      </x:c>
      <x:c r="K850" s="12" t="str">
        <x:v>https://fred.stlouisfed.org/data/AEXJPUS</x:v>
      </x:c>
      <x:c r="L850" s="12" t="str"/>
      <x:c r="M850" s="12" t="str">
        <x:v>A：机构统计／原始统计表</x:v>
      </x:c>
    </x:row>
    <x:row r="851" ht="72" customHeight="1">
      <x:c r="A851" t="n">
        <x:v>2013</x:v>
      </x:c>
      <x:c r="B851" t="str">
        <x:v>CHF</x:v>
      </x:c>
      <x:c r="C851" s="12" t="str">
        <x:v>瑞士法郎（CHF）</x:v>
      </x:c>
      <x:c r="D851" s="24" t="n">
        <x:v>0.9269</x:v>
      </x:c>
      <x:c r="E851" s="20" t="str">
        <x:v>LCU/USD</x:v>
      </x:c>
      <x:c r="F851" s="20" t="n">
        <x:v>1</x:v>
      </x:c>
      <x:c r="G851" s="22" t="n">
        <x:f>IF(E851="LCU/USD",D851*F851,F851/D851)</x:f>
        <x:v>0.9269</x:v>
      </x:c>
      <x:c r="H851" s="12" t="str">
        <x:v>年均</x:v>
      </x:c>
      <x:c r="I851" s="12" t="str">
        <x:v>2013-01-01—2013-12-31</x:v>
      </x:c>
      <x:c r="J851" s="12" t="str">
        <x:v>FRB_CHF</x:v>
      </x:c>
      <x:c r="K851" s="12" t="str">
        <x:v>https://fred.stlouisfed.org/data/AEXSZUS</x:v>
      </x:c>
      <x:c r="L851" s="12" t="str"/>
      <x:c r="M851" s="12" t="str">
        <x:v>A：机构统计／原始统计表</x:v>
      </x:c>
    </x:row>
    <x:row r="852" ht="72" customHeight="1">
      <x:c r="A852" t="n">
        <x:v>2013</x:v>
      </x:c>
      <x:c r="B852" t="str">
        <x:v>INR</x:v>
      </x:c>
      <x:c r="C852" s="12" t="str">
        <x:v>印度卢比（INR）</x:v>
      </x:c>
      <x:c r="D852" s="24" t="n">
        <x:v>58.5149</x:v>
      </x:c>
      <x:c r="E852" s="20" t="str">
        <x:v>LCU/USD</x:v>
      </x:c>
      <x:c r="F852" s="20" t="n">
        <x:v>1</x:v>
      </x:c>
      <x:c r="G852" s="22" t="n">
        <x:f>IF(E852="LCU/USD",D852*F852,F852/D852)</x:f>
        <x:v>58.5149</x:v>
      </x:c>
      <x:c r="H852" s="12" t="str">
        <x:v>年均</x:v>
      </x:c>
      <x:c r="I852" s="12" t="str">
        <x:v>2013-01-01—2013-12-31</x:v>
      </x:c>
      <x:c r="J852" s="12" t="str">
        <x:v>FRB_INR</x:v>
      </x:c>
      <x:c r="K852" s="12" t="str">
        <x:v>https://fred.stlouisfed.org/data/AEXINUS</x:v>
      </x:c>
      <x:c r="L852" s="12" t="str"/>
      <x:c r="M852" s="12" t="str">
        <x:v>A：机构统计／原始统计表</x:v>
      </x:c>
    </x:row>
    <x:row r="853" ht="72" customHeight="1">
      <x:c r="A853" t="n">
        <x:v>2013</x:v>
      </x:c>
      <x:c r="B853" t="str">
        <x:v>RUB</x:v>
      </x:c>
      <x:c r="C853" s="12" t="str">
        <x:v>俄罗斯卢布（RUB；1998币制）</x:v>
      </x:c>
      <x:c r="D853" s="24" t="n">
        <x:v>31.858979352391</x:v>
      </x:c>
      <x:c r="E853" s="20" t="str">
        <x:v>LCU/USD</x:v>
      </x:c>
      <x:c r="F853" s="20" t="n">
        <x:v>1</x:v>
      </x:c>
      <x:c r="G853" s="22" t="n">
        <x:f>IF(E853="LCU/USD",D853*F853,F853/D853)</x:f>
        <x:v>31.858979352391</x:v>
      </x:c>
      <x:c r="H853" s="12" t="str">
        <x:v>年均</x:v>
      </x:c>
      <x:c r="I853" s="12" t="str">
        <x:v>2013-01-01—2013-12-31</x:v>
      </x:c>
      <x:c r="J853" s="12" t="str">
        <x:v>OECD_RUB</x:v>
      </x:c>
      <x:c r="K853" s="12" t="str">
        <x:v>https://fred.stlouisfed.org/data/CCUSMA02RUA618N</x:v>
      </x:c>
      <x:c r="L853" s="12" t="str"/>
      <x:c r="M853" s="12" t="str">
        <x:v>A：机构统计／原始统计表</x:v>
      </x:c>
    </x:row>
    <x:row r="854" ht="72" customHeight="1">
      <x:c r="A854" t="n">
        <x:v>2013</x:v>
      </x:c>
      <x:c r="B854" t="str">
        <x:v>CNY</x:v>
      </x:c>
      <x:c r="C854" s="12" t="str">
        <x:v>人民币元（1955币制；CNY）</x:v>
      </x:c>
      <x:c r="D854" s="24" t="n">
        <x:v>6.1478</x:v>
      </x:c>
      <x:c r="E854" s="20" t="str">
        <x:v>LCU/USD</x:v>
      </x:c>
      <x:c r="F854" s="20" t="n">
        <x:v>1</x:v>
      </x:c>
      <x:c r="G854" s="22" t="n">
        <x:f>IF(E854="LCU/USD",D854*F854,F854/D854)</x:f>
        <x:v>6.1478</x:v>
      </x:c>
      <x:c r="H854" s="12" t="str">
        <x:v>年均</x:v>
      </x:c>
      <x:c r="I854" s="12" t="str">
        <x:v>2013-01-01—2013-12-31</x:v>
      </x:c>
      <x:c r="J854" s="12" t="str">
        <x:v>FRB_CNY</x:v>
      </x:c>
      <x:c r="K854" s="12" t="str">
        <x:v>https://fred.stlouisfed.org/data/AEXCHUS</x:v>
      </x:c>
      <x:c r="L854" s="12" t="str"/>
      <x:c r="M854" s="12" t="str">
        <x:v>A：机构统计／原始统计表</x:v>
      </x:c>
    </x:row>
    <x:row r="855" ht="72" customHeight="1">
      <x:c r="A855" t="n">
        <x:v>2013</x:v>
      </x:c>
      <x:c r="B855" t="str">
        <x:v>EUR</x:v>
      </x:c>
      <x:c r="C855" s="12" t="str">
        <x:v>欧元（EUR）</x:v>
      </x:c>
      <x:c r="D855" s="24" t="n">
        <x:v>1.3281</x:v>
      </x:c>
      <x:c r="E855" s="20" t="str">
        <x:v>USD/LCU</x:v>
      </x:c>
      <x:c r="F855" s="20" t="n">
        <x:v>1</x:v>
      </x:c>
      <x:c r="G855" s="22" t="n">
        <x:f>IF(E855="LCU/USD",D855*F855,F855/D855)</x:f>
        <x:v>0.7529553497477599</x:v>
      </x:c>
      <x:c r="H855" s="12" t="str">
        <x:v>年均</x:v>
      </x:c>
      <x:c r="I855" s="12" t="str">
        <x:v>2013-01-01—2013-12-31</x:v>
      </x:c>
      <x:c r="J855" s="12" t="str">
        <x:v>FRB_EUR</x:v>
      </x:c>
      <x:c r="K855" s="12" t="str">
        <x:v>https://fred.stlouisfed.org/data/AEXUSEU</x:v>
      </x:c>
      <x:c r="L855" s="12" t="str">
        <x:v>反向值由原报价均值取倒数；不等于反向日度汇率的算术平均。</x:v>
      </x:c>
      <x:c r="M855" s="12" t="str">
        <x:v>A：机构统计／原始统计表</x:v>
      </x:c>
    </x:row>
    <x:row r="856" ht="72" customHeight="1">
      <x:c r="A856" t="n">
        <x:v>2014</x:v>
      </x:c>
      <x:c r="B856" t="str">
        <x:v>GBP</x:v>
      </x:c>
      <x:c r="C856" s="12" t="str">
        <x:v>英镑（GBP）</x:v>
      </x:c>
      <x:c r="D856" s="24" t="n">
        <x:v>1.6484</x:v>
      </x:c>
      <x:c r="E856" s="20" t="str">
        <x:v>USD/LCU</x:v>
      </x:c>
      <x:c r="F856" s="20" t="n">
        <x:v>1</x:v>
      </x:c>
      <x:c r="G856" s="22" t="n">
        <x:f>IF(E856="LCU/USD",D856*F856,F856/D856)</x:f>
        <x:v>0.6066488716330988</x:v>
      </x:c>
      <x:c r="H856" s="12" t="str">
        <x:v>年均</x:v>
      </x:c>
      <x:c r="I856" s="12" t="str">
        <x:v>2014-01-01—2014-12-31</x:v>
      </x:c>
      <x:c r="J856" s="12" t="str">
        <x:v>FRB_GBP</x:v>
      </x:c>
      <x:c r="K856" s="12" t="str">
        <x:v>https://fred.stlouisfed.org/data/AEXUSUK</x:v>
      </x:c>
      <x:c r="L856" s="12" t="str">
        <x:v>反向值由原报价均值取倒数；不等于反向日度汇率的算术平均。</x:v>
      </x:c>
      <x:c r="M856" s="12" t="str">
        <x:v>A：机构统计／原始统计表</x:v>
      </x:c>
    </x:row>
    <x:row r="857" ht="72" customHeight="1">
      <x:c r="A857" t="n">
        <x:v>2014</x:v>
      </x:c>
      <x:c r="B857" t="str">
        <x:v>CAD</x:v>
      </x:c>
      <x:c r="C857" s="12" t="str">
        <x:v>加拿大元（CAD）</x:v>
      </x:c>
      <x:c r="D857" s="24" t="n">
        <x:v>1.1043</x:v>
      </x:c>
      <x:c r="E857" s="20" t="str">
        <x:v>LCU/USD</x:v>
      </x:c>
      <x:c r="F857" s="20" t="n">
        <x:v>1</x:v>
      </x:c>
      <x:c r="G857" s="22" t="n">
        <x:f>IF(E857="LCU/USD",D857*F857,F857/D857)</x:f>
        <x:v>1.1043</x:v>
      </x:c>
      <x:c r="H857" s="12" t="str">
        <x:v>年均</x:v>
      </x:c>
      <x:c r="I857" s="12" t="str">
        <x:v>2014-01-01—2014-12-31</x:v>
      </x:c>
      <x:c r="J857" s="12" t="str">
        <x:v>FRB_CAD</x:v>
      </x:c>
      <x:c r="K857" s="12" t="str">
        <x:v>https://fred.stlouisfed.org/data/AEXCAUS</x:v>
      </x:c>
      <x:c r="L857" s="12" t="str"/>
      <x:c r="M857" s="12" t="str">
        <x:v>A：机构统计／原始统计表</x:v>
      </x:c>
    </x:row>
    <x:row r="858" ht="72" customHeight="1">
      <x:c r="A858" t="n">
        <x:v>2014</x:v>
      </x:c>
      <x:c r="B858" t="str">
        <x:v>JPY</x:v>
      </x:c>
      <x:c r="C858" s="12" t="str">
        <x:v>日元（JPY）</x:v>
      </x:c>
      <x:c r="D858" s="24" t="n">
        <x:v>105.7398</x:v>
      </x:c>
      <x:c r="E858" s="20" t="str">
        <x:v>LCU/USD</x:v>
      </x:c>
      <x:c r="F858" s="20" t="n">
        <x:v>1</x:v>
      </x:c>
      <x:c r="G858" s="22" t="n">
        <x:f>IF(E858="LCU/USD",D858*F858,F858/D858)</x:f>
        <x:v>105.7398</x:v>
      </x:c>
      <x:c r="H858" s="12" t="str">
        <x:v>年均</x:v>
      </x:c>
      <x:c r="I858" s="12" t="str">
        <x:v>2014-01-01—2014-12-31</x:v>
      </x:c>
      <x:c r="J858" s="12" t="str">
        <x:v>FRB_JPY</x:v>
      </x:c>
      <x:c r="K858" s="12" t="str">
        <x:v>https://fred.stlouisfed.org/data/AEXJPUS</x:v>
      </x:c>
      <x:c r="L858" s="12" t="str"/>
      <x:c r="M858" s="12" t="str">
        <x:v>A：机构统计／原始统计表</x:v>
      </x:c>
    </x:row>
    <x:row r="859" ht="72" customHeight="1">
      <x:c r="A859" t="n">
        <x:v>2014</x:v>
      </x:c>
      <x:c r="B859" t="str">
        <x:v>CHF</x:v>
      </x:c>
      <x:c r="C859" s="12" t="str">
        <x:v>瑞士法郎（CHF）</x:v>
      </x:c>
      <x:c r="D859" s="24" t="n">
        <x:v>0.9147</x:v>
      </x:c>
      <x:c r="E859" s="20" t="str">
        <x:v>LCU/USD</x:v>
      </x:c>
      <x:c r="F859" s="20" t="n">
        <x:v>1</x:v>
      </x:c>
      <x:c r="G859" s="22" t="n">
        <x:f>IF(E859="LCU/USD",D859*F859,F859/D859)</x:f>
        <x:v>0.9147</x:v>
      </x:c>
      <x:c r="H859" s="12" t="str">
        <x:v>年均</x:v>
      </x:c>
      <x:c r="I859" s="12" t="str">
        <x:v>2014-01-01—2014-12-31</x:v>
      </x:c>
      <x:c r="J859" s="12" t="str">
        <x:v>FRB_CHF</x:v>
      </x:c>
      <x:c r="K859" s="12" t="str">
        <x:v>https://fred.stlouisfed.org/data/AEXSZUS</x:v>
      </x:c>
      <x:c r="L859" s="12" t="str"/>
      <x:c r="M859" s="12" t="str">
        <x:v>A：机构统计／原始统计表</x:v>
      </x:c>
    </x:row>
    <x:row r="860" ht="72" customHeight="1">
      <x:c r="A860" t="n">
        <x:v>2014</x:v>
      </x:c>
      <x:c r="B860" t="str">
        <x:v>INR</x:v>
      </x:c>
      <x:c r="C860" s="12" t="str">
        <x:v>印度卢比（INR）</x:v>
      </x:c>
      <x:c r="D860" s="24" t="n">
        <x:v>60.9953</x:v>
      </x:c>
      <x:c r="E860" s="20" t="str">
        <x:v>LCU/USD</x:v>
      </x:c>
      <x:c r="F860" s="20" t="n">
        <x:v>1</x:v>
      </x:c>
      <x:c r="G860" s="22" t="n">
        <x:f>IF(E860="LCU/USD",D860*F860,F860/D860)</x:f>
        <x:v>60.9953</x:v>
      </x:c>
      <x:c r="H860" s="12" t="str">
        <x:v>年均</x:v>
      </x:c>
      <x:c r="I860" s="12" t="str">
        <x:v>2014-01-01—2014-12-31</x:v>
      </x:c>
      <x:c r="J860" s="12" t="str">
        <x:v>FRB_INR</x:v>
      </x:c>
      <x:c r="K860" s="12" t="str">
        <x:v>https://fred.stlouisfed.org/data/AEXINUS</x:v>
      </x:c>
      <x:c r="L860" s="12" t="str"/>
      <x:c r="M860" s="12" t="str">
        <x:v>A：机构统计／原始统计表</x:v>
      </x:c>
    </x:row>
    <x:row r="861" ht="72" customHeight="1">
      <x:c r="A861" t="n">
        <x:v>2014</x:v>
      </x:c>
      <x:c r="B861" t="str">
        <x:v>RUB</x:v>
      </x:c>
      <x:c r="C861" s="12" t="str">
        <x:v>俄罗斯卢布（RUB；1998币制）</x:v>
      </x:c>
      <x:c r="D861" s="24" t="n">
        <x:v>38.5941504697754</x:v>
      </x:c>
      <x:c r="E861" s="20" t="str">
        <x:v>LCU/USD</x:v>
      </x:c>
      <x:c r="F861" s="20" t="n">
        <x:v>1</x:v>
      </x:c>
      <x:c r="G861" s="22" t="n">
        <x:f>IF(E861="LCU/USD",D861*F861,F861/D861)</x:f>
        <x:v>38.5941504697754</x:v>
      </x:c>
      <x:c r="H861" s="12" t="str">
        <x:v>年均</x:v>
      </x:c>
      <x:c r="I861" s="12" t="str">
        <x:v>2014-01-01—2014-12-31</x:v>
      </x:c>
      <x:c r="J861" s="12" t="str">
        <x:v>OECD_RUB</x:v>
      </x:c>
      <x:c r="K861" s="12" t="str">
        <x:v>https://fred.stlouisfed.org/data/CCUSMA02RUA618N</x:v>
      </x:c>
      <x:c r="L861" s="12" t="str"/>
      <x:c r="M861" s="12" t="str">
        <x:v>A：机构统计／原始统计表</x:v>
      </x:c>
    </x:row>
    <x:row r="862" ht="72" customHeight="1">
      <x:c r="A862" t="n">
        <x:v>2014</x:v>
      </x:c>
      <x:c r="B862" t="str">
        <x:v>CNY</x:v>
      </x:c>
      <x:c r="C862" s="12" t="str">
        <x:v>人民币元（1955币制；CNY）</x:v>
      </x:c>
      <x:c r="D862" s="24" t="n">
        <x:v>6.162</x:v>
      </x:c>
      <x:c r="E862" s="20" t="str">
        <x:v>LCU/USD</x:v>
      </x:c>
      <x:c r="F862" s="20" t="n">
        <x:v>1</x:v>
      </x:c>
      <x:c r="G862" s="22" t="n">
        <x:f>IF(E862="LCU/USD",D862*F862,F862/D862)</x:f>
        <x:v>6.162</x:v>
      </x:c>
      <x:c r="H862" s="12" t="str">
        <x:v>年均</x:v>
      </x:c>
      <x:c r="I862" s="12" t="str">
        <x:v>2014-01-01—2014-12-31</x:v>
      </x:c>
      <x:c r="J862" s="12" t="str">
        <x:v>FRB_CNY</x:v>
      </x:c>
      <x:c r="K862" s="12" t="str">
        <x:v>https://fred.stlouisfed.org/data/AEXCHUS</x:v>
      </x:c>
      <x:c r="L862" s="12" t="str"/>
      <x:c r="M862" s="12" t="str">
        <x:v>A：机构统计／原始统计表</x:v>
      </x:c>
    </x:row>
    <x:row r="863" ht="72" customHeight="1">
      <x:c r="A863" t="n">
        <x:v>2014</x:v>
      </x:c>
      <x:c r="B863" t="str">
        <x:v>EUR</x:v>
      </x:c>
      <x:c r="C863" s="12" t="str">
        <x:v>欧元（EUR）</x:v>
      </x:c>
      <x:c r="D863" s="24" t="n">
        <x:v>1.3297</x:v>
      </x:c>
      <x:c r="E863" s="20" t="str">
        <x:v>USD/LCU</x:v>
      </x:c>
      <x:c r="F863" s="20" t="n">
        <x:v>1</x:v>
      </x:c>
      <x:c r="G863" s="22" t="n">
        <x:f>IF(E863="LCU/USD",D863*F863,F863/D863)</x:f>
        <x:v>0.7520493344363389</x:v>
      </x:c>
      <x:c r="H863" s="12" t="str">
        <x:v>年均</x:v>
      </x:c>
      <x:c r="I863" s="12" t="str">
        <x:v>2014-01-01—2014-12-31</x:v>
      </x:c>
      <x:c r="J863" s="12" t="str">
        <x:v>FRB_EUR</x:v>
      </x:c>
      <x:c r="K863" s="12" t="str">
        <x:v>https://fred.stlouisfed.org/data/AEXUSEU</x:v>
      </x:c>
      <x:c r="L863" s="12" t="str">
        <x:v>反向值由原报价均值取倒数；不等于反向日度汇率的算术平均。</x:v>
      </x:c>
      <x:c r="M863" s="12" t="str">
        <x:v>A：机构统计／原始统计表</x:v>
      </x:c>
    </x:row>
    <x:row r="864" ht="72" customHeight="1">
      <x:c r="A864" t="n">
        <x:v>2015</x:v>
      </x:c>
      <x:c r="B864" t="str">
        <x:v>GBP</x:v>
      </x:c>
      <x:c r="C864" s="12" t="str">
        <x:v>英镑（GBP）</x:v>
      </x:c>
      <x:c r="D864" s="24" t="n">
        <x:v>1.5284</x:v>
      </x:c>
      <x:c r="E864" s="20" t="str">
        <x:v>USD/LCU</x:v>
      </x:c>
      <x:c r="F864" s="20" t="n">
        <x:v>1</x:v>
      </x:c>
      <x:c r="G864" s="22" t="n">
        <x:f>IF(E864="LCU/USD",D864*F864,F864/D864)</x:f>
        <x:v>0.654278984559016</x:v>
      </x:c>
      <x:c r="H864" s="12" t="str">
        <x:v>年均</x:v>
      </x:c>
      <x:c r="I864" s="12" t="str">
        <x:v>2015-01-01—2015-12-31</x:v>
      </x:c>
      <x:c r="J864" s="12" t="str">
        <x:v>FRB_GBP</x:v>
      </x:c>
      <x:c r="K864" s="12" t="str">
        <x:v>https://fred.stlouisfed.org/data/AEXUSUK</x:v>
      </x:c>
      <x:c r="L864" s="12" t="str">
        <x:v>反向值由原报价均值取倒数；不等于反向日度汇率的算术平均。</x:v>
      </x:c>
      <x:c r="M864" s="12" t="str">
        <x:v>A：机构统计／原始统计表</x:v>
      </x:c>
    </x:row>
    <x:row r="865" ht="72" customHeight="1">
      <x:c r="A865" t="n">
        <x:v>2015</x:v>
      </x:c>
      <x:c r="B865" t="str">
        <x:v>CAD</x:v>
      </x:c>
      <x:c r="C865" s="12" t="str">
        <x:v>加拿大元（CAD）</x:v>
      </x:c>
      <x:c r="D865" s="24" t="n">
        <x:v>1.2791</x:v>
      </x:c>
      <x:c r="E865" s="20" t="str">
        <x:v>LCU/USD</x:v>
      </x:c>
      <x:c r="F865" s="20" t="n">
        <x:v>1</x:v>
      </x:c>
      <x:c r="G865" s="22" t="n">
        <x:f>IF(E865="LCU/USD",D865*F865,F865/D865)</x:f>
        <x:v>1.2791</x:v>
      </x:c>
      <x:c r="H865" s="12" t="str">
        <x:v>年均</x:v>
      </x:c>
      <x:c r="I865" s="12" t="str">
        <x:v>2015-01-01—2015-12-31</x:v>
      </x:c>
      <x:c r="J865" s="12" t="str">
        <x:v>FRB_CAD</x:v>
      </x:c>
      <x:c r="K865" s="12" t="str">
        <x:v>https://fred.stlouisfed.org/data/AEXCAUS</x:v>
      </x:c>
      <x:c r="L865" s="12" t="str"/>
      <x:c r="M865" s="12" t="str">
        <x:v>A：机构统计／原始统计表</x:v>
      </x:c>
    </x:row>
    <x:row r="866" ht="72" customHeight="1">
      <x:c r="A866" t="n">
        <x:v>2015</x:v>
      </x:c>
      <x:c r="B866" t="str">
        <x:v>JPY</x:v>
      </x:c>
      <x:c r="C866" s="12" t="str">
        <x:v>日元（JPY）</x:v>
      </x:c>
      <x:c r="D866" s="24" t="n">
        <x:v>121.0491</x:v>
      </x:c>
      <x:c r="E866" s="20" t="str">
        <x:v>LCU/USD</x:v>
      </x:c>
      <x:c r="F866" s="20" t="n">
        <x:v>1</x:v>
      </x:c>
      <x:c r="G866" s="22" t="n">
        <x:f>IF(E866="LCU/USD",D866*F866,F866/D866)</x:f>
        <x:v>121.0491</x:v>
      </x:c>
      <x:c r="H866" s="12" t="str">
        <x:v>年均</x:v>
      </x:c>
      <x:c r="I866" s="12" t="str">
        <x:v>2015-01-01—2015-12-31</x:v>
      </x:c>
      <x:c r="J866" s="12" t="str">
        <x:v>FRB_JPY</x:v>
      </x:c>
      <x:c r="K866" s="12" t="str">
        <x:v>https://fred.stlouisfed.org/data/AEXJPUS</x:v>
      </x:c>
      <x:c r="L866" s="12" t="str"/>
      <x:c r="M866" s="12" t="str">
        <x:v>A：机构统计／原始统计表</x:v>
      </x:c>
    </x:row>
    <x:row r="867" ht="72" customHeight="1">
      <x:c r="A867" t="n">
        <x:v>2015</x:v>
      </x:c>
      <x:c r="B867" t="str">
        <x:v>CHF</x:v>
      </x:c>
      <x:c r="C867" s="12" t="str">
        <x:v>瑞士法郎（CHF）</x:v>
      </x:c>
      <x:c r="D867" s="24" t="n">
        <x:v>0.9628</x:v>
      </x:c>
      <x:c r="E867" s="20" t="str">
        <x:v>LCU/USD</x:v>
      </x:c>
      <x:c r="F867" s="20" t="n">
        <x:v>1</x:v>
      </x:c>
      <x:c r="G867" s="22" t="n">
        <x:f>IF(E867="LCU/USD",D867*F867,F867/D867)</x:f>
        <x:v>0.9628</x:v>
      </x:c>
      <x:c r="H867" s="12" t="str">
        <x:v>年均</x:v>
      </x:c>
      <x:c r="I867" s="12" t="str">
        <x:v>2015-01-01—2015-12-31</x:v>
      </x:c>
      <x:c r="J867" s="12" t="str">
        <x:v>FRB_CHF</x:v>
      </x:c>
      <x:c r="K867" s="12" t="str">
        <x:v>https://fred.stlouisfed.org/data/AEXSZUS</x:v>
      </x:c>
      <x:c r="L867" s="12" t="str"/>
      <x:c r="M867" s="12" t="str">
        <x:v>A：机构统计／原始统计表</x:v>
      </x:c>
    </x:row>
    <x:row r="868" ht="72" customHeight="1">
      <x:c r="A868" t="n">
        <x:v>2015</x:v>
      </x:c>
      <x:c r="B868" t="str">
        <x:v>INR</x:v>
      </x:c>
      <x:c r="C868" s="12" t="str">
        <x:v>印度卢比（INR）</x:v>
      </x:c>
      <x:c r="D868" s="24" t="n">
        <x:v>64.1073</x:v>
      </x:c>
      <x:c r="E868" s="20" t="str">
        <x:v>LCU/USD</x:v>
      </x:c>
      <x:c r="F868" s="20" t="n">
        <x:v>1</x:v>
      </x:c>
      <x:c r="G868" s="22" t="n">
        <x:f>IF(E868="LCU/USD",D868*F868,F868/D868)</x:f>
        <x:v>64.1073</x:v>
      </x:c>
      <x:c r="H868" s="12" t="str">
        <x:v>年均</x:v>
      </x:c>
      <x:c r="I868" s="12" t="str">
        <x:v>2015-01-01—2015-12-31</x:v>
      </x:c>
      <x:c r="J868" s="12" t="str">
        <x:v>FRB_INR</x:v>
      </x:c>
      <x:c r="K868" s="12" t="str">
        <x:v>https://fred.stlouisfed.org/data/AEXINUS</x:v>
      </x:c>
      <x:c r="L868" s="12" t="str"/>
      <x:c r="M868" s="12" t="str">
        <x:v>A：机构统计／原始统计表</x:v>
      </x:c>
    </x:row>
    <x:row r="869" ht="72" customHeight="1">
      <x:c r="A869" t="n">
        <x:v>2015</x:v>
      </x:c>
      <x:c r="B869" t="str">
        <x:v>RUB</x:v>
      </x:c>
      <x:c r="C869" s="12" t="str">
        <x:v>俄罗斯卢布（RUB；1998币制）</x:v>
      </x:c>
      <x:c r="D869" s="24" t="n">
        <x:v>61.2624989166965</x:v>
      </x:c>
      <x:c r="E869" s="20" t="str">
        <x:v>LCU/USD</x:v>
      </x:c>
      <x:c r="F869" s="20" t="n">
        <x:v>1</x:v>
      </x:c>
      <x:c r="G869" s="22" t="n">
        <x:f>IF(E869="LCU/USD",D869*F869,F869/D869)</x:f>
        <x:v>61.2624989166965</x:v>
      </x:c>
      <x:c r="H869" s="12" t="str">
        <x:v>年均</x:v>
      </x:c>
      <x:c r="I869" s="12" t="str">
        <x:v>2015-01-01—2015-12-31</x:v>
      </x:c>
      <x:c r="J869" s="12" t="str">
        <x:v>OECD_RUB</x:v>
      </x:c>
      <x:c r="K869" s="12" t="str">
        <x:v>https://fred.stlouisfed.org/data/CCUSMA02RUA618N</x:v>
      </x:c>
      <x:c r="L869" s="12" t="str"/>
      <x:c r="M869" s="12" t="str">
        <x:v>A：机构统计／原始统计表</x:v>
      </x:c>
    </x:row>
    <x:row r="870" ht="72" customHeight="1">
      <x:c r="A870" t="n">
        <x:v>2015</x:v>
      </x:c>
      <x:c r="B870" t="str">
        <x:v>CNY</x:v>
      </x:c>
      <x:c r="C870" s="12" t="str">
        <x:v>人民币元（1955币制；CNY）</x:v>
      </x:c>
      <x:c r="D870" s="24" t="n">
        <x:v>6.2827</x:v>
      </x:c>
      <x:c r="E870" s="20" t="str">
        <x:v>LCU/USD</x:v>
      </x:c>
      <x:c r="F870" s="20" t="n">
        <x:v>1</x:v>
      </x:c>
      <x:c r="G870" s="22" t="n">
        <x:f>IF(E870="LCU/USD",D870*F870,F870/D870)</x:f>
        <x:v>6.2827</x:v>
      </x:c>
      <x:c r="H870" s="12" t="str">
        <x:v>年均</x:v>
      </x:c>
      <x:c r="I870" s="12" t="str">
        <x:v>2015-01-01—2015-12-31</x:v>
      </x:c>
      <x:c r="J870" s="12" t="str">
        <x:v>FRB_CNY</x:v>
      </x:c>
      <x:c r="K870" s="12" t="str">
        <x:v>https://fred.stlouisfed.org/data/AEXCHUS</x:v>
      </x:c>
      <x:c r="L870" s="12" t="str"/>
      <x:c r="M870" s="12" t="str">
        <x:v>A：机构统计／原始统计表</x:v>
      </x:c>
    </x:row>
    <x:row r="871" ht="72" customHeight="1">
      <x:c r="A871" t="n">
        <x:v>2015</x:v>
      </x:c>
      <x:c r="B871" t="str">
        <x:v>EUR</x:v>
      </x:c>
      <x:c r="C871" s="12" t="str">
        <x:v>欧元（EUR）</x:v>
      </x:c>
      <x:c r="D871" s="24" t="n">
        <x:v>1.1096</x:v>
      </x:c>
      <x:c r="E871" s="20" t="str">
        <x:v>USD/LCU</x:v>
      </x:c>
      <x:c r="F871" s="20" t="n">
        <x:v>1</x:v>
      </x:c>
      <x:c r="G871" s="22" t="n">
        <x:f>IF(E871="LCU/USD",D871*F871,F871/D871)</x:f>
        <x:v>0.9012256669069936</x:v>
      </x:c>
      <x:c r="H871" s="12" t="str">
        <x:v>年均</x:v>
      </x:c>
      <x:c r="I871" s="12" t="str">
        <x:v>2015-01-01—2015-12-31</x:v>
      </x:c>
      <x:c r="J871" s="12" t="str">
        <x:v>FRB_EUR</x:v>
      </x:c>
      <x:c r="K871" s="12" t="str">
        <x:v>https://fred.stlouisfed.org/data/AEXUSEU</x:v>
      </x:c>
      <x:c r="L871" s="12" t="str">
        <x:v>反向值由原报价均值取倒数；不等于反向日度汇率的算术平均。</x:v>
      </x:c>
      <x:c r="M871" s="12" t="str">
        <x:v>A：机构统计／原始统计表</x:v>
      </x:c>
    </x:row>
    <x:row r="872" ht="72" customHeight="1">
      <x:c r="A872" t="n">
        <x:v>2016</x:v>
      </x:c>
      <x:c r="B872" t="str">
        <x:v>GBP</x:v>
      </x:c>
      <x:c r="C872" s="12" t="str">
        <x:v>英镑（GBP）</x:v>
      </x:c>
      <x:c r="D872" s="24" t="n">
        <x:v>1.3555</x:v>
      </x:c>
      <x:c r="E872" s="20" t="str">
        <x:v>USD/LCU</x:v>
      </x:c>
      <x:c r="F872" s="20" t="n">
        <x:v>1</x:v>
      </x:c>
      <x:c r="G872" s="22" t="n">
        <x:f>IF(E872="LCU/USD",D872*F872,F872/D872)</x:f>
        <x:v>0.7377351530800443</x:v>
      </x:c>
      <x:c r="H872" s="12" t="str">
        <x:v>年均</x:v>
      </x:c>
      <x:c r="I872" s="12" t="str">
        <x:v>2016-01-01—2016-12-31</x:v>
      </x:c>
      <x:c r="J872" s="12" t="str">
        <x:v>FRB_GBP</x:v>
      </x:c>
      <x:c r="K872" s="12" t="str">
        <x:v>https://fred.stlouisfed.org/data/AEXUSUK</x:v>
      </x:c>
      <x:c r="L872" s="12" t="str">
        <x:v>反向值由原报价均值取倒数；不等于反向日度汇率的算术平均。</x:v>
      </x:c>
      <x:c r="M872" s="12" t="str">
        <x:v>A：机构统计／原始统计表</x:v>
      </x:c>
    </x:row>
    <x:row r="873" ht="72" customHeight="1">
      <x:c r="A873" t="n">
        <x:v>2016</x:v>
      </x:c>
      <x:c r="B873" t="str">
        <x:v>CAD</x:v>
      </x:c>
      <x:c r="C873" s="12" t="str">
        <x:v>加拿大元（CAD）</x:v>
      </x:c>
      <x:c r="D873" s="24" t="n">
        <x:v>1.3243</x:v>
      </x:c>
      <x:c r="E873" s="20" t="str">
        <x:v>LCU/USD</x:v>
      </x:c>
      <x:c r="F873" s="20" t="n">
        <x:v>1</x:v>
      </x:c>
      <x:c r="G873" s="22" t="n">
        <x:f>IF(E873="LCU/USD",D873*F873,F873/D873)</x:f>
        <x:v>1.3243</x:v>
      </x:c>
      <x:c r="H873" s="12" t="str">
        <x:v>年均</x:v>
      </x:c>
      <x:c r="I873" s="12" t="str">
        <x:v>2016-01-01—2016-12-31</x:v>
      </x:c>
      <x:c r="J873" s="12" t="str">
        <x:v>FRB_CAD</x:v>
      </x:c>
      <x:c r="K873" s="12" t="str">
        <x:v>https://fred.stlouisfed.org/data/AEXCAUS</x:v>
      </x:c>
      <x:c r="L873" s="12" t="str"/>
      <x:c r="M873" s="12" t="str">
        <x:v>A：机构统计／原始统计表</x:v>
      </x:c>
    </x:row>
    <x:row r="874" ht="72" customHeight="1">
      <x:c r="A874" t="n">
        <x:v>2016</x:v>
      </x:c>
      <x:c r="B874" t="str">
        <x:v>JPY</x:v>
      </x:c>
      <x:c r="C874" s="12" t="str">
        <x:v>日元（JPY）</x:v>
      </x:c>
      <x:c r="D874" s="24" t="n">
        <x:v>108.6569</x:v>
      </x:c>
      <x:c r="E874" s="20" t="str">
        <x:v>LCU/USD</x:v>
      </x:c>
      <x:c r="F874" s="20" t="n">
        <x:v>1</x:v>
      </x:c>
      <x:c r="G874" s="22" t="n">
        <x:f>IF(E874="LCU/USD",D874*F874,F874/D874)</x:f>
        <x:v>108.6569</x:v>
      </x:c>
      <x:c r="H874" s="12" t="str">
        <x:v>年均</x:v>
      </x:c>
      <x:c r="I874" s="12" t="str">
        <x:v>2016-01-01—2016-12-31</x:v>
      </x:c>
      <x:c r="J874" s="12" t="str">
        <x:v>FRB_JPY</x:v>
      </x:c>
      <x:c r="K874" s="12" t="str">
        <x:v>https://fred.stlouisfed.org/data/AEXJPUS</x:v>
      </x:c>
      <x:c r="L874" s="12" t="str"/>
      <x:c r="M874" s="12" t="str">
        <x:v>A：机构统计／原始统计表</x:v>
      </x:c>
    </x:row>
    <x:row r="875" ht="72" customHeight="1">
      <x:c r="A875" t="n">
        <x:v>2016</x:v>
      </x:c>
      <x:c r="B875" t="str">
        <x:v>CHF</x:v>
      </x:c>
      <x:c r="C875" s="12" t="str">
        <x:v>瑞士法郎（CHF）</x:v>
      </x:c>
      <x:c r="D875" s="24" t="n">
        <x:v>0.9848</x:v>
      </x:c>
      <x:c r="E875" s="20" t="str">
        <x:v>LCU/USD</x:v>
      </x:c>
      <x:c r="F875" s="20" t="n">
        <x:v>1</x:v>
      </x:c>
      <x:c r="G875" s="22" t="n">
        <x:f>IF(E875="LCU/USD",D875*F875,F875/D875)</x:f>
        <x:v>0.9848</x:v>
      </x:c>
      <x:c r="H875" s="12" t="str">
        <x:v>年均</x:v>
      </x:c>
      <x:c r="I875" s="12" t="str">
        <x:v>2016-01-01—2016-12-31</x:v>
      </x:c>
      <x:c r="J875" s="12" t="str">
        <x:v>FRB_CHF</x:v>
      </x:c>
      <x:c r="K875" s="12" t="str">
        <x:v>https://fred.stlouisfed.org/data/AEXSZUS</x:v>
      </x:c>
      <x:c r="L875" s="12" t="str"/>
      <x:c r="M875" s="12" t="str">
        <x:v>A：机构统计／原始统计表</x:v>
      </x:c>
    </x:row>
    <x:row r="876" ht="72" customHeight="1">
      <x:c r="A876" t="n">
        <x:v>2016</x:v>
      </x:c>
      <x:c r="B876" t="str">
        <x:v>INR</x:v>
      </x:c>
      <x:c r="C876" s="12" t="str">
        <x:v>印度卢比（INR）</x:v>
      </x:c>
      <x:c r="D876" s="24" t="n">
        <x:v>67.1572</x:v>
      </x:c>
      <x:c r="E876" s="20" t="str">
        <x:v>LCU/USD</x:v>
      </x:c>
      <x:c r="F876" s="20" t="n">
        <x:v>1</x:v>
      </x:c>
      <x:c r="G876" s="22" t="n">
        <x:f>IF(E876="LCU/USD",D876*F876,F876/D876)</x:f>
        <x:v>67.1572</x:v>
      </x:c>
      <x:c r="H876" s="12" t="str">
        <x:v>年均</x:v>
      </x:c>
      <x:c r="I876" s="12" t="str">
        <x:v>2016-01-01—2016-12-31</x:v>
      </x:c>
      <x:c r="J876" s="12" t="str">
        <x:v>FRB_INR</x:v>
      </x:c>
      <x:c r="K876" s="12" t="str">
        <x:v>https://fred.stlouisfed.org/data/AEXINUS</x:v>
      </x:c>
      <x:c r="L876" s="12" t="str"/>
      <x:c r="M876" s="12" t="str">
        <x:v>A：机构统计／原始统计表</x:v>
      </x:c>
    </x:row>
    <x:row r="877" ht="72" customHeight="1">
      <x:c r="A877" t="n">
        <x:v>2016</x:v>
      </x:c>
      <x:c r="B877" t="str">
        <x:v>RUB</x:v>
      </x:c>
      <x:c r="C877" s="12" t="str">
        <x:v>俄罗斯卢布（RUB；1998币制）</x:v>
      </x:c>
      <x:c r="D877" s="24" t="n">
        <x:v>67.0497423167645</x:v>
      </x:c>
      <x:c r="E877" s="20" t="str">
        <x:v>LCU/USD</x:v>
      </x:c>
      <x:c r="F877" s="20" t="n">
        <x:v>1</x:v>
      </x:c>
      <x:c r="G877" s="22" t="n">
        <x:f>IF(E877="LCU/USD",D877*F877,F877/D877)</x:f>
        <x:v>67.0497423167645</x:v>
      </x:c>
      <x:c r="H877" s="12" t="str">
        <x:v>年均</x:v>
      </x:c>
      <x:c r="I877" s="12" t="str">
        <x:v>2016-01-01—2016-12-31</x:v>
      </x:c>
      <x:c r="J877" s="12" t="str">
        <x:v>OECD_RUB</x:v>
      </x:c>
      <x:c r="K877" s="12" t="str">
        <x:v>https://fred.stlouisfed.org/data/CCUSMA02RUA618N</x:v>
      </x:c>
      <x:c r="L877" s="12" t="str"/>
      <x:c r="M877" s="12" t="str">
        <x:v>A：机构统计／原始统计表</x:v>
      </x:c>
    </x:row>
    <x:row r="878" ht="72" customHeight="1">
      <x:c r="A878" t="n">
        <x:v>2016</x:v>
      </x:c>
      <x:c r="B878" t="str">
        <x:v>CNY</x:v>
      </x:c>
      <x:c r="C878" s="12" t="str">
        <x:v>人民币元（1955币制；CNY）</x:v>
      </x:c>
      <x:c r="D878" s="24" t="n">
        <x:v>6.64</x:v>
      </x:c>
      <x:c r="E878" s="20" t="str">
        <x:v>LCU/USD</x:v>
      </x:c>
      <x:c r="F878" s="20" t="n">
        <x:v>1</x:v>
      </x:c>
      <x:c r="G878" s="22" t="n">
        <x:f>IF(E878="LCU/USD",D878*F878,F878/D878)</x:f>
        <x:v>6.64</x:v>
      </x:c>
      <x:c r="H878" s="12" t="str">
        <x:v>年均</x:v>
      </x:c>
      <x:c r="I878" s="12" t="str">
        <x:v>2016-01-01—2016-12-31</x:v>
      </x:c>
      <x:c r="J878" s="12" t="str">
        <x:v>FRB_CNY</x:v>
      </x:c>
      <x:c r="K878" s="12" t="str">
        <x:v>https://fred.stlouisfed.org/data/AEXCHUS</x:v>
      </x:c>
      <x:c r="L878" s="12" t="str"/>
      <x:c r="M878" s="12" t="str">
        <x:v>A：机构统计／原始统计表</x:v>
      </x:c>
    </x:row>
    <x:row r="879" ht="72" customHeight="1">
      <x:c r="A879" t="n">
        <x:v>2016</x:v>
      </x:c>
      <x:c r="B879" t="str">
        <x:v>EUR</x:v>
      </x:c>
      <x:c r="C879" s="12" t="str">
        <x:v>欧元（EUR）</x:v>
      </x:c>
      <x:c r="D879" s="24" t="n">
        <x:v>1.1072</x:v>
      </x:c>
      <x:c r="E879" s="20" t="str">
        <x:v>USD/LCU</x:v>
      </x:c>
      <x:c r="F879" s="20" t="n">
        <x:v>1</x:v>
      </x:c>
      <x:c r="G879" s="22" t="n">
        <x:f>IF(E879="LCU/USD",D879*F879,F879/D879)</x:f>
        <x:v>0.9031791907514451</x:v>
      </x:c>
      <x:c r="H879" s="12" t="str">
        <x:v>年均</x:v>
      </x:c>
      <x:c r="I879" s="12" t="str">
        <x:v>2016-01-01—2016-12-31</x:v>
      </x:c>
      <x:c r="J879" s="12" t="str">
        <x:v>FRB_EUR</x:v>
      </x:c>
      <x:c r="K879" s="12" t="str">
        <x:v>https://fred.stlouisfed.org/data/AEXUSEU</x:v>
      </x:c>
      <x:c r="L879" s="12" t="str">
        <x:v>反向值由原报价均值取倒数；不等于反向日度汇率的算术平均。</x:v>
      </x:c>
      <x:c r="M879" s="12" t="str">
        <x:v>A：机构统计／原始统计表</x:v>
      </x:c>
    </x:row>
    <x:row r="880" ht="72" customHeight="1">
      <x:c r="A880" t="n">
        <x:v>2017</x:v>
      </x:c>
      <x:c r="B880" t="str">
        <x:v>GBP</x:v>
      </x:c>
      <x:c r="C880" s="12" t="str">
        <x:v>英镑（GBP）</x:v>
      </x:c>
      <x:c r="D880" s="24" t="n">
        <x:v>1.289</x:v>
      </x:c>
      <x:c r="E880" s="20" t="str">
        <x:v>USD/LCU</x:v>
      </x:c>
      <x:c r="F880" s="20" t="n">
        <x:v>1</x:v>
      </x:c>
      <x:c r="G880" s="22" t="n">
        <x:f>IF(E880="LCU/USD",D880*F880,F880/D880)</x:f>
        <x:v>0.7757951900698216</x:v>
      </x:c>
      <x:c r="H880" s="12" t="str">
        <x:v>年均</x:v>
      </x:c>
      <x:c r="I880" s="12" t="str">
        <x:v>2017-01-01—2017-12-31</x:v>
      </x:c>
      <x:c r="J880" s="12" t="str">
        <x:v>FRB_GBP</x:v>
      </x:c>
      <x:c r="K880" s="12" t="str">
        <x:v>https://fred.stlouisfed.org/data/AEXUSUK</x:v>
      </x:c>
      <x:c r="L880" s="12" t="str">
        <x:v>反向值由原报价均值取倒数；不等于反向日度汇率的算术平均。</x:v>
      </x:c>
      <x:c r="M880" s="12" t="str">
        <x:v>A：机构统计／原始统计表</x:v>
      </x:c>
    </x:row>
    <x:row r="881" ht="72" customHeight="1">
      <x:c r="A881" t="n">
        <x:v>2017</x:v>
      </x:c>
      <x:c r="B881" t="str">
        <x:v>CAD</x:v>
      </x:c>
      <x:c r="C881" s="12" t="str">
        <x:v>加拿大元（CAD）</x:v>
      </x:c>
      <x:c r="D881" s="24" t="n">
        <x:v>1.2984</x:v>
      </x:c>
      <x:c r="E881" s="20" t="str">
        <x:v>LCU/USD</x:v>
      </x:c>
      <x:c r="F881" s="20" t="n">
        <x:v>1</x:v>
      </x:c>
      <x:c r="G881" s="22" t="n">
        <x:f>IF(E881="LCU/USD",D881*F881,F881/D881)</x:f>
        <x:v>1.2984</x:v>
      </x:c>
      <x:c r="H881" s="12" t="str">
        <x:v>年均</x:v>
      </x:c>
      <x:c r="I881" s="12" t="str">
        <x:v>2017-01-01—2017-12-31</x:v>
      </x:c>
      <x:c r="J881" s="12" t="str">
        <x:v>FRB_CAD</x:v>
      </x:c>
      <x:c r="K881" s="12" t="str">
        <x:v>https://fred.stlouisfed.org/data/AEXCAUS</x:v>
      </x:c>
      <x:c r="L881" s="12" t="str"/>
      <x:c r="M881" s="12" t="str">
        <x:v>A：机构统计／原始统计表</x:v>
      </x:c>
    </x:row>
    <x:row r="882" ht="72" customHeight="1">
      <x:c r="A882" t="n">
        <x:v>2017</x:v>
      </x:c>
      <x:c r="B882" t="str">
        <x:v>JPY</x:v>
      </x:c>
      <x:c r="C882" s="12" t="str">
        <x:v>日元（JPY）</x:v>
      </x:c>
      <x:c r="D882" s="24" t="n">
        <x:v>112.0986</x:v>
      </x:c>
      <x:c r="E882" s="20" t="str">
        <x:v>LCU/USD</x:v>
      </x:c>
      <x:c r="F882" s="20" t="n">
        <x:v>1</x:v>
      </x:c>
      <x:c r="G882" s="22" t="n">
        <x:f>IF(E882="LCU/USD",D882*F882,F882/D882)</x:f>
        <x:v>112.0986</x:v>
      </x:c>
      <x:c r="H882" s="12" t="str">
        <x:v>年均</x:v>
      </x:c>
      <x:c r="I882" s="12" t="str">
        <x:v>2017-01-01—2017-12-31</x:v>
      </x:c>
      <x:c r="J882" s="12" t="str">
        <x:v>FRB_JPY</x:v>
      </x:c>
      <x:c r="K882" s="12" t="str">
        <x:v>https://fred.stlouisfed.org/data/AEXJPUS</x:v>
      </x:c>
      <x:c r="L882" s="12" t="str"/>
      <x:c r="M882" s="12" t="str">
        <x:v>A：机构统计／原始统计表</x:v>
      </x:c>
    </x:row>
    <x:row r="883" ht="72" customHeight="1">
      <x:c r="A883" t="n">
        <x:v>2017</x:v>
      </x:c>
      <x:c r="B883" t="str">
        <x:v>CHF</x:v>
      </x:c>
      <x:c r="C883" s="12" t="str">
        <x:v>瑞士法郎（CHF）</x:v>
      </x:c>
      <x:c r="D883" s="24" t="n">
        <x:v>0.9842</x:v>
      </x:c>
      <x:c r="E883" s="20" t="str">
        <x:v>LCU/USD</x:v>
      </x:c>
      <x:c r="F883" s="20" t="n">
        <x:v>1</x:v>
      </x:c>
      <x:c r="G883" s="22" t="n">
        <x:f>IF(E883="LCU/USD",D883*F883,F883/D883)</x:f>
        <x:v>0.9842</x:v>
      </x:c>
      <x:c r="H883" s="12" t="str">
        <x:v>年均</x:v>
      </x:c>
      <x:c r="I883" s="12" t="str">
        <x:v>2017-01-01—2017-12-31</x:v>
      </x:c>
      <x:c r="J883" s="12" t="str">
        <x:v>FRB_CHF</x:v>
      </x:c>
      <x:c r="K883" s="12" t="str">
        <x:v>https://fred.stlouisfed.org/data/AEXSZUS</x:v>
      </x:c>
      <x:c r="L883" s="12" t="str"/>
      <x:c r="M883" s="12" t="str">
        <x:v>A：机构统计／原始统计表</x:v>
      </x:c>
    </x:row>
    <x:row r="884" ht="72" customHeight="1">
      <x:c r="A884" t="n">
        <x:v>2017</x:v>
      </x:c>
      <x:c r="B884" t="str">
        <x:v>INR</x:v>
      </x:c>
      <x:c r="C884" s="12" t="str">
        <x:v>印度卢比（INR）</x:v>
      </x:c>
      <x:c r="D884" s="24" t="n">
        <x:v>65.0659</x:v>
      </x:c>
      <x:c r="E884" s="20" t="str">
        <x:v>LCU/USD</x:v>
      </x:c>
      <x:c r="F884" s="20" t="n">
        <x:v>1</x:v>
      </x:c>
      <x:c r="G884" s="22" t="n">
        <x:f>IF(E884="LCU/USD",D884*F884,F884/D884)</x:f>
        <x:v>65.0659</x:v>
      </x:c>
      <x:c r="H884" s="12" t="str">
        <x:v>年均</x:v>
      </x:c>
      <x:c r="I884" s="12" t="str">
        <x:v>2017-01-01—2017-12-31</x:v>
      </x:c>
      <x:c r="J884" s="12" t="str">
        <x:v>FRB_INR</x:v>
      </x:c>
      <x:c r="K884" s="12" t="str">
        <x:v>https://fred.stlouisfed.org/data/AEXINUS</x:v>
      </x:c>
      <x:c r="L884" s="12" t="str"/>
      <x:c r="M884" s="12" t="str">
        <x:v>A：机构统计／原始统计表</x:v>
      </x:c>
    </x:row>
    <x:row r="885" ht="72" customHeight="1">
      <x:c r="A885" t="n">
        <x:v>2017</x:v>
      </x:c>
      <x:c r="B885" t="str">
        <x:v>RUB</x:v>
      </x:c>
      <x:c r="C885" s="12" t="str">
        <x:v>俄罗斯卢布（RUB；1998币制）</x:v>
      </x:c>
      <x:c r="D885" s="24" t="n">
        <x:v>58.3254524101986</x:v>
      </x:c>
      <x:c r="E885" s="20" t="str">
        <x:v>LCU/USD</x:v>
      </x:c>
      <x:c r="F885" s="20" t="n">
        <x:v>1</x:v>
      </x:c>
      <x:c r="G885" s="22" t="n">
        <x:f>IF(E885="LCU/USD",D885*F885,F885/D885)</x:f>
        <x:v>58.3254524101986</x:v>
      </x:c>
      <x:c r="H885" s="12" t="str">
        <x:v>年均</x:v>
      </x:c>
      <x:c r="I885" s="12" t="str">
        <x:v>2017-01-01—2017-12-31</x:v>
      </x:c>
      <x:c r="J885" s="12" t="str">
        <x:v>OECD_RUB</x:v>
      </x:c>
      <x:c r="K885" s="12" t="str">
        <x:v>https://fred.stlouisfed.org/data/CCUSMA02RUA618N</x:v>
      </x:c>
      <x:c r="L885" s="12" t="str"/>
      <x:c r="M885" s="12" t="str">
        <x:v>A：机构统计／原始统计表</x:v>
      </x:c>
    </x:row>
    <x:row r="886" ht="72" customHeight="1">
      <x:c r="A886" t="n">
        <x:v>2017</x:v>
      </x:c>
      <x:c r="B886" t="str">
        <x:v>CNY</x:v>
      </x:c>
      <x:c r="C886" s="12" t="str">
        <x:v>人民币元（1955币制；CNY）</x:v>
      </x:c>
      <x:c r="D886" s="24" t="n">
        <x:v>6.7569</x:v>
      </x:c>
      <x:c r="E886" s="20" t="str">
        <x:v>LCU/USD</x:v>
      </x:c>
      <x:c r="F886" s="20" t="n">
        <x:v>1</x:v>
      </x:c>
      <x:c r="G886" s="22" t="n">
        <x:f>IF(E886="LCU/USD",D886*F886,F886/D886)</x:f>
        <x:v>6.7569</x:v>
      </x:c>
      <x:c r="H886" s="12" t="str">
        <x:v>年均</x:v>
      </x:c>
      <x:c r="I886" s="12" t="str">
        <x:v>2017-01-01—2017-12-31</x:v>
      </x:c>
      <x:c r="J886" s="12" t="str">
        <x:v>FRB_CNY</x:v>
      </x:c>
      <x:c r="K886" s="12" t="str">
        <x:v>https://fred.stlouisfed.org/data/AEXCHUS</x:v>
      </x:c>
      <x:c r="L886" s="12" t="str"/>
      <x:c r="M886" s="12" t="str">
        <x:v>A：机构统计／原始统计表</x:v>
      </x:c>
    </x:row>
    <x:row r="887" ht="72" customHeight="1">
      <x:c r="A887" t="n">
        <x:v>2017</x:v>
      </x:c>
      <x:c r="B887" t="str">
        <x:v>EUR</x:v>
      </x:c>
      <x:c r="C887" s="12" t="str">
        <x:v>欧元（EUR）</x:v>
      </x:c>
      <x:c r="D887" s="24" t="n">
        <x:v>1.1301</x:v>
      </x:c>
      <x:c r="E887" s="20" t="str">
        <x:v>USD/LCU</x:v>
      </x:c>
      <x:c r="F887" s="20" t="n">
        <x:v>1</x:v>
      </x:c>
      <x:c r="G887" s="22" t="n">
        <x:f>IF(E887="LCU/USD",D887*F887,F887/D887)</x:f>
        <x:v>0.8848774444739402</x:v>
      </x:c>
      <x:c r="H887" s="12" t="str">
        <x:v>年均</x:v>
      </x:c>
      <x:c r="I887" s="12" t="str">
        <x:v>2017-01-01—2017-12-31</x:v>
      </x:c>
      <x:c r="J887" s="12" t="str">
        <x:v>FRB_EUR</x:v>
      </x:c>
      <x:c r="K887" s="12" t="str">
        <x:v>https://fred.stlouisfed.org/data/AEXUSEU</x:v>
      </x:c>
      <x:c r="L887" s="12" t="str">
        <x:v>反向值由原报价均值取倒数；不等于反向日度汇率的算术平均。</x:v>
      </x:c>
      <x:c r="M887" s="12" t="str">
        <x:v>A：机构统计／原始统计表</x:v>
      </x:c>
    </x:row>
    <x:row r="888" ht="72" customHeight="1">
      <x:c r="A888" t="n">
        <x:v>2018</x:v>
      </x:c>
      <x:c r="B888" t="str">
        <x:v>GBP</x:v>
      </x:c>
      <x:c r="C888" s="12" t="str">
        <x:v>英镑（GBP）</x:v>
      </x:c>
      <x:c r="D888" s="24" t="n">
        <x:v>1.3363</x:v>
      </x:c>
      <x:c r="E888" s="20" t="str">
        <x:v>USD/LCU</x:v>
      </x:c>
      <x:c r="F888" s="20" t="n">
        <x:v>1</x:v>
      </x:c>
      <x:c r="G888" s="22" t="n">
        <x:f>IF(E888="LCU/USD",D888*F888,F888/D888)</x:f>
        <x:v>0.7483349547257352</x:v>
      </x:c>
      <x:c r="H888" s="12" t="str">
        <x:v>年均</x:v>
      </x:c>
      <x:c r="I888" s="12" t="str">
        <x:v>2018-01-01—2018-12-31</x:v>
      </x:c>
      <x:c r="J888" s="12" t="str">
        <x:v>FRB_GBP</x:v>
      </x:c>
      <x:c r="K888" s="12" t="str">
        <x:v>https://fred.stlouisfed.org/data/AEXUSUK</x:v>
      </x:c>
      <x:c r="L888" s="12" t="str">
        <x:v>反向值由原报价均值取倒数；不等于反向日度汇率的算术平均。</x:v>
      </x:c>
      <x:c r="M888" s="12" t="str">
        <x:v>A：机构统计／原始统计表</x:v>
      </x:c>
    </x:row>
    <x:row r="889" ht="72" customHeight="1">
      <x:c r="A889" t="n">
        <x:v>2018</x:v>
      </x:c>
      <x:c r="B889" t="str">
        <x:v>CAD</x:v>
      </x:c>
      <x:c r="C889" s="12" t="str">
        <x:v>加拿大元（CAD）</x:v>
      </x:c>
      <x:c r="D889" s="24" t="n">
        <x:v>1.2957</x:v>
      </x:c>
      <x:c r="E889" s="20" t="str">
        <x:v>LCU/USD</x:v>
      </x:c>
      <x:c r="F889" s="20" t="n">
        <x:v>1</x:v>
      </x:c>
      <x:c r="G889" s="22" t="n">
        <x:f>IF(E889="LCU/USD",D889*F889,F889/D889)</x:f>
        <x:v>1.2957</x:v>
      </x:c>
      <x:c r="H889" s="12" t="str">
        <x:v>年均</x:v>
      </x:c>
      <x:c r="I889" s="12" t="str">
        <x:v>2018-01-01—2018-12-31</x:v>
      </x:c>
      <x:c r="J889" s="12" t="str">
        <x:v>FRB_CAD</x:v>
      </x:c>
      <x:c r="K889" s="12" t="str">
        <x:v>https://fred.stlouisfed.org/data/AEXCAUS</x:v>
      </x:c>
      <x:c r="L889" s="12" t="str"/>
      <x:c r="M889" s="12" t="str">
        <x:v>A：机构统计／原始统计表</x:v>
      </x:c>
    </x:row>
    <x:row r="890" ht="72" customHeight="1">
      <x:c r="A890" t="n">
        <x:v>2018</x:v>
      </x:c>
      <x:c r="B890" t="str">
        <x:v>JPY</x:v>
      </x:c>
      <x:c r="C890" s="12" t="str">
        <x:v>日元（JPY）</x:v>
      </x:c>
      <x:c r="D890" s="24" t="n">
        <x:v>110.3974</x:v>
      </x:c>
      <x:c r="E890" s="20" t="str">
        <x:v>LCU/USD</x:v>
      </x:c>
      <x:c r="F890" s="20" t="n">
        <x:v>1</x:v>
      </x:c>
      <x:c r="G890" s="22" t="n">
        <x:f>IF(E890="LCU/USD",D890*F890,F890/D890)</x:f>
        <x:v>110.3974</x:v>
      </x:c>
      <x:c r="H890" s="12" t="str">
        <x:v>年均</x:v>
      </x:c>
      <x:c r="I890" s="12" t="str">
        <x:v>2018-01-01—2018-12-31</x:v>
      </x:c>
      <x:c r="J890" s="12" t="str">
        <x:v>FRB_JPY</x:v>
      </x:c>
      <x:c r="K890" s="12" t="str">
        <x:v>https://fred.stlouisfed.org/data/AEXJPUS</x:v>
      </x:c>
      <x:c r="L890" s="12" t="str"/>
      <x:c r="M890" s="12" t="str">
        <x:v>A：机构统计／原始统计表</x:v>
      </x:c>
    </x:row>
    <x:row r="891" ht="72" customHeight="1">
      <x:c r="A891" t="n">
        <x:v>2018</x:v>
      </x:c>
      <x:c r="B891" t="str">
        <x:v>CHF</x:v>
      </x:c>
      <x:c r="C891" s="12" t="str">
        <x:v>瑞士法郎（CHF）</x:v>
      </x:c>
      <x:c r="D891" s="24" t="n">
        <x:v>0.9784</x:v>
      </x:c>
      <x:c r="E891" s="20" t="str">
        <x:v>LCU/USD</x:v>
      </x:c>
      <x:c r="F891" s="20" t="n">
        <x:v>1</x:v>
      </x:c>
      <x:c r="G891" s="22" t="n">
        <x:f>IF(E891="LCU/USD",D891*F891,F891/D891)</x:f>
        <x:v>0.9784</x:v>
      </x:c>
      <x:c r="H891" s="12" t="str">
        <x:v>年均</x:v>
      </x:c>
      <x:c r="I891" s="12" t="str">
        <x:v>2018-01-01—2018-12-31</x:v>
      </x:c>
      <x:c r="J891" s="12" t="str">
        <x:v>FRB_CHF</x:v>
      </x:c>
      <x:c r="K891" s="12" t="str">
        <x:v>https://fred.stlouisfed.org/data/AEXSZUS</x:v>
      </x:c>
      <x:c r="L891" s="12" t="str"/>
      <x:c r="M891" s="12" t="str">
        <x:v>A：机构统计／原始统计表</x:v>
      </x:c>
    </x:row>
    <x:row r="892" ht="72" customHeight="1">
      <x:c r="A892" t="n">
        <x:v>2018</x:v>
      </x:c>
      <x:c r="B892" t="str">
        <x:v>INR</x:v>
      </x:c>
      <x:c r="C892" s="12" t="str">
        <x:v>印度卢比（INR）</x:v>
      </x:c>
      <x:c r="D892" s="24" t="n">
        <x:v>68.3734</x:v>
      </x:c>
      <x:c r="E892" s="20" t="str">
        <x:v>LCU/USD</x:v>
      </x:c>
      <x:c r="F892" s="20" t="n">
        <x:v>1</x:v>
      </x:c>
      <x:c r="G892" s="22" t="n">
        <x:f>IF(E892="LCU/USD",D892*F892,F892/D892)</x:f>
        <x:v>68.3734</x:v>
      </x:c>
      <x:c r="H892" s="12" t="str">
        <x:v>年均</x:v>
      </x:c>
      <x:c r="I892" s="12" t="str">
        <x:v>2018-01-01—2018-12-31</x:v>
      </x:c>
      <x:c r="J892" s="12" t="str">
        <x:v>FRB_INR</x:v>
      </x:c>
      <x:c r="K892" s="12" t="str">
        <x:v>https://fred.stlouisfed.org/data/AEXINUS</x:v>
      </x:c>
      <x:c r="L892" s="12" t="str"/>
      <x:c r="M892" s="12" t="str">
        <x:v>A：机构统计／原始统计表</x:v>
      </x:c>
    </x:row>
    <x:row r="893" ht="72" customHeight="1">
      <x:c r="A893" t="n">
        <x:v>2018</x:v>
      </x:c>
      <x:c r="B893" t="str">
        <x:v>RUB</x:v>
      </x:c>
      <x:c r="C893" s="12" t="str">
        <x:v>俄罗斯卢布（RUB；1998币制）</x:v>
      </x:c>
      <x:c r="D893" s="24" t="n">
        <x:v>62.8053683632756</x:v>
      </x:c>
      <x:c r="E893" s="20" t="str">
        <x:v>LCU/USD</x:v>
      </x:c>
      <x:c r="F893" s="20" t="n">
        <x:v>1</x:v>
      </x:c>
      <x:c r="G893" s="22" t="n">
        <x:f>IF(E893="LCU/USD",D893*F893,F893/D893)</x:f>
        <x:v>62.8053683632756</x:v>
      </x:c>
      <x:c r="H893" s="12" t="str">
        <x:v>年均</x:v>
      </x:c>
      <x:c r="I893" s="12" t="str">
        <x:v>2018-01-01—2018-12-31</x:v>
      </x:c>
      <x:c r="J893" s="12" t="str">
        <x:v>OECD_RUB</x:v>
      </x:c>
      <x:c r="K893" s="12" t="str">
        <x:v>https://fred.stlouisfed.org/data/CCUSMA02RUA618N</x:v>
      </x:c>
      <x:c r="L893" s="12" t="str"/>
      <x:c r="M893" s="12" t="str">
        <x:v>A：机构统计／原始统计表</x:v>
      </x:c>
    </x:row>
    <x:row r="894" ht="72" customHeight="1">
      <x:c r="A894" t="n">
        <x:v>2018</x:v>
      </x:c>
      <x:c r="B894" t="str">
        <x:v>CNY</x:v>
      </x:c>
      <x:c r="C894" s="12" t="str">
        <x:v>人民币元（1955币制；CNY）</x:v>
      </x:c>
      <x:c r="D894" s="24" t="n">
        <x:v>6.609</x:v>
      </x:c>
      <x:c r="E894" s="20" t="str">
        <x:v>LCU/USD</x:v>
      </x:c>
      <x:c r="F894" s="20" t="n">
        <x:v>1</x:v>
      </x:c>
      <x:c r="G894" s="22" t="n">
        <x:f>IF(E894="LCU/USD",D894*F894,F894/D894)</x:f>
        <x:v>6.609</x:v>
      </x:c>
      <x:c r="H894" s="12" t="str">
        <x:v>年均</x:v>
      </x:c>
      <x:c r="I894" s="12" t="str">
        <x:v>2018-01-01—2018-12-31</x:v>
      </x:c>
      <x:c r="J894" s="12" t="str">
        <x:v>FRB_CNY</x:v>
      </x:c>
      <x:c r="K894" s="12" t="str">
        <x:v>https://fred.stlouisfed.org/data/AEXCHUS</x:v>
      </x:c>
      <x:c r="L894" s="12" t="str"/>
      <x:c r="M894" s="12" t="str">
        <x:v>A：机构统计／原始统计表</x:v>
      </x:c>
    </x:row>
    <x:row r="895" ht="72" customHeight="1">
      <x:c r="A895" t="n">
        <x:v>2018</x:v>
      </x:c>
      <x:c r="B895" t="str">
        <x:v>EUR</x:v>
      </x:c>
      <x:c r="C895" s="12" t="str">
        <x:v>欧元（EUR）</x:v>
      </x:c>
      <x:c r="D895" s="24" t="n">
        <x:v>1.1817</x:v>
      </x:c>
      <x:c r="E895" s="20" t="str">
        <x:v>USD/LCU</x:v>
      </x:c>
      <x:c r="F895" s="20" t="n">
        <x:v>1</x:v>
      </x:c>
      <x:c r="G895" s="22" t="n">
        <x:f>IF(E895="LCU/USD",D895*F895,F895/D895)</x:f>
        <x:v>0.8462384700008463</x:v>
      </x:c>
      <x:c r="H895" s="12" t="str">
        <x:v>年均</x:v>
      </x:c>
      <x:c r="I895" s="12" t="str">
        <x:v>2018-01-01—2018-12-31</x:v>
      </x:c>
      <x:c r="J895" s="12" t="str">
        <x:v>FRB_EUR</x:v>
      </x:c>
      <x:c r="K895" s="12" t="str">
        <x:v>https://fred.stlouisfed.org/data/AEXUSEU</x:v>
      </x:c>
      <x:c r="L895" s="12" t="str">
        <x:v>反向值由原报价均值取倒数；不等于反向日度汇率的算术平均。</x:v>
      </x:c>
      <x:c r="M895" s="12" t="str">
        <x:v>A：机构统计／原始统计表</x:v>
      </x:c>
    </x:row>
    <x:row r="896" ht="72" customHeight="1">
      <x:c r="A896" t="n">
        <x:v>2019</x:v>
      </x:c>
      <x:c r="B896" t="str">
        <x:v>GBP</x:v>
      </x:c>
      <x:c r="C896" s="12" t="str">
        <x:v>英镑（GBP）</x:v>
      </x:c>
      <x:c r="D896" s="24" t="n">
        <x:v>1.2768</x:v>
      </x:c>
      <x:c r="E896" s="20" t="str">
        <x:v>USD/LCU</x:v>
      </x:c>
      <x:c r="F896" s="20" t="n">
        <x:v>1</x:v>
      </x:c>
      <x:c r="G896" s="22" t="n">
        <x:f>IF(E896="LCU/USD",D896*F896,F896/D896)</x:f>
        <x:v>0.7832080200501254</x:v>
      </x:c>
      <x:c r="H896" s="12" t="str">
        <x:v>年均</x:v>
      </x:c>
      <x:c r="I896" s="12" t="str">
        <x:v>2019-01-01—2019-12-31</x:v>
      </x:c>
      <x:c r="J896" s="12" t="str">
        <x:v>FRB_GBP</x:v>
      </x:c>
      <x:c r="K896" s="12" t="str">
        <x:v>https://fred.stlouisfed.org/data/AEXUSUK</x:v>
      </x:c>
      <x:c r="L896" s="12" t="str">
        <x:v>反向值由原报价均值取倒数；不等于反向日度汇率的算术平均。</x:v>
      </x:c>
      <x:c r="M896" s="12" t="str">
        <x:v>A：机构统计／原始统计表</x:v>
      </x:c>
    </x:row>
    <x:row r="897" ht="72" customHeight="1">
      <x:c r="A897" t="n">
        <x:v>2019</x:v>
      </x:c>
      <x:c r="B897" t="str">
        <x:v>CAD</x:v>
      </x:c>
      <x:c r="C897" s="12" t="str">
        <x:v>加拿大元（CAD）</x:v>
      </x:c>
      <x:c r="D897" s="24" t="n">
        <x:v>1.3269</x:v>
      </x:c>
      <x:c r="E897" s="20" t="str">
        <x:v>LCU/USD</x:v>
      </x:c>
      <x:c r="F897" s="20" t="n">
        <x:v>1</x:v>
      </x:c>
      <x:c r="G897" s="22" t="n">
        <x:f>IF(E897="LCU/USD",D897*F897,F897/D897)</x:f>
        <x:v>1.3269</x:v>
      </x:c>
      <x:c r="H897" s="12" t="str">
        <x:v>年均</x:v>
      </x:c>
      <x:c r="I897" s="12" t="str">
        <x:v>2019-01-01—2019-12-31</x:v>
      </x:c>
      <x:c r="J897" s="12" t="str">
        <x:v>FRB_CAD</x:v>
      </x:c>
      <x:c r="K897" s="12" t="str">
        <x:v>https://fred.stlouisfed.org/data/AEXCAUS</x:v>
      </x:c>
      <x:c r="L897" s="12" t="str"/>
      <x:c r="M897" s="12" t="str">
        <x:v>A：机构统计／原始统计表</x:v>
      </x:c>
    </x:row>
    <x:row r="898" ht="72" customHeight="1">
      <x:c r="A898" t="n">
        <x:v>2019</x:v>
      </x:c>
      <x:c r="B898" t="str">
        <x:v>JPY</x:v>
      </x:c>
      <x:c r="C898" s="12" t="str">
        <x:v>日元（JPY）</x:v>
      </x:c>
      <x:c r="D898" s="24" t="n">
        <x:v>109.0188</x:v>
      </x:c>
      <x:c r="E898" s="20" t="str">
        <x:v>LCU/USD</x:v>
      </x:c>
      <x:c r="F898" s="20" t="n">
        <x:v>1</x:v>
      </x:c>
      <x:c r="G898" s="22" t="n">
        <x:f>IF(E898="LCU/USD",D898*F898,F898/D898)</x:f>
        <x:v>109.0188</x:v>
      </x:c>
      <x:c r="H898" s="12" t="str">
        <x:v>年均</x:v>
      </x:c>
      <x:c r="I898" s="12" t="str">
        <x:v>2019-01-01—2019-12-31</x:v>
      </x:c>
      <x:c r="J898" s="12" t="str">
        <x:v>FRB_JPY</x:v>
      </x:c>
      <x:c r="K898" s="12" t="str">
        <x:v>https://fred.stlouisfed.org/data/AEXJPUS</x:v>
      </x:c>
      <x:c r="L898" s="12" t="str"/>
      <x:c r="M898" s="12" t="str">
        <x:v>A：机构统计／原始统计表</x:v>
      </x:c>
    </x:row>
    <x:row r="899" ht="72" customHeight="1">
      <x:c r="A899" t="n">
        <x:v>2019</x:v>
      </x:c>
      <x:c r="B899" t="str">
        <x:v>CHF</x:v>
      </x:c>
      <x:c r="C899" s="12" t="str">
        <x:v>瑞士法郎（CHF）</x:v>
      </x:c>
      <x:c r="D899" s="24" t="n">
        <x:v>0.9937</x:v>
      </x:c>
      <x:c r="E899" s="20" t="str">
        <x:v>LCU/USD</x:v>
      </x:c>
      <x:c r="F899" s="20" t="n">
        <x:v>1</x:v>
      </x:c>
      <x:c r="G899" s="22" t="n">
        <x:f>IF(E899="LCU/USD",D899*F899,F899/D899)</x:f>
        <x:v>0.9937</x:v>
      </x:c>
      <x:c r="H899" s="12" t="str">
        <x:v>年均</x:v>
      </x:c>
      <x:c r="I899" s="12" t="str">
        <x:v>2019-01-01—2019-12-31</x:v>
      </x:c>
      <x:c r="J899" s="12" t="str">
        <x:v>FRB_CHF</x:v>
      </x:c>
      <x:c r="K899" s="12" t="str">
        <x:v>https://fred.stlouisfed.org/data/AEXSZUS</x:v>
      </x:c>
      <x:c r="L899" s="12" t="str"/>
      <x:c r="M899" s="12" t="str">
        <x:v>A：机构统计／原始统计表</x:v>
      </x:c>
    </x:row>
    <x:row r="900" ht="72" customHeight="1">
      <x:c r="A900" t="n">
        <x:v>2019</x:v>
      </x:c>
      <x:c r="B900" t="str">
        <x:v>INR</x:v>
      </x:c>
      <x:c r="C900" s="12" t="str">
        <x:v>印度卢比（INR）</x:v>
      </x:c>
      <x:c r="D900" s="24" t="n">
        <x:v>70.3777</x:v>
      </x:c>
      <x:c r="E900" s="20" t="str">
        <x:v>LCU/USD</x:v>
      </x:c>
      <x:c r="F900" s="20" t="n">
        <x:v>1</x:v>
      </x:c>
      <x:c r="G900" s="22" t="n">
        <x:f>IF(E900="LCU/USD",D900*F900,F900/D900)</x:f>
        <x:v>70.3777</x:v>
      </x:c>
      <x:c r="H900" s="12" t="str">
        <x:v>年均</x:v>
      </x:c>
      <x:c r="I900" s="12" t="str">
        <x:v>2019-01-01—2019-12-31</x:v>
      </x:c>
      <x:c r="J900" s="12" t="str">
        <x:v>FRB_INR</x:v>
      </x:c>
      <x:c r="K900" s="12" t="str">
        <x:v>https://fred.stlouisfed.org/data/AEXINUS</x:v>
      </x:c>
      <x:c r="L900" s="12" t="str"/>
      <x:c r="M900" s="12" t="str">
        <x:v>A：机构统计／原始统计表</x:v>
      </x:c>
    </x:row>
    <x:row r="901" ht="72" customHeight="1">
      <x:c r="A901" t="n">
        <x:v>2019</x:v>
      </x:c>
      <x:c r="B901" t="str">
        <x:v>RUB</x:v>
      </x:c>
      <x:c r="C901" s="12" t="str">
        <x:v>俄罗斯卢布（RUB；1998币制）</x:v>
      </x:c>
      <x:c r="D901" s="24" t="n">
        <x:v>64.7109272074236</x:v>
      </x:c>
      <x:c r="E901" s="20" t="str">
        <x:v>LCU/USD</x:v>
      </x:c>
      <x:c r="F901" s="20" t="n">
        <x:v>1</x:v>
      </x:c>
      <x:c r="G901" s="22" t="n">
        <x:f>IF(E901="LCU/USD",D901*F901,F901/D901)</x:f>
        <x:v>64.7109272074236</x:v>
      </x:c>
      <x:c r="H901" s="12" t="str">
        <x:v>年均</x:v>
      </x:c>
      <x:c r="I901" s="12" t="str">
        <x:v>2019-01-01—2019-12-31</x:v>
      </x:c>
      <x:c r="J901" s="12" t="str">
        <x:v>OECD_RUB</x:v>
      </x:c>
      <x:c r="K901" s="12" t="str">
        <x:v>https://fred.stlouisfed.org/data/CCUSMA02RUA618N</x:v>
      </x:c>
      <x:c r="L901" s="12" t="str"/>
      <x:c r="M901" s="12" t="str">
        <x:v>A：机构统计／原始统计表</x:v>
      </x:c>
    </x:row>
    <x:row r="902" ht="72" customHeight="1">
      <x:c r="A902" t="n">
        <x:v>2019</x:v>
      </x:c>
      <x:c r="B902" t="str">
        <x:v>CNY</x:v>
      </x:c>
      <x:c r="C902" s="12" t="str">
        <x:v>人民币元（1955币制；CNY）</x:v>
      </x:c>
      <x:c r="D902" s="24" t="n">
        <x:v>6.9081</x:v>
      </x:c>
      <x:c r="E902" s="20" t="str">
        <x:v>LCU/USD</x:v>
      </x:c>
      <x:c r="F902" s="20" t="n">
        <x:v>1</x:v>
      </x:c>
      <x:c r="G902" s="22" t="n">
        <x:f>IF(E902="LCU/USD",D902*F902,F902/D902)</x:f>
        <x:v>6.9081</x:v>
      </x:c>
      <x:c r="H902" s="12" t="str">
        <x:v>年均</x:v>
      </x:c>
      <x:c r="I902" s="12" t="str">
        <x:v>2019-01-01—2019-12-31</x:v>
      </x:c>
      <x:c r="J902" s="12" t="str">
        <x:v>FRB_CNY</x:v>
      </x:c>
      <x:c r="K902" s="12" t="str">
        <x:v>https://fred.stlouisfed.org/data/AEXCHUS</x:v>
      </x:c>
      <x:c r="L902" s="12" t="str"/>
      <x:c r="M902" s="12" t="str">
        <x:v>A：机构统计／原始统计表</x:v>
      </x:c>
    </x:row>
    <x:row r="903" ht="72" customHeight="1">
      <x:c r="A903" t="n">
        <x:v>2019</x:v>
      </x:c>
      <x:c r="B903" t="str">
        <x:v>EUR</x:v>
      </x:c>
      <x:c r="C903" s="12" t="str">
        <x:v>欧元（EUR）</x:v>
      </x:c>
      <x:c r="D903" s="24" t="n">
        <x:v>1.1194</x:v>
      </x:c>
      <x:c r="E903" s="20" t="str">
        <x:v>USD/LCU</x:v>
      </x:c>
      <x:c r="F903" s="20" t="n">
        <x:v>1</x:v>
      </x:c>
      <x:c r="G903" s="22" t="n">
        <x:f>IF(E903="LCU/USD",D903*F903,F903/D903)</x:f>
        <x:v>0.8933357155619082</x:v>
      </x:c>
      <x:c r="H903" s="12" t="str">
        <x:v>年均</x:v>
      </x:c>
      <x:c r="I903" s="12" t="str">
        <x:v>2019-01-01—2019-12-31</x:v>
      </x:c>
      <x:c r="J903" s="12" t="str">
        <x:v>FRB_EUR</x:v>
      </x:c>
      <x:c r="K903" s="12" t="str">
        <x:v>https://fred.stlouisfed.org/data/AEXUSEU</x:v>
      </x:c>
      <x:c r="L903" s="12" t="str">
        <x:v>反向值由原报价均值取倒数；不等于反向日度汇率的算术平均。</x:v>
      </x:c>
      <x:c r="M903" s="12" t="str">
        <x:v>A：机构统计／原始统计表</x:v>
      </x:c>
    </x:row>
    <x:row r="904" ht="72" customHeight="1">
      <x:c r="A904" t="n">
        <x:v>2020</x:v>
      </x:c>
      <x:c r="B904" t="str">
        <x:v>GBP</x:v>
      </x:c>
      <x:c r="C904" s="12" t="str">
        <x:v>英镑（GBP）</x:v>
      </x:c>
      <x:c r="D904" s="24" t="n">
        <x:v>1.2829</x:v>
      </x:c>
      <x:c r="E904" s="20" t="str">
        <x:v>USD/LCU</x:v>
      </x:c>
      <x:c r="F904" s="20" t="n">
        <x:v>1</x:v>
      </x:c>
      <x:c r="G904" s="22" t="n">
        <x:f>IF(E904="LCU/USD",D904*F904,F904/D904)</x:f>
        <x:v>0.7794839816041781</x:v>
      </x:c>
      <x:c r="H904" s="12" t="str">
        <x:v>年均</x:v>
      </x:c>
      <x:c r="I904" s="12" t="str">
        <x:v>2020-01-01—2020-12-31</x:v>
      </x:c>
      <x:c r="J904" s="12" t="str">
        <x:v>FRB_GBP</x:v>
      </x:c>
      <x:c r="K904" s="12" t="str">
        <x:v>https://fred.stlouisfed.org/data/AEXUSUK</x:v>
      </x:c>
      <x:c r="L904" s="12" t="str">
        <x:v>反向值由原报价均值取倒数；不等于反向日度汇率的算术平均。</x:v>
      </x:c>
      <x:c r="M904" s="12" t="str">
        <x:v>A：机构统计／原始统计表</x:v>
      </x:c>
    </x:row>
    <x:row r="905" ht="72" customHeight="1">
      <x:c r="A905" t="n">
        <x:v>2020</x:v>
      </x:c>
      <x:c r="B905" t="str">
        <x:v>CAD</x:v>
      </x:c>
      <x:c r="C905" s="12" t="str">
        <x:v>加拿大元（CAD）</x:v>
      </x:c>
      <x:c r="D905" s="24" t="n">
        <x:v>1.3422</x:v>
      </x:c>
      <x:c r="E905" s="20" t="str">
        <x:v>LCU/USD</x:v>
      </x:c>
      <x:c r="F905" s="20" t="n">
        <x:v>1</x:v>
      </x:c>
      <x:c r="G905" s="22" t="n">
        <x:f>IF(E905="LCU/USD",D905*F905,F905/D905)</x:f>
        <x:v>1.3422</x:v>
      </x:c>
      <x:c r="H905" s="12" t="str">
        <x:v>年均</x:v>
      </x:c>
      <x:c r="I905" s="12" t="str">
        <x:v>2020-01-01—2020-12-31</x:v>
      </x:c>
      <x:c r="J905" s="12" t="str">
        <x:v>FRB_CAD</x:v>
      </x:c>
      <x:c r="K905" s="12" t="str">
        <x:v>https://fred.stlouisfed.org/data/AEXCAUS</x:v>
      </x:c>
      <x:c r="L905" s="12" t="str"/>
      <x:c r="M905" s="12" t="str">
        <x:v>A：机构统计／原始统计表</x:v>
      </x:c>
    </x:row>
    <x:row r="906" ht="72" customHeight="1">
      <x:c r="A906" t="n">
        <x:v>2020</x:v>
      </x:c>
      <x:c r="B906" t="str">
        <x:v>JPY</x:v>
      </x:c>
      <x:c r="C906" s="12" t="str">
        <x:v>日元（JPY）</x:v>
      </x:c>
      <x:c r="D906" s="24" t="n">
        <x:v>106.7754</x:v>
      </x:c>
      <x:c r="E906" s="20" t="str">
        <x:v>LCU/USD</x:v>
      </x:c>
      <x:c r="F906" s="20" t="n">
        <x:v>1</x:v>
      </x:c>
      <x:c r="G906" s="22" t="n">
        <x:f>IF(E906="LCU/USD",D906*F906,F906/D906)</x:f>
        <x:v>106.7754</x:v>
      </x:c>
      <x:c r="H906" s="12" t="str">
        <x:v>年均</x:v>
      </x:c>
      <x:c r="I906" s="12" t="str">
        <x:v>2020-01-01—2020-12-31</x:v>
      </x:c>
      <x:c r="J906" s="12" t="str">
        <x:v>FRB_JPY</x:v>
      </x:c>
      <x:c r="K906" s="12" t="str">
        <x:v>https://fred.stlouisfed.org/data/AEXJPUS</x:v>
      </x:c>
      <x:c r="L906" s="12" t="str"/>
      <x:c r="M906" s="12" t="str">
        <x:v>A：机构统计／原始统计表</x:v>
      </x:c>
    </x:row>
    <x:row r="907" ht="72" customHeight="1">
      <x:c r="A907" t="n">
        <x:v>2020</x:v>
      </x:c>
      <x:c r="B907" t="str">
        <x:v>CHF</x:v>
      </x:c>
      <x:c r="C907" s="12" t="str">
        <x:v>瑞士法郎（CHF）</x:v>
      </x:c>
      <x:c r="D907" s="24" t="n">
        <x:v>0.9389</x:v>
      </x:c>
      <x:c r="E907" s="20" t="str">
        <x:v>LCU/USD</x:v>
      </x:c>
      <x:c r="F907" s="20" t="n">
        <x:v>1</x:v>
      </x:c>
      <x:c r="G907" s="22" t="n">
        <x:f>IF(E907="LCU/USD",D907*F907,F907/D907)</x:f>
        <x:v>0.9389</x:v>
      </x:c>
      <x:c r="H907" s="12" t="str">
        <x:v>年均</x:v>
      </x:c>
      <x:c r="I907" s="12" t="str">
        <x:v>2020-01-01—2020-12-31</x:v>
      </x:c>
      <x:c r="J907" s="12" t="str">
        <x:v>FRB_CHF</x:v>
      </x:c>
      <x:c r="K907" s="12" t="str">
        <x:v>https://fred.stlouisfed.org/data/AEXSZUS</x:v>
      </x:c>
      <x:c r="L907" s="12" t="str"/>
      <x:c r="M907" s="12" t="str">
        <x:v>A：机构统计／原始统计表</x:v>
      </x:c>
    </x:row>
    <x:row r="908" ht="72" customHeight="1">
      <x:c r="A908" t="n">
        <x:v>2020</x:v>
      </x:c>
      <x:c r="B908" t="str">
        <x:v>INR</x:v>
      </x:c>
      <x:c r="C908" s="12" t="str">
        <x:v>印度卢比（INR）</x:v>
      </x:c>
      <x:c r="D908" s="24" t="n">
        <x:v>74.1429</x:v>
      </x:c>
      <x:c r="E908" s="20" t="str">
        <x:v>LCU/USD</x:v>
      </x:c>
      <x:c r="F908" s="20" t="n">
        <x:v>1</x:v>
      </x:c>
      <x:c r="G908" s="22" t="n">
        <x:f>IF(E908="LCU/USD",D908*F908,F908/D908)</x:f>
        <x:v>74.1429</x:v>
      </x:c>
      <x:c r="H908" s="12" t="str">
        <x:v>年均</x:v>
      </x:c>
      <x:c r="I908" s="12" t="str">
        <x:v>2020-01-01—2020-12-31</x:v>
      </x:c>
      <x:c r="J908" s="12" t="str">
        <x:v>FRB_INR</x:v>
      </x:c>
      <x:c r="K908" s="12" t="str">
        <x:v>https://fred.stlouisfed.org/data/AEXINUS</x:v>
      </x:c>
      <x:c r="L908" s="12" t="str"/>
      <x:c r="M908" s="12" t="str">
        <x:v>A：机构统计／原始统计表</x:v>
      </x:c>
    </x:row>
    <x:row r="909" ht="72" customHeight="1">
      <x:c r="A909" t="n">
        <x:v>2020</x:v>
      </x:c>
      <x:c r="B909" t="str">
        <x:v>RUB</x:v>
      </x:c>
      <x:c r="C909" s="12" t="str">
        <x:v>俄罗斯卢布（RUB；1998币制）</x:v>
      </x:c>
      <x:c r="D909" s="24" t="n">
        <x:v>72.3242987211008</x:v>
      </x:c>
      <x:c r="E909" s="20" t="str">
        <x:v>LCU/USD</x:v>
      </x:c>
      <x:c r="F909" s="20" t="n">
        <x:v>1</x:v>
      </x:c>
      <x:c r="G909" s="22" t="n">
        <x:f>IF(E909="LCU/USD",D909*F909,F909/D909)</x:f>
        <x:v>72.3242987211008</x:v>
      </x:c>
      <x:c r="H909" s="12" t="str">
        <x:v>年均</x:v>
      </x:c>
      <x:c r="I909" s="12" t="str">
        <x:v>2020-01-01—2020-12-31</x:v>
      </x:c>
      <x:c r="J909" s="12" t="str">
        <x:v>OECD_RUB</x:v>
      </x:c>
      <x:c r="K909" s="12" t="str">
        <x:v>https://fred.stlouisfed.org/data/CCUSMA02RUA618N</x:v>
      </x:c>
      <x:c r="L909" s="12" t="str"/>
      <x:c r="M909" s="12" t="str">
        <x:v>A：机构统计／原始统计表</x:v>
      </x:c>
    </x:row>
    <x:row r="910" ht="72" customHeight="1">
      <x:c r="A910" t="n">
        <x:v>2020</x:v>
      </x:c>
      <x:c r="B910" t="str">
        <x:v>CNY</x:v>
      </x:c>
      <x:c r="C910" s="12" t="str">
        <x:v>人民币元（1955币制；CNY）</x:v>
      </x:c>
      <x:c r="D910" s="24" t="n">
        <x:v>6.9042</x:v>
      </x:c>
      <x:c r="E910" s="20" t="str">
        <x:v>LCU/USD</x:v>
      </x:c>
      <x:c r="F910" s="20" t="n">
        <x:v>1</x:v>
      </x:c>
      <x:c r="G910" s="22" t="n">
        <x:f>IF(E910="LCU/USD",D910*F910,F910/D910)</x:f>
        <x:v>6.9042</x:v>
      </x:c>
      <x:c r="H910" s="12" t="str">
        <x:v>年均</x:v>
      </x:c>
      <x:c r="I910" s="12" t="str">
        <x:v>2020-01-01—2020-12-31</x:v>
      </x:c>
      <x:c r="J910" s="12" t="str">
        <x:v>FRB_CNY</x:v>
      </x:c>
      <x:c r="K910" s="12" t="str">
        <x:v>https://fred.stlouisfed.org/data/AEXCHUS</x:v>
      </x:c>
      <x:c r="L910" s="12" t="str"/>
      <x:c r="M910" s="12" t="str">
        <x:v>A：机构统计／原始统计表</x:v>
      </x:c>
    </x:row>
    <x:row r="911" ht="72" customHeight="1">
      <x:c r="A911" t="n">
        <x:v>2020</x:v>
      </x:c>
      <x:c r="B911" t="str">
        <x:v>EUR</x:v>
      </x:c>
      <x:c r="C911" s="12" t="str">
        <x:v>欧元（EUR）</x:v>
      </x:c>
      <x:c r="D911" s="24" t="n">
        <x:v>1.141</x:v>
      </x:c>
      <x:c r="E911" s="20" t="str">
        <x:v>USD/LCU</x:v>
      </x:c>
      <x:c r="F911" s="20" t="n">
        <x:v>1</x:v>
      </x:c>
      <x:c r="G911" s="22" t="n">
        <x:f>IF(E911="LCU/USD",D911*F911,F911/D911)</x:f>
        <x:v>0.8764241893076249</x:v>
      </x:c>
      <x:c r="H911" s="12" t="str">
        <x:v>年均</x:v>
      </x:c>
      <x:c r="I911" s="12" t="str">
        <x:v>2020-01-01—2020-12-31</x:v>
      </x:c>
      <x:c r="J911" s="12" t="str">
        <x:v>FRB_EUR</x:v>
      </x:c>
      <x:c r="K911" s="12" t="str">
        <x:v>https://fred.stlouisfed.org/data/AEXUSEU</x:v>
      </x:c>
      <x:c r="L911" s="12" t="str">
        <x:v>反向值由原报价均值取倒数；不等于反向日度汇率的算术平均。</x:v>
      </x:c>
      <x:c r="M911" s="12" t="str">
        <x:v>A：机构统计／原始统计表</x:v>
      </x:c>
    </x:row>
    <x:row r="912" ht="72" customHeight="1">
      <x:c r="A912" t="n">
        <x:v>2021</x:v>
      </x:c>
      <x:c r="B912" t="str">
        <x:v>GBP</x:v>
      </x:c>
      <x:c r="C912" s="12" t="str">
        <x:v>英镑（GBP）</x:v>
      </x:c>
      <x:c r="D912" s="24" t="n">
        <x:v>1.3764</x:v>
      </x:c>
      <x:c r="E912" s="20" t="str">
        <x:v>USD/LCU</x:v>
      </x:c>
      <x:c r="F912" s="20" t="n">
        <x:v>1</x:v>
      </x:c>
      <x:c r="G912" s="22" t="n">
        <x:f>IF(E912="LCU/USD",D912*F912,F912/D912)</x:f>
        <x:v>0.7265329845975007</x:v>
      </x:c>
      <x:c r="H912" s="12" t="str">
        <x:v>年均</x:v>
      </x:c>
      <x:c r="I912" s="12" t="str">
        <x:v>2021-01-01—2021-12-31</x:v>
      </x:c>
      <x:c r="J912" s="12" t="str">
        <x:v>FRB_GBP</x:v>
      </x:c>
      <x:c r="K912" s="12" t="str">
        <x:v>https://fred.stlouisfed.org/data/AEXUSUK</x:v>
      </x:c>
      <x:c r="L912" s="12" t="str">
        <x:v>反向值由原报价均值取倒数；不等于反向日度汇率的算术平均。</x:v>
      </x:c>
      <x:c r="M912" s="12" t="str">
        <x:v>A：机构统计／原始统计表</x:v>
      </x:c>
    </x:row>
    <x:row r="913" ht="72" customHeight="1">
      <x:c r="A913" t="n">
        <x:v>2021</x:v>
      </x:c>
      <x:c r="B913" t="str">
        <x:v>CAD</x:v>
      </x:c>
      <x:c r="C913" s="12" t="str">
        <x:v>加拿大元（CAD）</x:v>
      </x:c>
      <x:c r="D913" s="24" t="n">
        <x:v>1.2533</x:v>
      </x:c>
      <x:c r="E913" s="20" t="str">
        <x:v>LCU/USD</x:v>
      </x:c>
      <x:c r="F913" s="20" t="n">
        <x:v>1</x:v>
      </x:c>
      <x:c r="G913" s="22" t="n">
        <x:f>IF(E913="LCU/USD",D913*F913,F913/D913)</x:f>
        <x:v>1.2533</x:v>
      </x:c>
      <x:c r="H913" s="12" t="str">
        <x:v>年均</x:v>
      </x:c>
      <x:c r="I913" s="12" t="str">
        <x:v>2021-01-01—2021-12-31</x:v>
      </x:c>
      <x:c r="J913" s="12" t="str">
        <x:v>FRB_CAD</x:v>
      </x:c>
      <x:c r="K913" s="12" t="str">
        <x:v>https://fred.stlouisfed.org/data/AEXCAUS</x:v>
      </x:c>
      <x:c r="L913" s="12" t="str"/>
      <x:c r="M913" s="12" t="str">
        <x:v>A：机构统计／原始统计表</x:v>
      </x:c>
    </x:row>
    <x:row r="914" ht="72" customHeight="1">
      <x:c r="A914" t="n">
        <x:v>2021</x:v>
      </x:c>
      <x:c r="B914" t="str">
        <x:v>JPY</x:v>
      </x:c>
      <x:c r="C914" s="12" t="str">
        <x:v>日元（JPY）</x:v>
      </x:c>
      <x:c r="D914" s="24" t="n">
        <x:v>109.8429</x:v>
      </x:c>
      <x:c r="E914" s="20" t="str">
        <x:v>LCU/USD</x:v>
      </x:c>
      <x:c r="F914" s="20" t="n">
        <x:v>1</x:v>
      </x:c>
      <x:c r="G914" s="22" t="n">
        <x:f>IF(E914="LCU/USD",D914*F914,F914/D914)</x:f>
        <x:v>109.8429</x:v>
      </x:c>
      <x:c r="H914" s="12" t="str">
        <x:v>年均</x:v>
      </x:c>
      <x:c r="I914" s="12" t="str">
        <x:v>2021-01-01—2021-12-31</x:v>
      </x:c>
      <x:c r="J914" s="12" t="str">
        <x:v>FRB_JPY</x:v>
      </x:c>
      <x:c r="K914" s="12" t="str">
        <x:v>https://fred.stlouisfed.org/data/AEXJPUS</x:v>
      </x:c>
      <x:c r="L914" s="12" t="str"/>
      <x:c r="M914" s="12" t="str">
        <x:v>A：机构统计／原始统计表</x:v>
      </x:c>
    </x:row>
    <x:row r="915" ht="72" customHeight="1">
      <x:c r="A915" t="n">
        <x:v>2021</x:v>
      </x:c>
      <x:c r="B915" t="str">
        <x:v>CHF</x:v>
      </x:c>
      <x:c r="C915" s="12" t="str">
        <x:v>瑞士法郎（CHF）</x:v>
      </x:c>
      <x:c r="D915" s="24" t="n">
        <x:v>0.9144</x:v>
      </x:c>
      <x:c r="E915" s="20" t="str">
        <x:v>LCU/USD</x:v>
      </x:c>
      <x:c r="F915" s="20" t="n">
        <x:v>1</x:v>
      </x:c>
      <x:c r="G915" s="22" t="n">
        <x:f>IF(E915="LCU/USD",D915*F915,F915/D915)</x:f>
        <x:v>0.9144</x:v>
      </x:c>
      <x:c r="H915" s="12" t="str">
        <x:v>年均</x:v>
      </x:c>
      <x:c r="I915" s="12" t="str">
        <x:v>2021-01-01—2021-12-31</x:v>
      </x:c>
      <x:c r="J915" s="12" t="str">
        <x:v>FRB_CHF</x:v>
      </x:c>
      <x:c r="K915" s="12" t="str">
        <x:v>https://fred.stlouisfed.org/data/AEXSZUS</x:v>
      </x:c>
      <x:c r="L915" s="12" t="str"/>
      <x:c r="M915" s="12" t="str">
        <x:v>A：机构统计／原始统计表</x:v>
      </x:c>
    </x:row>
    <x:row r="916" ht="72" customHeight="1">
      <x:c r="A916" t="n">
        <x:v>2021</x:v>
      </x:c>
      <x:c r="B916" t="str">
        <x:v>INR</x:v>
      </x:c>
      <x:c r="C916" s="12" t="str">
        <x:v>印度卢比（INR）</x:v>
      </x:c>
      <x:c r="D916" s="24" t="n">
        <x:v>73.9351</x:v>
      </x:c>
      <x:c r="E916" s="20" t="str">
        <x:v>LCU/USD</x:v>
      </x:c>
      <x:c r="F916" s="20" t="n">
        <x:v>1</x:v>
      </x:c>
      <x:c r="G916" s="22" t="n">
        <x:f>IF(E916="LCU/USD",D916*F916,F916/D916)</x:f>
        <x:v>73.9351</x:v>
      </x:c>
      <x:c r="H916" s="12" t="str">
        <x:v>年均</x:v>
      </x:c>
      <x:c r="I916" s="12" t="str">
        <x:v>2021-01-01—2021-12-31</x:v>
      </x:c>
      <x:c r="J916" s="12" t="str">
        <x:v>FRB_INR</x:v>
      </x:c>
      <x:c r="K916" s="12" t="str">
        <x:v>https://fred.stlouisfed.org/data/AEXINUS</x:v>
      </x:c>
      <x:c r="L916" s="12" t="str"/>
      <x:c r="M916" s="12" t="str">
        <x:v>A：机构统计／原始统计表</x:v>
      </x:c>
    </x:row>
    <x:row r="917" ht="72" customHeight="1">
      <x:c r="A917" t="n">
        <x:v>2021</x:v>
      </x:c>
      <x:c r="B917" t="str">
        <x:v>RUB</x:v>
      </x:c>
      <x:c r="C917" s="12" t="str">
        <x:v>俄罗斯卢布（RUB；1998币制）</x:v>
      </x:c>
      <x:c r="D917" s="24" t="n">
        <x:v>73.7056430817413</x:v>
      </x:c>
      <x:c r="E917" s="20" t="str">
        <x:v>LCU/USD</x:v>
      </x:c>
      <x:c r="F917" s="20" t="n">
        <x:v>1</x:v>
      </x:c>
      <x:c r="G917" s="22" t="n">
        <x:f>IF(E917="LCU/USD",D917*F917,F917/D917)</x:f>
        <x:v>73.7056430817413</x:v>
      </x:c>
      <x:c r="H917" s="12" t="str">
        <x:v>年均</x:v>
      </x:c>
      <x:c r="I917" s="12" t="str">
        <x:v>2021-01-01—2021-12-31</x:v>
      </x:c>
      <x:c r="J917" s="12" t="str">
        <x:v>OECD_RUB</x:v>
      </x:c>
      <x:c r="K917" s="12" t="str">
        <x:v>https://fred.stlouisfed.org/data/CCUSMA02RUA618N</x:v>
      </x:c>
      <x:c r="L917" s="12" t="str"/>
      <x:c r="M917" s="12" t="str">
        <x:v>A：机构统计／原始统计表</x:v>
      </x:c>
    </x:row>
    <x:row r="918" ht="72" customHeight="1">
      <x:c r="A918" t="n">
        <x:v>2021</x:v>
      </x:c>
      <x:c r="B918" t="str">
        <x:v>CNY</x:v>
      </x:c>
      <x:c r="C918" s="12" t="str">
        <x:v>人民币元（1955币制；CNY）</x:v>
      </x:c>
      <x:c r="D918" s="24" t="n">
        <x:v>6.4508</x:v>
      </x:c>
      <x:c r="E918" s="20" t="str">
        <x:v>LCU/USD</x:v>
      </x:c>
      <x:c r="F918" s="20" t="n">
        <x:v>1</x:v>
      </x:c>
      <x:c r="G918" s="22" t="n">
        <x:f>IF(E918="LCU/USD",D918*F918,F918/D918)</x:f>
        <x:v>6.4508</x:v>
      </x:c>
      <x:c r="H918" s="12" t="str">
        <x:v>年均</x:v>
      </x:c>
      <x:c r="I918" s="12" t="str">
        <x:v>2021-01-01—2021-12-31</x:v>
      </x:c>
      <x:c r="J918" s="12" t="str">
        <x:v>FRB_CNY</x:v>
      </x:c>
      <x:c r="K918" s="12" t="str">
        <x:v>https://fred.stlouisfed.org/data/AEXCHUS</x:v>
      </x:c>
      <x:c r="L918" s="12" t="str"/>
      <x:c r="M918" s="12" t="str">
        <x:v>A：机构统计／原始统计表</x:v>
      </x:c>
    </x:row>
    <x:row r="919" ht="72" customHeight="1">
      <x:c r="A919" t="n">
        <x:v>2021</x:v>
      </x:c>
      <x:c r="B919" t="str">
        <x:v>EUR</x:v>
      </x:c>
      <x:c r="C919" s="12" t="str">
        <x:v>欧元（EUR）</x:v>
      </x:c>
      <x:c r="D919" s="24" t="n">
        <x:v>1.183</x:v>
      </x:c>
      <x:c r="E919" s="20" t="str">
        <x:v>USD/LCU</x:v>
      </x:c>
      <x:c r="F919" s="20" t="n">
        <x:v>1</x:v>
      </x:c>
      <x:c r="G919" s="22" t="n">
        <x:f>IF(E919="LCU/USD",D919*F919,F919/D919)</x:f>
        <x:v>0.8453085376162299</x:v>
      </x:c>
      <x:c r="H919" s="12" t="str">
        <x:v>年均</x:v>
      </x:c>
      <x:c r="I919" s="12" t="str">
        <x:v>2021-01-01—2021-12-31</x:v>
      </x:c>
      <x:c r="J919" s="12" t="str">
        <x:v>FRB_EUR</x:v>
      </x:c>
      <x:c r="K919" s="12" t="str">
        <x:v>https://fred.stlouisfed.org/data/AEXUSEU</x:v>
      </x:c>
      <x:c r="L919" s="12" t="str">
        <x:v>反向值由原报价均值取倒数；不等于反向日度汇率的算术平均。</x:v>
      </x:c>
      <x:c r="M919" s="12" t="str">
        <x:v>A：机构统计／原始统计表</x:v>
      </x:c>
    </x:row>
    <x:row r="920" ht="72" customHeight="1">
      <x:c r="A920" t="n">
        <x:v>2022</x:v>
      </x:c>
      <x:c r="B920" t="str">
        <x:v>GBP</x:v>
      </x:c>
      <x:c r="C920" s="12" t="str">
        <x:v>英镑（GBP）</x:v>
      </x:c>
      <x:c r="D920" s="24" t="n">
        <x:v>1.2371</x:v>
      </x:c>
      <x:c r="E920" s="20" t="str">
        <x:v>USD/LCU</x:v>
      </x:c>
      <x:c r="F920" s="20" t="n">
        <x:v>1</x:v>
      </x:c>
      <x:c r="G920" s="22" t="n">
        <x:f>IF(E920="LCU/USD",D920*F920,F920/D920)</x:f>
        <x:v>0.8083420903726456</x:v>
      </x:c>
      <x:c r="H920" s="12" t="str">
        <x:v>年均</x:v>
      </x:c>
      <x:c r="I920" s="12" t="str">
        <x:v>2022-01-01—2022-12-31</x:v>
      </x:c>
      <x:c r="J920" s="12" t="str">
        <x:v>FRB_GBP</x:v>
      </x:c>
      <x:c r="K920" s="12" t="str">
        <x:v>https://fred.stlouisfed.org/data/AEXUSUK</x:v>
      </x:c>
      <x:c r="L920" s="12" t="str">
        <x:v>反向值由原报价均值取倒数；不等于反向日度汇率的算术平均。</x:v>
      </x:c>
      <x:c r="M920" s="12" t="str">
        <x:v>A：机构统计／原始统计表</x:v>
      </x:c>
    </x:row>
    <x:row r="921" ht="72" customHeight="1">
      <x:c r="A921" t="n">
        <x:v>2022</x:v>
      </x:c>
      <x:c r="B921" t="str">
        <x:v>CAD</x:v>
      </x:c>
      <x:c r="C921" s="12" t="str">
        <x:v>加拿大元（CAD）</x:v>
      </x:c>
      <x:c r="D921" s="24" t="n">
        <x:v>1.3014</x:v>
      </x:c>
      <x:c r="E921" s="20" t="str">
        <x:v>LCU/USD</x:v>
      </x:c>
      <x:c r="F921" s="20" t="n">
        <x:v>1</x:v>
      </x:c>
      <x:c r="G921" s="22" t="n">
        <x:f>IF(E921="LCU/USD",D921*F921,F921/D921)</x:f>
        <x:v>1.3014</x:v>
      </x:c>
      <x:c r="H921" s="12" t="str">
        <x:v>年均</x:v>
      </x:c>
      <x:c r="I921" s="12" t="str">
        <x:v>2022-01-01—2022-12-31</x:v>
      </x:c>
      <x:c r="J921" s="12" t="str">
        <x:v>FRB_CAD</x:v>
      </x:c>
      <x:c r="K921" s="12" t="str">
        <x:v>https://fred.stlouisfed.org/data/AEXCAUS</x:v>
      </x:c>
      <x:c r="L921" s="12" t="str"/>
      <x:c r="M921" s="12" t="str">
        <x:v>A：机构统计／原始统计表</x:v>
      </x:c>
    </x:row>
    <x:row r="922" ht="72" customHeight="1">
      <x:c r="A922" t="n">
        <x:v>2022</x:v>
      </x:c>
      <x:c r="B922" t="str">
        <x:v>JPY</x:v>
      </x:c>
      <x:c r="C922" s="12" t="str">
        <x:v>日元（JPY）</x:v>
      </x:c>
      <x:c r="D922" s="24" t="n">
        <x:v>131.4589</x:v>
      </x:c>
      <x:c r="E922" s="20" t="str">
        <x:v>LCU/USD</x:v>
      </x:c>
      <x:c r="F922" s="20" t="n">
        <x:v>1</x:v>
      </x:c>
      <x:c r="G922" s="22" t="n">
        <x:f>IF(E922="LCU/USD",D922*F922,F922/D922)</x:f>
        <x:v>131.4589</x:v>
      </x:c>
      <x:c r="H922" s="12" t="str">
        <x:v>年均</x:v>
      </x:c>
      <x:c r="I922" s="12" t="str">
        <x:v>2022-01-01—2022-12-31</x:v>
      </x:c>
      <x:c r="J922" s="12" t="str">
        <x:v>FRB_JPY</x:v>
      </x:c>
      <x:c r="K922" s="12" t="str">
        <x:v>https://fred.stlouisfed.org/data/AEXJPUS</x:v>
      </x:c>
      <x:c r="L922" s="12" t="str"/>
      <x:c r="M922" s="12" t="str">
        <x:v>A：机构统计／原始统计表</x:v>
      </x:c>
    </x:row>
    <x:row r="923" ht="72" customHeight="1">
      <x:c r="A923" t="n">
        <x:v>2022</x:v>
      </x:c>
      <x:c r="B923" t="str">
        <x:v>CHF</x:v>
      </x:c>
      <x:c r="C923" s="12" t="str">
        <x:v>瑞士法郎（CHF）</x:v>
      </x:c>
      <x:c r="D923" s="24" t="n">
        <x:v>0.955</x:v>
      </x:c>
      <x:c r="E923" s="20" t="str">
        <x:v>LCU/USD</x:v>
      </x:c>
      <x:c r="F923" s="20" t="n">
        <x:v>1</x:v>
      </x:c>
      <x:c r="G923" s="22" t="n">
        <x:f>IF(E923="LCU/USD",D923*F923,F923/D923)</x:f>
        <x:v>0.955</x:v>
      </x:c>
      <x:c r="H923" s="12" t="str">
        <x:v>年均</x:v>
      </x:c>
      <x:c r="I923" s="12" t="str">
        <x:v>2022-01-01—2022-12-31</x:v>
      </x:c>
      <x:c r="J923" s="12" t="str">
        <x:v>FRB_CHF</x:v>
      </x:c>
      <x:c r="K923" s="12" t="str">
        <x:v>https://fred.stlouisfed.org/data/AEXSZUS</x:v>
      </x:c>
      <x:c r="L923" s="12" t="str"/>
      <x:c r="M923" s="12" t="str">
        <x:v>A：机构统计／原始统计表</x:v>
      </x:c>
    </x:row>
    <x:row r="924" ht="72" customHeight="1">
      <x:c r="A924" t="n">
        <x:v>2022</x:v>
      </x:c>
      <x:c r="B924" t="str">
        <x:v>INR</x:v>
      </x:c>
      <x:c r="C924" s="12" t="str">
        <x:v>印度卢比（INR）</x:v>
      </x:c>
      <x:c r="D924" s="24" t="n">
        <x:v>78.5792</x:v>
      </x:c>
      <x:c r="E924" s="20" t="str">
        <x:v>LCU/USD</x:v>
      </x:c>
      <x:c r="F924" s="20" t="n">
        <x:v>1</x:v>
      </x:c>
      <x:c r="G924" s="22" t="n">
        <x:f>IF(E924="LCU/USD",D924*F924,F924/D924)</x:f>
        <x:v>78.5792</x:v>
      </x:c>
      <x:c r="H924" s="12" t="str">
        <x:v>年均</x:v>
      </x:c>
      <x:c r="I924" s="12" t="str">
        <x:v>2022-01-01—2022-12-31</x:v>
      </x:c>
      <x:c r="J924" s="12" t="str">
        <x:v>FRB_INR</x:v>
      </x:c>
      <x:c r="K924" s="12" t="str">
        <x:v>https://fred.stlouisfed.org/data/AEXINUS</x:v>
      </x:c>
      <x:c r="L924" s="12" t="str"/>
      <x:c r="M924" s="12" t="str">
        <x:v>A：机构统计／原始统计表</x:v>
      </x:c>
    </x:row>
    <x:row r="925" ht="72" customHeight="1">
      <x:c r="A925" t="n">
        <x:v>2022</x:v>
      </x:c>
      <x:c r="B925" t="str">
        <x:v>RUB</x:v>
      </x:c>
      <x:c r="C925" s="12" t="str">
        <x:v>俄罗斯卢布（RUB；1998币制）</x:v>
      </x:c>
      <x:c r="D925" s="24" t="n">
        <x:v>69.9168901377125</x:v>
      </x:c>
      <x:c r="E925" s="20" t="str">
        <x:v>LCU/USD</x:v>
      </x:c>
      <x:c r="F925" s="20" t="n">
        <x:v>1</x:v>
      </x:c>
      <x:c r="G925" s="22" t="n">
        <x:f>IF(E925="LCU/USD",D925*F925,F925/D925)</x:f>
        <x:v>69.9168901377125</x:v>
      </x:c>
      <x:c r="H925" s="12" t="str">
        <x:v>年均</x:v>
      </x:c>
      <x:c r="I925" s="12" t="str">
        <x:v>2022-01-01—2022-12-31</x:v>
      </x:c>
      <x:c r="J925" s="12" t="str">
        <x:v>OECD_RUB</x:v>
      </x:c>
      <x:c r="K925" s="12" t="str">
        <x:v>https://fred.stlouisfed.org/data/CCUSMA02RUA618N</x:v>
      </x:c>
      <x:c r="L925" s="12" t="str"/>
      <x:c r="M925" s="12" t="str">
        <x:v>A：机构统计／原始统计表</x:v>
      </x:c>
    </x:row>
    <x:row r="926" ht="72" customHeight="1">
      <x:c r="A926" t="n">
        <x:v>2022</x:v>
      </x:c>
      <x:c r="B926" t="str">
        <x:v>CNY</x:v>
      </x:c>
      <x:c r="C926" s="12" t="str">
        <x:v>人民币元（1955币制；CNY）</x:v>
      </x:c>
      <x:c r="D926" s="24" t="n">
        <x:v>6.729</x:v>
      </x:c>
      <x:c r="E926" s="20" t="str">
        <x:v>LCU/USD</x:v>
      </x:c>
      <x:c r="F926" s="20" t="n">
        <x:v>1</x:v>
      </x:c>
      <x:c r="G926" s="22" t="n">
        <x:f>IF(E926="LCU/USD",D926*F926,F926/D926)</x:f>
        <x:v>6.729</x:v>
      </x:c>
      <x:c r="H926" s="12" t="str">
        <x:v>年均</x:v>
      </x:c>
      <x:c r="I926" s="12" t="str">
        <x:v>2022-01-01—2022-12-31</x:v>
      </x:c>
      <x:c r="J926" s="12" t="str">
        <x:v>FRB_CNY</x:v>
      </x:c>
      <x:c r="K926" s="12" t="str">
        <x:v>https://fred.stlouisfed.org/data/AEXCHUS</x:v>
      </x:c>
      <x:c r="L926" s="12" t="str"/>
      <x:c r="M926" s="12" t="str">
        <x:v>A：机构统计／原始统计表</x:v>
      </x:c>
    </x:row>
    <x:row r="927" ht="72" customHeight="1">
      <x:c r="A927" t="n">
        <x:v>2022</x:v>
      </x:c>
      <x:c r="B927" t="str">
        <x:v>EUR</x:v>
      </x:c>
      <x:c r="C927" s="12" t="str">
        <x:v>欧元（EUR）</x:v>
      </x:c>
      <x:c r="D927" s="24" t="n">
        <x:v>1.0534</x:v>
      </x:c>
      <x:c r="E927" s="20" t="str">
        <x:v>USD/LCU</x:v>
      </x:c>
      <x:c r="F927" s="20" t="n">
        <x:v>1</x:v>
      </x:c>
      <x:c r="G927" s="22" t="n">
        <x:f>IF(E927="LCU/USD",D927*F927,F927/D927)</x:f>
        <x:v>0.9493070058857035</x:v>
      </x:c>
      <x:c r="H927" s="12" t="str">
        <x:v>年均</x:v>
      </x:c>
      <x:c r="I927" s="12" t="str">
        <x:v>2022-01-01—2022-12-31</x:v>
      </x:c>
      <x:c r="J927" s="12" t="str">
        <x:v>FRB_EUR</x:v>
      </x:c>
      <x:c r="K927" s="12" t="str">
        <x:v>https://fred.stlouisfed.org/data/AEXUSEU</x:v>
      </x:c>
      <x:c r="L927" s="12" t="str">
        <x:v>反向值由原报价均值取倒数；不等于反向日度汇率的算术平均。</x:v>
      </x:c>
      <x:c r="M927" s="12" t="str">
        <x:v>A：机构统计／原始统计表</x:v>
      </x:c>
    </x:row>
    <x:row r="928" ht="72" customHeight="1">
      <x:c r="A928" t="n">
        <x:v>2023</x:v>
      </x:c>
      <x:c r="B928" t="str">
        <x:v>GBP</x:v>
      </x:c>
      <x:c r="C928" s="12" t="str">
        <x:v>英镑（GBP）</x:v>
      </x:c>
      <x:c r="D928" s="24" t="n">
        <x:v>1.244</x:v>
      </x:c>
      <x:c r="E928" s="20" t="str">
        <x:v>USD/LCU</x:v>
      </x:c>
      <x:c r="F928" s="20" t="n">
        <x:v>1</x:v>
      </x:c>
      <x:c r="G928" s="22" t="n">
        <x:f>IF(E928="LCU/USD",D928*F928,F928/D928)</x:f>
        <x:v>0.8038585209003215</x:v>
      </x:c>
      <x:c r="H928" s="12" t="str">
        <x:v>年均</x:v>
      </x:c>
      <x:c r="I928" s="12" t="str">
        <x:v>2023-01-01—2023-12-31</x:v>
      </x:c>
      <x:c r="J928" s="12" t="str">
        <x:v>FRB_GBP</x:v>
      </x:c>
      <x:c r="K928" s="12" t="str">
        <x:v>https://fred.stlouisfed.org/data/AEXUSUK</x:v>
      </x:c>
      <x:c r="L928" s="12" t="str">
        <x:v>反向值由原报价均值取倒数；不等于反向日度汇率的算术平均。</x:v>
      </x:c>
      <x:c r="M928" s="12" t="str">
        <x:v>A：机构统计／原始统计表</x:v>
      </x:c>
    </x:row>
    <x:row r="929" ht="72" customHeight="1">
      <x:c r="A929" t="n">
        <x:v>2023</x:v>
      </x:c>
      <x:c r="B929" t="str">
        <x:v>CAD</x:v>
      </x:c>
      <x:c r="C929" s="12" t="str">
        <x:v>加拿大元（CAD）</x:v>
      </x:c>
      <x:c r="D929" s="24" t="n">
        <x:v>1.3494</x:v>
      </x:c>
      <x:c r="E929" s="20" t="str">
        <x:v>LCU/USD</x:v>
      </x:c>
      <x:c r="F929" s="20" t="n">
        <x:v>1</x:v>
      </x:c>
      <x:c r="G929" s="22" t="n">
        <x:f>IF(E929="LCU/USD",D929*F929,F929/D929)</x:f>
        <x:v>1.3494</x:v>
      </x:c>
      <x:c r="H929" s="12" t="str">
        <x:v>年均</x:v>
      </x:c>
      <x:c r="I929" s="12" t="str">
        <x:v>2023-01-01—2023-12-31</x:v>
      </x:c>
      <x:c r="J929" s="12" t="str">
        <x:v>FRB_CAD</x:v>
      </x:c>
      <x:c r="K929" s="12" t="str">
        <x:v>https://fred.stlouisfed.org/data/AEXCAUS</x:v>
      </x:c>
      <x:c r="L929" s="12" t="str"/>
      <x:c r="M929" s="12" t="str">
        <x:v>A：机构统计／原始统计表</x:v>
      </x:c>
    </x:row>
    <x:row r="930" ht="72" customHeight="1">
      <x:c r="A930" t="n">
        <x:v>2023</x:v>
      </x:c>
      <x:c r="B930" t="str">
        <x:v>JPY</x:v>
      </x:c>
      <x:c r="C930" s="12" t="str">
        <x:v>日元（JPY）</x:v>
      </x:c>
      <x:c r="D930" s="24" t="n">
        <x:v>140.5001</x:v>
      </x:c>
      <x:c r="E930" s="20" t="str">
        <x:v>LCU/USD</x:v>
      </x:c>
      <x:c r="F930" s="20" t="n">
        <x:v>1</x:v>
      </x:c>
      <x:c r="G930" s="22" t="n">
        <x:f>IF(E930="LCU/USD",D930*F930,F930/D930)</x:f>
        <x:v>140.5001</x:v>
      </x:c>
      <x:c r="H930" s="12" t="str">
        <x:v>年均</x:v>
      </x:c>
      <x:c r="I930" s="12" t="str">
        <x:v>2023-01-01—2023-12-31</x:v>
      </x:c>
      <x:c r="J930" s="12" t="str">
        <x:v>FRB_JPY</x:v>
      </x:c>
      <x:c r="K930" s="12" t="str">
        <x:v>https://fred.stlouisfed.org/data/AEXJPUS</x:v>
      </x:c>
      <x:c r="L930" s="12" t="str"/>
      <x:c r="M930" s="12" t="str">
        <x:v>A：机构统计／原始统计表</x:v>
      </x:c>
    </x:row>
    <x:row r="931" ht="72" customHeight="1">
      <x:c r="A931" t="n">
        <x:v>2023</x:v>
      </x:c>
      <x:c r="B931" t="str">
        <x:v>CHF</x:v>
      </x:c>
      <x:c r="C931" s="12" t="str">
        <x:v>瑞士法郎（CHF）</x:v>
      </x:c>
      <x:c r="D931" s="24" t="n">
        <x:v>0.8984</x:v>
      </x:c>
      <x:c r="E931" s="20" t="str">
        <x:v>LCU/USD</x:v>
      </x:c>
      <x:c r="F931" s="20" t="n">
        <x:v>1</x:v>
      </x:c>
      <x:c r="G931" s="22" t="n">
        <x:f>IF(E931="LCU/USD",D931*F931,F931/D931)</x:f>
        <x:v>0.8984</x:v>
      </x:c>
      <x:c r="H931" s="12" t="str">
        <x:v>年均</x:v>
      </x:c>
      <x:c r="I931" s="12" t="str">
        <x:v>2023-01-01—2023-12-31</x:v>
      </x:c>
      <x:c r="J931" s="12" t="str">
        <x:v>FRB_CHF</x:v>
      </x:c>
      <x:c r="K931" s="12" t="str">
        <x:v>https://fred.stlouisfed.org/data/AEXSZUS</x:v>
      </x:c>
      <x:c r="L931" s="12" t="str"/>
      <x:c r="M931" s="12" t="str">
        <x:v>A：机构统计／原始统计表</x:v>
      </x:c>
    </x:row>
    <x:row r="932" ht="72" customHeight="1">
      <x:c r="A932" t="n">
        <x:v>2023</x:v>
      </x:c>
      <x:c r="B932" t="str">
        <x:v>INR</x:v>
      </x:c>
      <x:c r="C932" s="12" t="str">
        <x:v>印度卢比（INR）</x:v>
      </x:c>
      <x:c r="D932" s="24" t="n">
        <x:v>82.5708</x:v>
      </x:c>
      <x:c r="E932" s="20" t="str">
        <x:v>LCU/USD</x:v>
      </x:c>
      <x:c r="F932" s="20" t="n">
        <x:v>1</x:v>
      </x:c>
      <x:c r="G932" s="22" t="n">
        <x:f>IF(E932="LCU/USD",D932*F932,F932/D932)</x:f>
        <x:v>82.5708</x:v>
      </x:c>
      <x:c r="H932" s="12" t="str">
        <x:v>年均</x:v>
      </x:c>
      <x:c r="I932" s="12" t="str">
        <x:v>2023-01-01—2023-12-31</x:v>
      </x:c>
      <x:c r="J932" s="12" t="str">
        <x:v>FRB_INR</x:v>
      </x:c>
      <x:c r="K932" s="12" t="str">
        <x:v>https://fred.stlouisfed.org/data/AEXINUS</x:v>
      </x:c>
      <x:c r="L932" s="12" t="str"/>
      <x:c r="M932" s="12" t="str">
        <x:v>A：机构统计／原始统计表</x:v>
      </x:c>
    </x:row>
    <x:row r="933" ht="72" customHeight="1">
      <x:c r="A933" t="n">
        <x:v>2023</x:v>
      </x:c>
      <x:c r="B933" t="str">
        <x:v>RUB</x:v>
      </x:c>
      <x:c r="C933" s="12" t="str">
        <x:v>俄罗斯卢布（RUB；1998币制）</x:v>
      </x:c>
      <x:c r="D933" s="24" t="n">
        <x:v>85.5356316526288</x:v>
      </x:c>
      <x:c r="E933" s="20" t="str">
        <x:v>LCU/USD</x:v>
      </x:c>
      <x:c r="F933" s="20" t="n">
        <x:v>1</x:v>
      </x:c>
      <x:c r="G933" s="22" t="n">
        <x:f>IF(E933="LCU/USD",D933*F933,F933/D933)</x:f>
        <x:v>85.5356316526288</x:v>
      </x:c>
      <x:c r="H933" s="12" t="str">
        <x:v>年均</x:v>
      </x:c>
      <x:c r="I933" s="12" t="str">
        <x:v>2023-01-01—2023-12-31</x:v>
      </x:c>
      <x:c r="J933" s="12" t="str">
        <x:v>OECD_RUB</x:v>
      </x:c>
      <x:c r="K933" s="12" t="str">
        <x:v>https://fred.stlouisfed.org/data/CCUSMA02RUA618N</x:v>
      </x:c>
      <x:c r="L933" s="12" t="str"/>
      <x:c r="M933" s="12" t="str">
        <x:v>A：机构统计／原始统计表</x:v>
      </x:c>
    </x:row>
    <x:row r="934" ht="72" customHeight="1">
      <x:c r="A934" t="n">
        <x:v>2023</x:v>
      </x:c>
      <x:c r="B934" t="str">
        <x:v>CNY</x:v>
      </x:c>
      <x:c r="C934" s="12" t="str">
        <x:v>人民币元（1955币制；CNY）</x:v>
      </x:c>
      <x:c r="D934" s="24" t="n">
        <x:v>7.0809</x:v>
      </x:c>
      <x:c r="E934" s="20" t="str">
        <x:v>LCU/USD</x:v>
      </x:c>
      <x:c r="F934" s="20" t="n">
        <x:v>1</x:v>
      </x:c>
      <x:c r="G934" s="22" t="n">
        <x:f>IF(E934="LCU/USD",D934*F934,F934/D934)</x:f>
        <x:v>7.0809</x:v>
      </x:c>
      <x:c r="H934" s="12" t="str">
        <x:v>年均</x:v>
      </x:c>
      <x:c r="I934" s="12" t="str">
        <x:v>2023-01-01—2023-12-31</x:v>
      </x:c>
      <x:c r="J934" s="12" t="str">
        <x:v>FRB_CNY</x:v>
      </x:c>
      <x:c r="K934" s="12" t="str">
        <x:v>https://fred.stlouisfed.org/data/AEXCHUS</x:v>
      </x:c>
      <x:c r="L934" s="12" t="str"/>
      <x:c r="M934" s="12" t="str">
        <x:v>A：机构统计／原始统计表</x:v>
      </x:c>
    </x:row>
    <x:row r="935" ht="72" customHeight="1">
      <x:c r="A935" t="n">
        <x:v>2023</x:v>
      </x:c>
      <x:c r="B935" t="str">
        <x:v>EUR</x:v>
      </x:c>
      <x:c r="C935" s="12" t="str">
        <x:v>欧元（EUR）</x:v>
      </x:c>
      <x:c r="D935" s="24" t="n">
        <x:v>1.0817</x:v>
      </x:c>
      <x:c r="E935" s="20" t="str">
        <x:v>USD/LCU</x:v>
      </x:c>
      <x:c r="F935" s="20" t="n">
        <x:v>1</x:v>
      </x:c>
      <x:c r="G935" s="22" t="n">
        <x:f>IF(E935="LCU/USD",D935*F935,F935/D935)</x:f>
        <x:v>0.924470740501063</x:v>
      </x:c>
      <x:c r="H935" s="12" t="str">
        <x:v>年均</x:v>
      </x:c>
      <x:c r="I935" s="12" t="str">
        <x:v>2023-01-01—2023-12-31</x:v>
      </x:c>
      <x:c r="J935" s="12" t="str">
        <x:v>FRB_EUR</x:v>
      </x:c>
      <x:c r="K935" s="12" t="str">
        <x:v>https://fred.stlouisfed.org/data/AEXUSEU</x:v>
      </x:c>
      <x:c r="L935" s="12" t="str">
        <x:v>反向值由原报价均值取倒数；不等于反向日度汇率的算术平均。</x:v>
      </x:c>
      <x:c r="M935" s="12" t="str">
        <x:v>A：机构统计／原始统计表</x:v>
      </x:c>
    </x:row>
    <x:row r="936" ht="72" customHeight="1">
      <x:c r="A936" t="n">
        <x:v>2024</x:v>
      </x:c>
      <x:c r="B936" t="str">
        <x:v>GBP</x:v>
      </x:c>
      <x:c r="C936" s="12" t="str">
        <x:v>英镑（GBP）</x:v>
      </x:c>
      <x:c r="D936" s="24" t="n">
        <x:v>1.2781</x:v>
      </x:c>
      <x:c r="E936" s="20" t="str">
        <x:v>USD/LCU</x:v>
      </x:c>
      <x:c r="F936" s="20" t="n">
        <x:v>1</x:v>
      </x:c>
      <x:c r="G936" s="22" t="n">
        <x:f>IF(E936="LCU/USD",D936*F936,F936/D936)</x:f>
        <x:v>0.7824113919098662</x:v>
      </x:c>
      <x:c r="H936" s="12" t="str">
        <x:v>年均</x:v>
      </x:c>
      <x:c r="I936" s="12" t="str">
        <x:v>2024-01-01—2024-12-31</x:v>
      </x:c>
      <x:c r="J936" s="12" t="str">
        <x:v>FRB_GBP</x:v>
      </x:c>
      <x:c r="K936" s="12" t="str">
        <x:v>https://fred.stlouisfed.org/data/AEXUSUK</x:v>
      </x:c>
      <x:c r="L936" s="12" t="str">
        <x:v>反向值由原报价均值取倒数；不等于反向日度汇率的算术平均。</x:v>
      </x:c>
      <x:c r="M936" s="12" t="str">
        <x:v>A：机构统计／原始统计表</x:v>
      </x:c>
    </x:row>
    <x:row r="937" ht="72" customHeight="1">
      <x:c r="A937" t="n">
        <x:v>2024</x:v>
      </x:c>
      <x:c r="B937" t="str">
        <x:v>CAD</x:v>
      </x:c>
      <x:c r="C937" s="12" t="str">
        <x:v>加拿大元（CAD）</x:v>
      </x:c>
      <x:c r="D937" s="24" t="n">
        <x:v>1.3699</x:v>
      </x:c>
      <x:c r="E937" s="20" t="str">
        <x:v>LCU/USD</x:v>
      </x:c>
      <x:c r="F937" s="20" t="n">
        <x:v>1</x:v>
      </x:c>
      <x:c r="G937" s="22" t="n">
        <x:f>IF(E937="LCU/USD",D937*F937,F937/D937)</x:f>
        <x:v>1.3699</x:v>
      </x:c>
      <x:c r="H937" s="12" t="str">
        <x:v>年均</x:v>
      </x:c>
      <x:c r="I937" s="12" t="str">
        <x:v>2024-01-01—2024-12-31</x:v>
      </x:c>
      <x:c r="J937" s="12" t="str">
        <x:v>FRB_CAD</x:v>
      </x:c>
      <x:c r="K937" s="12" t="str">
        <x:v>https://fred.stlouisfed.org/data/AEXCAUS</x:v>
      </x:c>
      <x:c r="L937" s="12" t="str"/>
      <x:c r="M937" s="12" t="str">
        <x:v>A：机构统计／原始统计表</x:v>
      </x:c>
    </x:row>
    <x:row r="938" ht="72" customHeight="1">
      <x:c r="A938" t="n">
        <x:v>2024</x:v>
      </x:c>
      <x:c r="B938" t="str">
        <x:v>JPY</x:v>
      </x:c>
      <x:c r="C938" s="12" t="str">
        <x:v>日元（JPY）</x:v>
      </x:c>
      <x:c r="D938" s="24" t="n">
        <x:v>151.4551</x:v>
      </x:c>
      <x:c r="E938" s="20" t="str">
        <x:v>LCU/USD</x:v>
      </x:c>
      <x:c r="F938" s="20" t="n">
        <x:v>1</x:v>
      </x:c>
      <x:c r="G938" s="22" t="n">
        <x:f>IF(E938="LCU/USD",D938*F938,F938/D938)</x:f>
        <x:v>151.4551</x:v>
      </x:c>
      <x:c r="H938" s="12" t="str">
        <x:v>年均</x:v>
      </x:c>
      <x:c r="I938" s="12" t="str">
        <x:v>2024-01-01—2024-12-31</x:v>
      </x:c>
      <x:c r="J938" s="12" t="str">
        <x:v>FRB_JPY</x:v>
      </x:c>
      <x:c r="K938" s="12" t="str">
        <x:v>https://fred.stlouisfed.org/data/AEXJPUS</x:v>
      </x:c>
      <x:c r="L938" s="12" t="str"/>
      <x:c r="M938" s="12" t="str">
        <x:v>A：机构统计／原始统计表</x:v>
      </x:c>
    </x:row>
    <x:row r="939" ht="72" customHeight="1">
      <x:c r="A939" t="n">
        <x:v>2024</x:v>
      </x:c>
      <x:c r="B939" t="str">
        <x:v>CHF</x:v>
      </x:c>
      <x:c r="C939" s="12" t="str">
        <x:v>瑞士法郎（CHF）</x:v>
      </x:c>
      <x:c r="D939" s="24" t="n">
        <x:v>0.8808</x:v>
      </x:c>
      <x:c r="E939" s="20" t="str">
        <x:v>LCU/USD</x:v>
      </x:c>
      <x:c r="F939" s="20" t="n">
        <x:v>1</x:v>
      </x:c>
      <x:c r="G939" s="22" t="n">
        <x:f>IF(E939="LCU/USD",D939*F939,F939/D939)</x:f>
        <x:v>0.8808</x:v>
      </x:c>
      <x:c r="H939" s="12" t="str">
        <x:v>年均</x:v>
      </x:c>
      <x:c r="I939" s="12" t="str">
        <x:v>2024-01-01—2024-12-31</x:v>
      </x:c>
      <x:c r="J939" s="12" t="str">
        <x:v>FRB_CHF</x:v>
      </x:c>
      <x:c r="K939" s="12" t="str">
        <x:v>https://fred.stlouisfed.org/data/AEXSZUS</x:v>
      </x:c>
      <x:c r="L939" s="12" t="str"/>
      <x:c r="M939" s="12" t="str">
        <x:v>A：机构统计／原始统计表</x:v>
      </x:c>
    </x:row>
    <x:row r="940" ht="72" customHeight="1">
      <x:c r="A940" t="n">
        <x:v>2024</x:v>
      </x:c>
      <x:c r="B940" t="str">
        <x:v>INR</x:v>
      </x:c>
      <x:c r="C940" s="12" t="str">
        <x:v>印度卢比（INR）</x:v>
      </x:c>
      <x:c r="D940" s="24" t="n">
        <x:v>83.6566</x:v>
      </x:c>
      <x:c r="E940" s="20" t="str">
        <x:v>LCU/USD</x:v>
      </x:c>
      <x:c r="F940" s="20" t="n">
        <x:v>1</x:v>
      </x:c>
      <x:c r="G940" s="22" t="n">
        <x:f>IF(E940="LCU/USD",D940*F940,F940/D940)</x:f>
        <x:v>83.6566</x:v>
      </x:c>
      <x:c r="H940" s="12" t="str">
        <x:v>年均</x:v>
      </x:c>
      <x:c r="I940" s="12" t="str">
        <x:v>2024-01-01—2024-12-31</x:v>
      </x:c>
      <x:c r="J940" s="12" t="str">
        <x:v>FRB_INR</x:v>
      </x:c>
      <x:c r="K940" s="12" t="str">
        <x:v>https://fred.stlouisfed.org/data/AEXINUS</x:v>
      </x:c>
      <x:c r="L940" s="12" t="str"/>
      <x:c r="M940" s="12" t="str">
        <x:v>A：机构统计／原始统计表</x:v>
      </x:c>
    </x:row>
    <x:row r="941" ht="72" customHeight="1">
      <x:c r="A941" t="n">
        <x:v>2024</x:v>
      </x:c>
      <x:c r="B941" t="str">
        <x:v>RUB</x:v>
      </x:c>
      <x:c r="C941" s="12" t="str">
        <x:v>俄罗斯卢布（RUB；1998币制）</x:v>
      </x:c>
      <x:c r="D941" s="24" t="n">
        <x:v>92.8837619495656</x:v>
      </x:c>
      <x:c r="E941" s="20" t="str">
        <x:v>LCU/USD</x:v>
      </x:c>
      <x:c r="F941" s="20" t="n">
        <x:v>1</x:v>
      </x:c>
      <x:c r="G941" s="22" t="n">
        <x:f>IF(E941="LCU/USD",D941*F941,F941/D941)</x:f>
        <x:v>92.8837619495656</x:v>
      </x:c>
      <x:c r="H941" s="12" t="str">
        <x:v>年均</x:v>
      </x:c>
      <x:c r="I941" s="12" t="str">
        <x:v>2024-01-01—2024-12-31</x:v>
      </x:c>
      <x:c r="J941" s="12" t="str">
        <x:v>OECD_RUB</x:v>
      </x:c>
      <x:c r="K941" s="12" t="str">
        <x:v>https://fred.stlouisfed.org/data/CCUSMA02RUA618N</x:v>
      </x:c>
      <x:c r="L941" s="12" t="str"/>
      <x:c r="M941" s="12" t="str">
        <x:v>A：机构统计／原始统计表</x:v>
      </x:c>
    </x:row>
    <x:row r="942" ht="72" customHeight="1">
      <x:c r="A942" t="n">
        <x:v>2024</x:v>
      </x:c>
      <x:c r="B942" t="str">
        <x:v>CNY</x:v>
      </x:c>
      <x:c r="C942" s="12" t="str">
        <x:v>人民币元（1955币制；CNY）</x:v>
      </x:c>
      <x:c r="D942" s="24" t="n">
        <x:v>7.1957</x:v>
      </x:c>
      <x:c r="E942" s="20" t="str">
        <x:v>LCU/USD</x:v>
      </x:c>
      <x:c r="F942" s="20" t="n">
        <x:v>1</x:v>
      </x:c>
      <x:c r="G942" s="22" t="n">
        <x:f>IF(E942="LCU/USD",D942*F942,F942/D942)</x:f>
        <x:v>7.1957</x:v>
      </x:c>
      <x:c r="H942" s="12" t="str">
        <x:v>年均</x:v>
      </x:c>
      <x:c r="I942" s="12" t="str">
        <x:v>2024-01-01—2024-12-31</x:v>
      </x:c>
      <x:c r="J942" s="12" t="str">
        <x:v>FRB_CNY</x:v>
      </x:c>
      <x:c r="K942" s="12" t="str">
        <x:v>https://fred.stlouisfed.org/data/AEXCHUS</x:v>
      </x:c>
      <x:c r="L942" s="12" t="str"/>
      <x:c r="M942" s="12" t="str">
        <x:v>A：机构统计／原始统计表</x:v>
      </x:c>
    </x:row>
    <x:row r="943" ht="72" customHeight="1">
      <x:c r="A943" t="n">
        <x:v>2024</x:v>
      </x:c>
      <x:c r="B943" t="str">
        <x:v>EUR</x:v>
      </x:c>
      <x:c r="C943" s="12" t="str">
        <x:v>欧元（EUR）</x:v>
      </x:c>
      <x:c r="D943" s="24" t="n">
        <x:v>1.082</x:v>
      </x:c>
      <x:c r="E943" s="20" t="str">
        <x:v>USD/LCU</x:v>
      </x:c>
      <x:c r="F943" s="20" t="n">
        <x:v>1</x:v>
      </x:c>
      <x:c r="G943" s="22" t="n">
        <x:f>IF(E943="LCU/USD",D943*F943,F943/D943)</x:f>
        <x:v>0.9242144177449167</x:v>
      </x:c>
      <x:c r="H943" s="12" t="str">
        <x:v>年均</x:v>
      </x:c>
      <x:c r="I943" s="12" t="str">
        <x:v>2024-01-01—2024-12-31</x:v>
      </x:c>
      <x:c r="J943" s="12" t="str">
        <x:v>FRB_EUR</x:v>
      </x:c>
      <x:c r="K943" s="12" t="str">
        <x:v>https://fred.stlouisfed.org/data/AEXUSEU</x:v>
      </x:c>
      <x:c r="L943" s="12" t="str">
        <x:v>反向值由原报价均值取倒数；不等于反向日度汇率的算术平均。</x:v>
      </x:c>
      <x:c r="M943" s="12" t="str">
        <x:v>A：机构统计／原始统计表</x:v>
      </x:c>
    </x:row>
    <x:row r="944" ht="72" customHeight="1">
      <x:c r="A944" t="n">
        <x:v>2025</x:v>
      </x:c>
      <x:c r="B944" t="str">
        <x:v>GBP</x:v>
      </x:c>
      <x:c r="C944" s="12" t="str">
        <x:v>英镑（GBP）</x:v>
      </x:c>
      <x:c r="D944" s="24" t="n">
        <x:v>1.3192</x:v>
      </x:c>
      <x:c r="E944" s="20" t="str">
        <x:v>USD/LCU</x:v>
      </x:c>
      <x:c r="F944" s="20" t="n">
        <x:v>1</x:v>
      </x:c>
      <x:c r="G944" s="22" t="n">
        <x:f>IF(E944="LCU/USD",D944*F944,F944/D944)</x:f>
        <x:v>0.7580351728320195</x:v>
      </x:c>
      <x:c r="H944" s="12" t="str">
        <x:v>年均</x:v>
      </x:c>
      <x:c r="I944" s="12" t="str">
        <x:v>2025-01-01—2025-12-31</x:v>
      </x:c>
      <x:c r="J944" s="12" t="str">
        <x:v>FRB_GBP</x:v>
      </x:c>
      <x:c r="K944" s="12" t="str">
        <x:v>https://fred.stlouisfed.org/data/AEXUSUK</x:v>
      </x:c>
      <x:c r="L944" s="12" t="str">
        <x:v>反向值由原报价均值取倒数；不等于反向日度汇率的算术平均。</x:v>
      </x:c>
      <x:c r="M944" s="12" t="str">
        <x:v>A：机构统计／原始统计表</x:v>
      </x:c>
    </x:row>
    <x:row r="945" ht="72" customHeight="1">
      <x:c r="A945" t="n">
        <x:v>2025</x:v>
      </x:c>
      <x:c r="B945" t="str">
        <x:v>CAD</x:v>
      </x:c>
      <x:c r="C945" s="12" t="str">
        <x:v>加拿大元（CAD）</x:v>
      </x:c>
      <x:c r="D945" s="24" t="n">
        <x:v>1.3973</x:v>
      </x:c>
      <x:c r="E945" s="20" t="str">
        <x:v>LCU/USD</x:v>
      </x:c>
      <x:c r="F945" s="20" t="n">
        <x:v>1</x:v>
      </x:c>
      <x:c r="G945" s="22" t="n">
        <x:f>IF(E945="LCU/USD",D945*F945,F945/D945)</x:f>
        <x:v>1.3973</x:v>
      </x:c>
      <x:c r="H945" s="12" t="str">
        <x:v>年均</x:v>
      </x:c>
      <x:c r="I945" s="12" t="str">
        <x:v>2025-01-01—2025-12-31</x:v>
      </x:c>
      <x:c r="J945" s="12" t="str">
        <x:v>FRB_CAD</x:v>
      </x:c>
      <x:c r="K945" s="12" t="str">
        <x:v>https://fred.stlouisfed.org/data/AEXCAUS</x:v>
      </x:c>
      <x:c r="L945" s="12" t="str"/>
      <x:c r="M945" s="12" t="str">
        <x:v>A：机构统计／原始统计表</x:v>
      </x:c>
    </x:row>
    <x:row r="946" ht="72" customHeight="1">
      <x:c r="A946" t="n">
        <x:v>2025</x:v>
      </x:c>
      <x:c r="B946" t="str">
        <x:v>JPY</x:v>
      </x:c>
      <x:c r="C946" s="12" t="str">
        <x:v>日元（JPY）</x:v>
      </x:c>
      <x:c r="D946" s="24" t="n">
        <x:v>149.5686</x:v>
      </x:c>
      <x:c r="E946" s="20" t="str">
        <x:v>LCU/USD</x:v>
      </x:c>
      <x:c r="F946" s="20" t="n">
        <x:v>1</x:v>
      </x:c>
      <x:c r="G946" s="22" t="n">
        <x:f>IF(E946="LCU/USD",D946*F946,F946/D946)</x:f>
        <x:v>149.5686</x:v>
      </x:c>
      <x:c r="H946" s="12" t="str">
        <x:v>年均</x:v>
      </x:c>
      <x:c r="I946" s="12" t="str">
        <x:v>2025-01-01—2025-12-31</x:v>
      </x:c>
      <x:c r="J946" s="12" t="str">
        <x:v>FRB_JPY</x:v>
      </x:c>
      <x:c r="K946" s="12" t="str">
        <x:v>https://fred.stlouisfed.org/data/AEXJPUS</x:v>
      </x:c>
      <x:c r="L946" s="12" t="str"/>
      <x:c r="M946" s="12" t="str">
        <x:v>A：机构统计／原始统计表</x:v>
      </x:c>
    </x:row>
    <x:row r="947" ht="72" customHeight="1">
      <x:c r="A947" t="n">
        <x:v>2025</x:v>
      </x:c>
      <x:c r="B947" t="str">
        <x:v>CHF</x:v>
      </x:c>
      <x:c r="C947" s="12" t="str">
        <x:v>瑞士法郎（CHF）</x:v>
      </x:c>
      <x:c r="D947" s="24" t="n">
        <x:v>0.8305</x:v>
      </x:c>
      <x:c r="E947" s="20" t="str">
        <x:v>LCU/USD</x:v>
      </x:c>
      <x:c r="F947" s="20" t="n">
        <x:v>1</x:v>
      </x:c>
      <x:c r="G947" s="22" t="n">
        <x:f>IF(E947="LCU/USD",D947*F947,F947/D947)</x:f>
        <x:v>0.8305</x:v>
      </x:c>
      <x:c r="H947" s="12" t="str">
        <x:v>年均</x:v>
      </x:c>
      <x:c r="I947" s="12" t="str">
        <x:v>2025-01-01—2025-12-31</x:v>
      </x:c>
      <x:c r="J947" s="12" t="str">
        <x:v>FRB_CHF</x:v>
      </x:c>
      <x:c r="K947" s="12" t="str">
        <x:v>https://fred.stlouisfed.org/data/AEXSZUS</x:v>
      </x:c>
      <x:c r="L947" s="12" t="str"/>
      <x:c r="M947" s="12" t="str">
        <x:v>A：机构统计／原始统计表</x:v>
      </x:c>
    </x:row>
    <x:row r="948" ht="72" customHeight="1">
      <x:c r="A948" t="n">
        <x:v>2025</x:v>
      </x:c>
      <x:c r="B948" t="str">
        <x:v>INR</x:v>
      </x:c>
      <x:c r="C948" s="12" t="str">
        <x:v>印度卢比（INR）</x:v>
      </x:c>
      <x:c r="D948" s="24" t="n">
        <x:v>87.1468</x:v>
      </x:c>
      <x:c r="E948" s="20" t="str">
        <x:v>LCU/USD</x:v>
      </x:c>
      <x:c r="F948" s="20" t="n">
        <x:v>1</x:v>
      </x:c>
      <x:c r="G948" s="22" t="n">
        <x:f>IF(E948="LCU/USD",D948*F948,F948/D948)</x:f>
        <x:v>87.1468</x:v>
      </x:c>
      <x:c r="H948" s="12" t="str">
        <x:v>年均</x:v>
      </x:c>
      <x:c r="I948" s="12" t="str">
        <x:v>2025-01-01—2025-12-31</x:v>
      </x:c>
      <x:c r="J948" s="12" t="str">
        <x:v>FRB_INR</x:v>
      </x:c>
      <x:c r="K948" s="12" t="str">
        <x:v>https://fred.stlouisfed.org/data/AEXINUS</x:v>
      </x:c>
      <x:c r="L948" s="12" t="str"/>
      <x:c r="M948" s="12" t="str">
        <x:v>A：机构统计／原始统计表</x:v>
      </x:c>
    </x:row>
    <x:row r="949" ht="72" customHeight="1">
      <x:c r="A949" t="n">
        <x:v>2025</x:v>
      </x:c>
      <x:c r="B949" t="str">
        <x:v>RUB</x:v>
      </x:c>
      <x:c r="C949" s="12" t="str">
        <x:v>俄罗斯卢布（RUB；1998币制）</x:v>
      </x:c>
      <x:c r="D949" s="24" t="n">
        <x:v>83.7826914235523</x:v>
      </x:c>
      <x:c r="E949" s="20" t="str">
        <x:v>LCU/USD</x:v>
      </x:c>
      <x:c r="F949" s="20" t="n">
        <x:v>1</x:v>
      </x:c>
      <x:c r="G949" s="22" t="n">
        <x:f>IF(E949="LCU/USD",D949*F949,F949/D949)</x:f>
        <x:v>83.7826914235523</x:v>
      </x:c>
      <x:c r="H949" s="12" t="str">
        <x:v>年均</x:v>
      </x:c>
      <x:c r="I949" s="12" t="str">
        <x:v>2025-01-01—2025-12-31</x:v>
      </x:c>
      <x:c r="J949" s="12" t="str">
        <x:v>OECD_RUB</x:v>
      </x:c>
      <x:c r="K949" s="12" t="str">
        <x:v>https://fred.stlouisfed.org/data/CCUSMA02RUA618N</x:v>
      </x:c>
      <x:c r="L949" s="12" t="str"/>
      <x:c r="M949" s="12" t="str">
        <x:v>A：机构统计／原始统计表</x:v>
      </x:c>
    </x:row>
    <x:row r="950" ht="72" customHeight="1">
      <x:c r="A950" t="n">
        <x:v>2025</x:v>
      </x:c>
      <x:c r="B950" t="str">
        <x:v>CNY</x:v>
      </x:c>
      <x:c r="C950" s="12" t="str">
        <x:v>人民币元（1955币制；CNY）</x:v>
      </x:c>
      <x:c r="D950" s="24" t="n">
        <x:v>7.1875</x:v>
      </x:c>
      <x:c r="E950" s="20" t="str">
        <x:v>LCU/USD</x:v>
      </x:c>
      <x:c r="F950" s="20" t="n">
        <x:v>1</x:v>
      </x:c>
      <x:c r="G950" s="22" t="n">
        <x:f>IF(E950="LCU/USD",D950*F950,F950/D950)</x:f>
        <x:v>7.1875</x:v>
      </x:c>
      <x:c r="H950" s="12" t="str">
        <x:v>年均</x:v>
      </x:c>
      <x:c r="I950" s="12" t="str">
        <x:v>2025-01-01—2025-12-31</x:v>
      </x:c>
      <x:c r="J950" s="12" t="str">
        <x:v>FRB_CNY</x:v>
      </x:c>
      <x:c r="K950" s="12" t="str">
        <x:v>https://fred.stlouisfed.org/data/AEXCHUS</x:v>
      </x:c>
      <x:c r="L950" s="12" t="str"/>
      <x:c r="M950" s="12" t="str">
        <x:v>A：机构统计／原始统计表</x:v>
      </x:c>
    </x:row>
    <x:row r="951" ht="72" customHeight="1">
      <x:c r="A951" t="n">
        <x:v>2025</x:v>
      </x:c>
      <x:c r="B951" t="str">
        <x:v>EUR</x:v>
      </x:c>
      <x:c r="C951" s="12" t="str">
        <x:v>欧元（EUR）</x:v>
      </x:c>
      <x:c r="D951" s="24" t="n">
        <x:v>1.1306</x:v>
      </x:c>
      <x:c r="E951" s="20" t="str">
        <x:v>USD/LCU</x:v>
      </x:c>
      <x:c r="F951" s="20" t="n">
        <x:v>1</x:v>
      </x:c>
      <x:c r="G951" s="22" t="n">
        <x:f>IF(E951="LCU/USD",D951*F951,F951/D951)</x:f>
        <x:v>0.884486113568017</x:v>
      </x:c>
      <x:c r="H951" s="12" t="str">
        <x:v>年均</x:v>
      </x:c>
      <x:c r="I951" s="12" t="str">
        <x:v>2025-01-01—2025-12-31</x:v>
      </x:c>
      <x:c r="J951" s="12" t="str">
        <x:v>FRB_EUR</x:v>
      </x:c>
      <x:c r="K951" s="12" t="str">
        <x:v>https://fred.stlouisfed.org/data/AEXUSEU</x:v>
      </x:c>
      <x:c r="L951" s="12" t="str">
        <x:v>反向值由原报价均值取倒数；不等于反向日度汇率的算术平均。</x:v>
      </x:c>
      <x:c r="M951" s="12" t="str">
        <x:v>A：机构统计／原始统计表</x:v>
      </x:c>
    </x:row>
    <x:row r="952" ht="72" customHeight="1">
      <x:c r="A952" t="n">
        <x:v>2026</x:v>
      </x:c>
      <x:c r="B952" t="str">
        <x:v>GBP</x:v>
      </x:c>
      <x:c r="C952" s="12" t="str">
        <x:v>英镑（GBP）</x:v>
      </x:c>
      <x:c r="D952" s="80" t="n">
        <x:f>'2026月度'!B15</x:f>
        <x:v>1.345925</x:v>
      </x:c>
      <x:c r="E952" s="20" t="str">
        <x:v>USD/LCU</x:v>
      </x:c>
      <x:c r="F952" s="20" t="n">
        <x:v>1</x:v>
      </x:c>
      <x:c r="G952" s="22" t="n">
        <x:f>IF(E952="LCU/USD",D952*F952,F952/D952)</x:f>
        <x:v>0.7429834500436503</x:v>
      </x:c>
      <x:c r="H952" s="12" t="str">
        <x:v>2026年1—8月月均值等权平均</x:v>
      </x:c>
      <x:c r="I952" s="12" t="str">
        <x:v>2026-01-01—2026-08-31</x:v>
      </x:c>
      <x:c r="J952" s="12" t="str">
        <x:v>YTD_GBP</x:v>
      </x:c>
      <x:c r="K952" s="12" t="str">
        <x:v>https://fred.stlouisfed.org/data/EXUSUK</x:v>
      </x:c>
      <x:c r="L952" s="12" t="str">
        <x:v>反向值由原报价均值取倒数；不等于反向日度汇率的算术平均。</x:v>
      </x:c>
      <x:c r="M952" s="12" t="str">
        <x:v>A：机构统计／原始统计表</x:v>
      </x:c>
    </x:row>
    <x:row r="953" ht="72" customHeight="1">
      <x:c r="A953" t="n">
        <x:v>2026</x:v>
      </x:c>
      <x:c r="B953" t="str">
        <x:v>CAD</x:v>
      </x:c>
      <x:c r="C953" s="12" t="str">
        <x:v>加拿大元（CAD）</x:v>
      </x:c>
      <x:c r="D953" s="80" t="n">
        <x:f>'2026月度'!C15</x:f>
        <x:v>1.3831375000000001</x:v>
      </x:c>
      <x:c r="E953" s="20" t="str">
        <x:v>LCU/USD</x:v>
      </x:c>
      <x:c r="F953" s="20" t="n">
        <x:v>1</x:v>
      </x:c>
      <x:c r="G953" s="22" t="n">
        <x:f>IF(E953="LCU/USD",D953*F953,F953/D953)</x:f>
        <x:v>1.3831375000000001</x:v>
      </x:c>
      <x:c r="H953" s="12" t="str">
        <x:v>2026年1—8月月均值等权平均</x:v>
      </x:c>
      <x:c r="I953" s="12" t="str">
        <x:v>2026-01-01—2026-08-31</x:v>
      </x:c>
      <x:c r="J953" s="12" t="str">
        <x:v>YTD_CAD</x:v>
      </x:c>
      <x:c r="K953" s="12" t="str">
        <x:v>https://fred.stlouisfed.org/data/EXCAUS</x:v>
      </x:c>
      <x:c r="L953" s="12" t="str"/>
      <x:c r="M953" s="12" t="str">
        <x:v>A：机构统计／原始统计表</x:v>
      </x:c>
    </x:row>
    <x:row r="954" ht="72" customHeight="1">
      <x:c r="A954" t="n">
        <x:v>2026</x:v>
      </x:c>
      <x:c r="B954" t="str">
        <x:v>JPY</x:v>
      </x:c>
      <x:c r="C954" s="12" t="str">
        <x:v>日元（JPY）</x:v>
      </x:c>
      <x:c r="D954" s="80" t="n">
        <x:f>'2026月度'!E15</x:f>
        <x:v>158.706525</x:v>
      </x:c>
      <x:c r="E954" s="20" t="str">
        <x:v>LCU/USD</x:v>
      </x:c>
      <x:c r="F954" s="20" t="n">
        <x:v>1</x:v>
      </x:c>
      <x:c r="G954" s="22" t="n">
        <x:f>IF(E954="LCU/USD",D954*F954,F954/D954)</x:f>
        <x:v>158.706525</x:v>
      </x:c>
      <x:c r="H954" s="12" t="str">
        <x:v>2026年1—8月月均值等权平均</x:v>
      </x:c>
      <x:c r="I954" s="12" t="str">
        <x:v>2026-01-01—2026-08-31</x:v>
      </x:c>
      <x:c r="J954" s="12" t="str">
        <x:v>YTD_JPY</x:v>
      </x:c>
      <x:c r="K954" s="12" t="str">
        <x:v>https://fred.stlouisfed.org/data/EXJPUS</x:v>
      </x:c>
      <x:c r="L954" s="12" t="str"/>
      <x:c r="M954" s="12" t="str">
        <x:v>A：机构统计／原始统计表</x:v>
      </x:c>
    </x:row>
    <x:row r="955" ht="72" customHeight="1">
      <x:c r="A955" t="n">
        <x:v>2026</x:v>
      </x:c>
      <x:c r="B955" t="str">
        <x:v>CHF</x:v>
      </x:c>
      <x:c r="C955" s="12" t="str">
        <x:v>瑞士法郎（CHF）</x:v>
      </x:c>
      <x:c r="D955" s="80" t="n">
        <x:f>'2026月度'!F15</x:f>
        <x:v>0.7922250000000001</x:v>
      </x:c>
      <x:c r="E955" s="20" t="str">
        <x:v>LCU/USD</x:v>
      </x:c>
      <x:c r="F955" s="20" t="n">
        <x:v>1</x:v>
      </x:c>
      <x:c r="G955" s="22" t="n">
        <x:f>IF(E955="LCU/USD",D955*F955,F955/D955)</x:f>
        <x:v>0.7922250000000001</x:v>
      </x:c>
      <x:c r="H955" s="12" t="str">
        <x:v>2026年1—8月月均值等权平均</x:v>
      </x:c>
      <x:c r="I955" s="12" t="str">
        <x:v>2026-01-01—2026-08-31</x:v>
      </x:c>
      <x:c r="J955" s="12" t="str">
        <x:v>YTD_CHF</x:v>
      </x:c>
      <x:c r="K955" s="12" t="str">
        <x:v>https://fred.stlouisfed.org/data/EXSZUS</x:v>
      </x:c>
      <x:c r="L955" s="12" t="str"/>
      <x:c r="M955" s="12" t="str">
        <x:v>A：机构统计／原始统计表</x:v>
      </x:c>
    </x:row>
    <x:row r="956" ht="72" customHeight="1">
      <x:c r="A956" t="n">
        <x:v>2026</x:v>
      </x:c>
      <x:c r="B956" t="str">
        <x:v>INR</x:v>
      </x:c>
      <x:c r="C956" s="12" t="str">
        <x:v>印度卢比（INR）</x:v>
      </x:c>
      <x:c r="D956" s="80" t="n">
        <x:f>'2026月度'!G15</x:f>
        <x:v>93.7177625</x:v>
      </x:c>
      <x:c r="E956" s="20" t="str">
        <x:v>LCU/USD</x:v>
      </x:c>
      <x:c r="F956" s="20" t="n">
        <x:v>1</x:v>
      </x:c>
      <x:c r="G956" s="22" t="n">
        <x:f>IF(E956="LCU/USD",D956*F956,F956/D956)</x:f>
        <x:v>93.7177625</x:v>
      </x:c>
      <x:c r="H956" s="12" t="str">
        <x:v>2026年1—8月月均值等权平均</x:v>
      </x:c>
      <x:c r="I956" s="12" t="str">
        <x:v>2026-01-01—2026-08-31</x:v>
      </x:c>
      <x:c r="J956" s="12" t="str">
        <x:v>YTD_INR</x:v>
      </x:c>
      <x:c r="K956" s="12" t="str">
        <x:v>https://fred.stlouisfed.org/data/EXINUS</x:v>
      </x:c>
      <x:c r="L956" s="12" t="str"/>
      <x:c r="M956" s="12" t="str">
        <x:v>A：机构统计／原始统计表</x:v>
      </x:c>
    </x:row>
    <x:row r="957" ht="72" customHeight="1">
      <x:c r="A957" t="n">
        <x:v>2026</x:v>
      </x:c>
      <x:c r="B957" t="str">
        <x:v>RUB</x:v>
      </x:c>
      <x:c r="C957" s="12" t="str">
        <x:v>俄罗斯卢布（RUB；1998币制）</x:v>
      </x:c>
      <x:c r="D957" s="80" t="n">
        <x:f>'2026月度'!I15</x:f>
        <x:v>77.53810877547994</x:v>
      </x:c>
      <x:c r="E957" s="20" t="str">
        <x:v>LCU/USD</x:v>
      </x:c>
      <x:c r="F957" s="20" t="n">
        <x:v>1</x:v>
      </x:c>
      <x:c r="G957" s="22" t="n">
        <x:f>IF(E957="LCU/USD",D957*F957,F957/D957)</x:f>
        <x:v>77.53810877547994</x:v>
      </x:c>
      <x:c r="H957" s="12" t="str">
        <x:v>2026年1—8月月均值等权平均</x:v>
      </x:c>
      <x:c r="I957" s="12" t="str">
        <x:v>2026-01-01—2026-08-31</x:v>
      </x:c>
      <x:c r="J957" s="12" t="str">
        <x:v>YTD_RUB</x:v>
      </x:c>
      <x:c r="K957" s="12" t="str">
        <x:v>https://fred.stlouisfed.org/data/CCUSMA02RUM618N</x:v>
      </x:c>
      <x:c r="L957" s="12" t="str"/>
      <x:c r="M957" s="12" t="str">
        <x:v>A：机构统计／原始统计表</x:v>
      </x:c>
    </x:row>
    <x:row r="958" ht="72" customHeight="1">
      <x:c r="A958" t="n">
        <x:v>2026</x:v>
      </x:c>
      <x:c r="B958" t="str">
        <x:v>CNY</x:v>
      </x:c>
      <x:c r="C958" s="12" t="str">
        <x:v>人民币元（1955币制；CNY）</x:v>
      </x:c>
      <x:c r="D958" s="80" t="n">
        <x:f>'2026月度'!D15</x:f>
        <x:v>6.8365</x:v>
      </x:c>
      <x:c r="E958" s="20" t="str">
        <x:v>LCU/USD</x:v>
      </x:c>
      <x:c r="F958" s="20" t="n">
        <x:v>1</x:v>
      </x:c>
      <x:c r="G958" s="22" t="n">
        <x:f>IF(E958="LCU/USD",D958*F958,F958/D958)</x:f>
        <x:v>6.8365</x:v>
      </x:c>
      <x:c r="H958" s="12" t="str">
        <x:v>2026年1—8月月均值等权平均</x:v>
      </x:c>
      <x:c r="I958" s="12" t="str">
        <x:v>2026-01-01—2026-08-31</x:v>
      </x:c>
      <x:c r="J958" s="12" t="str">
        <x:v>YTD_CNY</x:v>
      </x:c>
      <x:c r="K958" s="12" t="str">
        <x:v>https://fred.stlouisfed.org/data/EXCHUS</x:v>
      </x:c>
      <x:c r="L958" s="12" t="str"/>
      <x:c r="M958" s="12" t="str">
        <x:v>A：机构统计／原始统计表</x:v>
      </x:c>
    </x:row>
    <x:row r="959" ht="72" customHeight="1">
      <x:c r="A959" t="n">
        <x:v>2026</x:v>
      </x:c>
      <x:c r="B959" t="str">
        <x:v>EUR</x:v>
      </x:c>
      <x:c r="C959" s="12" t="str">
        <x:v>欧元（EUR）</x:v>
      </x:c>
      <x:c r="D959" s="80" t="n">
        <x:f>'2026月度'!H15</x:f>
        <x:v>1.16295</x:v>
      </x:c>
      <x:c r="E959" s="20" t="str">
        <x:v>USD/LCU</x:v>
      </x:c>
      <x:c r="F959" s="20" t="n">
        <x:v>1</x:v>
      </x:c>
      <x:c r="G959" s="22" t="n">
        <x:f>IF(E959="LCU/USD",D959*F959,F959/D959)</x:f>
        <x:v>0.859882196139129</x:v>
      </x:c>
      <x:c r="H959" s="12" t="str">
        <x:v>2026年1—8月月均值等权平均</x:v>
      </x:c>
      <x:c r="I959" s="12" t="str">
        <x:v>2026-01-01—2026-08-31</x:v>
      </x:c>
      <x:c r="J959" s="12" t="str">
        <x:v>YTD_EUR</x:v>
      </x:c>
      <x:c r="K959" s="12" t="str">
        <x:v>https://fred.stlouisfed.org/data/EXUSEU</x:v>
      </x:c>
      <x:c r="L959" s="12" t="str">
        <x:v>反向值由原报价均值取倒数；不等于反向日度汇率的算术平均。</x:v>
      </x:c>
      <x:c r="M959" s="12" t="str">
        <x:v>A：机构统计／原始统计表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60aa738061042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4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2026月度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2026年统一截到8月31日。年度栏使用8个月均值的等权平均；GBP及EUR再取倒数。不是按日数加权的年内日均，也不是全年2026汇率。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>
      <x:c r="A4" t="str">
        <x:v>报价方向</x:v>
      </x:c>
      <x:c r="B4" t="str">
        <x:v>USD/LCU</x:v>
      </x:c>
      <x:c r="C4" t="str">
        <x:v>LCU/USD</x:v>
      </x:c>
      <x:c r="D4" t="str">
        <x:v>LCU/USD</x:v>
      </x:c>
      <x:c r="E4" t="str">
        <x:v>LCU/USD</x:v>
      </x:c>
      <x:c r="F4" t="str">
        <x:v>LCU/USD</x:v>
      </x:c>
      <x:c r="G4" t="str">
        <x:v>LCU/USD</x:v>
      </x:c>
      <x:c r="H4" t="str">
        <x:v>USD/LCU</x:v>
      </x:c>
      <x:c r="I4" t="str">
        <x:v>LCU/USD</x:v>
      </x:c>
    </x:row>
    <x:row r="5" ht="32" customHeight="1">
      <x:c r="A5" s="6" t="str">
        <x:v>月份</x:v>
      </x:c>
      <x:c r="B5" s="6" t="str">
        <x:v>GBP 原始报价</x:v>
      </x:c>
      <x:c r="C5" s="6" t="str">
        <x:v>CAD 原始报价</x:v>
      </x:c>
      <x:c r="D5" s="6" t="str">
        <x:v>CNY 原始报价</x:v>
      </x:c>
      <x:c r="E5" s="6" t="str">
        <x:v>JPY 原始报价</x:v>
      </x:c>
      <x:c r="F5" s="6" t="str">
        <x:v>CHF 原始报价</x:v>
      </x:c>
      <x:c r="G5" s="6" t="str">
        <x:v>INR 原始报价</x:v>
      </x:c>
      <x:c r="H5" s="6" t="str">
        <x:v>EUR 原始报价</x:v>
      </x:c>
      <x:c r="I5" s="6" t="str">
        <x:v>RUB 原始报价</x:v>
      </x:c>
    </x:row>
    <x:row r="6">
      <x:c r="A6" t="str">
        <x:v>2026-01</x:v>
      </x:c>
      <x:c r="B6" s="14" t="n">
        <x:v>1.3536</x:v>
      </x:c>
      <x:c r="C6" s="14" t="n">
        <x:v>1.3771</x:v>
      </x:c>
      <x:c r="D6" s="14" t="n">
        <x:v>6.9692</x:v>
      </x:c>
      <x:c r="E6" s="14" t="n">
        <x:v>156.6505</x:v>
      </x:c>
      <x:c r="F6" s="14" t="n">
        <x:v>0.7894</x:v>
      </x:c>
      <x:c r="G6" s="14" t="n">
        <x:v>90.9025</x:v>
      </x:c>
      <x:c r="H6" s="14" t="n">
        <x:v>1.1744</x:v>
      </x:c>
      <x:c r="I6" s="14" t="n">
        <x:v>77.9977290909091</x:v>
      </x:c>
    </x:row>
    <x:row r="7">
      <x:c r="A7" t="str">
        <x:v>2026-02</x:v>
      </x:c>
      <x:c r="B7" s="14" t="n">
        <x:v>1.3579</x:v>
      </x:c>
      <x:c r="C7" s="14" t="n">
        <x:v>1.3648</x:v>
      </x:c>
      <x:c r="D7" s="14" t="n">
        <x:v>6.9064</x:v>
      </x:c>
      <x:c r="E7" s="14" t="n">
        <x:v>155.1016</x:v>
      </x:c>
      <x:c r="F7" s="14" t="n">
        <x:v>0.7729</x:v>
      </x:c>
      <x:c r="G7" s="14" t="n">
        <x:v>90.7458</x:v>
      </x:c>
      <x:c r="H7" s="14" t="n">
        <x:v>1.1824</x:v>
      </x:c>
      <x:c r="I7" s="14" t="n">
        <x:v>76.870001</x:v>
      </x:c>
    </x:row>
    <x:row r="8">
      <x:c r="A8" t="str">
        <x:v>2026-03</x:v>
      </x:c>
      <x:c r="B8" s="14" t="n">
        <x:v>1.3339</x:v>
      </x:c>
      <x:c r="C8" s="14" t="n">
        <x:v>1.372</x:v>
      </x:c>
      <x:c r="D8" s="14" t="n">
        <x:v>6.8921</x:v>
      </x:c>
      <x:c r="E8" s="14" t="n">
        <x:v>158.6827</x:v>
      </x:c>
      <x:c r="F8" s="14" t="n">
        <x:v>0.7873</x:v>
      </x:c>
      <x:c r="G8" s="14" t="n">
        <x:v>92.8182</x:v>
      </x:c>
      <x:c r="H8" s="14" t="n">
        <x:v>1.1557</x:v>
      </x:c>
      <x:c r="I8" s="14" t="n">
        <x:v>80.6079545454545</x:v>
      </x:c>
    </x:row>
    <x:row r="9">
      <x:c r="A9" t="str">
        <x:v>2026-04</x:v>
      </x:c>
      <x:c r="B9" s="14" t="n">
        <x:v>1.3454</x:v>
      </x:c>
      <x:c r="C9" s="14" t="n">
        <x:v>1.3754</x:v>
      </x:c>
      <x:c r="D9" s="14" t="n">
        <x:v>6.8371</x:v>
      </x:c>
      <x:c r="E9" s="14" t="n">
        <x:v>159.1173</x:v>
      </x:c>
      <x:c r="F9" s="14" t="n">
        <x:v>0.7876</x:v>
      </x:c>
      <x:c r="G9" s="14" t="n">
        <x:v>93.4805</x:v>
      </x:c>
      <x:c r="H9" s="14" t="n">
        <x:v>1.1697</x:v>
      </x:c>
      <x:c r="I9" s="14" t="n">
        <x:v>76.6818186363636</x:v>
      </x:c>
    </x:row>
    <x:row r="10">
      <x:c r="A10" t="str">
        <x:v>2026-05</x:v>
      </x:c>
      <x:c r="B10" s="14" t="n">
        <x:v>1.3498</x:v>
      </x:c>
      <x:c r="C10" s="14" t="n">
        <x:v>1.3717</x:v>
      </x:c>
      <x:c r="D10" s="14" t="n">
        <x:v>6.7996</x:v>
      </x:c>
      <x:c r="E10" s="14" t="n">
        <x:v>158.153</x:v>
      </x:c>
      <x:c r="F10" s="14" t="n">
        <x:v>0.7834</x:v>
      </x:c>
      <x:c r="G10" s="14" t="n">
        <x:v>95.5335</x:v>
      </x:c>
      <x:c r="H10" s="14" t="n">
        <x:v>1.1681</x:v>
      </x:c>
      <x:c r="I10" s="14" t="n">
        <x:v>72.8702395238095</x:v>
      </x:c>
    </x:row>
    <x:row r="11">
      <x:c r="A11" t="str">
        <x:v>2026-06</x:v>
      </x:c>
      <x:c r="B11" s="14" t="n">
        <x:v>1.3338</x:v>
      </x:c>
      <x:c r="C11" s="14" t="n">
        <x:v>1.4034</x:v>
      </x:c>
      <x:c r="D11" s="14" t="n">
        <x:v>6.7758</x:v>
      </x:c>
      <x:c r="E11" s="14" t="n">
        <x:v>160.77</x:v>
      </x:c>
      <x:c r="F11" s="14" t="n">
        <x:v>0.7993</x:v>
      </x:c>
      <x:c r="G11" s="14" t="n">
        <x:v>94.96</x:v>
      </x:c>
      <x:c r="H11" s="14" t="n">
        <x:v>1.1516</x:v>
      </x:c>
      <x:c r="I11" s="14" t="n">
        <x:v>73.8715922727273</x:v>
      </x:c>
    </x:row>
    <x:row r="12">
      <x:c r="A12" t="str">
        <x:v>2026-07</x:v>
      </x:c>
      <x:c r="B12" s="14" t="n">
        <x:v>1.3383</x:v>
      </x:c>
      <x:c r="C12" s="14" t="n">
        <x:v>1.4105</x:v>
      </x:c>
      <x:c r="D12" s="14" t="n">
        <x:v>6.7757</x:v>
      </x:c>
      <x:c r="E12" s="14" t="n">
        <x:v>162.3295</x:v>
      </x:c>
      <x:c r="F12" s="14" t="n">
        <x:v>0.8104</x:v>
      </x:c>
      <x:c r="G12" s="14" t="n">
        <x:v>95.8573</x:v>
      </x:c>
      <x:c r="H12" s="14" t="n">
        <x:v>1.1423</x:v>
      </x:c>
      <x:c r="I12" s="14" t="n">
        <x:v>77.9293460869565</x:v>
      </x:c>
    </x:row>
    <x:row r="13">
      <x:c r="A13" t="str">
        <x:v>2026-08</x:v>
      </x:c>
      <x:c r="B13" s="14" t="n">
        <x:v>1.3547</x:v>
      </x:c>
      <x:c r="C13" s="14" t="n">
        <x:v>1.3902</x:v>
      </x:c>
      <x:c r="D13" s="14" t="n">
        <x:v>6.7361</x:v>
      </x:c>
      <x:c r="E13" s="14" t="n">
        <x:v>158.8476</x:v>
      </x:c>
      <x:c r="F13" s="14" t="n">
        <x:v>0.8075</x:v>
      </x:c>
      <x:c r="G13" s="14" t="n">
        <x:v>95.4443</x:v>
      </x:c>
      <x:c r="H13" s="14" t="n">
        <x:v>1.1594</x:v>
      </x:c>
      <x:c r="I13" s="14" t="n">
        <x:v>83.476189047619</x:v>
      </x:c>
    </x:row>
    <x:row r="14"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6" t="str">
        <x:v>8个月等权均值</x:v>
      </x:c>
      <x:c r="B15" s="17" t="n">
        <x:f>AVERAGE(B6:B13)</x:f>
        <x:v>1.345925</x:v>
      </x:c>
      <x:c r="C15" s="17" t="n">
        <x:f>AVERAGE(C6:C13)</x:f>
        <x:v>1.3831375000000001</x:v>
      </x:c>
      <x:c r="D15" s="17" t="n">
        <x:f>AVERAGE(D6:D13)</x:f>
        <x:v>6.8365</x:v>
      </x:c>
      <x:c r="E15" s="17" t="n">
        <x:f>AVERAGE(E6:E13)</x:f>
        <x:v>158.706525</x:v>
      </x:c>
      <x:c r="F15" s="17" t="n">
        <x:f>AVERAGE(F6:F13)</x:f>
        <x:v>0.7922250000000001</x:v>
      </x:c>
      <x:c r="G15" s="17" t="n">
        <x:f>AVERAGE(G6:G13)</x:f>
        <x:v>93.7177625</x:v>
      </x:c>
      <x:c r="H15" s="17" t="n">
        <x:f>AVERAGE(H6:H13)</x:f>
        <x:v>1.16295</x:v>
      </x:c>
      <x:c r="I15" s="17" t="n">
        <x:f>AVERAGE(I6:I13)</x:f>
        <x:v>77.53810877547994</x:v>
      </x:c>
    </x:row>
    <x:row r="16">
      <x:c r="A16" s="16" t="str">
        <x:v>1 USD兑换本币</x:v>
      </x:c>
      <x:c r="B16" s="17" t="n">
        <x:f>1/B15</x:f>
        <x:v>0.7429834500436503</x:v>
      </x:c>
      <x:c r="C16" s="17" t="n">
        <x:f>C15</x:f>
        <x:v>1.3831375000000001</x:v>
      </x:c>
      <x:c r="D16" s="17" t="n">
        <x:f>D15</x:f>
        <x:v>6.8365</x:v>
      </x:c>
      <x:c r="E16" s="17" t="n">
        <x:f>E15</x:f>
        <x:v>158.706525</x:v>
      </x:c>
      <x:c r="F16" s="17" t="n">
        <x:f>F15</x:f>
        <x:v>0.7922250000000001</x:v>
      </x:c>
      <x:c r="G16" s="17" t="n">
        <x:f>G15</x:f>
        <x:v>93.7177625</x:v>
      </x:c>
      <x:c r="H16" s="17" t="n">
        <x:f>1/H15</x:f>
        <x:v>0.859882196139129</x:v>
      </x:c>
      <x:c r="I16" s="17" t="n">
        <x:f>I15</x:f>
        <x:v>77.53810877547994</x:v>
      </x:c>
    </x:row>
    <x:row r="19" ht="32" customHeight="1">
      <x:c r="A19" s="6" t="str">
        <x:v>币种</x:v>
      </x:c>
      <x:c r="B19" s="6" t="str">
        <x:v>来源ID</x:v>
      </x:c>
      <x:c r="C19" s="6" t="str">
        <x:v>来源链接</x:v>
      </x:c>
      <x:c r="D19" s="6" t="str">
        <x:v>统计期</x:v>
      </x:c>
    </x:row>
    <x:row r="20" ht="44" customHeight="1">
      <x:c r="A20" s="12" t="str">
        <x:v>GBP</x:v>
      </x:c>
      <x:c r="B20" s="12" t="str">
        <x:v>YTD_GBP</x:v>
      </x:c>
      <x:c r="C20" s="12" t="str">
        <x:v>https://fred.stlouisfed.org/data/EXUSUK</x:v>
      </x:c>
      <x:c r="D20" s="12" t="str">
        <x:v>2026-01—2026-08</x:v>
      </x:c>
    </x:row>
    <x:row r="21" ht="44" customHeight="1">
      <x:c r="A21" s="12" t="str">
        <x:v>CAD</x:v>
      </x:c>
      <x:c r="B21" s="12" t="str">
        <x:v>YTD_CAD</x:v>
      </x:c>
      <x:c r="C21" s="12" t="str">
        <x:v>https://fred.stlouisfed.org/data/EXCAUS</x:v>
      </x:c>
      <x:c r="D21" s="12" t="str">
        <x:v>2026-01—2026-08</x:v>
      </x:c>
    </x:row>
    <x:row r="22" ht="44" customHeight="1">
      <x:c r="A22" s="12" t="str">
        <x:v>CNY</x:v>
      </x:c>
      <x:c r="B22" s="12" t="str">
        <x:v>YTD_CNY</x:v>
      </x:c>
      <x:c r="C22" s="12" t="str">
        <x:v>https://fred.stlouisfed.org/data/EXCHUS</x:v>
      </x:c>
      <x:c r="D22" s="12" t="str">
        <x:v>2026-01—2026-08</x:v>
      </x:c>
    </x:row>
    <x:row r="23" ht="44" customHeight="1">
      <x:c r="A23" s="12" t="str">
        <x:v>JPY</x:v>
      </x:c>
      <x:c r="B23" s="12" t="str">
        <x:v>YTD_JPY</x:v>
      </x:c>
      <x:c r="C23" s="12" t="str">
        <x:v>https://fred.stlouisfed.org/data/EXJPUS</x:v>
      </x:c>
      <x:c r="D23" s="12" t="str">
        <x:v>2026-01—2026-08</x:v>
      </x:c>
    </x:row>
    <x:row r="24" ht="44" customHeight="1">
      <x:c r="A24" s="12" t="str">
        <x:v>CHF</x:v>
      </x:c>
      <x:c r="B24" s="12" t="str">
        <x:v>YTD_CHF</x:v>
      </x:c>
      <x:c r="C24" s="12" t="str">
        <x:v>https://fred.stlouisfed.org/data/EXSZUS</x:v>
      </x:c>
      <x:c r="D24" s="12" t="str">
        <x:v>2026-01—2026-08</x:v>
      </x:c>
    </x:row>
    <x:row r="25" ht="44" customHeight="1">
      <x:c r="A25" s="12" t="str">
        <x:v>INR</x:v>
      </x:c>
      <x:c r="B25" s="12" t="str">
        <x:v>YTD_INR</x:v>
      </x:c>
      <x:c r="C25" s="12" t="str">
        <x:v>https://fred.stlouisfed.org/data/EXINUS</x:v>
      </x:c>
      <x:c r="D25" s="12" t="str">
        <x:v>2026-01—2026-08</x:v>
      </x:c>
    </x:row>
    <x:row r="26" ht="44" customHeight="1">
      <x:c r="A26" s="12" t="str">
        <x:v>EUR</x:v>
      </x:c>
      <x:c r="B26" s="12" t="str">
        <x:v>YTD_EUR</x:v>
      </x:c>
      <x:c r="C26" s="12" t="str">
        <x:v>https://fred.stlouisfed.org/data/EXUSEU</x:v>
      </x:c>
      <x:c r="D26" s="12" t="str">
        <x:v>2026-01—2026-08</x:v>
      </x:c>
    </x:row>
    <x:row r="27" ht="44" customHeight="1">
      <x:c r="A27" s="12" t="str">
        <x:v>RUB</x:v>
      </x:c>
      <x:c r="B27" s="12" t="str">
        <x:v>YTD_RUB</x:v>
      </x:c>
      <x:c r="C27" s="12" t="str">
        <x:v>https://fred.stlouisfed.org/data/CCUSMA02RUM618N</x:v>
      </x:c>
      <x:c r="D27" s="12" t="str">
        <x:v>2026-01—2026-08</x:v>
      </x:c>
    </x:row>
  </x:sheetData>
  <x:mergeCells>
    <x:mergeCell ref="A1:M1"/>
    <x:mergeCell ref="A2:M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51" hidden="0" customWidth="1"/>
    <x:col min="6" max="6" width="5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历史定点补充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以下卢布数值只适用于列出的日期，不是年平均。本表保留同一年内多个报价；年度主表优先选该年最早列出的日期，1924因改制选4月1日。另列源表官价区间，不能解释为自由兑换市场价。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日期</x:v>
      </x:c>
      <x:c r="B5" s="6" t="str">
        <x:v>币种</x:v>
      </x:c>
      <x:c r="C5" s="6" t="str">
        <x:v>卢布／美元</x:v>
      </x:c>
      <x:c r="D5" s="6" t="str">
        <x:v>美元／卢布</x:v>
      </x:c>
      <x:c r="E5" s="6" t="str">
        <x:v>来源URL</x:v>
      </x:c>
      <x:c r="F5" s="6" t="str">
        <x:v>限制</x:v>
      </x:c>
    </x:row>
    <x:row r="6" ht="60" customHeight="1">
      <x:c r="A6" s="12" t="str">
        <x:v>1924-01-01</x:v>
      </x:c>
      <x:c r="B6" s="12" t="str">
        <x:v>苏联／旧俄罗斯卢布</x:v>
      </x:c>
      <x:c r="C6" s="56" t="n">
        <x:v>2.2</x:v>
      </x:c>
      <x:c r="D6" s="56" t="n">
        <x:f>1/C6</x:f>
        <x:v>0.45454545454545453</x:v>
      </x:c>
      <x:c r="E6" s="12" t="str">
        <x:v>https://en.wikipedia.org/wiki/Soviet_ruble#Exchange_rates</x:v>
      </x:c>
      <x:c r="F6" s="12" t="str">
        <x:v>二手转引；不是年均；不含黑市／商业／旅游汇率。币制转换前，计价单位需回原档进一步核实；未作年度主值。</x:v>
      </x:c>
    </x:row>
    <x:row r="7" ht="60" customHeight="1">
      <x:c r="A7" s="12" t="str">
        <x:v>1924-04-01</x:v>
      </x:c>
      <x:c r="B7" s="12" t="str">
        <x:v>苏联／旧俄罗斯卢布</x:v>
      </x:c>
      <x:c r="C7" s="56" t="n">
        <x:v>1.9405</x:v>
      </x:c>
      <x:c r="D7" s="56" t="n">
        <x:f>1/C7</x:f>
        <x:v>0.515331100231899</x:v>
      </x:c>
      <x:c r="E7" s="12" t="str">
        <x:v>https://en.wikipedia.org/wiki/Soviet_ruble#Exchange_rates</x:v>
      </x:c>
      <x:c r="F7" s="12" t="str">
        <x:v>二手转引；不是年均；不含黑市／商业／旅游汇率。</x:v>
      </x:c>
    </x:row>
    <x:row r="8" ht="60" customHeight="1">
      <x:c r="A8" s="12" t="str">
        <x:v>1927-01-01</x:v>
      </x:c>
      <x:c r="B8" s="12" t="str">
        <x:v>苏联／旧俄罗斯卢布</x:v>
      </x:c>
      <x:c r="C8" s="56" t="n">
        <x:v>1.945</x:v>
      </x:c>
      <x:c r="D8" s="56" t="n">
        <x:f>1/C8</x:f>
        <x:v>0.5141388174807198</x:v>
      </x:c>
      <x:c r="E8" s="12" t="str">
        <x:v>https://en.wikipedia.org/wiki/Soviet_ruble#Exchange_rates</x:v>
      </x:c>
      <x:c r="F8" s="12" t="str">
        <x:v>二手转引；不是年均；不含黑市／商业／旅游汇率。</x:v>
      </x:c>
    </x:row>
    <x:row r="9" ht="60" customHeight="1">
      <x:c r="A9" s="12" t="str">
        <x:v>1928-02-01</x:v>
      </x:c>
      <x:c r="B9" s="12" t="str">
        <x:v>苏联／旧俄罗斯卢布</x:v>
      </x:c>
      <x:c r="C9" s="56" t="n">
        <x:v>1.9434</x:v>
      </x:c>
      <x:c r="D9" s="56" t="n">
        <x:f>1/C9</x:f>
        <x:v>0.5145621076463929</x:v>
      </x:c>
      <x:c r="E9" s="12" t="str">
        <x:v>https://en.wikipedia.org/wiki/Soviet_ruble#Exchange_rates</x:v>
      </x:c>
      <x:c r="F9" s="12" t="str">
        <x:v>二手转引；不是年均；不含黑市／商业／旅游汇率。</x:v>
      </x:c>
    </x:row>
    <x:row r="10" ht="60" customHeight="1">
      <x:c r="A10" s="12" t="str">
        <x:v>1933-04-01</x:v>
      </x:c>
      <x:c r="B10" s="12" t="str">
        <x:v>苏联／旧俄罗斯卢布</x:v>
      </x:c>
      <x:c r="C10" s="56" t="n">
        <x:v>1.9434</x:v>
      </x:c>
      <x:c r="D10" s="56" t="n">
        <x:f>1/C10</x:f>
        <x:v>0.5145621076463929</x:v>
      </x:c>
      <x:c r="E10" s="12" t="str">
        <x:v>https://en.wikipedia.org/wiki/Soviet_ruble#Exchange_rates</x:v>
      </x:c>
      <x:c r="F10" s="12" t="str">
        <x:v>二手转引；不是年均；不含黑市／商业／旅游汇率。</x:v>
      </x:c>
    </x:row>
    <x:row r="11" ht="60" customHeight="1">
      <x:c r="A11" s="12" t="str">
        <x:v>1933-05-01</x:v>
      </x:c>
      <x:c r="B11" s="12" t="str">
        <x:v>苏联／旧俄罗斯卢布</x:v>
      </x:c>
      <x:c r="C11" s="56" t="n">
        <x:v>1.7474</x:v>
      </x:c>
      <x:c r="D11" s="56" t="n">
        <x:f>1/C11</x:f>
        <x:v>0.5722788142382969</x:v>
      </x:c>
      <x:c r="E11" s="12" t="str">
        <x:v>https://en.wikipedia.org/wiki/Soviet_ruble#Exchange_rates</x:v>
      </x:c>
      <x:c r="F11" s="12" t="str">
        <x:v>二手转引；不是年均；不含黑市／商业／旅游汇率。</x:v>
      </x:c>
    </x:row>
    <x:row r="12" ht="60" customHeight="1">
      <x:c r="A12" s="12" t="str">
        <x:v>1934-01-01</x:v>
      </x:c>
      <x:c r="B12" s="12" t="str">
        <x:v>苏联／旧俄罗斯卢布</x:v>
      </x:c>
      <x:c r="C12" s="56" t="n">
        <x:v>1.2434</x:v>
      </x:c>
      <x:c r="D12" s="56" t="n">
        <x:f>1/C12</x:f>
        <x:v>0.804246421103426</x:v>
      </x:c>
      <x:c r="E12" s="12" t="str">
        <x:v>https://en.wikipedia.org/wiki/Soviet_ruble#Exchange_rates</x:v>
      </x:c>
      <x:c r="F12" s="12" t="str">
        <x:v>二手转引；不是年均；不含黑市／商业／旅游汇率。</x:v>
      </x:c>
    </x:row>
    <x:row r="13" ht="60" customHeight="1">
      <x:c r="A13" s="12" t="str">
        <x:v>1935-01-01</x:v>
      </x:c>
      <x:c r="B13" s="12" t="str">
        <x:v>苏联／旧俄罗斯卢布</x:v>
      </x:c>
      <x:c r="C13" s="56" t="n">
        <x:v>1.1509</x:v>
      </x:c>
      <x:c r="D13" s="56" t="n">
        <x:f>1/C13</x:f>
        <x:v>0.8688852202624033</x:v>
      </x:c>
      <x:c r="E13" s="12" t="str">
        <x:v>https://en.wikipedia.org/wiki/Soviet_ruble#Exchange_rates</x:v>
      </x:c>
      <x:c r="F13" s="12" t="str">
        <x:v>二手转引；不是年均；不含黑市／商业／旅游汇率。</x:v>
      </x:c>
    </x:row>
    <x:row r="14" ht="60" customHeight="1">
      <x:c r="A14" s="12" t="str">
        <x:v>1936-01-01</x:v>
      </x:c>
      <x:c r="B14" s="12" t="str">
        <x:v>苏联／旧俄罗斯卢布</x:v>
      </x:c>
      <x:c r="C14" s="56" t="n">
        <x:v>1.1516</x:v>
      </x:c>
      <x:c r="D14" s="56" t="n">
        <x:f>1/C14</x:f>
        <x:v>0.868357068426537</x:v>
      </x:c>
      <x:c r="E14" s="12" t="str">
        <x:v>https://en.wikipedia.org/wiki/Soviet_ruble#Exchange_rates</x:v>
      </x:c>
      <x:c r="F14" s="12" t="str">
        <x:v>二手转引；不是年均；不含黑市／商业／旅游汇率。</x:v>
      </x:c>
    </x:row>
    <x:row r="15" ht="60" customHeight="1">
      <x:c r="A15" s="12" t="str">
        <x:v>1937-01-01</x:v>
      </x:c>
      <x:c r="B15" s="12" t="str">
        <x:v>苏联／旧俄罗斯卢布</x:v>
      </x:c>
      <x:c r="C15" s="56" t="n">
        <x:v>5.04</x:v>
      </x:c>
      <x:c r="D15" s="56" t="n">
        <x:f>1/C15</x:f>
        <x:v>0.1984126984126984</x:v>
      </x:c>
      <x:c r="E15" s="12" t="str">
        <x:v>https://en.wikipedia.org/wiki/Soviet_ruble#Exchange_rates</x:v>
      </x:c>
      <x:c r="F15" s="12" t="str">
        <x:v>二手转引；不是年均；不含黑市／商业／旅游汇率。</x:v>
      </x:c>
    </x:row>
    <x:row r="16" ht="60" customHeight="1">
      <x:c r="A16" s="12" t="str">
        <x:v>1937-07-19</x:v>
      </x:c>
      <x:c r="B16" s="12" t="str">
        <x:v>苏联／旧俄罗斯卢布</x:v>
      </x:c>
      <x:c r="C16" s="56" t="n">
        <x:v>5.3</x:v>
      </x:c>
      <x:c r="D16" s="56" t="n">
        <x:f>1/C16</x:f>
        <x:v>0.18867924528301888</x:v>
      </x:c>
      <x:c r="E16" s="12" t="str">
        <x:v>https://en.wikipedia.org/wiki/Soviet_ruble#Exchange_rates</x:v>
      </x:c>
      <x:c r="F16" s="12" t="str">
        <x:v>二手转引；不是年均；不含黑市／商业／旅游汇率。</x:v>
      </x:c>
    </x:row>
    <x:row r="17" ht="60" customHeight="1">
      <x:c r="A17" s="12" t="str">
        <x:v>1950-02-01</x:v>
      </x:c>
      <x:c r="B17" s="12" t="str">
        <x:v>苏联／旧俄罗斯卢布</x:v>
      </x:c>
      <x:c r="C17" s="56" t="n">
        <x:v>5.3</x:v>
      </x:c>
      <x:c r="D17" s="56" t="n">
        <x:f>1/C17</x:f>
        <x:v>0.18867924528301888</x:v>
      </x:c>
      <x:c r="E17" s="12" t="str">
        <x:v>https://en.wikipedia.org/wiki/Soviet_ruble#Exchange_rates</x:v>
      </x:c>
      <x:c r="F17" s="12" t="str">
        <x:v>二手转引；不是年均；不含黑市／商业／旅游汇率。</x:v>
      </x:c>
    </x:row>
    <x:row r="18" ht="60" customHeight="1">
      <x:c r="A18" s="12" t="str">
        <x:v>1950-03-01</x:v>
      </x:c>
      <x:c r="B18" s="12" t="str">
        <x:v>苏联／旧俄罗斯卢布</x:v>
      </x:c>
      <x:c r="C18" s="56" t="n">
        <x:v>4</x:v>
      </x:c>
      <x:c r="D18" s="56" t="n">
        <x:f>1/C18</x:f>
        <x:v>0.25</x:v>
      </x:c>
      <x:c r="E18" s="12" t="str">
        <x:v>https://en.wikipedia.org/wiki/Soviet_ruble#Exchange_rates</x:v>
      </x:c>
      <x:c r="F18" s="12" t="str">
        <x:v>二手转引；不是年均；不含黑市／商业／旅游汇率。</x:v>
      </x:c>
    </x:row>
    <x:row r="19" ht="60" customHeight="1">
      <x:c r="A19" s="12" t="str">
        <x:v>1960-12-01</x:v>
      </x:c>
      <x:c r="B19" s="12" t="str">
        <x:v>苏联／旧俄罗斯卢布</x:v>
      </x:c>
      <x:c r="C19" s="56" t="n">
        <x:v>4</x:v>
      </x:c>
      <x:c r="D19" s="56" t="n">
        <x:f>1/C19</x:f>
        <x:v>0.25</x:v>
      </x:c>
      <x:c r="E19" s="12" t="str">
        <x:v>https://en.wikipedia.org/wiki/Soviet_ruble#Exchange_rates</x:v>
      </x:c>
      <x:c r="F19" s="12" t="str">
        <x:v>二手转引；不是年均；不含黑市／商业／旅游汇率。</x:v>
      </x:c>
    </x:row>
    <x:row r="20" ht="60" customHeight="1">
      <x:c r="A20" s="12" t="str">
        <x:v>1961-01-01</x:v>
      </x:c>
      <x:c r="B20" s="12" t="str">
        <x:v>苏联／旧俄罗斯卢布</x:v>
      </x:c>
      <x:c r="C20" s="56" t="n">
        <x:v>0.9</x:v>
      </x:c>
      <x:c r="D20" s="56" t="n">
        <x:f>1/C20</x:f>
        <x:v>1.1111111111111112</x:v>
      </x:c>
      <x:c r="E20" s="12" t="str">
        <x:v>https://en.wikipedia.org/wiki/Soviet_ruble#Exchange_rates</x:v>
      </x:c>
      <x:c r="F20" s="12" t="str">
        <x:v>二手转引；不是年均；不含黑市／商业／旅游汇率。</x:v>
      </x:c>
    </x:row>
    <x:row r="21" ht="60" customHeight="1">
      <x:c r="A21" s="12" t="str">
        <x:v>1971-12-01</x:v>
      </x:c>
      <x:c r="B21" s="12" t="str">
        <x:v>苏联／旧俄罗斯卢布</x:v>
      </x:c>
      <x:c r="C21" s="56" t="n">
        <x:v>0.9</x:v>
      </x:c>
      <x:c r="D21" s="56" t="n">
        <x:f>1/C21</x:f>
        <x:v>1.1111111111111112</x:v>
      </x:c>
      <x:c r="E21" s="12" t="str">
        <x:v>https://en.wikipedia.org/wiki/Soviet_ruble#Exchange_rates</x:v>
      </x:c>
      <x:c r="F21" s="12" t="str">
        <x:v>二手转引；不是年均；不含黑市／商业／旅游汇率。</x:v>
      </x:c>
    </x:row>
    <x:row r="22" ht="60" customHeight="1">
      <x:c r="A22" s="12" t="str">
        <x:v>1972-01-01</x:v>
      </x:c>
      <x:c r="B22" s="12" t="str">
        <x:v>苏联／旧俄罗斯卢布</x:v>
      </x:c>
      <x:c r="C22" s="56" t="n">
        <x:v>0.829</x:v>
      </x:c>
      <x:c r="D22" s="56" t="n">
        <x:f>1/C22</x:f>
        <x:v>1.2062726176115803</x:v>
      </x:c>
      <x:c r="E22" s="12" t="str">
        <x:v>https://en.wikipedia.org/wiki/Soviet_ruble#Exchange_rates</x:v>
      </x:c>
      <x:c r="F22" s="12" t="str">
        <x:v>二手转引；不是年均；不含黑市／商业／旅游汇率。</x:v>
      </x:c>
    </x:row>
    <x:row r="23" ht="60" customHeight="1">
      <x:c r="A23" s="12" t="str">
        <x:v>1973-01-01</x:v>
      </x:c>
      <x:c r="B23" s="12" t="str">
        <x:v>苏联／旧俄罗斯卢布</x:v>
      </x:c>
      <x:c r="C23" s="56" t="n">
        <x:v>0.826</x:v>
      </x:c>
      <x:c r="D23" s="56" t="n">
        <x:f>1/C23</x:f>
        <x:v>1.2106537530266344</x:v>
      </x:c>
      <x:c r="E23" s="12" t="str">
        <x:v>https://en.wikipedia.org/wiki/Soviet_ruble#Exchange_rates</x:v>
      </x:c>
      <x:c r="F23" s="12" t="str">
        <x:v>二手转引；不是年均；不含黑市／商业／旅游汇率。</x:v>
      </x:c>
    </x:row>
    <x:row r="24" ht="60" customHeight="1">
      <x:c r="A24" s="12" t="str">
        <x:v>1974-01-01</x:v>
      </x:c>
      <x:c r="B24" s="12" t="str">
        <x:v>苏联／旧俄罗斯卢布</x:v>
      </x:c>
      <x:c r="C24" s="56" t="n">
        <x:v>0.7536</x:v>
      </x:c>
      <x:c r="D24" s="56" t="n">
        <x:f>1/C24</x:f>
        <x:v>1.326963906581741</x:v>
      </x:c>
      <x:c r="E24" s="12" t="str">
        <x:v>https://en.wikipedia.org/wiki/Soviet_ruble#Exchange_rates</x:v>
      </x:c>
      <x:c r="F24" s="12" t="str">
        <x:v>二手转引；不是年均；不含黑市／商业／旅游汇率。</x:v>
      </x:c>
    </x:row>
    <x:row r="25" ht="60" customHeight="1">
      <x:c r="A25" s="12" t="str">
        <x:v>1975-01-01</x:v>
      </x:c>
      <x:c r="B25" s="12" t="str">
        <x:v>苏联／旧俄罗斯卢布</x:v>
      </x:c>
      <x:c r="C25" s="56" t="n">
        <x:v>0.73</x:v>
      </x:c>
      <x:c r="D25" s="56" t="n">
        <x:f>1/C25</x:f>
        <x:v>1.36986301369863</x:v>
      </x:c>
      <x:c r="E25" s="12" t="str">
        <x:v>https://en.wikipedia.org/wiki/Soviet_ruble#Exchange_rates</x:v>
      </x:c>
      <x:c r="F25" s="12" t="str">
        <x:v>二手转引；不是年均；不含黑市／商业／旅游汇率。</x:v>
      </x:c>
    </x:row>
    <x:row r="26" ht="60" customHeight="1">
      <x:c r="A26" s="12" t="str">
        <x:v>1976-01-01</x:v>
      </x:c>
      <x:c r="B26" s="12" t="str">
        <x:v>苏联／旧俄罗斯卢布</x:v>
      </x:c>
      <x:c r="C26" s="56" t="n">
        <x:v>0.758</x:v>
      </x:c>
      <x:c r="D26" s="56" t="n">
        <x:f>1/C26</x:f>
        <x:v>1.3192612137203166</x:v>
      </x:c>
      <x:c r="E26" s="12" t="str">
        <x:v>https://en.wikipedia.org/wiki/Soviet_ruble#Exchange_rates</x:v>
      </x:c>
      <x:c r="F26" s="12" t="str">
        <x:v>二手转引；不是年均；不含黑市／商业／旅游汇率。</x:v>
      </x:c>
    </x:row>
    <x:row r="27" ht="60" customHeight="1">
      <x:c r="A27" s="12" t="str">
        <x:v>1977-01-01</x:v>
      </x:c>
      <x:c r="B27" s="12" t="str">
        <x:v>苏联／旧俄罗斯卢布</x:v>
      </x:c>
      <x:c r="C27" s="56" t="n">
        <x:v>0.742</x:v>
      </x:c>
      <x:c r="D27" s="56" t="n">
        <x:f>1/C27</x:f>
        <x:v>1.3477088948787062</x:v>
      </x:c>
      <x:c r="E27" s="12" t="str">
        <x:v>https://en.wikipedia.org/wiki/Soviet_ruble#Exchange_rates</x:v>
      </x:c>
      <x:c r="F27" s="12" t="str">
        <x:v>二手转引；不是年均；不含黑市／商业／旅游汇率。</x:v>
      </x:c>
    </x:row>
    <x:row r="28" ht="60" customHeight="1">
      <x:c r="A28" s="12" t="str">
        <x:v>1978-01-01</x:v>
      </x:c>
      <x:c r="B28" s="12" t="str">
        <x:v>苏联／旧俄罗斯卢布</x:v>
      </x:c>
      <x:c r="C28" s="56" t="n">
        <x:v>0.706</x:v>
      </x:c>
      <x:c r="D28" s="56" t="n">
        <x:f>1/C28</x:f>
        <x:v>1.41643059490085</x:v>
      </x:c>
      <x:c r="E28" s="12" t="str">
        <x:v>https://en.wikipedia.org/wiki/Soviet_ruble#Exchange_rates</x:v>
      </x:c>
      <x:c r="F28" s="12" t="str">
        <x:v>二手转引；不是年均；不含黑市／商业／旅游汇率。</x:v>
      </x:c>
    </x:row>
    <x:row r="29" ht="60" customHeight="1">
      <x:c r="A29" s="12" t="str">
        <x:v>1979-01-01</x:v>
      </x:c>
      <x:c r="B29" s="12" t="str">
        <x:v>苏联／旧俄罗斯卢布</x:v>
      </x:c>
      <x:c r="C29" s="56" t="n">
        <x:v>0.659</x:v>
      </x:c>
      <x:c r="D29" s="56" t="n">
        <x:f>1/C29</x:f>
        <x:v>1.5174506828528072</x:v>
      </x:c>
      <x:c r="E29" s="12" t="str">
        <x:v>https://en.wikipedia.org/wiki/Soviet_ruble#Exchange_rates</x:v>
      </x:c>
      <x:c r="F29" s="12" t="str">
        <x:v>二手转引；不是年均；不含黑市／商业／旅游汇率。</x:v>
      </x:c>
    </x:row>
    <x:row r="30" ht="60" customHeight="1">
      <x:c r="A30" s="12" t="str">
        <x:v>1980-01-03</x:v>
      </x:c>
      <x:c r="B30" s="12" t="str">
        <x:v>苏联／旧俄罗斯卢布</x:v>
      </x:c>
      <x:c r="C30" s="56" t="n">
        <x:v>0.6395</x:v>
      </x:c>
      <x:c r="D30" s="56" t="n">
        <x:f>1/C30</x:f>
        <x:v>1.563721657544957</x:v>
      </x:c>
      <x:c r="E30" s="12" t="str">
        <x:v>https://en.wikipedia.org/wiki/Soviet_ruble#Exchange_rates</x:v>
      </x:c>
      <x:c r="F30" s="12" t="str">
        <x:v>二手转引；不是年均；不含黑市／商业／旅游汇率。</x:v>
      </x:c>
    </x:row>
    <x:row r="31" ht="60" customHeight="1">
      <x:c r="A31" s="12" t="str">
        <x:v>1981-01-01</x:v>
      </x:c>
      <x:c r="B31" s="12" t="str">
        <x:v>苏联／旧俄罗斯卢布</x:v>
      </x:c>
      <x:c r="C31" s="56" t="n">
        <x:v>0.675</x:v>
      </x:c>
      <x:c r="D31" s="56" t="n">
        <x:f>1/C31</x:f>
        <x:v>1.4814814814814814</x:v>
      </x:c>
      <x:c r="E31" s="12" t="str">
        <x:v>https://en.wikipedia.org/wiki/Soviet_ruble#Exchange_rates</x:v>
      </x:c>
      <x:c r="F31" s="12" t="str">
        <x:v>二手转引；不是年均；不含黑市／商业／旅游汇率。</x:v>
      </x:c>
    </x:row>
    <x:row r="32" ht="60" customHeight="1">
      <x:c r="A32" s="12" t="str">
        <x:v>1982-01-01</x:v>
      </x:c>
      <x:c r="B32" s="12" t="str">
        <x:v>苏联／旧俄罗斯卢布</x:v>
      </x:c>
      <x:c r="C32" s="56" t="n">
        <x:v>0.708</x:v>
      </x:c>
      <x:c r="D32" s="56" t="n">
        <x:f>1/C32</x:f>
        <x:v>1.4124293785310735</x:v>
      </x:c>
      <x:c r="E32" s="12" t="str">
        <x:v>https://en.wikipedia.org/wiki/Soviet_ruble#Exchange_rates</x:v>
      </x:c>
      <x:c r="F32" s="12" t="str">
        <x:v>二手转引；不是年均；不含黑市／商业／旅游汇率。</x:v>
      </x:c>
    </x:row>
    <x:row r="33" ht="60" customHeight="1">
      <x:c r="A33" s="12" t="str">
        <x:v>1983-01-13</x:v>
      </x:c>
      <x:c r="B33" s="12" t="str">
        <x:v>苏联／旧俄罗斯卢布</x:v>
      </x:c>
      <x:c r="C33" s="56" t="n">
        <x:v>0.707</x:v>
      </x:c>
      <x:c r="D33" s="56" t="n">
        <x:f>1/C33</x:f>
        <x:v>1.4144271570014144</x:v>
      </x:c>
      <x:c r="E33" s="12" t="str">
        <x:v>https://en.wikipedia.org/wiki/Soviet_ruble#Exchange_rates</x:v>
      </x:c>
      <x:c r="F33" s="12" t="str">
        <x:v>二手转引；不是年均；不含黑市／商业／旅游汇率。</x:v>
      </x:c>
    </x:row>
    <x:row r="34" ht="60" customHeight="1">
      <x:c r="A34" s="12" t="str">
        <x:v>1984-01-01</x:v>
      </x:c>
      <x:c r="B34" s="12" t="str">
        <x:v>苏联／旧俄罗斯卢布</x:v>
      </x:c>
      <x:c r="C34" s="56" t="n">
        <x:v>0.791</x:v>
      </x:c>
      <x:c r="D34" s="56" t="n">
        <x:f>1/C34</x:f>
        <x:v>1.2642225031605563</x:v>
      </x:c>
      <x:c r="E34" s="12" t="str">
        <x:v>https://en.wikipedia.org/wiki/Soviet_ruble#Exchange_rates</x:v>
      </x:c>
      <x:c r="F34" s="12" t="str">
        <x:v>二手转引；不是年均；不含黑市／商业／旅游汇率。</x:v>
      </x:c>
    </x:row>
    <x:row r="35" ht="60" customHeight="1">
      <x:c r="A35" s="12" t="str">
        <x:v>1985-02-28</x:v>
      </x:c>
      <x:c r="B35" s="12" t="str">
        <x:v>苏联／旧俄罗斯卢布</x:v>
      </x:c>
      <x:c r="C35" s="56" t="n">
        <x:v>0.92</x:v>
      </x:c>
      <x:c r="D35" s="56" t="n">
        <x:f>1/C35</x:f>
        <x:v>1.0869565217391304</x:v>
      </x:c>
      <x:c r="E35" s="12" t="str">
        <x:v>https://en.wikipedia.org/wiki/Soviet_ruble#Exchange_rates</x:v>
      </x:c>
      <x:c r="F35" s="12" t="str">
        <x:v>二手转引；不是年均；不含黑市／商业／旅游汇率。</x:v>
      </x:c>
    </x:row>
    <x:row r="36" ht="60" customHeight="1">
      <x:c r="A36" s="12" t="str">
        <x:v>1986-01-01</x:v>
      </x:c>
      <x:c r="B36" s="12" t="str">
        <x:v>苏联／旧俄罗斯卢布</x:v>
      </x:c>
      <x:c r="C36" s="56" t="n">
        <x:v>0.7585</x:v>
      </x:c>
      <x:c r="D36" s="56" t="n">
        <x:f>1/C36</x:f>
        <x:v>1.3183915622940015</x:v>
      </x:c>
      <x:c r="E36" s="12" t="str">
        <x:v>https://en.wikipedia.org/wiki/Soviet_ruble#Exchange_rates</x:v>
      </x:c>
      <x:c r="F36" s="12" t="str">
        <x:v>二手转引；不是年均；不含黑市／商业／旅游汇率。</x:v>
      </x:c>
    </x:row>
    <x:row r="37" ht="60" customHeight="1">
      <x:c r="A37" s="12" t="str">
        <x:v>1987-01-01</x:v>
      </x:c>
      <x:c r="B37" s="12" t="str">
        <x:v>苏联／旧俄罗斯卢布</x:v>
      </x:c>
      <x:c r="C37" s="56" t="n">
        <x:v>0.67</x:v>
      </x:c>
      <x:c r="D37" s="56" t="n">
        <x:f>1/C37</x:f>
        <x:v>1.4925373134328357</x:v>
      </x:c>
      <x:c r="E37" s="12" t="str">
        <x:v>https://en.wikipedia.org/wiki/Soviet_ruble#Exchange_rates</x:v>
      </x:c>
      <x:c r="F37" s="12" t="str">
        <x:v>二手转引；不是年均；不含黑市／商业／旅游汇率。</x:v>
      </x:c>
    </x:row>
    <x:row r="38" ht="60" customHeight="1">
      <x:c r="A38" s="12" t="str">
        <x:v>1988-01-06</x:v>
      </x:c>
      <x:c r="B38" s="12" t="str">
        <x:v>苏联／旧俄罗斯卢布</x:v>
      </x:c>
      <x:c r="C38" s="56" t="n">
        <x:v>0.5804</x:v>
      </x:c>
      <x:c r="D38" s="56" t="n">
        <x:f>1/C38</x:f>
        <x:v>1.7229496898690557</x:v>
      </x:c>
      <x:c r="E38" s="12" t="str">
        <x:v>https://en.wikipedia.org/wiki/Soviet_ruble#Exchange_rates</x:v>
      </x:c>
      <x:c r="F38" s="12" t="str">
        <x:v>二手转引；不是年均；不含黑市／商业／旅游汇率。</x:v>
      </x:c>
    </x:row>
    <x:row r="39" ht="60" customHeight="1">
      <x:c r="A39" s="12" t="str">
        <x:v>1989-01-04</x:v>
      </x:c>
      <x:c r="B39" s="12" t="str">
        <x:v>苏联／旧俄罗斯卢布</x:v>
      </x:c>
      <x:c r="C39" s="56" t="n">
        <x:v>0.6059</x:v>
      </x:c>
      <x:c r="D39" s="56" t="n">
        <x:f>1/C39</x:f>
        <x:v>1.650437365901964</x:v>
      </x:c>
      <x:c r="E39" s="12" t="str">
        <x:v>https://en.wikipedia.org/wiki/Soviet_ruble#Exchange_rates</x:v>
      </x:c>
      <x:c r="F39" s="12" t="str">
        <x:v>二手转引；不是年均；不含黑市／商业／旅游汇率。</x:v>
      </x:c>
    </x:row>
    <x:row r="40" ht="60" customHeight="1">
      <x:c r="A40" s="12" t="str">
        <x:v>1990-01-03</x:v>
      </x:c>
      <x:c r="B40" s="12" t="str">
        <x:v>苏联／旧俄罗斯卢布</x:v>
      </x:c>
      <x:c r="C40" s="56" t="n">
        <x:v>0.6072</x:v>
      </x:c>
      <x:c r="D40" s="56" t="n">
        <x:f>1/C40</x:f>
        <x:v>1.6469038208168645</x:v>
      </x:c>
      <x:c r="E40" s="12" t="str">
        <x:v>https://en.wikipedia.org/wiki/Soviet_ruble#Exchange_rates</x:v>
      </x:c>
      <x:c r="F40" s="12" t="str">
        <x:v>二手转引；不是年均；不含黑市／商业／旅游汇率。</x:v>
      </x:c>
    </x:row>
    <x:row r="41" ht="60" customHeight="1">
      <x:c r="A41" s="12" t="str">
        <x:v>1991-01-02</x:v>
      </x:c>
      <x:c r="B41" s="12" t="str">
        <x:v>苏联／旧俄罗斯卢布</x:v>
      </x:c>
      <x:c r="C41" s="56" t="n">
        <x:v>0.5605</x:v>
      </x:c>
      <x:c r="D41" s="56" t="n">
        <x:f>1/C41</x:f>
        <x:v>1.784121320249777</x:v>
      </x:c>
      <x:c r="E41" s="12" t="str">
        <x:v>https://en.wikipedia.org/wiki/Soviet_ruble#Exchange_rates</x:v>
      </x:c>
      <x:c r="F41" s="12" t="str">
        <x:v>二手转引；不是年均；不含黑市／商业／旅游汇率。</x:v>
      </x:c>
    </x:row>
    <x:row r="42" ht="60" customHeight="1">
      <x:c r="A42" s="12" t="str">
        <x:v>1991-02-13</x:v>
      </x:c>
      <x:c r="B42" s="12" t="str">
        <x:v>苏联／旧俄罗斯卢布</x:v>
      </x:c>
      <x:c r="C42" s="56" t="n">
        <x:v>0.545</x:v>
      </x:c>
      <x:c r="D42" s="56" t="n">
        <x:f>1/C42</x:f>
        <x:v>1.8348623853211008</x:v>
      </x:c>
      <x:c r="E42" s="12" t="str">
        <x:v>https://en.wikipedia.org/wiki/Soviet_ruble#Exchange_rates</x:v>
      </x:c>
      <x:c r="F42" s="12" t="str">
        <x:v>二手转引；不是年均；不含黑市／商业／旅游汇率。</x:v>
      </x:c>
    </x:row>
    <x:row r="43" ht="60" customHeight="1">
      <x:c r="A43" s="12" t="str">
        <x:v>1992-01-01</x:v>
      </x:c>
      <x:c r="B43" s="12" t="str">
        <x:v>苏联／旧俄罗斯卢布</x:v>
      </x:c>
      <x:c r="C43" s="56" t="n">
        <x:v>0.5549</x:v>
      </x:c>
      <x:c r="D43" s="56" t="n">
        <x:f>1/C43</x:f>
        <x:v>1.8021265092809517</x:v>
      </x:c>
      <x:c r="E43" s="12" t="str">
        <x:v>https://en.wikipedia.org/wiki/Soviet_ruble#Exchange_rates</x:v>
      </x:c>
      <x:c r="F43" s="12" t="str">
        <x:v>二手转引；不是年均；不含黑市／商业／旅游汇率。</x:v>
      </x:c>
    </x:row>
    <x:row r="48" ht="32" customHeight="1">
      <x:c r="A48" s="6" t="str">
        <x:v>源表相同官价区间</x:v>
      </x:c>
      <x:c r="B48" s="6" t="str">
        <x:v>主表展开的完整年份</x:v>
      </x:c>
      <x:c r="C48" s="6" t="str">
        <x:v>卢布／美元</x:v>
      </x:c>
      <x:c r="D48" s="6" t="str">
        <x:v>类型</x:v>
      </x:c>
    </x:row>
    <x:row r="49" ht="55" customHeight="1">
      <x:c r="A49" s="12" t="str">
        <x:v>1928-02-01—1933-04-01</x:v>
      </x:c>
      <x:c r="B49" s="12" t="str">
        <x:v>1929—1932</x:v>
      </x:c>
      <x:c r="C49" s="12" t="n">
        <x:v>1.9434</x:v>
      </x:c>
      <x:c r="D49" s="12" t="str">
        <x:v>官价区间参考，非年均</x:v>
      </x:c>
    </x:row>
    <x:row r="50" ht="55" customHeight="1">
      <x:c r="A50" s="12" t="str">
        <x:v>1937-07-19—1950-02-01</x:v>
      </x:c>
      <x:c r="B50" s="12" t="str">
        <x:v>1938—1949</x:v>
      </x:c>
      <x:c r="C50" s="12" t="n">
        <x:v>5.3</x:v>
      </x:c>
      <x:c r="D50" s="12" t="str">
        <x:v>官价区间参考，非年均</x:v>
      </x:c>
    </x:row>
    <x:row r="51" ht="55" customHeight="1">
      <x:c r="A51" s="12" t="str">
        <x:v>1950-03-01—1960-12-01</x:v>
      </x:c>
      <x:c r="B51" s="12" t="str">
        <x:v>1951—1959</x:v>
      </x:c>
      <x:c r="C51" s="12" t="n">
        <x:v>4</x:v>
      </x:c>
      <x:c r="D51" s="12" t="str">
        <x:v>官价区间参考，非年均</x:v>
      </x:c>
    </x:row>
    <x:row r="52" ht="55" customHeight="1">
      <x:c r="A52" s="12" t="str">
        <x:v>1961-01-01—1971-12-01</x:v>
      </x:c>
      <x:c r="B52" s="12" t="str">
        <x:v>1961—1970</x:v>
      </x:c>
      <x:c r="C52" s="12" t="n">
        <x:v>0.9</x:v>
      </x:c>
      <x:c r="D52" s="12" t="str">
        <x:v>官价区间参考，非年均</x:v>
      </x:c>
    </x:row>
  </x:sheetData>
  <x:mergeCells>
    <x:mergeCell ref="A1:M1"/>
    <x:mergeCell ref="A2:M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58" hidden="0" customWidth="1"/>
    <x:col min="5" max="5" width="15" hidden="0" customWidth="1"/>
    <x:col min="6" max="6" width="4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缺失清单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共有70个展示格缺失，其中10格是德国缺口在欧元代理栏的重复；按独立地区／币种计为60个缺口。未插值、未把定点官价伪装成年均、未用虚构汇率补齐。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年份</x:v>
      </x:c>
      <x:c r="B5" s="6" t="str">
        <x:v>槽位</x:v>
      </x:c>
      <x:c r="C5" s="6" t="str">
        <x:v>当年币种／过渡情况</x:v>
      </x:c>
      <x:c r="D5" s="6" t="str">
        <x:v>缺失原因</x:v>
      </x:c>
      <x:c r="E5" s="6" t="str">
        <x:v>是否代理重复</x:v>
      </x:c>
      <x:c r="F5" s="6" t="str">
        <x:v>后续应核对</x:v>
      </x:c>
    </x:row>
    <x:row r="6" ht="75" customHeight="1">
      <x:c r="A6" s="12" t="n">
        <x:v>1920</x:v>
      </x:c>
      <x:c r="B6" s="12" t="str">
        <x:v>RUB</x:v>
      </x:c>
      <x:c r="C6" s="12" t="str">
        <x:v>苏俄纸卢布（多币并存）</x:v>
      </x:c>
      <x:c r="D6" s="12" t="str">
        <x:v>本次未取得可核验的对应年份官价或年均；早期多种纸卢布／切尔文券并行，未用后期金平价倒推。</x:v>
      </x:c>
      <x:c r="E6" s="12" t="str">
        <x:v>否</x:v>
      </x:c>
      <x:c r="F6" s="12" t="str">
        <x:v>对应年份中央银行／国联／IMF／当时报价原表；先确认日期、币种面额与官价／市场价</x:v>
      </x:c>
    </x:row>
    <x:row r="7" ht="75" customHeight="1">
      <x:c r="A7" s="12" t="n">
        <x:v>1921</x:v>
      </x:c>
      <x:c r="B7" s="12" t="str">
        <x:v>RUB</x:v>
      </x:c>
      <x:c r="C7" s="12" t="str">
        <x:v>苏俄纸卢布（多币并存）</x:v>
      </x:c>
      <x:c r="D7" s="12" t="str">
        <x:v>本次未取得可核验的对应年份官价或年均；早期多种纸卢布／切尔文券并行，未用后期金平价倒推。</x:v>
      </x:c>
      <x:c r="E7" s="12" t="str">
        <x:v>否</x:v>
      </x:c>
      <x:c r="F7" s="12" t="str">
        <x:v>对应年份中央银行／国联／IMF／当时报价原表；先确认日期、币种面额与官价／市场价</x:v>
      </x:c>
    </x:row>
    <x:row r="8" ht="75" customHeight="1">
      <x:c r="A8" s="12" t="n">
        <x:v>1922</x:v>
      </x:c>
      <x:c r="B8" s="12" t="str">
        <x:v>RUB</x:v>
      </x:c>
      <x:c r="C8" s="12" t="str">
        <x:v>1922卢布／切尔文券（并行）</x:v>
      </x:c>
      <x:c r="D8" s="12" t="str">
        <x:v>本次未取得可核验的对应年份官价或年均；早期多种纸卢布／切尔文券并行，未用后期金平价倒推。</x:v>
      </x:c>
      <x:c r="E8" s="12" t="str">
        <x:v>否</x:v>
      </x:c>
      <x:c r="F8" s="12" t="str">
        <x:v>对应年份中央银行／国联／IMF／当时报价原表；先确认日期、币种面额与官价／市场价</x:v>
      </x:c>
    </x:row>
    <x:row r="9" ht="75" customHeight="1">
      <x:c r="A9" s="12" t="n">
        <x:v>1923</x:v>
      </x:c>
      <x:c r="B9" s="12" t="str">
        <x:v>DE</x:v>
      </x:c>
      <x:c r="C9" s="12" t="str">
        <x:v>纸马克／伦滕马克（过渡）</x:v>
      </x:c>
      <x:c r="D9" s="12" t="str">
        <x:v>恶性通胀与币制改换；已见特殊报价，但其单位／年均定义未充分核验，未强行纳入。</x:v>
      </x:c>
      <x:c r="E9" s="12" t="str">
        <x:v>否</x:v>
      </x:c>
      <x:c r="F9" s="12" t="str">
        <x:v>对应年份中央银行／国联／IMF／当时报价原表；先确认日期、币种面额与官价／市场价</x:v>
      </x:c>
    </x:row>
    <x:row r="10" ht="75" customHeight="1">
      <x:c r="A10" s="12" t="n">
        <x:v>1923</x:v>
      </x:c>
      <x:c r="B10" s="12" t="str">
        <x:v>RUB</x:v>
      </x:c>
      <x:c r="C10" s="12" t="str">
        <x:v>1923卢布／切尔文券（并行）</x:v>
      </x:c>
      <x:c r="D10" s="12" t="str">
        <x:v>本次未取得可核验的对应年份官价或年均；早期多种纸卢布／切尔文券并行，未用后期金平价倒推。</x:v>
      </x:c>
      <x:c r="E10" s="12" t="str">
        <x:v>否</x:v>
      </x:c>
      <x:c r="F10" s="12" t="str">
        <x:v>对应年份中央银行／国联／IMF／当时报价原表；先确认日期、币种面额与官价／市场价</x:v>
      </x:c>
    </x:row>
    <x:row r="11" ht="75" customHeight="1">
      <x:c r="A11" s="12" t="n">
        <x:v>1923</x:v>
      </x:c>
      <x:c r="B11" s="12" t="str">
        <x:v>EUR</x:v>
      </x:c>
      <x:c r="C11" s="12" t="str">
        <x:v>德国代理：纸马克／伦滕马克（过渡）</x:v>
      </x:c>
      <x:c r="D11" s="12" t="str">
        <x:v>德国缺口在欧元代理栏重复；恶性通胀与币制改换；已见特殊报价，但其单位／年均定义未充分核验，未强行纳入。</x:v>
      </x:c>
      <x:c r="E11" s="12" t="str">
        <x:v>是</x:v>
      </x:c>
      <x:c r="F11" s="12" t="str">
        <x:v>对应年份中央银行／国联／IMF／当时报价原表；先确认日期、币种面额与官价／市场价</x:v>
      </x:c>
    </x:row>
    <x:row r="12" ht="75" customHeight="1">
      <x:c r="A12" s="12" t="n">
        <x:v>1924</x:v>
      </x:c>
      <x:c r="B12" s="12" t="str">
        <x:v>DE</x:v>
      </x:c>
      <x:c r="C12" s="12" t="str">
        <x:v>伦滕马克／帝国马克（过渡）</x:v>
      </x:c>
      <x:c r="D12" s="12" t="str">
        <x:v>恶性通胀与币制改换；已见特殊报价，但其单位／年均定义未充分核验，未强行纳入。</x:v>
      </x:c>
      <x:c r="E12" s="12" t="str">
        <x:v>否</x:v>
      </x:c>
      <x:c r="F12" s="12" t="str">
        <x:v>对应年份中央银行／国联／IMF／当时报价原表；先确认日期、币种面额与官价／市场价</x:v>
      </x:c>
    </x:row>
    <x:row r="13" ht="75" customHeight="1">
      <x:c r="A13" s="12" t="n">
        <x:v>1924</x:v>
      </x:c>
      <x:c r="B13" s="12" t="str">
        <x:v>EUR</x:v>
      </x:c>
      <x:c r="C13" s="12" t="str">
        <x:v>德国代理：伦滕马克／帝国马克（过渡）</x:v>
      </x:c>
      <x:c r="D13" s="12" t="str">
        <x:v>德国缺口在欧元代理栏重复；恶性通胀与币制改换；已见特殊报价，但其单位／年均定义未充分核验，未强行纳入。</x:v>
      </x:c>
      <x:c r="E13" s="12" t="str">
        <x:v>是</x:v>
      </x:c>
      <x:c r="F13" s="12" t="str">
        <x:v>对应年份中央银行／国联／IMF／当时报价原表；先确认日期、币种面额与官价／市场价</x:v>
      </x:c>
    </x:row>
    <x:row r="14" ht="75" customHeight="1">
      <x:c r="A14" s="12" t="n">
        <x:v>1925</x:v>
      </x:c>
      <x:c r="B14" s="12" t="str">
        <x:v>RUB</x:v>
      </x:c>
      <x:c r="C14" s="12" t="str">
        <x:v>苏联卢布（1924币制）</x:v>
      </x:c>
      <x:c r="D14" s="12" t="str">
        <x:v>本次未取得可核验的对应年份官价或年均；早期多种纸卢布／切尔文券并行，未用后期金平价倒推。</x:v>
      </x:c>
      <x:c r="E14" s="12" t="str">
        <x:v>否</x:v>
      </x:c>
      <x:c r="F14" s="12" t="str">
        <x:v>对应年份中央银行／国联／IMF／当时报价原表；先确认日期、币种面额与官价／市场价</x:v>
      </x:c>
    </x:row>
    <x:row r="15" ht="75" customHeight="1">
      <x:c r="A15" s="12" t="n">
        <x:v>1926</x:v>
      </x:c>
      <x:c r="B15" s="12" t="str">
        <x:v>RUB</x:v>
      </x:c>
      <x:c r="C15" s="12" t="str">
        <x:v>苏联卢布（1924币制）</x:v>
      </x:c>
      <x:c r="D15" s="12" t="str">
        <x:v>本次未取得可核验的对应年份官价或年均；早期多种纸卢布／切尔文券并行，未用后期金平价倒推。</x:v>
      </x:c>
      <x:c r="E15" s="12" t="str">
        <x:v>否</x:v>
      </x:c>
      <x:c r="F15" s="12" t="str">
        <x:v>对应年份中央银行／国联／IMF／当时报价原表；先确认日期、币种面额与官价／市场价</x:v>
      </x:c>
    </x:row>
    <x:row r="16" ht="75" customHeight="1">
      <x:c r="A16" s="12" t="n">
        <x:v>1941</x:v>
      </x:c>
      <x:c r="B16" s="12" t="str">
        <x:v>FR</x:v>
      </x:c>
      <x:c r="C16" s="12" t="str">
        <x:v>法国旧法郎</x:v>
      </x:c>
      <x:c r="D16" s="12" t="str">
        <x:v>本次采用的可访问来源未取得经核验的该年度值；不表示历史上不存在汇率。</x:v>
      </x:c>
      <x:c r="E16" s="12" t="str">
        <x:v>否</x:v>
      </x:c>
      <x:c r="F16" s="12" t="str">
        <x:v>对应年份中央银行／国联／IMF／当时报价原表；先确认日期、币种面额与官价／市场价</x:v>
      </x:c>
    </x:row>
    <x:row r="17" ht="75" customHeight="1">
      <x:c r="A17" s="12" t="n">
        <x:v>1942</x:v>
      </x:c>
      <x:c r="B17" s="12" t="str">
        <x:v>CAD</x:v>
      </x:c>
      <x:c r="C17" s="12" t="str">
        <x:v>加拿大元（CAD）</x:v>
      </x:c>
      <x:c r="D17" s="12" t="str">
        <x:v>本次采用的可访问来源未取得经核验的该年度值；不表示历史上不存在汇率。</x:v>
      </x:c>
      <x:c r="E17" s="12" t="str">
        <x:v>否</x:v>
      </x:c>
      <x:c r="F17" s="12" t="str">
        <x:v>对应年份中央银行／国联／IMF／当时报价原表；先确认日期、币种面额与官价／市场价</x:v>
      </x:c>
    </x:row>
    <x:row r="18" ht="75" customHeight="1">
      <x:c r="A18" s="12" t="n">
        <x:v>1942</x:v>
      </x:c>
      <x:c r="B18" s="12" t="str">
        <x:v>FR</x:v>
      </x:c>
      <x:c r="C18" s="12" t="str">
        <x:v>法国旧法郎</x:v>
      </x:c>
      <x:c r="D18" s="12" t="str">
        <x:v>本次采用的可访问来源未取得经核验的该年度值；不表示历史上不存在汇率。</x:v>
      </x:c>
      <x:c r="E18" s="12" t="str">
        <x:v>否</x:v>
      </x:c>
      <x:c r="F18" s="12" t="str">
        <x:v>对应年份中央银行／国联／IMF／当时报价原表；先确认日期、币种面额与官价／市场价</x:v>
      </x:c>
    </x:row>
    <x:row r="19" ht="75" customHeight="1">
      <x:c r="A19" s="12" t="n">
        <x:v>1942</x:v>
      </x:c>
      <x:c r="B19" s="12" t="str">
        <x:v>DE</x:v>
      </x:c>
      <x:c r="C19" s="12" t="str">
        <x:v>帝国马克（Reichsmark）</x:v>
      </x:c>
      <x:c r="D19" s="12" t="str">
        <x:v>本次采用的可访问来源未取得经核验的该年度值；不表示历史上不存在汇率。</x:v>
      </x:c>
      <x:c r="E19" s="12" t="str">
        <x:v>否</x:v>
      </x:c>
      <x:c r="F19" s="12" t="str">
        <x:v>对应年份中央银行／国联／IMF／当时报价原表；先确认日期、币种面额与官价／市场价</x:v>
      </x:c>
    </x:row>
    <x:row r="20" ht="75" customHeight="1">
      <x:c r="A20" s="12" t="n">
        <x:v>1942</x:v>
      </x:c>
      <x:c r="B20" s="12" t="str">
        <x:v>IT</x:v>
      </x:c>
      <x:c r="C20" s="12" t="str">
        <x:v>意大利里拉（ITL）</x:v>
      </x:c>
      <x:c r="D20" s="12" t="str">
        <x:v>本次采用的可访问来源未取得经核验的该年度值；不表示历史上不存在汇率。</x:v>
      </x:c>
      <x:c r="E20" s="12" t="str">
        <x:v>否</x:v>
      </x:c>
      <x:c r="F20" s="12" t="str">
        <x:v>对应年份中央银行／国联／IMF／当时报价原表；先确认日期、币种面额与官价／市场价</x:v>
      </x:c>
    </x:row>
    <x:row r="21" ht="75" customHeight="1">
      <x:c r="A21" s="12" t="n">
        <x:v>1942</x:v>
      </x:c>
      <x:c r="B21" s="12" t="str">
        <x:v>JPY</x:v>
      </x:c>
      <x:c r="C21" s="12" t="str">
        <x:v>日元（JPY）</x:v>
      </x:c>
      <x:c r="D21" s="12" t="str">
        <x:v>本次采用的可访问来源未取得经核验的该年度值；不表示历史上不存在汇率。</x:v>
      </x:c>
      <x:c r="E21" s="12" t="str">
        <x:v>否</x:v>
      </x:c>
      <x:c r="F21" s="12" t="str">
        <x:v>对应年份中央银行／国联／IMF／当时报价原表；先确认日期、币种面额与官价／市场价</x:v>
      </x:c>
    </x:row>
    <x:row r="22" ht="75" customHeight="1">
      <x:c r="A22" s="12" t="n">
        <x:v>1942</x:v>
      </x:c>
      <x:c r="B22" s="12" t="str">
        <x:v>CHF</x:v>
      </x:c>
      <x:c r="C22" s="12" t="str">
        <x:v>瑞士法郎（CHF）</x:v>
      </x:c>
      <x:c r="D22" s="12" t="str">
        <x:v>本次采用的可访问来源未取得经核验的该年度值；不表示历史上不存在汇率。</x:v>
      </x:c>
      <x:c r="E22" s="12" t="str">
        <x:v>否</x:v>
      </x:c>
      <x:c r="F22" s="12" t="str">
        <x:v>对应年份中央银行／国联／IMF／当时报价原表；先确认日期、币种面额与官价／市场价</x:v>
      </x:c>
    </x:row>
    <x:row r="23" ht="75" customHeight="1">
      <x:c r="A23" s="12" t="n">
        <x:v>1942</x:v>
      </x:c>
      <x:c r="B23" s="12" t="str">
        <x:v>CNY</x:v>
      </x:c>
      <x:c r="C23" s="12" t="str">
        <x:v>法币元</x:v>
      </x:c>
      <x:c r="D23" s="12" t="str">
        <x:v>本次未取得可核验的对应年度值；法币、金圆券、旧人民币过渡及多种市场报价，未插值或倒推。</x:v>
      </x:c>
      <x:c r="E23" s="12" t="str">
        <x:v>否</x:v>
      </x:c>
      <x:c r="F23" s="12" t="str">
        <x:v>对应年份中央银行／国联／IMF／当时报价原表；先确认日期、币种面额与官价／市场价</x:v>
      </x:c>
    </x:row>
    <x:row r="24" ht="75" customHeight="1">
      <x:c r="A24" s="12" t="n">
        <x:v>1942</x:v>
      </x:c>
      <x:c r="B24" s="12" t="str">
        <x:v>EUR</x:v>
      </x:c>
      <x:c r="C24" s="12" t="str">
        <x:v>德国代理：帝国马克（Reichsmark）</x:v>
      </x:c>
      <x:c r="D24" s="12" t="str">
        <x:v>德国缺口在欧元代理栏重复；本次采用的可访问来源未取得经核验的该年度值；不表示历史上不存在汇率。</x:v>
      </x:c>
      <x:c r="E24" s="12" t="str">
        <x:v>是</x:v>
      </x:c>
      <x:c r="F24" s="12" t="str">
        <x:v>对应年份中央银行／国联／IMF／当时报价原表；先确认日期、币种面额与官价／市场价</x:v>
      </x:c>
    </x:row>
    <x:row r="25" ht="75" customHeight="1">
      <x:c r="A25" s="12" t="n">
        <x:v>1943</x:v>
      </x:c>
      <x:c r="B25" s="12" t="str">
        <x:v>CAD</x:v>
      </x:c>
      <x:c r="C25" s="12" t="str">
        <x:v>加拿大元（CAD）</x:v>
      </x:c>
      <x:c r="D25" s="12" t="str">
        <x:v>本次采用的可访问来源未取得经核验的该年度值；不表示历史上不存在汇率。</x:v>
      </x:c>
      <x:c r="E25" s="12" t="str">
        <x:v>否</x:v>
      </x:c>
      <x:c r="F25" s="12" t="str">
        <x:v>对应年份中央银行／国联／IMF／当时报价原表；先确认日期、币种面额与官价／市场价</x:v>
      </x:c>
    </x:row>
    <x:row r="26" ht="75" customHeight="1">
      <x:c r="A26" s="12" t="n">
        <x:v>1943</x:v>
      </x:c>
      <x:c r="B26" s="12" t="str">
        <x:v>FR</x:v>
      </x:c>
      <x:c r="C26" s="12" t="str">
        <x:v>法国旧法郎</x:v>
      </x:c>
      <x:c r="D26" s="12" t="str">
        <x:v>本次采用的可访问来源未取得经核验的该年度值；不表示历史上不存在汇率。</x:v>
      </x:c>
      <x:c r="E26" s="12" t="str">
        <x:v>否</x:v>
      </x:c>
      <x:c r="F26" s="12" t="str">
        <x:v>对应年份中央银行／国联／IMF／当时报价原表；先确认日期、币种面额与官价／市场价</x:v>
      </x:c>
    </x:row>
    <x:row r="27" ht="75" customHeight="1">
      <x:c r="A27" s="12" t="n">
        <x:v>1943</x:v>
      </x:c>
      <x:c r="B27" s="12" t="str">
        <x:v>DE</x:v>
      </x:c>
      <x:c r="C27" s="12" t="str">
        <x:v>帝国马克（Reichsmark）</x:v>
      </x:c>
      <x:c r="D27" s="12" t="str">
        <x:v>本次采用的可访问来源未取得经核验的该年度值；不表示历史上不存在汇率。</x:v>
      </x:c>
      <x:c r="E27" s="12" t="str">
        <x:v>否</x:v>
      </x:c>
      <x:c r="F27" s="12" t="str">
        <x:v>对应年份中央银行／国联／IMF／当时报价原表；先确认日期、币种面额与官价／市场价</x:v>
      </x:c>
    </x:row>
    <x:row r="28" ht="75" customHeight="1">
      <x:c r="A28" s="12" t="n">
        <x:v>1943</x:v>
      </x:c>
      <x:c r="B28" s="12" t="str">
        <x:v>IT</x:v>
      </x:c>
      <x:c r="C28" s="12" t="str">
        <x:v>意大利里拉（ITL）</x:v>
      </x:c>
      <x:c r="D28" s="12" t="str">
        <x:v>本次采用的可访问来源未取得经核验的该年度值；不表示历史上不存在汇率。</x:v>
      </x:c>
      <x:c r="E28" s="12" t="str">
        <x:v>否</x:v>
      </x:c>
      <x:c r="F28" s="12" t="str">
        <x:v>对应年份中央银行／国联／IMF／当时报价原表；先确认日期、币种面额与官价／市场价</x:v>
      </x:c>
    </x:row>
    <x:row r="29" ht="75" customHeight="1">
      <x:c r="A29" s="12" t="n">
        <x:v>1943</x:v>
      </x:c>
      <x:c r="B29" s="12" t="str">
        <x:v>JPY</x:v>
      </x:c>
      <x:c r="C29" s="12" t="str">
        <x:v>日元（JPY）</x:v>
      </x:c>
      <x:c r="D29" s="12" t="str">
        <x:v>本次采用的可访问来源未取得经核验的该年度值；不表示历史上不存在汇率。</x:v>
      </x:c>
      <x:c r="E29" s="12" t="str">
        <x:v>否</x:v>
      </x:c>
      <x:c r="F29" s="12" t="str">
        <x:v>对应年份中央银行／国联／IMF／当时报价原表；先确认日期、币种面额与官价／市场价</x:v>
      </x:c>
    </x:row>
    <x:row r="30" ht="75" customHeight="1">
      <x:c r="A30" s="12" t="n">
        <x:v>1943</x:v>
      </x:c>
      <x:c r="B30" s="12" t="str">
        <x:v>CHF</x:v>
      </x:c>
      <x:c r="C30" s="12" t="str">
        <x:v>瑞士法郎（CHF）</x:v>
      </x:c>
      <x:c r="D30" s="12" t="str">
        <x:v>本次采用的可访问来源未取得经核验的该年度值；不表示历史上不存在汇率。</x:v>
      </x:c>
      <x:c r="E30" s="12" t="str">
        <x:v>否</x:v>
      </x:c>
      <x:c r="F30" s="12" t="str">
        <x:v>对应年份中央银行／国联／IMF／当时报价原表；先确认日期、币种面额与官价／市场价</x:v>
      </x:c>
    </x:row>
    <x:row r="31" ht="75" customHeight="1">
      <x:c r="A31" s="12" t="n">
        <x:v>1943</x:v>
      </x:c>
      <x:c r="B31" s="12" t="str">
        <x:v>CNY</x:v>
      </x:c>
      <x:c r="C31" s="12" t="str">
        <x:v>法币元</x:v>
      </x:c>
      <x:c r="D31" s="12" t="str">
        <x:v>本次未取得可核验的对应年度值；法币、金圆券、旧人民币过渡及多种市场报价，未插值或倒推。</x:v>
      </x:c>
      <x:c r="E31" s="12" t="str">
        <x:v>否</x:v>
      </x:c>
      <x:c r="F31" s="12" t="str">
        <x:v>对应年份中央银行／国联／IMF／当时报价原表；先确认日期、币种面额与官价／市场价</x:v>
      </x:c>
    </x:row>
    <x:row r="32" ht="75" customHeight="1">
      <x:c r="A32" s="12" t="n">
        <x:v>1943</x:v>
      </x:c>
      <x:c r="B32" s="12" t="str">
        <x:v>EUR</x:v>
      </x:c>
      <x:c r="C32" s="12" t="str">
        <x:v>德国代理：帝国马克（Reichsmark）</x:v>
      </x:c>
      <x:c r="D32" s="12" t="str">
        <x:v>德国缺口在欧元代理栏重复；本次采用的可访问来源未取得经核验的该年度值；不表示历史上不存在汇率。</x:v>
      </x:c>
      <x:c r="E32" s="12" t="str">
        <x:v>是</x:v>
      </x:c>
      <x:c r="F32" s="12" t="str">
        <x:v>对应年份中央银行／国联／IMF／当时报价原表；先确认日期、币种面额与官价／市场价</x:v>
      </x:c>
    </x:row>
    <x:row r="33" ht="75" customHeight="1">
      <x:c r="A33" s="12" t="n">
        <x:v>1944</x:v>
      </x:c>
      <x:c r="B33" s="12" t="str">
        <x:v>CAD</x:v>
      </x:c>
      <x:c r="C33" s="12" t="str">
        <x:v>加拿大元（CAD）</x:v>
      </x:c>
      <x:c r="D33" s="12" t="str">
        <x:v>本次采用的可访问来源未取得经核验的该年度值；不表示历史上不存在汇率。</x:v>
      </x:c>
      <x:c r="E33" s="12" t="str">
        <x:v>否</x:v>
      </x:c>
      <x:c r="F33" s="12" t="str">
        <x:v>对应年份中央银行／国联／IMF／当时报价原表；先确认日期、币种面额与官价／市场价</x:v>
      </x:c>
    </x:row>
    <x:row r="34" ht="75" customHeight="1">
      <x:c r="A34" s="12" t="n">
        <x:v>1944</x:v>
      </x:c>
      <x:c r="B34" s="12" t="str">
        <x:v>FR</x:v>
      </x:c>
      <x:c r="C34" s="12" t="str">
        <x:v>法国旧法郎</x:v>
      </x:c>
      <x:c r="D34" s="12" t="str">
        <x:v>本次采用的可访问来源未取得经核验的该年度值；不表示历史上不存在汇率。</x:v>
      </x:c>
      <x:c r="E34" s="12" t="str">
        <x:v>否</x:v>
      </x:c>
      <x:c r="F34" s="12" t="str">
        <x:v>对应年份中央银行／国联／IMF／当时报价原表；先确认日期、币种面额与官价／市场价</x:v>
      </x:c>
    </x:row>
    <x:row r="35" ht="75" customHeight="1">
      <x:c r="A35" s="12" t="n">
        <x:v>1944</x:v>
      </x:c>
      <x:c r="B35" s="12" t="str">
        <x:v>DE</x:v>
      </x:c>
      <x:c r="C35" s="12" t="str">
        <x:v>帝国马克（Reichsmark）</x:v>
      </x:c>
      <x:c r="D35" s="12" t="str">
        <x:v>本次采用的可访问来源未取得经核验的该年度值；不表示历史上不存在汇率。</x:v>
      </x:c>
      <x:c r="E35" s="12" t="str">
        <x:v>否</x:v>
      </x:c>
      <x:c r="F35" s="12" t="str">
        <x:v>对应年份中央银行／国联／IMF／当时报价原表；先确认日期、币种面额与官价／市场价</x:v>
      </x:c>
    </x:row>
    <x:row r="36" ht="75" customHeight="1">
      <x:c r="A36" s="12" t="n">
        <x:v>1944</x:v>
      </x:c>
      <x:c r="B36" s="12" t="str">
        <x:v>IT</x:v>
      </x:c>
      <x:c r="C36" s="12" t="str">
        <x:v>意大利里拉（ITL）</x:v>
      </x:c>
      <x:c r="D36" s="12" t="str">
        <x:v>本次采用的可访问来源未取得经核验的该年度值；不表示历史上不存在汇率。</x:v>
      </x:c>
      <x:c r="E36" s="12" t="str">
        <x:v>否</x:v>
      </x:c>
      <x:c r="F36" s="12" t="str">
        <x:v>对应年份中央银行／国联／IMF／当时报价原表；先确认日期、币种面额与官价／市场价</x:v>
      </x:c>
    </x:row>
    <x:row r="37" ht="75" customHeight="1">
      <x:c r="A37" s="12" t="n">
        <x:v>1944</x:v>
      </x:c>
      <x:c r="B37" s="12" t="str">
        <x:v>JPY</x:v>
      </x:c>
      <x:c r="C37" s="12" t="str">
        <x:v>日元（JPY）</x:v>
      </x:c>
      <x:c r="D37" s="12" t="str">
        <x:v>本次采用的可访问来源未取得经核验的该年度值；不表示历史上不存在汇率。</x:v>
      </x:c>
      <x:c r="E37" s="12" t="str">
        <x:v>否</x:v>
      </x:c>
      <x:c r="F37" s="12" t="str">
        <x:v>对应年份中央银行／国联／IMF／当时报价原表；先确认日期、币种面额与官价／市场价</x:v>
      </x:c>
    </x:row>
    <x:row r="38" ht="75" customHeight="1">
      <x:c r="A38" s="12" t="n">
        <x:v>1944</x:v>
      </x:c>
      <x:c r="B38" s="12" t="str">
        <x:v>CHF</x:v>
      </x:c>
      <x:c r="C38" s="12" t="str">
        <x:v>瑞士法郎（CHF）</x:v>
      </x:c>
      <x:c r="D38" s="12" t="str">
        <x:v>本次采用的可访问来源未取得经核验的该年度值；不表示历史上不存在汇率。</x:v>
      </x:c>
      <x:c r="E38" s="12" t="str">
        <x:v>否</x:v>
      </x:c>
      <x:c r="F38" s="12" t="str">
        <x:v>对应年份中央银行／国联／IMF／当时报价原表；先确认日期、币种面额与官价／市场价</x:v>
      </x:c>
    </x:row>
    <x:row r="39" ht="75" customHeight="1">
      <x:c r="A39" s="12" t="n">
        <x:v>1944</x:v>
      </x:c>
      <x:c r="B39" s="12" t="str">
        <x:v>CNY</x:v>
      </x:c>
      <x:c r="C39" s="12" t="str">
        <x:v>法币元</x:v>
      </x:c>
      <x:c r="D39" s="12" t="str">
        <x:v>本次未取得可核验的对应年度值；法币、金圆券、旧人民币过渡及多种市场报价，未插值或倒推。</x:v>
      </x:c>
      <x:c r="E39" s="12" t="str">
        <x:v>否</x:v>
      </x:c>
      <x:c r="F39" s="12" t="str">
        <x:v>对应年份中央银行／国联／IMF／当时报价原表；先确认日期、币种面额与官价／市场价</x:v>
      </x:c>
    </x:row>
    <x:row r="40" ht="75" customHeight="1">
      <x:c r="A40" s="12" t="n">
        <x:v>1944</x:v>
      </x:c>
      <x:c r="B40" s="12" t="str">
        <x:v>EUR</x:v>
      </x:c>
      <x:c r="C40" s="12" t="str">
        <x:v>德国代理：帝国马克（Reichsmark）</x:v>
      </x:c>
      <x:c r="D40" s="12" t="str">
        <x:v>德国缺口在欧元代理栏重复；本次采用的可访问来源未取得经核验的该年度值；不表示历史上不存在汇率。</x:v>
      </x:c>
      <x:c r="E40" s="12" t="str">
        <x:v>是</x:v>
      </x:c>
      <x:c r="F40" s="12" t="str">
        <x:v>对应年份中央银行／国联／IMF／当时报价原表；先确认日期、币种面额与官价／市场价</x:v>
      </x:c>
    </x:row>
    <x:row r="41" ht="75" customHeight="1">
      <x:c r="A41" s="12" t="n">
        <x:v>1945</x:v>
      </x:c>
      <x:c r="B41" s="12" t="str">
        <x:v>CAD</x:v>
      </x:c>
      <x:c r="C41" s="12" t="str">
        <x:v>加拿大元（CAD）</x:v>
      </x:c>
      <x:c r="D41" s="12" t="str">
        <x:v>本次采用的可访问来源未取得经核验的该年度值；不表示历史上不存在汇率。</x:v>
      </x:c>
      <x:c r="E41" s="12" t="str">
        <x:v>否</x:v>
      </x:c>
      <x:c r="F41" s="12" t="str">
        <x:v>对应年份中央银行／国联／IMF／当时报价原表；先确认日期、币种面额与官价／市场价</x:v>
      </x:c>
    </x:row>
    <x:row r="42" ht="75" customHeight="1">
      <x:c r="A42" s="12" t="n">
        <x:v>1945</x:v>
      </x:c>
      <x:c r="B42" s="12" t="str">
        <x:v>FR</x:v>
      </x:c>
      <x:c r="C42" s="12" t="str">
        <x:v>法国旧法郎</x:v>
      </x:c>
      <x:c r="D42" s="12" t="str">
        <x:v>本次采用的可访问来源未取得经核验的该年度值；不表示历史上不存在汇率。</x:v>
      </x:c>
      <x:c r="E42" s="12" t="str">
        <x:v>否</x:v>
      </x:c>
      <x:c r="F42" s="12" t="str">
        <x:v>对应年份中央银行／国联／IMF／当时报价原表；先确认日期、币种面额与官价／市场价</x:v>
      </x:c>
    </x:row>
    <x:row r="43" ht="75" customHeight="1">
      <x:c r="A43" s="12" t="n">
        <x:v>1945</x:v>
      </x:c>
      <x:c r="B43" s="12" t="str">
        <x:v>DE</x:v>
      </x:c>
      <x:c r="C43" s="12" t="str">
        <x:v>帝国马克（Reichsmark）</x:v>
      </x:c>
      <x:c r="D43" s="12" t="str">
        <x:v>本次采用的可访问来源未取得经核验的该年度值；不表示历史上不存在汇率。</x:v>
      </x:c>
      <x:c r="E43" s="12" t="str">
        <x:v>否</x:v>
      </x:c>
      <x:c r="F43" s="12" t="str">
        <x:v>对应年份中央银行／国联／IMF／当时报价原表；先确认日期、币种面额与官价／市场价</x:v>
      </x:c>
    </x:row>
    <x:row r="44" ht="75" customHeight="1">
      <x:c r="A44" s="12" t="n">
        <x:v>1945</x:v>
      </x:c>
      <x:c r="B44" s="12" t="str">
        <x:v>IT</x:v>
      </x:c>
      <x:c r="C44" s="12" t="str">
        <x:v>意大利里拉（ITL）</x:v>
      </x:c>
      <x:c r="D44" s="12" t="str">
        <x:v>本次采用的可访问来源未取得经核验的该年度值；不表示历史上不存在汇率。</x:v>
      </x:c>
      <x:c r="E44" s="12" t="str">
        <x:v>否</x:v>
      </x:c>
      <x:c r="F44" s="12" t="str">
        <x:v>对应年份中央银行／国联／IMF／当时报价原表；先确认日期、币种面额与官价／市场价</x:v>
      </x:c>
    </x:row>
    <x:row r="45" ht="75" customHeight="1">
      <x:c r="A45" s="12" t="n">
        <x:v>1945</x:v>
      </x:c>
      <x:c r="B45" s="12" t="str">
        <x:v>JPY</x:v>
      </x:c>
      <x:c r="C45" s="12" t="str">
        <x:v>日元（JPY）</x:v>
      </x:c>
      <x:c r="D45" s="12" t="str">
        <x:v>本次采用的可访问来源未取得经核验的该年度值；不表示历史上不存在汇率。</x:v>
      </x:c>
      <x:c r="E45" s="12" t="str">
        <x:v>否</x:v>
      </x:c>
      <x:c r="F45" s="12" t="str">
        <x:v>对应年份中央银行／国联／IMF／当时报价原表；先确认日期、币种面额与官价／市场价</x:v>
      </x:c>
    </x:row>
    <x:row r="46" ht="75" customHeight="1">
      <x:c r="A46" s="12" t="n">
        <x:v>1945</x:v>
      </x:c>
      <x:c r="B46" s="12" t="str">
        <x:v>CHF</x:v>
      </x:c>
      <x:c r="C46" s="12" t="str">
        <x:v>瑞士法郎（CHF）</x:v>
      </x:c>
      <x:c r="D46" s="12" t="str">
        <x:v>本次采用的可访问来源未取得经核验的该年度值；不表示历史上不存在汇率。</x:v>
      </x:c>
      <x:c r="E46" s="12" t="str">
        <x:v>否</x:v>
      </x:c>
      <x:c r="F46" s="12" t="str">
        <x:v>对应年份中央银行／国联／IMF／当时报价原表；先确认日期、币种面额与官价／市场价</x:v>
      </x:c>
    </x:row>
    <x:row r="47" ht="75" customHeight="1">
      <x:c r="A47" s="12" t="n">
        <x:v>1945</x:v>
      </x:c>
      <x:c r="B47" s="12" t="str">
        <x:v>CNY</x:v>
      </x:c>
      <x:c r="C47" s="12" t="str">
        <x:v>法币元</x:v>
      </x:c>
      <x:c r="D47" s="12" t="str">
        <x:v>本次未取得可核验的对应年度值；法币、金圆券、旧人民币过渡及多种市场报价，未插值或倒推。</x:v>
      </x:c>
      <x:c r="E47" s="12" t="str">
        <x:v>否</x:v>
      </x:c>
      <x:c r="F47" s="12" t="str">
        <x:v>对应年份中央银行／国联／IMF／当时报价原表；先确认日期、币种面额与官价／市场价</x:v>
      </x:c>
    </x:row>
    <x:row r="48" ht="75" customHeight="1">
      <x:c r="A48" s="12" t="n">
        <x:v>1945</x:v>
      </x:c>
      <x:c r="B48" s="12" t="str">
        <x:v>EUR</x:v>
      </x:c>
      <x:c r="C48" s="12" t="str">
        <x:v>德国代理：帝国马克（Reichsmark）</x:v>
      </x:c>
      <x:c r="D48" s="12" t="str">
        <x:v>德国缺口在欧元代理栏重复；本次采用的可访问来源未取得经核验的该年度值；不表示历史上不存在汇率。</x:v>
      </x:c>
      <x:c r="E48" s="12" t="str">
        <x:v>是</x:v>
      </x:c>
      <x:c r="F48" s="12" t="str">
        <x:v>对应年份中央银行／国联／IMF／当时报价原表；先确认日期、币种面额与官价／市场价</x:v>
      </x:c>
    </x:row>
    <x:row r="49" ht="75" customHeight="1">
      <x:c r="A49" s="12" t="n">
        <x:v>1946</x:v>
      </x:c>
      <x:c r="B49" s="12" t="str">
        <x:v>FR</x:v>
      </x:c>
      <x:c r="C49" s="12" t="str">
        <x:v>法国旧法郎</x:v>
      </x:c>
      <x:c r="D49" s="12" t="str">
        <x:v>本次采用的可访问来源未取得经核验的该年度值；不表示历史上不存在汇率。</x:v>
      </x:c>
      <x:c r="E49" s="12" t="str">
        <x:v>否</x:v>
      </x:c>
      <x:c r="F49" s="12" t="str">
        <x:v>对应年份中央银行／国联／IMF／当时报价原表；先确认日期、币种面额与官价／市场价</x:v>
      </x:c>
    </x:row>
    <x:row r="50" ht="75" customHeight="1">
      <x:c r="A50" s="12" t="n">
        <x:v>1946</x:v>
      </x:c>
      <x:c r="B50" s="12" t="str">
        <x:v>DE</x:v>
      </x:c>
      <x:c r="C50" s="12" t="str">
        <x:v>帝国马克（Reichsmark）</x:v>
      </x:c>
      <x:c r="D50" s="12" t="str">
        <x:v>本次采用的可访问来源未取得经核验的该年度值；不表示历史上不存在汇率。</x:v>
      </x:c>
      <x:c r="E50" s="12" t="str">
        <x:v>否</x:v>
      </x:c>
      <x:c r="F50" s="12" t="str">
        <x:v>对应年份中央银行／国联／IMF／当时报价原表；先确认日期、币种面额与官价／市场价</x:v>
      </x:c>
    </x:row>
    <x:row r="51" ht="75" customHeight="1">
      <x:c r="A51" s="12" t="n">
        <x:v>1946</x:v>
      </x:c>
      <x:c r="B51" s="12" t="str">
        <x:v>IT</x:v>
      </x:c>
      <x:c r="C51" s="12" t="str">
        <x:v>意大利里拉（ITL）</x:v>
      </x:c>
      <x:c r="D51" s="12" t="str">
        <x:v>本次采用的可访问来源未取得经核验的该年度值；不表示历史上不存在汇率。</x:v>
      </x:c>
      <x:c r="E51" s="12" t="str">
        <x:v>否</x:v>
      </x:c>
      <x:c r="F51" s="12" t="str">
        <x:v>对应年份中央银行／国联／IMF／当时报价原表；先确认日期、币种面额与官价／市场价</x:v>
      </x:c>
    </x:row>
    <x:row r="52" ht="75" customHeight="1">
      <x:c r="A52" s="12" t="n">
        <x:v>1946</x:v>
      </x:c>
      <x:c r="B52" s="12" t="str">
        <x:v>JPY</x:v>
      </x:c>
      <x:c r="C52" s="12" t="str">
        <x:v>日元（JPY）</x:v>
      </x:c>
      <x:c r="D52" s="12" t="str">
        <x:v>本次采用的可访问来源未取得经核验的该年度值；不表示历史上不存在汇率。</x:v>
      </x:c>
      <x:c r="E52" s="12" t="str">
        <x:v>否</x:v>
      </x:c>
      <x:c r="F52" s="12" t="str">
        <x:v>对应年份中央银行／国联／IMF／当时报价原表；先确认日期、币种面额与官价／市场价</x:v>
      </x:c>
    </x:row>
    <x:row r="53" ht="75" customHeight="1">
      <x:c r="A53" s="12" t="n">
        <x:v>1946</x:v>
      </x:c>
      <x:c r="B53" s="12" t="str">
        <x:v>CNY</x:v>
      </x:c>
      <x:c r="C53" s="12" t="str">
        <x:v>法币元</x:v>
      </x:c>
      <x:c r="D53" s="12" t="str">
        <x:v>本次未取得可核验的对应年度值；法币、金圆券、旧人民币过渡及多种市场报价，未插值或倒推。</x:v>
      </x:c>
      <x:c r="E53" s="12" t="str">
        <x:v>否</x:v>
      </x:c>
      <x:c r="F53" s="12" t="str">
        <x:v>对应年份中央银行／国联／IMF／当时报价原表；先确认日期、币种面额与官价／市场价</x:v>
      </x:c>
    </x:row>
    <x:row r="54" ht="75" customHeight="1">
      <x:c r="A54" s="12" t="n">
        <x:v>1946</x:v>
      </x:c>
      <x:c r="B54" s="12" t="str">
        <x:v>EUR</x:v>
      </x:c>
      <x:c r="C54" s="12" t="str">
        <x:v>德国代理：帝国马克（Reichsmark）</x:v>
      </x:c>
      <x:c r="D54" s="12" t="str">
        <x:v>德国缺口在欧元代理栏重复；本次采用的可访问来源未取得经核验的该年度值；不表示历史上不存在汇率。</x:v>
      </x:c>
      <x:c r="E54" s="12" t="str">
        <x:v>是</x:v>
      </x:c>
      <x:c r="F54" s="12" t="str">
        <x:v>对应年份中央银行／国联／IMF／当时报价原表；先确认日期、币种面额与官价／市场价</x:v>
      </x:c>
    </x:row>
    <x:row r="55" ht="75" customHeight="1">
      <x:c r="A55" s="12" t="n">
        <x:v>1947</x:v>
      </x:c>
      <x:c r="B55" s="12" t="str">
        <x:v>FR</x:v>
      </x:c>
      <x:c r="C55" s="12" t="str">
        <x:v>法国旧法郎</x:v>
      </x:c>
      <x:c r="D55" s="12" t="str">
        <x:v>本次采用的可访问来源未取得经核验的该年度值；不表示历史上不存在汇率。</x:v>
      </x:c>
      <x:c r="E55" s="12" t="str">
        <x:v>否</x:v>
      </x:c>
      <x:c r="F55" s="12" t="str">
        <x:v>对应年份中央银行／国联／IMF／当时报价原表；先确认日期、币种面额与官价／市场价</x:v>
      </x:c>
    </x:row>
    <x:row r="56" ht="75" customHeight="1">
      <x:c r="A56" s="12" t="n">
        <x:v>1947</x:v>
      </x:c>
      <x:c r="B56" s="12" t="str">
        <x:v>DE</x:v>
      </x:c>
      <x:c r="C56" s="12" t="str">
        <x:v>帝国马克（Reichsmark）</x:v>
      </x:c>
      <x:c r="D56" s="12" t="str">
        <x:v>本次采用的可访问来源未取得经核验的该年度值；不表示历史上不存在汇率。</x:v>
      </x:c>
      <x:c r="E56" s="12" t="str">
        <x:v>否</x:v>
      </x:c>
      <x:c r="F56" s="12" t="str">
        <x:v>对应年份中央银行／国联／IMF／当时报价原表；先确认日期、币种面额与官价／市场价</x:v>
      </x:c>
    </x:row>
    <x:row r="57" ht="75" customHeight="1">
      <x:c r="A57" s="12" t="n">
        <x:v>1947</x:v>
      </x:c>
      <x:c r="B57" s="12" t="str">
        <x:v>IT</x:v>
      </x:c>
      <x:c r="C57" s="12" t="str">
        <x:v>意大利里拉（ITL）</x:v>
      </x:c>
      <x:c r="D57" s="12" t="str">
        <x:v>本次采用的可访问来源未取得经核验的该年度值；不表示历史上不存在汇率。</x:v>
      </x:c>
      <x:c r="E57" s="12" t="str">
        <x:v>否</x:v>
      </x:c>
      <x:c r="F57" s="12" t="str">
        <x:v>对应年份中央银行／国联／IMF／当时报价原表；先确认日期、币种面额与官价／市场价</x:v>
      </x:c>
    </x:row>
    <x:row r="58" ht="75" customHeight="1">
      <x:c r="A58" s="12" t="n">
        <x:v>1947</x:v>
      </x:c>
      <x:c r="B58" s="12" t="str">
        <x:v>JPY</x:v>
      </x:c>
      <x:c r="C58" s="12" t="str">
        <x:v>日元（JPY）</x:v>
      </x:c>
      <x:c r="D58" s="12" t="str">
        <x:v>本次采用的可访问来源未取得经核验的该年度值；不表示历史上不存在汇率。</x:v>
      </x:c>
      <x:c r="E58" s="12" t="str">
        <x:v>否</x:v>
      </x:c>
      <x:c r="F58" s="12" t="str">
        <x:v>对应年份中央银行／国联／IMF／当时报价原表；先确认日期、币种面额与官价／市场价</x:v>
      </x:c>
    </x:row>
    <x:row r="59" ht="75" customHeight="1">
      <x:c r="A59" s="12" t="n">
        <x:v>1947</x:v>
      </x:c>
      <x:c r="B59" s="12" t="str">
        <x:v>CNY</x:v>
      </x:c>
      <x:c r="C59" s="12" t="str">
        <x:v>法币元</x:v>
      </x:c>
      <x:c r="D59" s="12" t="str">
        <x:v>本次未取得可核验的对应年度值；法币、金圆券、旧人民币过渡及多种市场报价，未插值或倒推。</x:v>
      </x:c>
      <x:c r="E59" s="12" t="str">
        <x:v>否</x:v>
      </x:c>
      <x:c r="F59" s="12" t="str">
        <x:v>对应年份中央银行／国联／IMF／当时报价原表；先确认日期、币种面额与官价／市场价</x:v>
      </x:c>
    </x:row>
    <x:row r="60" ht="75" customHeight="1">
      <x:c r="A60" s="12" t="n">
        <x:v>1947</x:v>
      </x:c>
      <x:c r="B60" s="12" t="str">
        <x:v>EUR</x:v>
      </x:c>
      <x:c r="C60" s="12" t="str">
        <x:v>德国代理：帝国马克（Reichsmark）</x:v>
      </x:c>
      <x:c r="D60" s="12" t="str">
        <x:v>德国缺口在欧元代理栏重复；本次采用的可访问来源未取得经核验的该年度值；不表示历史上不存在汇率。</x:v>
      </x:c>
      <x:c r="E60" s="12" t="str">
        <x:v>是</x:v>
      </x:c>
      <x:c r="F60" s="12" t="str">
        <x:v>对应年份中央银行／国联／IMF／当时报价原表；先确认日期、币种面额与官价／市场价</x:v>
      </x:c>
    </x:row>
    <x:row r="61" ht="75" customHeight="1">
      <x:c r="A61" s="12" t="n">
        <x:v>1948</x:v>
      </x:c>
      <x:c r="B61" s="12" t="str">
        <x:v>FR</x:v>
      </x:c>
      <x:c r="C61" s="12" t="str">
        <x:v>法国旧法郎</x:v>
      </x:c>
      <x:c r="D61" s="12" t="str">
        <x:v>本次采用的可访问来源未取得经核验的该年度值；不表示历史上不存在汇率。</x:v>
      </x:c>
      <x:c r="E61" s="12" t="str">
        <x:v>否</x:v>
      </x:c>
      <x:c r="F61" s="12" t="str">
        <x:v>对应年份中央银行／国联／IMF／当时报价原表；先确认日期、币种面额与官价／市场价</x:v>
      </x:c>
    </x:row>
    <x:row r="62" ht="75" customHeight="1">
      <x:c r="A62" s="12" t="n">
        <x:v>1948</x:v>
      </x:c>
      <x:c r="B62" s="12" t="str">
        <x:v>DE</x:v>
      </x:c>
      <x:c r="C62" s="12" t="str">
        <x:v>帝国马克／德国马克（西部过渡）</x:v>
      </x:c>
      <x:c r="D62" s="12" t="str">
        <x:v>本次采用的可访问来源未取得经核验的该年度值；不表示历史上不存在汇率。</x:v>
      </x:c>
      <x:c r="E62" s="12" t="str">
        <x:v>否</x:v>
      </x:c>
      <x:c r="F62" s="12" t="str">
        <x:v>对应年份中央银行／国联／IMF／当时报价原表；先确认日期、币种面额与官价／市场价</x:v>
      </x:c>
    </x:row>
    <x:row r="63" ht="75" customHeight="1">
      <x:c r="A63" s="12" t="n">
        <x:v>1948</x:v>
      </x:c>
      <x:c r="B63" s="12" t="str">
        <x:v>IT</x:v>
      </x:c>
      <x:c r="C63" s="12" t="str">
        <x:v>意大利里拉（ITL）</x:v>
      </x:c>
      <x:c r="D63" s="12" t="str">
        <x:v>本次采用的可访问来源未取得经核验的该年度值；不表示历史上不存在汇率。</x:v>
      </x:c>
      <x:c r="E63" s="12" t="str">
        <x:v>否</x:v>
      </x:c>
      <x:c r="F63" s="12" t="str">
        <x:v>对应年份中央银行／国联／IMF／当时报价原表；先确认日期、币种面额与官价／市场价</x:v>
      </x:c>
    </x:row>
    <x:row r="64" ht="75" customHeight="1">
      <x:c r="A64" s="12" t="n">
        <x:v>1948</x:v>
      </x:c>
      <x:c r="B64" s="12" t="str">
        <x:v>JPY</x:v>
      </x:c>
      <x:c r="C64" s="12" t="str">
        <x:v>日元（JPY）</x:v>
      </x:c>
      <x:c r="D64" s="12" t="str">
        <x:v>本次采用的可访问来源未取得经核验的该年度值；不表示历史上不存在汇率。</x:v>
      </x:c>
      <x:c r="E64" s="12" t="str">
        <x:v>否</x:v>
      </x:c>
      <x:c r="F64" s="12" t="str">
        <x:v>对应年份中央银行／国联／IMF／当时报价原表；先确认日期、币种面额与官价／市场价</x:v>
      </x:c>
    </x:row>
    <x:row r="65" ht="75" customHeight="1">
      <x:c r="A65" s="12" t="n">
        <x:v>1948</x:v>
      </x:c>
      <x:c r="B65" s="12" t="str">
        <x:v>CNY</x:v>
      </x:c>
      <x:c r="C65" s="12" t="str">
        <x:v>法币／金圆券；人民币局部始发</x:v>
      </x:c>
      <x:c r="D65" s="12" t="str">
        <x:v>本次未取得可核验的对应年度值；法币、金圆券、旧人民币过渡及多种市场报价，未插值或倒推。</x:v>
      </x:c>
      <x:c r="E65" s="12" t="str">
        <x:v>否</x:v>
      </x:c>
      <x:c r="F65" s="12" t="str">
        <x:v>对应年份中央银行／国联／IMF／当时报价原表；先确认日期、币种面额与官价／市场价</x:v>
      </x:c>
    </x:row>
    <x:row r="66" ht="75" customHeight="1">
      <x:c r="A66" s="12" t="n">
        <x:v>1948</x:v>
      </x:c>
      <x:c r="B66" s="12" t="str">
        <x:v>EUR</x:v>
      </x:c>
      <x:c r="C66" s="12" t="str">
        <x:v>德国代理：帝国马克／德国马克（西部过渡）</x:v>
      </x:c>
      <x:c r="D66" s="12" t="str">
        <x:v>德国缺口在欧元代理栏重复；本次采用的可访问来源未取得经核验的该年度值；不表示历史上不存在汇率。</x:v>
      </x:c>
      <x:c r="E66" s="12" t="str">
        <x:v>是</x:v>
      </x:c>
      <x:c r="F66" s="12" t="str">
        <x:v>对应年份中央银行／国联／IMF／当时报价原表；先确认日期、币种面额与官价／市场价</x:v>
      </x:c>
    </x:row>
    <x:row r="67" ht="75" customHeight="1">
      <x:c r="A67" s="12" t="n">
        <x:v>1949</x:v>
      </x:c>
      <x:c r="B67" s="12" t="str">
        <x:v>FR</x:v>
      </x:c>
      <x:c r="C67" s="12" t="str">
        <x:v>法国旧法郎</x:v>
      </x:c>
      <x:c r="D67" s="12" t="str">
        <x:v>本次采用的可访问来源未取得经核验的该年度值；不表示历史上不存在汇率。</x:v>
      </x:c>
      <x:c r="E67" s="12" t="str">
        <x:v>否</x:v>
      </x:c>
      <x:c r="F67" s="12" t="str">
        <x:v>对应年份中央银行／国联／IMF／当时报价原表；先确认日期、币种面额与官价／市场价</x:v>
      </x:c>
    </x:row>
    <x:row r="68" ht="75" customHeight="1">
      <x:c r="A68" s="12" t="n">
        <x:v>1949</x:v>
      </x:c>
      <x:c r="B68" s="12" t="str">
        <x:v>DE</x:v>
      </x:c>
      <x:c r="C68" s="12" t="str">
        <x:v>西德德国马克（DEM）</x:v>
      </x:c>
      <x:c r="D68" s="12" t="str">
        <x:v>本次采用的可访问来源未取得经核验的该年度值；不表示历史上不存在汇率。</x:v>
      </x:c>
      <x:c r="E68" s="12" t="str">
        <x:v>否</x:v>
      </x:c>
      <x:c r="F68" s="12" t="str">
        <x:v>对应年份中央银行／国联／IMF／当时报价原表；先确认日期、币种面额与官价／市场价</x:v>
      </x:c>
    </x:row>
    <x:row r="69" ht="75" customHeight="1">
      <x:c r="A69" s="12" t="n">
        <x:v>1949</x:v>
      </x:c>
      <x:c r="B69" s="12" t="str">
        <x:v>IT</x:v>
      </x:c>
      <x:c r="C69" s="12" t="str">
        <x:v>意大利里拉（ITL）</x:v>
      </x:c>
      <x:c r="D69" s="12" t="str">
        <x:v>本次采用的可访问来源未取得经核验的该年度值；不表示历史上不存在汇率。</x:v>
      </x:c>
      <x:c r="E69" s="12" t="str">
        <x:v>否</x:v>
      </x:c>
      <x:c r="F69" s="12" t="str">
        <x:v>对应年份中央银行／国联／IMF／当时报价原表；先确认日期、币种面额与官价／市场价</x:v>
      </x:c>
    </x:row>
    <x:row r="70" ht="75" customHeight="1">
      <x:c r="A70" s="12" t="n">
        <x:v>1949</x:v>
      </x:c>
      <x:c r="B70" s="12" t="str">
        <x:v>JPY</x:v>
      </x:c>
      <x:c r="C70" s="12" t="str">
        <x:v>日元（JPY）</x:v>
      </x:c>
      <x:c r="D70" s="12" t="str">
        <x:v>本次采用的可访问来源未取得经核验的该年度值；不表示历史上不存在汇率。</x:v>
      </x:c>
      <x:c r="E70" s="12" t="str">
        <x:v>否</x:v>
      </x:c>
      <x:c r="F70" s="12" t="str">
        <x:v>对应年份中央银行／国联／IMF／当时报价原表；先确认日期、币种面额与官价／市场价</x:v>
      </x:c>
    </x:row>
    <x:row r="71" ht="75" customHeight="1">
      <x:c r="A71" s="12" t="n">
        <x:v>1949</x:v>
      </x:c>
      <x:c r="B71" s="12" t="str">
        <x:v>INR</x:v>
      </x:c>
      <x:c r="C71" s="12" t="str">
        <x:v>印度卢比（INR）</x:v>
      </x:c>
      <x:c r="D71" s="12" t="str">
        <x:v>本次采用的可访问来源未取得经核验的该年度值；不表示历史上不存在汇率。</x:v>
      </x:c>
      <x:c r="E71" s="12" t="str">
        <x:v>否</x:v>
      </x:c>
      <x:c r="F71" s="12" t="str">
        <x:v>对应年份中央银行／国联／IMF／当时报价原表；先确认日期、币种面额与官价／市场价</x:v>
      </x:c>
    </x:row>
    <x:row r="72" ht="75" customHeight="1">
      <x:c r="A72" s="12" t="n">
        <x:v>1949</x:v>
      </x:c>
      <x:c r="B72" s="12" t="str">
        <x:v>CNY</x:v>
      </x:c>
      <x:c r="C72" s="12" t="str">
        <x:v>第一套人民币元（旧币）</x:v>
      </x:c>
      <x:c r="D72" s="12" t="str">
        <x:v>本次未取得可核验的对应年度值；法币、金圆券、旧人民币过渡及多种市场报价，未插值或倒推。</x:v>
      </x:c>
      <x:c r="E72" s="12" t="str">
        <x:v>否</x:v>
      </x:c>
      <x:c r="F72" s="12" t="str">
        <x:v>对应年份中央银行／国联／IMF／当时报价原表；先确认日期、币种面额与官价／市场价</x:v>
      </x:c>
    </x:row>
    <x:row r="73" ht="75" customHeight="1">
      <x:c r="A73" s="12" t="n">
        <x:v>1949</x:v>
      </x:c>
      <x:c r="B73" s="12" t="str">
        <x:v>EUR</x:v>
      </x:c>
      <x:c r="C73" s="12" t="str">
        <x:v>德国代理：西德德国马克（DEM）</x:v>
      </x:c>
      <x:c r="D73" s="12" t="str">
        <x:v>德国缺口在欧元代理栏重复；本次采用的可访问来源未取得经核验的该年度值；不表示历史上不存在汇率。</x:v>
      </x:c>
      <x:c r="E73" s="12" t="str">
        <x:v>是</x:v>
      </x:c>
      <x:c r="F73" s="12" t="str">
        <x:v>对应年份中央银行／国联／IMF／当时报价原表；先确认日期、币种面额与官价／市场价</x:v>
      </x:c>
    </x:row>
    <x:row r="74" ht="75" customHeight="1">
      <x:c r="A74" s="12" t="n">
        <x:v>1950</x:v>
      </x:c>
      <x:c r="B74" s="12" t="str">
        <x:v>CNY</x:v>
      </x:c>
      <x:c r="C74" s="12" t="str">
        <x:v>第一套人民币元（旧币）</x:v>
      </x:c>
      <x:c r="D74" s="12" t="str">
        <x:v>本次未取得可核验的对应年度值；法币、金圆券、旧人民币过渡及多种市场报价，未插值或倒推。</x:v>
      </x:c>
      <x:c r="E74" s="12" t="str">
        <x:v>否</x:v>
      </x:c>
      <x:c r="F74" s="12" t="str">
        <x:v>对应年份中央银行／国联／IMF／当时报价原表；先确认日期、币种面额与官价／市场价</x:v>
      </x:c>
    </x:row>
    <x:row r="75" ht="75" customHeight="1">
      <x:c r="A75" s="12" t="n">
        <x:v>1951</x:v>
      </x:c>
      <x:c r="B75" s="12" t="str">
        <x:v>CNY</x:v>
      </x:c>
      <x:c r="C75" s="12" t="str">
        <x:v>第一套人民币元（旧币）</x:v>
      </x:c>
      <x:c r="D75" s="12" t="str">
        <x:v>本次未取得可核验的对应年度值；法币、金圆券、旧人民币过渡及多种市场报价，未插值或倒推。</x:v>
      </x:c>
      <x:c r="E75" s="12" t="str">
        <x:v>否</x:v>
      </x:c>
      <x:c r="F75" s="12" t="str">
        <x:v>对应年份中央银行／国联／IMF／当时报价原表；先确认日期、币种面额与官价／市场价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4e7e546e243489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币制说明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每一栏是地域／币种槽位，不保证跨年货币单位相同。欧元出现前的德国代理仅为本表约定，并非历史上的欧元。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槽位</x:v>
      </x:c>
      <x:c r="B5" s="6" t="str">
        <x:v>期间</x:v>
      </x:c>
      <x:c r="C5" s="6" t="str">
        <x:v>实际币种／单位</x:v>
      </x:c>
      <x:c r="D5" s="6" t="str">
        <x:v>处理方式</x:v>
      </x:c>
      <x:c r="E5" s="6" t="str">
        <x:v>关键提醒</x:v>
      </x:c>
      <x:c r="F5" s="6" t="str">
        <x:v>依据</x:v>
      </x:c>
    </x:row>
    <x:row r="6" ht="70" customHeight="1">
      <x:c r="A6" s="12" t="str">
        <x:v>FR</x:v>
      </x:c>
      <x:c r="B6" s="12" t="str">
        <x:v>1920—1959</x:v>
      </x:c>
      <x:c r="C6" s="12" t="str">
        <x:v>法国旧法郎</x:v>
      </x:c>
      <x:c r="D6" s="12" t="str">
        <x:v>按当时单位报告</x:v>
      </x:c>
      <x:c r="E6" s="12" t="str">
        <x:v>1960年新法郎＝100旧法郎</x:v>
      </x:c>
      <x:c r="F6" s="12" t="str">
        <x:v>https://www.measuringworth.com/datasets/exchangeglobal/infoeurope.htm</x:v>
      </x:c>
    </x:row>
    <x:row r="7" ht="70" customHeight="1">
      <x:c r="A7" s="12" t="str">
        <x:v>FR</x:v>
      </x:c>
      <x:c r="B7" s="12" t="str">
        <x:v>1960—1998</x:v>
      </x:c>
      <x:c r="C7" s="12" t="str">
        <x:v>法国新法郎／法郎</x:v>
      </x:c>
      <x:c r="D7" s="12" t="str">
        <x:v>1963改名不改面额</x:v>
      </x:c>
      <x:c r="E7" s="12" t="str">
        <x:v>不是旧法郎单位</x:v>
      </x:c>
      <x:c r="F7" s="12" t="str">
        <x:v>https://www.measuringworth.com/datasets/exchangeglobal/infoeurope.htm</x:v>
      </x:c>
    </x:row>
    <x:row r="8" ht="70" customHeight="1">
      <x:c r="A8" s="12" t="str">
        <x:v>DE</x:v>
      </x:c>
      <x:c r="B8" s="12" t="str">
        <x:v>1920—1924</x:v>
      </x:c>
      <x:c r="C8" s="12" t="str">
        <x:v>纸马克、伦滕马克、帝国马克过渡</x:v>
      </x:c>
      <x:c r="D8" s="12" t="str">
        <x:v>1923—1924不强行拼出全年数值</x:v>
      </x:c>
      <x:c r="E8" s="12" t="str">
        <x:v>恶性通胀及改制；高风险缺口</x:v>
      </x:c>
      <x:c r="F8" s="12" t="str">
        <x:v>https://marcuse.faculty.history.ucsb.edu/projects/currency.htm</x:v>
      </x:c>
    </x:row>
    <x:row r="9" ht="70" customHeight="1">
      <x:c r="A9" s="12" t="str">
        <x:v>DE</x:v>
      </x:c>
      <x:c r="B9" s="12" t="str">
        <x:v>1925—1947</x:v>
      </x:c>
      <x:c r="C9" s="12" t="str">
        <x:v>帝国马克</x:v>
      </x:c>
      <x:c r="D9" s="12" t="str">
        <x:v>以来源中当时单位报告</x:v>
      </x:c>
      <x:c r="E9" s="12" t="str">
        <x:v>非自由可兑换价格，战时缺口保留</x:v>
      </x:c>
      <x:c r="F9" s="12" t="str">
        <x:v>https://www.measuringworth.com/datasets/exchangeglobal/infoeurope.htm</x:v>
      </x:c>
    </x:row>
    <x:row r="10" ht="70" customHeight="1">
      <x:c r="A10" s="12" t="str">
        <x:v>DE</x:v>
      </x:c>
      <x:c r="B10" s="12" t="str">
        <x:v>1948—1998</x:v>
      </x:c>
      <x:c r="C10" s="12" t="str">
        <x:v>德国马克；分裂时期选西德</x:v>
      </x:c>
      <x:c r="D10" s="12" t="str">
        <x:v>不使用东德马克</x:v>
      </x:c>
      <x:c r="E10" s="12" t="str">
        <x:v>1948过渡年本表无可用统一值</x:v>
      </x:c>
      <x:c r="F10" s="12" t="str">
        <x:v>https://www.measuringworth.com/datasets/exchangeglobal/infoeurope.htm</x:v>
      </x:c>
    </x:row>
    <x:row r="11" ht="70" customHeight="1">
      <x:c r="A11" s="12" t="str">
        <x:v>IT</x:v>
      </x:c>
      <x:c r="B11" s="12" t="str">
        <x:v>1920—1998</x:v>
      </x:c>
      <x:c r="C11" s="12" t="str">
        <x:v>意大利里拉</x:v>
      </x:c>
      <x:c r="D11" s="12" t="str">
        <x:v>回溯欧元序列还原里拉</x:v>
      </x:c>
      <x:c r="E11" s="12" t="str">
        <x:v>不能直接拿回溯欧元值当里拉</x:v>
      </x:c>
      <x:c r="F11" s="12" t="str">
        <x:v>https://www.ecb.europa.eu/press/pr/date/1998/html/pr981231_2.en.html</x:v>
      </x:c>
    </x:row>
    <x:row r="12" ht="70" customHeight="1">
      <x:c r="A12" s="12" t="str">
        <x:v>FR／DE／IT</x:v>
      </x:c>
      <x:c r="B12" s="12" t="str">
        <x:v>1999—2026</x:v>
      </x:c>
      <x:c r="C12" s="12" t="str">
        <x:v>欧元</x:v>
      </x:c>
      <x:c r="D12" s="12" t="str">
        <x:v>三栏直接引用EUR值</x:v>
      </x:c>
      <x:c r="E12" s="12" t="str">
        <x:v>绝不继续输出模拟法郎、马克或里拉</x:v>
      </x:c>
      <x:c r="F12" s="12" t="str">
        <x:v>https://www.ecb.europa.eu/press/pr/date/1998/html/pr981231_2.en.html</x:v>
      </x:c>
    </x:row>
    <x:row r="13" ht="70" customHeight="1">
      <x:c r="A13" s="12" t="str">
        <x:v>CNY</x:v>
      </x:c>
      <x:c r="B13" s="12" t="str">
        <x:v>1920—1921</x:v>
      </x:c>
      <x:c r="C13" s="12" t="str">
        <x:v>上海两（银两计价）</x:v>
      </x:c>
      <x:c r="D13" s="12" t="str">
        <x:v>以本地区计价单位替代</x:v>
      </x:c>
      <x:c r="E13" s="12" t="str">
        <x:v>不是墨西哥鹰洋或一枚银元</x:v>
      </x:c>
      <x:c r="F13" s="12" t="str">
        <x:v>https://fraser.stlouisfed.org/title/banking-monetary-statistics-1914-1941-38/part-i-6408/fulltext</x:v>
      </x:c>
    </x:row>
    <x:row r="14" ht="70" customHeight="1">
      <x:c r="A14" s="12" t="str">
        <x:v>CNY</x:v>
      </x:c>
      <x:c r="B14" s="12" t="str">
        <x:v>1922—1934</x:v>
      </x:c>
      <x:c r="C14" s="12" t="str">
        <x:v>旧银元／新银元</x:v>
      </x:c>
      <x:c r="D14" s="12" t="str">
        <x:v>1933只取4月10日后新元报价</x:v>
      </x:c>
      <x:c r="E14" s="12" t="str">
        <x:v>1933不是完整全年</x:v>
      </x:c>
      <x:c r="F14" s="12" t="str">
        <x:v>https://fraser.stlouisfed.org/title/banking-monetary-statistics-1914-1941-38/part-i-6408/fulltext</x:v>
      </x:c>
    </x:row>
    <x:row r="15" ht="70" customHeight="1">
      <x:c r="A15" s="12" t="str">
        <x:v>CNY</x:v>
      </x:c>
      <x:c r="B15" s="12" t="str">
        <x:v>1935—1948</x:v>
      </x:c>
      <x:c r="C15" s="12" t="str">
        <x:v>银元向法币、再向金圆券过渡</x:v>
      </x:c>
      <x:c r="D15" s="12" t="str">
        <x:v>1942—1948年值仍有缺口</x:v>
      </x:c>
      <x:c r="E15" s="12" t="str">
        <x:v>不以改制固定比率伪造美元年均价</x:v>
      </x:c>
      <x:c r="F15" s="12" t="str">
        <x:v>https://www.measuringworth.com/datasets/exchangeglobal/infoafr.htm</x:v>
      </x:c>
    </x:row>
    <x:row r="16" ht="70" customHeight="1">
      <x:c r="A16" s="12" t="str">
        <x:v>CNY</x:v>
      </x:c>
      <x:c r="B16" s="12" t="str">
        <x:v>1948—1954</x:v>
      </x:c>
      <x:c r="C16" s="12" t="str">
        <x:v>人民币已于1948-12-01开始发行；旧币单位</x:v>
      </x:c>
      <x:c r="D16" s="12" t="str">
        <x:v>1952—1954还原旧人民币面额</x:v>
      </x:c>
      <x:c r="E16" s="12" t="str">
        <x:v>1948全国存在并行币制；1949—1951缺年值</x:v>
      </x:c>
      <x:c r="F16" s="12" t="str">
        <x:v>https://zh.wikipedia.org/wiki/人民币</x:v>
      </x:c>
    </x:row>
    <x:row r="17" ht="70" customHeight="1">
      <x:c r="A17" s="12" t="str">
        <x:v>CNY</x:v>
      </x:c>
      <x:c r="B17" s="12" t="str">
        <x:v>1955—2026</x:v>
      </x:c>
      <x:c r="C17" s="12" t="str">
        <x:v>1955币制人民币元</x:v>
      </x:c>
      <x:c r="D17" s="12" t="str">
        <x:v>1955全年按新人民币单位表示</x:v>
      </x:c>
      <x:c r="E17" s="12" t="str">
        <x:v>1新元＝10,000旧元</x:v>
      </x:c>
      <x:c r="F17" s="12" t="str">
        <x:v>https://www.measuringworth.com/datasets/exchangeglobal/infoafr.htm</x:v>
      </x:c>
    </x:row>
    <x:row r="18" ht="70" customHeight="1">
      <x:c r="A18" s="12" t="str">
        <x:v>RUB</x:v>
      </x:c>
      <x:c r="B18" s="12" t="str">
        <x:v>1920—1992</x:v>
      </x:c>
      <x:c r="C18" s="12" t="str">
        <x:v>苏俄／苏联卢布及后续旧卢布</x:v>
      </x:c>
      <x:c r="D18" s="12" t="str">
        <x:v>67年使用另标类型的官价区间或定点补充</x:v>
      </x:c>
      <x:c r="E18" s="12" t="str">
        <x:v>不代表市场价；原始央行档案本次未能访问</x:v>
      </x:c>
      <x:c r="F18" s="12" t="str">
        <x:v>https://en.wikipedia.org/wiki/Soviet_ruble#Exchange_rates</x:v>
      </x:c>
    </x:row>
    <x:row r="19" ht="70" customHeight="1">
      <x:c r="A19" s="12" t="str">
        <x:v>RUB</x:v>
      </x:c>
      <x:c r="B19" s="12" t="str">
        <x:v>1993—1997</x:v>
      </x:c>
      <x:c r="C19" s="12" t="str">
        <x:v>1998年前旧俄罗斯卢布</x:v>
      </x:c>
      <x:c r="D19" s="12" t="str">
        <x:v>OECD回溯序列乘1,000还原</x:v>
      </x:c>
      <x:c r="E19" s="12" t="str">
        <x:v>勿误读为当时不足1卢布／美元</x:v>
      </x:c>
      <x:c r="F19" s="12" t="str">
        <x:v>https://fred.stlouisfed.org/data/CCUSMA02RUA618N</x:v>
      </x:c>
    </x:row>
    <x:row r="20" ht="70" customHeight="1">
      <x:c r="A20" s="12" t="str">
        <x:v>RUB</x:v>
      </x:c>
      <x:c r="B20" s="12" t="str">
        <x:v>1998—2026</x:v>
      </x:c>
      <x:c r="C20" s="12" t="str">
        <x:v>现币制俄罗斯卢布</x:v>
      </x:c>
      <x:c r="D20" s="12" t="str">
        <x:v>使用当年RUB单位</x:v>
      </x:c>
      <x:c r="E20" s="12" t="str">
        <x:v>1新卢布＝1,000旧卢布</x:v>
      </x:c>
      <x:c r="F20" s="12" t="str">
        <x:v>https://en.wikipedia.org/wiki/Soviet_ruble#Exchange_rates</x:v>
      </x:c>
    </x:row>
    <x:row r="21" ht="70" customHeight="1">
      <x:c r="A21" s="12" t="str">
        <x:v>INR</x:v>
      </x:c>
      <x:c r="B21" s="12" t="str">
        <x:v>1920—2026</x:v>
      </x:c>
      <x:c r="C21" s="12" t="str">
        <x:v>英属印度卢比→印度卢比</x:v>
      </x:c>
      <x:c r="D21" s="12" t="str">
        <x:v>明确选择印度，不是其他国家卢比</x:v>
      </x:c>
      <x:c r="E21" s="12" t="str">
        <x:v>1947独立不在本表虚构面额折换</x:v>
      </x:c>
      <x:c r="F21" s="12" t="str">
        <x:v>https://www.measuringworth.com/datasets/exchangeglobal/result.php?countryE%5B%5D=India&amp;year_result=1948&amp;year_source=1916</x:v>
      </x:c>
    </x:row>
    <x:row r="22" ht="70" customHeight="1">
      <x:c r="A22" s="12" t="str">
        <x:v>EUR</x:v>
      </x:c>
      <x:c r="B22" s="12" t="str">
        <x:v>1920—1998</x:v>
      </x:c>
      <x:c r="C22" s="12" t="str">
        <x:v>德国本地区币种代理</x:v>
      </x:c>
      <x:c r="D22" s="12" t="str">
        <x:v>等值引用德国栏并显式标注</x:v>
      </x:c>
      <x:c r="E22" s="12" t="str">
        <x:v>这不是ECU、合成欧元或历史EUR报价</x:v>
      </x:c>
      <x:c r="F22" s="12" t="str">
        <x:v>本表地域替代约定（非史实汇率）</x:v>
      </x:c>
    </x:row>
    <x:row r="24" ht="32" customHeight="1">
      <x:c r="A24" s="6" t="str">
        <x:v>参数</x:v>
      </x:c>
      <x:c r="B24" s="6" t="str">
        <x:v>含义</x:v>
      </x:c>
      <x:c r="C24" s="6" t="str">
        <x:v>数值</x:v>
      </x:c>
      <x:c r="D24" s="6" t="str">
        <x:v>依据</x:v>
      </x:c>
    </x:row>
    <x:row r="25" ht="52" customHeight="1">
      <x:c r="A25" s="12" t="str">
        <x:v>USD_CENTS</x:v>
      </x:c>
      <x:c r="B25" s="12" t="str">
        <x:v>1美元的美分数</x:v>
      </x:c>
      <x:c r="C25" s="12" t="n">
        <x:v>100</x:v>
      </x:c>
      <x:c r="D25" s="12" t="str">
        <x:v>美元单位定义</x:v>
      </x:c>
    </x:row>
    <x:row r="26" ht="52" customHeight="1">
      <x:c r="A26" s="12" t="str">
        <x:v>OLD_FR_PER_FRF</x:v>
      </x:c>
      <x:c r="B26" s="12" t="str">
        <x:v>1新法郎的旧法郎数</x:v>
      </x:c>
      <x:c r="C26" s="12" t="n">
        <x:v>100</x:v>
      </x:c>
      <x:c r="D26" s="12" t="str">
        <x:v>https://www.measuringworth.com/datasets/exchangeglobal/infoeurope.htm</x:v>
      </x:c>
    </x:row>
    <x:row r="27" ht="52" customHeight="1">
      <x:c r="A27" s="12" t="str">
        <x:v>FRF_PER_EUR</x:v>
      </x:c>
      <x:c r="B27" s="12" t="str">
        <x:v>1欧元的法国法郎数</x:v>
      </x:c>
      <x:c r="C27" s="12" t="n">
        <x:v>6.55957</x:v>
      </x:c>
      <x:c r="D27" s="12" t="str">
        <x:v>https://www.ecb.europa.eu/press/pr/date/1998/html/pr981231_2.en.html</x:v>
      </x:c>
    </x:row>
    <x:row r="28" ht="52" customHeight="1">
      <x:c r="A28" s="12" t="str">
        <x:v>DEM_PER_EUR</x:v>
      </x:c>
      <x:c r="B28" s="12" t="str">
        <x:v>1欧元的德国马克数</x:v>
      </x:c>
      <x:c r="C28" s="12" t="n">
        <x:v>1.95583</x:v>
      </x:c>
      <x:c r="D28" s="12" t="str">
        <x:v>https://www.ecb.europa.eu/press/pr/date/1998/html/pr981231_2.en.html</x:v>
      </x:c>
    </x:row>
    <x:row r="29" ht="52" customHeight="1">
      <x:c r="A29" s="12" t="str">
        <x:v>ITL_PER_EUR</x:v>
      </x:c>
      <x:c r="B29" s="12" t="str">
        <x:v>1欧元的意大利里拉数</x:v>
      </x:c>
      <x:c r="C29" s="12" t="n">
        <x:v>1936.27</x:v>
      </x:c>
      <x:c r="D29" s="12" t="str">
        <x:v>https://www.ecb.europa.eu/press/pr/date/1998/html/pr981231_2.en.html</x:v>
      </x:c>
    </x:row>
    <x:row r="30" ht="52" customHeight="1">
      <x:c r="A30" s="12" t="str">
        <x:v>OLD_RUB_PER_RUB</x:v>
      </x:c>
      <x:c r="B30" s="12" t="str">
        <x:v>1新俄罗斯卢布的旧卢布数</x:v>
      </x:c>
      <x:c r="C30" s="12" t="n">
        <x:v>1000</x:v>
      </x:c>
      <x:c r="D30" s="12" t="str">
        <x:v>https://en.wikipedia.org/wiki/Soviet_ruble#Exchange_rates</x:v>
      </x:c>
    </x:row>
    <x:row r="31" ht="52" customHeight="1">
      <x:c r="A31" s="12" t="str">
        <x:v>OLD_CNY_PER_CNY</x:v>
      </x:c>
      <x:c r="B31" s="12" t="str">
        <x:v>1新人民币元的旧人民币元数</x:v>
      </x:c>
      <x:c r="C31" s="12" t="n">
        <x:v>10000</x:v>
      </x:c>
      <x:c r="D31" s="12" t="str">
        <x:v>https://www.measuringworth.com/datasets/exchangeglobal/infoafr.htm</x:v>
      </x:c>
    </x:row>
  </x:sheetData>
  <x:mergeCells>
    <x:mergeCell ref="A1:M1"/>
    <x:mergeCell ref="A2:M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8" hidden="0" customWidth="1"/>
    <x:col min="3" max="3" width="60" hidden="0" customWidth="1"/>
    <x:col min="4" max="4" width="57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来源目录 | 1920—2026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12" t="str">
        <x:v>采集／核对日：2026-09-18。来源等级不是对每条历史事实的独立审计；所有转录值及原始单位仍应回到链接复核。下部第69行起为换算页使用的记录索引。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6" t="str">
        <x:v>来源ID</x:v>
      </x:c>
      <x:c r="B5" s="6" t="str">
        <x:v>名称</x:v>
      </x:c>
      <x:c r="C5" s="6" t="str">
        <x:v>原始链接</x:v>
      </x:c>
      <x:c r="D5" s="6" t="str">
        <x:v>口径及限制</x:v>
      </x:c>
      <x:c r="E5" s="6" t="str">
        <x:v>本表等级</x:v>
      </x:c>
    </x:row>
    <x:row r="6" ht="85" customHeight="1">
      <x:c r="A6" s="12" t="str">
        <x:v>FRB_GBP</x:v>
      </x:c>
      <x:c r="B6" s="12" t="str">
        <x:v>Federal Reserve G.5A / FRED AEXUSUK</x:v>
      </x:c>
      <x:c r="C6" s="12" t="str">
        <x:v>https://fred.stlouisfed.org/data/AEXUSUK</x:v>
      </x:c>
      <x:c r="D6" s="12" t="str">
        <x:v>年均USD/GBP；主表取倒数，不等于逐日GBP/USD平均。</x:v>
      </x:c>
      <x:c r="E6" s="12" t="str">
        <x:v>A：机构统计／原始统计表</x:v>
      </x:c>
    </x:row>
    <x:row r="7" ht="85" customHeight="1">
      <x:c r="A7" s="12" t="str">
        <x:v>FRB_CAD</x:v>
      </x:c>
      <x:c r="B7" s="12" t="str">
        <x:v>Federal Reserve G.5A / FRED AEXCAUS</x:v>
      </x:c>
      <x:c r="C7" s="12" t="str">
        <x:v>https://fred.stlouisfed.org/data/AEXCAUS</x:v>
      </x:c>
      <x:c r="D7" s="12" t="str"/>
      <x:c r="E7" s="12" t="str">
        <x:v>A：机构统计／原始统计表</x:v>
      </x:c>
    </x:row>
    <x:row r="8" ht="85" customHeight="1">
      <x:c r="A8" s="12" t="str">
        <x:v>FRB_JPY</x:v>
      </x:c>
      <x:c r="B8" s="12" t="str">
        <x:v>Federal Reserve G.5A / FRED AEXJPUS</x:v>
      </x:c>
      <x:c r="C8" s="12" t="str">
        <x:v>https://fred.stlouisfed.org/data/AEXJPUS</x:v>
      </x:c>
      <x:c r="D8" s="12" t="str"/>
      <x:c r="E8" s="12" t="str">
        <x:v>A：机构统计／原始统计表</x:v>
      </x:c>
    </x:row>
    <x:row r="9" ht="85" customHeight="1">
      <x:c r="A9" s="12" t="str">
        <x:v>FRB_CNY</x:v>
      </x:c>
      <x:c r="B9" s="12" t="str">
        <x:v>Federal Reserve G.5A / FRED AEXCHUS</x:v>
      </x:c>
      <x:c r="C9" s="12" t="str">
        <x:v>https://fred.stlouisfed.org/data/AEXCHUS</x:v>
      </x:c>
      <x:c r="D9" s="12" t="str"/>
      <x:c r="E9" s="12" t="str">
        <x:v>A：机构统计／原始统计表</x:v>
      </x:c>
    </x:row>
    <x:row r="10" ht="85" customHeight="1">
      <x:c r="A10" s="12" t="str">
        <x:v>FRB_CHF</x:v>
      </x:c>
      <x:c r="B10" s="12" t="str">
        <x:v>Federal Reserve G.5A / FRED AEXSZUS</x:v>
      </x:c>
      <x:c r="C10" s="12" t="str">
        <x:v>https://fred.stlouisfed.org/data/AEXSZUS</x:v>
      </x:c>
      <x:c r="D10" s="12" t="str"/>
      <x:c r="E10" s="12" t="str">
        <x:v>A：机构统计／原始统计表</x:v>
      </x:c>
    </x:row>
    <x:row r="11" ht="85" customHeight="1">
      <x:c r="A11" s="12" t="str">
        <x:v>FRB_INR</x:v>
      </x:c>
      <x:c r="B11" s="12" t="str">
        <x:v>Federal Reserve G.5A / FRED AEXINUS</x:v>
      </x:c>
      <x:c r="C11" s="12" t="str">
        <x:v>https://fred.stlouisfed.org/data/AEXINUS</x:v>
      </x:c>
      <x:c r="D11" s="12" t="str"/>
      <x:c r="E11" s="12" t="str">
        <x:v>A：机构统计／原始统计表</x:v>
      </x:c>
    </x:row>
    <x:row r="12" ht="85" customHeight="1">
      <x:c r="A12" s="12" t="str">
        <x:v>FRB_EUR</x:v>
      </x:c>
      <x:c r="B12" s="12" t="str">
        <x:v>Federal Reserve G.5A / FRED AEXUSEU</x:v>
      </x:c>
      <x:c r="C12" s="12" t="str">
        <x:v>https://fred.stlouisfed.org/data/AEXUSEU</x:v>
      </x:c>
      <x:c r="D12" s="12" t="str">
        <x:v>年均USD/EUR；主表取倒数。</x:v>
      </x:c>
      <x:c r="E12" s="12" t="str">
        <x:v>A：机构统计／原始统计表</x:v>
      </x:c>
    </x:row>
    <x:row r="13" ht="85" customHeight="1">
      <x:c r="A13" s="12" t="str">
        <x:v>OECD_RUB</x:v>
      </x:c>
      <x:c r="B13" s="12" t="str">
        <x:v>OECD Main Economic Indicators / FRED CCUSMA02RUA618N</x:v>
      </x:c>
      <x:c r="C13" s="12" t="str">
        <x:v>https://fred.stlouisfed.org/data/CCUSMA02RUA618N</x:v>
      </x:c>
      <x:c r="D13" s="12" t="str">
        <x:v>原表1993—1997年以1998年新卢布回溯表示；本表乘1000还原当年的旧卢布。</x:v>
      </x:c>
      <x:c r="E13" s="12" t="str">
        <x:v>A：机构统计／原始统计表</x:v>
      </x:c>
    </x:row>
    <x:row r="14" ht="85" customHeight="1">
      <x:c r="A14" s="12" t="str">
        <x:v>OECD_FR</x:v>
      </x:c>
      <x:c r="B14" s="12" t="str">
        <x:v>OECD via FRED：FR年均汇率（欧元单位回溯序列）</x:v>
      </x:c>
      <x:c r="C14" s="12" t="str">
        <x:v>https://fred.stlouisfed.org/data/CCUSMA02FRA618N</x:v>
      </x:c>
      <x:c r="D14" s="12" t="str">
        <x:v>原序列单位为回溯欧元；乘不可撤销转换率还原当年本币。法国1957–1959另乘100还原旧法郎。</x:v>
      </x:c>
      <x:c r="E14" s="12" t="str">
        <x:v>A：机构统计／原始统计表</x:v>
      </x:c>
    </x:row>
    <x:row r="15" ht="85" customHeight="1">
      <x:c r="A15" s="12" t="str">
        <x:v>OECD_DE</x:v>
      </x:c>
      <x:c r="B15" s="12" t="str">
        <x:v>OECD via FRED：DE年均汇率（欧元单位回溯序列）</x:v>
      </x:c>
      <x:c r="C15" s="12" t="str">
        <x:v>https://fred.stlouisfed.org/data/CCUSMA02DEA618N</x:v>
      </x:c>
      <x:c r="D15" s="12" t="str">
        <x:v>原序列单位为回溯欧元；乘不可撤销转换率还原当年本币。法国1957–1959另乘100还原旧法郎。</x:v>
      </x:c>
      <x:c r="E15" s="12" t="str">
        <x:v>A：机构统计／原始统计表</x:v>
      </x:c>
    </x:row>
    <x:row r="16" ht="85" customHeight="1">
      <x:c r="A16" s="12" t="str">
        <x:v>OECD_IT</x:v>
      </x:c>
      <x:c r="B16" s="12" t="str">
        <x:v>OECD via FRED：IT年均汇率（欧元单位回溯序列）</x:v>
      </x:c>
      <x:c r="C16" s="12" t="str">
        <x:v>https://fred.stlouisfed.org/data/CCUSMA02ITA618N</x:v>
      </x:c>
      <x:c r="D16" s="12" t="str">
        <x:v>原序列单位为回溯欧元；乘不可撤销转换率还原当年本币。法国1957–1959另乘100还原旧法郎。</x:v>
      </x:c>
      <x:c r="E16" s="12" t="str">
        <x:v>A：机构统计／原始统计表</x:v>
      </x:c>
    </x:row>
    <x:row r="17" ht="85" customHeight="1">
      <x:c r="A17" s="12" t="str">
        <x:v>MW_JPY</x:v>
      </x:c>
      <x:c r="B17" s="12" t="str">
        <x:v>MeasuringWorth：日本年均汇率</x:v>
      </x:c>
      <x:c r="C17" s="12" t="str">
        <x:v>https://www.measuringworth.com/datasets/exchangeglobal/result.php?countryE%5B%5D=Japan&amp;year_result=2016&amp;year_source=1916</x:v>
      </x:c>
      <x:c r="D17" s="12" t="str">
        <x:v>以纽约市场年度平均报价为主；保留原表精度。</x:v>
      </x:c>
      <x:c r="E17" s="12" t="str">
        <x:v>B：学术历史汇编</x:v>
      </x:c>
    </x:row>
    <x:row r="18" ht="85" customHeight="1">
      <x:c r="A18" s="12" t="str">
        <x:v>MW_INR</x:v>
      </x:c>
      <x:c r="B18" s="12" t="str">
        <x:v>MeasuringWorth：印度年均汇率</x:v>
      </x:c>
      <x:c r="C18" s="12" t="str">
        <x:v>https://www.measuringworth.com/datasets/exchangeglobal/result.php?countryE%5B%5D=India&amp;year_result=1948&amp;year_source=1916</x:v>
      </x:c>
      <x:c r="D18" s="12" t="str">
        <x:v>英属印度／印度卢比；保留原表精度。</x:v>
      </x:c>
      <x:c r="E18" s="12" t="str">
        <x:v>B：学术历史汇编</x:v>
      </x:c>
    </x:row>
    <x:row r="19" ht="85" customHeight="1">
      <x:c r="A19" s="12" t="str">
        <x:v>OECD_CNY</x:v>
      </x:c>
      <x:c r="B19" s="12" t="str">
        <x:v>OECD via FRED：CNY年均汇率</x:v>
      </x:c>
      <x:c r="C19" s="12" t="str">
        <x:v>https://fred.stlouisfed.org/data/CCUSMA02CNA618N</x:v>
      </x:c>
      <x:c r="D19" s="12" t="str">
        <x:v>单位为本币／美元；中国和印度早期数据主要反映官方汇率。</x:v>
      </x:c>
      <x:c r="E19" s="12" t="str">
        <x:v>A：机构统计／原始统计表</x:v>
      </x:c>
    </x:row>
    <x:row r="20" ht="85" customHeight="1">
      <x:c r="A20" s="12" t="str">
        <x:v>OECD_INR</x:v>
      </x:c>
      <x:c r="B20" s="12" t="str">
        <x:v>OECD via FRED：INR年均汇率</x:v>
      </x:c>
      <x:c r="C20" s="12" t="str">
        <x:v>https://fred.stlouisfed.org/data/CCUSMA02INA618N</x:v>
      </x:c>
      <x:c r="D20" s="12" t="str">
        <x:v>单位为本币／美元；中国和印度早期数据主要反映官方汇率。</x:v>
      </x:c>
      <x:c r="E20" s="12" t="str">
        <x:v>A：机构统计／原始统计表</x:v>
      </x:c>
    </x:row>
    <x:row r="21" ht="85" customHeight="1">
      <x:c r="A21" s="12" t="str">
        <x:v>OECD_GBP</x:v>
      </x:c>
      <x:c r="B21" s="12" t="str">
        <x:v>OECD via FRED：GBP年均汇率</x:v>
      </x:c>
      <x:c r="C21" s="12" t="str">
        <x:v>https://fred.stlouisfed.org/data/CCUSMA02GBA618N</x:v>
      </x:c>
      <x:c r="D21" s="12" t="str">
        <x:v>单位为本币／美元；中国和印度早期数据主要反映官方汇率。</x:v>
      </x:c>
      <x:c r="E21" s="12" t="str">
        <x:v>A：机构统计／原始统计表</x:v>
      </x:c>
    </x:row>
    <x:row r="22" ht="85" customHeight="1">
      <x:c r="A22" s="12" t="str">
        <x:v>OECD_CAD</x:v>
      </x:c>
      <x:c r="B22" s="12" t="str">
        <x:v>OECD via FRED：CAD年均汇率</x:v>
      </x:c>
      <x:c r="C22" s="12" t="str">
        <x:v>https://fred.stlouisfed.org/data/CCUSMA02CAA618N</x:v>
      </x:c>
      <x:c r="D22" s="12" t="str">
        <x:v>单位为本币／美元；中国和印度早期数据主要反映官方汇率。</x:v>
      </x:c>
      <x:c r="E22" s="12" t="str">
        <x:v>A：机构统计／原始统计表</x:v>
      </x:c>
    </x:row>
    <x:row r="23" ht="85" customHeight="1">
      <x:c r="A23" s="12" t="str">
        <x:v>OECD_CHF</x:v>
      </x:c>
      <x:c r="B23" s="12" t="str">
        <x:v>OECD via FRED：CHF年均汇率</x:v>
      </x:c>
      <x:c r="C23" s="12" t="str">
        <x:v>https://fred.stlouisfed.org/data/CCUSMA02CHA618N</x:v>
      </x:c>
      <x:c r="D23" s="12" t="str">
        <x:v>单位为本币／美元；中国和印度早期数据主要反映官方汇率。</x:v>
      </x:c>
      <x:c r="E23" s="12" t="str">
        <x:v>A：机构统计／原始统计表</x:v>
      </x:c>
    </x:row>
    <x:row r="24" ht="85" customHeight="1">
      <x:c r="A24" s="12" t="str">
        <x:v>MW_FR</x:v>
      </x:c>
      <x:c r="B24" s="12" t="str">
        <x:v>MeasuringWorth：法国年均汇率</x:v>
      </x:c>
      <x:c r="C24" s="12" t="str">
        <x:v>https://www.measuringworth.com/datasets/exchangeglobal/result.php?countryE%5B%5D=France&amp;year_result=1940&amp;year_source=1920</x:v>
      </x:c>
      <x:c r="D24" s="12" t="str">
        <x:v>纽约市场；1940仅至6月15日可用报价。</x:v>
      </x:c>
      <x:c r="E24" s="12" t="str">
        <x:v>B：学术历史汇编</x:v>
      </x:c>
    </x:row>
    <x:row r="25" ht="85" customHeight="1">
      <x:c r="A25" s="12" t="str">
        <x:v>MW_CHF</x:v>
      </x:c>
      <x:c r="B25" s="12" t="str">
        <x:v>MeasuringWorth：瑞士年均汇率</x:v>
      </x:c>
      <x:c r="C25" s="12" t="str">
        <x:v>https://www.measuringworth.com/datasets/exchangeglobal/result.php?countryE%5B%5D=Switzerland&amp;year_result=1955&amp;year_source=1905</x:v>
      </x:c>
      <x:c r="D25" s="12" t="str">
        <x:v>纽约市场；1941仅上半年报价，1942–1945原表无值。</x:v>
      </x:c>
      <x:c r="E25" s="12" t="str">
        <x:v>B：学术历史汇编</x:v>
      </x:c>
    </x:row>
    <x:row r="26" ht="85" customHeight="1">
      <x:c r="A26" s="12" t="str">
        <x:v>PWT_GBP</x:v>
      </x:c>
      <x:c r="B26" s="12" t="str">
        <x:v>PWT 11.0 / FRED：市场及估计汇率 GBP</x:v>
      </x:c>
      <x:c r="C26" s="12" t="str">
        <x:v>https://fred.stlouisfed.org/data/XRNCUSGBA618NRUG</x:v>
      </x:c>
      <x:c r="D26" s="12" t="str">
        <x:v>年频；PWT market+estimated。欧元成员国历史数据须还原当年币种。</x:v>
      </x:c>
      <x:c r="E26" s="12" t="str">
        <x:v>B：研究数据库年频估计</x:v>
      </x:c>
    </x:row>
    <x:row r="27" ht="85" customHeight="1">
      <x:c r="A27" s="12" t="str">
        <x:v>PWT_FR</x:v>
      </x:c>
      <x:c r="B27" s="12" t="str">
        <x:v>PWT 11.0 / FRED：市场及估计汇率 FR</x:v>
      </x:c>
      <x:c r="C27" s="12" t="str">
        <x:v>https://fred.stlouisfed.org/data/XRNCUSFRA618NRUG</x:v>
      </x:c>
      <x:c r="D27" s="12" t="str">
        <x:v>年频；PWT market+estimated。欧元成员国历史数据须还原当年币种。</x:v>
      </x:c>
      <x:c r="E27" s="12" t="str">
        <x:v>B：研究数据库年频估计</x:v>
      </x:c>
    </x:row>
    <x:row r="28" ht="85" customHeight="1">
      <x:c r="A28" s="12" t="str">
        <x:v>PWT_DE</x:v>
      </x:c>
      <x:c r="B28" s="12" t="str">
        <x:v>PWT 11.0 / FRED：市场及估计汇率 DE</x:v>
      </x:c>
      <x:c r="C28" s="12" t="str">
        <x:v>https://fred.stlouisfed.org/data/XRNCUSDEA618NRUG</x:v>
      </x:c>
      <x:c r="D28" s="12" t="str">
        <x:v>年频；PWT market+estimated。欧元成员国历史数据须还原当年币种。</x:v>
      </x:c>
      <x:c r="E28" s="12" t="str">
        <x:v>B：研究数据库年频估计</x:v>
      </x:c>
    </x:row>
    <x:row r="29" ht="85" customHeight="1">
      <x:c r="A29" s="12" t="str">
        <x:v>PWT_IT</x:v>
      </x:c>
      <x:c r="B29" s="12" t="str">
        <x:v>PWT 11.0 / FRED：市场及估计汇率 IT</x:v>
      </x:c>
      <x:c r="C29" s="12" t="str">
        <x:v>https://fred.stlouisfed.org/data/XRNCUSITA618NRUG</x:v>
      </x:c>
      <x:c r="D29" s="12" t="str">
        <x:v>年频；PWT market+estimated。欧元成员国历史数据须还原当年币种。</x:v>
      </x:c>
      <x:c r="E29" s="12" t="str">
        <x:v>B：研究数据库年频估计</x:v>
      </x:c>
    </x:row>
    <x:row r="30" ht="85" customHeight="1">
      <x:c r="A30" s="12" t="str">
        <x:v>PWT_CAD</x:v>
      </x:c>
      <x:c r="B30" s="12" t="str">
        <x:v>PWT 11.0 / FRED：市场及估计汇率 CAD</x:v>
      </x:c>
      <x:c r="C30" s="12" t="str">
        <x:v>https://fred.stlouisfed.org/data/XRNCUSCAA618NRUG</x:v>
      </x:c>
      <x:c r="D30" s="12" t="str">
        <x:v>年频；PWT market+estimated。欧元成员国历史数据须还原当年币种。</x:v>
      </x:c>
      <x:c r="E30" s="12" t="str">
        <x:v>B：研究数据库年频估计</x:v>
      </x:c>
    </x:row>
    <x:row r="31" ht="85" customHeight="1">
      <x:c r="A31" s="12" t="str">
        <x:v>PWT_INR</x:v>
      </x:c>
      <x:c r="B31" s="12" t="str">
        <x:v>PWT 11.0 / FRED：市场及估计汇率 INR</x:v>
      </x:c>
      <x:c r="C31" s="12" t="str">
        <x:v>https://fred.stlouisfed.org/data/XRNCUSINA618NRUG</x:v>
      </x:c>
      <x:c r="D31" s="12" t="str">
        <x:v>年频；PWT market+estimated。欧元成员国历史数据须还原当年币种。</x:v>
      </x:c>
      <x:c r="E31" s="12" t="str">
        <x:v>B：研究数据库年频估计</x:v>
      </x:c>
    </x:row>
    <x:row r="32" ht="85" customHeight="1">
      <x:c r="A32" s="12" t="str">
        <x:v>PWT_CHF</x:v>
      </x:c>
      <x:c r="B32" s="12" t="str">
        <x:v>PWT 11.0 / FRED：瑞士</x:v>
      </x:c>
      <x:c r="C32" s="12" t="str">
        <x:v>https://fred.stlouisfed.org/data/XRNCUSCHA618NRUG</x:v>
      </x:c>
      <x:c r="D32" s="12" t="str">
        <x:v>年频市场／估计；1956与相邻纽约报价序列存在来源差异。</x:v>
      </x:c>
      <x:c r="E32" s="12" t="str">
        <x:v>B：研究数据库年频估计</x:v>
      </x:c>
    </x:row>
    <x:row r="33" ht="85" customHeight="1">
      <x:c r="A33" s="12" t="str">
        <x:v>PWT_CNY</x:v>
      </x:c>
      <x:c r="B33" s="12" t="str">
        <x:v>PWT 11.0 / FRED：中国</x:v>
      </x:c>
      <x:c r="C33" s="12" t="str">
        <x:v>https://fred.stlouisfed.org/data/XRNCUSCNA618NRUG</x:v>
      </x:c>
      <x:c r="D33" s="12" t="str">
        <x:v>1952—1954按1955年币改前旧人民币单位还原；1955年全年统一用第二套人民币元。</x:v>
      </x:c>
      <x:c r="E33" s="12" t="str">
        <x:v>B：研究数据库年频估计</x:v>
      </x:c>
    </x:row>
    <x:row r="34" ht="85" customHeight="1">
      <x:c r="A34" s="12" t="str">
        <x:v>MW_CAD</x:v>
      </x:c>
      <x:c r="B34" s="12" t="str">
        <x:v>Lawrence H. Officer / MeasuringWorth：加拿大元</x:v>
      </x:c>
      <x:c r="C34" s="12" t="str">
        <x:v>https://www.measuringworth.com/datasets/exchangeglobal/result.php?countryE%5B%5D=Canada&amp;year_result=2007&amp;year_source=1913</x:v>
      </x:c>
      <x:c r="D34" s="12" t="str">
        <x:v>纽约市场年度报价；1942—1945缺失。</x:v>
      </x:c>
      <x:c r="E34" s="12" t="str">
        <x:v>B：学术历史汇编</x:v>
      </x:c>
    </x:row>
    <x:row r="35" ht="85" customHeight="1">
      <x:c r="A35" s="12" t="str">
        <x:v>UCSB_DE</x:v>
      </x:c>
      <x:c r="B35" s="12" t="str">
        <x:v>Harold Marcuse / UCSB：德国，转载Officer年度表</x:v>
      </x:c>
      <x:c r="C35" s="12" t="str">
        <x:v>https://marcuse.faculty.history.ucsb.edu/projects/currency.htm</x:v>
      </x:c>
      <x:c r="D35" s="12" t="str">
        <x:v>使用右侧annual avg.表，不使用左侧定点汇率；1923—1924数据有币改及倒数均值口径疑点，未采用。</x:v>
      </x:c>
      <x:c r="E35" s="12" t="str">
        <x:v>B：大学页面转录</x:v>
      </x:c>
    </x:row>
    <x:row r="36" ht="85" customHeight="1">
      <x:c r="A36" s="12" t="str">
        <x:v>PWT_JPY</x:v>
      </x:c>
      <x:c r="B36" s="12" t="str">
        <x:v>PWT 11.0 / FRED：日本</x:v>
      </x:c>
      <x:c r="C36" s="12" t="str">
        <x:v>https://fred.stlouisfed.org/data/XRNCUSJPA618NRUG</x:v>
      </x:c>
      <x:c r="D36" s="12" t="str">
        <x:v>年频市场／估计值。</x:v>
      </x:c>
      <x:c r="E36" s="12" t="str">
        <x:v>B：研究数据库年频估计</x:v>
      </x:c>
    </x:row>
    <x:row r="37" ht="85" customHeight="1">
      <x:c r="A37" s="12" t="str">
        <x:v>YTD_GBP</x:v>
      </x:c>
      <x:c r="B37" s="12" t="str">
        <x:v>美联储 H.10 / FRED：2026年月均 GBP</x:v>
      </x:c>
      <x:c r="C37" s="12" t="str">
        <x:v>https://fred.stlouisfed.org/data/EXUSUK</x:v>
      </x:c>
      <x:c r="D37" s="12" t="str">
        <x:v>2026年1—8月；对8个月均值等权平均，不是完整全年或逐日加权平均。</x:v>
      </x:c>
      <x:c r="E37" s="12" t="str">
        <x:v>A：机构统计／原始统计表</x:v>
      </x:c>
    </x:row>
    <x:row r="38" ht="85" customHeight="1">
      <x:c r="A38" s="12" t="str">
        <x:v>YTD_CAD</x:v>
      </x:c>
      <x:c r="B38" s="12" t="str">
        <x:v>美联储 H.10 / FRED：2026年月均 CAD</x:v>
      </x:c>
      <x:c r="C38" s="12" t="str">
        <x:v>https://fred.stlouisfed.org/data/EXCAUS</x:v>
      </x:c>
      <x:c r="D38" s="12" t="str">
        <x:v>2026年1—8月；对8个月均值等权平均，不是完整全年或逐日加权平均。</x:v>
      </x:c>
      <x:c r="E38" s="12" t="str">
        <x:v>A：机构统计／原始统计表</x:v>
      </x:c>
    </x:row>
    <x:row r="39" ht="85" customHeight="1">
      <x:c r="A39" s="12" t="str">
        <x:v>YTD_CNY</x:v>
      </x:c>
      <x:c r="B39" s="12" t="str">
        <x:v>美联储 H.10 / FRED：2026年月均 CNY</x:v>
      </x:c>
      <x:c r="C39" s="12" t="str">
        <x:v>https://fred.stlouisfed.org/data/EXCHUS</x:v>
      </x:c>
      <x:c r="D39" s="12" t="str">
        <x:v>2026年1—8月；对8个月均值等权平均，不是完整全年或逐日加权平均。</x:v>
      </x:c>
      <x:c r="E39" s="12" t="str">
        <x:v>A：机构统计／原始统计表</x:v>
      </x:c>
    </x:row>
    <x:row r="40" ht="85" customHeight="1">
      <x:c r="A40" s="12" t="str">
        <x:v>YTD_JPY</x:v>
      </x:c>
      <x:c r="B40" s="12" t="str">
        <x:v>美联储 H.10 / FRED：2026年月均 JPY</x:v>
      </x:c>
      <x:c r="C40" s="12" t="str">
        <x:v>https://fred.stlouisfed.org/data/EXJPUS</x:v>
      </x:c>
      <x:c r="D40" s="12" t="str">
        <x:v>2026年1—8月；对8个月均值等权平均，不是完整全年或逐日加权平均。</x:v>
      </x:c>
      <x:c r="E40" s="12" t="str">
        <x:v>A：机构统计／原始统计表</x:v>
      </x:c>
    </x:row>
    <x:row r="41" ht="85" customHeight="1">
      <x:c r="A41" s="12" t="str">
        <x:v>YTD_CHF</x:v>
      </x:c>
      <x:c r="B41" s="12" t="str">
        <x:v>美联储 H.10 / FRED：2026年月均 CHF</x:v>
      </x:c>
      <x:c r="C41" s="12" t="str">
        <x:v>https://fred.stlouisfed.org/data/EXSZUS</x:v>
      </x:c>
      <x:c r="D41" s="12" t="str">
        <x:v>2026年1—8月；对8个月均值等权平均，不是完整全年或逐日加权平均。</x:v>
      </x:c>
      <x:c r="E41" s="12" t="str">
        <x:v>A：机构统计／原始统计表</x:v>
      </x:c>
    </x:row>
    <x:row r="42" ht="85" customHeight="1">
      <x:c r="A42" s="12" t="str">
        <x:v>YTD_INR</x:v>
      </x:c>
      <x:c r="B42" s="12" t="str">
        <x:v>美联储 H.10 / FRED：2026年月均 INR</x:v>
      </x:c>
      <x:c r="C42" s="12" t="str">
        <x:v>https://fred.stlouisfed.org/data/EXINUS</x:v>
      </x:c>
      <x:c r="D42" s="12" t="str">
        <x:v>2026年1—8月；对8个月均值等权平均，不是完整全年或逐日加权平均。</x:v>
      </x:c>
      <x:c r="E42" s="12" t="str">
        <x:v>A：机构统计／原始统计表</x:v>
      </x:c>
    </x:row>
    <x:row r="43" ht="85" customHeight="1">
      <x:c r="A43" s="12" t="str">
        <x:v>YTD_EUR</x:v>
      </x:c>
      <x:c r="B43" s="12" t="str">
        <x:v>美联储 H.10 / FRED：2026年月均 EUR</x:v>
      </x:c>
      <x:c r="C43" s="12" t="str">
        <x:v>https://fred.stlouisfed.org/data/EXUSEU</x:v>
      </x:c>
      <x:c r="D43" s="12" t="str">
        <x:v>2026年1—8月；对8个月均值等权平均，不是完整全年或逐日加权平均。</x:v>
      </x:c>
      <x:c r="E43" s="12" t="str">
        <x:v>A：机构统计／原始统计表</x:v>
      </x:c>
    </x:row>
    <x:row r="44" ht="85" customHeight="1">
      <x:c r="A44" s="12" t="str">
        <x:v>YTD_RUB</x:v>
      </x:c>
      <x:c r="B44" s="12" t="str">
        <x:v>OECD / FRED：2026年月均 RUB</x:v>
      </x:c>
      <x:c r="C44" s="12" t="str">
        <x:v>https://fred.stlouisfed.org/data/CCUSMA02RUM618N</x:v>
      </x:c>
      <x:c r="D44" s="12" t="str">
        <x:v>2026年1—8月；对8个月均值等权平均，不是完整全年或逐日加权平均。</x:v>
      </x:c>
      <x:c r="E44" s="12" t="str">
        <x:v>A：机构统计／原始统计表</x:v>
      </x:c>
    </x:row>
    <x:row r="45" ht="85" customHeight="1">
      <x:c r="A45" s="12" t="str">
        <x:v>MW_GBP</x:v>
      </x:c>
      <x:c r="B45" s="12" t="str">
        <x:v>MeasuringWorth：英镑／美元年度历史汇率</x:v>
      </x:c>
      <x:c r="C45" s="12" t="str">
        <x:v>https://www.measuringworth.com/datasets/exchangeglobal/result.php?countryE%5B%5D=United+Kingdom&amp;year_result=2007&amp;year_source=1791</x:v>
      </x:c>
      <x:c r="D45" s="12" t="str">
        <x:v>年度汇率，本币／美元；1920—1949。</x:v>
      </x:c>
      <x:c r="E45" s="12" t="str">
        <x:v>B：学术历史汇编</x:v>
      </x:c>
    </x:row>
    <x:row r="46" ht="85" customHeight="1">
      <x:c r="A46" s="12" t="str">
        <x:v>FRASER_IT</x:v>
      </x:c>
      <x:c r="B46" s="12" t="str">
        <x:v>美联储《Banking and Monetary Statistics 1914—1941》表173，意大利，印刷页673</x:v>
      </x:c>
      <x:c r="C46" s="12" t="str">
        <x:v>https://fraser.stlouisfed.org/title/banking-monetary-statistics-1914-1941-38/part-i-6408/fulltext</x:v>
      </x:c>
      <x:c r="D46" s="12" t="str">
        <x:v>原表为日度报价的年平均，单位：美分／里拉；标准化为100÷原值。</x:v>
      </x:c>
      <x:c r="E46" s="12" t="str">
        <x:v>A：机构统计／原始统计表</x:v>
      </x:c>
    </x:row>
    <x:row r="47" ht="85" customHeight="1">
      <x:c r="A47" s="12" t="str">
        <x:v>FRASER_CN</x:v>
      </x:c>
      <x:c r="B47" s="12" t="str">
        <x:v>美联储《Banking and Monetary Statistics 1914—1941》表173，中国，印刷页667</x:v>
      </x:c>
      <x:c r="C47" s="12" t="str">
        <x:v>https://fraser.stlouisfed.org/title/banking-monetary-statistics-1914-1941-38/part-i-6408/fulltext</x:v>
      </x:c>
      <x:c r="D47" s="12" t="str">
        <x:v>原表日度报价的年均值，单位：美分／中国货币单位。1920—21上海两；1922—32旧银元；1933年4月10日起新元；1935年币制过渡；1936—41法币。</x:v>
      </x:c>
      <x:c r="E47" s="12" t="str">
        <x:v>A：机构统计／原始统计表</x:v>
      </x:c>
    </x:row>
    <x:row r="48" ht="85" customHeight="1">
      <x:c r="A48" s="12" t="str">
        <x:v>ECB_CONVERSION</x:v>
      </x:c>
      <x:c r="B48" s="12" t="str">
        <x:v>欧洲央行：1999年欧元不可撤销转换率</x:v>
      </x:c>
      <x:c r="C48" s="12" t="str">
        <x:v>https://www.ecb.europa.eu/press/pr/date/1998/html/pr981231_2.en.html</x:v>
      </x:c>
      <x:c r="D48" s="12" t="str">
        <x:v>1 EUR=6.55957 FRF=1.95583 DEM=1936.27 ITL。仅用于还原1999年前回溯单位；1999年起三个地区直接使用EUR。</x:v>
      </x:c>
      <x:c r="E48" s="12" t="str">
        <x:v>A：机构统计／原始统计表</x:v>
      </x:c>
    </x:row>
    <x:row r="49" ht="85" customHeight="1">
      <x:c r="A49" s="12" t="str">
        <x:v>MW_ASIA_NOTES</x:v>
      </x:c>
      <x:c r="B49" s="12" t="str">
        <x:v>MeasuringWorth：亚洲各国币制、来源说明</x:v>
      </x:c>
      <x:c r="C49" s="12" t="str">
        <x:v>https://www.measuringworth.com/datasets/exchangeglobal/infoafr.htm</x:v>
      </x:c>
      <x:c r="D49" s="12" t="str"/>
      <x:c r="E49" s="12" t="str">
        <x:v>B：学术历史汇编</x:v>
      </x:c>
    </x:row>
    <x:row r="50" ht="85" customHeight="1">
      <x:c r="A50" s="12" t="str">
        <x:v>MW_EUROPE_NOTES</x:v>
      </x:c>
      <x:c r="B50" s="12" t="str">
        <x:v>MeasuringWorth：欧洲各国币制、来源说明</x:v>
      </x:c>
      <x:c r="C50" s="12" t="str">
        <x:v>https://www.measuringworth.com/datasets/exchangeglobal/infoeurope.htm</x:v>
      </x:c>
      <x:c r="D50" s="12" t="str"/>
      <x:c r="E50" s="12" t="str">
        <x:v>B：学术历史汇编</x:v>
      </x:c>
    </x:row>
    <x:row r="51" ht="85" customHeight="1">
      <x:c r="A51" s="12" t="str">
        <x:v>SUR_OFFICIAL_SECONDARY</x:v>
      </x:c>
      <x:c r="B51" s="12" t="str">
        <x:v>苏联卢布历史官价表（Wikipedia转引俄央行历史档案）</x:v>
      </x:c>
      <x:c r="C51" s="12" t="str">
        <x:v>https://en.wikipedia.org/wiki/Soviet_ruble#Exchange_rates</x:v>
      </x:c>
      <x:c r="D51" s="12" t="str">
        <x:v>二手转引，原俄央行历史页面本次无法访问。数值均为当时卢布／美元；区间官价与定点报价不是可自由兑换的市场年均价。</x:v>
      </x:c>
      <x:c r="E51" s="12" t="str">
        <x:v>C：二手转引（原档未复核）</x:v>
      </x:c>
    </x:row>
    <x:row r="52" ht="85" customHeight="1">
      <x:c r="A52" s="12" t="str">
        <x:v>CNY_HISTORY</x:v>
      </x:c>
      <x:c r="B52" s="12" t="str">
        <x:v>人民币发行及币制历史（用于币名标注）</x:v>
      </x:c>
      <x:c r="C52" s="12" t="str">
        <x:v>https://zh.wikipedia.org/wiki/人民币</x:v>
      </x:c>
      <x:c r="D52" s="12" t="str">
        <x:v>人民币1948-12-01开始发行；并非1949年才存在。1955币改比例另由MeasuringWorth币制说明交叉核对。</x:v>
      </x:c>
      <x:c r="E52" s="12" t="str">
        <x:v>A：机构统计／原始统计表</x:v>
      </x:c>
    </x:row>
    <x:row r="69" ht="32" customHeight="1">
      <x:c r="A69" s="6" t="str">
        <x:v>索引年份</x:v>
      </x:c>
      <x:c r="B69" s="6" t="str">
        <x:v>USD</x:v>
      </x:c>
      <x:c r="C69" s="6" t="str">
        <x:v>GBP</x:v>
      </x:c>
      <x:c r="D69" s="6" t="str">
        <x:v>CAD</x:v>
      </x:c>
      <x:c r="E69" s="6" t="str">
        <x:v>FR</x:v>
      </x:c>
      <x:c r="F69" s="6" t="str">
        <x:v>DE</x:v>
      </x:c>
      <x:c r="G69" s="6" t="str">
        <x:v>IT</x:v>
      </x:c>
      <x:c r="H69" s="6" t="str">
        <x:v>JPY</x:v>
      </x:c>
      <x:c r="I69" s="6" t="str">
        <x:v>CHF</x:v>
      </x:c>
      <x:c r="J69" s="6" t="str">
        <x:v>INR</x:v>
      </x:c>
      <x:c r="K69" s="6" t="str">
        <x:v>RUB</x:v>
      </x:c>
      <x:c r="L69" s="6" t="str">
        <x:v>CNY</x:v>
      </x:c>
      <x:c r="M69" s="6" t="str">
        <x:v>EUR</x:v>
      </x:c>
    </x:row>
    <x:row r="70">
      <x:c r="A70" t="n">
        <x:v>1920</x:v>
      </x:c>
      <x:c r="B70" t="n">
        <x:v>0</x:v>
      </x:c>
      <x:c r="C70" t="n">
        <x:v>6</x:v>
      </x:c>
      <x:c r="D70" t="n">
        <x:v>7</x:v>
      </x:c>
      <x:c r="E70" t="n">
        <x:v>8</x:v>
      </x:c>
      <x:c r="F70" t="n">
        <x:v>9</x:v>
      </x:c>
      <x:c r="G70" t="n">
        <x:v>10</x:v>
      </x:c>
      <x:c r="H70" t="n">
        <x:v>11</x:v>
      </x:c>
      <x:c r="I70" t="n">
        <x:v>12</x:v>
      </x:c>
      <x:c r="J70" t="n">
        <x:v>13</x:v>
      </x:c>
      <x:c r="K70" t="n">
        <x:v>0</x:v>
      </x:c>
      <x:c r="L70" t="n">
        <x:v>14</x:v>
      </x:c>
      <x:c r="M70" t="n">
        <x:v>9</x:v>
      </x:c>
    </x:row>
    <x:row r="71">
      <x:c r="A71" t="n">
        <x:v>1921</x:v>
      </x:c>
      <x:c r="B71" t="n">
        <x:v>0</x:v>
      </x:c>
      <x:c r="C71" t="n">
        <x:v>15</x:v>
      </x:c>
      <x:c r="D71" t="n">
        <x:v>16</x:v>
      </x:c>
      <x:c r="E71" t="n">
        <x:v>17</x:v>
      </x:c>
      <x:c r="F71" t="n">
        <x:v>18</x:v>
      </x:c>
      <x:c r="G71" t="n">
        <x:v>19</x:v>
      </x:c>
      <x:c r="H71" t="n">
        <x:v>20</x:v>
      </x:c>
      <x:c r="I71" t="n">
        <x:v>21</x:v>
      </x:c>
      <x:c r="J71" t="n">
        <x:v>22</x:v>
      </x:c>
      <x:c r="K71" t="n">
        <x:v>0</x:v>
      </x:c>
      <x:c r="L71" t="n">
        <x:v>23</x:v>
      </x:c>
      <x:c r="M71" t="n">
        <x:v>18</x:v>
      </x:c>
    </x:row>
    <x:row r="72">
      <x:c r="A72" t="n">
        <x:v>1922</x:v>
      </x:c>
      <x:c r="B72" t="n">
        <x:v>0</x:v>
      </x:c>
      <x:c r="C72" t="n">
        <x:v>24</x:v>
      </x:c>
      <x:c r="D72" t="n">
        <x:v>25</x:v>
      </x:c>
      <x:c r="E72" t="n">
        <x:v>26</x:v>
      </x:c>
      <x:c r="F72" t="n">
        <x:v>27</x:v>
      </x:c>
      <x:c r="G72" t="n">
        <x:v>28</x:v>
      </x:c>
      <x:c r="H72" t="n">
        <x:v>29</x:v>
      </x:c>
      <x:c r="I72" t="n">
        <x:v>30</x:v>
      </x:c>
      <x:c r="J72" t="n">
        <x:v>31</x:v>
      </x:c>
      <x:c r="K72" t="n">
        <x:v>0</x:v>
      </x:c>
      <x:c r="L72" t="n">
        <x:v>32</x:v>
      </x:c>
      <x:c r="M72" t="n">
        <x:v>27</x:v>
      </x:c>
    </x:row>
    <x:row r="73">
      <x:c r="A73" t="n">
        <x:v>1923</x:v>
      </x:c>
      <x:c r="B73" t="n">
        <x:v>0</x:v>
      </x:c>
      <x:c r="C73" t="n">
        <x:v>33</x:v>
      </x:c>
      <x:c r="D73" t="n">
        <x:v>34</x:v>
      </x:c>
      <x:c r="E73" t="n">
        <x:v>35</x:v>
      </x:c>
      <x:c r="F73" t="n">
        <x:v>0</x:v>
      </x:c>
      <x:c r="G73" t="n">
        <x:v>36</x:v>
      </x:c>
      <x:c r="H73" t="n">
        <x:v>37</x:v>
      </x:c>
      <x:c r="I73" t="n">
        <x:v>38</x:v>
      </x:c>
      <x:c r="J73" t="n">
        <x:v>39</x:v>
      </x:c>
      <x:c r="K73" t="n">
        <x:v>0</x:v>
      </x:c>
      <x:c r="L73" t="n">
        <x:v>40</x:v>
      </x:c>
      <x:c r="M73" t="n">
        <x:v>0</x:v>
      </x:c>
    </x:row>
    <x:row r="74">
      <x:c r="A74" t="n">
        <x:v>1924</x:v>
      </x:c>
      <x:c r="B74" t="n">
        <x:v>0</x:v>
      </x:c>
      <x:c r="C74" t="n">
        <x:v>41</x:v>
      </x:c>
      <x:c r="D74" t="n">
        <x:v>42</x:v>
      </x:c>
      <x:c r="E74" t="n">
        <x:v>43</x:v>
      </x:c>
      <x:c r="F74" t="n">
        <x:v>0</x:v>
      </x:c>
      <x:c r="G74" t="n">
        <x:v>44</x:v>
      </x:c>
      <x:c r="H74" t="n">
        <x:v>45</x:v>
      </x:c>
      <x:c r="I74" t="n">
        <x:v>46</x:v>
      </x:c>
      <x:c r="J74" t="n">
        <x:v>47</x:v>
      </x:c>
      <x:c r="K74" t="n">
        <x:v>48</x:v>
      </x:c>
      <x:c r="L74" t="n">
        <x:v>49</x:v>
      </x:c>
      <x:c r="M74" t="n">
        <x:v>0</x:v>
      </x:c>
    </x:row>
    <x:row r="75">
      <x:c r="A75" t="n">
        <x:v>1925</x:v>
      </x:c>
      <x:c r="B75" t="n">
        <x:v>0</x:v>
      </x:c>
      <x:c r="C75" t="n">
        <x:v>50</x:v>
      </x:c>
      <x:c r="D75" t="n">
        <x:v>51</x:v>
      </x:c>
      <x:c r="E75" t="n">
        <x:v>52</x:v>
      </x:c>
      <x:c r="F75" t="n">
        <x:v>53</x:v>
      </x:c>
      <x:c r="G75" t="n">
        <x:v>54</x:v>
      </x:c>
      <x:c r="H75" t="n">
        <x:v>55</x:v>
      </x:c>
      <x:c r="I75" t="n">
        <x:v>56</x:v>
      </x:c>
      <x:c r="J75" t="n">
        <x:v>57</x:v>
      </x:c>
      <x:c r="K75" t="n">
        <x:v>0</x:v>
      </x:c>
      <x:c r="L75" t="n">
        <x:v>58</x:v>
      </x:c>
      <x:c r="M75" t="n">
        <x:v>53</x:v>
      </x:c>
    </x:row>
    <x:row r="76">
      <x:c r="A76" t="n">
        <x:v>1926</x:v>
      </x:c>
      <x:c r="B76" t="n">
        <x:v>0</x:v>
      </x:c>
      <x:c r="C76" t="n">
        <x:v>59</x:v>
      </x:c>
      <x:c r="D76" t="n">
        <x:v>60</x:v>
      </x:c>
      <x:c r="E76" t="n">
        <x:v>61</x:v>
      </x:c>
      <x:c r="F76" t="n">
        <x:v>62</x:v>
      </x:c>
      <x:c r="G76" t="n">
        <x:v>63</x:v>
      </x:c>
      <x:c r="H76" t="n">
        <x:v>64</x:v>
      </x:c>
      <x:c r="I76" t="n">
        <x:v>65</x:v>
      </x:c>
      <x:c r="J76" t="n">
        <x:v>66</x:v>
      </x:c>
      <x:c r="K76" t="n">
        <x:v>0</x:v>
      </x:c>
      <x:c r="L76" t="n">
        <x:v>67</x:v>
      </x:c>
      <x:c r="M76" t="n">
        <x:v>62</x:v>
      </x:c>
    </x:row>
    <x:row r="77">
      <x:c r="A77" t="n">
        <x:v>1927</x:v>
      </x:c>
      <x:c r="B77" t="n">
        <x:v>0</x:v>
      </x:c>
      <x:c r="C77" t="n">
        <x:v>68</x:v>
      </x:c>
      <x:c r="D77" t="n">
        <x:v>69</x:v>
      </x:c>
      <x:c r="E77" t="n">
        <x:v>70</x:v>
      </x:c>
      <x:c r="F77" t="n">
        <x:v>71</x:v>
      </x:c>
      <x:c r="G77" t="n">
        <x:v>72</x:v>
      </x:c>
      <x:c r="H77" t="n">
        <x:v>73</x:v>
      </x:c>
      <x:c r="I77" t="n">
        <x:v>74</x:v>
      </x:c>
      <x:c r="J77" t="n">
        <x:v>75</x:v>
      </x:c>
      <x:c r="K77" t="n">
        <x:v>76</x:v>
      </x:c>
      <x:c r="L77" t="n">
        <x:v>77</x:v>
      </x:c>
      <x:c r="M77" t="n">
        <x:v>71</x:v>
      </x:c>
    </x:row>
    <x:row r="78">
      <x:c r="A78" t="n">
        <x:v>1928</x:v>
      </x:c>
      <x:c r="B78" t="n">
        <x:v>0</x:v>
      </x:c>
      <x:c r="C78" t="n">
        <x:v>78</x:v>
      </x:c>
      <x:c r="D78" t="n">
        <x:v>79</x:v>
      </x:c>
      <x:c r="E78" t="n">
        <x:v>80</x:v>
      </x:c>
      <x:c r="F78" t="n">
        <x:v>81</x:v>
      </x:c>
      <x:c r="G78" t="n">
        <x:v>82</x:v>
      </x:c>
      <x:c r="H78" t="n">
        <x:v>83</x:v>
      </x:c>
      <x:c r="I78" t="n">
        <x:v>84</x:v>
      </x:c>
      <x:c r="J78" t="n">
        <x:v>85</x:v>
      </x:c>
      <x:c r="K78" t="n">
        <x:v>86</x:v>
      </x:c>
      <x:c r="L78" t="n">
        <x:v>87</x:v>
      </x:c>
      <x:c r="M78" t="n">
        <x:v>81</x:v>
      </x:c>
    </x:row>
    <x:row r="79">
      <x:c r="A79" t="n">
        <x:v>1929</x:v>
      </x:c>
      <x:c r="B79" t="n">
        <x:v>0</x:v>
      </x:c>
      <x:c r="C79" t="n">
        <x:v>88</x:v>
      </x:c>
      <x:c r="D79" t="n">
        <x:v>89</x:v>
      </x:c>
      <x:c r="E79" t="n">
        <x:v>90</x:v>
      </x:c>
      <x:c r="F79" t="n">
        <x:v>91</x:v>
      </x:c>
      <x:c r="G79" t="n">
        <x:v>92</x:v>
      </x:c>
      <x:c r="H79" t="n">
        <x:v>93</x:v>
      </x:c>
      <x:c r="I79" t="n">
        <x:v>94</x:v>
      </x:c>
      <x:c r="J79" t="n">
        <x:v>95</x:v>
      </x:c>
      <x:c r="K79" t="n">
        <x:v>96</x:v>
      </x:c>
      <x:c r="L79" t="n">
        <x:v>97</x:v>
      </x:c>
      <x:c r="M79" t="n">
        <x:v>91</x:v>
      </x:c>
    </x:row>
    <x:row r="80">
      <x:c r="A80" t="n">
        <x:v>1930</x:v>
      </x:c>
      <x:c r="B80" t="n">
        <x:v>0</x:v>
      </x:c>
      <x:c r="C80" t="n">
        <x:v>98</x:v>
      </x:c>
      <x:c r="D80" t="n">
        <x:v>99</x:v>
      </x:c>
      <x:c r="E80" t="n">
        <x:v>100</x:v>
      </x:c>
      <x:c r="F80" t="n">
        <x:v>101</x:v>
      </x:c>
      <x:c r="G80" t="n">
        <x:v>102</x:v>
      </x:c>
      <x:c r="H80" t="n">
        <x:v>103</x:v>
      </x:c>
      <x:c r="I80" t="n">
        <x:v>104</x:v>
      </x:c>
      <x:c r="J80" t="n">
        <x:v>105</x:v>
      </x:c>
      <x:c r="K80" t="n">
        <x:v>106</x:v>
      </x:c>
      <x:c r="L80" t="n">
        <x:v>107</x:v>
      </x:c>
      <x:c r="M80" t="n">
        <x:v>101</x:v>
      </x:c>
    </x:row>
    <x:row r="81">
      <x:c r="A81" t="n">
        <x:v>1931</x:v>
      </x:c>
      <x:c r="B81" t="n">
        <x:v>0</x:v>
      </x:c>
      <x:c r="C81" t="n">
        <x:v>108</x:v>
      </x:c>
      <x:c r="D81" t="n">
        <x:v>109</x:v>
      </x:c>
      <x:c r="E81" t="n">
        <x:v>110</x:v>
      </x:c>
      <x:c r="F81" t="n">
        <x:v>111</x:v>
      </x:c>
      <x:c r="G81" t="n">
        <x:v>112</x:v>
      </x:c>
      <x:c r="H81" t="n">
        <x:v>113</x:v>
      </x:c>
      <x:c r="I81" t="n">
        <x:v>114</x:v>
      </x:c>
      <x:c r="J81" t="n">
        <x:v>115</x:v>
      </x:c>
      <x:c r="K81" t="n">
        <x:v>116</x:v>
      </x:c>
      <x:c r="L81" t="n">
        <x:v>117</x:v>
      </x:c>
      <x:c r="M81" t="n">
        <x:v>111</x:v>
      </x:c>
    </x:row>
    <x:row r="82">
      <x:c r="A82" t="n">
        <x:v>1932</x:v>
      </x:c>
      <x:c r="B82" t="n">
        <x:v>0</x:v>
      </x:c>
      <x:c r="C82" t="n">
        <x:v>118</x:v>
      </x:c>
      <x:c r="D82" t="n">
        <x:v>119</x:v>
      </x:c>
      <x:c r="E82" t="n">
        <x:v>120</x:v>
      </x:c>
      <x:c r="F82" t="n">
        <x:v>121</x:v>
      </x:c>
      <x:c r="G82" t="n">
        <x:v>122</x:v>
      </x:c>
      <x:c r="H82" t="n">
        <x:v>123</x:v>
      </x:c>
      <x:c r="I82" t="n">
        <x:v>124</x:v>
      </x:c>
      <x:c r="J82" t="n">
        <x:v>125</x:v>
      </x:c>
      <x:c r="K82" t="n">
        <x:v>126</x:v>
      </x:c>
      <x:c r="L82" t="n">
        <x:v>127</x:v>
      </x:c>
      <x:c r="M82" t="n">
        <x:v>121</x:v>
      </x:c>
    </x:row>
    <x:row r="83">
      <x:c r="A83" t="n">
        <x:v>1933</x:v>
      </x:c>
      <x:c r="B83" t="n">
        <x:v>0</x:v>
      </x:c>
      <x:c r="C83" t="n">
        <x:v>128</x:v>
      </x:c>
      <x:c r="D83" t="n">
        <x:v>129</x:v>
      </x:c>
      <x:c r="E83" t="n">
        <x:v>130</x:v>
      </x:c>
      <x:c r="F83" t="n">
        <x:v>131</x:v>
      </x:c>
      <x:c r="G83" t="n">
        <x:v>132</x:v>
      </x:c>
      <x:c r="H83" t="n">
        <x:v>133</x:v>
      </x:c>
      <x:c r="I83" t="n">
        <x:v>134</x:v>
      </x:c>
      <x:c r="J83" t="n">
        <x:v>135</x:v>
      </x:c>
      <x:c r="K83" t="n">
        <x:v>136</x:v>
      </x:c>
      <x:c r="L83" t="n">
        <x:v>137</x:v>
      </x:c>
      <x:c r="M83" t="n">
        <x:v>131</x:v>
      </x:c>
    </x:row>
    <x:row r="84">
      <x:c r="A84" t="n">
        <x:v>1934</x:v>
      </x:c>
      <x:c r="B84" t="n">
        <x:v>0</x:v>
      </x:c>
      <x:c r="C84" t="n">
        <x:v>138</x:v>
      </x:c>
      <x:c r="D84" t="n">
        <x:v>139</x:v>
      </x:c>
      <x:c r="E84" t="n">
        <x:v>140</x:v>
      </x:c>
      <x:c r="F84" t="n">
        <x:v>141</x:v>
      </x:c>
      <x:c r="G84" t="n">
        <x:v>142</x:v>
      </x:c>
      <x:c r="H84" t="n">
        <x:v>143</x:v>
      </x:c>
      <x:c r="I84" t="n">
        <x:v>144</x:v>
      </x:c>
      <x:c r="J84" t="n">
        <x:v>145</x:v>
      </x:c>
      <x:c r="K84" t="n">
        <x:v>146</x:v>
      </x:c>
      <x:c r="L84" t="n">
        <x:v>147</x:v>
      </x:c>
      <x:c r="M84" t="n">
        <x:v>141</x:v>
      </x:c>
    </x:row>
    <x:row r="85">
      <x:c r="A85" t="n">
        <x:v>1935</x:v>
      </x:c>
      <x:c r="B85" t="n">
        <x:v>0</x:v>
      </x:c>
      <x:c r="C85" t="n">
        <x:v>148</x:v>
      </x:c>
      <x:c r="D85" t="n">
        <x:v>149</x:v>
      </x:c>
      <x:c r="E85" t="n">
        <x:v>150</x:v>
      </x:c>
      <x:c r="F85" t="n">
        <x:v>151</x:v>
      </x:c>
      <x:c r="G85" t="n">
        <x:v>152</x:v>
      </x:c>
      <x:c r="H85" t="n">
        <x:v>153</x:v>
      </x:c>
      <x:c r="I85" t="n">
        <x:v>154</x:v>
      </x:c>
      <x:c r="J85" t="n">
        <x:v>155</x:v>
      </x:c>
      <x:c r="K85" t="n">
        <x:v>156</x:v>
      </x:c>
      <x:c r="L85" t="n">
        <x:v>157</x:v>
      </x:c>
      <x:c r="M85" t="n">
        <x:v>151</x:v>
      </x:c>
    </x:row>
    <x:row r="86">
      <x:c r="A86" t="n">
        <x:v>1936</x:v>
      </x:c>
      <x:c r="B86" t="n">
        <x:v>0</x:v>
      </x:c>
      <x:c r="C86" t="n">
        <x:v>158</x:v>
      </x:c>
      <x:c r="D86" t="n">
        <x:v>159</x:v>
      </x:c>
      <x:c r="E86" t="n">
        <x:v>160</x:v>
      </x:c>
      <x:c r="F86" t="n">
        <x:v>161</x:v>
      </x:c>
      <x:c r="G86" t="n">
        <x:v>162</x:v>
      </x:c>
      <x:c r="H86" t="n">
        <x:v>163</x:v>
      </x:c>
      <x:c r="I86" t="n">
        <x:v>164</x:v>
      </x:c>
      <x:c r="J86" t="n">
        <x:v>165</x:v>
      </x:c>
      <x:c r="K86" t="n">
        <x:v>166</x:v>
      </x:c>
      <x:c r="L86" t="n">
        <x:v>167</x:v>
      </x:c>
      <x:c r="M86" t="n">
        <x:v>161</x:v>
      </x:c>
    </x:row>
    <x:row r="87">
      <x:c r="A87" t="n">
        <x:v>1937</x:v>
      </x:c>
      <x:c r="B87" t="n">
        <x:v>0</x:v>
      </x:c>
      <x:c r="C87" t="n">
        <x:v>168</x:v>
      </x:c>
      <x:c r="D87" t="n">
        <x:v>169</x:v>
      </x:c>
      <x:c r="E87" t="n">
        <x:v>170</x:v>
      </x:c>
      <x:c r="F87" t="n">
        <x:v>171</x:v>
      </x:c>
      <x:c r="G87" t="n">
        <x:v>172</x:v>
      </x:c>
      <x:c r="H87" t="n">
        <x:v>173</x:v>
      </x:c>
      <x:c r="I87" t="n">
        <x:v>174</x:v>
      </x:c>
      <x:c r="J87" t="n">
        <x:v>175</x:v>
      </x:c>
      <x:c r="K87" t="n">
        <x:v>176</x:v>
      </x:c>
      <x:c r="L87" t="n">
        <x:v>177</x:v>
      </x:c>
      <x:c r="M87" t="n">
        <x:v>171</x:v>
      </x:c>
    </x:row>
    <x:row r="88">
      <x:c r="A88" t="n">
        <x:v>1938</x:v>
      </x:c>
      <x:c r="B88" t="n">
        <x:v>0</x:v>
      </x:c>
      <x:c r="C88" t="n">
        <x:v>178</x:v>
      </x:c>
      <x:c r="D88" t="n">
        <x:v>179</x:v>
      </x:c>
      <x:c r="E88" t="n">
        <x:v>180</x:v>
      </x:c>
      <x:c r="F88" t="n">
        <x:v>181</x:v>
      </x:c>
      <x:c r="G88" t="n">
        <x:v>182</x:v>
      </x:c>
      <x:c r="H88" t="n">
        <x:v>183</x:v>
      </x:c>
      <x:c r="I88" t="n">
        <x:v>184</x:v>
      </x:c>
      <x:c r="J88" t="n">
        <x:v>185</x:v>
      </x:c>
      <x:c r="K88" t="n">
        <x:v>186</x:v>
      </x:c>
      <x:c r="L88" t="n">
        <x:v>187</x:v>
      </x:c>
      <x:c r="M88" t="n">
        <x:v>181</x:v>
      </x:c>
    </x:row>
    <x:row r="89">
      <x:c r="A89" t="n">
        <x:v>1939</x:v>
      </x:c>
      <x:c r="B89" t="n">
        <x:v>0</x:v>
      </x:c>
      <x:c r="C89" t="n">
        <x:v>188</x:v>
      </x:c>
      <x:c r="D89" t="n">
        <x:v>189</x:v>
      </x:c>
      <x:c r="E89" t="n">
        <x:v>190</x:v>
      </x:c>
      <x:c r="F89" t="n">
        <x:v>191</x:v>
      </x:c>
      <x:c r="G89" t="n">
        <x:v>192</x:v>
      </x:c>
      <x:c r="H89" t="n">
        <x:v>193</x:v>
      </x:c>
      <x:c r="I89" t="n">
        <x:v>194</x:v>
      </x:c>
      <x:c r="J89" t="n">
        <x:v>195</x:v>
      </x:c>
      <x:c r="K89" t="n">
        <x:v>196</x:v>
      </x:c>
      <x:c r="L89" t="n">
        <x:v>197</x:v>
      </x:c>
      <x:c r="M89" t="n">
        <x:v>191</x:v>
      </x:c>
    </x:row>
    <x:row r="90">
      <x:c r="A90" t="n">
        <x:v>1940</x:v>
      </x:c>
      <x:c r="B90" t="n">
        <x:v>0</x:v>
      </x:c>
      <x:c r="C90" t="n">
        <x:v>198</x:v>
      </x:c>
      <x:c r="D90" t="n">
        <x:v>199</x:v>
      </x:c>
      <x:c r="E90" t="n">
        <x:v>200</x:v>
      </x:c>
      <x:c r="F90" t="n">
        <x:v>201</x:v>
      </x:c>
      <x:c r="G90" t="n">
        <x:v>202</x:v>
      </x:c>
      <x:c r="H90" t="n">
        <x:v>203</x:v>
      </x:c>
      <x:c r="I90" t="n">
        <x:v>204</x:v>
      </x:c>
      <x:c r="J90" t="n">
        <x:v>205</x:v>
      </x:c>
      <x:c r="K90" t="n">
        <x:v>206</x:v>
      </x:c>
      <x:c r="L90" t="n">
        <x:v>207</x:v>
      </x:c>
      <x:c r="M90" t="n">
        <x:v>201</x:v>
      </x:c>
    </x:row>
    <x:row r="91">
      <x:c r="A91" t="n">
        <x:v>1941</x:v>
      </x:c>
      <x:c r="B91" t="n">
        <x:v>0</x:v>
      </x:c>
      <x:c r="C91" t="n">
        <x:v>208</x:v>
      </x:c>
      <x:c r="D91" t="n">
        <x:v>209</x:v>
      </x:c>
      <x:c r="E91" t="n">
        <x:v>0</x:v>
      </x:c>
      <x:c r="F91" t="n">
        <x:v>210</x:v>
      </x:c>
      <x:c r="G91" t="n">
        <x:v>211</x:v>
      </x:c>
      <x:c r="H91" t="n">
        <x:v>212</x:v>
      </x:c>
      <x:c r="I91" t="n">
        <x:v>213</x:v>
      </x:c>
      <x:c r="J91" t="n">
        <x:v>214</x:v>
      </x:c>
      <x:c r="K91" t="n">
        <x:v>215</x:v>
      </x:c>
      <x:c r="L91" t="n">
        <x:v>216</x:v>
      </x:c>
      <x:c r="M91" t="n">
        <x:v>210</x:v>
      </x:c>
    </x:row>
    <x:row r="92">
      <x:c r="A92" t="n">
        <x:v>1942</x:v>
      </x:c>
      <x:c r="B92" t="n">
        <x:v>0</x:v>
      </x:c>
      <x:c r="C92" t="n">
        <x:v>217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218</x:v>
      </x:c>
      <x:c r="K92" t="n">
        <x:v>219</x:v>
      </x:c>
      <x:c r="L92" t="n">
        <x:v>0</x:v>
      </x:c>
      <x:c r="M92" t="n">
        <x:v>0</x:v>
      </x:c>
    </x:row>
    <x:row r="93">
      <x:c r="A93" t="n">
        <x:v>1943</x:v>
      </x:c>
      <x:c r="B93" t="n">
        <x:v>0</x:v>
      </x:c>
      <x:c r="C93" t="n">
        <x:v>220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221</x:v>
      </x:c>
      <x:c r="K93" t="n">
        <x:v>222</x:v>
      </x:c>
      <x:c r="L93" t="n">
        <x:v>0</x:v>
      </x:c>
      <x:c r="M93" t="n">
        <x:v>0</x:v>
      </x:c>
    </x:row>
    <x:row r="94">
      <x:c r="A94" t="n">
        <x:v>1944</x:v>
      </x:c>
      <x:c r="B94" t="n">
        <x:v>0</x:v>
      </x:c>
      <x:c r="C94" t="n">
        <x:v>223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224</x:v>
      </x:c>
      <x:c r="K94" t="n">
        <x:v>225</x:v>
      </x:c>
      <x:c r="L94" t="n">
        <x:v>0</x:v>
      </x:c>
      <x:c r="M94" t="n">
        <x:v>0</x:v>
      </x:c>
    </x:row>
    <x:row r="95">
      <x:c r="A95" t="n">
        <x:v>1945</x:v>
      </x:c>
      <x:c r="B95" t="n">
        <x:v>0</x:v>
      </x:c>
      <x:c r="C95" t="n">
        <x:v>226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227</x:v>
      </x:c>
      <x:c r="K95" t="n">
        <x:v>228</x:v>
      </x:c>
      <x:c r="L95" t="n">
        <x:v>0</x:v>
      </x:c>
      <x:c r="M95" t="n">
        <x:v>0</x:v>
      </x:c>
    </x:row>
    <x:row r="96">
      <x:c r="A96" t="n">
        <x:v>1946</x:v>
      </x:c>
      <x:c r="B96" t="n">
        <x:v>0</x:v>
      </x:c>
      <x:c r="C96" t="n">
        <x:v>229</x:v>
      </x:c>
      <x:c r="D96" t="n">
        <x:v>230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231</x:v>
      </x:c>
      <x:c r="J96" t="n">
        <x:v>232</x:v>
      </x:c>
      <x:c r="K96" t="n">
        <x:v>233</x:v>
      </x:c>
      <x:c r="L96" t="n">
        <x:v>0</x:v>
      </x:c>
      <x:c r="M96" t="n">
        <x:v>0</x:v>
      </x:c>
    </x:row>
    <x:row r="97">
      <x:c r="A97" t="n">
        <x:v>1947</x:v>
      </x:c>
      <x:c r="B97" t="n">
        <x:v>0</x:v>
      </x:c>
      <x:c r="C97" t="n">
        <x:v>234</x:v>
      </x:c>
      <x:c r="D97" t="n">
        <x:v>235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236</x:v>
      </x:c>
      <x:c r="J97" t="n">
        <x:v>237</x:v>
      </x:c>
      <x:c r="K97" t="n">
        <x:v>238</x:v>
      </x:c>
      <x:c r="L97" t="n">
        <x:v>0</x:v>
      </x:c>
      <x:c r="M97" t="n">
        <x:v>0</x:v>
      </x:c>
    </x:row>
    <x:row r="98">
      <x:c r="A98" t="n">
        <x:v>1948</x:v>
      </x:c>
      <x:c r="B98" t="n">
        <x:v>0</x:v>
      </x:c>
      <x:c r="C98" t="n">
        <x:v>239</x:v>
      </x:c>
      <x:c r="D98" t="n">
        <x:v>240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241</x:v>
      </x:c>
      <x:c r="J98" t="n">
        <x:v>242</x:v>
      </x:c>
      <x:c r="K98" t="n">
        <x:v>243</x:v>
      </x:c>
      <x:c r="L98" t="n">
        <x:v>0</x:v>
      </x:c>
      <x:c r="M98" t="n">
        <x:v>0</x:v>
      </x:c>
    </x:row>
    <x:row r="99">
      <x:c r="A99" t="n">
        <x:v>1949</x:v>
      </x:c>
      <x:c r="B99" t="n">
        <x:v>0</x:v>
      </x:c>
      <x:c r="C99" t="n">
        <x:v>244</x:v>
      </x:c>
      <x:c r="D99" t="n">
        <x:v>245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246</x:v>
      </x:c>
      <x:c r="J99" t="n">
        <x:v>0</x:v>
      </x:c>
      <x:c r="K99" t="n">
        <x:v>247</x:v>
      </x:c>
      <x:c r="L99" t="n">
        <x:v>0</x:v>
      </x:c>
      <x:c r="M99" t="n">
        <x:v>0</x:v>
      </x:c>
    </x:row>
    <x:row r="100">
      <x:c r="A100" t="n">
        <x:v>1950</x:v>
      </x:c>
      <x:c r="B100" t="n">
        <x:v>0</x:v>
      </x:c>
      <x:c r="C100" t="n">
        <x:v>248</x:v>
      </x:c>
      <x:c r="D100" t="n">
        <x:v>249</x:v>
      </x:c>
      <x:c r="E100" t="n">
        <x:v>250</x:v>
      </x:c>
      <x:c r="F100" t="n">
        <x:v>251</x:v>
      </x:c>
      <x:c r="G100" t="n">
        <x:v>252</x:v>
      </x:c>
      <x:c r="H100" t="n">
        <x:v>253</x:v>
      </x:c>
      <x:c r="I100" t="n">
        <x:v>254</x:v>
      </x:c>
      <x:c r="J100" t="n">
        <x:v>255</x:v>
      </x:c>
      <x:c r="K100" t="n">
        <x:v>256</x:v>
      </x:c>
      <x:c r="L100" t="n">
        <x:v>0</x:v>
      </x:c>
      <x:c r="M100" t="n">
        <x:v>251</x:v>
      </x:c>
    </x:row>
    <x:row r="101">
      <x:c r="A101" t="n">
        <x:v>1951</x:v>
      </x:c>
      <x:c r="B101" t="n">
        <x:v>0</x:v>
      </x:c>
      <x:c r="C101" t="n">
        <x:v>257</x:v>
      </x:c>
      <x:c r="D101" t="n">
        <x:v>258</x:v>
      </x:c>
      <x:c r="E101" t="n">
        <x:v>259</x:v>
      </x:c>
      <x:c r="F101" t="n">
        <x:v>260</x:v>
      </x:c>
      <x:c r="G101" t="n">
        <x:v>261</x:v>
      </x:c>
      <x:c r="H101" t="n">
        <x:v>262</x:v>
      </x:c>
      <x:c r="I101" t="n">
        <x:v>263</x:v>
      </x:c>
      <x:c r="J101" t="n">
        <x:v>264</x:v>
      </x:c>
      <x:c r="K101" t="n">
        <x:v>265</x:v>
      </x:c>
      <x:c r="L101" t="n">
        <x:v>0</x:v>
      </x:c>
      <x:c r="M101" t="n">
        <x:v>260</x:v>
      </x:c>
    </x:row>
    <x:row r="102">
      <x:c r="A102" t="n">
        <x:v>1952</x:v>
      </x:c>
      <x:c r="B102" t="n">
        <x:v>0</x:v>
      </x:c>
      <x:c r="C102" t="n">
        <x:v>266</x:v>
      </x:c>
      <x:c r="D102" t="n">
        <x:v>267</x:v>
      </x:c>
      <x:c r="E102" t="n">
        <x:v>268</x:v>
      </x:c>
      <x:c r="F102" t="n">
        <x:v>269</x:v>
      </x:c>
      <x:c r="G102" t="n">
        <x:v>270</x:v>
      </x:c>
      <x:c r="H102" t="n">
        <x:v>271</x:v>
      </x:c>
      <x:c r="I102" t="n">
        <x:v>272</x:v>
      </x:c>
      <x:c r="J102" t="n">
        <x:v>273</x:v>
      </x:c>
      <x:c r="K102" t="n">
        <x:v>274</x:v>
      </x:c>
      <x:c r="L102" t="n">
        <x:v>275</x:v>
      </x:c>
      <x:c r="M102" t="n">
        <x:v>269</x:v>
      </x:c>
    </x:row>
    <x:row r="103">
      <x:c r="A103" t="n">
        <x:v>1953</x:v>
      </x:c>
      <x:c r="B103" t="n">
        <x:v>0</x:v>
      </x:c>
      <x:c r="C103" t="n">
        <x:v>276</x:v>
      </x:c>
      <x:c r="D103" t="n">
        <x:v>277</x:v>
      </x:c>
      <x:c r="E103" t="n">
        <x:v>278</x:v>
      </x:c>
      <x:c r="F103" t="n">
        <x:v>279</x:v>
      </x:c>
      <x:c r="G103" t="n">
        <x:v>280</x:v>
      </x:c>
      <x:c r="H103" t="n">
        <x:v>281</x:v>
      </x:c>
      <x:c r="I103" t="n">
        <x:v>282</x:v>
      </x:c>
      <x:c r="J103" t="n">
        <x:v>283</x:v>
      </x:c>
      <x:c r="K103" t="n">
        <x:v>284</x:v>
      </x:c>
      <x:c r="L103" t="n">
        <x:v>285</x:v>
      </x:c>
      <x:c r="M103" t="n">
        <x:v>279</x:v>
      </x:c>
    </x:row>
    <x:row r="104">
      <x:c r="A104" t="n">
        <x:v>1954</x:v>
      </x:c>
      <x:c r="B104" t="n">
        <x:v>0</x:v>
      </x:c>
      <x:c r="C104" t="n">
        <x:v>286</x:v>
      </x:c>
      <x:c r="D104" t="n">
        <x:v>287</x:v>
      </x:c>
      <x:c r="E104" t="n">
        <x:v>288</x:v>
      </x:c>
      <x:c r="F104" t="n">
        <x:v>289</x:v>
      </x:c>
      <x:c r="G104" t="n">
        <x:v>290</x:v>
      </x:c>
      <x:c r="H104" t="n">
        <x:v>291</x:v>
      </x:c>
      <x:c r="I104" t="n">
        <x:v>292</x:v>
      </x:c>
      <x:c r="J104" t="n">
        <x:v>293</x:v>
      </x:c>
      <x:c r="K104" t="n">
        <x:v>294</x:v>
      </x:c>
      <x:c r="L104" t="n">
        <x:v>295</x:v>
      </x:c>
      <x:c r="M104" t="n">
        <x:v>289</x:v>
      </x:c>
    </x:row>
    <x:row r="105">
      <x:c r="A105" t="n">
        <x:v>1955</x:v>
      </x:c>
      <x:c r="B105" t="n">
        <x:v>0</x:v>
      </x:c>
      <x:c r="C105" t="n">
        <x:v>296</x:v>
      </x:c>
      <x:c r="D105" t="n">
        <x:v>297</x:v>
      </x:c>
      <x:c r="E105" t="n">
        <x:v>298</x:v>
      </x:c>
      <x:c r="F105" t="n">
        <x:v>299</x:v>
      </x:c>
      <x:c r="G105" t="n">
        <x:v>300</x:v>
      </x:c>
      <x:c r="H105" t="n">
        <x:v>301</x:v>
      </x:c>
      <x:c r="I105" t="n">
        <x:v>302</x:v>
      </x:c>
      <x:c r="J105" t="n">
        <x:v>303</x:v>
      </x:c>
      <x:c r="K105" t="n">
        <x:v>304</x:v>
      </x:c>
      <x:c r="L105" t="n">
        <x:v>305</x:v>
      </x:c>
      <x:c r="M105" t="n">
        <x:v>299</x:v>
      </x:c>
    </x:row>
    <x:row r="106">
      <x:c r="A106" t="n">
        <x:v>1956</x:v>
      </x:c>
      <x:c r="B106" t="n">
        <x:v>0</x:v>
      </x:c>
      <x:c r="C106" t="n">
        <x:v>306</x:v>
      </x:c>
      <x:c r="D106" t="n">
        <x:v>307</x:v>
      </x:c>
      <x:c r="E106" t="n">
        <x:v>308</x:v>
      </x:c>
      <x:c r="F106" t="n">
        <x:v>309</x:v>
      </x:c>
      <x:c r="G106" t="n">
        <x:v>310</x:v>
      </x:c>
      <x:c r="H106" t="n">
        <x:v>311</x:v>
      </x:c>
      <x:c r="I106" t="n">
        <x:v>312</x:v>
      </x:c>
      <x:c r="J106" t="n">
        <x:v>313</x:v>
      </x:c>
      <x:c r="K106" t="n">
        <x:v>314</x:v>
      </x:c>
      <x:c r="L106" t="n">
        <x:v>315</x:v>
      </x:c>
      <x:c r="M106" t="n">
        <x:v>309</x:v>
      </x:c>
    </x:row>
    <x:row r="107">
      <x:c r="A107" t="n">
        <x:v>1957</x:v>
      </x:c>
      <x:c r="B107" t="n">
        <x:v>0</x:v>
      </x:c>
      <x:c r="C107" t="n">
        <x:v>316</x:v>
      </x:c>
      <x:c r="D107" t="n">
        <x:v>317</x:v>
      </x:c>
      <x:c r="E107" t="n">
        <x:v>318</x:v>
      </x:c>
      <x:c r="F107" t="n">
        <x:v>319</x:v>
      </x:c>
      <x:c r="G107" t="n">
        <x:v>320</x:v>
      </x:c>
      <x:c r="H107" t="n">
        <x:v>321</x:v>
      </x:c>
      <x:c r="I107" t="n">
        <x:v>322</x:v>
      </x:c>
      <x:c r="J107" t="n">
        <x:v>323</x:v>
      </x:c>
      <x:c r="K107" t="n">
        <x:v>324</x:v>
      </x:c>
      <x:c r="L107" t="n">
        <x:v>325</x:v>
      </x:c>
      <x:c r="M107" t="n">
        <x:v>319</x:v>
      </x:c>
    </x:row>
    <x:row r="108">
      <x:c r="A108" t="n">
        <x:v>1958</x:v>
      </x:c>
      <x:c r="B108" t="n">
        <x:v>0</x:v>
      </x:c>
      <x:c r="C108" t="n">
        <x:v>326</x:v>
      </x:c>
      <x:c r="D108" t="n">
        <x:v>327</x:v>
      </x:c>
      <x:c r="E108" t="n">
        <x:v>328</x:v>
      </x:c>
      <x:c r="F108" t="n">
        <x:v>329</x:v>
      </x:c>
      <x:c r="G108" t="n">
        <x:v>330</x:v>
      </x:c>
      <x:c r="H108" t="n">
        <x:v>331</x:v>
      </x:c>
      <x:c r="I108" t="n">
        <x:v>332</x:v>
      </x:c>
      <x:c r="J108" t="n">
        <x:v>333</x:v>
      </x:c>
      <x:c r="K108" t="n">
        <x:v>334</x:v>
      </x:c>
      <x:c r="L108" t="n">
        <x:v>335</x:v>
      </x:c>
      <x:c r="M108" t="n">
        <x:v>329</x:v>
      </x:c>
    </x:row>
    <x:row r="109">
      <x:c r="A109" t="n">
        <x:v>1959</x:v>
      </x:c>
      <x:c r="B109" t="n">
        <x:v>0</x:v>
      </x:c>
      <x:c r="C109" t="n">
        <x:v>336</x:v>
      </x:c>
      <x:c r="D109" t="n">
        <x:v>337</x:v>
      </x:c>
      <x:c r="E109" t="n">
        <x:v>338</x:v>
      </x:c>
      <x:c r="F109" t="n">
        <x:v>339</x:v>
      </x:c>
      <x:c r="G109" t="n">
        <x:v>340</x:v>
      </x:c>
      <x:c r="H109" t="n">
        <x:v>341</x:v>
      </x:c>
      <x:c r="I109" t="n">
        <x:v>342</x:v>
      </x:c>
      <x:c r="J109" t="n">
        <x:v>343</x:v>
      </x:c>
      <x:c r="K109" t="n">
        <x:v>344</x:v>
      </x:c>
      <x:c r="L109" t="n">
        <x:v>345</x:v>
      </x:c>
      <x:c r="M109" t="n">
        <x:v>339</x:v>
      </x:c>
    </x:row>
    <x:row r="110">
      <x:c r="A110" t="n">
        <x:v>1960</x:v>
      </x:c>
      <x:c r="B110" t="n">
        <x:v>0</x:v>
      </x:c>
      <x:c r="C110" t="n">
        <x:v>346</x:v>
      </x:c>
      <x:c r="D110" t="n">
        <x:v>347</x:v>
      </x:c>
      <x:c r="E110" t="n">
        <x:v>348</x:v>
      </x:c>
      <x:c r="F110" t="n">
        <x:v>349</x:v>
      </x:c>
      <x:c r="G110" t="n">
        <x:v>350</x:v>
      </x:c>
      <x:c r="H110" t="n">
        <x:v>351</x:v>
      </x:c>
      <x:c r="I110" t="n">
        <x:v>352</x:v>
      </x:c>
      <x:c r="J110" t="n">
        <x:v>353</x:v>
      </x:c>
      <x:c r="K110" t="n">
        <x:v>354</x:v>
      </x:c>
      <x:c r="L110" t="n">
        <x:v>355</x:v>
      </x:c>
      <x:c r="M110" t="n">
        <x:v>349</x:v>
      </x:c>
    </x:row>
    <x:row r="111">
      <x:c r="A111" t="n">
        <x:v>1961</x:v>
      </x:c>
      <x:c r="B111" t="n">
        <x:v>0</x:v>
      </x:c>
      <x:c r="C111" t="n">
        <x:v>356</x:v>
      </x:c>
      <x:c r="D111" t="n">
        <x:v>357</x:v>
      </x:c>
      <x:c r="E111" t="n">
        <x:v>358</x:v>
      </x:c>
      <x:c r="F111" t="n">
        <x:v>359</x:v>
      </x:c>
      <x:c r="G111" t="n">
        <x:v>360</x:v>
      </x:c>
      <x:c r="H111" t="n">
        <x:v>361</x:v>
      </x:c>
      <x:c r="I111" t="n">
        <x:v>362</x:v>
      </x:c>
      <x:c r="J111" t="n">
        <x:v>363</x:v>
      </x:c>
      <x:c r="K111" t="n">
        <x:v>364</x:v>
      </x:c>
      <x:c r="L111" t="n">
        <x:v>365</x:v>
      </x:c>
      <x:c r="M111" t="n">
        <x:v>359</x:v>
      </x:c>
    </x:row>
    <x:row r="112">
      <x:c r="A112" t="n">
        <x:v>1962</x:v>
      </x:c>
      <x:c r="B112" t="n">
        <x:v>0</x:v>
      </x:c>
      <x:c r="C112" t="n">
        <x:v>366</x:v>
      </x:c>
      <x:c r="D112" t="n">
        <x:v>367</x:v>
      </x:c>
      <x:c r="E112" t="n">
        <x:v>368</x:v>
      </x:c>
      <x:c r="F112" t="n">
        <x:v>369</x:v>
      </x:c>
      <x:c r="G112" t="n">
        <x:v>370</x:v>
      </x:c>
      <x:c r="H112" t="n">
        <x:v>371</x:v>
      </x:c>
      <x:c r="I112" t="n">
        <x:v>372</x:v>
      </x:c>
      <x:c r="J112" t="n">
        <x:v>373</x:v>
      </x:c>
      <x:c r="K112" t="n">
        <x:v>374</x:v>
      </x:c>
      <x:c r="L112" t="n">
        <x:v>375</x:v>
      </x:c>
      <x:c r="M112" t="n">
        <x:v>369</x:v>
      </x:c>
    </x:row>
    <x:row r="113">
      <x:c r="A113" t="n">
        <x:v>1963</x:v>
      </x:c>
      <x:c r="B113" t="n">
        <x:v>0</x:v>
      </x:c>
      <x:c r="C113" t="n">
        <x:v>376</x:v>
      </x:c>
      <x:c r="D113" t="n">
        <x:v>377</x:v>
      </x:c>
      <x:c r="E113" t="n">
        <x:v>378</x:v>
      </x:c>
      <x:c r="F113" t="n">
        <x:v>379</x:v>
      </x:c>
      <x:c r="G113" t="n">
        <x:v>380</x:v>
      </x:c>
      <x:c r="H113" t="n">
        <x:v>381</x:v>
      </x:c>
      <x:c r="I113" t="n">
        <x:v>382</x:v>
      </x:c>
      <x:c r="J113" t="n">
        <x:v>383</x:v>
      </x:c>
      <x:c r="K113" t="n">
        <x:v>384</x:v>
      </x:c>
      <x:c r="L113" t="n">
        <x:v>385</x:v>
      </x:c>
      <x:c r="M113" t="n">
        <x:v>379</x:v>
      </x:c>
    </x:row>
    <x:row r="114">
      <x:c r="A114" t="n">
        <x:v>1964</x:v>
      </x:c>
      <x:c r="B114" t="n">
        <x:v>0</x:v>
      </x:c>
      <x:c r="C114" t="n">
        <x:v>386</x:v>
      </x:c>
      <x:c r="D114" t="n">
        <x:v>387</x:v>
      </x:c>
      <x:c r="E114" t="n">
        <x:v>388</x:v>
      </x:c>
      <x:c r="F114" t="n">
        <x:v>389</x:v>
      </x:c>
      <x:c r="G114" t="n">
        <x:v>390</x:v>
      </x:c>
      <x:c r="H114" t="n">
        <x:v>391</x:v>
      </x:c>
      <x:c r="I114" t="n">
        <x:v>392</x:v>
      </x:c>
      <x:c r="J114" t="n">
        <x:v>393</x:v>
      </x:c>
      <x:c r="K114" t="n">
        <x:v>394</x:v>
      </x:c>
      <x:c r="L114" t="n">
        <x:v>395</x:v>
      </x:c>
      <x:c r="M114" t="n">
        <x:v>389</x:v>
      </x:c>
    </x:row>
    <x:row r="115">
      <x:c r="A115" t="n">
        <x:v>1965</x:v>
      </x:c>
      <x:c r="B115" t="n">
        <x:v>0</x:v>
      </x:c>
      <x:c r="C115" t="n">
        <x:v>396</x:v>
      </x:c>
      <x:c r="D115" t="n">
        <x:v>397</x:v>
      </x:c>
      <x:c r="E115" t="n">
        <x:v>398</x:v>
      </x:c>
      <x:c r="F115" t="n">
        <x:v>399</x:v>
      </x:c>
      <x:c r="G115" t="n">
        <x:v>400</x:v>
      </x:c>
      <x:c r="H115" t="n">
        <x:v>401</x:v>
      </x:c>
      <x:c r="I115" t="n">
        <x:v>402</x:v>
      </x:c>
      <x:c r="J115" t="n">
        <x:v>403</x:v>
      </x:c>
      <x:c r="K115" t="n">
        <x:v>404</x:v>
      </x:c>
      <x:c r="L115" t="n">
        <x:v>405</x:v>
      </x:c>
      <x:c r="M115" t="n">
        <x:v>399</x:v>
      </x:c>
    </x:row>
    <x:row r="116">
      <x:c r="A116" t="n">
        <x:v>1966</x:v>
      </x:c>
      <x:c r="B116" t="n">
        <x:v>0</x:v>
      </x:c>
      <x:c r="C116" t="n">
        <x:v>406</x:v>
      </x:c>
      <x:c r="D116" t="n">
        <x:v>407</x:v>
      </x:c>
      <x:c r="E116" t="n">
        <x:v>408</x:v>
      </x:c>
      <x:c r="F116" t="n">
        <x:v>409</x:v>
      </x:c>
      <x:c r="G116" t="n">
        <x:v>410</x:v>
      </x:c>
      <x:c r="H116" t="n">
        <x:v>411</x:v>
      </x:c>
      <x:c r="I116" t="n">
        <x:v>412</x:v>
      </x:c>
      <x:c r="J116" t="n">
        <x:v>413</x:v>
      </x:c>
      <x:c r="K116" t="n">
        <x:v>414</x:v>
      </x:c>
      <x:c r="L116" t="n">
        <x:v>415</x:v>
      </x:c>
      <x:c r="M116" t="n">
        <x:v>409</x:v>
      </x:c>
    </x:row>
    <x:row r="117">
      <x:c r="A117" t="n">
        <x:v>1967</x:v>
      </x:c>
      <x:c r="B117" t="n">
        <x:v>0</x:v>
      </x:c>
      <x:c r="C117" t="n">
        <x:v>416</x:v>
      </x:c>
      <x:c r="D117" t="n">
        <x:v>417</x:v>
      </x:c>
      <x:c r="E117" t="n">
        <x:v>418</x:v>
      </x:c>
      <x:c r="F117" t="n">
        <x:v>419</x:v>
      </x:c>
      <x:c r="G117" t="n">
        <x:v>420</x:v>
      </x:c>
      <x:c r="H117" t="n">
        <x:v>421</x:v>
      </x:c>
      <x:c r="I117" t="n">
        <x:v>422</x:v>
      </x:c>
      <x:c r="J117" t="n">
        <x:v>423</x:v>
      </x:c>
      <x:c r="K117" t="n">
        <x:v>424</x:v>
      </x:c>
      <x:c r="L117" t="n">
        <x:v>425</x:v>
      </x:c>
      <x:c r="M117" t="n">
        <x:v>419</x:v>
      </x:c>
    </x:row>
    <x:row r="118">
      <x:c r="A118" t="n">
        <x:v>1968</x:v>
      </x:c>
      <x:c r="B118" t="n">
        <x:v>0</x:v>
      </x:c>
      <x:c r="C118" t="n">
        <x:v>426</x:v>
      </x:c>
      <x:c r="D118" t="n">
        <x:v>427</x:v>
      </x:c>
      <x:c r="E118" t="n">
        <x:v>428</x:v>
      </x:c>
      <x:c r="F118" t="n">
        <x:v>429</x:v>
      </x:c>
      <x:c r="G118" t="n">
        <x:v>430</x:v>
      </x:c>
      <x:c r="H118" t="n">
        <x:v>431</x:v>
      </x:c>
      <x:c r="I118" t="n">
        <x:v>432</x:v>
      </x:c>
      <x:c r="J118" t="n">
        <x:v>433</x:v>
      </x:c>
      <x:c r="K118" t="n">
        <x:v>434</x:v>
      </x:c>
      <x:c r="L118" t="n">
        <x:v>435</x:v>
      </x:c>
      <x:c r="M118" t="n">
        <x:v>429</x:v>
      </x:c>
    </x:row>
    <x:row r="119">
      <x:c r="A119" t="n">
        <x:v>1969</x:v>
      </x:c>
      <x:c r="B119" t="n">
        <x:v>0</x:v>
      </x:c>
      <x:c r="C119" t="n">
        <x:v>436</x:v>
      </x:c>
      <x:c r="D119" t="n">
        <x:v>437</x:v>
      </x:c>
      <x:c r="E119" t="n">
        <x:v>438</x:v>
      </x:c>
      <x:c r="F119" t="n">
        <x:v>439</x:v>
      </x:c>
      <x:c r="G119" t="n">
        <x:v>440</x:v>
      </x:c>
      <x:c r="H119" t="n">
        <x:v>441</x:v>
      </x:c>
      <x:c r="I119" t="n">
        <x:v>442</x:v>
      </x:c>
      <x:c r="J119" t="n">
        <x:v>443</x:v>
      </x:c>
      <x:c r="K119" t="n">
        <x:v>444</x:v>
      </x:c>
      <x:c r="L119" t="n">
        <x:v>445</x:v>
      </x:c>
      <x:c r="M119" t="n">
        <x:v>439</x:v>
      </x:c>
    </x:row>
    <x:row r="120">
      <x:c r="A120" t="n">
        <x:v>1970</x:v>
      </x:c>
      <x:c r="B120" t="n">
        <x:v>0</x:v>
      </x:c>
      <x:c r="C120" t="n">
        <x:v>446</x:v>
      </x:c>
      <x:c r="D120" t="n">
        <x:v>447</x:v>
      </x:c>
      <x:c r="E120" t="n">
        <x:v>448</x:v>
      </x:c>
      <x:c r="F120" t="n">
        <x:v>449</x:v>
      </x:c>
      <x:c r="G120" t="n">
        <x:v>450</x:v>
      </x:c>
      <x:c r="H120" t="n">
        <x:v>451</x:v>
      </x:c>
      <x:c r="I120" t="n">
        <x:v>452</x:v>
      </x:c>
      <x:c r="J120" t="n">
        <x:v>453</x:v>
      </x:c>
      <x:c r="K120" t="n">
        <x:v>454</x:v>
      </x:c>
      <x:c r="L120" t="n">
        <x:v>455</x:v>
      </x:c>
      <x:c r="M120" t="n">
        <x:v>449</x:v>
      </x:c>
    </x:row>
    <x:row r="121">
      <x:c r="A121" t="n">
        <x:v>1971</x:v>
      </x:c>
      <x:c r="B121" t="n">
        <x:v>0</x:v>
      </x:c>
      <x:c r="C121" t="n">
        <x:v>456</x:v>
      </x:c>
      <x:c r="D121" t="n">
        <x:v>457</x:v>
      </x:c>
      <x:c r="E121" t="n">
        <x:v>458</x:v>
      </x:c>
      <x:c r="F121" t="n">
        <x:v>459</x:v>
      </x:c>
      <x:c r="G121" t="n">
        <x:v>460</x:v>
      </x:c>
      <x:c r="H121" t="n">
        <x:v>461</x:v>
      </x:c>
      <x:c r="I121" t="n">
        <x:v>462</x:v>
      </x:c>
      <x:c r="J121" t="n">
        <x:v>463</x:v>
      </x:c>
      <x:c r="K121" t="n">
        <x:v>464</x:v>
      </x:c>
      <x:c r="L121" t="n">
        <x:v>465</x:v>
      </x:c>
      <x:c r="M121" t="n">
        <x:v>459</x:v>
      </x:c>
    </x:row>
    <x:row r="122">
      <x:c r="A122" t="n">
        <x:v>1972</x:v>
      </x:c>
      <x:c r="B122" t="n">
        <x:v>0</x:v>
      </x:c>
      <x:c r="C122" t="n">
        <x:v>466</x:v>
      </x:c>
      <x:c r="D122" t="n">
        <x:v>467</x:v>
      </x:c>
      <x:c r="E122" t="n">
        <x:v>468</x:v>
      </x:c>
      <x:c r="F122" t="n">
        <x:v>469</x:v>
      </x:c>
      <x:c r="G122" t="n">
        <x:v>470</x:v>
      </x:c>
      <x:c r="H122" t="n">
        <x:v>471</x:v>
      </x:c>
      <x:c r="I122" t="n">
        <x:v>472</x:v>
      </x:c>
      <x:c r="J122" t="n">
        <x:v>473</x:v>
      </x:c>
      <x:c r="K122" t="n">
        <x:v>474</x:v>
      </x:c>
      <x:c r="L122" t="n">
        <x:v>475</x:v>
      </x:c>
      <x:c r="M122" t="n">
        <x:v>469</x:v>
      </x:c>
    </x:row>
    <x:row r="123">
      <x:c r="A123" t="n">
        <x:v>1973</x:v>
      </x:c>
      <x:c r="B123" t="n">
        <x:v>0</x:v>
      </x:c>
      <x:c r="C123" t="n">
        <x:v>476</x:v>
      </x:c>
      <x:c r="D123" t="n">
        <x:v>477</x:v>
      </x:c>
      <x:c r="E123" t="n">
        <x:v>478</x:v>
      </x:c>
      <x:c r="F123" t="n">
        <x:v>479</x:v>
      </x:c>
      <x:c r="G123" t="n">
        <x:v>480</x:v>
      </x:c>
      <x:c r="H123" t="n">
        <x:v>481</x:v>
      </x:c>
      <x:c r="I123" t="n">
        <x:v>482</x:v>
      </x:c>
      <x:c r="J123" t="n">
        <x:v>483</x:v>
      </x:c>
      <x:c r="K123" t="n">
        <x:v>484</x:v>
      </x:c>
      <x:c r="L123" t="n">
        <x:v>485</x:v>
      </x:c>
      <x:c r="M123" t="n">
        <x:v>479</x:v>
      </x:c>
    </x:row>
    <x:row r="124">
      <x:c r="A124" t="n">
        <x:v>1974</x:v>
      </x:c>
      <x:c r="B124" t="n">
        <x:v>0</x:v>
      </x:c>
      <x:c r="C124" t="n">
        <x:v>486</x:v>
      </x:c>
      <x:c r="D124" t="n">
        <x:v>487</x:v>
      </x:c>
      <x:c r="E124" t="n">
        <x:v>488</x:v>
      </x:c>
      <x:c r="F124" t="n">
        <x:v>489</x:v>
      </x:c>
      <x:c r="G124" t="n">
        <x:v>490</x:v>
      </x:c>
      <x:c r="H124" t="n">
        <x:v>491</x:v>
      </x:c>
      <x:c r="I124" t="n">
        <x:v>492</x:v>
      </x:c>
      <x:c r="J124" t="n">
        <x:v>493</x:v>
      </x:c>
      <x:c r="K124" t="n">
        <x:v>494</x:v>
      </x:c>
      <x:c r="L124" t="n">
        <x:v>495</x:v>
      </x:c>
      <x:c r="M124" t="n">
        <x:v>489</x:v>
      </x:c>
    </x:row>
    <x:row r="125">
      <x:c r="A125" t="n">
        <x:v>1975</x:v>
      </x:c>
      <x:c r="B125" t="n">
        <x:v>0</x:v>
      </x:c>
      <x:c r="C125" t="n">
        <x:v>496</x:v>
      </x:c>
      <x:c r="D125" t="n">
        <x:v>497</x:v>
      </x:c>
      <x:c r="E125" t="n">
        <x:v>498</x:v>
      </x:c>
      <x:c r="F125" t="n">
        <x:v>499</x:v>
      </x:c>
      <x:c r="G125" t="n">
        <x:v>500</x:v>
      </x:c>
      <x:c r="H125" t="n">
        <x:v>501</x:v>
      </x:c>
      <x:c r="I125" t="n">
        <x:v>502</x:v>
      </x:c>
      <x:c r="J125" t="n">
        <x:v>503</x:v>
      </x:c>
      <x:c r="K125" t="n">
        <x:v>504</x:v>
      </x:c>
      <x:c r="L125" t="n">
        <x:v>505</x:v>
      </x:c>
      <x:c r="M125" t="n">
        <x:v>499</x:v>
      </x:c>
    </x:row>
    <x:row r="126">
      <x:c r="A126" t="n">
        <x:v>1976</x:v>
      </x:c>
      <x:c r="B126" t="n">
        <x:v>0</x:v>
      </x:c>
      <x:c r="C126" t="n">
        <x:v>506</x:v>
      </x:c>
      <x:c r="D126" t="n">
        <x:v>507</x:v>
      </x:c>
      <x:c r="E126" t="n">
        <x:v>508</x:v>
      </x:c>
      <x:c r="F126" t="n">
        <x:v>509</x:v>
      </x:c>
      <x:c r="G126" t="n">
        <x:v>510</x:v>
      </x:c>
      <x:c r="H126" t="n">
        <x:v>511</x:v>
      </x:c>
      <x:c r="I126" t="n">
        <x:v>512</x:v>
      </x:c>
      <x:c r="J126" t="n">
        <x:v>513</x:v>
      </x:c>
      <x:c r="K126" t="n">
        <x:v>514</x:v>
      </x:c>
      <x:c r="L126" t="n">
        <x:v>515</x:v>
      </x:c>
      <x:c r="M126" t="n">
        <x:v>509</x:v>
      </x:c>
    </x:row>
    <x:row r="127">
      <x:c r="A127" t="n">
        <x:v>1977</x:v>
      </x:c>
      <x:c r="B127" t="n">
        <x:v>0</x:v>
      </x:c>
      <x:c r="C127" t="n">
        <x:v>516</x:v>
      </x:c>
      <x:c r="D127" t="n">
        <x:v>517</x:v>
      </x:c>
      <x:c r="E127" t="n">
        <x:v>518</x:v>
      </x:c>
      <x:c r="F127" t="n">
        <x:v>519</x:v>
      </x:c>
      <x:c r="G127" t="n">
        <x:v>520</x:v>
      </x:c>
      <x:c r="H127" t="n">
        <x:v>521</x:v>
      </x:c>
      <x:c r="I127" t="n">
        <x:v>522</x:v>
      </x:c>
      <x:c r="J127" t="n">
        <x:v>523</x:v>
      </x:c>
      <x:c r="K127" t="n">
        <x:v>524</x:v>
      </x:c>
      <x:c r="L127" t="n">
        <x:v>525</x:v>
      </x:c>
      <x:c r="M127" t="n">
        <x:v>519</x:v>
      </x:c>
    </x:row>
    <x:row r="128">
      <x:c r="A128" t="n">
        <x:v>1978</x:v>
      </x:c>
      <x:c r="B128" t="n">
        <x:v>0</x:v>
      </x:c>
      <x:c r="C128" t="n">
        <x:v>526</x:v>
      </x:c>
      <x:c r="D128" t="n">
        <x:v>527</x:v>
      </x:c>
      <x:c r="E128" t="n">
        <x:v>528</x:v>
      </x:c>
      <x:c r="F128" t="n">
        <x:v>529</x:v>
      </x:c>
      <x:c r="G128" t="n">
        <x:v>530</x:v>
      </x:c>
      <x:c r="H128" t="n">
        <x:v>531</x:v>
      </x:c>
      <x:c r="I128" t="n">
        <x:v>532</x:v>
      </x:c>
      <x:c r="J128" t="n">
        <x:v>533</x:v>
      </x:c>
      <x:c r="K128" t="n">
        <x:v>534</x:v>
      </x:c>
      <x:c r="L128" t="n">
        <x:v>535</x:v>
      </x:c>
      <x:c r="M128" t="n">
        <x:v>529</x:v>
      </x:c>
    </x:row>
    <x:row r="129">
      <x:c r="A129" t="n">
        <x:v>1979</x:v>
      </x:c>
      <x:c r="B129" t="n">
        <x:v>0</x:v>
      </x:c>
      <x:c r="C129" t="n">
        <x:v>536</x:v>
      </x:c>
      <x:c r="D129" t="n">
        <x:v>537</x:v>
      </x:c>
      <x:c r="E129" t="n">
        <x:v>538</x:v>
      </x:c>
      <x:c r="F129" t="n">
        <x:v>539</x:v>
      </x:c>
      <x:c r="G129" t="n">
        <x:v>540</x:v>
      </x:c>
      <x:c r="H129" t="n">
        <x:v>541</x:v>
      </x:c>
      <x:c r="I129" t="n">
        <x:v>542</x:v>
      </x:c>
      <x:c r="J129" t="n">
        <x:v>543</x:v>
      </x:c>
      <x:c r="K129" t="n">
        <x:v>544</x:v>
      </x:c>
      <x:c r="L129" t="n">
        <x:v>545</x:v>
      </x:c>
      <x:c r="M129" t="n">
        <x:v>539</x:v>
      </x:c>
    </x:row>
    <x:row r="130">
      <x:c r="A130" t="n">
        <x:v>1980</x:v>
      </x:c>
      <x:c r="B130" t="n">
        <x:v>0</x:v>
      </x:c>
      <x:c r="C130" t="n">
        <x:v>546</x:v>
      </x:c>
      <x:c r="D130" t="n">
        <x:v>547</x:v>
      </x:c>
      <x:c r="E130" t="n">
        <x:v>548</x:v>
      </x:c>
      <x:c r="F130" t="n">
        <x:v>549</x:v>
      </x:c>
      <x:c r="G130" t="n">
        <x:v>550</x:v>
      </x:c>
      <x:c r="H130" t="n">
        <x:v>551</x:v>
      </x:c>
      <x:c r="I130" t="n">
        <x:v>552</x:v>
      </x:c>
      <x:c r="J130" t="n">
        <x:v>553</x:v>
      </x:c>
      <x:c r="K130" t="n">
        <x:v>554</x:v>
      </x:c>
      <x:c r="L130" t="n">
        <x:v>555</x:v>
      </x:c>
      <x:c r="M130" t="n">
        <x:v>549</x:v>
      </x:c>
    </x:row>
    <x:row r="131">
      <x:c r="A131" t="n">
        <x:v>1981</x:v>
      </x:c>
      <x:c r="B131" t="n">
        <x:v>0</x:v>
      </x:c>
      <x:c r="C131" t="n">
        <x:v>556</x:v>
      </x:c>
      <x:c r="D131" t="n">
        <x:v>557</x:v>
      </x:c>
      <x:c r="E131" t="n">
        <x:v>558</x:v>
      </x:c>
      <x:c r="F131" t="n">
        <x:v>559</x:v>
      </x:c>
      <x:c r="G131" t="n">
        <x:v>560</x:v>
      </x:c>
      <x:c r="H131" t="n">
        <x:v>561</x:v>
      </x:c>
      <x:c r="I131" t="n">
        <x:v>562</x:v>
      </x:c>
      <x:c r="J131" t="n">
        <x:v>563</x:v>
      </x:c>
      <x:c r="K131" t="n">
        <x:v>564</x:v>
      </x:c>
      <x:c r="L131" t="n">
        <x:v>565</x:v>
      </x:c>
      <x:c r="M131" t="n">
        <x:v>559</x:v>
      </x:c>
    </x:row>
    <x:row r="132">
      <x:c r="A132" t="n">
        <x:v>1982</x:v>
      </x:c>
      <x:c r="B132" t="n">
        <x:v>0</x:v>
      </x:c>
      <x:c r="C132" t="n">
        <x:v>566</x:v>
      </x:c>
      <x:c r="D132" t="n">
        <x:v>567</x:v>
      </x:c>
      <x:c r="E132" t="n">
        <x:v>568</x:v>
      </x:c>
      <x:c r="F132" t="n">
        <x:v>569</x:v>
      </x:c>
      <x:c r="G132" t="n">
        <x:v>570</x:v>
      </x:c>
      <x:c r="H132" t="n">
        <x:v>571</x:v>
      </x:c>
      <x:c r="I132" t="n">
        <x:v>572</x:v>
      </x:c>
      <x:c r="J132" t="n">
        <x:v>573</x:v>
      </x:c>
      <x:c r="K132" t="n">
        <x:v>574</x:v>
      </x:c>
      <x:c r="L132" t="n">
        <x:v>575</x:v>
      </x:c>
      <x:c r="M132" t="n">
        <x:v>569</x:v>
      </x:c>
    </x:row>
    <x:row r="133">
      <x:c r="A133" t="n">
        <x:v>1983</x:v>
      </x:c>
      <x:c r="B133" t="n">
        <x:v>0</x:v>
      </x:c>
      <x:c r="C133" t="n">
        <x:v>576</x:v>
      </x:c>
      <x:c r="D133" t="n">
        <x:v>577</x:v>
      </x:c>
      <x:c r="E133" t="n">
        <x:v>578</x:v>
      </x:c>
      <x:c r="F133" t="n">
        <x:v>579</x:v>
      </x:c>
      <x:c r="G133" t="n">
        <x:v>580</x:v>
      </x:c>
      <x:c r="H133" t="n">
        <x:v>581</x:v>
      </x:c>
      <x:c r="I133" t="n">
        <x:v>582</x:v>
      </x:c>
      <x:c r="J133" t="n">
        <x:v>583</x:v>
      </x:c>
      <x:c r="K133" t="n">
        <x:v>584</x:v>
      </x:c>
      <x:c r="L133" t="n">
        <x:v>585</x:v>
      </x:c>
      <x:c r="M133" t="n">
        <x:v>579</x:v>
      </x:c>
    </x:row>
    <x:row r="134">
      <x:c r="A134" t="n">
        <x:v>1984</x:v>
      </x:c>
      <x:c r="B134" t="n">
        <x:v>0</x:v>
      </x:c>
      <x:c r="C134" t="n">
        <x:v>586</x:v>
      </x:c>
      <x:c r="D134" t="n">
        <x:v>587</x:v>
      </x:c>
      <x:c r="E134" t="n">
        <x:v>588</x:v>
      </x:c>
      <x:c r="F134" t="n">
        <x:v>589</x:v>
      </x:c>
      <x:c r="G134" t="n">
        <x:v>590</x:v>
      </x:c>
      <x:c r="H134" t="n">
        <x:v>591</x:v>
      </x:c>
      <x:c r="I134" t="n">
        <x:v>592</x:v>
      </x:c>
      <x:c r="J134" t="n">
        <x:v>593</x:v>
      </x:c>
      <x:c r="K134" t="n">
        <x:v>594</x:v>
      </x:c>
      <x:c r="L134" t="n">
        <x:v>595</x:v>
      </x:c>
      <x:c r="M134" t="n">
        <x:v>589</x:v>
      </x:c>
    </x:row>
    <x:row r="135">
      <x:c r="A135" t="n">
        <x:v>1985</x:v>
      </x:c>
      <x:c r="B135" t="n">
        <x:v>0</x:v>
      </x:c>
      <x:c r="C135" t="n">
        <x:v>596</x:v>
      </x:c>
      <x:c r="D135" t="n">
        <x:v>597</x:v>
      </x:c>
      <x:c r="E135" t="n">
        <x:v>598</x:v>
      </x:c>
      <x:c r="F135" t="n">
        <x:v>599</x:v>
      </x:c>
      <x:c r="G135" t="n">
        <x:v>600</x:v>
      </x:c>
      <x:c r="H135" t="n">
        <x:v>601</x:v>
      </x:c>
      <x:c r="I135" t="n">
        <x:v>602</x:v>
      </x:c>
      <x:c r="J135" t="n">
        <x:v>603</x:v>
      </x:c>
      <x:c r="K135" t="n">
        <x:v>604</x:v>
      </x:c>
      <x:c r="L135" t="n">
        <x:v>605</x:v>
      </x:c>
      <x:c r="M135" t="n">
        <x:v>599</x:v>
      </x:c>
    </x:row>
    <x:row r="136">
      <x:c r="A136" t="n">
        <x:v>1986</x:v>
      </x:c>
      <x:c r="B136" t="n">
        <x:v>0</x:v>
      </x:c>
      <x:c r="C136" t="n">
        <x:v>606</x:v>
      </x:c>
      <x:c r="D136" t="n">
        <x:v>607</x:v>
      </x:c>
      <x:c r="E136" t="n">
        <x:v>608</x:v>
      </x:c>
      <x:c r="F136" t="n">
        <x:v>609</x:v>
      </x:c>
      <x:c r="G136" t="n">
        <x:v>610</x:v>
      </x:c>
      <x:c r="H136" t="n">
        <x:v>611</x:v>
      </x:c>
      <x:c r="I136" t="n">
        <x:v>612</x:v>
      </x:c>
      <x:c r="J136" t="n">
        <x:v>613</x:v>
      </x:c>
      <x:c r="K136" t="n">
        <x:v>614</x:v>
      </x:c>
      <x:c r="L136" t="n">
        <x:v>615</x:v>
      </x:c>
      <x:c r="M136" t="n">
        <x:v>609</x:v>
      </x:c>
    </x:row>
    <x:row r="137">
      <x:c r="A137" t="n">
        <x:v>1987</x:v>
      </x:c>
      <x:c r="B137" t="n">
        <x:v>0</x:v>
      </x:c>
      <x:c r="C137" t="n">
        <x:v>616</x:v>
      </x:c>
      <x:c r="D137" t="n">
        <x:v>617</x:v>
      </x:c>
      <x:c r="E137" t="n">
        <x:v>618</x:v>
      </x:c>
      <x:c r="F137" t="n">
        <x:v>619</x:v>
      </x:c>
      <x:c r="G137" t="n">
        <x:v>620</x:v>
      </x:c>
      <x:c r="H137" t="n">
        <x:v>621</x:v>
      </x:c>
      <x:c r="I137" t="n">
        <x:v>622</x:v>
      </x:c>
      <x:c r="J137" t="n">
        <x:v>623</x:v>
      </x:c>
      <x:c r="K137" t="n">
        <x:v>624</x:v>
      </x:c>
      <x:c r="L137" t="n">
        <x:v>625</x:v>
      </x:c>
      <x:c r="M137" t="n">
        <x:v>619</x:v>
      </x:c>
    </x:row>
    <x:row r="138">
      <x:c r="A138" t="n">
        <x:v>1988</x:v>
      </x:c>
      <x:c r="B138" t="n">
        <x:v>0</x:v>
      </x:c>
      <x:c r="C138" t="n">
        <x:v>626</x:v>
      </x:c>
      <x:c r="D138" t="n">
        <x:v>627</x:v>
      </x:c>
      <x:c r="E138" t="n">
        <x:v>628</x:v>
      </x:c>
      <x:c r="F138" t="n">
        <x:v>629</x:v>
      </x:c>
      <x:c r="G138" t="n">
        <x:v>630</x:v>
      </x:c>
      <x:c r="H138" t="n">
        <x:v>631</x:v>
      </x:c>
      <x:c r="I138" t="n">
        <x:v>632</x:v>
      </x:c>
      <x:c r="J138" t="n">
        <x:v>633</x:v>
      </x:c>
      <x:c r="K138" t="n">
        <x:v>634</x:v>
      </x:c>
      <x:c r="L138" t="n">
        <x:v>635</x:v>
      </x:c>
      <x:c r="M138" t="n">
        <x:v>629</x:v>
      </x:c>
    </x:row>
    <x:row r="139">
      <x:c r="A139" t="n">
        <x:v>1989</x:v>
      </x:c>
      <x:c r="B139" t="n">
        <x:v>0</x:v>
      </x:c>
      <x:c r="C139" t="n">
        <x:v>636</x:v>
      </x:c>
      <x:c r="D139" t="n">
        <x:v>637</x:v>
      </x:c>
      <x:c r="E139" t="n">
        <x:v>638</x:v>
      </x:c>
      <x:c r="F139" t="n">
        <x:v>639</x:v>
      </x:c>
      <x:c r="G139" t="n">
        <x:v>640</x:v>
      </x:c>
      <x:c r="H139" t="n">
        <x:v>641</x:v>
      </x:c>
      <x:c r="I139" t="n">
        <x:v>642</x:v>
      </x:c>
      <x:c r="J139" t="n">
        <x:v>643</x:v>
      </x:c>
      <x:c r="K139" t="n">
        <x:v>644</x:v>
      </x:c>
      <x:c r="L139" t="n">
        <x:v>645</x:v>
      </x:c>
      <x:c r="M139" t="n">
        <x:v>639</x:v>
      </x:c>
    </x:row>
    <x:row r="140">
      <x:c r="A140" t="n">
        <x:v>1990</x:v>
      </x:c>
      <x:c r="B140" t="n">
        <x:v>0</x:v>
      </x:c>
      <x:c r="C140" t="n">
        <x:v>646</x:v>
      </x:c>
      <x:c r="D140" t="n">
        <x:v>647</x:v>
      </x:c>
      <x:c r="E140" t="n">
        <x:v>648</x:v>
      </x:c>
      <x:c r="F140" t="n">
        <x:v>649</x:v>
      </x:c>
      <x:c r="G140" t="n">
        <x:v>650</x:v>
      </x:c>
      <x:c r="H140" t="n">
        <x:v>651</x:v>
      </x:c>
      <x:c r="I140" t="n">
        <x:v>652</x:v>
      </x:c>
      <x:c r="J140" t="n">
        <x:v>653</x:v>
      </x:c>
      <x:c r="K140" t="n">
        <x:v>654</x:v>
      </x:c>
      <x:c r="L140" t="n">
        <x:v>655</x:v>
      </x:c>
      <x:c r="M140" t="n">
        <x:v>649</x:v>
      </x:c>
    </x:row>
    <x:row r="141">
      <x:c r="A141" t="n">
        <x:v>1991</x:v>
      </x:c>
      <x:c r="B141" t="n">
        <x:v>0</x:v>
      </x:c>
      <x:c r="C141" t="n">
        <x:v>656</x:v>
      </x:c>
      <x:c r="D141" t="n">
        <x:v>657</x:v>
      </x:c>
      <x:c r="E141" t="n">
        <x:v>658</x:v>
      </x:c>
      <x:c r="F141" t="n">
        <x:v>659</x:v>
      </x:c>
      <x:c r="G141" t="n">
        <x:v>660</x:v>
      </x:c>
      <x:c r="H141" t="n">
        <x:v>661</x:v>
      </x:c>
      <x:c r="I141" t="n">
        <x:v>662</x:v>
      </x:c>
      <x:c r="J141" t="n">
        <x:v>663</x:v>
      </x:c>
      <x:c r="K141" t="n">
        <x:v>664</x:v>
      </x:c>
      <x:c r="L141" t="n">
        <x:v>665</x:v>
      </x:c>
      <x:c r="M141" t="n">
        <x:v>659</x:v>
      </x:c>
    </x:row>
    <x:row r="142">
      <x:c r="A142" t="n">
        <x:v>1992</x:v>
      </x:c>
      <x:c r="B142" t="n">
        <x:v>0</x:v>
      </x:c>
      <x:c r="C142" t="n">
        <x:v>666</x:v>
      </x:c>
      <x:c r="D142" t="n">
        <x:v>667</x:v>
      </x:c>
      <x:c r="E142" t="n">
        <x:v>668</x:v>
      </x:c>
      <x:c r="F142" t="n">
        <x:v>669</x:v>
      </x:c>
      <x:c r="G142" t="n">
        <x:v>670</x:v>
      </x:c>
      <x:c r="H142" t="n">
        <x:v>671</x:v>
      </x:c>
      <x:c r="I142" t="n">
        <x:v>672</x:v>
      </x:c>
      <x:c r="J142" t="n">
        <x:v>673</x:v>
      </x:c>
      <x:c r="K142" t="n">
        <x:v>674</x:v>
      </x:c>
      <x:c r="L142" t="n">
        <x:v>675</x:v>
      </x:c>
      <x:c r="M142" t="n">
        <x:v>669</x:v>
      </x:c>
    </x:row>
    <x:row r="143">
      <x:c r="A143" t="n">
        <x:v>1993</x:v>
      </x:c>
      <x:c r="B143" t="n">
        <x:v>0</x:v>
      </x:c>
      <x:c r="C143" t="n">
        <x:v>676</x:v>
      </x:c>
      <x:c r="D143" t="n">
        <x:v>677</x:v>
      </x:c>
      <x:c r="E143" t="n">
        <x:v>678</x:v>
      </x:c>
      <x:c r="F143" t="n">
        <x:v>679</x:v>
      </x:c>
      <x:c r="G143" t="n">
        <x:v>680</x:v>
      </x:c>
      <x:c r="H143" t="n">
        <x:v>681</x:v>
      </x:c>
      <x:c r="I143" t="n">
        <x:v>682</x:v>
      </x:c>
      <x:c r="J143" t="n">
        <x:v>683</x:v>
      </x:c>
      <x:c r="K143" t="n">
        <x:v>684</x:v>
      </x:c>
      <x:c r="L143" t="n">
        <x:v>685</x:v>
      </x:c>
      <x:c r="M143" t="n">
        <x:v>679</x:v>
      </x:c>
    </x:row>
    <x:row r="144">
      <x:c r="A144" t="n">
        <x:v>1994</x:v>
      </x:c>
      <x:c r="B144" t="n">
        <x:v>0</x:v>
      </x:c>
      <x:c r="C144" t="n">
        <x:v>686</x:v>
      </x:c>
      <x:c r="D144" t="n">
        <x:v>687</x:v>
      </x:c>
      <x:c r="E144" t="n">
        <x:v>688</x:v>
      </x:c>
      <x:c r="F144" t="n">
        <x:v>689</x:v>
      </x:c>
      <x:c r="G144" t="n">
        <x:v>690</x:v>
      </x:c>
      <x:c r="H144" t="n">
        <x:v>691</x:v>
      </x:c>
      <x:c r="I144" t="n">
        <x:v>692</x:v>
      </x:c>
      <x:c r="J144" t="n">
        <x:v>693</x:v>
      </x:c>
      <x:c r="K144" t="n">
        <x:v>694</x:v>
      </x:c>
      <x:c r="L144" t="n">
        <x:v>695</x:v>
      </x:c>
      <x:c r="M144" t="n">
        <x:v>689</x:v>
      </x:c>
    </x:row>
    <x:row r="145">
      <x:c r="A145" t="n">
        <x:v>1995</x:v>
      </x:c>
      <x:c r="B145" t="n">
        <x:v>0</x:v>
      </x:c>
      <x:c r="C145" t="n">
        <x:v>696</x:v>
      </x:c>
      <x:c r="D145" t="n">
        <x:v>697</x:v>
      </x:c>
      <x:c r="E145" t="n">
        <x:v>698</x:v>
      </x:c>
      <x:c r="F145" t="n">
        <x:v>699</x:v>
      </x:c>
      <x:c r="G145" t="n">
        <x:v>700</x:v>
      </x:c>
      <x:c r="H145" t="n">
        <x:v>701</x:v>
      </x:c>
      <x:c r="I145" t="n">
        <x:v>702</x:v>
      </x:c>
      <x:c r="J145" t="n">
        <x:v>703</x:v>
      </x:c>
      <x:c r="K145" t="n">
        <x:v>704</x:v>
      </x:c>
      <x:c r="L145" t="n">
        <x:v>705</x:v>
      </x:c>
      <x:c r="M145" t="n">
        <x:v>699</x:v>
      </x:c>
    </x:row>
    <x:row r="146">
      <x:c r="A146" t="n">
        <x:v>1996</x:v>
      </x:c>
      <x:c r="B146" t="n">
        <x:v>0</x:v>
      </x:c>
      <x:c r="C146" t="n">
        <x:v>706</x:v>
      </x:c>
      <x:c r="D146" t="n">
        <x:v>707</x:v>
      </x:c>
      <x:c r="E146" t="n">
        <x:v>708</x:v>
      </x:c>
      <x:c r="F146" t="n">
        <x:v>709</x:v>
      </x:c>
      <x:c r="G146" t="n">
        <x:v>710</x:v>
      </x:c>
      <x:c r="H146" t="n">
        <x:v>711</x:v>
      </x:c>
      <x:c r="I146" t="n">
        <x:v>712</x:v>
      </x:c>
      <x:c r="J146" t="n">
        <x:v>713</x:v>
      </x:c>
      <x:c r="K146" t="n">
        <x:v>714</x:v>
      </x:c>
      <x:c r="L146" t="n">
        <x:v>715</x:v>
      </x:c>
      <x:c r="M146" t="n">
        <x:v>709</x:v>
      </x:c>
    </x:row>
    <x:row r="147">
      <x:c r="A147" t="n">
        <x:v>1997</x:v>
      </x:c>
      <x:c r="B147" t="n">
        <x:v>0</x:v>
      </x:c>
      <x:c r="C147" t="n">
        <x:v>716</x:v>
      </x:c>
      <x:c r="D147" t="n">
        <x:v>717</x:v>
      </x:c>
      <x:c r="E147" t="n">
        <x:v>718</x:v>
      </x:c>
      <x:c r="F147" t="n">
        <x:v>719</x:v>
      </x:c>
      <x:c r="G147" t="n">
        <x:v>720</x:v>
      </x:c>
      <x:c r="H147" t="n">
        <x:v>721</x:v>
      </x:c>
      <x:c r="I147" t="n">
        <x:v>722</x:v>
      </x:c>
      <x:c r="J147" t="n">
        <x:v>723</x:v>
      </x:c>
      <x:c r="K147" t="n">
        <x:v>724</x:v>
      </x:c>
      <x:c r="L147" t="n">
        <x:v>725</x:v>
      </x:c>
      <x:c r="M147" t="n">
        <x:v>719</x:v>
      </x:c>
    </x:row>
    <x:row r="148">
      <x:c r="A148" t="n">
        <x:v>1998</x:v>
      </x:c>
      <x:c r="B148" t="n">
        <x:v>0</x:v>
      </x:c>
      <x:c r="C148" t="n">
        <x:v>726</x:v>
      </x:c>
      <x:c r="D148" t="n">
        <x:v>727</x:v>
      </x:c>
      <x:c r="E148" t="n">
        <x:v>728</x:v>
      </x:c>
      <x:c r="F148" t="n">
        <x:v>729</x:v>
      </x:c>
      <x:c r="G148" t="n">
        <x:v>730</x:v>
      </x:c>
      <x:c r="H148" t="n">
        <x:v>731</x:v>
      </x:c>
      <x:c r="I148" t="n">
        <x:v>732</x:v>
      </x:c>
      <x:c r="J148" t="n">
        <x:v>733</x:v>
      </x:c>
      <x:c r="K148" t="n">
        <x:v>734</x:v>
      </x:c>
      <x:c r="L148" t="n">
        <x:v>735</x:v>
      </x:c>
      <x:c r="M148" t="n">
        <x:v>729</x:v>
      </x:c>
    </x:row>
    <x:row r="149">
      <x:c r="A149" t="n">
        <x:v>1999</x:v>
      </x:c>
      <x:c r="B149" t="n">
        <x:v>0</x:v>
      </x:c>
      <x:c r="C149" t="n">
        <x:v>736</x:v>
      </x:c>
      <x:c r="D149" t="n">
        <x:v>737</x:v>
      </x:c>
      <x:c r="E149" t="n">
        <x:v>743</x:v>
      </x:c>
      <x:c r="F149" t="n">
        <x:v>743</x:v>
      </x:c>
      <x:c r="G149" t="n">
        <x:v>743</x:v>
      </x:c>
      <x:c r="H149" t="n">
        <x:v>738</x:v>
      </x:c>
      <x:c r="I149" t="n">
        <x:v>739</x:v>
      </x:c>
      <x:c r="J149" t="n">
        <x:v>740</x:v>
      </x:c>
      <x:c r="K149" t="n">
        <x:v>741</x:v>
      </x:c>
      <x:c r="L149" t="n">
        <x:v>742</x:v>
      </x:c>
      <x:c r="M149" t="n">
        <x:v>743</x:v>
      </x:c>
    </x:row>
    <x:row r="150">
      <x:c r="A150" t="n">
        <x:v>2000</x:v>
      </x:c>
      <x:c r="B150" t="n">
        <x:v>0</x:v>
      </x:c>
      <x:c r="C150" t="n">
        <x:v>744</x:v>
      </x:c>
      <x:c r="D150" t="n">
        <x:v>745</x:v>
      </x:c>
      <x:c r="E150" t="n">
        <x:v>751</x:v>
      </x:c>
      <x:c r="F150" t="n">
        <x:v>751</x:v>
      </x:c>
      <x:c r="G150" t="n">
        <x:v>751</x:v>
      </x:c>
      <x:c r="H150" t="n">
        <x:v>746</x:v>
      </x:c>
      <x:c r="I150" t="n">
        <x:v>747</x:v>
      </x:c>
      <x:c r="J150" t="n">
        <x:v>748</x:v>
      </x:c>
      <x:c r="K150" t="n">
        <x:v>749</x:v>
      </x:c>
      <x:c r="L150" t="n">
        <x:v>750</x:v>
      </x:c>
      <x:c r="M150" t="n">
        <x:v>751</x:v>
      </x:c>
    </x:row>
    <x:row r="151">
      <x:c r="A151" t="n">
        <x:v>2001</x:v>
      </x:c>
      <x:c r="B151" t="n">
        <x:v>0</x:v>
      </x:c>
      <x:c r="C151" t="n">
        <x:v>752</x:v>
      </x:c>
      <x:c r="D151" t="n">
        <x:v>753</x:v>
      </x:c>
      <x:c r="E151" t="n">
        <x:v>759</x:v>
      </x:c>
      <x:c r="F151" t="n">
        <x:v>759</x:v>
      </x:c>
      <x:c r="G151" t="n">
        <x:v>759</x:v>
      </x:c>
      <x:c r="H151" t="n">
        <x:v>754</x:v>
      </x:c>
      <x:c r="I151" t="n">
        <x:v>755</x:v>
      </x:c>
      <x:c r="J151" t="n">
        <x:v>756</x:v>
      </x:c>
      <x:c r="K151" t="n">
        <x:v>757</x:v>
      </x:c>
      <x:c r="L151" t="n">
        <x:v>758</x:v>
      </x:c>
      <x:c r="M151" t="n">
        <x:v>759</x:v>
      </x:c>
    </x:row>
    <x:row r="152">
      <x:c r="A152" t="n">
        <x:v>2002</x:v>
      </x:c>
      <x:c r="B152" t="n">
        <x:v>0</x:v>
      </x:c>
      <x:c r="C152" t="n">
        <x:v>760</x:v>
      </x:c>
      <x:c r="D152" t="n">
        <x:v>761</x:v>
      </x:c>
      <x:c r="E152" t="n">
        <x:v>767</x:v>
      </x:c>
      <x:c r="F152" t="n">
        <x:v>767</x:v>
      </x:c>
      <x:c r="G152" t="n">
        <x:v>767</x:v>
      </x:c>
      <x:c r="H152" t="n">
        <x:v>762</x:v>
      </x:c>
      <x:c r="I152" t="n">
        <x:v>763</x:v>
      </x:c>
      <x:c r="J152" t="n">
        <x:v>764</x:v>
      </x:c>
      <x:c r="K152" t="n">
        <x:v>765</x:v>
      </x:c>
      <x:c r="L152" t="n">
        <x:v>766</x:v>
      </x:c>
      <x:c r="M152" t="n">
        <x:v>767</x:v>
      </x:c>
    </x:row>
    <x:row r="153">
      <x:c r="A153" t="n">
        <x:v>2003</x:v>
      </x:c>
      <x:c r="B153" t="n">
        <x:v>0</x:v>
      </x:c>
      <x:c r="C153" t="n">
        <x:v>768</x:v>
      </x:c>
      <x:c r="D153" t="n">
        <x:v>769</x:v>
      </x:c>
      <x:c r="E153" t="n">
        <x:v>775</x:v>
      </x:c>
      <x:c r="F153" t="n">
        <x:v>775</x:v>
      </x:c>
      <x:c r="G153" t="n">
        <x:v>775</x:v>
      </x:c>
      <x:c r="H153" t="n">
        <x:v>770</x:v>
      </x:c>
      <x:c r="I153" t="n">
        <x:v>771</x:v>
      </x:c>
      <x:c r="J153" t="n">
        <x:v>772</x:v>
      </x:c>
      <x:c r="K153" t="n">
        <x:v>773</x:v>
      </x:c>
      <x:c r="L153" t="n">
        <x:v>774</x:v>
      </x:c>
      <x:c r="M153" t="n">
        <x:v>775</x:v>
      </x:c>
    </x:row>
    <x:row r="154">
      <x:c r="A154" t="n">
        <x:v>2004</x:v>
      </x:c>
      <x:c r="B154" t="n">
        <x:v>0</x:v>
      </x:c>
      <x:c r="C154" t="n">
        <x:v>776</x:v>
      </x:c>
      <x:c r="D154" t="n">
        <x:v>777</x:v>
      </x:c>
      <x:c r="E154" t="n">
        <x:v>783</x:v>
      </x:c>
      <x:c r="F154" t="n">
        <x:v>783</x:v>
      </x:c>
      <x:c r="G154" t="n">
        <x:v>783</x:v>
      </x:c>
      <x:c r="H154" t="n">
        <x:v>778</x:v>
      </x:c>
      <x:c r="I154" t="n">
        <x:v>779</x:v>
      </x:c>
      <x:c r="J154" t="n">
        <x:v>780</x:v>
      </x:c>
      <x:c r="K154" t="n">
        <x:v>781</x:v>
      </x:c>
      <x:c r="L154" t="n">
        <x:v>782</x:v>
      </x:c>
      <x:c r="M154" t="n">
        <x:v>783</x:v>
      </x:c>
    </x:row>
    <x:row r="155">
      <x:c r="A155" t="n">
        <x:v>2005</x:v>
      </x:c>
      <x:c r="B155" t="n">
        <x:v>0</x:v>
      </x:c>
      <x:c r="C155" t="n">
        <x:v>784</x:v>
      </x:c>
      <x:c r="D155" t="n">
        <x:v>785</x:v>
      </x:c>
      <x:c r="E155" t="n">
        <x:v>791</x:v>
      </x:c>
      <x:c r="F155" t="n">
        <x:v>791</x:v>
      </x:c>
      <x:c r="G155" t="n">
        <x:v>791</x:v>
      </x:c>
      <x:c r="H155" t="n">
        <x:v>786</x:v>
      </x:c>
      <x:c r="I155" t="n">
        <x:v>787</x:v>
      </x:c>
      <x:c r="J155" t="n">
        <x:v>788</x:v>
      </x:c>
      <x:c r="K155" t="n">
        <x:v>789</x:v>
      </x:c>
      <x:c r="L155" t="n">
        <x:v>790</x:v>
      </x:c>
      <x:c r="M155" t="n">
        <x:v>791</x:v>
      </x:c>
    </x:row>
    <x:row r="156">
      <x:c r="A156" t="n">
        <x:v>2006</x:v>
      </x:c>
      <x:c r="B156" t="n">
        <x:v>0</x:v>
      </x:c>
      <x:c r="C156" t="n">
        <x:v>792</x:v>
      </x:c>
      <x:c r="D156" t="n">
        <x:v>793</x:v>
      </x:c>
      <x:c r="E156" t="n">
        <x:v>799</x:v>
      </x:c>
      <x:c r="F156" t="n">
        <x:v>799</x:v>
      </x:c>
      <x:c r="G156" t="n">
        <x:v>799</x:v>
      </x:c>
      <x:c r="H156" t="n">
        <x:v>794</x:v>
      </x:c>
      <x:c r="I156" t="n">
        <x:v>795</x:v>
      </x:c>
      <x:c r="J156" t="n">
        <x:v>796</x:v>
      </x:c>
      <x:c r="K156" t="n">
        <x:v>797</x:v>
      </x:c>
      <x:c r="L156" t="n">
        <x:v>798</x:v>
      </x:c>
      <x:c r="M156" t="n">
        <x:v>799</x:v>
      </x:c>
    </x:row>
    <x:row r="157">
      <x:c r="A157" t="n">
        <x:v>2007</x:v>
      </x:c>
      <x:c r="B157" t="n">
        <x:v>0</x:v>
      </x:c>
      <x:c r="C157" t="n">
        <x:v>800</x:v>
      </x:c>
      <x:c r="D157" t="n">
        <x:v>801</x:v>
      </x:c>
      <x:c r="E157" t="n">
        <x:v>807</x:v>
      </x:c>
      <x:c r="F157" t="n">
        <x:v>807</x:v>
      </x:c>
      <x:c r="G157" t="n">
        <x:v>807</x:v>
      </x:c>
      <x:c r="H157" t="n">
        <x:v>802</x:v>
      </x:c>
      <x:c r="I157" t="n">
        <x:v>803</x:v>
      </x:c>
      <x:c r="J157" t="n">
        <x:v>804</x:v>
      </x:c>
      <x:c r="K157" t="n">
        <x:v>805</x:v>
      </x:c>
      <x:c r="L157" t="n">
        <x:v>806</x:v>
      </x:c>
      <x:c r="M157" t="n">
        <x:v>807</x:v>
      </x:c>
    </x:row>
    <x:row r="158">
      <x:c r="A158" t="n">
        <x:v>2008</x:v>
      </x:c>
      <x:c r="B158" t="n">
        <x:v>0</x:v>
      </x:c>
      <x:c r="C158" t="n">
        <x:v>808</x:v>
      </x:c>
      <x:c r="D158" t="n">
        <x:v>809</x:v>
      </x:c>
      <x:c r="E158" t="n">
        <x:v>815</x:v>
      </x:c>
      <x:c r="F158" t="n">
        <x:v>815</x:v>
      </x:c>
      <x:c r="G158" t="n">
        <x:v>815</x:v>
      </x:c>
      <x:c r="H158" t="n">
        <x:v>810</x:v>
      </x:c>
      <x:c r="I158" t="n">
        <x:v>811</x:v>
      </x:c>
      <x:c r="J158" t="n">
        <x:v>812</x:v>
      </x:c>
      <x:c r="K158" t="n">
        <x:v>813</x:v>
      </x:c>
      <x:c r="L158" t="n">
        <x:v>814</x:v>
      </x:c>
      <x:c r="M158" t="n">
        <x:v>815</x:v>
      </x:c>
    </x:row>
    <x:row r="159">
      <x:c r="A159" t="n">
        <x:v>2009</x:v>
      </x:c>
      <x:c r="B159" t="n">
        <x:v>0</x:v>
      </x:c>
      <x:c r="C159" t="n">
        <x:v>816</x:v>
      </x:c>
      <x:c r="D159" t="n">
        <x:v>817</x:v>
      </x:c>
      <x:c r="E159" t="n">
        <x:v>823</x:v>
      </x:c>
      <x:c r="F159" t="n">
        <x:v>823</x:v>
      </x:c>
      <x:c r="G159" t="n">
        <x:v>823</x:v>
      </x:c>
      <x:c r="H159" t="n">
        <x:v>818</x:v>
      </x:c>
      <x:c r="I159" t="n">
        <x:v>819</x:v>
      </x:c>
      <x:c r="J159" t="n">
        <x:v>820</x:v>
      </x:c>
      <x:c r="K159" t="n">
        <x:v>821</x:v>
      </x:c>
      <x:c r="L159" t="n">
        <x:v>822</x:v>
      </x:c>
      <x:c r="M159" t="n">
        <x:v>823</x:v>
      </x:c>
    </x:row>
    <x:row r="160">
      <x:c r="A160" t="n">
        <x:v>2010</x:v>
      </x:c>
      <x:c r="B160" t="n">
        <x:v>0</x:v>
      </x:c>
      <x:c r="C160" t="n">
        <x:v>824</x:v>
      </x:c>
      <x:c r="D160" t="n">
        <x:v>825</x:v>
      </x:c>
      <x:c r="E160" t="n">
        <x:v>831</x:v>
      </x:c>
      <x:c r="F160" t="n">
        <x:v>831</x:v>
      </x:c>
      <x:c r="G160" t="n">
        <x:v>831</x:v>
      </x:c>
      <x:c r="H160" t="n">
        <x:v>826</x:v>
      </x:c>
      <x:c r="I160" t="n">
        <x:v>827</x:v>
      </x:c>
      <x:c r="J160" t="n">
        <x:v>828</x:v>
      </x:c>
      <x:c r="K160" t="n">
        <x:v>829</x:v>
      </x:c>
      <x:c r="L160" t="n">
        <x:v>830</x:v>
      </x:c>
      <x:c r="M160" t="n">
        <x:v>831</x:v>
      </x:c>
    </x:row>
    <x:row r="161">
      <x:c r="A161" t="n">
        <x:v>2011</x:v>
      </x:c>
      <x:c r="B161" t="n">
        <x:v>0</x:v>
      </x:c>
      <x:c r="C161" t="n">
        <x:v>832</x:v>
      </x:c>
      <x:c r="D161" t="n">
        <x:v>833</x:v>
      </x:c>
      <x:c r="E161" t="n">
        <x:v>839</x:v>
      </x:c>
      <x:c r="F161" t="n">
        <x:v>839</x:v>
      </x:c>
      <x:c r="G161" t="n">
        <x:v>839</x:v>
      </x:c>
      <x:c r="H161" t="n">
        <x:v>834</x:v>
      </x:c>
      <x:c r="I161" t="n">
        <x:v>835</x:v>
      </x:c>
      <x:c r="J161" t="n">
        <x:v>836</x:v>
      </x:c>
      <x:c r="K161" t="n">
        <x:v>837</x:v>
      </x:c>
      <x:c r="L161" t="n">
        <x:v>838</x:v>
      </x:c>
      <x:c r="M161" t="n">
        <x:v>839</x:v>
      </x:c>
    </x:row>
    <x:row r="162">
      <x:c r="A162" t="n">
        <x:v>2012</x:v>
      </x:c>
      <x:c r="B162" t="n">
        <x:v>0</x:v>
      </x:c>
      <x:c r="C162" t="n">
        <x:v>840</x:v>
      </x:c>
      <x:c r="D162" t="n">
        <x:v>841</x:v>
      </x:c>
      <x:c r="E162" t="n">
        <x:v>847</x:v>
      </x:c>
      <x:c r="F162" t="n">
        <x:v>847</x:v>
      </x:c>
      <x:c r="G162" t="n">
        <x:v>847</x:v>
      </x:c>
      <x:c r="H162" t="n">
        <x:v>842</x:v>
      </x:c>
      <x:c r="I162" t="n">
        <x:v>843</x:v>
      </x:c>
      <x:c r="J162" t="n">
        <x:v>844</x:v>
      </x:c>
      <x:c r="K162" t="n">
        <x:v>845</x:v>
      </x:c>
      <x:c r="L162" t="n">
        <x:v>846</x:v>
      </x:c>
      <x:c r="M162" t="n">
        <x:v>847</x:v>
      </x:c>
    </x:row>
    <x:row r="163">
      <x:c r="A163" t="n">
        <x:v>2013</x:v>
      </x:c>
      <x:c r="B163" t="n">
        <x:v>0</x:v>
      </x:c>
      <x:c r="C163" t="n">
        <x:v>848</x:v>
      </x:c>
      <x:c r="D163" t="n">
        <x:v>849</x:v>
      </x:c>
      <x:c r="E163" t="n">
        <x:v>855</x:v>
      </x:c>
      <x:c r="F163" t="n">
        <x:v>855</x:v>
      </x:c>
      <x:c r="G163" t="n">
        <x:v>855</x:v>
      </x:c>
      <x:c r="H163" t="n">
        <x:v>850</x:v>
      </x:c>
      <x:c r="I163" t="n">
        <x:v>851</x:v>
      </x:c>
      <x:c r="J163" t="n">
        <x:v>852</x:v>
      </x:c>
      <x:c r="K163" t="n">
        <x:v>853</x:v>
      </x:c>
      <x:c r="L163" t="n">
        <x:v>854</x:v>
      </x:c>
      <x:c r="M163" t="n">
        <x:v>855</x:v>
      </x:c>
    </x:row>
    <x:row r="164">
      <x:c r="A164" t="n">
        <x:v>2014</x:v>
      </x:c>
      <x:c r="B164" t="n">
        <x:v>0</x:v>
      </x:c>
      <x:c r="C164" t="n">
        <x:v>856</x:v>
      </x:c>
      <x:c r="D164" t="n">
        <x:v>857</x:v>
      </x:c>
      <x:c r="E164" t="n">
        <x:v>863</x:v>
      </x:c>
      <x:c r="F164" t="n">
        <x:v>863</x:v>
      </x:c>
      <x:c r="G164" t="n">
        <x:v>863</x:v>
      </x:c>
      <x:c r="H164" t="n">
        <x:v>858</x:v>
      </x:c>
      <x:c r="I164" t="n">
        <x:v>859</x:v>
      </x:c>
      <x:c r="J164" t="n">
        <x:v>860</x:v>
      </x:c>
      <x:c r="K164" t="n">
        <x:v>861</x:v>
      </x:c>
      <x:c r="L164" t="n">
        <x:v>862</x:v>
      </x:c>
      <x:c r="M164" t="n">
        <x:v>863</x:v>
      </x:c>
    </x:row>
    <x:row r="165">
      <x:c r="A165" t="n">
        <x:v>2015</x:v>
      </x:c>
      <x:c r="B165" t="n">
        <x:v>0</x:v>
      </x:c>
      <x:c r="C165" t="n">
        <x:v>864</x:v>
      </x:c>
      <x:c r="D165" t="n">
        <x:v>865</x:v>
      </x:c>
      <x:c r="E165" t="n">
        <x:v>871</x:v>
      </x:c>
      <x:c r="F165" t="n">
        <x:v>871</x:v>
      </x:c>
      <x:c r="G165" t="n">
        <x:v>871</x:v>
      </x:c>
      <x:c r="H165" t="n">
        <x:v>866</x:v>
      </x:c>
      <x:c r="I165" t="n">
        <x:v>867</x:v>
      </x:c>
      <x:c r="J165" t="n">
        <x:v>868</x:v>
      </x:c>
      <x:c r="K165" t="n">
        <x:v>869</x:v>
      </x:c>
      <x:c r="L165" t="n">
        <x:v>870</x:v>
      </x:c>
      <x:c r="M165" t="n">
        <x:v>871</x:v>
      </x:c>
    </x:row>
    <x:row r="166">
      <x:c r="A166" t="n">
        <x:v>2016</x:v>
      </x:c>
      <x:c r="B166" t="n">
        <x:v>0</x:v>
      </x:c>
      <x:c r="C166" t="n">
        <x:v>872</x:v>
      </x:c>
      <x:c r="D166" t="n">
        <x:v>873</x:v>
      </x:c>
      <x:c r="E166" t="n">
        <x:v>879</x:v>
      </x:c>
      <x:c r="F166" t="n">
        <x:v>879</x:v>
      </x:c>
      <x:c r="G166" t="n">
        <x:v>879</x:v>
      </x:c>
      <x:c r="H166" t="n">
        <x:v>874</x:v>
      </x:c>
      <x:c r="I166" t="n">
        <x:v>875</x:v>
      </x:c>
      <x:c r="J166" t="n">
        <x:v>876</x:v>
      </x:c>
      <x:c r="K166" t="n">
        <x:v>877</x:v>
      </x:c>
      <x:c r="L166" t="n">
        <x:v>878</x:v>
      </x:c>
      <x:c r="M166" t="n">
        <x:v>879</x:v>
      </x:c>
    </x:row>
    <x:row r="167">
      <x:c r="A167" t="n">
        <x:v>2017</x:v>
      </x:c>
      <x:c r="B167" t="n">
        <x:v>0</x:v>
      </x:c>
      <x:c r="C167" t="n">
        <x:v>880</x:v>
      </x:c>
      <x:c r="D167" t="n">
        <x:v>881</x:v>
      </x:c>
      <x:c r="E167" t="n">
        <x:v>887</x:v>
      </x:c>
      <x:c r="F167" t="n">
        <x:v>887</x:v>
      </x:c>
      <x:c r="G167" t="n">
        <x:v>887</x:v>
      </x:c>
      <x:c r="H167" t="n">
        <x:v>882</x:v>
      </x:c>
      <x:c r="I167" t="n">
        <x:v>883</x:v>
      </x:c>
      <x:c r="J167" t="n">
        <x:v>884</x:v>
      </x:c>
      <x:c r="K167" t="n">
        <x:v>885</x:v>
      </x:c>
      <x:c r="L167" t="n">
        <x:v>886</x:v>
      </x:c>
      <x:c r="M167" t="n">
        <x:v>887</x:v>
      </x:c>
    </x:row>
    <x:row r="168">
      <x:c r="A168" t="n">
        <x:v>2018</x:v>
      </x:c>
      <x:c r="B168" t="n">
        <x:v>0</x:v>
      </x:c>
      <x:c r="C168" t="n">
        <x:v>888</x:v>
      </x:c>
      <x:c r="D168" t="n">
        <x:v>889</x:v>
      </x:c>
      <x:c r="E168" t="n">
        <x:v>895</x:v>
      </x:c>
      <x:c r="F168" t="n">
        <x:v>895</x:v>
      </x:c>
      <x:c r="G168" t="n">
        <x:v>895</x:v>
      </x:c>
      <x:c r="H168" t="n">
        <x:v>890</x:v>
      </x:c>
      <x:c r="I168" t="n">
        <x:v>891</x:v>
      </x:c>
      <x:c r="J168" t="n">
        <x:v>892</x:v>
      </x:c>
      <x:c r="K168" t="n">
        <x:v>893</x:v>
      </x:c>
      <x:c r="L168" t="n">
        <x:v>894</x:v>
      </x:c>
      <x:c r="M168" t="n">
        <x:v>895</x:v>
      </x:c>
    </x:row>
    <x:row r="169">
      <x:c r="A169" t="n">
        <x:v>2019</x:v>
      </x:c>
      <x:c r="B169" t="n">
        <x:v>0</x:v>
      </x:c>
      <x:c r="C169" t="n">
        <x:v>896</x:v>
      </x:c>
      <x:c r="D169" t="n">
        <x:v>897</x:v>
      </x:c>
      <x:c r="E169" t="n">
        <x:v>903</x:v>
      </x:c>
      <x:c r="F169" t="n">
        <x:v>903</x:v>
      </x:c>
      <x:c r="G169" t="n">
        <x:v>903</x:v>
      </x:c>
      <x:c r="H169" t="n">
        <x:v>898</x:v>
      </x:c>
      <x:c r="I169" t="n">
        <x:v>899</x:v>
      </x:c>
      <x:c r="J169" t="n">
        <x:v>900</x:v>
      </x:c>
      <x:c r="K169" t="n">
        <x:v>901</x:v>
      </x:c>
      <x:c r="L169" t="n">
        <x:v>902</x:v>
      </x:c>
      <x:c r="M169" t="n">
        <x:v>903</x:v>
      </x:c>
    </x:row>
    <x:row r="170">
      <x:c r="A170" t="n">
        <x:v>2020</x:v>
      </x:c>
      <x:c r="B170" t="n">
        <x:v>0</x:v>
      </x:c>
      <x:c r="C170" t="n">
        <x:v>904</x:v>
      </x:c>
      <x:c r="D170" t="n">
        <x:v>905</x:v>
      </x:c>
      <x:c r="E170" t="n">
        <x:v>911</x:v>
      </x:c>
      <x:c r="F170" t="n">
        <x:v>911</x:v>
      </x:c>
      <x:c r="G170" t="n">
        <x:v>911</x:v>
      </x:c>
      <x:c r="H170" t="n">
        <x:v>906</x:v>
      </x:c>
      <x:c r="I170" t="n">
        <x:v>907</x:v>
      </x:c>
      <x:c r="J170" t="n">
        <x:v>908</x:v>
      </x:c>
      <x:c r="K170" t="n">
        <x:v>909</x:v>
      </x:c>
      <x:c r="L170" t="n">
        <x:v>910</x:v>
      </x:c>
      <x:c r="M170" t="n">
        <x:v>911</x:v>
      </x:c>
    </x:row>
    <x:row r="171">
      <x:c r="A171" t="n">
        <x:v>2021</x:v>
      </x:c>
      <x:c r="B171" t="n">
        <x:v>0</x:v>
      </x:c>
      <x:c r="C171" t="n">
        <x:v>912</x:v>
      </x:c>
      <x:c r="D171" t="n">
        <x:v>913</x:v>
      </x:c>
      <x:c r="E171" t="n">
        <x:v>919</x:v>
      </x:c>
      <x:c r="F171" t="n">
        <x:v>919</x:v>
      </x:c>
      <x:c r="G171" t="n">
        <x:v>919</x:v>
      </x:c>
      <x:c r="H171" t="n">
        <x:v>914</x:v>
      </x:c>
      <x:c r="I171" t="n">
        <x:v>915</x:v>
      </x:c>
      <x:c r="J171" t="n">
        <x:v>916</x:v>
      </x:c>
      <x:c r="K171" t="n">
        <x:v>917</x:v>
      </x:c>
      <x:c r="L171" t="n">
        <x:v>918</x:v>
      </x:c>
      <x:c r="M171" t="n">
        <x:v>919</x:v>
      </x:c>
    </x:row>
    <x:row r="172">
      <x:c r="A172" t="n">
        <x:v>2022</x:v>
      </x:c>
      <x:c r="B172" t="n">
        <x:v>0</x:v>
      </x:c>
      <x:c r="C172" t="n">
        <x:v>920</x:v>
      </x:c>
      <x:c r="D172" t="n">
        <x:v>921</x:v>
      </x:c>
      <x:c r="E172" t="n">
        <x:v>927</x:v>
      </x:c>
      <x:c r="F172" t="n">
        <x:v>927</x:v>
      </x:c>
      <x:c r="G172" t="n">
        <x:v>927</x:v>
      </x:c>
      <x:c r="H172" t="n">
        <x:v>922</x:v>
      </x:c>
      <x:c r="I172" t="n">
        <x:v>923</x:v>
      </x:c>
      <x:c r="J172" t="n">
        <x:v>924</x:v>
      </x:c>
      <x:c r="K172" t="n">
        <x:v>925</x:v>
      </x:c>
      <x:c r="L172" t="n">
        <x:v>926</x:v>
      </x:c>
      <x:c r="M172" t="n">
        <x:v>927</x:v>
      </x:c>
    </x:row>
    <x:row r="173">
      <x:c r="A173" t="n">
        <x:v>2023</x:v>
      </x:c>
      <x:c r="B173" t="n">
        <x:v>0</x:v>
      </x:c>
      <x:c r="C173" t="n">
        <x:v>928</x:v>
      </x:c>
      <x:c r="D173" t="n">
        <x:v>929</x:v>
      </x:c>
      <x:c r="E173" t="n">
        <x:v>935</x:v>
      </x:c>
      <x:c r="F173" t="n">
        <x:v>935</x:v>
      </x:c>
      <x:c r="G173" t="n">
        <x:v>935</x:v>
      </x:c>
      <x:c r="H173" t="n">
        <x:v>930</x:v>
      </x:c>
      <x:c r="I173" t="n">
        <x:v>931</x:v>
      </x:c>
      <x:c r="J173" t="n">
        <x:v>932</x:v>
      </x:c>
      <x:c r="K173" t="n">
        <x:v>933</x:v>
      </x:c>
      <x:c r="L173" t="n">
        <x:v>934</x:v>
      </x:c>
      <x:c r="M173" t="n">
        <x:v>935</x:v>
      </x:c>
    </x:row>
    <x:row r="174">
      <x:c r="A174" t="n">
        <x:v>2024</x:v>
      </x:c>
      <x:c r="B174" t="n">
        <x:v>0</x:v>
      </x:c>
      <x:c r="C174" t="n">
        <x:v>936</x:v>
      </x:c>
      <x:c r="D174" t="n">
        <x:v>937</x:v>
      </x:c>
      <x:c r="E174" t="n">
        <x:v>943</x:v>
      </x:c>
      <x:c r="F174" t="n">
        <x:v>943</x:v>
      </x:c>
      <x:c r="G174" t="n">
        <x:v>943</x:v>
      </x:c>
      <x:c r="H174" t="n">
        <x:v>938</x:v>
      </x:c>
      <x:c r="I174" t="n">
        <x:v>939</x:v>
      </x:c>
      <x:c r="J174" t="n">
        <x:v>940</x:v>
      </x:c>
      <x:c r="K174" t="n">
        <x:v>941</x:v>
      </x:c>
      <x:c r="L174" t="n">
        <x:v>942</x:v>
      </x:c>
      <x:c r="M174" t="n">
        <x:v>943</x:v>
      </x:c>
    </x:row>
    <x:row r="175">
      <x:c r="A175" t="n">
        <x:v>2025</x:v>
      </x:c>
      <x:c r="B175" t="n">
        <x:v>0</x:v>
      </x:c>
      <x:c r="C175" t="n">
        <x:v>944</x:v>
      </x:c>
      <x:c r="D175" t="n">
        <x:v>945</x:v>
      </x:c>
      <x:c r="E175" t="n">
        <x:v>951</x:v>
      </x:c>
      <x:c r="F175" t="n">
        <x:v>951</x:v>
      </x:c>
      <x:c r="G175" t="n">
        <x:v>951</x:v>
      </x:c>
      <x:c r="H175" t="n">
        <x:v>946</x:v>
      </x:c>
      <x:c r="I175" t="n">
        <x:v>947</x:v>
      </x:c>
      <x:c r="J175" t="n">
        <x:v>948</x:v>
      </x:c>
      <x:c r="K175" t="n">
        <x:v>949</x:v>
      </x:c>
      <x:c r="L175" t="n">
        <x:v>950</x:v>
      </x:c>
      <x:c r="M175" t="n">
        <x:v>951</x:v>
      </x:c>
    </x:row>
    <x:row r="176">
      <x:c r="A176" t="n">
        <x:v>2026</x:v>
      </x:c>
      <x:c r="B176" t="n">
        <x:v>0</x:v>
      </x:c>
      <x:c r="C176" t="n">
        <x:v>952</x:v>
      </x:c>
      <x:c r="D176" t="n">
        <x:v>953</x:v>
      </x:c>
      <x:c r="E176" t="n">
        <x:v>959</x:v>
      </x:c>
      <x:c r="F176" t="n">
        <x:v>959</x:v>
      </x:c>
      <x:c r="G176" t="n">
        <x:v>959</x:v>
      </x:c>
      <x:c r="H176" t="n">
        <x:v>954</x:v>
      </x:c>
      <x:c r="I176" t="n">
        <x:v>955</x:v>
      </x:c>
      <x:c r="J176" t="n">
        <x:v>956</x:v>
      </x:c>
      <x:c r="K176" t="n">
        <x:v>957</x:v>
      </x:c>
      <x:c r="L176" t="n">
        <x:v>958</x:v>
      </x:c>
      <x:c r="M176" t="n">
        <x:v>959</x:v>
      </x:c>
    </x:row>
  </x:sheetData>
  <x:mergeCells>
    <x:mergeCell ref="A1:M1"/>
    <x:mergeCell ref="A2:M3"/>
  </x:mergeCells>
  <x:pageMargins left="0.7" right="0.7" top="0.75" bottom="0.75" header="0.3" footer="0.3"/>
</x:worksheet>
</file>