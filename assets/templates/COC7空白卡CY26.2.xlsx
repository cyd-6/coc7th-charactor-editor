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ank\Documents\ChatGPT\coc车卡器\outputs\template-update\"/>
    </mc:Choice>
  </mc:AlternateContent>
  <xr:revisionPtr revIDLastSave="0" documentId="13_ncr:1_{87EE3580-0122-4A89-AC23-3654BB5339EF}" xr6:coauthVersionLast="47" xr6:coauthVersionMax="47" xr10:uidLastSave="{00000000-0000-0000-0000-000000000000}"/>
  <bookViews>
    <workbookView xWindow="2268" yWindow="2268" windowWidth="23040" windowHeight="13560" tabRatio="848" xr2:uid="{00000000-000D-0000-FFFF-FFFF00000000}"/>
  </bookViews>
  <sheets>
    <sheet name="人物卡" sheetId="1" r:id="rId1"/>
    <sheet name="简化卡 骰娘导入" sheetId="2" r:id="rId2"/>
    <sheet name="职业列表" sheetId="3" r:id="rId3"/>
    <sheet name="成长表（测试）" sheetId="4" r:id="rId4"/>
    <sheet name="本职技能" sheetId="5" r:id="rId5"/>
    <sheet name="附表" sheetId="6" r:id="rId6"/>
    <sheet name="技能注释" sheetId="7" r:id="rId7"/>
    <sheet name="属性注释" sheetId="8" r:id="rId8"/>
    <sheet name="资产及物价参考" sheetId="9" r:id="rId9"/>
    <sheet name="武器列表 战斗" sheetId="10" r:id="rId10"/>
    <sheet name="防具表 载具表" sheetId="11" r:id="rId11"/>
    <sheet name="疯狂表" sheetId="12" r:id="rId12"/>
    <sheet name="货币汇率" sheetId="13" r:id="rId13"/>
    <sheet name="更新说明" sheetId="14" r:id="rId14"/>
  </sheets>
  <definedNames>
    <definedName name="_xlnm._FilterDatabase" localSheetId="0" hidden="1">人物卡!$A$1:$BR$145</definedName>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_xlnm.Print_Area" localSheetId="12">货币汇率!$A$1:$H$31</definedName>
    <definedName name="SIZ">人物卡!$U$7</definedName>
    <definedName name="STR">人物卡!$U$3</definedName>
    <definedName name="COC7_FX_DATA_SHA256">"9b4e824cfc545abc0d5a9ac03f0128371126567df5f718a19fd6a6732c033815"</definedName>
    <definedName name="FX_Y1920">'货币汇率'!$V$36:$V$45</definedName>
    <definedName name="FX_Y1921">'货币汇率'!$V$46:$V$55</definedName>
    <definedName name="FX_Y1922">'货币汇率'!$V$56:$V$65</definedName>
    <definedName name="FX_Y1923">'货币汇率'!$V$66:$V$74</definedName>
    <definedName name="FX_Y1924">'货币汇率'!$V$75:$V$84</definedName>
    <definedName name="FX_Y1925">'货币汇率'!$V$85:$V$94</definedName>
    <definedName name="FX_Y1926">'货币汇率'!$V$95:$V$104</definedName>
    <definedName name="FX_Y1927">'货币汇率'!$V$105:$V$115</definedName>
    <definedName name="FX_Y1928">'货币汇率'!$V$116:$V$126</definedName>
    <definedName name="FX_Y1929">'货币汇率'!$V$127:$V$137</definedName>
    <definedName name="FX_Y1930">'货币汇率'!$V$138:$V$148</definedName>
    <definedName name="FX_Y1931">'货币汇率'!$V$149:$V$159</definedName>
    <definedName name="FX_Y1932">'货币汇率'!$V$160:$V$170</definedName>
    <definedName name="FX_Y1933">'货币汇率'!$V$171:$V$181</definedName>
    <definedName name="FX_Y1934">'货币汇率'!$V$182:$V$192</definedName>
    <definedName name="FX_Y1935">'货币汇率'!$V$193:$V$203</definedName>
    <definedName name="FX_Y1936">'货币汇率'!$V$204:$V$214</definedName>
    <definedName name="FX_Y1937">'货币汇率'!$V$215:$V$225</definedName>
    <definedName name="FX_Y1938">'货币汇率'!$V$226:$V$236</definedName>
    <definedName name="FX_Y1939">'货币汇率'!$V$237:$V$247</definedName>
    <definedName name="FX_Y1940">'货币汇率'!$V$248:$V$258</definedName>
    <definedName name="FX_Y1941">'货币汇率'!$V$259:$V$268</definedName>
    <definedName name="FX_Y1942">'货币汇率'!$V$269:$V$272</definedName>
    <definedName name="FX_Y1943">'货币汇率'!$V$273:$V$276</definedName>
    <definedName name="FX_Y1944">'货币汇率'!$V$277:$V$280</definedName>
    <definedName name="FX_Y1945">'货币汇率'!$V$281:$V$284</definedName>
    <definedName name="FX_Y1946">'货币汇率'!$V$285:$V$290</definedName>
    <definedName name="FX_Y1947">'货币汇率'!$V$291:$V$296</definedName>
    <definedName name="FX_Y1948">'货币汇率'!$V$297:$V$302</definedName>
    <definedName name="FX_Y1949">'货币汇率'!$V$303:$V$307</definedName>
    <definedName name="FX_Y1950">'货币汇率'!$V$308:$V$317</definedName>
    <definedName name="FX_Y1951">'货币汇率'!$V$318:$V$327</definedName>
    <definedName name="FX_Y1952">'货币汇率'!$V$328:$V$338</definedName>
    <definedName name="FX_Y1953">'货币汇率'!$V$339:$V$349</definedName>
    <definedName name="FX_Y1954">'货币汇率'!$V$350:$V$360</definedName>
    <definedName name="FX_Y1955">'货币汇率'!$V$361:$V$371</definedName>
    <definedName name="FX_Y1956">'货币汇率'!$V$372:$V$382</definedName>
    <definedName name="FX_Y1957">'货币汇率'!$V$383:$V$393</definedName>
    <definedName name="FX_Y1958">'货币汇率'!$V$394:$V$404</definedName>
    <definedName name="FX_Y1959">'货币汇率'!$V$405:$V$415</definedName>
    <definedName name="FX_Y1960">'货币汇率'!$V$416:$V$426</definedName>
    <definedName name="FX_Y1961">'货币汇率'!$V$427:$V$437</definedName>
    <definedName name="FX_Y1962">'货币汇率'!$V$438:$V$448</definedName>
    <definedName name="FX_Y1963">'货币汇率'!$V$449:$V$459</definedName>
    <definedName name="FX_Y1964">'货币汇率'!$V$460:$V$470</definedName>
    <definedName name="FX_Y1965">'货币汇率'!$V$471:$V$481</definedName>
    <definedName name="FX_Y1966">'货币汇率'!$V$482:$V$492</definedName>
    <definedName name="FX_Y1967">'货币汇率'!$V$493:$V$503</definedName>
    <definedName name="FX_Y1968">'货币汇率'!$V$504:$V$514</definedName>
    <definedName name="FX_Y1969">'货币汇率'!$V$515:$V$525</definedName>
    <definedName name="FX_Y1970">'货币汇率'!$V$526:$V$536</definedName>
    <definedName name="FX_Y1971">'货币汇率'!$V$537:$V$547</definedName>
    <definedName name="FX_Y1972">'货币汇率'!$V$548:$V$558</definedName>
    <definedName name="FX_Y1973">'货币汇率'!$V$559:$V$569</definedName>
    <definedName name="FX_Y1974">'货币汇率'!$V$570:$V$580</definedName>
    <definedName name="FX_Y1975">'货币汇率'!$V$581:$V$591</definedName>
    <definedName name="FX_Y1976">'货币汇率'!$V$592:$V$602</definedName>
    <definedName name="FX_Y1977">'货币汇率'!$V$603:$V$613</definedName>
    <definedName name="FX_Y1978">'货币汇率'!$V$614:$V$624</definedName>
    <definedName name="FX_Y1979">'货币汇率'!$V$625:$V$635</definedName>
    <definedName name="FX_Y1980">'货币汇率'!$V$636:$V$646</definedName>
    <definedName name="FX_Y1981">'货币汇率'!$V$647:$V$657</definedName>
    <definedName name="FX_Y1982">'货币汇率'!$V$658:$V$668</definedName>
    <definedName name="FX_Y1983">'货币汇率'!$V$669:$V$679</definedName>
    <definedName name="FX_Y1984">'货币汇率'!$V$680:$V$690</definedName>
    <definedName name="FX_Y1985">'货币汇率'!$V$691:$V$701</definedName>
    <definedName name="FX_Y1986">'货币汇率'!$V$702:$V$712</definedName>
    <definedName name="FX_Y1987">'货币汇率'!$V$713:$V$723</definedName>
    <definedName name="FX_Y1988">'货币汇率'!$V$724:$V$734</definedName>
    <definedName name="FX_Y1989">'货币汇率'!$V$735:$V$745</definedName>
    <definedName name="FX_Y1990">'货币汇率'!$V$746:$V$756</definedName>
    <definedName name="FX_Y1991">'货币汇率'!$V$757:$V$767</definedName>
    <definedName name="FX_Y1992">'货币汇率'!$V$768:$V$778</definedName>
    <definedName name="FX_Y1993">'货币汇率'!$V$779:$V$789</definedName>
    <definedName name="FX_Y1994">'货币汇率'!$V$790:$V$800</definedName>
    <definedName name="FX_Y1995">'货币汇率'!$V$801:$V$811</definedName>
    <definedName name="FX_Y1996">'货币汇率'!$V$812:$V$822</definedName>
    <definedName name="FX_Y1997">'货币汇率'!$V$823:$V$833</definedName>
    <definedName name="FX_Y1998">'货币汇率'!$V$834:$V$844</definedName>
    <definedName name="FX_Y1999">'货币汇率'!$V$845:$V$853</definedName>
    <definedName name="FX_Y2000">'货币汇率'!$V$854:$V$862</definedName>
    <definedName name="FX_Y2001">'货币汇率'!$V$863:$V$871</definedName>
    <definedName name="FX_Y2002">'货币汇率'!$V$872:$V$880</definedName>
    <definedName name="FX_Y2003">'货币汇率'!$V$881:$V$889</definedName>
    <definedName name="FX_Y2004">'货币汇率'!$V$890:$V$898</definedName>
    <definedName name="FX_Y2005">'货币汇率'!$V$899:$V$907</definedName>
    <definedName name="FX_Y2006">'货币汇率'!$V$908:$V$916</definedName>
    <definedName name="FX_Y2007">'货币汇率'!$V$917:$V$925</definedName>
    <definedName name="FX_Y2008">'货币汇率'!$V$926:$V$934</definedName>
    <definedName name="FX_Y2009">'货币汇率'!$V$935:$V$943</definedName>
    <definedName name="FX_Y2010">'货币汇率'!$V$944:$V$952</definedName>
    <definedName name="FX_Y2011">'货币汇率'!$V$953:$V$961</definedName>
    <definedName name="FX_Y2012">'货币汇率'!$V$962:$V$970</definedName>
    <definedName name="FX_Y2013">'货币汇率'!$V$971:$V$979</definedName>
    <definedName name="FX_Y2014">'货币汇率'!$V$980:$V$988</definedName>
    <definedName name="FX_Y2015">'货币汇率'!$V$989:$V$997</definedName>
    <definedName name="FX_Y2016">'货币汇率'!$V$998:$V$1006</definedName>
    <definedName name="FX_Y2017">'货币汇率'!$V$1007:$V$1015</definedName>
    <definedName name="FX_Y2018">'货币汇率'!$V$1016:$V$1024</definedName>
    <definedName name="FX_Y2019">'货币汇率'!$V$1025:$V$1033</definedName>
    <definedName name="FX_Y2020">'货币汇率'!$V$1034:$V$1042</definedName>
    <definedName name="FX_Y2021">'货币汇率'!$V$1043:$V$1051</definedName>
    <definedName name="FX_Y2022">'货币汇率'!$V$1052:$V$1060</definedName>
    <definedName name="FX_Y2023">'货币汇率'!$V$1061:$V$1069</definedName>
    <definedName name="FX_Y2024">'货币汇率'!$V$1070:$V$1078</definedName>
    <definedName name="FX_Y2025">'货币汇率'!$V$1079:$V$1087</definedName>
    <definedName name="FX_Y2026">'货币汇率'!$V$1088:$V$1096</definedName>
    <definedName name="COC7_SKILL_POINTS_SCHEMA">"separate-v1"</definedName>
  </definedNames>
  <calcPr calcId="191029" refMode="R1C1" calcMode="auto" fullCalcOnLoad="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Hank</author>
    <author>MIX 2</author>
    <author>Redmi K20 Pro</author>
  </authors>
  <commentList>
    <comment ref="P12" authorId="0" shapeId="0" xr:uid="{F41B41AC-CE60-4419-997A-3CF94A64CE85}">
      <text>
        <r>
          <rPr>
            <b/>
            <sz val="9"/>
            <color indexed="81"/>
            <rFont val="宋体"/>
            <family val="3"/>
            <charset val="134"/>
          </rPr>
          <t>在一天内降低对应数量的理智值后可能会陷入临时疯狂</t>
        </r>
      </text>
    </comment>
    <comment ref="F23" authorId="1" shapeId="0" xr:uid="{00000000-0006-0000-0000-000001000000}">
      <text>
        <r>
          <rPr>
            <sz val="11"/>
            <rFont val="宋体"/>
            <family val="3"/>
            <charset val="134"/>
          </rPr>
          <t>在规则书Version1907版本中
译名“魅惑”→“取悦”</t>
        </r>
      </text>
    </comment>
    <comment ref="AB23" authorId="1" shapeId="0" xr:uid="{00000000-0006-0000-0000-000002000000}">
      <text>
        <r>
          <rPr>
            <sz val="11"/>
            <rFont val="宋体"/>
            <family val="3"/>
            <charset val="134"/>
          </rPr>
          <t>在规则书Version1907版本中
译名“领航”→“导航”</t>
        </r>
      </text>
    </comment>
    <comment ref="AU24" authorId="2" shapeId="0" xr:uid="{00000000-0006-0000-0000-000003000000}">
      <text>
        <r>
          <rPr>
            <sz val="11"/>
            <rFont val="宋体"/>
            <family val="3"/>
            <charset val="134"/>
          </rPr>
          <t>输入名称和基础值，再在相关技能后填写此名称，人物卡就可以显示基础值</t>
        </r>
      </text>
    </comment>
    <comment ref="BC26" authorId="2" shapeId="0" xr:uid="{00000000-0006-0000-0000-000004000000}">
      <text>
        <r>
          <rPr>
            <sz val="11"/>
            <rFont val="宋体"/>
            <family val="3"/>
            <charset val="134"/>
          </rPr>
          <t>如果你选经历包，一定把这里补充完整</t>
        </r>
      </text>
    </comment>
    <comment ref="AB47" authorId="1" shapeId="0" xr:uid="{00000000-0006-0000-0000-000005000000}">
      <text>
        <r>
          <rPr>
            <sz val="11"/>
            <rFont val="宋体"/>
            <family val="3"/>
            <charset val="134"/>
          </rPr>
          <t>在规则书Version2002版本中（最新版本）
译名“学问”→“学识”</t>
        </r>
      </text>
    </comment>
    <comment ref="H49" authorId="1" shapeId="0" xr:uid="{00000000-0006-0000-0000-000006000000}">
      <text>
        <r>
          <rPr>
            <sz val="11"/>
            <rFont val="宋体"/>
            <family val="3"/>
            <charset val="134"/>
          </rPr>
          <t>填写说明:
此处填写人物的母语。例，母语为英语，则在此处填写英语</t>
        </r>
      </text>
    </comment>
    <comment ref="B54" authorId="2" shapeId="0" xr:uid="{00000000-0006-0000-0000-000007000000}">
      <text>
        <r>
          <rPr>
            <sz val="11"/>
            <rFont val="宋体"/>
            <family val="3"/>
            <charset val="134"/>
          </rPr>
          <t>请不要忘记填写名称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丛雨</author>
  </authors>
  <commentList>
    <comment ref="E13" authorId="0" shapeId="0" xr:uid="{00000000-0006-0000-0300-000001000000}">
      <text>
        <r>
          <rPr>
            <sz val="11"/>
            <rFont val="宋体"/>
            <family val="3"/>
            <charset val="134"/>
          </rPr>
          <t>经历了XXX事件
[一段描述ing]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500-000001000000}">
      <text>
        <r>
          <rPr>
            <sz val="11"/>
            <rFont val="宋体"/>
            <family val="3"/>
            <charset val="134"/>
          </rPr>
          <t>Aerocraft （01%）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500-000002000000}">
      <text>
        <r>
          <rPr>
            <sz val="11"/>
            <rFont val="宋体"/>
            <family val="3"/>
            <charset val="134"/>
          </rPr>
          <t>Photography (05%)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<sst xmlns="http://schemas.openxmlformats.org/spreadsheetml/2006/main" count="13144" uniqueCount="6138">
  <si>
    <t>电脑推荐使用excel2010及以后版本或WPS打开本卡，使用横轴滚动条可以看见更多东西</t>
  </si>
  <si>
    <t>调查员信息</t>
  </si>
  <si>
    <t>年龄补正：</t>
  </si>
  <si>
    <t>属性</t>
  </si>
  <si>
    <t>已用点数:</t>
  </si>
  <si>
    <t>调查员肖像</t>
  </si>
  <si>
    <t>您的角色可能（只是可能！）</t>
  </si>
  <si>
    <t>姓名</t>
  </si>
  <si>
    <t>力量
STR</t>
  </si>
  <si>
    <t>敏捷
DEX</t>
  </si>
  <si>
    <t>意志
POW</t>
  </si>
  <si>
    <t>玩家</t>
  </si>
  <si>
    <t>时代</t>
  </si>
  <si>
    <t>1920s</t>
  </si>
  <si>
    <t>职业</t>
  </si>
  <si>
    <t>职业序号</t>
  </si>
  <si>
    <t>体质
CON</t>
  </si>
  <si>
    <t>外貌
APP</t>
  </si>
  <si>
    <t>教育
知识</t>
  </si>
  <si>
    <t>年龄</t>
  </si>
  <si>
    <t>性别</t>
  </si>
  <si>
    <t>住地</t>
  </si>
  <si>
    <t>故乡</t>
  </si>
  <si>
    <t>体型
SIZ</t>
  </si>
  <si>
    <t>智力
灵感</t>
  </si>
  <si>
    <t>幸运
Luck</t>
  </si>
  <si>
    <t>现时间</t>
  </si>
  <si>
    <t>公元</t>
  </si>
  <si>
    <t>1日</t>
  </si>
  <si>
    <t>0：00</t>
  </si>
  <si>
    <t>生命值
Hit  Points</t>
  </si>
  <si>
    <t>状态:</t>
  </si>
  <si>
    <t>理智
Sanity</t>
  </si>
  <si>
    <t>魔法
Magic Points</t>
  </si>
  <si>
    <t>每h恢复</t>
  </si>
  <si>
    <t>移动力
MOV</t>
  </si>
  <si>
    <t>调整值</t>
  </si>
  <si>
    <t>护甲       Armor</t>
  </si>
  <si>
    <t>覆盖部位</t>
  </si>
  <si>
    <t>健康</t>
  </si>
  <si>
    <t>清醒</t>
  </si>
  <si>
    <t>重伤值:</t>
  </si>
  <si>
    <t>临时生命值：</t>
  </si>
  <si>
    <t>今日损失 :</t>
  </si>
  <si>
    <t>用过的魔法：</t>
  </si>
  <si>
    <t>移动方式</t>
  </si>
  <si>
    <t>步式</t>
  </si>
  <si>
    <t>护甲减值</t>
  </si>
  <si>
    <t>关</t>
  </si>
  <si>
    <t>护甲类型 :</t>
  </si>
  <si>
    <t>请看【防具表】</t>
  </si>
  <si>
    <t>提示</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</si>
  <si>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</si>
  <si>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</si>
  <si>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</si>
  <si>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</si>
  <si>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</si>
  <si>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</si>
  <si>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</si>
  <si>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</si>
  <si>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</si>
  <si>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</si>
  <si>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</si>
  <si>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</si>
  <si>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</si>
  <si>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</si>
  <si>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</si>
  <si>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</si>
  <si>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</si>
  <si>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</si>
  <si>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</si>
  <si>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</si>
  <si>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</si>
  <si>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</si>
  <si>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</si>
  <si>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</si>
  <si>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</si>
  <si>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提示当前职业</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</si>
  <si>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</si>
  <si>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</si>
  <si>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</si>
  <si>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</si>
  <si>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</si>
  <si>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</si>
  <si>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</si>
  <si>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</si>
  <si>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</si>
  <si>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</si>
  <si>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</si>
  <si>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</si>
  <si>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</si>
  <si>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</si>
  <si>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</si>
  <si>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</si>
  <si>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</si>
  <si>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</si>
  <si>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</si>
  <si>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</si>
  <si>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</si>
  <si>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</si>
  <si>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</si>
  <si>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</si>
  <si>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</si>
  <si>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</si>
  <si>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</si>
  <si>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</si>
  <si>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</si>
  <si>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</si>
  <si>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</si>
  <si>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</si>
  <si>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</si>
  <si>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</si>
  <si>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</si>
  <si>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</si>
  <si>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</si>
  <si>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</si>
  <si>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</si>
  <si>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</si>
  <si>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</si>
  <si>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</si>
  <si>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</si>
  <si>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</si>
  <si>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</si>
  <si>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</si>
  <si>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</si>
  <si>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</si>
  <si>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</si>
  <si>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</si>
  <si>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</si>
  <si>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</si>
  <si>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</si>
  <si>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</si>
  <si>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</si>
  <si>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</si>
  <si>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</si>
  <si>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</si>
  <si>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</si>
  <si>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</si>
  <si>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</si>
  <si>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</si>
  <si>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</si>
  <si>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</si>
  <si>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动物驯养</t>
  </si>
  <si>
    <t>急救</t>
  </si>
  <si>
    <t>潜水</t>
  </si>
  <si>
    <t>历史</t>
  </si>
  <si>
    <t>爆破</t>
  </si>
  <si>
    <t>职业介绍</t>
  </si>
  <si>
    <t>恐吓</t>
  </si>
  <si>
    <t>读唇</t>
  </si>
  <si>
    <t>跳跃</t>
  </si>
  <si>
    <t>催眠</t>
  </si>
  <si>
    <t>外语①</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</si>
  <si>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</si>
  <si>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</si>
  <si>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</si>
  <si>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</si>
  <si>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</si>
  <si>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</si>
  <si>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</si>
  <si>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</si>
  <si>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</si>
  <si>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</si>
  <si>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</si>
  <si>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</si>
  <si>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</si>
  <si>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</si>
  <si>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</si>
  <si>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</si>
  <si>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</si>
  <si>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</si>
  <si>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</si>
  <si>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无</t>
  </si>
  <si>
    <t>肉搏</t>
  </si>
  <si>
    <t>1D3+DB</t>
  </si>
  <si>
    <t>×</t>
  </si>
  <si>
    <t>体格
Build</t>
  </si>
  <si>
    <t>闪避
Dodge</t>
  </si>
  <si>
    <t>资产</t>
  </si>
  <si>
    <t>背景故事</t>
  </si>
  <si>
    <t>关键</t>
  </si>
  <si>
    <t>生活水平</t>
  </si>
  <si>
    <t>消费水平</t>
  </si>
  <si>
    <t>其他资产</t>
  </si>
  <si>
    <t>当前现金($)</t>
  </si>
  <si>
    <t>单位</t>
  </si>
  <si>
    <t>形象描述</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</si>
  <si>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</si>
  <si>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</si>
  <si>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</si>
  <si>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</si>
  <si>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</si>
  <si>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</si>
  <si>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</si>
  <si>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</si>
  <si>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</si>
  <si>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</si>
  <si>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</si>
  <si>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</si>
  <si>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</si>
  <si>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</si>
  <si>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</si>
  <si>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</si>
  <si>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</si>
  <si>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伤口和疤痕</t>
  </si>
  <si>
    <t>恐惧症和躁狂症</t>
  </si>
  <si>
    <t xml:space="preserve">                                      随身物品（使用右侧栏位需要背包）</t>
  </si>
  <si>
    <t>请务必在此填写背景故事！
使用Alt+Enter换行</t>
  </si>
  <si>
    <t>状态</t>
  </si>
  <si>
    <t>部位</t>
  </si>
  <si>
    <t>物品名称</t>
  </si>
  <si>
    <t>背包格↓</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</si>
  <si>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</si>
  <si>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</si>
  <si>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</si>
  <si>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</si>
  <si>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</si>
  <si>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</si>
  <si>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</si>
  <si>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</si>
  <si>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</si>
  <si>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</si>
  <si>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</si>
  <si>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例：如果此处空间不够</t>
  </si>
  <si>
    <t>可以前去【成长表】进行填写</t>
  </si>
  <si>
    <t>例：米-戈</t>
  </si>
  <si>
    <t>克苏鲁+3，克苏鲁(疯)+5，SAN-6，SAN(信)-8</t>
  </si>
  <si>
    <t>第一次神话疯狂，相信者规则激活</t>
  </si>
  <si>
    <t>例：修格斯</t>
  </si>
  <si>
    <t>克苏鲁+7，克苏鲁(疯)+1，SAN-5</t>
  </si>
  <si>
    <t>第二次神话疯狂</t>
  </si>
  <si>
    <t>杂项</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</si>
  <si>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</si>
  <si>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</si>
  <si>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</si>
  <si>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</si>
  <si>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</si>
  <si>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</si>
  <si>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</si>
  <si>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</si>
  <si>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</si>
  <si>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</si>
  <si>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</si>
  <si>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</si>
  <si>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</si>
  <si>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</si>
  <si>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</si>
  <si>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</si>
  <si>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</si>
  <si>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</si>
  <si>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</si>
  <si>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</si>
  <si>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</si>
  <si>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</si>
  <si>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</si>
  <si>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</si>
  <si>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</si>
  <si>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</si>
  <si>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</si>
  <si>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</si>
  <si>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</si>
  <si>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</si>
  <si>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</si>
  <si>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</si>
  <si>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</si>
  <si>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</si>
  <si>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</si>
  <si>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</si>
  <si>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</si>
  <si>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</si>
  <si>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</si>
  <si>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</si>
  <si>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</si>
  <si>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</si>
  <si>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</si>
  <si>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神乐</t>
  </si>
  <si>
    <t>一起出生入死的医生小姐</t>
  </si>
  <si>
    <t>成为了挚友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</si>
  <si>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</si>
  <si>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</si>
  <si>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</si>
  <si>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</si>
  <si>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</si>
  <si>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</si>
  <si>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</si>
  <si>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</si>
  <si>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</si>
  <si>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</si>
  <si>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</si>
  <si>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</si>
  <si>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</si>
  <si>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</si>
  <si>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</si>
  <si>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</si>
  <si>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</si>
  <si>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</si>
  <si>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</si>
  <si>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</si>
  <si>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</si>
  <si>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</si>
  <si>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</si>
  <si>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</si>
  <si>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</si>
  <si>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</si>
  <si>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</si>
  <si>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</si>
  <si>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</si>
  <si>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丛雨 2023/12</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</si>
  <si>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</si>
  <si>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</si>
  <si>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</si>
  <si>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</si>
  <si>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</si>
  <si>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</si>
  <si>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</si>
  <si>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</si>
  <si>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</si>
  <si>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</si>
  <si>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</si>
  <si>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</si>
  <si>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</si>
  <si>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</si>
  <si>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</si>
  <si>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</si>
  <si>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</si>
  <si>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</si>
  <si>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</si>
  <si>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</si>
  <si>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</si>
  <si>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</si>
  <si>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</si>
  <si>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</si>
  <si>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信仰</t>
  </si>
  <si>
    <t>重要人</t>
  </si>
  <si>
    <t>重要地</t>
  </si>
  <si>
    <t>宝物</t>
  </si>
  <si>
    <t>伤疤</t>
  </si>
  <si>
    <t>恐惧</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</si>
  <si>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</si>
  <si>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</si>
  <si>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</si>
  <si>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</si>
  <si>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</si>
  <si>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全技能导入，无简化，基本适合全部骰娘</t>
  </si>
  <si>
    <t>请“复制”下格，就可以导出文本，放进QQ发送给骰子娘啦</t>
  </si>
  <si>
    <t>→</t>
  </si>
  <si>
    <t>绝大部分骰娘，包括OlivaDice、Dice!、MDice、塔骰，海豹等。</t>
  </si>
  <si>
    <t>如果不能使用，请复制到txt文档，然后再复制到QQ</t>
  </si>
  <si>
    <t>带有调查员姓名的全导入</t>
  </si>
  <si>
    <t>这种骰娘，在你输入.bot后，开头会出现以下字样之一
1.Dice made in java
2.ZhaoDice
3.OlivaDice（版本3.0.0+）</t>
  </si>
  <si>
    <t>“考编”骰娘短导入</t>
  </si>
  <si>
    <t>这种骰娘，是“考编”形式的骰娘，也叫“编制骰”，因为无法录入过长指令，所以只能分段导入或者使用此导入。</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</si>
  <si>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</si>
  <si>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</si>
  <si>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</si>
  <si>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</si>
  <si>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</si>
  <si>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</si>
  <si>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</si>
  <si>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</si>
  <si>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</si>
  <si>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</si>
  <si>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</si>
  <si>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</si>
  <si>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</si>
  <si>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</si>
  <si>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</si>
  <si>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</si>
  <si>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</si>
  <si>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</si>
  <si>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</si>
  <si>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</si>
  <si>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</si>
  <si>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</si>
  <si>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</si>
  <si>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</si>
  <si>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</si>
  <si>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</si>
  <si>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</si>
  <si>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</si>
  <si>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</si>
  <si>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</si>
  <si>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</si>
  <si>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</si>
  <si>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</si>
  <si>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</si>
  <si>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</si>
  <si>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</si>
  <si>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</si>
  <si>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</si>
  <si>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</si>
  <si>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</si>
  <si>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</si>
  <si>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</si>
  <si>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</si>
  <si>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</si>
  <si>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</si>
  <si>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</si>
  <si>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</si>
  <si>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</si>
  <si>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</si>
  <si>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</si>
  <si>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</si>
  <si>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</si>
  <si>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</si>
  <si>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</si>
  <si>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</si>
  <si>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</si>
  <si>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</si>
  <si>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序号</t>
  </si>
  <si>
    <t>职业属性</t>
  </si>
  <si>
    <t>技能点</t>
  </si>
  <si>
    <t>本职技能</t>
  </si>
  <si>
    <t>推荐关系人</t>
  </si>
  <si>
    <t>选择职业序号为0，则清除职业模板提示和点数计算器。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</si>
  <si>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</si>
  <si>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</si>
  <si>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</si>
  <si>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</si>
  <si>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会计师</t>
  </si>
  <si>
    <t>30-70</t>
  </si>
  <si>
    <t>教育×4</t>
  </si>
  <si>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</si>
  <si>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</si>
  <si>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</si>
  <si>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</si>
  <si>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t>9-20</t>
  </si>
  <si>
    <t>教育×2＋敏捷×2</t>
  </si>
  <si>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</si>
  <si>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</si>
  <si>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</si>
  <si>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</si>
  <si>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</si>
  <si>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</si>
  <si>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</si>
  <si>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</si>
  <si>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</si>
  <si>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</si>
  <si>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</si>
  <si>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</si>
  <si>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</si>
  <si>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</si>
  <si>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</si>
  <si>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</si>
  <si>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</si>
  <si>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</si>
  <si>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</si>
  <si>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</si>
  <si>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10-60</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</si>
  <si>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</si>
  <si>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</si>
  <si>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</si>
  <si>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</si>
  <si>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</si>
  <si>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</si>
  <si>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</si>
  <si>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</si>
  <si>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</si>
  <si>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</si>
  <si>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</si>
  <si>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</si>
  <si>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</si>
  <si>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</si>
  <si>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</si>
  <si>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</si>
  <si>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</si>
  <si>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</si>
  <si>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</si>
  <si>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</si>
  <si>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</si>
  <si>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</si>
  <si>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</si>
  <si>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</si>
  <si>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</si>
  <si>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</si>
  <si>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</si>
  <si>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</si>
  <si>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</si>
  <si>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</si>
  <si>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</si>
  <si>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</si>
  <si>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</si>
  <si>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</si>
  <si>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</si>
  <si>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</si>
  <si>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</si>
  <si>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</si>
  <si>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</si>
  <si>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</si>
  <si>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</si>
  <si>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</si>
  <si>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</si>
  <si>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</si>
  <si>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</si>
  <si>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</si>
  <si>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</si>
  <si>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</si>
  <si>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</si>
  <si>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</si>
  <si>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</si>
  <si>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</si>
  <si>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</si>
  <si>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</si>
  <si>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</si>
  <si>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</si>
  <si>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</si>
  <si>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</si>
  <si>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</si>
  <si>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</si>
  <si>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</si>
  <si>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</si>
  <si>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</si>
  <si>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</si>
  <si>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</si>
  <si>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</si>
  <si>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</si>
  <si>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</si>
  <si>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</si>
  <si>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</si>
  <si>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</si>
  <si>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</si>
  <si>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</si>
  <si>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</si>
  <si>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</si>
  <si>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</si>
  <si>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</si>
  <si>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</si>
  <si>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</si>
  <si>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</si>
  <si>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</si>
  <si>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神职人员</t>
  </si>
  <si>
    <t>会计，历史，图书馆，聆听，外语，一项社交技能（取悦、话术、恐吓、说服），心理学，任意一项其他技能。</t>
  </si>
  <si>
    <t>所有属性的点数相加</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</si>
  <si>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</si>
  <si>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</si>
  <si>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</si>
  <si>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</si>
  <si>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</si>
  <si>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</si>
  <si>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</si>
  <si>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</si>
  <si>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</si>
  <si>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</si>
  <si>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</si>
  <si>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</si>
  <si>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</si>
  <si>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</si>
  <si>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</si>
  <si>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</si>
  <si>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</si>
  <si>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</si>
  <si>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</si>
  <si>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罪犯-刺客</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</si>
  <si>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</si>
  <si>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</si>
  <si>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</si>
  <si>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</si>
  <si>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罪犯-银行劫匪</t>
  </si>
  <si>
    <t>5-75</t>
  </si>
  <si>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</si>
  <si>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</si>
  <si>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</si>
  <si>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</si>
  <si>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t>5-30</t>
  </si>
  <si>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</si>
  <si>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</si>
  <si>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</si>
  <si>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罪犯-窃贼</t>
  </si>
  <si>
    <t>5-40</t>
  </si>
  <si>
    <t>估价，攀爬，电气维修或机械维修，聆听，锁匠，妙手，潜行，侦查。</t>
  </si>
  <si>
    <t>赃物贩子，其他的盗贼。</t>
  </si>
  <si>
    <t>罪犯-欺诈师</t>
  </si>
  <si>
    <t>10-65</t>
  </si>
  <si>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</si>
  <si>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</si>
  <si>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</si>
  <si>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罪犯-独行罪犯</t>
  </si>
  <si>
    <t>5-65</t>
  </si>
  <si>
    <t>教育×2＋敏捷或外貌×2</t>
  </si>
  <si>
    <t>技艺（表演）或乔装，估价，一项社交技能（取悦、话术、恐吓、说服），格斗或射击，锁匠或机械维修，潜行，心理学，侦查。</t>
  </si>
  <si>
    <t>轻罪罪犯，本地执法机构。</t>
  </si>
  <si>
    <t>罪犯-女飞贼（古典）</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</si>
  <si>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</si>
  <si>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</si>
  <si>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</si>
  <si>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</si>
  <si>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罪犯-赃物贩子</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</si>
  <si>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</si>
  <si>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</si>
  <si>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</si>
  <si>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罪犯-赝造者</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</si>
  <si>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</si>
  <si>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</si>
  <si>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</si>
  <si>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</si>
  <si>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t>罪犯-走私者</t>
  </si>
  <si>
    <t>教育×2＋外貌或敏捷×2</t>
  </si>
  <si>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</si>
  <si>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</si>
  <si>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</si>
  <si>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罪犯-混混</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</si>
  <si>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</si>
  <si>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</si>
  <si>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</si>
  <si>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</si>
  <si>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教团首领</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</si>
  <si>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</si>
  <si>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</si>
  <si>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</si>
  <si>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除魅师（现代）</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</si>
  <si>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</si>
  <si>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</si>
  <si>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</si>
  <si>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设计师</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</si>
  <si>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</si>
  <si>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</si>
  <si>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</si>
  <si>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业余艺术爱好者（原作向）</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</si>
  <si>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</si>
  <si>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</si>
  <si>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</si>
  <si>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</si>
  <si>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潜水员</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</si>
  <si>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</si>
  <si>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</si>
  <si>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</si>
  <si>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医生（原作向）</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</si>
  <si>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</si>
  <si>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</si>
  <si>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</si>
  <si>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</si>
  <si>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流浪者</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</si>
  <si>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</si>
  <si>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</si>
  <si>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</si>
  <si>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</si>
  <si>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</si>
  <si>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司机-私人司机</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</si>
  <si>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</si>
  <si>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</si>
  <si>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</si>
  <si>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司机-司机</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</si>
  <si>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</si>
  <si>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</si>
  <si>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</si>
  <si>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司机-出租车司机</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</si>
  <si>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</si>
  <si>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</si>
  <si>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</si>
  <si>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编辑</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</si>
  <si>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</si>
  <si>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</si>
  <si>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</si>
  <si>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</si>
  <si>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政府官员</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</si>
  <si>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</si>
  <si>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</si>
  <si>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</si>
  <si>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</si>
  <si>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工程师</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</si>
  <si>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</si>
  <si>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</si>
  <si>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</si>
  <si>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艺人</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</si>
  <si>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</si>
  <si>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</si>
  <si>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</si>
  <si>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探险家（古典）</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</si>
  <si>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</si>
  <si>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</si>
  <si>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</si>
  <si>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</si>
  <si>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农民</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</si>
  <si>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</si>
  <si>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</si>
  <si>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</si>
  <si>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联邦探员</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</si>
  <si>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</si>
  <si>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</si>
  <si>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</si>
  <si>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消防员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</si>
  <si>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</si>
  <si>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</si>
  <si>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</si>
  <si>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驻外记者</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</si>
  <si>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</si>
  <si>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</si>
  <si>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</si>
  <si>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法医</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</si>
  <si>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</si>
  <si>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</si>
  <si>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</si>
  <si>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</si>
  <si>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赌徒</t>
  </si>
  <si>
    <t>8-50</t>
  </si>
  <si>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</si>
  <si>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</si>
  <si>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</si>
  <si>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黑帮-黑帮老大</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</si>
  <si>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</si>
  <si>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</si>
  <si>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</si>
  <si>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</si>
  <si>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黑帮-马仔</t>
  </si>
  <si>
    <t>汽车驾驶，格斗，射击，两项社交技能（取悦、话术、恐吓、说服），心理学，任意两项其他个人或时代特长。</t>
  </si>
  <si>
    <t>街头罪犯，警察，企业，同民族的代表。</t>
  </si>
  <si>
    <t>绅士、淑女</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</si>
  <si>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</si>
  <si>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</si>
  <si>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</si>
  <si>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</si>
  <si>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游民</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</si>
  <si>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</si>
  <si>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</si>
  <si>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</si>
  <si>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</si>
  <si>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t>6-15</t>
  </si>
  <si>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</si>
  <si>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</si>
  <si>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</si>
  <si>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</si>
  <si>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</si>
  <si>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</si>
  <si>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</si>
  <si>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</si>
  <si>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</si>
  <si>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</si>
  <si>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</si>
  <si>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</si>
  <si>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</si>
  <si>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</si>
  <si>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</si>
  <si>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</si>
  <si>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</si>
  <si>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</si>
  <si>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</si>
  <si>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</si>
  <si>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</si>
  <si>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</si>
  <si>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</si>
  <si>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</si>
  <si>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</si>
  <si>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攀爬，闪避，格斗（链锯），急救，跳跃，机械维修，自然或科学（生物学或植物学），投掷。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</si>
  <si>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</si>
  <si>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</si>
  <si>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</si>
  <si>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</si>
  <si>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</si>
  <si>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</si>
  <si>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</si>
  <si>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</si>
  <si>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</si>
  <si>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</si>
  <si>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</si>
  <si>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</si>
  <si>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</si>
  <si>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</si>
  <si>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</si>
  <si>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</si>
  <si>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</si>
  <si>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</si>
  <si>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</si>
  <si>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</si>
  <si>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</si>
  <si>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</si>
  <si>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</si>
  <si>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</si>
  <si>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</si>
  <si>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</si>
  <si>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</si>
  <si>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</si>
  <si>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</si>
  <si>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</si>
  <si>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</si>
  <si>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</si>
  <si>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</si>
  <si>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</si>
  <si>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</si>
  <si>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</si>
  <si>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</si>
  <si>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</si>
  <si>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</si>
  <si>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</si>
  <si>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</si>
  <si>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</si>
  <si>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</si>
  <si>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</si>
  <si>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</si>
  <si>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</si>
  <si>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</si>
  <si>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</si>
  <si>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</si>
  <si>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</si>
  <si>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</si>
  <si>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</si>
  <si>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</si>
  <si>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</si>
  <si>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</si>
  <si>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</si>
  <si>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</si>
  <si>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</si>
  <si>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</si>
  <si>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</si>
  <si>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</si>
  <si>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</si>
  <si>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</si>
  <si>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</si>
  <si>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</si>
  <si>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</si>
  <si>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</si>
  <si>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</si>
  <si>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</si>
  <si>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</si>
  <si>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</si>
  <si>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</si>
  <si>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</si>
  <si>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</si>
  <si>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</si>
  <si>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</si>
  <si>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</si>
  <si>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</si>
  <si>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</si>
  <si>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</si>
  <si>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</si>
  <si>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</si>
  <si>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</si>
  <si>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</si>
  <si>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</si>
  <si>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</si>
  <si>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</si>
  <si>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</si>
  <si>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</si>
  <si>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</si>
  <si>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</si>
  <si>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</si>
  <si>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</si>
  <si>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</si>
  <si>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</si>
  <si>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</si>
  <si>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</si>
  <si>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</si>
  <si>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</si>
  <si>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</si>
  <si>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</si>
  <si>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</si>
  <si>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</si>
  <si>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</si>
  <si>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</si>
  <si>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</si>
  <si>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</si>
  <si>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</si>
  <si>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</si>
  <si>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</si>
  <si>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</si>
  <si>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</si>
  <si>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</si>
  <si>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</si>
  <si>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</si>
  <si>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</si>
  <si>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</si>
  <si>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教育×2＋敏捷或力量×2</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</si>
  <si>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</si>
  <si>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</si>
  <si>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</si>
  <si>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</si>
  <si>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</si>
  <si>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</si>
  <si>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</si>
  <si>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</si>
  <si>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</si>
  <si>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</si>
  <si>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</si>
  <si>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</si>
  <si>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</si>
  <si>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</si>
  <si>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</si>
  <si>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</si>
  <si>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</si>
  <si>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</si>
  <si>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</si>
  <si>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</si>
  <si>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</si>
  <si>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</si>
  <si>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</si>
  <si>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</si>
  <si>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</si>
  <si>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</si>
  <si>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</si>
  <si>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</si>
  <si>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</si>
  <si>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</si>
  <si>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</si>
  <si>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5-10</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</si>
  <si>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</si>
  <si>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</si>
  <si>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</si>
  <si>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</si>
  <si>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</si>
  <si>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</si>
  <si>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</si>
  <si>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</si>
  <si>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</si>
  <si>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</si>
  <si>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</si>
  <si>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</si>
  <si>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</si>
  <si>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</si>
  <si>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</si>
  <si>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</si>
  <si>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</si>
  <si>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</si>
  <si>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</si>
  <si>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</si>
  <si>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</si>
  <si>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</si>
  <si>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</si>
  <si>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</si>
  <si>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</si>
  <si>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</si>
  <si>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</si>
  <si>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</si>
  <si>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</si>
  <si>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</si>
  <si>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</si>
  <si>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</si>
  <si>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</si>
  <si>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</si>
  <si>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</si>
  <si>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</si>
  <si>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</si>
  <si>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</si>
  <si>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</si>
  <si>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</si>
  <si>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</si>
  <si>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</si>
  <si>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</si>
  <si>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</si>
  <si>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</si>
  <si>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</si>
  <si>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t>《克苏鲁的呼唤调查员伴侣》职业，使用前请征得KP同意。</t>
  </si>
  <si>
    <t>运动员（游泳/潜水）</t>
  </si>
  <si>
    <t>攀爬，跳跃，格斗（斗殴），外语，一项社交技能（取悦、话术、恐吓、说服），游泳，投掷，任意一项其他个人或时代特长。</t>
  </si>
  <si>
    <t>运动员（高尔夫）</t>
  </si>
  <si>
    <t>50-70</t>
  </si>
  <si>
    <t>攀爬，跳跃，格斗（斗殴），骑术，一项社交技能（取悦、话术、恐吓、说服），游泳，投掷，任意一项其他个人或时代特长。</t>
  </si>
  <si>
    <t>其他高尔夫球手，体育专栏作家，俱乐部同好。</t>
  </si>
  <si>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</si>
  <si>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</si>
  <si>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</si>
  <si>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</si>
  <si>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</si>
  <si>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</si>
  <si>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</si>
  <si>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</si>
  <si>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</si>
  <si>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</si>
  <si>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</si>
  <si>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</si>
  <si>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</si>
  <si>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</si>
  <si>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</si>
  <si>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</si>
  <si>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</si>
  <si>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</si>
  <si>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</si>
  <si>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</si>
  <si>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</si>
  <si>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</si>
  <si>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</si>
  <si>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</si>
  <si>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</si>
  <si>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</si>
  <si>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</si>
  <si>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</si>
  <si>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</si>
  <si>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</si>
  <si>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</si>
  <si>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</si>
  <si>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</si>
  <si>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</si>
  <si>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</si>
  <si>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</si>
  <si>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</si>
  <si>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</si>
  <si>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</si>
  <si>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</si>
  <si>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</si>
  <si>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</si>
  <si>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</si>
  <si>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外科医生/内科医生</t>
  </si>
  <si>
    <t>整形医生</t>
  </si>
  <si>
    <t>医疗专家，好莱坞，可能有罪犯。</t>
  </si>
  <si>
    <t>司机-公交司机</t>
  </si>
  <si>
    <t>会计，汽车驾驶，电气维修，机械维修，导航，一项社交技能（取悦、话术、恐吓、说服），心理学，任意一项其他个人或时代特长。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</si>
  <si>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</si>
  <si>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</si>
  <si>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</si>
  <si>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</si>
  <si>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</si>
  <si>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</si>
  <si>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</si>
  <si>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</si>
  <si>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</si>
  <si>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</si>
  <si>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</si>
  <si>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</si>
  <si>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</si>
  <si>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</si>
  <si>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20-30</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</si>
  <si>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</si>
  <si>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</si>
  <si>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</si>
  <si>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</si>
  <si>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</si>
  <si>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</si>
  <si>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</si>
  <si>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</si>
  <si>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</si>
  <si>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</si>
  <si>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</si>
  <si>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</si>
  <si>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</si>
  <si>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</si>
  <si>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会计，两项社交技能（取悦、话术、恐吓、说服），汽车驾驶，导航，聆听，心理学，一项其他技能。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</si>
  <si>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</si>
  <si>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</si>
  <si>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</si>
  <si>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</si>
  <si>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</si>
  <si>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</si>
  <si>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</si>
  <si>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60-90</t>
  </si>
  <si>
    <t>会计，估价，母语，两项社交技能（取悦、话术、恐吓、说服），心理学，任意两项其他个人或时代特长。</t>
  </si>
  <si>
    <t>商界，饥渴的投资人。</t>
  </si>
  <si>
    <t>勘测员</t>
  </si>
  <si>
    <t>会计，艺术（摄影），图书馆，博物学，导航，生存（任一），侦察，任意一项其他个人或时代特长。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</si>
  <si>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</si>
  <si>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</si>
  <si>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</si>
  <si>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</si>
  <si>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</si>
  <si>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</si>
  <si>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</si>
  <si>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</si>
  <si>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</si>
  <si>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</si>
  <si>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</si>
  <si>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</si>
  <si>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</si>
  <si>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</si>
  <si>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</si>
  <si>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</si>
  <si>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</si>
  <si>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</si>
  <si>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</si>
  <si>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</si>
  <si>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</si>
  <si>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</si>
  <si>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</si>
  <si>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</si>
  <si>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t>《日本秘史》职业，使用前请征得KP同意。</t>
  </si>
  <si>
    <t>居合</t>
  </si>
  <si>
    <t>格斗（日本刀）</t>
  </si>
  <si>
    <t>暴走族</t>
  </si>
  <si>
    <t>格斗（斗殴），汽车驾驶，机械维修，话术，恐吓，任意三项其他个人或时代特长。</t>
  </si>
  <si>
    <t>黑帮，其他暴走族和警察。</t>
  </si>
  <si>
    <t>柔道</t>
  </si>
  <si>
    <t>神职人员(和尚,尼姑)</t>
  </si>
  <si>
    <t>5-60</t>
  </si>
  <si>
    <t>艺术（书法），历史或图书馆，外语（汉语或梵语），学识（佛教），一项社交技能（取悦、话术、恐吓、说服），心理学，聆听，任意一项其他个人或时代特长。</t>
  </si>
  <si>
    <t>社区领袖，殡葬业者等。</t>
  </si>
  <si>
    <t>空手道</t>
  </si>
  <si>
    <t>神职人员(神官,巫女)</t>
  </si>
  <si>
    <t>艺术（书法，另任一），图书馆，神秘学，学识（神道教），一项社交技能（取悦、话术、恐吓、说服），心理学，任意一项其他个人或时代特长。</t>
  </si>
  <si>
    <t>弓道</t>
  </si>
  <si>
    <t>射击（弓术）</t>
  </si>
  <si>
    <t>风水师</t>
  </si>
  <si>
    <t>艺术（任一），图书馆，神秘学，学识（道教），一项社交技能（取悦、话术、恐吓、说服），科学（天文，地质），任意一项其他个人或时代特长。</t>
  </si>
  <si>
    <t>薙刀</t>
  </si>
  <si>
    <t>家传降妖人</t>
  </si>
  <si>
    <t>格斗（斗殴），博物学，神秘学，学识（佛教或神道教），心理学，潜行，任意两项其他个人或时代特长。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</si>
  <si>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</si>
  <si>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</si>
  <si>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</si>
  <si>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</si>
  <si>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</si>
  <si>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</si>
  <si>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</si>
  <si>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</si>
  <si>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</si>
  <si>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</si>
  <si>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艺术（书法，另任一），历史或图书馆，母语，学识（阴阳道），科学（天文），神秘学，任意一项其他个人或时代特长。</t>
  </si>
  <si>
    <t>炼丹师</t>
  </si>
  <si>
    <t>图书馆，医学，神秘学，科学（化学），博物学，学识（道教），外语（汉语），急救或精神分析。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</si>
  <si>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</si>
  <si>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</si>
  <si>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</si>
  <si>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</si>
  <si>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</si>
  <si>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</si>
  <si>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</si>
  <si>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相扑力士(SIZ&gt;80,STR&gt;70)</t>
  </si>
  <si>
    <t>闪避，格斗（斗殴），恐吓，跳跃，心理学，侦察，任意两项其他个人或时代特长。(你的体型可以超过99)</t>
  </si>
  <si>
    <t>忍术流派：忍者职业自动取得，其他人不能取得。该流派可以保密</t>
  </si>
  <si>
    <t>渔民</t>
  </si>
  <si>
    <t>机械维修，操作重型机械，游泳，驾驶（船），科学（天文），导航，博物学，侦察。</t>
  </si>
  <si>
    <t>日系特定规则
《克苏鲁2010》
《克苏鲁与帝国》
《克苏鲁2015》
职业</t>
  </si>
  <si>
    <t>地方渔业部门，海警，养殖业者，潜水员。</t>
  </si>
  <si>
    <t>日系特定规则《克苏鲁2010》职业，使用前请征得KP同意。</t>
  </si>
  <si>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</si>
  <si>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</si>
  <si>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</si>
  <si>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</si>
  <si>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工艺（任一），图书馆，格斗（矛）或射击（弓术），外语（任一）。</t>
  </si>
  <si>
    <t>日系特定规则《克苏鲁与帝国》职业，使用前请征得KP同意。</t>
  </si>
  <si>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</si>
  <si>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</si>
  <si>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</si>
  <si>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</si>
  <si>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</si>
  <si>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t>日系特定规则《克苏鲁2015》职业，使用前请征得KP同意。</t>
  </si>
  <si>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</si>
  <si>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</si>
  <si>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</si>
  <si>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</si>
  <si>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</si>
  <si>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</si>
  <si>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</si>
  <si>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急救，聆听，跳跃，追踪，攀爬，导航，生存（山地），外语。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</si>
  <si>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</si>
  <si>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</si>
  <si>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</si>
  <si>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</si>
  <si>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</si>
  <si>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电气维修或机械维修，格斗，射击，急救，导航，驾驶（船），生存（海上），游泳。</t>
  </si>
  <si>
    <t>海警</t>
  </si>
  <si>
    <t>急救，机械维修，博物学，导航，一项社交技能（取悦、话术、恐吓、说服），驾驶（船），侦察，游泳。</t>
  </si>
  <si>
    <t>陆上自卫队员</t>
  </si>
  <si>
    <t>私人军事公司成员</t>
  </si>
  <si>
    <t>冒险家教授</t>
  </si>
  <si>
    <t>攀爬或游泳，射击，历史，跳跃，博物学，导航，外语，生存。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</si>
  <si>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</si>
  <si>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</si>
  <si>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</si>
  <si>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</si>
  <si>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</si>
  <si>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</si>
  <si>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</si>
  <si>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</si>
  <si>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</si>
  <si>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</si>
  <si>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</si>
  <si>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</si>
  <si>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</si>
  <si>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</si>
  <si>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</si>
  <si>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</si>
  <si>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</si>
  <si>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</si>
  <si>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</si>
  <si>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</si>
  <si>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</si>
  <si>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</si>
  <si>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</si>
  <si>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</si>
  <si>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</si>
  <si>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</si>
  <si>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</si>
  <si>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</si>
  <si>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1-10</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</si>
  <si>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</si>
  <si>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</si>
  <si>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</si>
  <si>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</si>
  <si>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</si>
  <si>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</si>
  <si>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</si>
  <si>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《克苏鲁煤气灯》
职业</t>
  </si>
  <si>
    <t>《克苏鲁煤气灯》1980s职业，使用前请征得KP同意。</t>
  </si>
  <si>
    <t>考古学家</t>
  </si>
  <si>
    <t>会计，艺术（任意），估价，历史，图书馆，其他语言（欧洲），一项社交技能（取悦、话术、恐吓、说服），心理学，侦查，任意两项其他个人或时代特长</t>
  </si>
  <si>
    <t>贵族</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</si>
  <si>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</si>
  <si>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</si>
  <si>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</si>
  <si>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</si>
  <si>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</si>
  <si>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</si>
  <si>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</si>
  <si>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</si>
  <si>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20-65</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</si>
  <si>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</si>
  <si>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</si>
  <si>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</si>
  <si>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</si>
  <si>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</si>
  <si>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</si>
  <si>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</si>
  <si>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</si>
  <si>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</si>
  <si>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</si>
  <si>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</si>
  <si>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40-75</t>
  </si>
  <si>
    <t>潜行，急救，射击（手枪、来复枪）,导航，其他语言（任意）,一项社交技能（取悦、话术、恐吓、说服）,心理学，骑术,格斗（剑），侦查，（攀爬、游泳）中的一种</t>
  </si>
  <si>
    <t>探险家</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</si>
  <si>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</si>
  <si>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</si>
  <si>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</si>
  <si>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</si>
  <si>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</si>
  <si>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</si>
  <si>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</si>
  <si>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</si>
  <si>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</si>
  <si>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</si>
  <si>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</si>
  <si>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</si>
  <si>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</si>
  <si>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</si>
  <si>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</si>
  <si>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</si>
  <si>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</si>
  <si>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</si>
  <si>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</si>
  <si>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</si>
  <si>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</si>
  <si>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</si>
  <si>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</si>
  <si>
    <t>技能成长表</t>
  </si>
  <si>
    <t>这个表仅作为额外内容，起到辅助记录作用</t>
  </si>
  <si>
    <t>成长+初始</t>
  </si>
  <si>
    <t>总计成长</t>
  </si>
  <si>
    <t>示例</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</si>
  <si>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</si>
  <si>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</si>
  <si>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</si>
  <si>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</si>
  <si>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</si>
  <si>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</si>
  <si>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</si>
  <si>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</si>
  <si>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</si>
  <si>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</si>
  <si>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</si>
  <si>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</si>
  <si>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</si>
  <si>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</si>
  <si>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</si>
  <si>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</si>
  <si>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</si>
  <si>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</si>
  <si>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</si>
  <si>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</si>
  <si>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</si>
  <si>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</si>
  <si>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</si>
  <si>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</si>
  <si>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</si>
  <si>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</si>
  <si>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</si>
  <si>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</si>
  <si>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</si>
  <si>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</si>
  <si>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</si>
  <si>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</si>
  <si>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</si>
  <si>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</si>
  <si>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</si>
  <si>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</si>
  <si>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</si>
  <si>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</si>
  <si>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</si>
  <si>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</si>
  <si>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</si>
  <si>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</si>
  <si>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</si>
  <si>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</si>
  <si>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</si>
  <si>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</si>
  <si>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</si>
  <si>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</si>
  <si>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</si>
  <si>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</si>
  <si>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</si>
  <si>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</si>
  <si>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</si>
  <si>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</si>
  <si>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</si>
  <si>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</si>
  <si>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</si>
  <si>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</si>
  <si>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</si>
  <si>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</si>
  <si>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</si>
  <si>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</si>
  <si>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</si>
  <si>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</si>
  <si>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</si>
  <si>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</si>
  <si>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</si>
  <si>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</si>
  <si>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</si>
  <si>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</si>
  <si>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</si>
  <si>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</si>
  <si>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</si>
  <si>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</si>
  <si>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</si>
  <si>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</si>
  <si>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</si>
  <si>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</si>
  <si>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</si>
  <si>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</si>
  <si>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</si>
  <si>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</si>
  <si>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</si>
  <si>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</si>
  <si>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</si>
  <si>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</si>
  <si>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</si>
  <si>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</si>
  <si>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</si>
  <si>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</si>
  <si>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</si>
  <si>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</si>
  <si>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</si>
  <si>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</si>
  <si>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</si>
  <si>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</si>
  <si>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</si>
  <si>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</si>
  <si>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</si>
  <si>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此处填入成长数值</t>
  </si>
  <si>
    <t>后面依次类推哦</t>
  </si>
  <si>
    <t>如果需要补充成长属性的相关经历</t>
  </si>
  <si>
    <t>可以解锁工作表后右键单元格</t>
  </si>
  <si>
    <t>添加批注</t>
  </si>
  <si>
    <t>就像这样，点击此单元格可以看到批注</t>
  </si>
  <si>
    <t>有些时候我们的属性没有发生变化</t>
  </si>
  <si>
    <t>但也影响了调查员</t>
  </si>
  <si>
    <t>此类内容可移动至该表格的最下方进行描述</t>
  </si>
  <si>
    <t>格斗：斗殴</t>
  </si>
  <si>
    <t>射击：手枪</t>
  </si>
  <si>
    <t>驯兽</t>
  </si>
  <si>
    <t>模组内容经历</t>
  </si>
  <si>
    <t>模组内容经历描述，此类事件一般没有改变属性，但是对调查员的其他方面造成了一些影响。</t>
  </si>
  <si>
    <t>得到了一只听话的小狗</t>
  </si>
  <si>
    <t>在XX地区结识了当地的权贵</t>
  </si>
  <si>
    <t>XX欠了你一个大人情</t>
  </si>
  <si>
    <t>得到了一本《XXXX》</t>
  </si>
  <si>
    <t>自定义职业</t>
  </si>
  <si>
    <t>事务所侦探</t>
  </si>
  <si>
    <t>非熟练工人</t>
  </si>
  <si>
    <t>司法家</t>
  </si>
  <si>
    <t>赛车手/赛艇手</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</si>
  <si>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</si>
  <si>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</si>
  <si>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</si>
  <si>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</si>
  <si>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</si>
  <si>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</si>
  <si>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</si>
  <si>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</si>
  <si>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</si>
  <si>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</si>
  <si>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</si>
  <si>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</si>
  <si>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</si>
  <si>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</si>
  <si>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</si>
  <si>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</si>
  <si>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</si>
  <si>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</si>
  <si>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</si>
  <si>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</si>
  <si>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</si>
  <si>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</si>
  <si>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</si>
  <si>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</si>
  <si>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</si>
  <si>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</si>
  <si>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</si>
  <si>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</si>
  <si>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</si>
  <si>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</si>
  <si>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</si>
  <si>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</si>
  <si>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</si>
  <si>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</si>
  <si>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</si>
  <si>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</si>
  <si>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</si>
  <si>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</si>
  <si>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</si>
  <si>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</si>
  <si>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</si>
  <si>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</si>
  <si>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</si>
  <si>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</si>
  <si>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</si>
  <si>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</si>
  <si>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</si>
  <si>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</si>
  <si>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</si>
  <si>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</si>
  <si>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</si>
  <si>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</si>
  <si>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</si>
  <si>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</si>
  <si>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</si>
  <si>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</si>
  <si>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</si>
  <si>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</si>
  <si>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</si>
  <si>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</si>
  <si>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</si>
  <si>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</si>
  <si>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</si>
  <si>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</si>
  <si>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</si>
  <si>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</si>
  <si>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</si>
  <si>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移动力计算</t>
  </si>
  <si>
    <t>护甲表减值
是否开启</t>
  </si>
  <si>
    <t>护甲表减值</t>
  </si>
  <si>
    <t>年龄减值</t>
  </si>
  <si>
    <t>力量-体型</t>
  </si>
  <si>
    <t>技能雷达表</t>
  </si>
  <si>
    <t>值</t>
  </si>
  <si>
    <t>总数</t>
  </si>
  <si>
    <t>百分比</t>
  </si>
  <si>
    <t>伤害加值与体格</t>
  </si>
  <si>
    <t>shiyong</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</si>
  <si>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</si>
  <si>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</si>
  <si>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</si>
  <si>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</si>
  <si>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</si>
  <si>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</si>
  <si>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</si>
  <si>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</si>
  <si>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</si>
  <si>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</si>
  <si>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</si>
  <si>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</si>
  <si>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</si>
  <si>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</si>
  <si>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</si>
  <si>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</si>
  <si>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</si>
  <si>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</si>
  <si>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</si>
  <si>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</si>
  <si>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</si>
  <si>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</si>
  <si>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</si>
  <si>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</si>
  <si>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</si>
  <si>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</si>
  <si>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</si>
  <si>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</si>
  <si>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</si>
  <si>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</si>
  <si>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</si>
  <si>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</si>
  <si>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</si>
  <si>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</si>
  <si>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</si>
  <si>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</si>
  <si>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</si>
  <si>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</si>
  <si>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</si>
  <si>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</si>
  <si>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</si>
  <si>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</si>
  <si>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</si>
  <si>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</si>
  <si>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</si>
  <si>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</si>
  <si>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</si>
  <si>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</si>
  <si>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</si>
  <si>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</si>
  <si>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</si>
  <si>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</si>
  <si>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</si>
  <si>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</si>
  <si>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</si>
  <si>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</si>
  <si>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</si>
  <si>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</si>
  <si>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</si>
  <si>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已用总数</t>
  </si>
  <si>
    <t>是否停用</t>
  </si>
  <si>
    <t>其他(头)</t>
  </si>
  <si>
    <t>躯————</t>
  </si>
  <si>
    <t>显露</t>
  </si>
  <si>
    <t>剩余</t>
  </si>
  <si>
    <t>目前值</t>
  </si>
  <si>
    <t>肩</t>
  </si>
  <si>
    <t>隐藏</t>
  </si>
  <si>
    <t>分类</t>
  </si>
  <si>
    <t>胸前</t>
  </si>
  <si>
    <t>最终显示</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</si>
  <si>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</si>
  <si>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</si>
  <si>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</si>
  <si>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</si>
  <si>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</si>
  <si>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</si>
  <si>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</si>
  <si>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</si>
  <si>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</si>
  <si>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</si>
  <si>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</si>
  <si>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</si>
  <si>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</si>
  <si>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</si>
  <si>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</si>
  <si>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</si>
  <si>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</si>
  <si>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</si>
  <si>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</si>
  <si>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</si>
  <si>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</si>
  <si>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</si>
  <si>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</si>
  <si>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</si>
  <si>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</si>
  <si>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</si>
  <si>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</si>
  <si>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</si>
  <si>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</si>
  <si>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</si>
  <si>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</si>
  <si>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</si>
  <si>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</si>
  <si>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</si>
  <si>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</si>
  <si>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</si>
  <si>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</si>
  <si>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</si>
  <si>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</si>
  <si>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</si>
  <si>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</si>
  <si>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</si>
  <si>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</si>
  <si>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</si>
  <si>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</si>
  <si>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</si>
  <si>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</si>
  <si>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</si>
  <si>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</si>
  <si>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</si>
  <si>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</si>
  <si>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</si>
  <si>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</si>
  <si>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</si>
  <si>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</si>
  <si>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</si>
  <si>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</si>
  <si>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</si>
  <si>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</si>
  <si>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</si>
  <si>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</si>
  <si>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</si>
  <si>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</si>
  <si>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</si>
  <si>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</si>
  <si>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</si>
  <si>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</si>
  <si>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</si>
  <si>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</si>
  <si>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</si>
  <si>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</si>
  <si>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</si>
  <si>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</si>
  <si>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</si>
  <si>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</si>
  <si>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</si>
  <si>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</si>
  <si>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</si>
  <si>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</si>
  <si>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</si>
  <si>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</si>
  <si>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</si>
  <si>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</si>
  <si>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</si>
  <si>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</si>
  <si>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</si>
  <si>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</si>
  <si>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</si>
  <si>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</si>
  <si>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</si>
  <si>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</si>
  <si>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</si>
  <si>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</si>
  <si>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</si>
  <si>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</si>
  <si>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</si>
  <si>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</si>
  <si>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</si>
  <si>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</si>
  <si>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</si>
  <si>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</si>
  <si>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</si>
  <si>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</si>
  <si>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</si>
  <si>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</si>
  <si>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</si>
  <si>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</si>
  <si>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</si>
  <si>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</si>
  <si>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</si>
  <si>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</si>
  <si>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</si>
  <si>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</si>
  <si>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</si>
  <si>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</si>
  <si>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</si>
  <si>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</si>
  <si>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</si>
  <si>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</si>
  <si>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</si>
  <si>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</si>
  <si>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</si>
  <si>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</si>
  <si>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</si>
  <si>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</si>
  <si>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</si>
  <si>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</si>
  <si>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</si>
  <si>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</si>
  <si>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</si>
  <si>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</si>
  <si>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</si>
  <si>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</si>
  <si>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</si>
  <si>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</si>
  <si>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</si>
  <si>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</si>
  <si>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</si>
  <si>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</si>
  <si>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</si>
  <si>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</si>
  <si>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</si>
  <si>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</si>
  <si>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</si>
  <si>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</si>
  <si>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</si>
  <si>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</si>
  <si>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</si>
  <si>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</si>
  <si>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</si>
  <si>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</si>
  <si>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</si>
  <si>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</si>
  <si>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</si>
  <si>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</si>
  <si>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</si>
  <si>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</si>
  <si>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</si>
  <si>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</si>
  <si>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</si>
  <si>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</si>
  <si>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</si>
  <si>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</si>
  <si>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</si>
  <si>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</si>
  <si>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</si>
  <si>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</si>
  <si>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</si>
  <si>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</si>
  <si>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</si>
  <si>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</si>
  <si>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</si>
  <si>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</si>
  <si>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</si>
  <si>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</si>
  <si>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</si>
  <si>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</si>
  <si>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</si>
  <si>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</si>
  <si>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</si>
  <si>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</si>
  <si>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</si>
  <si>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</si>
  <si>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</si>
  <si>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</si>
  <si>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</si>
  <si>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</si>
  <si>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</si>
  <si>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</si>
  <si>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</si>
  <si>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</si>
  <si>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</si>
  <si>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</si>
  <si>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</si>
  <si>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</si>
  <si>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</si>
  <si>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</si>
  <si>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</si>
  <si>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</si>
  <si>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</si>
  <si>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</si>
  <si>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</si>
  <si>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</si>
  <si>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</si>
  <si>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</si>
  <si>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</si>
  <si>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</si>
  <si>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</si>
  <si>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</si>
  <si>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</si>
  <si>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</si>
  <si>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</si>
  <si>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</si>
  <si>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</si>
  <si>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</si>
  <si>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</si>
  <si>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</si>
  <si>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</si>
  <si>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</si>
  <si>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</si>
  <si>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</si>
  <si>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</si>
  <si>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</si>
  <si>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</si>
  <si>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</si>
  <si>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</si>
  <si>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</si>
  <si>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</si>
  <si>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</si>
  <si>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</si>
  <si>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</si>
  <si>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</si>
  <si>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</si>
  <si>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</si>
  <si>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</si>
  <si>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</si>
  <si>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</si>
  <si>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</si>
  <si>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</si>
  <si>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</si>
  <si>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</si>
  <si>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</si>
  <si>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</si>
  <si>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</si>
  <si>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</si>
  <si>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</si>
  <si>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</si>
  <si>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</si>
  <si>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</si>
  <si>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</si>
  <si>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</si>
  <si>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</si>
  <si>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</si>
  <si>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</si>
  <si>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</si>
  <si>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</si>
  <si>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</si>
  <si>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</si>
  <si>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</si>
  <si>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</si>
  <si>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</si>
  <si>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</si>
  <si>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</si>
  <si>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</si>
  <si>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</si>
  <si>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</si>
  <si>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</si>
  <si>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</si>
  <si>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</si>
  <si>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</si>
  <si>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</si>
  <si>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</si>
  <si>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</si>
  <si>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</si>
  <si>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</si>
  <si>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</si>
  <si>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</si>
  <si>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</si>
  <si>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</si>
  <si>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</si>
  <si>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</si>
  <si>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</si>
  <si>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</si>
  <si>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</si>
  <si>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</si>
  <si>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</si>
  <si>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</si>
  <si>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</si>
  <si>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</si>
  <si>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</si>
  <si>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</si>
  <si>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</si>
  <si>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</si>
  <si>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</si>
  <si>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</si>
  <si>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</si>
  <si>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</si>
  <si>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</si>
  <si>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</si>
  <si>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</si>
  <si>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</si>
  <si>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</si>
  <si>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</si>
  <si>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</si>
  <si>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</si>
  <si>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</si>
  <si>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</si>
  <si>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</si>
  <si>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</si>
  <si>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</si>
  <si>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</si>
  <si>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</si>
  <si>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</si>
  <si>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</si>
  <si>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</si>
  <si>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</si>
  <si>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</si>
  <si>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</si>
  <si>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</si>
  <si>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</si>
  <si>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</si>
  <si>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</si>
  <si>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</si>
  <si>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</si>
  <si>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</si>
  <si>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</si>
  <si>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</si>
  <si>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</si>
  <si>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</si>
  <si>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</si>
  <si>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</si>
  <si>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</si>
  <si>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</si>
  <si>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</si>
  <si>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</si>
  <si>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</si>
  <si>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</si>
  <si>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</si>
  <si>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</si>
  <si>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</si>
  <si>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</si>
  <si>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</si>
  <si>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</si>
  <si>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</si>
  <si>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</si>
  <si>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</si>
  <si>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</si>
  <si>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</si>
  <si>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</si>
  <si>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</si>
  <si>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</si>
  <si>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</si>
  <si>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</si>
  <si>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</si>
  <si>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</si>
  <si>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</si>
  <si>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</si>
  <si>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</si>
  <si>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</si>
  <si>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</si>
  <si>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</si>
  <si>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</si>
  <si>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</si>
  <si>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</si>
  <si>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</si>
  <si>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</si>
  <si>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</si>
  <si>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</si>
  <si>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</si>
  <si>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</si>
  <si>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</si>
  <si>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</si>
  <si>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</si>
  <si>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</si>
  <si>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</si>
  <si>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</si>
  <si>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</si>
  <si>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</si>
  <si>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</si>
  <si>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</si>
  <si>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</si>
  <si>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</si>
  <si>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</si>
  <si>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</si>
  <si>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</si>
  <si>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</si>
  <si>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</si>
  <si>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</si>
  <si>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</si>
  <si>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</si>
  <si>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</si>
  <si>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</si>
  <si>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</si>
  <si>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</si>
  <si>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</si>
  <si>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</si>
  <si>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</si>
  <si>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</si>
  <si>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</si>
  <si>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</si>
  <si>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</si>
  <si>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</si>
  <si>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</si>
  <si>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</si>
  <si>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</si>
  <si>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</si>
  <si>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</si>
  <si>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</si>
  <si>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</si>
  <si>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</si>
  <si>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</si>
  <si>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</si>
  <si>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</si>
  <si>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</si>
  <si>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</si>
  <si>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</si>
  <si>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</si>
  <si>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</si>
  <si>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</si>
  <si>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</si>
  <si>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</si>
  <si>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</si>
  <si>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</si>
  <si>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</si>
  <si>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</si>
  <si>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</si>
  <si>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</si>
  <si>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</si>
  <si>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</si>
  <si>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</si>
  <si>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</si>
  <si>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</si>
  <si>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</si>
  <si>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</si>
  <si>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</si>
  <si>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</si>
  <si>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</si>
  <si>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</si>
  <si>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</si>
  <si>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</si>
  <si>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</si>
  <si>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</si>
  <si>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</si>
  <si>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</si>
  <si>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</si>
  <si>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</si>
  <si>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</si>
  <si>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</si>
  <si>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</si>
  <si>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</si>
  <si>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</si>
  <si>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</si>
  <si>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</si>
  <si>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</si>
  <si>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</si>
  <si>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</si>
  <si>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</si>
  <si>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</si>
  <si>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</si>
  <si>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</si>
  <si>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</si>
  <si>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</si>
  <si>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</si>
  <si>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</si>
  <si>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</si>
  <si>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</si>
  <si>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</si>
  <si>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</si>
  <si>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</si>
  <si>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</si>
  <si>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</si>
  <si>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</si>
  <si>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</si>
  <si>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</si>
  <si>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</si>
  <si>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</si>
  <si>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</si>
  <si>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</si>
  <si>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</si>
  <si>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</si>
  <si>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</si>
  <si>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</si>
  <si>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</si>
  <si>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</si>
  <si>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</si>
  <si>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</si>
  <si>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</si>
  <si>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</si>
  <si>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</si>
  <si>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</si>
  <si>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</si>
  <si>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</si>
  <si>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</si>
  <si>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</si>
  <si>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</si>
  <si>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</si>
  <si>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</si>
  <si>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</si>
  <si>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</si>
  <si>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</si>
  <si>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</si>
  <si>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</si>
  <si>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</si>
  <si>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</si>
  <si>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</si>
  <si>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</si>
  <si>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</si>
  <si>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</si>
  <si>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</si>
  <si>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</si>
  <si>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</si>
  <si>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</si>
  <si>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</si>
  <si>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</si>
  <si>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</si>
  <si>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</si>
  <si>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</si>
  <si>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</si>
  <si>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</si>
  <si>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</si>
  <si>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</si>
  <si>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</si>
  <si>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</si>
  <si>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</si>
  <si>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</si>
  <si>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</si>
  <si>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</si>
  <si>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</si>
  <si>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</si>
  <si>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</si>
  <si>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</si>
  <si>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</si>
  <si>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</si>
  <si>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</si>
  <si>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</si>
  <si>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</si>
  <si>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</si>
  <si>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</si>
  <si>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</si>
  <si>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</si>
  <si>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</si>
  <si>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</si>
  <si>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</si>
  <si>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</si>
  <si>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</si>
  <si>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</si>
  <si>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</si>
  <si>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</si>
  <si>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</si>
  <si>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</si>
  <si>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</si>
  <si>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</si>
  <si>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</si>
  <si>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</si>
  <si>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</si>
  <si>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</si>
  <si>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</si>
  <si>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</si>
  <si>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</si>
  <si>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</si>
  <si>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</si>
  <si>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</si>
  <si>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</si>
  <si>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</si>
  <si>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</si>
  <si>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</si>
  <si>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</si>
  <si>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</si>
  <si>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</si>
  <si>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</si>
  <si>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</si>
  <si>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</si>
  <si>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</si>
  <si>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</si>
  <si>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</si>
  <si>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</si>
  <si>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</si>
  <si>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</si>
  <si>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</si>
  <si>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</si>
  <si>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</si>
  <si>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</si>
  <si>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</si>
  <si>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</si>
  <si>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</si>
  <si>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</si>
  <si>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</si>
  <si>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</si>
  <si>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</si>
  <si>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</si>
  <si>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</si>
  <si>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</si>
  <si>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</si>
  <si>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</si>
  <si>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</si>
  <si>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</si>
  <si>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</si>
  <si>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</si>
  <si>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</si>
  <si>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</si>
  <si>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</si>
  <si>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</si>
  <si>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</si>
  <si>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</si>
  <si>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</si>
  <si>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</si>
  <si>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</si>
  <si>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</si>
  <si>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</si>
  <si>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</si>
  <si>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</si>
  <si>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</si>
  <si>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</si>
  <si>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</si>
  <si>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</si>
  <si>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</si>
  <si>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</si>
  <si>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</si>
  <si>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</si>
  <si>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</si>
  <si>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</si>
  <si>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</si>
  <si>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</si>
  <si>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</si>
  <si>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</si>
  <si>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</si>
  <si>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</si>
  <si>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</si>
  <si>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</si>
  <si>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</si>
  <si>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</si>
  <si>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</si>
  <si>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</si>
  <si>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</si>
  <si>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</si>
  <si>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</si>
  <si>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</si>
  <si>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</si>
  <si>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</si>
  <si>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</si>
  <si>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</si>
  <si>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</si>
  <si>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</si>
  <si>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</si>
  <si>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</si>
  <si>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</si>
  <si>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</si>
  <si>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</si>
  <si>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</si>
  <si>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</si>
  <si>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</si>
  <si>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</si>
  <si>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</si>
  <si>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</si>
  <si>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</si>
  <si>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</si>
  <si>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</si>
  <si>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</si>
  <si>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</si>
  <si>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</si>
  <si>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</si>
  <si>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</si>
  <si>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</si>
  <si>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</si>
  <si>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</si>
  <si>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</si>
  <si>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</si>
  <si>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</si>
  <si>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</si>
  <si>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</si>
  <si>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</si>
  <si>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</si>
  <si>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</si>
  <si>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</si>
  <si>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</si>
  <si>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</si>
  <si>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</si>
  <si>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</si>
  <si>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</si>
  <si>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</si>
  <si>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</si>
  <si>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</si>
  <si>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</si>
  <si>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</si>
  <si>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</si>
  <si>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</si>
  <si>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</si>
  <si>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</si>
  <si>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</si>
  <si>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</si>
  <si>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</si>
  <si>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</si>
  <si>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</si>
  <si>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</si>
  <si>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</si>
  <si>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</si>
  <si>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</si>
  <si>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</si>
  <si>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</si>
  <si>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</si>
  <si>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</si>
  <si>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</si>
  <si>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</si>
  <si>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</si>
  <si>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</si>
  <si>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</si>
  <si>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</si>
  <si>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</si>
  <si>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</si>
  <si>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</si>
  <si>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</si>
  <si>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</si>
  <si>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</si>
  <si>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</si>
  <si>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</si>
  <si>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</si>
  <si>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</si>
  <si>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</si>
  <si>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</si>
  <si>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</si>
  <si>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</si>
  <si>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</si>
  <si>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</si>
  <si>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</si>
  <si>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</si>
  <si>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</si>
  <si>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</si>
  <si>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</si>
  <si>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</si>
  <si>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</si>
  <si>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</si>
  <si>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</si>
  <si>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</si>
  <si>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</si>
  <si>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</si>
  <si>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</si>
  <si>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</si>
  <si>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</si>
  <si>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</si>
  <si>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</si>
  <si>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</si>
  <si>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</si>
  <si>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</si>
  <si>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</si>
  <si>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</si>
  <si>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</si>
  <si>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</si>
  <si>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</si>
  <si>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</si>
  <si>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</si>
  <si>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</si>
  <si>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</si>
  <si>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</si>
  <si>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</si>
  <si>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</si>
  <si>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</si>
  <si>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</si>
  <si>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</si>
  <si>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</si>
  <si>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</si>
  <si>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</si>
  <si>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</si>
  <si>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</si>
  <si>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</si>
  <si>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</si>
  <si>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</si>
  <si>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</si>
  <si>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</si>
  <si>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</si>
  <si>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</si>
  <si>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</si>
  <si>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</si>
  <si>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</si>
  <si>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</si>
  <si>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</si>
  <si>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</si>
  <si>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</si>
  <si>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</si>
  <si>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</si>
  <si>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</si>
  <si>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</si>
  <si>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</si>
  <si>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</si>
  <si>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</si>
  <si>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</si>
  <si>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</si>
  <si>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</si>
  <si>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</si>
  <si>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</si>
  <si>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</si>
  <si>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</si>
  <si>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</si>
  <si>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</si>
  <si>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</si>
  <si>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</si>
  <si>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</si>
  <si>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</si>
  <si>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</si>
  <si>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</si>
  <si>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</si>
  <si>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</si>
  <si>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</si>
  <si>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</si>
  <si>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</si>
  <si>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</si>
  <si>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</si>
  <si>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</si>
  <si>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</si>
  <si>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</si>
  <si>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</si>
  <si>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</si>
  <si>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</si>
  <si>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</si>
  <si>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</si>
  <si>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</si>
  <si>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</si>
  <si>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</si>
  <si>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</si>
  <si>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</si>
  <si>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</si>
  <si>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</si>
  <si>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</si>
  <si>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</si>
  <si>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</si>
  <si>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</si>
  <si>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</si>
  <si>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</si>
  <si>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</si>
  <si>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</si>
  <si>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</si>
  <si>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</si>
  <si>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</si>
  <si>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</si>
  <si>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</si>
  <si>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</si>
  <si>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</si>
  <si>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</si>
  <si>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</si>
  <si>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</si>
  <si>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</si>
  <si>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</si>
  <si>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</si>
  <si>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</si>
  <si>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</si>
  <si>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</si>
  <si>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</si>
  <si>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</si>
  <si>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</si>
  <si>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</si>
  <si>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</si>
  <si>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</si>
  <si>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</si>
  <si>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</si>
  <si>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</si>
  <si>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</si>
  <si>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</si>
  <si>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</si>
  <si>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</si>
  <si>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</si>
  <si>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</si>
  <si>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</si>
  <si>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</si>
  <si>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</si>
  <si>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</si>
  <si>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</si>
  <si>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</si>
  <si>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</si>
  <si>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</si>
  <si>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</si>
  <si>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</si>
  <si>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</si>
  <si>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</si>
  <si>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</si>
  <si>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</si>
  <si>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</si>
  <si>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</si>
  <si>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</si>
  <si>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</si>
  <si>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</si>
  <si>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</si>
  <si>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</si>
  <si>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</si>
  <si>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</si>
  <si>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</si>
  <si>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</si>
  <si>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</si>
  <si>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</si>
  <si>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</si>
  <si>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</si>
  <si>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</si>
  <si>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</si>
  <si>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</si>
  <si>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</si>
  <si>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</si>
  <si>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</si>
  <si>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</si>
  <si>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</si>
  <si>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</si>
  <si>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</si>
  <si>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</si>
  <si>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</si>
  <si>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</si>
  <si>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</si>
  <si>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</si>
  <si>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</si>
  <si>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</si>
  <si>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</si>
  <si>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</si>
  <si>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</si>
  <si>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</si>
  <si>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</si>
  <si>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</si>
  <si>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</si>
  <si>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</si>
  <si>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</si>
  <si>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</si>
  <si>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</si>
  <si>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</si>
  <si>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</si>
  <si>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</si>
  <si>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</si>
  <si>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</si>
  <si>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</si>
  <si>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</si>
  <si>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</si>
  <si>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</si>
  <si>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</si>
  <si>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</si>
  <si>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</si>
  <si>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</si>
  <si>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</si>
  <si>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</si>
  <si>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</si>
  <si>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</si>
  <si>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</si>
  <si>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</si>
  <si>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</si>
  <si>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</si>
  <si>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</si>
  <si>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</si>
  <si>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</si>
  <si>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</si>
  <si>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</si>
  <si>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</si>
  <si>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</si>
  <si>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</si>
  <si>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</si>
  <si>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</si>
  <si>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</si>
  <si>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</si>
  <si>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</si>
  <si>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</si>
  <si>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</si>
  <si>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</si>
  <si>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</si>
  <si>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</si>
  <si>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</si>
  <si>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</si>
  <si>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</si>
  <si>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</si>
  <si>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</si>
  <si>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</si>
  <si>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</si>
  <si>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</si>
  <si>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</si>
  <si>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</si>
  <si>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</si>
  <si>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</si>
  <si>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</si>
  <si>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</si>
  <si>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</si>
  <si>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</si>
  <si>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</si>
  <si>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</si>
  <si>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</si>
  <si>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</si>
  <si>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</si>
  <si>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</si>
  <si>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</si>
  <si>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</si>
  <si>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</si>
  <si>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</si>
  <si>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</si>
  <si>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</si>
  <si>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</si>
  <si>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</si>
  <si>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</si>
  <si>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</si>
  <si>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</si>
  <si>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</si>
  <si>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</si>
  <si>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</si>
  <si>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</si>
  <si>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</si>
  <si>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</si>
  <si>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</si>
  <si>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</si>
  <si>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</si>
  <si>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</si>
  <si>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</si>
  <si>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</si>
  <si>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</si>
  <si>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</si>
  <si>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</si>
  <si>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t>· 衡量了调查员表现出来的富裕程度以及经济上的自信度
· 信用评级可以被用来取代APP来评估第一印象
※ 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</si>
  <si>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</si>
  <si>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</si>
  <si>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</si>
  <si>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</si>
  <si>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</si>
  <si>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</si>
  <si>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</si>
  <si>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</si>
  <si>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</si>
  <si>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</si>
  <si>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</si>
  <si>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</si>
  <si>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</si>
  <si>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</si>
  <si>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</si>
  <si>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</si>
  <si>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</si>
  <si>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</si>
  <si>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</si>
  <si>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</si>
  <si>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</si>
  <si>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</si>
  <si>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</si>
  <si>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</si>
  <si>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</si>
  <si>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</si>
  <si>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</si>
  <si>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</si>
  <si>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</si>
  <si>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</si>
  <si>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</si>
  <si>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</si>
  <si>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</si>
  <si>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</si>
  <si>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</si>
  <si>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</si>
  <si>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</si>
  <si>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</si>
  <si>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</si>
  <si>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</si>
  <si>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</si>
  <si>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</si>
  <si>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</si>
  <si>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</si>
  <si>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</si>
  <si>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</si>
  <si>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</si>
  <si>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</si>
  <si>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</si>
  <si>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</si>
  <si>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</si>
  <si>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</si>
  <si>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</si>
  <si>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</si>
  <si>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</si>
  <si>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</si>
  <si>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</si>
  <si>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</si>
  <si>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</si>
  <si>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</si>
  <si>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</si>
  <si>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</si>
  <si>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</si>
  <si>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</si>
  <si>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</si>
  <si>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</si>
  <si>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</si>
  <si>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</si>
  <si>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</si>
  <si>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</si>
  <si>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</si>
  <si>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</si>
  <si>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</si>
  <si>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</si>
  <si>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</si>
  <si>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</si>
  <si>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</si>
  <si>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</si>
  <si>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</si>
  <si>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</si>
  <si>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</si>
  <si>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</si>
  <si>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</si>
  <si>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</si>
  <si>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</si>
  <si>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</si>
  <si>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</si>
  <si>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</si>
  <si>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</si>
  <si>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</si>
  <si>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</si>
  <si>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</si>
  <si>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</si>
  <si>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</si>
  <si>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</si>
  <si>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</si>
  <si>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</si>
  <si>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</si>
  <si>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</si>
  <si>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</si>
  <si>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</si>
  <si>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</si>
  <si>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</si>
  <si>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</si>
  <si>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</si>
  <si>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</si>
  <si>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</si>
  <si>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</si>
  <si>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</si>
  <si>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</si>
  <si>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</si>
  <si>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</si>
  <si>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</si>
  <si>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</si>
  <si>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</si>
  <si>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</si>
  <si>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</si>
  <si>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</si>
  <si>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</si>
  <si>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</si>
  <si>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</si>
  <si>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</si>
  <si>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</si>
  <si>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</si>
  <si>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</si>
  <si>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</si>
  <si>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</si>
  <si>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</si>
  <si>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</si>
  <si>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</si>
  <si>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</si>
  <si>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</si>
  <si>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</si>
  <si>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</si>
  <si>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</si>
  <si>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</si>
  <si>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</si>
  <si>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</si>
  <si>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</si>
  <si>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</si>
  <si>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</si>
  <si>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</si>
  <si>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</si>
  <si>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</si>
  <si>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</si>
  <si>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</si>
  <si>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</si>
  <si>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</si>
  <si>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</si>
  <si>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</si>
  <si>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</si>
  <si>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</si>
  <si>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</si>
  <si>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</si>
  <si>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</si>
  <si>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</si>
  <si>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</si>
  <si>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</si>
  <si>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</si>
  <si>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</si>
  <si>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</si>
  <si>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</si>
  <si>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</si>
  <si>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</si>
  <si>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</si>
  <si>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</si>
  <si>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</si>
  <si>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</si>
  <si>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</si>
  <si>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</si>
  <si>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</si>
  <si>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</si>
  <si>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</si>
  <si>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</si>
  <si>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</si>
  <si>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</si>
  <si>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</si>
  <si>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</si>
  <si>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</si>
  <si>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</si>
  <si>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</si>
  <si>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</si>
  <si>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</si>
  <si>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</si>
  <si>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</si>
  <si>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</si>
  <si>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</si>
  <si>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</si>
  <si>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</si>
  <si>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</si>
  <si>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</si>
  <si>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</si>
  <si>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</si>
  <si>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</si>
  <si>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</si>
  <si>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</si>
  <si>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</si>
  <si>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</si>
  <si>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</si>
  <si>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</si>
  <si>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</si>
  <si>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</si>
  <si>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</si>
  <si>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</si>
  <si>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</si>
  <si>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</si>
  <si>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</si>
  <si>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</si>
  <si>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</si>
  <si>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</si>
  <si>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</si>
  <si>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</si>
  <si>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</si>
  <si>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</si>
  <si>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</si>
  <si>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</si>
  <si>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</si>
  <si>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</si>
  <si>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</si>
  <si>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</si>
  <si>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</si>
  <si>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</si>
  <si>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</si>
  <si>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</si>
  <si>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</si>
  <si>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</si>
  <si>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</si>
  <si>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</si>
  <si>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</si>
  <si>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</si>
  <si>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</si>
  <si>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</si>
  <si>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</si>
  <si>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</si>
  <si>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</si>
  <si>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</si>
  <si>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</si>
  <si>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</si>
  <si>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</si>
  <si>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</si>
  <si>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</si>
  <si>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</si>
  <si>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</si>
  <si>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</si>
  <si>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</si>
  <si>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</si>
  <si>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</si>
  <si>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</si>
  <si>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</si>
  <si>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</si>
  <si>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</si>
  <si>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</si>
  <si>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</si>
  <si>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</si>
  <si>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</si>
  <si>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</si>
  <si>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</si>
  <si>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</si>
  <si>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发明仅可查询至2016年</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</si>
  <si>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</si>
  <si>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</si>
  <si>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</si>
  <si>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</si>
  <si>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</si>
  <si>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</si>
  <si>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</si>
  <si>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</si>
  <si>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</si>
  <si>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</si>
  <si>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</si>
  <si>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</si>
  <si>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</si>
  <si>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</si>
  <si>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</si>
  <si>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</si>
  <si>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</si>
  <si>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</si>
  <si>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</si>
  <si>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</si>
  <si>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</si>
  <si>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</si>
  <si>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</si>
  <si>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</si>
  <si>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</si>
  <si>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</si>
  <si>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</si>
  <si>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</si>
  <si>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</si>
  <si>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</si>
  <si>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</si>
  <si>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</si>
  <si>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</si>
  <si>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</si>
  <si>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</si>
  <si>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</si>
  <si>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</si>
  <si>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</si>
  <si>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</si>
  <si>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</si>
  <si>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</si>
  <si>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</si>
  <si>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</si>
  <si>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</si>
  <si>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</si>
  <si>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</si>
  <si>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</si>
  <si>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</si>
  <si>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</si>
  <si>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</si>
  <si>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</si>
  <si>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东京奥运会未定</t>
  </si>
  <si>
    <t>拜登当选</t>
  </si>
  <si>
    <t>俄西方矛盾重重关系再恶化</t>
  </si>
  <si>
    <t>中国元首外交唱响多边主义</t>
  </si>
  <si>
    <t>中美（拜登）元首举行首次视频会晤</t>
  </si>
  <si>
    <t>疫苗接种助力全球阻击疫情</t>
  </si>
  <si>
    <t>中华人民共和国72周年</t>
  </si>
  <si>
    <t xml:space="preserve">中国新冠疫苗上市，全民免费注射
美国抗议者冲入白宫
缅甸军事政变
美国停止退出世卫、重新加入巴黎协定
首次奇数年奥运会
</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</si>
  <si>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</si>
  <si>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</si>
  <si>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</si>
  <si>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</si>
  <si>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</si>
  <si>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</si>
  <si>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</si>
  <si>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</si>
  <si>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</si>
  <si>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俄乌冲突风险大</t>
  </si>
  <si>
    <t>全球疫情迎来转折点</t>
  </si>
  <si>
    <t>世界第二水电站建成</t>
  </si>
  <si>
    <t>疫情逐渐全面放开</t>
  </si>
  <si>
    <t>中华人民共和国73周年</t>
  </si>
  <si>
    <t>英国女王伊丽莎白二世登基70周年庆典
世界杯</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</si>
  <si>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</si>
  <si>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</si>
  <si>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</si>
  <si>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</si>
  <si>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防控政策重大调整</t>
  </si>
  <si>
    <t>第五次全国经济普查</t>
  </si>
  <si>
    <t>中华人民共和国74周年</t>
  </si>
  <si>
    <t>美联社，1848，美国</t>
  </si>
  <si>
    <t>美国——————————</t>
  </si>
  <si>
    <t>美国——————</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</si>
  <si>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</si>
  <si>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</si>
  <si>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</si>
  <si>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</si>
  <si>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</si>
  <si>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</si>
  <si>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</si>
  <si>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</si>
  <si>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俄乌战争持续</t>
  </si>
  <si>
    <t>加沙战争与中东局势升级</t>
  </si>
  <si>
    <t>进一步全面深化改革</t>
  </si>
  <si>
    <t>中华人民共和国75周年</t>
  </si>
  <si>
    <t>巴黎奥运会
美国总统选举
嫦娥六号月背采样返回
人工智能应用进一步普及</t>
  </si>
  <si>
    <t>总统：
   乔·拜登（民主党）</t>
  </si>
  <si>
    <t>美国合众社，1907，美国</t>
  </si>
  <si>
    <t>阿卡姆 密斯卡托尼克大学</t>
  </si>
  <si>
    <t>华盛顿特区</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</si>
  <si>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</si>
  <si>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</si>
  <si>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</si>
  <si>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</si>
  <si>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</si>
  <si>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</si>
  <si>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中东冲突外溢风险持续</t>
  </si>
  <si>
    <t>十五五规划编制推进</t>
  </si>
  <si>
    <t>中华人民共和国76周年</t>
  </si>
  <si>
    <t>大阪·关西世博会
美国总统换届
人工智能治理与应用持续扩展</t>
  </si>
  <si>
    <t>总统：
   乔·拜登（民主党）
   唐纳德·特朗普（共和党）</t>
  </si>
  <si>
    <t>路透社，1849，英国</t>
  </si>
  <si>
    <t>《华盛顿先驱报》</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</si>
  <si>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</si>
  <si>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</si>
  <si>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</si>
  <si>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</si>
  <si>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</si>
  <si>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</si>
  <si>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</si>
  <si>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</si>
  <si>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</si>
  <si>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美以对伊朗军事冲突</t>
  </si>
  <si>
    <t>海湾与中东安全危机持续</t>
  </si>
  <si>
    <t>十五五规划开局</t>
  </si>
  <si>
    <t>中华人民共和国77周年</t>
  </si>
  <si>
    <t>米兰-科尔蒂纳冬奥会
2026年世界杯
人工智能与自动化持续扩展</t>
  </si>
  <si>
    <t>交换电讯社，1872，英国</t>
  </si>
  <si>
    <t>华盛顿 美国国家地理学会</t>
  </si>
  <si>
    <t>《华盛顿新闻》</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</si>
  <si>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</si>
  <si>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</si>
  <si>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</si>
  <si>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</si>
  <si>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</si>
  <si>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</si>
  <si>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</si>
  <si>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</si>
  <si>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英国国家通讯社，1868，英国</t>
  </si>
  <si>
    <t>华盛顿 史密森学会</t>
  </si>
  <si>
    <t>《华盛顿邮报》</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</si>
  <si>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</si>
  <si>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</si>
  <si>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</si>
  <si>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</si>
  <si>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</si>
  <si>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</si>
  <si>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</si>
  <si>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法国新闻通讯社，1929，法国</t>
  </si>
  <si>
    <t>华盛顿 美国国会图书馆</t>
  </si>
  <si>
    <t>《华盛顿时报》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</si>
  <si>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</si>
  <si>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</si>
  <si>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</si>
  <si>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</si>
  <si>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</si>
  <si>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</si>
  <si>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</si>
  <si>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</si>
  <si>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哈瓦斯通讯社，1832，法国</t>
  </si>
  <si>
    <t>华盛顿 美国国家自然历史博物馆</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</si>
  <si>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</si>
  <si>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</si>
  <si>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</si>
  <si>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</si>
  <si>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</si>
  <si>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</si>
  <si>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</si>
  <si>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</si>
  <si>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每日通讯社，阿根廷</t>
  </si>
  <si>
    <t>加利福尼亚州</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</si>
  <si>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</si>
  <si>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</si>
  <si>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</si>
  <si>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</si>
  <si>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</si>
  <si>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</si>
  <si>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</si>
  <si>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</si>
  <si>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雅典通讯社，1896，希腊雅典</t>
  </si>
  <si>
    <t>纽约 美国自然历史博物馆</t>
  </si>
  <si>
    <t>《洛杉矶观察家报》</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</si>
  <si>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</si>
  <si>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</si>
  <si>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</si>
  <si>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</si>
  <si>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</si>
  <si>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</si>
  <si>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</si>
  <si>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</si>
  <si>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澳大利亚联合通讯社，1928，澳大利亚</t>
  </si>
  <si>
    <t>纽约 布法罗自然科学学会</t>
  </si>
  <si>
    <t>《洛杉矶先驱报》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</si>
  <si>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</si>
  <si>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</si>
  <si>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</si>
  <si>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</si>
  <si>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</si>
  <si>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</si>
  <si>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</si>
  <si>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</si>
  <si>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比利时通讯社，1920，比利时</t>
  </si>
  <si>
    <t>纽约 哥伦比亚大学</t>
  </si>
  <si>
    <t>《洛杉矶时报》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</si>
  <si>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</si>
  <si>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</si>
  <si>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</si>
  <si>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</si>
  <si>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</si>
  <si>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</si>
  <si>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保加利亚通讯社，1898，保加利亚</t>
  </si>
  <si>
    <t>纽约 美国印第安人博物馆</t>
  </si>
  <si>
    <t>《奥克兰追问者邮报》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</si>
  <si>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</si>
  <si>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</si>
  <si>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</si>
  <si>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中央通讯社，1924，中国</t>
  </si>
  <si>
    <t>纽约 纽约公共图书馆</t>
  </si>
  <si>
    <t>《橘郡纪事报》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</si>
  <si>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</si>
  <si>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</si>
  <si>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</si>
  <si>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</si>
  <si>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</si>
  <si>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</si>
  <si>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</si>
  <si>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</si>
  <si>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加拿大通讯社，1917，加拿大</t>
  </si>
  <si>
    <t>纽约 纽约州立博物馆</t>
  </si>
  <si>
    <t>《萨克拉门托蜜蜂报》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</si>
  <si>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</si>
  <si>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</si>
  <si>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</si>
  <si>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</si>
  <si>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</si>
  <si>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</si>
  <si>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</si>
  <si>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捷通社，1918，捷克斯洛伐克</t>
  </si>
  <si>
    <t>纽约州伊萨卡 康奈尔大学</t>
  </si>
  <si>
    <t>《圣迭戈太阳报》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</si>
  <si>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</si>
  <si>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</si>
  <si>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</si>
  <si>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</si>
  <si>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</si>
  <si>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</si>
  <si>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</si>
  <si>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</si>
  <si>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</si>
  <si>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信仰通讯社，1926，梵蒂冈</t>
  </si>
  <si>
    <t>《旧金山呼声报》</t>
  </si>
  <si>
    <t>恐蛇症（Ophidiophobia）：对蛇的恐惧。</t>
  </si>
  <si>
    <t>憎恨癖（Misomania）：憎恨一切事物，痴迷于憎恨某个事物或团体。</t>
  </si>
  <si>
    <t>犹太通讯社，1919，巴勒斯坦</t>
  </si>
  <si>
    <t>芝加哥 芝加哥菲尔德自然博物馆</t>
  </si>
  <si>
    <t>《圣迭戈联合报》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</si>
  <si>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</si>
  <si>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</si>
  <si>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</si>
  <si>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</si>
  <si>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</si>
  <si>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</si>
  <si>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</si>
  <si>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</si>
  <si>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</si>
  <si>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挪威通讯社，1867，挪威</t>
  </si>
  <si>
    <t>芝加哥 芝加哥大学</t>
  </si>
  <si>
    <t>《旧金山纪事报》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</si>
  <si>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</si>
  <si>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</si>
  <si>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</si>
  <si>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</si>
  <si>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</si>
  <si>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新西兰报联社，1879，新西兰</t>
  </si>
  <si>
    <t>芝加哥 克雷拉图书馆</t>
  </si>
  <si>
    <t>《旧金山观察家报》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</si>
  <si>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</si>
  <si>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</si>
  <si>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</si>
  <si>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丹麦通讯社，1866，丹麦</t>
  </si>
  <si>
    <t>芝加哥 纽伯利图书馆</t>
  </si>
  <si>
    <t>《旧金山新闻报》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</si>
  <si>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</si>
  <si>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</si>
  <si>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</si>
  <si>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</si>
  <si>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瑞士通讯社，1894，瑞士</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</si>
  <si>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</si>
  <si>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</si>
  <si>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</si>
  <si>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塔斯社，1925，苏联</t>
  </si>
  <si>
    <t>巴尔的摩 巴尔的摩美术馆</t>
  </si>
  <si>
    <t>纽约州</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</si>
  <si>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</si>
  <si>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</si>
  <si>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</si>
  <si>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巴尔的摩 伊诺克·普拉特自由图书馆</t>
  </si>
  <si>
    <t>《奥尔巴尼联合时报》</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</si>
  <si>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</si>
  <si>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</si>
  <si>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</si>
  <si>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</si>
  <si>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费城 费城自然科学博物馆</t>
  </si>
  <si>
    <t>《布法罗新闻报》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</si>
  <si>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</si>
  <si>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</si>
  <si>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</si>
  <si>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宾夕法尼亚大学</t>
  </si>
  <si>
    <t>《纽约美国人报》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</si>
  <si>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</si>
  <si>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</si>
  <si>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</si>
  <si>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</si>
  <si>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纽黑文 耶鲁大学</t>
  </si>
  <si>
    <t>《纽约每日新闻》</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</si>
  <si>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</si>
  <si>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</si>
  <si>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</si>
  <si>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</si>
  <si>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耶鲁大学皮博迪自然博物馆</t>
  </si>
  <si>
    <t>《纽约新闻报》</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</si>
  <si>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</si>
  <si>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</si>
  <si>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</si>
  <si>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</si>
  <si>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《纽约邮报》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</si>
  <si>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</si>
  <si>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</si>
  <si>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</si>
  <si>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</si>
  <si>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剑桥 哈佛大学</t>
  </si>
  <si>
    <t>《纽约电讯报》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</si>
  <si>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</si>
  <si>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</si>
  <si>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</si>
  <si>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</si>
  <si>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旧金山 加利福尼亚科学院</t>
  </si>
  <si>
    <t>《纽约时报》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</si>
  <si>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</si>
  <si>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</si>
  <si>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</si>
  <si>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</si>
  <si>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伯克利 加州大学伯克利分校</t>
  </si>
  <si>
    <t>《罗彻斯特日报》</t>
  </si>
  <si>
    <t>火车恐惧症（Siderodromophobia）：对于乘坐火车出行的恐惧。</t>
  </si>
  <si>
    <t>求财癖（Plutomania）：对财富的强迫性的渴望。</t>
  </si>
  <si>
    <t>匹兹堡 卡内基学院</t>
  </si>
  <si>
    <t>《锡拉丘兹日报》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</si>
  <si>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</si>
  <si>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</si>
  <si>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</si>
  <si>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</si>
  <si>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</si>
  <si>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</si>
  <si>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</si>
  <si>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</si>
  <si>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</si>
  <si>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辛辛那提 辛辛那提博物馆协会</t>
  </si>
  <si>
    <t>《华尔街日报》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</si>
  <si>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</si>
  <si>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</si>
  <si>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</si>
  <si>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</si>
  <si>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</si>
  <si>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</si>
  <si>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</si>
  <si>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</si>
  <si>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</si>
  <si>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丹佛 科罗拉多州自然历史博物馆</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</si>
  <si>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</si>
  <si>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</si>
  <si>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</si>
  <si>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</si>
  <si>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</si>
  <si>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</si>
  <si>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</si>
  <si>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</si>
  <si>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</si>
  <si>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厄巴纳-香槟 伊利诺伊大学</t>
  </si>
  <si>
    <t>德克萨斯州</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</si>
  <si>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</si>
  <si>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</si>
  <si>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</si>
  <si>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</si>
  <si>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</si>
  <si>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</si>
  <si>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</si>
  <si>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</si>
  <si>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</si>
  <si>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安娜堡 密歇根大学</t>
  </si>
  <si>
    <t>《达拉斯晨报》</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</si>
  <si>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</si>
  <si>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</si>
  <si>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</si>
  <si>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</si>
  <si>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</si>
  <si>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</si>
  <si>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</si>
  <si>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</si>
  <si>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</si>
  <si>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明尼阿波利斯、圣保罗 明尼苏达大学</t>
  </si>
  <si>
    <t>《厄尔巴索邮报》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</si>
  <si>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</si>
  <si>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</si>
  <si>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</si>
  <si>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</si>
  <si>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</si>
  <si>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</si>
  <si>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</si>
  <si>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</si>
  <si>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</si>
  <si>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塞勒姆 塞勒姆皮博迪航海图书馆</t>
  </si>
  <si>
    <t>《沃斯堡新闻报》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</si>
  <si>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</si>
  <si>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</si>
  <si>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</si>
  <si>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</si>
  <si>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</si>
  <si>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</si>
  <si>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</si>
  <si>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</si>
  <si>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</si>
  <si>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普林斯顿 普林斯顿大学</t>
  </si>
  <si>
    <t>《沃斯堡明镜电讯报》</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</si>
  <si>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</si>
  <si>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</si>
  <si>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</si>
  <si>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</si>
  <si>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</si>
  <si>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</si>
  <si>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</si>
  <si>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</si>
  <si>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</si>
  <si>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托莱多 托莱多美术馆</t>
  </si>
  <si>
    <t>《休斯敦纪事报》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</si>
  <si>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</si>
  <si>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</si>
  <si>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</si>
  <si>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</si>
  <si>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</si>
  <si>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</si>
  <si>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</si>
  <si>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</si>
  <si>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《休斯敦邮报》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</si>
  <si>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</si>
  <si>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</si>
  <si>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</si>
  <si>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</si>
  <si>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</si>
  <si>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</si>
  <si>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</si>
  <si>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</si>
  <si>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其他——————————</t>
  </si>
  <si>
    <t>《休斯敦新闻报》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</si>
  <si>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</si>
  <si>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</si>
  <si>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</si>
  <si>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</si>
  <si>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</si>
  <si>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</si>
  <si>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</si>
  <si>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</si>
  <si>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</si>
  <si>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英国伦敦 大英博物馆</t>
  </si>
  <si>
    <t>《圣安东尼奥光明报》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</si>
  <si>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</si>
  <si>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</si>
  <si>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</si>
  <si>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</si>
  <si>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</si>
  <si>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</si>
  <si>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</si>
  <si>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法国巴黎 法国国家图书馆</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</si>
  <si>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</si>
  <si>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</si>
  <si>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</si>
  <si>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</si>
  <si>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</si>
  <si>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</si>
  <si>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梵蒂冈 教皇图书馆</t>
  </si>
  <si>
    <t>俄亥俄州</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</si>
  <si>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</si>
  <si>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</si>
  <si>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</si>
  <si>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</si>
  <si>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《阿克伦时报》</t>
  </si>
  <si>
    <t>异域恐惧症（Xenophobia）：对陌生人或外国人的恐惧。</t>
  </si>
  <si>
    <t>嗜外狂（Xenomania）：痴迷于异国的事物。</t>
  </si>
  <si>
    <t>《辛辛那提邮报》</t>
  </si>
  <si>
    <t>请选择
你想了解的技能</t>
  </si>
  <si>
    <t>动物恐惧症（Zoophobia）：对动物的恐惧。</t>
  </si>
  <si>
    <t>喜兽癖（Zoomania）：对待动物的态度近乎疯狂地友好。</t>
  </si>
  <si>
    <t>《克利夫兰老实人报》</t>
  </si>
  <si>
    <t>注释：①催眠恐惧症（Hypnophobia）、恐牙症（牙医恐惧症 \ Odontophobia）、魔法恐惧症（权杖恐惧症\ Rhabdophobia）和怪物恐惧症（畸形恐惧症 Teratophobia）四条疑原文理解有误，目前按原文翻出。</t>
  </si>
  <si>
    <t>《克利夫兰日报》</t>
  </si>
  <si>
    <t>该症状表由  Achronidas 翻译。</t>
  </si>
  <si>
    <t>《哥伦布公民杂志》</t>
  </si>
  <si>
    <t>《哥伦布快报》</t>
  </si>
  <si>
    <t>《托莱多蜜蜂新闻》</t>
  </si>
  <si>
    <t>《扬斯敦电讯报》</t>
  </si>
  <si>
    <t>飞行器</t>
  </si>
  <si>
    <t>资产表</t>
  </si>
  <si>
    <t>马萨诸塞州</t>
  </si>
  <si>
    <t>美元 1920/现代</t>
  </si>
  <si>
    <t>信用成功率</t>
  </si>
  <si>
    <t>年代分流</t>
  </si>
  <si>
    <t>《波士顿广告人报》</t>
  </si>
  <si>
    <t>现代</t>
  </si>
  <si>
    <t>《波士顿美国人报》</t>
  </si>
  <si>
    <t>《波士顿环球报》</t>
  </si>
  <si>
    <t>当前现金</t>
  </si>
  <si>
    <t>《波士顿先驱报》</t>
  </si>
  <si>
    <t>《基督教科学箴言报》</t>
  </si>
  <si>
    <t>货币单位：</t>
  </si>
  <si>
    <t>时代：</t>
  </si>
  <si>
    <t>伊利诺伊州</t>
  </si>
  <si>
    <t>根据时代选择的货币</t>
  </si>
  <si>
    <t>《芝加哥先锋观察家报》</t>
  </si>
  <si>
    <t>《芝加哥美国人报》</t>
  </si>
  <si>
    <t>《芝加哥论坛报》</t>
  </si>
  <si>
    <t>《埃文斯维尔新闻报》</t>
  </si>
  <si>
    <t>过万</t>
  </si>
  <si>
    <t>科罗拉多州</t>
  </si>
  <si>
    <t>是否过万</t>
  </si>
  <si>
    <t>《丹佛晚报》</t>
  </si>
  <si>
    <t>《丹佛落基山新闻报》</t>
  </si>
  <si>
    <t>过亿</t>
  </si>
  <si>
    <t>佛罗里达州</t>
  </si>
  <si>
    <t>《迈阿密先驱报》</t>
  </si>
  <si>
    <t>《奥兰多哨兵报》</t>
  </si>
  <si>
    <t>《坦帕论坛报》</t>
  </si>
  <si>
    <t>主流货币换算</t>
  </si>
  <si>
    <t>佐治亚州</t>
  </si>
  <si>
    <t>《亚特兰大宪章报》</t>
  </si>
  <si>
    <t>《亚特兰大佐治亚人报》</t>
  </si>
  <si>
    <t>★亚洲————</t>
  </si>
  <si>
    <t>亚洲————</t>
  </si>
  <si>
    <t>人民币</t>
  </si>
  <si>
    <t>印第安纳州</t>
  </si>
  <si>
    <t>港币</t>
  </si>
  <si>
    <t>《印第安纳波利斯时报》</t>
  </si>
  <si>
    <t>新台币</t>
  </si>
  <si>
    <t>《特雷霍特邮报》</t>
  </si>
  <si>
    <t>日币</t>
  </si>
  <si>
    <t>韩币</t>
  </si>
  <si>
    <t>亚利桑那州</t>
  </si>
  <si>
    <t>泰铢</t>
  </si>
  <si>
    <t>《菲尼克斯共和报》</t>
  </si>
  <si>
    <t>新加坡元</t>
  </si>
  <si>
    <t>《亚利桑那共和报》</t>
  </si>
  <si>
    <t>★欧洲————</t>
  </si>
  <si>
    <t>欧洲————</t>
  </si>
  <si>
    <t>欧元</t>
  </si>
  <si>
    <t>马里兰州</t>
  </si>
  <si>
    <t>英镑</t>
  </si>
  <si>
    <t>《巴尔的摩美国人报》</t>
  </si>
  <si>
    <t>卢布</t>
  </si>
  <si>
    <t>《巴尔的摩新闻报》</t>
  </si>
  <si>
    <t>★美洲————</t>
  </si>
  <si>
    <t>美洲————</t>
  </si>
  <si>
    <t>《巴尔的摩邮报》</t>
  </si>
  <si>
    <t>加元</t>
  </si>
  <si>
    <t>《巴尔的摩太阳报》</t>
  </si>
  <si>
    <t>墨西哥元</t>
  </si>
  <si>
    <t>雷亚尔</t>
  </si>
  <si>
    <t>密苏里州</t>
  </si>
  <si>
    <t>★其他————</t>
  </si>
  <si>
    <t>《堪萨斯城市之星》</t>
  </si>
  <si>
    <t>澳元</t>
  </si>
  <si>
    <t>《圣路易斯快邮报》</t>
  </si>
  <si>
    <t>南非兰特</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</si>
  <si>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</si>
  <si>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</si>
  <si>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</si>
  <si>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</si>
  <si>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</si>
  <si>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</si>
  <si>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</si>
  <si>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</si>
  <si>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</si>
  <si>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</si>
  <si>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</si>
  <si>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</si>
  <si>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</si>
  <si>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</si>
  <si>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</si>
  <si>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</si>
  <si>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</si>
  <si>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</si>
  <si>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</si>
  <si>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</si>
  <si>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</si>
  <si>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</si>
  <si>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</si>
  <si>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</si>
  <si>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</si>
  <si>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</si>
  <si>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</si>
  <si>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</si>
  <si>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</si>
  <si>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</si>
  <si>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</si>
  <si>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</si>
  <si>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</si>
  <si>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</si>
  <si>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</si>
  <si>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</si>
  <si>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</si>
  <si>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</si>
  <si>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</si>
  <si>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</si>
  <si>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</si>
  <si>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</si>
  <si>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</si>
  <si>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</si>
  <si>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</si>
  <si>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</si>
  <si>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</si>
  <si>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</si>
  <si>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</si>
  <si>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</si>
  <si>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</si>
  <si>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</si>
  <si>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</si>
  <si>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</si>
  <si>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</si>
  <si>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</si>
  <si>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</si>
  <si>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</si>
  <si>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</si>
  <si>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</si>
  <si>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</si>
  <si>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</si>
  <si>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</si>
  <si>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</si>
  <si>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</si>
  <si>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</si>
  <si>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</si>
  <si>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</si>
  <si>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</si>
  <si>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</si>
  <si>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</si>
  <si>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</si>
  <si>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</si>
  <si>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</si>
  <si>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</si>
  <si>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</si>
  <si>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</si>
  <si>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</si>
  <si>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</si>
  <si>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</si>
  <si>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</si>
  <si>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</si>
  <si>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</si>
  <si>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</si>
  <si>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</si>
  <si>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</si>
  <si>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</si>
  <si>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</si>
  <si>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</si>
  <si>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</si>
  <si>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</si>
  <si>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</si>
  <si>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</si>
  <si>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</si>
  <si>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</si>
  <si>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</si>
  <si>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</si>
  <si>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</si>
  <si>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</si>
  <si>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</si>
  <si>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</si>
  <si>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</si>
  <si>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</si>
  <si>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</si>
  <si>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</si>
  <si>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</si>
  <si>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</si>
  <si>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</si>
  <si>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</si>
  <si>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</si>
  <si>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</si>
  <si>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</si>
  <si>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</si>
  <si>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</si>
  <si>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</si>
  <si>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</si>
  <si>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</si>
  <si>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</si>
  <si>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</si>
  <si>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</si>
  <si>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</si>
  <si>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</si>
  <si>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</si>
  <si>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</si>
  <si>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</si>
  <si>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</si>
  <si>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</si>
  <si>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</si>
  <si>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</si>
  <si>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</si>
  <si>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</si>
  <si>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</si>
  <si>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</si>
  <si>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</si>
  <si>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</si>
  <si>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</si>
  <si>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</si>
  <si>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</si>
  <si>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</si>
  <si>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</si>
  <si>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</si>
  <si>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</si>
  <si>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</si>
  <si>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</si>
  <si>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</si>
  <si>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</si>
  <si>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</si>
  <si>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</si>
  <si>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</si>
  <si>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</si>
  <si>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</si>
  <si>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</si>
  <si>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</si>
  <si>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</si>
  <si>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</si>
  <si>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</si>
  <si>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</si>
  <si>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</si>
  <si>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</si>
  <si>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</si>
  <si>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</si>
  <si>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</si>
  <si>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</si>
  <si>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</si>
  <si>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</si>
  <si>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</si>
  <si>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</si>
  <si>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</si>
  <si>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</si>
  <si>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</si>
  <si>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</si>
  <si>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</si>
  <si>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</si>
  <si>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</si>
  <si>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</si>
  <si>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</si>
  <si>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</si>
  <si>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</si>
  <si>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</si>
  <si>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需要注意的是：艺术与手艺是试做部分，这些技能的注释仅供参考。
玩家也可以添加更多手艺，比如：游戏，木工，油漆工，铁匠等。
具体作用和KP交流好左边是自定义表,在下面写好改技能的备注(用法)</t>
  </si>
  <si>
    <t>技能查询</t>
  </si>
  <si>
    <t>请注意，这些解释的描述可能与规则书有所出入，但大体含义相同，如有解释差异请以规则书为准！
详见规则书第四章：技能</t>
  </si>
  <si>
    <t>技能成功等级与注释</t>
  </si>
  <si>
    <t>基础成功率</t>
  </si>
  <si>
    <t>成功难度等级取决于</t>
  </si>
  <si>
    <t>解释</t>
  </si>
  <si>
    <t>0</t>
  </si>
  <si>
    <t>并不知晓有这种学问或技能的存在。</t>
  </si>
  <si>
    <t>1-5</t>
  </si>
  <si>
    <t>完完全全的门外汉，仅仅是知道有这种技能而已</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</si>
  <si>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</si>
  <si>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</si>
  <si>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</si>
  <si>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</si>
  <si>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</si>
  <si>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</si>
  <si>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</si>
  <si>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</si>
  <si>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</si>
  <si>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</si>
  <si>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如果以凭借此技能来谋生至少要达到50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</si>
  <si>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</si>
  <si>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</si>
  <si>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</si>
  <si>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</si>
  <si>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</si>
  <si>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</si>
  <si>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</si>
  <si>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</si>
  <si>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</si>
  <si>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</si>
  <si>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</si>
  <si>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</si>
  <si>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</si>
  <si>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</si>
  <si>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</si>
  <si>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</si>
  <si>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</si>
  <si>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</si>
  <si>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</si>
  <si>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</si>
  <si>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</si>
  <si>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</si>
  <si>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</si>
  <si>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</si>
  <si>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</si>
  <si>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t>当一名角色将一种非母语语言的成功率
提升到了50%以上的时候：</t>
  </si>
  <si>
    <t>当一名角色将一种非母语语言的成功率
提升到了90%以上的时候：</t>
  </si>
  <si>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</si>
  <si>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</si>
  <si>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</si>
  <si>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</si>
  <si>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</si>
  <si>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</si>
  <si>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</si>
  <si>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</si>
  <si>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</si>
  <si>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</si>
  <si>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</si>
  <si>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t>例如：KP在跑团之前放公告或提醒大家“这次跑团的技能上限是70/60”
这里的70/60，就是职业技能成功率最高70%
兴趣技能成功率最高可以达到60%</t>
  </si>
  <si>
    <t>游戏系统少见规则</t>
  </si>
  <si>
    <t xml:space="preserve">幕间成长：90%或更多的技能值 </t>
  </si>
  <si>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</si>
  <si>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</si>
  <si>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</si>
  <si>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</si>
  <si>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</si>
  <si>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</si>
  <si>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</si>
  <si>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</si>
  <si>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</si>
  <si>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</si>
  <si>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</si>
  <si>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</si>
  <si>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</si>
  <si>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</si>
  <si>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</si>
  <si>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</si>
  <si>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</si>
  <si>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</si>
  <si>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</si>
  <si>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</si>
  <si>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</si>
  <si>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</si>
  <si>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每个属性由什么决定？</t>
  </si>
  <si>
    <t>力量 STR</t>
  </si>
  <si>
    <t>体质 CON</t>
  </si>
  <si>
    <t>体型 SIZ</t>
  </si>
  <si>
    <t>敏捷 DEX</t>
  </si>
  <si>
    <t>外貌 APP</t>
  </si>
  <si>
    <t>智力 INT</t>
  </si>
  <si>
    <t>意志 POW</t>
  </si>
  <si>
    <t>教育 EDU</t>
  </si>
  <si>
    <t>3D6×5</t>
  </si>
  <si>
    <t>（2D6+6）×5</t>
  </si>
  <si>
    <t>各个属性的数字意味着什么？</t>
  </si>
  <si>
    <t>衰弱：没法站起来甚至端起一杯茶｡</t>
  </si>
  <si>
    <t>死亡。</t>
  </si>
  <si>
    <t>没人知道他去了哪。</t>
  </si>
  <si>
    <t>没有协助无法行动。</t>
  </si>
  <si>
    <t>如此的难看｡他人会对你报以恐惧､厌恶和怜悯｡</t>
  </si>
  <si>
    <t>没有智商,无法理解周遭的世界｡</t>
  </si>
  <si>
    <t>0：弱者的心,没有意志力,没有魔法潜能｡</t>
  </si>
  <si>
    <t>新生儿｡</t>
  </si>
  <si>
    <t>体弱多病，易病难愈，可能在没有帮助的情况下无法自理。</t>
  </si>
  <si>
    <t>婴儿(1~10斤)。</t>
  </si>
  <si>
    <t>任何方面都没有受过教育｡</t>
  </si>
  <si>
    <t>弱者,虚弱｡</t>
  </si>
  <si>
    <t>身体虚弱，易突发疾病，易感到疼痛。</t>
  </si>
  <si>
    <t>孩童,或身短体瘦(矮人)(15kg)｡</t>
  </si>
  <si>
    <t>缓慢笨拙难以行动自如。</t>
  </si>
  <si>
    <t>挫｡估计是因为受伤事故或先天如此｡</t>
  </si>
  <si>
    <t>学得很慢,只能理解最常用的数字,或阅读学前级的书。</t>
  </si>
  <si>
    <t>意志力弱,经常成为高智力或高意志人士的人的玩物</t>
  </si>
  <si>
    <t>高中毕业｡</t>
  </si>
  <si>
    <t>普通人水平｡</t>
  </si>
  <si>
    <t>普通人水平。</t>
  </si>
  <si>
    <t>普通人类体型(中等身高和体重)(75kg)｡</t>
  </si>
  <si>
    <t>普通人</t>
  </si>
  <si>
    <t>大学毕业。</t>
  </si>
  <si>
    <t>你见过的力气最大的人。</t>
  </si>
  <si>
    <t>不惧寒冷，强壮而精神。</t>
  </si>
  <si>
    <t>非常高,强健的体格或非常胖(110kg)｡</t>
  </si>
  <si>
    <t>高速而灵活,可以达成超凡的技艺(例如伟大的舞者)｡</t>
  </si>
  <si>
    <t>你见过的最漂亮的人,有着天然的吸引力｡</t>
  </si>
  <si>
    <t>超凡之脑,可以理解多门语言或法则｡</t>
  </si>
  <si>
    <t>坚强的心,对沟通不可视之物和魔法有着高潜质｡</t>
  </si>
  <si>
    <t>研究生毕业。</t>
  </si>
  <si>
    <t>世界水平(奥赛举重冠军)｡人类极限。</t>
  </si>
  <si>
    <t>钢铁之躯。能够承受巨大的疼痛。人类极限。</t>
  </si>
  <si>
    <t>某方面已经是超大号了(150kg)｡</t>
  </si>
  <si>
    <t>世界级运动员｡人类极限｡</t>
  </si>
  <si>
    <t>魅力和酷的巅峰(超级名模或世界影星)｡人类极限｡</t>
  </si>
  <si>
    <t>天才(爱因斯坦､达芬奇､特斯拉等等)｡人类极限｡</t>
  </si>
  <si>
    <t>钢铁之心,与灵能领域和不可视世界有着强烈的链接｡</t>
  </si>
  <si>
    <t>博士学位,教授｡</t>
  </si>
  <si>
    <t>超越人类之力(例如大猩猩或马)｡</t>
  </si>
  <si>
    <t>超越人类之体格(大象)｡</t>
  </si>
  <si>
    <t>马或牛(436kg)｡</t>
  </si>
  <si>
    <t>超越人类之敏捷。</t>
  </si>
  <si>
    <t>超越人类之智。</t>
  </si>
  <si>
    <t>超越人类,基本上是异界存在。</t>
  </si>
  <si>
    <t>某研究领域的世界级权威｡</t>
  </si>
  <si>
    <t>有记录的最重的人类(634kg)。</t>
  </si>
  <si>
    <t>人类极限｡</t>
  </si>
  <si>
    <t>200+</t>
  </si>
  <si>
    <t>怪物之力。</t>
  </si>
  <si>
    <t>怪物之体,免疫大部分地球疾病。</t>
  </si>
  <si>
    <t>872kg。</t>
  </si>
  <si>
    <t>闪电之速,可以在人类反应过来之前完成系列动作｡</t>
  </si>
  <si>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</si>
  <si>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</si>
  <si>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</si>
  <si>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</si>
  <si>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</si>
  <si>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</si>
  <si>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</si>
  <si>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</si>
  <si>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</si>
  <si>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</si>
  <si>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</si>
  <si>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</si>
  <si>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</si>
  <si>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</si>
  <si>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</si>
  <si>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</si>
  <si>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</si>
  <si>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</si>
  <si>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</si>
  <si>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</si>
  <si>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</si>
  <si>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</si>
  <si>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</si>
  <si>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</si>
  <si>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</si>
  <si>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</si>
  <si>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</si>
  <si>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</si>
  <si>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</si>
  <si>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</si>
  <si>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</si>
  <si>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</si>
  <si>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</si>
  <si>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</si>
  <si>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</si>
  <si>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</si>
  <si>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</si>
  <si>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</si>
  <si>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</si>
  <si>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</si>
  <si>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</si>
  <si>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</si>
  <si>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</si>
  <si>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</si>
  <si>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</si>
  <si>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</si>
  <si>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</si>
  <si>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</si>
  <si>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</si>
  <si>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</si>
  <si>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</si>
  <si>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</si>
  <si>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</si>
  <si>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</si>
  <si>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</si>
  <si>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</si>
  <si>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</si>
  <si>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</si>
  <si>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</si>
  <si>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</si>
  <si>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</si>
  <si>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</si>
  <si>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</si>
  <si>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</si>
  <si>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</si>
  <si>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</si>
  <si>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</si>
  <si>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</si>
  <si>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</si>
  <si>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t>从力量、体质、敏捷里总共-5，APP-5
之后进行 2 次教育进步
移动-1</t>
  </si>
  <si>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</si>
  <si>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</si>
  <si>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</si>
  <si>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</si>
  <si>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</si>
  <si>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</si>
  <si>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</si>
  <si>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</si>
  <si>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</si>
  <si>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</si>
  <si>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</si>
  <si>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</si>
  <si>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</si>
  <si>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</si>
  <si>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t>从力量、体质、敏捷里总共-10，APP-10
之后进行 3 次教育进步
移动-2</t>
  </si>
  <si>
    <t>*此后合计值每超过一个80，就+1d6伤害加成与+1体型，不足80的按照80算。</t>
  </si>
  <si>
    <t>60+</t>
  </si>
  <si>
    <t>从力量、体质、敏捷里总共-20，APP-15
之后进行 4 次教育进步
移动-3</t>
  </si>
  <si>
    <t>70+</t>
  </si>
  <si>
    <t>从力量、体质、敏捷里总共-40，APP-20
之后进行 4 次教育进步
移动-4</t>
  </si>
  <si>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</si>
  <si>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</si>
  <si>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</si>
  <si>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</si>
  <si>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</si>
  <si>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</si>
  <si>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</si>
  <si>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</si>
  <si>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</si>
  <si>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</si>
  <si>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</si>
  <si>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</si>
  <si>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</si>
  <si>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</si>
  <si>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</si>
  <si>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</si>
  <si>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</si>
  <si>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</si>
  <si>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</si>
  <si>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</si>
  <si>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</si>
  <si>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</si>
  <si>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</si>
  <si>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</si>
  <si>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</si>
  <si>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</si>
  <si>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</si>
  <si>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</si>
  <si>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</si>
  <si>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</si>
  <si>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</si>
  <si>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</si>
  <si>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</si>
  <si>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</si>
  <si>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</si>
  <si>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</si>
  <si>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</si>
  <si>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</si>
  <si>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</si>
  <si>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</si>
  <si>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</si>
  <si>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</si>
  <si>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</si>
  <si>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</si>
  <si>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</si>
  <si>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</si>
  <si>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</si>
  <si>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</si>
  <si>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</si>
  <si>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</si>
  <si>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</si>
  <si>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</si>
  <si>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</si>
  <si>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</si>
  <si>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</si>
  <si>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</si>
  <si>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</si>
  <si>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</si>
  <si>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</si>
  <si>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</si>
  <si>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</si>
  <si>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</si>
  <si>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</si>
  <si>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</si>
  <si>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</si>
  <si>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</si>
  <si>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</si>
  <si>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</si>
  <si>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</si>
  <si>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</si>
  <si>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</si>
  <si>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</si>
  <si>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</si>
  <si>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</si>
  <si>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</si>
  <si>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</si>
  <si>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</si>
  <si>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</si>
  <si>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</si>
  <si>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</si>
  <si>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</si>
  <si>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</si>
  <si>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</si>
  <si>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</si>
  <si>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</si>
  <si>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</si>
  <si>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</si>
  <si>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</si>
  <si>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</si>
  <si>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</si>
  <si>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</si>
  <si>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</si>
  <si>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</si>
  <si>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</si>
  <si>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</si>
  <si>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</si>
  <si>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</si>
  <si>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</si>
  <si>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</si>
  <si>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</si>
  <si>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</si>
  <si>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</si>
  <si>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</si>
  <si>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</si>
  <si>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</si>
  <si>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</si>
  <si>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</si>
  <si>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</si>
  <si>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</si>
  <si>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</si>
  <si>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</si>
  <si>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</si>
  <si>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</si>
  <si>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</si>
  <si>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</si>
  <si>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</si>
  <si>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</si>
  <si>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</si>
  <si>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</si>
  <si>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</si>
  <si>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</si>
  <si>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</si>
  <si>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</si>
  <si>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</si>
  <si>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</si>
  <si>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</si>
  <si>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</si>
  <si>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</si>
  <si>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</si>
  <si>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</si>
  <si>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</si>
  <si>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</si>
  <si>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</si>
  <si>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</si>
  <si>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</si>
  <si>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</si>
  <si>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</si>
  <si>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</si>
  <si>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</si>
  <si>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</si>
  <si>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</si>
  <si>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</si>
  <si>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</si>
  <si>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</si>
  <si>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</si>
  <si>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</si>
  <si>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</si>
  <si>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</si>
  <si>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</si>
  <si>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</si>
  <si>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</si>
  <si>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</si>
  <si>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</si>
  <si>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</si>
  <si>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</si>
  <si>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</si>
  <si>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</si>
  <si>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</si>
  <si>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</si>
  <si>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</si>
  <si>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</si>
  <si>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</si>
  <si>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</si>
  <si>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</si>
  <si>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</si>
  <si>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</si>
  <si>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</si>
  <si>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</si>
  <si>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</si>
  <si>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</si>
  <si>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</si>
  <si>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</si>
  <si>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</si>
  <si>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</si>
  <si>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</si>
  <si>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</si>
  <si>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</si>
  <si>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</si>
  <si>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</si>
  <si>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</si>
  <si>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</si>
  <si>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</si>
  <si>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</si>
  <si>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</si>
  <si>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</si>
  <si>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</si>
  <si>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</si>
  <si>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</si>
  <si>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</si>
  <si>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</si>
  <si>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</si>
  <si>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</si>
  <si>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</si>
  <si>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</si>
  <si>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</si>
  <si>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</si>
  <si>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</si>
  <si>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</si>
  <si>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</si>
  <si>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</si>
  <si>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</si>
  <si>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</si>
  <si>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</si>
  <si>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</si>
  <si>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</si>
  <si>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</si>
  <si>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</si>
  <si>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</si>
  <si>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</si>
  <si>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</si>
  <si>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</si>
  <si>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</si>
  <si>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</si>
  <si>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</si>
  <si>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</si>
  <si>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</si>
  <si>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</si>
  <si>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</si>
  <si>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</si>
  <si>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</si>
  <si>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</si>
  <si>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</si>
  <si>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</si>
  <si>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</si>
  <si>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</si>
  <si>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</si>
  <si>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</si>
  <si>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</si>
  <si>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</si>
  <si>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</si>
  <si>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</si>
  <si>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</si>
  <si>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</si>
  <si>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</si>
  <si>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</si>
  <si>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</si>
  <si>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</si>
  <si>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</si>
  <si>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</si>
  <si>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</si>
  <si>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</si>
  <si>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</si>
  <si>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</si>
  <si>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</si>
  <si>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</si>
  <si>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</si>
  <si>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</si>
  <si>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</si>
  <si>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</si>
  <si>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</si>
  <si>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</si>
  <si>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</si>
  <si>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</si>
  <si>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</si>
  <si>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</si>
  <si>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</si>
  <si>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</si>
  <si>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</si>
  <si>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</si>
  <si>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</si>
  <si>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</si>
  <si>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</si>
  <si>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</si>
  <si>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</si>
  <si>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</si>
  <si>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</si>
  <si>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</si>
  <si>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</si>
  <si>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</si>
  <si>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</si>
  <si>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</si>
  <si>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</si>
  <si>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</si>
  <si>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</si>
  <si>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</si>
  <si>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</si>
  <si>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</si>
  <si>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</si>
  <si>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</si>
  <si>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</si>
  <si>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</si>
  <si>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</si>
  <si>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</si>
  <si>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</si>
  <si>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</si>
  <si>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</si>
  <si>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</si>
  <si>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</si>
  <si>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</si>
  <si>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</si>
  <si>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</si>
  <si>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</si>
  <si>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</si>
  <si>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</si>
  <si>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</si>
  <si>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</si>
  <si>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</si>
  <si>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</si>
  <si>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</si>
  <si>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</si>
  <si>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</si>
  <si>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</si>
  <si>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</si>
  <si>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</si>
  <si>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</si>
  <si>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</si>
  <si>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</si>
  <si>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</si>
  <si>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</si>
  <si>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</si>
  <si>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</si>
  <si>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</si>
  <si>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</si>
  <si>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</si>
  <si>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</si>
  <si>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</si>
  <si>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</si>
  <si>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</si>
  <si>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</si>
  <si>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</si>
  <si>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</si>
  <si>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</si>
  <si>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</si>
  <si>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</si>
  <si>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</si>
  <si>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</si>
  <si>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</si>
  <si>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</si>
  <si>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</si>
  <si>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</si>
  <si>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</si>
  <si>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</si>
  <si>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</si>
  <si>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</si>
  <si>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</si>
  <si>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</si>
  <si>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</si>
  <si>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</si>
  <si>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</si>
  <si>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</si>
  <si>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</si>
  <si>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</si>
  <si>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</si>
  <si>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</si>
  <si>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</si>
  <si>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</si>
  <si>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</si>
  <si>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</si>
  <si>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</si>
  <si>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</si>
  <si>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</si>
  <si>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</si>
  <si>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</si>
  <si>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</si>
  <si>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</si>
  <si>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</si>
  <si>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</si>
  <si>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</si>
  <si>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</si>
  <si>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</si>
  <si>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</si>
  <si>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</si>
  <si>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</si>
  <si>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</si>
  <si>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</si>
  <si>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</si>
  <si>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</si>
  <si>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</si>
  <si>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</si>
  <si>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</si>
  <si>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</si>
  <si>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</si>
  <si>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</si>
  <si>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</si>
  <si>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</si>
  <si>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</si>
  <si>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</si>
  <si>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</si>
  <si>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</si>
  <si>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</si>
  <si>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</si>
  <si>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</si>
  <si>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</si>
  <si>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</si>
  <si>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</si>
  <si>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</si>
  <si>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</si>
  <si>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</si>
  <si>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</si>
  <si>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</si>
  <si>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</si>
  <si>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</si>
  <si>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</si>
  <si>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</si>
  <si>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</si>
  <si>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</si>
  <si>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</si>
  <si>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</si>
  <si>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</si>
  <si>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</si>
  <si>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</si>
  <si>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</si>
  <si>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</si>
  <si>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</si>
  <si>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</si>
  <si>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</si>
  <si>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</si>
  <si>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</si>
  <si>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</si>
  <si>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</si>
  <si>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</si>
  <si>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</si>
  <si>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</si>
  <si>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</si>
  <si>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</si>
  <si>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</si>
  <si>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</si>
  <si>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</si>
  <si>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</si>
  <si>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</si>
  <si>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</si>
  <si>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</si>
  <si>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</si>
  <si>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</si>
  <si>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</si>
  <si>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</si>
  <si>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</si>
  <si>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</si>
  <si>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</si>
  <si>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</si>
  <si>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</si>
  <si>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</si>
  <si>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</si>
  <si>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</si>
  <si>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</si>
  <si>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</si>
  <si>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</si>
  <si>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</si>
  <si>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</si>
  <si>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</si>
  <si>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</si>
  <si>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</si>
  <si>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</si>
  <si>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</si>
  <si>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</si>
  <si>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</si>
  <si>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</si>
  <si>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</si>
  <si>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</si>
  <si>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</si>
  <si>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</si>
  <si>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</si>
  <si>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</si>
  <si>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</si>
  <si>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</si>
  <si>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</si>
  <si>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</si>
  <si>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</si>
  <si>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</si>
  <si>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</si>
  <si>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</si>
  <si>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</si>
  <si>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</si>
  <si>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</si>
  <si>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</si>
  <si>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</si>
  <si>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</si>
  <si>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</si>
  <si>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</si>
  <si>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</si>
  <si>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</si>
  <si>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</si>
  <si>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</si>
  <si>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</si>
  <si>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</si>
  <si>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</si>
  <si>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</si>
  <si>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</si>
  <si>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</si>
  <si>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</si>
  <si>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</si>
  <si>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</si>
  <si>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</si>
  <si>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</si>
  <si>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</si>
  <si>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</si>
  <si>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</si>
  <si>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</si>
  <si>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</si>
  <si>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</si>
  <si>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</si>
  <si>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</si>
  <si>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</si>
  <si>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</si>
  <si>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</si>
  <si>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</si>
  <si>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</si>
  <si>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</si>
  <si>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</si>
  <si>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</si>
  <si>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</si>
  <si>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</si>
  <si>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</si>
  <si>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</si>
  <si>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</si>
  <si>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</si>
  <si>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</si>
  <si>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</si>
  <si>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</si>
  <si>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</si>
  <si>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</si>
  <si>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</si>
  <si>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</si>
  <si>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</si>
  <si>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</si>
  <si>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</si>
  <si>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</si>
  <si>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</si>
  <si>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</si>
  <si>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</si>
  <si>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</si>
  <si>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</si>
  <si>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</si>
  <si>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</si>
  <si>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</si>
  <si>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</si>
  <si>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</si>
  <si>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</si>
  <si>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</si>
  <si>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</si>
  <si>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</si>
  <si>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</si>
  <si>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</si>
  <si>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</si>
  <si>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</si>
  <si>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</si>
  <si>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</si>
  <si>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</si>
  <si>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</si>
  <si>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</si>
  <si>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</si>
  <si>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</si>
  <si>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</si>
  <si>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</si>
  <si>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</si>
  <si>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</si>
  <si>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</si>
  <si>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</si>
  <si>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</si>
  <si>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</si>
  <si>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</si>
  <si>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</si>
  <si>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</si>
  <si>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</si>
  <si>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</si>
  <si>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</si>
  <si>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</si>
  <si>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</si>
  <si>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</si>
  <si>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</si>
  <si>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</si>
  <si>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</si>
  <si>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</si>
  <si>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</si>
  <si>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</si>
  <si>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</si>
  <si>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</si>
  <si>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</si>
  <si>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</si>
  <si>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</si>
  <si>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</si>
  <si>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</si>
  <si>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</si>
  <si>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</si>
  <si>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</si>
  <si>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</si>
  <si>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</si>
  <si>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</si>
  <si>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</si>
  <si>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</si>
  <si>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</si>
  <si>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</si>
  <si>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</si>
  <si>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</si>
  <si>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</si>
  <si>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</si>
  <si>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</si>
  <si>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</si>
  <si>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</si>
  <si>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</si>
  <si>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</si>
  <si>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</si>
  <si>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</si>
  <si>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</si>
  <si>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</si>
  <si>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</si>
  <si>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</si>
  <si>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</si>
  <si>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</si>
  <si>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</si>
  <si>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</si>
  <si>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</si>
  <si>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</si>
  <si>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</si>
  <si>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</si>
  <si>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</si>
  <si>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</si>
  <si>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</si>
  <si>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</si>
  <si>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</si>
  <si>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</si>
  <si>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</si>
  <si>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</si>
  <si>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</si>
  <si>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</si>
  <si>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</si>
  <si>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</si>
  <si>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</si>
  <si>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</si>
  <si>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</si>
  <si>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</si>
  <si>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</si>
  <si>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</si>
  <si>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</si>
  <si>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</si>
  <si>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</si>
  <si>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</si>
  <si>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</si>
  <si>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</si>
  <si>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</si>
  <si>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</si>
  <si>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</si>
  <si>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</si>
  <si>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</si>
  <si>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</si>
  <si>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</si>
  <si>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</si>
  <si>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</si>
  <si>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</si>
  <si>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</si>
  <si>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</si>
  <si>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</si>
  <si>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</si>
  <si>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</si>
  <si>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</si>
  <si>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</si>
  <si>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</si>
  <si>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</si>
  <si>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</si>
  <si>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</si>
  <si>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</si>
  <si>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</si>
  <si>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</si>
  <si>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</si>
  <si>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</si>
  <si>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</si>
  <si>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</si>
  <si>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</si>
  <si>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</si>
  <si>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</si>
  <si>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</si>
  <si>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</si>
  <si>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</si>
  <si>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</si>
  <si>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</si>
  <si>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</si>
  <si>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</si>
  <si>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</si>
  <si>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</si>
  <si>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</si>
  <si>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</si>
  <si>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</si>
  <si>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</si>
  <si>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</si>
  <si>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</si>
  <si>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</si>
  <si>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</si>
  <si>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</si>
  <si>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</si>
  <si>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</si>
  <si>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</si>
  <si>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</si>
  <si>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</si>
  <si>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</si>
  <si>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</si>
  <si>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</si>
  <si>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</si>
  <si>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</si>
  <si>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</si>
  <si>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</si>
  <si>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</si>
  <si>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</si>
  <si>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</si>
  <si>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</si>
  <si>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</si>
  <si>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</si>
  <si>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</si>
  <si>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</si>
  <si>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</si>
  <si>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</si>
  <si>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</si>
  <si>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</si>
  <si>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</si>
  <si>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</si>
  <si>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</si>
  <si>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</si>
  <si>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</si>
  <si>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</si>
  <si>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</si>
  <si>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</si>
  <si>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</si>
  <si>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</si>
  <si>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</si>
  <si>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</si>
  <si>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</si>
  <si>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</si>
  <si>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</si>
  <si>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</si>
  <si>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</si>
  <si>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</si>
  <si>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</si>
  <si>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</si>
  <si>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</si>
  <si>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</si>
  <si>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</si>
  <si>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</si>
  <si>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</si>
  <si>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</si>
  <si>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</si>
  <si>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</si>
  <si>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</si>
  <si>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</si>
  <si>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</si>
  <si>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</si>
  <si>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</si>
  <si>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</si>
  <si>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</si>
  <si>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</si>
  <si>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</si>
  <si>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</si>
  <si>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</si>
  <si>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</si>
  <si>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</si>
  <si>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</si>
  <si>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</si>
  <si>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</si>
  <si>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</si>
  <si>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</si>
  <si>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</si>
  <si>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</si>
  <si>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</si>
  <si>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</si>
  <si>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</si>
  <si>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</si>
  <si>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</si>
  <si>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</si>
  <si>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</si>
  <si>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</si>
  <si>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</si>
  <si>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</si>
  <si>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</si>
  <si>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</si>
  <si>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</si>
  <si>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</si>
  <si>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</si>
  <si>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</si>
  <si>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</si>
  <si>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</si>
  <si>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</si>
  <si>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</si>
  <si>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</si>
  <si>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</si>
  <si>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</si>
  <si>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</si>
  <si>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</si>
  <si>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</si>
  <si>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</si>
  <si>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</si>
  <si>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</si>
  <si>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</si>
  <si>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</si>
  <si>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</si>
  <si>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</si>
  <si>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</si>
  <si>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</si>
  <si>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</si>
  <si>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</si>
  <si>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</si>
  <si>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</si>
  <si>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</si>
  <si>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</si>
  <si>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</si>
  <si>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</si>
  <si>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</si>
  <si>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</si>
  <si>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</si>
  <si>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</si>
  <si>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</si>
  <si>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</si>
  <si>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</si>
  <si>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</si>
  <si>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射程</t>
  </si>
  <si>
    <t>每轮</t>
  </si>
  <si>
    <t>常见时代</t>
  </si>
  <si>
    <t>价格20s/现代($)</t>
  </si>
  <si>
    <t>发明时间</t>
  </si>
  <si>
    <t>武器名称前面的*和-：
带*的武器代表这是罕见武器
带-的武器代表这是不合时代的武器（根据人物卡的时代进行判定）</t>
  </si>
  <si>
    <t>弓</t>
  </si>
  <si>
    <t>1D6+半DB</t>
  </si>
  <si>
    <t>30码</t>
  </si>
  <si>
    <t>1</t>
  </si>
  <si>
    <t>97</t>
  </si>
  <si>
    <t>1920s,现代</t>
  </si>
  <si>
    <t>7/75</t>
  </si>
  <si>
    <t>常
规
武
器</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</si>
  <si>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</si>
  <si>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</si>
  <si>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弓箭</t>
  </si>
  <si>
    <t>1D3+1+DB</t>
  </si>
  <si>
    <t>接触</t>
  </si>
  <si>
    <t>1/10</t>
  </si>
  <si>
    <t>1D3+1+[DB]</t>
  </si>
  <si>
    <t>黄铜指虎</t>
  </si>
  <si>
    <t>1D3+半DB</t>
  </si>
  <si>
    <t>10英尺</t>
  </si>
  <si>
    <t>5/50</t>
  </si>
  <si>
    <t>1D3+[DB]/2</t>
  </si>
  <si>
    <t>长鞭</t>
  </si>
  <si>
    <t>1D6+燃烧</t>
  </si>
  <si>
    <t>0.05/0.5</t>
  </si>
  <si>
    <t>1D6</t>
  </si>
  <si>
    <t>燃烧的火把</t>
  </si>
  <si>
    <t>2D8</t>
  </si>
  <si>
    <t>95</t>
  </si>
  <si>
    <t>——/300</t>
  </si>
  <si>
    <t>1926年</t>
  </si>
  <si>
    <t>1D8+DB</t>
  </si>
  <si>
    <t>2/15</t>
  </si>
  <si>
    <t>1940年</t>
  </si>
  <si>
    <t>1D8+[DB]</t>
  </si>
  <si>
    <t>包皮铁棍(甩棍、大头棍、护身棒)</t>
  </si>
  <si>
    <t>3/35</t>
  </si>
  <si>
    <t>大型棍状物(棒球棍、板球棒、拨火棍等)</t>
  </si>
  <si>
    <t>1D6+DB</t>
  </si>
  <si>
    <t>1D6+[DB]</t>
  </si>
  <si>
    <t>小型棍状物(警棍等)</t>
  </si>
  <si>
    <t>1D8+2</t>
  </si>
  <si>
    <t>50码</t>
  </si>
  <si>
    <t>1/2</t>
  </si>
  <si>
    <t>96</t>
  </si>
  <si>
    <t>10/100</t>
  </si>
  <si>
    <t>公元前210年</t>
  </si>
  <si>
    <t>弩</t>
  </si>
  <si>
    <t>0.5/3</t>
  </si>
  <si>
    <t>绞索：目标需要用一个战技摆脱，
否则每轮受到 1D6 点伤害。只对人类和相近的对手有效。</t>
  </si>
  <si>
    <t>1D6+1+DB</t>
  </si>
  <si>
    <t>3/9</t>
  </si>
  <si>
    <t>1D6+1+[DB]</t>
  </si>
  <si>
    <t>手斧/镰刀</t>
  </si>
  <si>
    <t>4/50</t>
  </si>
  <si>
    <t>大型刀具(甘蔗刀等)</t>
  </si>
  <si>
    <t>1D4+2+DB</t>
  </si>
  <si>
    <t>1D4+2+[DB]</t>
  </si>
  <si>
    <t>中型刀具(切肉菜刀等)</t>
  </si>
  <si>
    <t>1D4+DB</t>
  </si>
  <si>
    <t>2/6</t>
  </si>
  <si>
    <t>一般有锁链或者类似绳子部分的武器可以做到</t>
  </si>
  <si>
    <t>1D4+[DB]</t>
  </si>
  <si>
    <t>小型刀具(弹簧折叠刀等)</t>
  </si>
  <si>
    <t>2D8+眩晕</t>
  </si>
  <si>
    <t>1894年</t>
  </si>
  <si>
    <t>220v通电导线</t>
  </si>
  <si>
    <t>如有任何冲突情况请以规则书为准！</t>
  </si>
  <si>
    <t>眩晕</t>
  </si>
  <si>
    <t>6英尺</t>
  </si>
  <si>
    <t>25次</t>
  </si>
  <si>
    <t>——/10</t>
  </si>
  <si>
    <t>1912年</t>
  </si>
  <si>
    <t>催泪瓦斯</t>
  </si>
  <si>
    <t>960年</t>
  </si>
  <si>
    <t>催泪瓦斯：抵近射击规则无效；目标须通过一个极难的 敏捷 检定否则暂时目盲。只对人类和相近的对手有效。</t>
  </si>
  <si>
    <t>1D4+半DB</t>
  </si>
  <si>
    <t>STR英尺</t>
  </si>
  <si>
    <t>1D4+[DB]/2</t>
  </si>
  <si>
    <t>投石</t>
  </si>
  <si>
    <t>20码</t>
  </si>
  <si>
    <t>2</t>
  </si>
  <si>
    <t>一次性</t>
  </si>
  <si>
    <t>手里剑</t>
  </si>
  <si>
    <t>1D8+1</t>
  </si>
  <si>
    <t>25/150</t>
  </si>
  <si>
    <t>矛、骑士长枪</t>
  </si>
  <si>
    <t>1D8+半DB</t>
  </si>
  <si>
    <t>STR码</t>
  </si>
  <si>
    <t>罕见</t>
  </si>
  <si>
    <t>1/25</t>
  </si>
  <si>
    <t>电击枪：仅对体格 2 及以下的目标有效，目标在 1D6 回合内不能行动（或 KP 决定)</t>
  </si>
  <si>
    <t>1D8+[DB]/2</t>
  </si>
  <si>
    <t>*掷矛</t>
  </si>
  <si>
    <t>1D8+1+DB</t>
  </si>
  <si>
    <t>30/75</t>
  </si>
  <si>
    <t>1D8+1+[DB]</t>
  </si>
  <si>
    <t>大型剑（马刀）</t>
  </si>
  <si>
    <t>15/100</t>
  </si>
  <si>
    <t>中型剑（佩剑、重剑）</t>
  </si>
  <si>
    <t>25/100</t>
  </si>
  <si>
    <t>轻型剑（花剑、剑杖）</t>
  </si>
  <si>
    <t>1D3+眩晕</t>
  </si>
  <si>
    <t>——/200</t>
  </si>
  <si>
    <t>2006年</t>
  </si>
  <si>
    <t>1D3</t>
  </si>
  <si>
    <t>电棍、电击枪(接触)</t>
  </si>
  <si>
    <t>15英尺</t>
  </si>
  <si>
    <t>3</t>
  </si>
  <si>
    <t>——/400</t>
  </si>
  <si>
    <t>1974年</t>
  </si>
  <si>
    <t>电击枪(远程)</t>
  </si>
  <si>
    <t>2/4</t>
  </si>
  <si>
    <t>*战斗回力镖</t>
  </si>
  <si>
    <t>1D8+2+DB</t>
  </si>
  <si>
    <t>5/10</t>
  </si>
  <si>
    <t>1D8+2+[DB]</t>
  </si>
  <si>
    <t>伐木斧</t>
  </si>
  <si>
    <t>1D6+1</t>
  </si>
  <si>
    <t>10</t>
  </si>
  <si>
    <t>1/4</t>
  </si>
  <si>
    <t>30/300</t>
  </si>
  <si>
    <t>1547年</t>
  </si>
  <si>
    <t>手
枪</t>
  </si>
  <si>
    <t>正常来说每回合只能击发一次，
括号内是连发最大数。</t>
  </si>
  <si>
    <t>*遂发枪</t>
  </si>
  <si>
    <t>1(3)</t>
  </si>
  <si>
    <t>6</t>
  </si>
  <si>
    <t>25/190</t>
  </si>
  <si>
    <t>1857年</t>
  </si>
  <si>
    <t>.22(5.6mm)小型自动手枪</t>
  </si>
  <si>
    <t>12/55</t>
  </si>
  <si>
    <t>1920年</t>
  </si>
  <si>
    <t>.25(6.35mm)短口手枪(单管)</t>
  </si>
  <si>
    <t>1D8</t>
  </si>
  <si>
    <t>15</t>
  </si>
  <si>
    <t>15/200</t>
  </si>
  <si>
    <t>1930年</t>
  </si>
  <si>
    <t>.32(7.65mm)左轮手枪</t>
  </si>
  <si>
    <t>8</t>
  </si>
  <si>
    <t>99</t>
  </si>
  <si>
    <t>20/350</t>
  </si>
  <si>
    <t>.32(7.65mm)自动手枪</t>
  </si>
  <si>
    <t>1D8+1D4</t>
  </si>
  <si>
    <t>——/425</t>
  </si>
  <si>
    <t>1934年</t>
  </si>
  <si>
    <t>.357 马格南左轮</t>
  </si>
  <si>
    <t>25/200</t>
  </si>
  <si>
    <t>1898年</t>
  </si>
  <si>
    <t>.38(9mm)左轮手枪</t>
  </si>
  <si>
    <t>30/375</t>
  </si>
  <si>
    <t>.38(9mm)自动手枪</t>
  </si>
  <si>
    <t>98</t>
  </si>
  <si>
    <t>——/500</t>
  </si>
  <si>
    <t>1990年</t>
  </si>
  <si>
    <t>如果连发则每次投掷都会承受一个惩罚骰</t>
  </si>
  <si>
    <t>贝瑞塔 M9</t>
  </si>
  <si>
    <t>17</t>
  </si>
  <si>
    <t>1983年</t>
  </si>
  <si>
    <t>9mm 格洛克 17</t>
  </si>
  <si>
    <t>75/600</t>
  </si>
  <si>
    <t>1902年</t>
  </si>
  <si>
    <t>9mm 鲁格 P08</t>
  </si>
  <si>
    <t>1920s,罕见</t>
  </si>
  <si>
    <t>30/——</t>
  </si>
  <si>
    <t>1860年</t>
  </si>
  <si>
    <t>*.41(10.4mm) 左轮手枪</t>
  </si>
  <si>
    <t>1D10+1D4+2</t>
  </si>
  <si>
    <t>1950年</t>
  </si>
  <si>
    <t>.44(11.2mm) 马格南左轮手枪</t>
  </si>
  <si>
    <t>1D10+2</t>
  </si>
  <si>
    <t>1904年</t>
  </si>
  <si>
    <t>.45(11.43mm) 左轮手枪</t>
  </si>
  <si>
    <t>7</t>
  </si>
  <si>
    <t>40/375</t>
  </si>
  <si>
    <t>.45(11.43mm) 自动手枪</t>
  </si>
  <si>
    <t>1D10+1D6+3</t>
  </si>
  <si>
    <t>94</t>
  </si>
  <si>
    <t>1982年</t>
  </si>
  <si>
    <t>IMI 沙漠之鹰</t>
  </si>
  <si>
    <t>1D10+4</t>
  </si>
  <si>
    <t>60</t>
  </si>
  <si>
    <t>25/350</t>
  </si>
  <si>
    <t>1885年</t>
  </si>
  <si>
    <t>步
枪</t>
  </si>
  <si>
    <t>这种步枪是不可连发的
通常一次只能发射一发
威力极大</t>
  </si>
  <si>
    <t>莫兰上校的气动步枪：靠压缩空气发射，不需要火药，因而比较安静。</t>
  </si>
  <si>
    <t>*.58 (14.7mm)1855 年式春田步枪</t>
  </si>
  <si>
    <t>30</t>
  </si>
  <si>
    <t>13/70</t>
  </si>
  <si>
    <t>.22 (5.6mm)栓式枪机步枪</t>
  </si>
  <si>
    <t>2D6</t>
  </si>
  <si>
    <t>19/150</t>
  </si>
  <si>
    <t>1952年</t>
  </si>
  <si>
    <t>.30 (7.62mm)杠杆式枪机步枪</t>
  </si>
  <si>
    <t>1D8+1D6+3</t>
  </si>
  <si>
    <t>80</t>
  </si>
  <si>
    <t>1/3</t>
  </si>
  <si>
    <t>20/200</t>
  </si>
  <si>
    <t>1871年</t>
  </si>
  <si>
    <t>.45 马提尼·亨利步枪</t>
  </si>
  <si>
    <t>2D6+1</t>
  </si>
  <si>
    <t>20</t>
  </si>
  <si>
    <t>88</t>
  </si>
  <si>
    <t>200</t>
  </si>
  <si>
    <t>莫兰上校的气动步枪</t>
  </si>
  <si>
    <t>2D6+4</t>
  </si>
  <si>
    <t>110</t>
  </si>
  <si>
    <t>400</t>
  </si>
  <si>
    <t>1936年</t>
  </si>
  <si>
    <t>加兰德M1、M2步枪</t>
  </si>
  <si>
    <t>90</t>
  </si>
  <si>
    <t>1(2)</t>
  </si>
  <si>
    <t>1945年</t>
  </si>
  <si>
    <t>SKS 半自动步枪(56 半)</t>
  </si>
  <si>
    <t>50/300</t>
  </si>
  <si>
    <t>1895年</t>
  </si>
  <si>
    <t>.303 (7.7mm) 李·恩菲尔德</t>
  </si>
  <si>
    <t>5</t>
  </si>
  <si>
    <t>75/175</t>
  </si>
  <si>
    <t>.30——06 (7.62mm) 栓式枪机步枪</t>
  </si>
  <si>
    <t>275</t>
  </si>
  <si>
    <t>1955年</t>
  </si>
  <si>
    <t>.30——06 (7.62mm) 半自动步枪</t>
  </si>
  <si>
    <t>2D8+4</t>
  </si>
  <si>
    <t>.444 (11.28mm) 马林步枪</t>
  </si>
  <si>
    <t>3D6+4</t>
  </si>
  <si>
    <t>1 or 2</t>
  </si>
  <si>
    <t>400/1000</t>
  </si>
  <si>
    <t>1890年</t>
  </si>
  <si>
    <t>霰
弹
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</si>
  <si>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</si>
  <si>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</si>
  <si>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</si>
  <si>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猎象枪(双管)</t>
  </si>
  <si>
    <t>2D6/1D6/1D3</t>
  </si>
  <si>
    <t>10/20/50</t>
  </si>
  <si>
    <t>35/稀有</t>
  </si>
  <si>
    <t>1914年</t>
  </si>
  <si>
    <t>20 号霰弹枪(双管)</t>
  </si>
  <si>
    <t>2D6+2/1D6+1/1D4</t>
  </si>
  <si>
    <t>40/稀有</t>
  </si>
  <si>
    <t>2D6+2</t>
  </si>
  <si>
    <t>16 号霰弹枪(双管)</t>
  </si>
  <si>
    <t>4D6/2D6/1D6</t>
  </si>
  <si>
    <t>40/200</t>
  </si>
  <si>
    <t>4D6</t>
  </si>
  <si>
    <t>12 号霰弹枪(双管)</t>
  </si>
  <si>
    <t>45/100</t>
  </si>
  <si>
    <t>1980年</t>
  </si>
  <si>
    <t>12 号霰弹枪(泵动)</t>
  </si>
  <si>
    <t>12 号霰弹枪(半自动)</t>
  </si>
  <si>
    <t>4D6/1D6</t>
  </si>
  <si>
    <t>N/A</t>
  </si>
  <si>
    <t>1790年</t>
  </si>
  <si>
    <t>12 号霰弹枪(双管,锯短)</t>
  </si>
  <si>
    <t>4D6+2/2D6+1/1D4</t>
  </si>
  <si>
    <t>稀有</t>
  </si>
  <si>
    <t>4D6+2</t>
  </si>
  <si>
    <t>*10 号霰弹枪(双管)</t>
  </si>
  <si>
    <t>——/895</t>
  </si>
  <si>
    <t>1999年</t>
  </si>
  <si>
    <t>12 号贝里尼 M3(折叠式枪托)</t>
  </si>
  <si>
    <t>——/600</t>
  </si>
  <si>
    <t>1979年</t>
  </si>
  <si>
    <t>12 号 SPAS (折叠式枪托)</t>
  </si>
  <si>
    <t>1(2)or全自动</t>
  </si>
  <si>
    <t>1951年</t>
  </si>
  <si>
    <t>突
击
步
枪</t>
  </si>
  <si>
    <t>单发射击以[步枪]技能判定，
全自动射击以[冲锋枪]技能判定</t>
  </si>
  <si>
    <t>装填武器</t>
  </si>
  <si>
    <t>冲锋枪和机枪的价格为黑市价格
稀有或非法的武器可以在黑市入手。
购买流程是找到卖家，谈妥价钱，钱货交易，拿货走人。
交易可能会被警察干涉，卖家也可能试图打劫或杀死买家。</t>
  </si>
  <si>
    <t>AK-47 或 AKM</t>
  </si>
  <si>
    <t>——/1000</t>
  </si>
  <si>
    <t>为任何手枪，步枪或霰弹枪装填两发枪弹需要一个行动轮的时间。
用弹匣供弹的武器换弹匣需要一个行动轮的时间；
用弹链供弹的机枪重新装弹需要两个行动轮的时间。</t>
  </si>
  <si>
    <t>AK-74</t>
  </si>
  <si>
    <t>2D10+1D8+6</t>
  </si>
  <si>
    <t>250</t>
  </si>
  <si>
    <t>11</t>
  </si>
  <si>
    <t>——/3000</t>
  </si>
  <si>
    <t>1989年</t>
  </si>
  <si>
    <t>巴雷特M82</t>
  </si>
  <si>
    <t>1(2)or3连射</t>
  </si>
  <si>
    <t>——/1500</t>
  </si>
  <si>
    <t>1954年</t>
  </si>
  <si>
    <t>FN FAL</t>
  </si>
  <si>
    <t>1(2)or连射</t>
  </si>
  <si>
    <t>——/2000</t>
  </si>
  <si>
    <t>1972年</t>
  </si>
  <si>
    <t>加利尔突击步枪</t>
  </si>
  <si>
    <t>1964年</t>
  </si>
  <si>
    <t>M16A2</t>
  </si>
  <si>
    <t>1or3连射</t>
  </si>
  <si>
    <t>1994年</t>
  </si>
  <si>
    <t>M4</t>
  </si>
  <si>
    <t>——/1100</t>
  </si>
  <si>
    <t>1978年</t>
  </si>
  <si>
    <t>斯泰尔 AUG</t>
  </si>
  <si>
    <t>1or全自动</t>
  </si>
  <si>
    <t>——/2800</t>
  </si>
  <si>
    <t>1970年</t>
  </si>
  <si>
    <t>贝雷塔 M70/90</t>
  </si>
  <si>
    <t>20/30/32</t>
  </si>
  <si>
    <t>1000/20000</t>
  </si>
  <si>
    <t>1917年</t>
  </si>
  <si>
    <t>冲
锋
枪</t>
  </si>
  <si>
    <t>MP18I/MP28II</t>
  </si>
  <si>
    <t>15/30</t>
  </si>
  <si>
    <t>1966年</t>
  </si>
  <si>
    <t>MP5</t>
  </si>
  <si>
    <t>1(3)or全自动</t>
  </si>
  <si>
    <t>32</t>
  </si>
  <si>
    <t>——/750</t>
  </si>
  <si>
    <t>MAC-11</t>
  </si>
  <si>
    <t>1961年</t>
  </si>
  <si>
    <t>蝎式冲锋枪</t>
  </si>
  <si>
    <t>20/30/50</t>
  </si>
  <si>
    <t>200+/1600</t>
  </si>
  <si>
    <t>1938年</t>
  </si>
  <si>
    <t>乌兹微型冲锋枪</t>
  </si>
  <si>
    <t>全自动</t>
  </si>
  <si>
    <t>2000/14000</t>
  </si>
  <si>
    <t>1882年</t>
  </si>
  <si>
    <t>机
枪</t>
  </si>
  <si>
    <t>速射机枪：装在直升机上的加特林机枪。要不经过安装直接使用，使用者必须达到体格 2。</t>
  </si>
  <si>
    <t>*1882 年式加特林</t>
  </si>
  <si>
    <t>800/1500</t>
  </si>
  <si>
    <t>M1918 式勃朗宁自动步枪</t>
  </si>
  <si>
    <t>3000/30000</t>
  </si>
  <si>
    <t>1916年</t>
  </si>
  <si>
    <t>勃朗宁 M1917A1(7.62mm)</t>
  </si>
  <si>
    <t>30/100</t>
  </si>
  <si>
    <t>3000/50000</t>
  </si>
  <si>
    <t>布伦轻机枪</t>
  </si>
  <si>
    <t>27/97</t>
  </si>
  <si>
    <t>3000/20000</t>
  </si>
  <si>
    <t>路易斯Ⅰ型机枪</t>
  </si>
  <si>
    <t>4000</t>
  </si>
  <si>
    <t>1963年</t>
  </si>
  <si>
    <t>GE M134 式 7.62mm 速射机枪</t>
  </si>
  <si>
    <t>30/200</t>
  </si>
  <si>
    <t>FN 米尼米(5.56mm)，弹夹/弹带</t>
  </si>
  <si>
    <t>维克斯.303 机枪</t>
  </si>
  <si>
    <t>2D6+燃烧</t>
  </si>
  <si>
    <t>特
殊
武
器</t>
  </si>
  <si>
    <t>这些武器通常分三个距离
每超出一个距离便从右边降低一格伤害</t>
  </si>
  <si>
    <t>16D10</t>
  </si>
  <si>
    <t>如果威力不符合这里任何一个，以上更强的为标准</t>
  </si>
  <si>
    <t>莫洛托夫燃烧瓶</t>
  </si>
  <si>
    <t>1D10+1D3+燃烧</t>
  </si>
  <si>
    <t>15/75</t>
  </si>
  <si>
    <t>1975年</t>
  </si>
  <si>
    <t>8D10</t>
  </si>
  <si>
    <t>1D10+1D3</t>
  </si>
  <si>
    <t>信号枪(信号弹枪)</t>
  </si>
  <si>
    <t>3D10/2码</t>
  </si>
  <si>
    <t>3D10</t>
  </si>
  <si>
    <t>M79 40mm 榴弹发射器</t>
  </si>
  <si>
    <t>4D10/3码</t>
  </si>
  <si>
    <t>2/5</t>
  </si>
  <si>
    <t>808年</t>
  </si>
  <si>
    <t>炸药棒</t>
  </si>
  <si>
    <t>2D10/1码</t>
  </si>
  <si>
    <t>20/整盒</t>
  </si>
  <si>
    <t>1865年</t>
  </si>
  <si>
    <t>比如3D10算作4D10
下降之后为2D10</t>
  </si>
  <si>
    <t>雷管</t>
  </si>
  <si>
    <t>1D10/3码</t>
  </si>
  <si>
    <t>就地</t>
  </si>
  <si>
    <t>一次使用</t>
  </si>
  <si>
    <t>1899年</t>
  </si>
  <si>
    <t>伤害栏左侧是近距伤害，右侧是减伤距离</t>
  </si>
  <si>
    <t>爆破筒</t>
  </si>
  <si>
    <t>6D10/3码</t>
  </si>
  <si>
    <t>1956年</t>
  </si>
  <si>
    <t>6D10</t>
  </si>
  <si>
    <t>塑胶炸弹(C4) 100克</t>
  </si>
  <si>
    <t>1232年</t>
  </si>
  <si>
    <t>1D4</t>
  </si>
  <si>
    <t>手榴弹</t>
  </si>
  <si>
    <t>6D10/6码</t>
  </si>
  <si>
    <t>500码</t>
  </si>
  <si>
    <t>独立装弹</t>
  </si>
  <si>
    <t>下降了三次之后再次下降，伤害归零，也就是安全区域</t>
  </si>
  <si>
    <t>81mm迫击炮</t>
  </si>
  <si>
    <t>10D10/2码</t>
  </si>
  <si>
    <t>1500/——</t>
  </si>
  <si>
    <t>1897年</t>
  </si>
  <si>
    <t>例：炸药筒和手雷：
每枚对 3 码之内的物体造成4D10 点伤害，
（超过 3 码且在）6 码之内的造成 2D10点伤害，
（超过 6 码且在）9 码之内的造成 1D10 点伤害。</t>
  </si>
  <si>
    <t>阔剑地雷：这种武器的弹道是密集的射束流，其杀伤范围为 120 度。</t>
  </si>
  <si>
    <t>10D10</t>
  </si>
  <si>
    <t>75mm野战火炮</t>
  </si>
  <si>
    <t>2000码</t>
  </si>
  <si>
    <t>15D10</t>
  </si>
  <si>
    <t>120mm坦克炮(稳定)</t>
  </si>
  <si>
    <t>15D10/4码</t>
  </si>
  <si>
    <t>3000码</t>
  </si>
  <si>
    <t>自动上弹</t>
  </si>
  <si>
    <t>1910年</t>
  </si>
  <si>
    <t>12D10</t>
  </si>
  <si>
    <t>5英寸舰载炮(稳定)</t>
  </si>
  <si>
    <t>4D10/5码</t>
  </si>
  <si>
    <t>布置</t>
  </si>
  <si>
    <t>1403年</t>
  </si>
  <si>
    <t>反步兵地雷</t>
  </si>
  <si>
    <t>6D6/20码</t>
  </si>
  <si>
    <t>6D6</t>
  </si>
  <si>
    <t>阔剑地雷</t>
  </si>
  <si>
    <t>25码</t>
  </si>
  <si>
    <t>至少10</t>
  </si>
  <si>
    <t>93</t>
  </si>
  <si>
    <t>1901年</t>
  </si>
  <si>
    <t>火焰喷射器</t>
  </si>
  <si>
    <t>8d10/1码</t>
  </si>
  <si>
    <t>150码</t>
  </si>
  <si>
    <t>8d10</t>
  </si>
  <si>
    <t>M72 式单发轻型反坦克炮</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</si>
  <si>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</si>
  <si>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</si>
  <si>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</si>
  <si>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</si>
  <si>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</si>
  <si>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</si>
  <si>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</si>
  <si>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</si>
  <si>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</si>
  <si>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</si>
  <si>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</si>
  <si>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</si>
  <si>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</si>
  <si>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</si>
  <si>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</si>
  <si>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</si>
  <si>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</si>
  <si>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</si>
  <si>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</si>
  <si>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</si>
  <si>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</si>
  <si>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</si>
  <si>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</si>
  <si>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</si>
  <si>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</si>
  <si>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</si>
  <si>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</si>
  <si>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</si>
  <si>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</si>
  <si>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</si>
  <si>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</si>
  <si>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</si>
  <si>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</si>
  <si>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</si>
  <si>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</si>
  <si>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</si>
  <si>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</si>
  <si>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</si>
  <si>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</si>
  <si>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</si>
  <si>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</si>
  <si>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</si>
  <si>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</si>
  <si>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</si>
  <si>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</si>
  <si>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</si>
  <si>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</si>
  <si>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</si>
  <si>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</si>
  <si>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</si>
  <si>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</si>
  <si>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</si>
  <si>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</si>
  <si>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</si>
  <si>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</si>
  <si>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</si>
  <si>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</si>
  <si>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</si>
  <si>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</si>
  <si>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</si>
  <si>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</si>
  <si>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</si>
  <si>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</si>
  <si>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</si>
  <si>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</si>
  <si>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</si>
  <si>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</si>
  <si>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</si>
  <si>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</si>
  <si>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</si>
  <si>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</si>
  <si>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</si>
  <si>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</si>
  <si>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</si>
  <si>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</si>
  <si>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</si>
  <si>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</si>
  <si>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</si>
  <si>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</si>
  <si>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</si>
  <si>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</si>
  <si>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</si>
  <si>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</si>
  <si>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</si>
  <si>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</si>
  <si>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</si>
  <si>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</si>
  <si>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</si>
  <si>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</si>
  <si>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</si>
  <si>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</si>
  <si>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</si>
  <si>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</si>
  <si>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</si>
  <si>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</si>
  <si>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</si>
  <si>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</si>
  <si>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</si>
  <si>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</si>
  <si>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</si>
  <si>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</si>
  <si>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</si>
  <si>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</si>
  <si>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</si>
  <si>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</si>
  <si>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</si>
  <si>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</si>
  <si>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</si>
  <si>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</si>
  <si>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</si>
  <si>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</si>
  <si>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</si>
  <si>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</si>
  <si>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</si>
  <si>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</si>
  <si>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</si>
  <si>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</si>
  <si>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</si>
  <si>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</si>
  <si>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</si>
  <si>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</si>
  <si>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</si>
  <si>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</si>
  <si>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</si>
  <si>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</si>
  <si>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</si>
  <si>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</si>
  <si>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</si>
  <si>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a:发动攻击、逃跑、或战纪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</si>
  <si>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</si>
  <si>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</si>
  <si>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</si>
  <si>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</si>
  <si>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</si>
  <si>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</si>
  <si>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</si>
  <si>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HP归零后</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</si>
  <si>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</si>
  <si>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</si>
  <si>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</si>
  <si>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</si>
  <si>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</si>
  <si>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</si>
  <si>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</si>
  <si>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</si>
  <si>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</si>
  <si>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</si>
  <si>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</si>
  <si>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</si>
  <si>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</si>
  <si>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</si>
  <si>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</si>
  <si>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</si>
  <si>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</si>
  <si>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</si>
  <si>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此后每轮结束时都必须进行con检定
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</si>
  <si>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</si>
  <si>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</si>
  <si>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</si>
  <si>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</si>
  <si>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</si>
  <si>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</si>
  <si>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</si>
  <si>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</si>
  <si>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</si>
  <si>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</si>
  <si>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</si>
  <si>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</si>
  <si>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</si>
  <si>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</si>
  <si>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</si>
  <si>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</si>
  <si>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</si>
  <si>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</si>
  <si>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</si>
  <si>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</si>
  <si>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</si>
  <si>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</si>
  <si>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</si>
  <si>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</si>
  <si>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</si>
  <si>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</si>
  <si>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</si>
  <si>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</si>
  <si>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</si>
  <si>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</si>
  <si>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</si>
  <si>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</si>
  <si>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</si>
  <si>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</si>
  <si>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</si>
  <si>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</si>
  <si>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</si>
  <si>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</si>
  <si>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</si>
  <si>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</si>
  <si>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</si>
  <si>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</si>
  <si>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</si>
  <si>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</si>
  <si>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</si>
  <si>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</si>
  <si>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</si>
  <si>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</si>
  <si>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</si>
  <si>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</si>
  <si>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</si>
  <si>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</si>
  <si>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</si>
  <si>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</si>
  <si>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</si>
  <si>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</si>
  <si>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</si>
  <si>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</si>
  <si>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</si>
  <si>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</si>
  <si>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</si>
  <si>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</si>
  <si>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</si>
  <si>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</si>
  <si>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</si>
  <si>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</si>
  <si>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</si>
  <si>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</si>
  <si>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</si>
  <si>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</si>
  <si>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</si>
  <si>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</si>
  <si>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</si>
  <si>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</si>
  <si>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</si>
  <si>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</si>
  <si>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</si>
  <si>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</si>
  <si>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</si>
  <si>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</si>
  <si>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</si>
  <si>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</si>
  <si>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</si>
  <si>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</si>
  <si>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</si>
  <si>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</si>
  <si>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</si>
  <si>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</si>
  <si>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</si>
  <si>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</si>
  <si>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注意：
除“规则书内的防护物”的
“注释”、“防具类型”、“护甲值”，
“规则书内的载具”的“载具类型”、“技能”、“移动力”、“体格”、“乘客护甲”、“乘客数”、“注释”外
均为非规则书内容，使用前需要和KP商议</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</si>
  <si>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</si>
  <si>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</si>
  <si>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</si>
  <si>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</si>
  <si>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</si>
  <si>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</si>
  <si>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</si>
  <si>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</si>
  <si>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</si>
  <si>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</si>
  <si>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</si>
  <si>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</si>
  <si>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</si>
  <si>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</si>
  <si>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</si>
  <si>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</si>
  <si>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</si>
  <si>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</si>
  <si>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</si>
  <si>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</si>
  <si>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</si>
  <si>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</si>
  <si>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</si>
  <si>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</si>
  <si>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</si>
  <si>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</si>
  <si>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</si>
  <si>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</si>
  <si>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</si>
  <si>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</si>
  <si>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</si>
  <si>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</si>
  <si>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</si>
  <si>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</si>
  <si>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</si>
  <si>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</si>
  <si>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</si>
  <si>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</si>
  <si>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</si>
  <si>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</si>
  <si>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</si>
  <si>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</si>
  <si>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</si>
  <si>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</si>
  <si>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</si>
  <si>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</si>
  <si>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</si>
  <si>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</si>
  <si>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</si>
  <si>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</si>
  <si>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</si>
  <si>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</si>
  <si>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</si>
  <si>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</si>
  <si>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</si>
  <si>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</si>
  <si>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</si>
  <si>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</si>
  <si>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</si>
  <si>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</si>
  <si>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</si>
  <si>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</si>
  <si>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</si>
  <si>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</si>
  <si>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</si>
  <si>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</si>
  <si>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</si>
  <si>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</si>
  <si>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</si>
  <si>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</si>
  <si>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</si>
  <si>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</si>
  <si>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</si>
  <si>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</si>
  <si>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</si>
  <si>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</si>
  <si>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</si>
  <si>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</si>
  <si>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</si>
  <si>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</si>
  <si>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</si>
  <si>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</si>
  <si>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</si>
  <si>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</si>
  <si>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</si>
  <si>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再来一遍！！！注意：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</si>
  <si>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</si>
  <si>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</si>
  <si>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</si>
  <si>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</si>
  <si>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</si>
  <si>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</si>
  <si>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</si>
  <si>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</si>
  <si>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</si>
  <si>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</si>
  <si>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</si>
  <si>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</si>
  <si>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</si>
  <si>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</si>
  <si>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</si>
  <si>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</si>
  <si>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</si>
  <si>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</si>
  <si>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</si>
  <si>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</si>
  <si>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</si>
  <si>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</si>
  <si>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</si>
  <si>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</si>
  <si>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</si>
  <si>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</si>
  <si>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</si>
  <si>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</si>
  <si>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</si>
  <si>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</si>
  <si>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</si>
  <si>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</si>
  <si>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</si>
  <si>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</si>
  <si>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</si>
  <si>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</si>
  <si>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</si>
  <si>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</si>
  <si>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</si>
  <si>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</si>
  <si>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</si>
  <si>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</si>
  <si>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</si>
  <si>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</si>
  <si>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</si>
  <si>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</si>
  <si>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</si>
  <si>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</si>
  <si>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</si>
  <si>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</si>
  <si>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</si>
  <si>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</si>
  <si>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</si>
  <si>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</si>
  <si>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</si>
  <si>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</si>
  <si>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</si>
  <si>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</si>
  <si>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</si>
  <si>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</si>
  <si>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</si>
  <si>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</si>
  <si>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</si>
  <si>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</si>
  <si>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</si>
  <si>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</si>
  <si>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</si>
  <si>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</si>
  <si>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</si>
  <si>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</si>
  <si>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</si>
  <si>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</si>
  <si>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</si>
  <si>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</si>
  <si>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</si>
  <si>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</si>
  <si>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</si>
  <si>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</si>
  <si>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</si>
  <si>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</si>
  <si>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</si>
  <si>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</si>
  <si>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</si>
  <si>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</si>
  <si>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</si>
  <si>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</si>
  <si>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</si>
  <si>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</si>
  <si>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</si>
  <si>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</si>
  <si>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</si>
  <si>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</si>
  <si>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</si>
  <si>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</si>
  <si>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</si>
  <si>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</si>
  <si>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</si>
  <si>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</si>
  <si>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</si>
  <si>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</si>
  <si>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</si>
  <si>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</si>
  <si>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</si>
  <si>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</si>
  <si>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</si>
  <si>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</si>
  <si>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</si>
  <si>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</si>
  <si>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</si>
  <si>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</si>
  <si>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</si>
  <si>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</si>
  <si>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</si>
  <si>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</si>
  <si>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</si>
  <si>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</si>
  <si>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</si>
  <si>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</si>
  <si>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</si>
  <si>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</si>
  <si>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</si>
  <si>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</si>
  <si>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</si>
  <si>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</si>
  <si>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</si>
  <si>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</si>
  <si>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</si>
  <si>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</si>
  <si>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</si>
  <si>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</si>
  <si>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</si>
  <si>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</si>
  <si>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</si>
  <si>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</si>
  <si>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</si>
  <si>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</si>
  <si>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</si>
  <si>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</si>
  <si>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</si>
  <si>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</si>
  <si>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</si>
  <si>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</si>
  <si>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</si>
  <si>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</si>
  <si>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</si>
  <si>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</si>
  <si>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</si>
  <si>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</si>
  <si>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</si>
  <si>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</si>
  <si>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</si>
  <si>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</si>
  <si>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</si>
  <si>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</si>
  <si>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</si>
  <si>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</si>
  <si>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</si>
  <si>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</si>
  <si>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</si>
  <si>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</si>
  <si>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</si>
  <si>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</si>
  <si>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</si>
  <si>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</si>
  <si>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</si>
  <si>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</si>
  <si>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</si>
  <si>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</si>
  <si>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</si>
  <si>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</si>
  <si>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</si>
  <si>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</si>
  <si>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</si>
  <si>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</si>
  <si>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</si>
  <si>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</si>
  <si>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</si>
  <si>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</si>
  <si>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</si>
  <si>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</si>
  <si>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</si>
  <si>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</si>
  <si>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</si>
  <si>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</si>
  <si>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</si>
  <si>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</si>
  <si>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</si>
  <si>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</si>
  <si>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</si>
  <si>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</si>
  <si>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</si>
  <si>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</si>
  <si>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</si>
  <si>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</si>
  <si>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</si>
  <si>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</si>
  <si>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</si>
  <si>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</si>
  <si>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</si>
  <si>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</si>
  <si>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t>失忆：调查员会发现自己只记得最后身处的安全地点，却没有任何来到这里的记忆。例如，调查员前一刻还在家中吃着早饭，下一刻就已经直面着不知名的怪物。这将会持续 1D10 轮。</t>
  </si>
  <si>
    <t>失忆：回过神来，调查员们发现自己身处一个陌生的地方，
并忘记了自己是谁。记忆会随时间恢复。</t>
  </si>
  <si>
    <t>假性残疾：调查员陷入了心理性的失明，
失聪以及躯体缺失感中，持续 1D10 轮。</t>
  </si>
  <si>
    <t>被窃：调查员在 1D10 小时后恢复清醒，发觉自己被盗，身体毫发无损。如果调查员携带着宝贵之物（见调查员背景），做幸运检定来决定其是否被盗。所有有价值的东西无需检定自动消失。</t>
  </si>
  <si>
    <t>暴力倾向：调查员陷入了六亲不认的暴力行为中，
对周围的敌人与友方进行着无差别的攻击，持续 1D10 轮。</t>
  </si>
  <si>
    <t>遍体鳞伤：调查员在 1D10 小时后恢复清醒，发现自己身上满是拳痕和瘀伤。生命值减少到疯狂前的一半，但这不会造成重伤。调查员没有被窃。这种伤害如何持续到现在由守秘人决定。</t>
  </si>
  <si>
    <t>偏执：调查员陷入了严重的偏执妄想之中，持续１Ｄ１０轮。有人在
暗中窥视着他们，同伴中有人背叛了他们，没有人可以信任，万事皆虚。</t>
  </si>
  <si>
    <t>暴力倾向：调查员陷入强烈的暴力与破坏欲之中。调查员回过神来可能会理解自己做了什么也可能毫无印象。调查员对谁或何物施以暴力，他们是杀人还是仅仅造成了伤害，由守秘人决定。</t>
  </si>
  <si>
    <t>人际依赖：守秘人适当参考调查员的背景中重要之人的条目，调查员因为一些原因而降他人误认为了他重要的人并且努力的会与那个人保持那种关系，持续 1D10 轮</t>
  </si>
  <si>
    <t>极端信念：查看调查员背景中的思想信念，调查员会采取极端和疯狂的表现手段展示他们的思想信念之一。比如一个信教者会在地铁上高声布道。</t>
  </si>
  <si>
    <t>昏厥：调查员当场昏倒，并需要 1D10 轮才能苏醒。</t>
  </si>
  <si>
    <t>重要之人：考虑调查员背景中的重要之人，及其重要的原因。在 1D10 小时或更久的时间中，
调查员将不顾一切地接近那个人，并为他们之间的关系做出行动。</t>
  </si>
  <si>
    <t>逃避行为：调查员会用任何的手段试图逃离现在所处的位置，即使这意味着开走
唯一一辆交通工具并将其它人抛诸脑后，调查员会试图逃离 1D10轮。</t>
  </si>
  <si>
    <t>被收容：调查员在精神病院病房或警察局牢房中回过神来，
他们可能会慢慢回想起导致自己被关在这里的事情。</t>
  </si>
  <si>
    <t>竭嘶底里：调查员表现出大笑，哭泣，嘶吼，害怕等的极端情绪表现，持续 1D10 轮。</t>
  </si>
  <si>
    <t>逃避行为：调查员恢复清醒时发现自己在很远的地方，
也许迷失在荒郊野岭，或是在驶向远方的列车或长途汽车上。</t>
  </si>
  <si>
    <t>恐惧：调查员通过一次 D100 或者由守秘人选择，来从恐惧症状表中选择一个恐惧源，
就算这一恐惧的事物是并不存在的，调查员的症状会持续1D10 轮。</t>
  </si>
  <si>
    <t>恐惧：调查员患上一个新的恐惧症状。在恐惧症状表上骰 1 个 D100 来决定症状，或由守秘人选择一个。调查员在 1D10 小时后回过神来，并开始为避开恐惧源而采取任何措施。</t>
  </si>
  <si>
    <t>躁狂：调查员通过一次 D100 或者由守秘人选择，来从躁狂症状表中选择一个躁狂的诱因，
这个症状将会持续 1D10 轮。</t>
  </si>
  <si>
    <t>狂躁：调查员患上一个新的狂躁症状。在狂躁症状表上骰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</si>
  <si>
    <t>具体症状</t>
  </si>
  <si>
    <t>疯狂与理智可选规则</t>
  </si>
  <si>
    <t>看透疯狂</t>
  </si>
  <si>
    <t>多重理智检定</t>
  </si>
  <si>
    <t>当一个调查员陷入疯狂的时候，他可能会有短暂一刻的清醒或看穿现实，
这或许会对调查员们提供一些帮助</t>
  </si>
  <si>
    <t>遇到了多数的神话生物时，
KP可以要求玩家对每一个神话生物单独各自进行理智损失检定，
并对其中损失量最高的那一次作为损失结果。
这在调查员遇到多个神话生物的时候非常实用。
比如玩家遇到了三个星之彩和一个克总
玩家对三个星之彩骰了三次1D8出目分别为1,7,6
对克总骰了一次1D100出目为1，
那么该调查员的理智将会损失7点</t>
  </si>
  <si>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</si>
  <si>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</si>
  <si>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</si>
  <si>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t>无论对现实怎么想          从这一刻起调查员所有的理智损失都会减半。
                                这种转变将会是永久性的。</t>
  </si>
  <si>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</si>
  <si>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</si>
  <si>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</si>
  <si>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</si>
  <si>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</si>
  <si>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</si>
  <si>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t>任何理智损失都会导致调查员再次陷入疯狂发作
调查员很容易产生幻觉</t>
  </si>
  <si>
    <t>从疯狂中恢复</t>
  </si>
  <si>
    <t>从临时性疯狂中恢复：1D10 小时，或经过良好的休息之后。</t>
  </si>
  <si>
    <t>从不定性疯狂中恢复：每月治疗结束时的检定通过后；
守秘人也可以允许在下一个幕间成长时自动恢复。</t>
  </si>
  <si>
    <t>疯狂的
副作用</t>
  </si>
  <si>
    <t>恐惧症：潜在疯狂中，必须战斗或逃跑，否则技能检定承受1个惩罚骰。</t>
  </si>
  <si>
    <t>躁狂症：潜在疯狂中，必须沉浸于躁狂症中，否则技能检定承受1个惩罚骰。</t>
  </si>
  <si>
    <t>私人/家庭护理治疗(每月投 1D100)： 
01-95：成功(或小于精神分析技能)；回复 1D3 点理智，进行理智检定，若成功则脱离疯狂。
96-00：失败；失去 1D6 点理智。</t>
  </si>
  <si>
    <t>幻觉与现实认知检定</t>
  </si>
  <si>
    <t>进行理智检定来看穿幻觉：
失败：失去1点SAN值；如果处于潜在疯狂则疯狂发作
成功：看穿幻觉</t>
  </si>
  <si>
    <t>收容机构治疗(每月投 1D100)： 
01-50：成功(或小于精神分析技能)；回复 3 点理智，进行一个理智检定，若成功则脱离疯狂
51-95：没有疗效。
96-00：失败；失去 1D6 点理智。</t>
  </si>
  <si>
    <t>主要货币与美元汇率与 2026 美元购买力折算</t>
  </si>
  <si>
    <t>国家/地区</t>
  </si>
  <si>
    <t>货币全称</t>
  </si>
  <si>
    <t>货币代码</t>
  </si>
  <si>
    <t>历史汇率</t>
  </si>
  <si>
    <t>2026购买力</t>
  </si>
  <si>
    <t>来源</t>
  </si>
  <si>
    <t>美国</t>
  </si>
  <si>
    <t>USD</t>
  </si>
  <si>
    <t>1 USD = 1.0000 USD</t>
  </si>
  <si>
    <t>不适用</t>
  </si>
  <si>
    <t>基准货币；1920年的1美元按美国CPI约合2026年的16.65美元。</t>
  </si>
  <si>
    <t>https://www.in2013dollars.com/us/inflation/1920?amount=1</t>
  </si>
  <si>
    <t>英国</t>
  </si>
  <si>
    <t>GBP</t>
  </si>
  <si>
    <t>1 USD = 0.2729 GBP</t>
  </si>
  <si>
    <t>英镑在1920年仍低于战前金平价</t>
  </si>
  <si>
    <t>https://www.measuringworth.com/datasets/exchangepound/</t>
  </si>
  <si>
    <t>加拿大</t>
  </si>
  <si>
    <t>加拿大元</t>
  </si>
  <si>
    <t>CAD</t>
  </si>
  <si>
    <t>1 USD = 1.1200 CAD</t>
  </si>
  <si>
    <t>加元低于美元，之后趋近等值</t>
  </si>
  <si>
    <t>https://www.measuringworth.com/datasets/exchangeglobal/</t>
  </si>
  <si>
    <t>法国</t>
  </si>
  <si>
    <t>法国法郎</t>
  </si>
  <si>
    <t>FRF</t>
  </si>
  <si>
    <t>1 USD = 14.205 FRF</t>
  </si>
  <si>
    <t>旧法郎，战后贬值明显</t>
  </si>
  <si>
    <t>德国</t>
  </si>
  <si>
    <t>德国(纸)马克</t>
  </si>
  <si>
    <t>DRM</t>
  </si>
  <si>
    <t>1 USD = 57.110 DRM</t>
  </si>
  <si>
    <t>1920年为旧纸马克，1924年德国恶性通货膨胀后废除</t>
  </si>
  <si>
    <t>金马克</t>
  </si>
  <si>
    <t>1 USD ≈ 4.20 Goldmarks</t>
  </si>
  <si>
    <t>https://canvasresources-prod.le.unimelb.edu.au/projects/CURRENCY_CALC/; https://fraser.stlouisfed.org/title/federal-reserve-bulletin-62/january-1929-20685</t>
  </si>
  <si>
    <t>意大利</t>
  </si>
  <si>
    <t>意大利里拉</t>
  </si>
  <si>
    <t>ITL</t>
  </si>
  <si>
    <t>1 USD = 20.121 ITL</t>
  </si>
  <si>
    <t>日本</t>
  </si>
  <si>
    <t>日元</t>
  </si>
  <si>
    <t>JPY</t>
  </si>
  <si>
    <t>1 USD = 1.99 JPY</t>
  </si>
  <si>
    <t>瑞士</t>
  </si>
  <si>
    <t>瑞士法郎</t>
  </si>
  <si>
    <t>CHF</t>
  </si>
  <si>
    <t>1 USD = 5.9161 CHF</t>
  </si>
  <si>
    <t>瑞士法郎相对稳定</t>
  </si>
  <si>
    <t>英属印度</t>
  </si>
  <si>
    <t>卢比</t>
  </si>
  <si>
    <t>INR</t>
  </si>
  <si>
    <t>1 USD = 2.57 INR</t>
  </si>
  <si>
    <t>中华民国</t>
  </si>
  <si>
    <t>墨西哥鹰洋 / 墨西哥银元(墨西哥本土已废除该货币）</t>
  </si>
  <si>
    <t>MXD</t>
  </si>
  <si>
    <t>1 USD ≈ 0.80 MXD</t>
  </si>
  <si>
    <t>当时中国口岸与民间较通用的外国银元之一；此处采用“中国/墨西哥银元”口径的约略市场换算。1920年银价特殊，1美元约买0.80枚墨西哥银元，非官方统一国币汇率。</t>
  </si>
  <si>
    <t>https://chinarhyming.com/2022/10/03/us-to-c-mex-rates-china-1920s-1930s/; https://www.cambridge.org/core/journals/financial-history-review/article/explaining-premiums-for-spanish-and-mexican-silver-coins-in-qing-and-republican-china/0981CC91051AD44D330ACED68DD59DE2</t>
  </si>
  <si>
    <t>国币（银元/孙小头/袁大头等）</t>
  </si>
  <si>
    <t>CNY</t>
  </si>
  <si>
    <t>1914年中华民国《國幣條例》规定的法定货币，但由于政府监管不力加上市面上各种版本的银元标准不同导致没有一种稳定的兑换价格，如果硬要兑换的话可以设一个略低于墨西哥鹰洋的汇率</t>
  </si>
  <si>
    <t>上海规银两(汇率按当时银价计算)</t>
  </si>
  <si>
    <t>1 USD = 1.33银两</t>
  </si>
  <si>
    <t>上海规格两，可在中国使用</t>
  </si>
  <si>
    <t>https://fraser.stlouisfed.org/files/docs/publications/FRB/pages/1925-1929/28191_1925-1929.pdf</t>
  </si>
  <si>
    <t>基准货币；1929年的1美元按美国CPI约合2026年的19.47美元。</t>
  </si>
  <si>
    <t>https://www.in2013dollars.com/us/inflation/1929?amount=1</t>
  </si>
  <si>
    <t>1 USD = 0.2058 GBP</t>
  </si>
  <si>
    <t>接近战前金平价</t>
  </si>
  <si>
    <t>1 USD = 1.0080 CAD</t>
  </si>
  <si>
    <t>几乎与美元等值</t>
  </si>
  <si>
    <t>1 USD = 25.536 FRF</t>
  </si>
  <si>
    <t>20年代后期稳定在约25法郎兑1美元</t>
  </si>
  <si>
    <t>帝国马克</t>
  </si>
  <si>
    <t>GRR</t>
  </si>
  <si>
    <t>1 USD = 4.200 GRR</t>
  </si>
  <si>
    <t>1924年后新货币体系，区别于旧纸马克,固定兑换比例</t>
  </si>
  <si>
    <t>1929年实际通用口径应看帝国马克</t>
  </si>
  <si>
    <t>1 USD = 19.108 ITL</t>
  </si>
  <si>
    <t>1 USD = 2.17 JPY</t>
  </si>
  <si>
    <t>1 USD = 5.1869 CHF</t>
  </si>
  <si>
    <t>1 USD = 2.76 INR</t>
  </si>
  <si>
    <t>墨西哥鹰洋 / 墨西哥银元</t>
  </si>
  <si>
    <t>1 USD ≈ 2.00 MED</t>
  </si>
  <si>
    <t>https://chinarhyming.com/2022/10/03/us-to-c-mex-rates-china-1920s-1930s/; https://simanaitissays.com/2014/02/18/an-old-china-hand/</t>
  </si>
  <si>
    <t>上海规银两</t>
  </si>
  <si>
    <t>1 USD = 1.71银两</t>
  </si>
  <si>
    <t>袁大头</t>
  </si>
  <si>
    <t>1 USD ≈ 2.00 CNY</t>
  </si>
  <si>
    <t>理论上汇率应略低于墨西哥鹰洋</t>
  </si>
  <si>
    <t>德国纸马克</t>
  </si>
  <si>
    <t>GRM</t>
  </si>
  <si>
    <t>1920年为旧纸马克，1924年德国恶性通货膨胀后废除(你知道一块面包多少钱吗，50万马克！50万德国马克！)</t>
  </si>
  <si>
    <t>链接</t>
  </si>
  <si>
    <t>更新日志</t>
  </si>
  <si>
    <t>之前的版本</t>
  </si>
  <si>
    <t>史前版本</t>
  </si>
  <si>
    <t>七版规则书
仅学习交流使用</t>
  </si>
  <si>
    <t>https://congyu.lanzoum.com/iDZGqw7r50b</t>
  </si>
  <si>
    <t>2023.12.06更新 版本号：CY23Final</t>
  </si>
  <si>
    <t>2019.11.7更新 版本号：19.11.1</t>
  </si>
  <si>
    <t>声明</t>
  </si>
  <si>
    <t>更
新</t>
  </si>
  <si>
    <t>更新</t>
  </si>
  <si>
    <t>武器列表页面进行了较大幅度的改动，更换了页面风格，根据人物卡的时代选择能够自动识别武器是否适应当前时代，这个在人物卡的下拉武器栏依旧可以显示，不必再一一对照。且战斗流程的页面进行了优化。
人物卡的某些技能进行了描述重置与核对。</t>
  </si>
  <si>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</si>
  <si>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</si>
  <si>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</si>
  <si>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</si>
  <si>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</si>
  <si>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https://congyu.lanzoum.com/i7jb4qh</t>
  </si>
  <si>
    <t>增加“其他资产表”“剩余资产”
修复其他资产表总值计算</t>
  </si>
  <si>
    <t>怪物之锤</t>
  </si>
  <si>
    <t>https://congyu.lanzoum.com/i7jb9hi</t>
  </si>
  <si>
    <t>将“本职属性”移动到“剩余点数”前
更改雷达图位置
删除其余装饰性介绍</t>
  </si>
  <si>
    <t>2026.05.29更新 版本号CY26.1</t>
  </si>
  <si>
    <t>今年应该不会更了~然后隔壁的Plus版本应该之后就停更了（基本上是完善的而且现在车卡教程好多），只会更新这个通用版本了~</t>
  </si>
  <si>
    <t>法术大典</t>
  </si>
  <si>
    <t>https://congyu.lanzoum.com/i7jbble</t>
  </si>
  <si>
    <t>在使用职业点加点非本职技能时会在旁边有提示（如果你使用的是"任意自选特长"的话记得在人物卡
右侧添加技能。）在同时使用职业点与兴趣点对同一个技能进行加点时会在旁边提示"混点"（如果kp允许混点的话无视就好啦） 人物卡右下侧的时代介绍现在更新至2026年</t>
  </si>
  <si>
    <t>coc跑团群</t>
  </si>
  <si>
    <t>https://congyu.lanzoum.com/i76887g</t>
  </si>
  <si>
    <t>职业列表更新</t>
  </si>
  <si>
    <t>更改自定义职业点数的计算方式
允许自定义职业自定义属性倍数和计算方式
允许自定义职业选择或取消教育与幸运</t>
  </si>
  <si>
    <t>2023.11.30更新 版本号：CY23.5</t>
  </si>
  <si>
    <t>空白人物卡下载（密码29mb）</t>
  </si>
  <si>
    <t>https://congyu.lanzoum.com/b00nb3n2d</t>
  </si>
  <si>
    <t>备
注</t>
  </si>
  <si>
    <t xml:space="preserve">在看到这张电子卡已经快三年没更新后想接手这个卡的后续维护更新工作。在经过从雨老师的同意
之后制作了本表的更新版本。如果之后的更新版本有任何纰漏或建议的话请联系我！（QQ：1548801933 冰谧)
</t>
  </si>
  <si>
    <t>骰娘导入栏目进行了更新，因为最近“考编”骰无法适应之前的长导入方式，根据https://github.com/OlivOS-Team/OlivaDiceCore/blob/main/OlivaDiceCore/pcCardData.py#L174规则进行了短导入的设置。</t>
  </si>
  <si>
    <t>属性注释更新</t>
  </si>
  <si>
    <t>修复部分bug</t>
  </si>
  <si>
    <t>武器列表更新</t>
  </si>
  <si>
    <t>更改催泪瓦斯的注释</t>
  </si>
  <si>
    <t>一些问答</t>
  </si>
  <si>
    <t>更新说明更新</t>
  </si>
  <si>
    <t>更新“跑团群”</t>
  </si>
  <si>
    <t>从咕咕1.8.1到现在的更新</t>
  </si>
  <si>
    <t>Q：本卡是无偿使用的嘛
A：是哒，虽然觉得不太可能但是如果你是花了钱才得到这份人物卡的话，您可能是盗版软件的受害者233</t>
  </si>
  <si>
    <t>目前这种骰子无法暗骰，因为目前不能私聊，长指令不能使用（因此更新了人物卡），无法记录log， 必须at后才能使用，好处就是不会冻结了。</t>
  </si>
  <si>
    <t>2019.8.25更新 版本号：19.8.3</t>
  </si>
  <si>
    <t>添加自选护甲移动力减值是否开启</t>
  </si>
  <si>
    <t>Q：本卡可以进行改造吗，改造之后可以传播吗
A：可以，但还是希望联系我说明一下</t>
  </si>
  <si>
    <t>修复武器栏bug</t>
  </si>
  <si>
    <t>修复移动力年龄减值bug</t>
  </si>
  <si>
    <t>Q：本卡可以丢到群里或者上传到网站上之类的吗
A：嗯！当然可以</t>
  </si>
  <si>
    <t>2023.09.26更新 版本号：CY23.4</t>
  </si>
  <si>
    <t>修复“自定义经历包”“技能增长”无法输入非数值的bug</t>
  </si>
  <si>
    <t>修复了格斗③技能的错误，这个错误使“矛”技能无法正常的显示初始值，并且在骰娘导入数据时会错误的判断成格斗②的技能，变成四位数字，这太强大了。
修复了拖拉机的体格错误，这个体格之前是负数，这肯定不合理。
CY23.4.1紧急修复自定义职业选择敏捷作为职业属性的问题。
现在人物卡的技能可以正确的在同一行里显示了。（10/17更新）</t>
  </si>
  <si>
    <t>修复“自定义年龄补正”无效的bug</t>
  </si>
  <si>
    <t>增强“信用范围”“剩余职业点”“剩余兴趣点”存在感</t>
  </si>
  <si>
    <t>简化表更新</t>
  </si>
  <si>
    <t>修复.stbug</t>
  </si>
  <si>
    <t>删除“资产表”“初始现金”，增加“货币单位”，为“资产说明”分格</t>
  </si>
  <si>
    <t>补充说明</t>
  </si>
  <si>
    <t>将“随身物品”“神话相关”“调查员精力”位置变更
增加“主流货币换算”
增加“法术一览”</t>
  </si>
  <si>
    <t>工作薄及工作表锁定：密码在上方的空白人物卡下载链接中，打开后的简介内。</t>
  </si>
  <si>
    <t>2019.8.21更新 版本号：19.8.2</t>
  </si>
  <si>
    <t>换新群了，群号145626992，如果左侧链接打不开了或者有问题可以加群看看群文件。</t>
  </si>
  <si>
    <t>合并“自定义艺术”“自定义技能”
将“自定义其他技能”改为“自定义子技能”（包括艺术与手艺、格斗、射击、科学、驾驶）
解锁技能初始值（如果不是要自定义技能请不要动好嘛w）</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</si>
  <si>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</si>
  <si>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</si>
  <si>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冰谧（1548801933），如果对后续版本有任何建议的话可以来找我~ 
欢迎大家来找我跑团，虽然rp水平真的不怎么样（），也可以来我们群聊一起跑（129530079）</t>
  </si>
  <si>
    <t>之前的作者：丛雨（2224263497）</t>
  </si>
  <si>
    <t>修复“年龄补正：”bug
将年龄的出错“警告”改为“提示”</t>
  </si>
  <si>
    <t>2023.04.10更新 版本号：CY23.3Plus</t>
  </si>
  <si>
    <t>感谢名单（均已征得同意）</t>
  </si>
  <si>
    <t>修改了职业列表中存在的问题：部分职业的本职技能与实际显示不符
改动了部分技能的描述
将链接替换成最新的了</t>
  </si>
  <si>
    <t>交换“魔法”、“幸运”与“移动力”的位置
删除“幸运”最大值
删除“大成功”“大失败”计数
删除“消耗规则”
添加“幸运困难成功率”“幸运极难成功率”
添加“移动方式”</t>
  </si>
  <si>
    <t>感谢人</t>
  </si>
  <si>
    <t>帕琪（806672431）</t>
  </si>
  <si>
    <t>梦之雨（2923502026）</t>
  </si>
  <si>
    <t>信用评级 (Credit Rating)可不可以使用兴趣点加?
    兴趣技能点可以添加到任意技能(不包含克苏鲁神话)上.
    职业技能点可以点至推荐范围下限, 在守秘人允许情况下, 可以用兴趣点点出推荐范围上限.
    规则书速查-&gt;第三章-创建调查员-3.3 第三步：决定技能并分配技能点
我们当时给Chaosium发了邮件，由主编Mike进行了回复。
allot the points to any skills (which can include adding further points to occupation skills), except Cthulhu Mythos (unless otherwise agreed with the Keeper).”
As the rule says above (p36) - ‘any’ skill except Cthulhu Mythos, - and Credit Rating is included with your Occupation Skills (as you must spend Occupation skill points on Credit Rating).
Thus, you can spend Personal Interest skill points on Credit Rating. Each occupation has a Credit Rating range - you may go above or below this range with the Keeper’s permission.
You must spend points on credit rating from Professional Occupation points.
You may increase credit rating with Personal Interest points with the Keeper's agreement.</t>
  </si>
  <si>
    <t>浅田阳子（3065875927）</t>
  </si>
  <si>
    <t>哦哦君（554983922）</t>
  </si>
  <si>
    <t>反智（——）</t>
  </si>
  <si>
    <t>添加“自定义经历包”</t>
  </si>
  <si>
    <t>分
支
技
能
更
改</t>
  </si>
  <si>
    <t>增加“技能成功等级阶段介绍”图</t>
  </si>
  <si>
    <t>本杰猫（690013210）</t>
  </si>
  <si>
    <t>锁定自定义经历包编辑</t>
  </si>
  <si>
    <t>增加“技能可选规则”：
-“专业技能：可以转移的技能优势”
-“可选规则：给技能等级按个保险”
-“语系地图”（来自维基百科）</t>
  </si>
  <si>
    <t>Schatten（1010233005）</t>
  </si>
  <si>
    <t>取消更新介绍保护</t>
  </si>
  <si>
    <t>か博丽西鹿☆（1206678982）</t>
  </si>
  <si>
    <t>更新“coc跑团群”</t>
  </si>
  <si>
    <t>海可斯（1658605847）</t>
  </si>
  <si>
    <t>添加FAQ（是常见问题的意思，不是花Q233333）</t>
  </si>
  <si>
    <t>是个好人（3084877320）</t>
  </si>
  <si>
    <t>职
业
列
表
更
改</t>
  </si>
  <si>
    <t>增强“自定义职业”、“自定义职业本职技能”的存在感
增加“推荐关系人”列表
增加“职业介绍”列表</t>
  </si>
  <si>
    <t>Trotyl（495568205）</t>
  </si>
  <si>
    <t>2019.8.20更新 版本号：19.8.1</t>
  </si>
  <si>
    <t>缘，妙不可言（1992752152）</t>
  </si>
  <si>
    <t>更新了排版</t>
  </si>
  <si>
    <t>Истина.（993032722）</t>
  </si>
  <si>
    <t>将“艺术与手艺”注释框移至【技能注释】</t>
  </si>
  <si>
    <t>增加《克苏鲁的呼唤调查员伴侣》职业
增加《日本秘史》职业
增加日系特定规则《克苏鲁2010》职业
增加日系特定规则《克苏鲁与帝国》职业
增加日系特定规则《克苏鲁2015》职业</t>
  </si>
  <si>
    <t>西擎庄（3605330799）</t>
  </si>
  <si>
    <t>2023.04.05更新 版本号：CY23.2</t>
  </si>
  <si>
    <t>添加“自定义身体/精神状态”
更新“体力”的“状态”下拉框
更新“理智”的“状态”下拉框</t>
  </si>
  <si>
    <t>缄（920068575）</t>
  </si>
  <si>
    <t>成长表现在更加完善了</t>
  </si>
  <si>
    <t>安妍色（3258528467）</t>
  </si>
  <si>
    <t>SHIKI系骰娘开发者</t>
  </si>
  <si>
    <t>初音未来zkw（3200767064）</t>
  </si>
  <si>
    <t>移除基础属性：“体力”“理智”“幸运”“魔法”上限栏保护
移除“魔法”“每小时恢复”栏位保护
移除“伤害加值”、“体格”数值栏位保护</t>
  </si>
  <si>
    <t>天不错（1057354813）</t>
  </si>
  <si>
    <t>属
性
和
掷
骰
更
新</t>
  </si>
  <si>
    <t>增加“各个属性的数字意味着什么？”、“每个属性的骰点骰子”</t>
  </si>
  <si>
    <t>韩艺瑟（993032722）</t>
  </si>
  <si>
    <t>2023.01.12更新 版本号：CY23.1</t>
  </si>
  <si>
    <t>增加“属性可选规则”
-“花费幸运值”
-“回复幸运值”
-“看透疯狂”增加沼跃鱼
-“精神固化”
-“多重理智检定”
增加“追逐轮可选规则”
-“选择一条道路”
-“随机的险境和障碍”
-“突发险境”
-“猛踩油门”</t>
  </si>
  <si>
    <t>グ（1115183244）</t>
  </si>
  <si>
    <t>修复了武器列表内某些武器的命名错误
人物卡右下侧的时代介绍现在更新至2023年</t>
  </si>
  <si>
    <t>更新汇率</t>
  </si>
  <si>
    <t>仑质（137334701）</t>
  </si>
  <si>
    <t>OlivaDice骰娘开发者</t>
  </si>
  <si>
    <t>添加货币：
      雷亚尔（巴西）
      墨西哥元（墨西哥）
      泰铢（泰国）
      新加坡元（新加坡）
      南非兰特（南非）</t>
  </si>
  <si>
    <t>赵喵喵（357826834）</t>
  </si>
  <si>
    <t>ZhaoDice骰娘开发者</t>
  </si>
  <si>
    <t>Sandy_Lab（2248790595）</t>
  </si>
  <si>
    <t>下骰姐（2715945014）</t>
  </si>
  <si>
    <t>只是一次无关紧要的小更新</t>
  </si>
  <si>
    <t>更新资产单位下拉列表，更新资产算法(这个功能研究了好久。。。excel大于小于的bug真要命)</t>
  </si>
  <si>
    <t>更改雷达图位置</t>
  </si>
  <si>
    <t>2022.12.21更新 版本号：CY22.4</t>
  </si>
  <si>
    <t>删除“不算幸运：”
将“算幸运：”改为“已用点数：”
添加“年龄补正：”</t>
  </si>
  <si>
    <t>修改了武器列表中5发弹仓的双发半自动12号霰弹枪的时代描述，该枪械由1902年开始就不断大规模产生了接近100年，并由数间枪械制造商生产，直到1998年才停止生产。
修改了更新说明中的部分描述，现在我直接告诉你了表格解锁密码是congyu，所以此类问题请不要再问我了。</t>
  </si>
  <si>
    <t>武
器
列
表
更
新</t>
  </si>
  <si>
    <t>为武器列表增加“类型”</t>
  </si>
  <si>
    <t>将特殊武器介绍改为“注释”
为“术语解释”排版</t>
  </si>
  <si>
    <t>添加
“规则书”“玩家手册”“怪物之锤”“法术大典”“跑团群”
 文件链接</t>
  </si>
  <si>
    <t>增加“会造成惩罚骰的情况”
增加“特殊伤害解读”
增加受伤程度列表</t>
  </si>
  <si>
    <t>除上述之外，我将我的署名改成了丛雨，因为大家都叫我这个，也对应了CY这个版本分支。
因为蓝奏云是小云盘，链接略不稳定，链接失效的情况时有发生，这种事情暂时没有办法，可以去各类跑团群找寻资料，获取人物卡更新可以加入联系方式中的群聊。
关于骰娘导入：目前我没有继续同步其他骰系的发展和可能产生的新的导入方式，但是基本上用默认就没问题。</t>
  </si>
  <si>
    <t>更改</t>
  </si>
  <si>
    <t>修复一些bug</t>
  </si>
  <si>
    <t>2019.7.18更新 版本号：19.7.1</t>
  </si>
  <si>
    <t>增加“战斗轮可选规则”
-“先攻检定”
-“击晕”、“消耗幸运值来维持意识”
-“相杀”
-“无法得知伤害”
-“火力压制”
-“护甲调整”、“部位瞄准”
-“瞄准具”、“支架”
-“在战斗中移动”
-“全隐蔽”、“击穿掩体”
-“倒地”
-“毒性”
增加“毒剂示例”</t>
  </si>
  <si>
    <t>将“技能表”的科学①②③的“数学”基础值改为10</t>
  </si>
  <si>
    <t>2022.06.19更新 版本号：CY22.3</t>
  </si>
  <si>
    <t>修复初始理智值不自动计算的问题</t>
  </si>
  <si>
    <t xml:space="preserve">序号214号职业的本职技能可以正常的显示多个“格斗”技能了
防具表 载具表中，现在有多处红字提醒，来说明规则书以外的内容清与KP商议
技能注释中，现在加入了红字提醒来说明部分描述与规则书有出入
</t>
  </si>
  <si>
    <t>修复“理智参考规则”与“快速参考规则”的错误</t>
  </si>
  <si>
    <t>重新保护部分单元格</t>
  </si>
  <si>
    <t>2019.6.22更新 版本号：19.6.1</t>
  </si>
  <si>
    <t>喵？</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</si>
  <si>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</si>
  <si>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2022.02.25更新 版本号：CY22.2</t>
  </si>
  <si>
    <t>删除了简化卡内一些不该出现的内容
更正了武器列表内某些武器的发明时间和某些武器的错别字
增添了建卡页面中的一些描述
优化了人物卡的关键连接部分</t>
  </si>
  <si>
    <t xml:space="preserve">增加“魔法可选规则”
-“克苏鲁神话技能的自发用法”
-“对单一目标造成物理伤害”
-“追逐怪物”
-“和死者交流”
</t>
  </si>
  <si>
    <t>修复“克苏鲁神话”的“本职标记”不显示问题
修复分配自由本职技能下拉选框无法选择“格斗③”“射击③”“外语③”“自定义”技能的问题</t>
  </si>
  <si>
    <t>规则书第三章3-4第四步：创造背景中，对关键连接有这样一段描述，意为“纵观一下你调查员的背景，选出你认为最重要的一个条目。这就是关键连接：它对调查员人生的意义比其他条目都要高。”但规则书并没有对关键连接使用的背景做出一个限制。因为背景同样也包括出身地、性别、姓名、头像。这种自由度是主持人应该去和玩家商讨创造的，它不应该是由人物卡来添加备注的内容。您可以合理使用规则书内的自由条目，但人物卡的建立之初是为了方便玩家对基础框架的理解，并非规则的制定者。</t>
  </si>
  <si>
    <t>更改最顶端注释</t>
  </si>
  <si>
    <t>添加“时代介绍”</t>
  </si>
  <si>
    <t>重新排版</t>
  </si>
  <si>
    <t>删除“将力量与体型相加之后”、“体格的作用”</t>
  </si>
  <si>
    <t>2021.11.23更新 版本号：CY22Preview</t>
  </si>
  <si>
    <t>修正了载具表的错别字，修改了骰娘导入的文本描述。
在此期间更新可能较为频繁，请及时关注左侧人物卡下载链接。</t>
  </si>
  <si>
    <t>为武器表的武器类型下拉框添加空白框格</t>
  </si>
  <si>
    <t>修复9号职业“文物学家（原作向）”没有“估价”本职标记问题</t>
  </si>
  <si>
    <t>将“性别”改为“性别/性取向”</t>
  </si>
  <si>
    <t>2021.11.06更新 版本号：CY22beta</t>
  </si>
  <si>
    <t>修改san初始值可能超过最大值的bug</t>
  </si>
  <si>
    <t>修正了链接，解锁密码在人物卡的下载链接里。
各种小毛病的修复，然后骰娘导入有不能用的，给出提示了。
现在开始接受反馈了，大概。
22年初会按照反馈内容进行一次更新。</t>
  </si>
  <si>
    <t>修复"☆ 二选一""⊙ 二选一""☯ 社交技能""※ 多选，或X选一"不显示问题（这么明显的bug都半年了居然才发现。。）</t>
  </si>
  <si>
    <t>技能注释更新</t>
  </si>
  <si>
    <t>添加新功能“技能查询”</t>
  </si>
  <si>
    <t>删除“艺术与手艺”“科学”“射击”“驾驶”“格斗”</t>
  </si>
  <si>
    <t>2021.01.29更新 版本号：CY21.1</t>
  </si>
  <si>
    <t>更改理发，酿酒，捕鱼，打字，技术制图的解释</t>
  </si>
  <si>
    <t>右侧时代介绍更新至2021年，对人物卡的版式进行了微调，并且对下载链接进行了修复。
职业列表的几个技能计算错误也修好了，一些职业缺失的星星也一样修好了qwq。
进行了精简卡的制作（其实就是删了一堆东西），可以在左边的下载链接里查看并下载使用。
另外后面如果没有大问题不会更新了x</t>
  </si>
  <si>
    <t>修复“自定义职业本职技能”技能下拉选框无法选择“格斗③”“射击③”“外语③”“自定义”技能的问题</t>
  </si>
  <si>
    <t>为额外的职业表添加注释</t>
  </si>
  <si>
    <t>删除自动掷骰部分</t>
  </si>
  <si>
    <t>2020.06.08更新 版本号：CY20.06.1</t>
  </si>
  <si>
    <t>更改“将力量与体型相加之后”的色块</t>
  </si>
  <si>
    <t>人物卡更新</t>
  </si>
  <si>
    <t>右侧报社/报纸，学校/博物馆信息补充完毕
右侧时代介绍更新至2020年
自定义子技能现在有了标注指引，并且可以给不同的子项进行自定义了
删除了“难言之隐”，这玩意早该删的</t>
  </si>
  <si>
    <t>修正唯二可以超过99的错误（可以超过100）</t>
  </si>
  <si>
    <t>将“特殊伤害解读”的注释格式改为向左对其</t>
  </si>
  <si>
    <t>更改“战斗轮可选规则”的“先攻检定”“击晕”“相杀”“火力压制”“瞄准具”“支架”“在战斗中移动”“完全隐蔽”“击穿掩体”“俯卧”“毒性”“毒性示例”可选规则的注释 / 增加“抵近射击调整”</t>
  </si>
  <si>
    <t>成长表更新</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</si>
  <si>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</si>
  <si>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添加：发明时间</t>
  </si>
  <si>
    <t>防具表 载具表更新</t>
  </si>
  <si>
    <t>删除“防护等级”</t>
  </si>
  <si>
    <t>简化卡更新</t>
  </si>
  <si>
    <t>简化卡的顶部，可以正常的显示调查员的名称了</t>
  </si>
  <si>
    <t>更改“术语解释/规则”的名称与排版</t>
  </si>
  <si>
    <t>添加“MOV与速度对照值”</t>
  </si>
  <si>
    <t>密码，密码看左边，左边的人物卡下载链接里就有密码啊（瘫）</t>
  </si>
  <si>
    <t>修改载具表的大量问题</t>
  </si>
  <si>
    <t>将【分支技能】改为【技能注释】</t>
  </si>
  <si>
    <t>2020.05.10更新 版本号：CY20.05.1</t>
  </si>
  <si>
    <t>将【属性和掷骰】改为【属性注释】</t>
  </si>
  <si>
    <t>武器名称处加入了提示：不要忘记写武器名称
自定义经历包点数问题修复
修复戏剧演员任意特产bug</t>
  </si>
  <si>
    <t>反正我在这随 "便写点" 啥再加几个括号引号你们:也不会发现，完全没得人看更新说明我好伤心</t>
  </si>
  <si>
    <t>取消除【更新说明】外所有页面的锁定</t>
  </si>
  <si>
    <t>2019.5.9更新 版本号：19.5.1</t>
  </si>
  <si>
    <t>弓道和薙刀错行问题解决
相扑力士职业描述里的「体型+2D6」确认了是不存在的设定，已删除</t>
  </si>
  <si>
    <t>修改15-19岁年龄调整值的错误</t>
  </si>
  <si>
    <t>缩小“现时间”，“成功率 普通/困难/极难”与“成功标”字号</t>
  </si>
  <si>
    <t>修复描述错误</t>
  </si>
  <si>
    <t>分支技能更新</t>
  </si>
  <si>
    <t>将以下板块重新排版：
可选规则：给技能等级安个保险
格斗、生存、驾驶、社交类、治疗类、维修类、科学、神话等
这是一张展示世界语系的地图（来自维基百科2018）</t>
  </si>
  <si>
    <t>大概7月份才会更新了x，取消了人物卡和简化卡 骰娘导入的密码，其他密码请看左侧人物卡链接</t>
  </si>
  <si>
    <t>2020.02.24更新 版本号：CY20.02.2</t>
  </si>
  <si>
    <t>汉化语系地图</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</si>
  <si>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</si>
  <si>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更新定义：
专业技能：可以转移的技能优势   语言解释
超越人体极限：多调查员协作检定</t>
  </si>
  <si>
    <t>资产及物价参考更新</t>
  </si>
  <si>
    <t>将【资产参考】更名为【资产及物价参考】</t>
  </si>
  <si>
    <t>增加“简单易懂英制的长度单位教学~~~”</t>
  </si>
  <si>
    <t>增加“现代物价参考表”</t>
  </si>
  <si>
    <t>增加“1920年代物价参考表”</t>
  </si>
  <si>
    <t>纠正射程单位
更新武器名称
将“布置”改为“就地”
将武器名称和规则书同步</t>
  </si>
  <si>
    <t>将“术语解释”中的：
“+db注释”更改为“英制单位的简易理解方式”
更改“罕见”的注释</t>
  </si>
  <si>
    <t>在“特殊伤害解读”中增加“晕（眩）”</t>
  </si>
  <si>
    <t>太多了（悲），懒得分类了</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</si>
  <si>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</si>
  <si>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</si>
  <si>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2020.02.11更新 版本号：CY20.02.1（区分不重名）</t>
  </si>
  <si>
    <t>更改了弩的需求技能描述，弓→弓术，现在可以在人物卡和导入里正确显示该武器的成功率了</t>
  </si>
  <si>
    <t>在规则书Version2002版本中（最新版本）译名“学问”→“学识”此处同步更改</t>
  </si>
  <si>
    <t>修复了了法医职业的本职技能错误</t>
  </si>
  <si>
    <t>修复了古典艺术家职业的技能点计算公式错误</t>
  </si>
  <si>
    <t>修复了现代美元的信用评级对照表格的一个错误</t>
  </si>
  <si>
    <t>更改以下载具乘客数值
地铁                                 缆车
空轨                                 高铁
客船                                 独木舟
木筏                                 货轮
热气球</t>
  </si>
  <si>
    <t>规则书链接更新，添加本表格更新链接，可随时访问查看本表有没有更新</t>
  </si>
  <si>
    <t>对一些表格的版式和美观度进行了更新，表格名称修改，小细节修改</t>
  </si>
  <si>
    <t>更改四马马车的技能，和常见时代</t>
  </si>
  <si>
    <t>将载具表下的“术语解释”重命名为“术语解释/规则”</t>
  </si>
  <si>
    <t>有什么问题随时联系窝！联系方式在左边，在左边啦——</t>
  </si>
  <si>
    <t>将2018版本更新放置右侧</t>
  </si>
  <si>
    <t>删除“debug组成员”改为“我要把你的名字写在这里！”</t>
  </si>
  <si>
    <t>2020.01.16更新 版本号：20.1</t>
  </si>
  <si>
    <t>2018.4.1更新 版本号：19.4.1</t>
  </si>
  <si>
    <t>修复了【人物卡→法术一览】的锁定问题</t>
  </si>
  <si>
    <t>修复“剩余经历包点数”bug</t>
  </si>
  <si>
    <t>降低“战斗流程图”的文件大小</t>
  </si>
  <si>
    <t>快捷输入描述微调</t>
  </si>
  <si>
    <t>2019.3.?更新 版本号：19.3.1</t>
  </si>
  <si>
    <t>看下面，这个只是为了照顾非1920*1080屏幕的玩家做的改动（简化）</t>
  </si>
  <si>
    <t>自定义职业注释去除（因为显示不出），并且修复了维多利亚年代的错误问题</t>
  </si>
  <si>
    <t>2018.12.12更新 版本号：18.12.1</t>
  </si>
  <si>
    <t>修复：
91号职业没有任意特长的问题
229号职业 聆听，机械维修没有本职标记
75号职业没有社交技能数</t>
  </si>
  <si>
    <t>更新说明大幅度改动，“感谢……”去除，更新说明更加直观，新增感谢名单，并将提供建议和帮助的你们加入其中（在本页面左边）</t>
  </si>
  <si>
    <t>对表格整体进行了美化处理（比如对很多单元格文字设置了居中，观感更好）</t>
  </si>
  <si>
    <t>更新汇率
更新货币单位提示</t>
  </si>
  <si>
    <t>丛雨在这里祝愿大家！2020新年快乐！天天大成功！无论是跑团还是别的事情都要大成功哦！</t>
  </si>
  <si>
    <t>取消格斗②与格斗①绑定标记
取消射击②与射击①绑定标记</t>
  </si>
  <si>
    <t>在“调查员经历”增加：有故事的调查员
并在“剩余职业点”“剩余兴趣点”之后增加了“剩余经历包点”</t>
  </si>
  <si>
    <t>2019.12.20更新 版本号：19.12.3beta</t>
  </si>
  <si>
    <t>已修复【人物卡→护甲区块显示不完全】的问题</t>
  </si>
  <si>
    <t>删除现时间的下拉列表，合并为一个格，并改名为“当前时间”</t>
  </si>
  <si>
    <t>将属性的困难极难成功率设置为“如果普通成功率没有数值则变为隐藏”</t>
  </si>
  <si>
    <t>现在【人物卡→技能名称】可以选定了
现在【人物卡→疯狂症状出目】（在左下部分）也可以选定了
取悦（原魅惑），导航（原领航）的注释描述已经同步更改</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</si>
  <si>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</si>
  <si>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</si>
  <si>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</si>
  <si>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现在表格所有初始缩放比例调整为100%，电脑看起来会更舒服了吧</t>
  </si>
  <si>
    <t>表格大小缩小！</t>
  </si>
  <si>
    <t>将“.st指令快捷输入”从【人物卡】中移动到【简化卡】</t>
  </si>
  <si>
    <t>更
改</t>
  </si>
  <si>
    <t>分离【分支技能】与【资产】，并将资产改名为【资产参考】</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</si>
  <si>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</si>
  <si>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将所有表格的行列表隐藏</t>
  </si>
  <si>
    <t>将横轴滚轮所占空间缩小（为了给选项卡分出空间）</t>
  </si>
  <si>
    <t>美化人物卡，灵感来源于DND5E角色卡</t>
  </si>
  <si>
    <t>更改版本号格式</t>
  </si>
  <si>
    <t>2018.11.05更新 版本号：18.11.1</t>
  </si>
  <si>
    <t>2019.12.08更新 版本号：19.12.2beta</t>
  </si>
  <si>
    <t>修复武器表“弓”“电器维修”“炮术”“投掷”技能#REF!问题</t>
  </si>
  <si>
    <t>已修复【人物卡→武器表中的一些文本没有居中】的问题</t>
  </si>
  <si>
    <t>让“本职标志”跟随“任意特长”变化
为“任意特长数”随已选特长变动，若选择过多则显示“过多！”</t>
  </si>
  <si>
    <t>格斗②③，射击②③，外语②③，科学③的本职技能标记在之前发生了重复和不显示的错误，现在已经可以正常的显示了</t>
  </si>
  <si>
    <t>让自定义职业的本职技能显示本职标志</t>
  </si>
  <si>
    <t>将其他资产表五项设置为顶端左侧对齐</t>
  </si>
  <si>
    <t>【射击：弓】更名为【射击：弓术】</t>
  </si>
  <si>
    <t>修复“自定义职业”的“属性点”非最大值的问题</t>
  </si>
  <si>
    <t>已修复【导入时导入的是弓的数据，而骰娘识别的是弓术导致检定弓术时失效】的问题</t>
  </si>
  <si>
    <t>将.st输出移动至【人物卡】</t>
  </si>
  <si>
    <t>分支技能与资产更新</t>
  </si>
  <si>
    <t>将“火焰喷射器”改为“喷射器”</t>
  </si>
  <si>
    <t>MDice骰娘（惠惠）专属导入，
加入便于电脑复制导入的本文框</t>
  </si>
  <si>
    <t>将“机关枪”改为“机枪”</t>
  </si>
  <si>
    <t>呜噫噫呜，有错误请一定要联系我哦，欢迎扩散这份表格！你们的使用是我最大的动力！</t>
  </si>
  <si>
    <t>2018.10.28更新 版本号：18.10.6</t>
  </si>
  <si>
    <t>将临时体力值的数值字体设置为黑色</t>
  </si>
  <si>
    <t>为“调查员信息”添加“当前时间”</t>
  </si>
  <si>
    <t>2019.12.03更新 版本号：19.12.1beta</t>
  </si>
  <si>
    <t>为“护甲值”与“覆盖部位”设置保护</t>
  </si>
  <si>
    <t>在人物表最下方加入引导内容【骰娘快捷输入见简化卡】
【调查员信息】中，原“性别/性取向”改为“性别”</t>
  </si>
  <si>
    <t>将“护甲类型”设置为“请看护甲表”
将“护甲类型”的字体颜色设置为黑色</t>
  </si>
  <si>
    <t>将人物表设置为即使锁定也可以插入头像</t>
  </si>
  <si>
    <t>shiki Exp10骰娘专属导入，
造成表格体积变大的图片引导已修改，并更加完善引导过程</t>
  </si>
  <si>
    <t>将“.st指令快捷输入”设置为即使属性为0也可以使用</t>
  </si>
  <si>
    <t>将母语设置为常亮
将信用评级设置为常亮
将闪避设置为常亮</t>
  </si>
  <si>
    <t>目前快捷输入已经有三种了，具体是哪种，可以看一下简化卡的说明，我尽可能的给大家说的明白，总之，希望可以方便一下大家吧。
有什么问题请随时给我说，在左边就有我的联系方式啦。</t>
  </si>
  <si>
    <t>在调查员信息中增加职业</t>
  </si>
  <si>
    <t>增加“当前时间”
增加“调查员伙伴”
-自写框
增加“神话相关”
-自写框</t>
  </si>
  <si>
    <t>2019.11.26更新 版本号：19.11.4beta</t>
  </si>
  <si>
    <t>已修复【人物表→其他资产表→其他栏目无法选定】的问题</t>
  </si>
  <si>
    <t>已修复【人物卡→资产→消费水平、其他资产、当前现金不会随年代和信用评级的变化而变化】的问题</t>
  </si>
  <si>
    <t>改变“.st指令快捷输入”</t>
  </si>
  <si>
    <t>将简化表设置为即使锁定也可以插入头像</t>
  </si>
  <si>
    <t>增加“自定义职业属性”</t>
  </si>
  <si>
    <t>调整了货币之间的汇率（按照19年11月25日当日全球汇率进行调整）</t>
  </si>
  <si>
    <t>为“自定义职业”增加“职业属性”自动计算
为“自定义职业”增加“技能点”自动计算</t>
  </si>
  <si>
    <t>对【人物卡→资产】内的一些本文错误（错字，没有句号逗号等）进行了修复</t>
  </si>
  <si>
    <t>删除自定义栏</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</si>
  <si>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</si>
  <si>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增加“注意事项”</t>
  </si>
  <si>
    <t>为“盾”类型增加“注释”
为“格斗盾”增加“注释”
为“盾”类型增加“剑格、护手”和其“注释”</t>
  </si>
  <si>
    <t>将规则书内物品设置为仿宋深蓝字体</t>
  </si>
  <si>
    <t>2019.11.25更新 版本号：19.11.3beta</t>
  </si>
  <si>
    <t>2018.10.25更新 版本号：18.10.5</t>
  </si>
  <si>
    <t>现已修复【考古学家没有本职技能估价星标显示】问题</t>
  </si>
  <si>
    <t>将职业范围和剩余点数在职业序号为0的时候设置为隐藏</t>
  </si>
  <si>
    <t>将“信用评级”的“成功标志”禁用
将“克苏鲁神话”的“成功标志”禁用</t>
  </si>
  <si>
    <t>2019.11.23更新 版本号：19.11beta</t>
  </si>
  <si>
    <t>修改了几乎所有技能的注释</t>
  </si>
  <si>
    <t>“技艺”，“格斗”，“驾驶”和“成功标”等下拉框修复</t>
  </si>
  <si>
    <t>大量修正技能的注释与名称
-“驯兽”没有改为“动物驯养”
-将“作画”改为“美术”
-将“弓术”改为“弓”
-将“机关枪”改为“机枪”
-将“自然学”改为“博物学”
并添加“也译作‘自然学’”</t>
  </si>
  <si>
    <t>为了规范起见，也为了防止pl误操作，现在除了“自定义技能”，其余技能名称均已锁定</t>
  </si>
  <si>
    <t>在表格最下方的浅字署名更改为神楽桜（丛雨Official）2019.11.23</t>
  </si>
  <si>
    <t>根据规则书Version1907版（最新版本）中的改动，将“魅惑”→“取悦”，“领航”→“导航”
简化卡中的快捷导入会保留全部的翻译。（你仍可以通过快捷导入，使用诸如ra魅惑的指令）</t>
  </si>
  <si>
    <t>修复“技能”会显示“0”的情况（简化卡）</t>
  </si>
  <si>
    <t>增加“.st指令快捷输入”
-“.st指令快捷输入”
-“技能名的改变”
-“注意”
-文本化用“txt框”
（这条函数超长的qwq）</t>
  </si>
  <si>
    <t>为防止刁民偷改数据从而获得额外的技能点或本职技能等情况，除自定义职业外及其相关内容外，其余内容均已锁定</t>
  </si>
  <si>
    <t>塔系骰娘专属导入，并附图给予复制教程</t>
  </si>
  <si>
    <t>将“资产参考表”上移</t>
  </si>
  <si>
    <t>更新排版</t>
  </si>
  <si>
    <t>增加“驾驶”
-船
-飞行器</t>
  </si>
  <si>
    <t>大家好，我是神楽桜，是骰娘丛雨的master，大家也都叫我丛雨。这是我更改并有意向进行长期更新的第一张卡，有不足的地方请多多谅解，欢迎广泛传播！谢谢你惹！</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</si>
  <si>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</si>
  <si>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</si>
  <si>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</si>
  <si>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</si>
  <si>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</si>
  <si>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</si>
  <si>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</si>
  <si>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</si>
  <si>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</si>
  <si>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</si>
  <si>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</si>
  <si>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</si>
  <si>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</si>
  <si>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</si>
  <si>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</si>
  <si>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</si>
  <si>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</si>
  <si>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</si>
  <si>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</si>
  <si>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</si>
  <si>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</si>
  <si>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</si>
  <si>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</si>
  <si>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</si>
  <si>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</si>
  <si>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</si>
  <si>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</si>
  <si>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</si>
  <si>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</si>
  <si>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</si>
  <si>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</si>
  <si>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</si>
  <si>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</si>
  <si>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</si>
  <si>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</si>
  <si>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</si>
  <si>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</si>
  <si>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</si>
  <si>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</si>
  <si>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</si>
  <si>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</si>
  <si>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</si>
  <si>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</si>
  <si>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</si>
  <si>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</si>
  <si>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</si>
  <si>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</si>
  <si>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</si>
  <si>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</si>
  <si>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</si>
  <si>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</si>
  <si>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</si>
  <si>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</si>
  <si>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</si>
  <si>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</si>
  <si>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</si>
  <si>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</si>
  <si>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</si>
  <si>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</si>
  <si>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</si>
  <si>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</si>
  <si>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</si>
  <si>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</si>
  <si>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</si>
  <si>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</si>
  <si>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</si>
  <si>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</si>
  <si>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</si>
  <si>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</si>
  <si>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</si>
  <si>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</si>
  <si>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</si>
  <si>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</si>
  <si>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</si>
  <si>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</si>
  <si>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</si>
  <si>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</si>
  <si>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</si>
  <si>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</si>
  <si>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</si>
  <si>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</si>
  <si>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</si>
  <si>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</si>
  <si>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</si>
  <si>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</si>
  <si>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</si>
  <si>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</si>
  <si>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</si>
  <si>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</si>
  <si>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</si>
  <si>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</si>
  <si>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</si>
  <si>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</si>
  <si>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</si>
  <si>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</si>
  <si>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</si>
  <si>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</si>
  <si>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</si>
  <si>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</si>
  <si>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俄乌战争持续</t>
    <phoneticPr fontId="165" type="noConversion"/>
  </si>
  <si>
    <t>****</t>
    <phoneticPr fontId="165" type="noConversion"/>
  </si>
  <si>
    <t>俄罗斯恢复战略轰炸机全球例行战斗巡逻
哈利·波特和死亡圣器出版，成为出版史上销售最快的书
初音未来发布</t>
    <phoneticPr fontId="165" type="noConversion"/>
  </si>
  <si>
    <t>没有特定指向的枪械发明时间以该口径子弹发明时间为准
有指定的枪械发明时间以服役时间为准
无法考据的发明时间填近似时间或划掉</t>
    <phoneticPr fontId="165" type="noConversion"/>
  </si>
  <si>
    <t>3.5亿年至今</t>
    <phoneticPr fontId="165" type="noConversion"/>
  </si>
  <si>
    <t>增加了货币汇率表，可以通过该表查找1920s的货币汇率
加了少许无关紧要的文本</t>
    <phoneticPr fontId="165" type="noConversion"/>
  </si>
  <si>
    <t>未来会考虑做一个货币自动换算功能，最近比较闲，可能会想到什么功能就加上去，因此更新可能会较为频繁</t>
    <phoneticPr fontId="165" type="noConversion"/>
  </si>
  <si>
    <t>1月</t>
    <phoneticPr fontId="165" type="noConversion"/>
  </si>
  <si>
    <t>技能表</t>
    <phoneticPr fontId="165" type="noConversion"/>
  </si>
  <si>
    <t>临时疯狂</t>
    <phoneticPr fontId="165" type="noConversion"/>
  </si>
  <si>
    <t>请看【防具表】</t>
    <phoneticPr fontId="165" type="noConversion"/>
  </si>
  <si>
    <t>提示</t>
    <phoneticPr fontId="165" type="noConversion"/>
  </si>
  <si>
    <t>总统：
   唐纳德·特朗普（共和党）</t>
    <phoneticPr fontId="165" type="noConversion"/>
  </si>
  <si>
    <t>总统：
   贝拉克·奥巴马（民主党）</t>
    <phoneticPr fontId="165" type="noConversion"/>
  </si>
  <si>
    <t>总统：
   乔治·沃克·布什（共和党）
   贝拉克·奥巴马（民主党）</t>
    <phoneticPr fontId="165" type="noConversion"/>
  </si>
  <si>
    <t>——</t>
    <phoneticPr fontId="165" type="noConversion"/>
  </si>
  <si>
    <t>年份</t>
    <phoneticPr fontId="165" type="noConversion"/>
  </si>
  <si>
    <t>上海规格两，也可在中国使用（按当时银价进行计算）</t>
    <phoneticPr fontId="165" type="noConversion"/>
  </si>
  <si>
    <t>1000000000000GRM = 1GRR</t>
    <phoneticPr fontId="165" type="noConversion"/>
  </si>
  <si>
    <t>金马克1917后已被纸马克替代，但仍可作为一种稳定货币流通，在魏玛共和国金融危机时作为一种较为稳定的货币</t>
    <phoneticPr fontId="165" type="noConversion"/>
  </si>
  <si>
    <t>汇率年份</t>
  </si>
  <si>
    <t>目标币种</t>
  </si>
  <si>
    <t>1920年汇率（目标币 / 美元）</t>
  </si>
  <si>
    <t>1929年汇率（目标币 / 美元）</t>
  </si>
  <si>
    <t>1美元兑换目标币</t>
  </si>
  <si>
    <t>报价年份或日期</t>
  </si>
  <si>
    <t>汇率来源</t>
  </si>
  <si>
    <t>消费水平（美元）</t>
  </si>
  <si>
    <t>现金（美元）</t>
  </si>
  <si>
    <t>其他资产（美元）</t>
  </si>
  <si>
    <t>美元 USD</t>
  </si>
  <si>
    <t>原表货币汇率：美元基准</t>
  </si>
  <si>
    <t>美元 USD</t>
    <phoneticPr fontId="165" type="noConversion"/>
  </si>
  <si>
    <t>当前现金</t>
    <phoneticPr fontId="165" type="noConversion"/>
  </si>
  <si>
    <t>交通工具（美元）</t>
  </si>
  <si>
    <t>住所（美元）</t>
  </si>
  <si>
    <t>奢侈品（美元）</t>
  </si>
  <si>
    <t>股票 / 证券（美元）</t>
  </si>
  <si>
    <t>其他（美元）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</si>
</sst>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24" formatCode="\$#,##0_);[Red]\(\$#,##0\)"/>
    <numFmt numFmtId="176" formatCode="\$0"/>
    <numFmt numFmtId="177" formatCode="0_);[Red]\(0\)"/>
    <numFmt numFmtId="178" formatCode="0.00_);[Red]\(0.00\)"/>
    <numFmt numFmtId="179" formatCode="[=0]&quot;&quot;;General"/>
    <numFmt numFmtId="180" formatCode="[=0]&quot;&quot;;&quot;/&quot;0"/>
    <numFmt numFmtId="181" formatCode="[=32767]&quot;&quot;;General"/>
    <numFmt numFmtId="182" formatCode="[=0]General;&quot;1920s,罕见&quot;"/>
    <numFmt numFmtId="183" formatCode="0&quot;年&quot;"/>
    <numFmt numFmtId="184" formatCode="[=1]&quot;☆ 二选一&quot;;[=0]&quot;&quot;"/>
    <numFmt numFmtId="185" formatCode="[=1]&quot;⊙ 二选一&quot;;[=0]&quot;&quot;"/>
    <numFmt numFmtId="186" formatCode="[=0]&quot;&quot;;&quot;☯ 社交技能（&quot;0&quot;项）&quot;"/>
    <numFmt numFmtId="187" formatCode="[=1]&quot;※ 多选，或X选一&quot;;[=0]&quot;&quot;"/>
    <numFmt numFmtId="188" formatCode="\/0_ "/>
    <numFmt numFmtId="189" formatCode="\+0;\-0;&quot;±&quot;0"/>
    <numFmt numFmtId="190" formatCode="0_ "/>
    <numFmt numFmtId="191" formatCode="0.0_ "/>
    <numFmt numFmtId="192" formatCode="&quot;/&quot;0"/>
    <numFmt numFmtId="193" formatCode="&quot;[&quot;0&quot;]&quot;"/>
    <numFmt numFmtId="194" formatCode="0.00000000"/>
    <numFmt numFmtId="195" formatCode="General"/>
    <numFmt numFmtId="196" formatCode="0.###############"/>
    <numFmt numFmtId="197" formatCode="#,##0.00"/>
  </numFmts>
  <fonts count="194">
    <font>
      <sz val="11"/>
      <name val="宋体"/>
    </font>
    <font>
      <sz val="11"/>
      <color rgb="FF000000"/>
      <name val="微软雅黑"/>
      <family val="2"/>
      <charset val="134"/>
    </font>
    <font>
      <sz val="20"/>
      <color rgb="FF000000"/>
      <name val="微软雅黑"/>
      <family val="2"/>
      <charset val="134"/>
    </font>
    <font>
      <sz val="12"/>
      <color rgb="FF000000"/>
      <name val="微软雅黑"/>
      <family val="2"/>
      <charset val="134"/>
    </font>
    <font>
      <sz val="14"/>
      <color indexed="20"/>
      <name val="宋体"/>
      <family val="3"/>
      <charset val="134"/>
    </font>
    <font>
      <sz val="14"/>
      <name val="微软雅黑"/>
      <family val="2"/>
      <charset val="134"/>
    </font>
    <font>
      <sz val="11"/>
      <color rgb="FFFFFFFF"/>
      <name val="微软雅黑"/>
      <family val="2"/>
      <charset val="134"/>
    </font>
    <font>
      <sz val="11"/>
      <color rgb="FFBF0000"/>
      <name val="微软雅黑"/>
      <family val="2"/>
      <charset val="134"/>
    </font>
    <font>
      <sz val="11"/>
      <color rgb="FF36363D"/>
      <name val="微软雅黑"/>
      <family val="2"/>
      <charset val="134"/>
    </font>
    <font>
      <sz val="11"/>
      <name val="微软雅黑"/>
      <family val="2"/>
      <charset val="134"/>
    </font>
    <font>
      <sz val="8"/>
      <name val="微软雅黑"/>
      <family val="2"/>
      <charset val="134"/>
    </font>
    <font>
      <sz val="11"/>
      <color rgb="FFFF0000"/>
      <name val="微软雅黑"/>
      <family val="2"/>
      <charset val="134"/>
    </font>
    <font>
      <sz val="10"/>
      <name val="微软雅黑"/>
      <family val="2"/>
      <charset val="134"/>
    </font>
    <font>
      <sz val="14"/>
      <color rgb="FFFF0000"/>
      <name val="微软雅黑"/>
      <family val="2"/>
      <charset val="134"/>
    </font>
    <font>
      <sz val="12"/>
      <name val="微软雅黑"/>
      <family val="2"/>
      <charset val="134"/>
    </font>
    <font>
      <sz val="10"/>
      <color rgb="FF000000"/>
      <name val="微软雅黑"/>
      <family val="2"/>
      <charset val="134"/>
    </font>
    <font>
      <sz val="9"/>
      <name val="微软雅黑"/>
      <family val="2"/>
      <charset val="134"/>
    </font>
    <font>
      <sz val="11"/>
      <color rgb="FF000000"/>
      <name val="微软雅黑"/>
      <family val="2"/>
      <charset val="134"/>
    </font>
    <font>
      <sz val="8"/>
      <color rgb="FF000000"/>
      <name val="微软雅黑"/>
      <family val="2"/>
      <charset val="134"/>
    </font>
    <font>
      <sz val="7"/>
      <name val="微软雅黑"/>
      <family val="2"/>
      <charset val="134"/>
    </font>
    <font>
      <sz val="14"/>
      <color rgb="FF000000"/>
      <name val="微软雅黑"/>
      <family val="2"/>
      <charset val="134"/>
    </font>
    <font>
      <b/>
      <sz val="12"/>
      <color rgb="FF000000"/>
      <name val="微软雅黑"/>
      <family val="2"/>
      <charset val="134"/>
    </font>
    <font>
      <b/>
      <sz val="11"/>
      <color rgb="FF000000"/>
      <name val="微软雅黑"/>
      <family val="2"/>
      <charset val="134"/>
    </font>
    <font>
      <sz val="28"/>
      <color rgb="FF000000"/>
      <name val="微软雅黑"/>
      <family val="2"/>
      <charset val="134"/>
    </font>
    <font>
      <sz val="22"/>
      <color rgb="FF000000"/>
      <name val="微软雅黑"/>
      <family val="2"/>
      <charset val="134"/>
    </font>
    <font>
      <sz val="6"/>
      <color rgb="FF000000"/>
      <name val="微软雅黑"/>
      <family val="2"/>
      <charset val="134"/>
    </font>
    <font>
      <sz val="10"/>
      <name val="等线"/>
      <family val="3"/>
      <charset val="134"/>
    </font>
    <font>
      <sz val="11"/>
      <name val="等线"/>
      <family val="3"/>
      <charset val="134"/>
    </font>
    <font>
      <sz val="11"/>
      <color rgb="FF000000"/>
      <name val="宋体"/>
      <family val="3"/>
      <charset val="134"/>
    </font>
    <font>
      <b/>
      <sz val="10"/>
      <color rgb="FFFFFFFF"/>
      <name val="微软雅黑"/>
      <family val="2"/>
      <charset val="134"/>
    </font>
    <font>
      <b/>
      <sz val="8"/>
      <color rgb="FFFFFFFF"/>
      <name val="微软雅黑"/>
      <family val="2"/>
      <charset val="134"/>
    </font>
    <font>
      <sz val="10"/>
      <color rgb="FF1F3964"/>
      <name val="微软雅黑"/>
      <family val="2"/>
      <charset val="134"/>
    </font>
    <font>
      <sz val="10"/>
      <color rgb="FF000000"/>
      <name val="等线"/>
      <family val="3"/>
      <charset val="134"/>
    </font>
    <font>
      <b/>
      <sz val="12"/>
      <color rgb="FF1F3964"/>
      <name val="微软雅黑"/>
      <family val="2"/>
      <charset val="134"/>
    </font>
    <font>
      <sz val="9"/>
      <color rgb="FF1F3964"/>
      <name val="微软雅黑"/>
      <family val="2"/>
      <charset val="134"/>
    </font>
    <font>
      <sz val="36"/>
      <name val="等线"/>
      <family val="3"/>
      <charset val="134"/>
    </font>
    <font>
      <sz val="12"/>
      <color rgb="FFFF0000"/>
      <name val="等线"/>
      <family val="3"/>
      <charset val="134"/>
    </font>
    <font>
      <sz val="14"/>
      <color rgb="FFFF0000"/>
      <name val="等线"/>
      <family val="3"/>
      <charset val="134"/>
    </font>
    <font>
      <sz val="24"/>
      <name val="等线"/>
      <family val="3"/>
      <charset val="134"/>
    </font>
    <font>
      <b/>
      <sz val="11"/>
      <color rgb="FFFFFFFF"/>
      <name val="宋体"/>
      <family val="3"/>
      <charset val="134"/>
    </font>
    <font>
      <sz val="9"/>
      <name val="等线"/>
      <family val="3"/>
      <charset val="134"/>
    </font>
    <font>
      <sz val="8"/>
      <color rgb="FF000000"/>
      <name val="等线"/>
      <family val="3"/>
      <charset val="134"/>
    </font>
    <font>
      <sz val="28"/>
      <color rgb="FF1F3964"/>
      <name val="微软雅黑"/>
      <family val="2"/>
      <charset val="134"/>
    </font>
    <font>
      <sz val="24"/>
      <color rgb="FF1F3964"/>
      <name val="微软雅黑"/>
      <family val="2"/>
      <charset val="134"/>
    </font>
    <font>
      <sz val="11"/>
      <color rgb="FF1F3964"/>
      <name val="微软雅黑"/>
      <family val="2"/>
      <charset val="134"/>
    </font>
    <font>
      <sz val="10"/>
      <name val="宋体"/>
      <family val="3"/>
      <charset val="134"/>
    </font>
    <font>
      <sz val="12"/>
      <color rgb="FF1F3964"/>
      <name val="微软雅黑"/>
      <family val="2"/>
      <charset val="134"/>
    </font>
    <font>
      <sz val="16"/>
      <color rgb="FF1F3964"/>
      <name val="微软雅黑"/>
      <family val="2"/>
      <charset val="134"/>
    </font>
    <font>
      <sz val="28"/>
      <name val="等线"/>
      <family val="3"/>
      <charset val="134"/>
    </font>
    <font>
      <sz val="18"/>
      <name val="等线"/>
      <family val="3"/>
      <charset val="134"/>
    </font>
    <font>
      <sz val="11"/>
      <color rgb="FFFFFFFF"/>
      <name val="等线"/>
      <family val="3"/>
      <charset val="134"/>
    </font>
    <font>
      <sz val="10"/>
      <color rgb="FFFFFFFF"/>
      <name val="微软雅黑"/>
      <family val="2"/>
      <charset val="134"/>
    </font>
    <font>
      <b/>
      <sz val="11"/>
      <name val="微软雅黑"/>
      <family val="2"/>
      <charset val="134"/>
    </font>
    <font>
      <b/>
      <sz val="10"/>
      <name val="微软雅黑"/>
      <family val="2"/>
      <charset val="134"/>
    </font>
    <font>
      <b/>
      <sz val="9"/>
      <name val="微软雅黑"/>
      <family val="2"/>
      <charset val="134"/>
    </font>
    <font>
      <sz val="16"/>
      <name val="等线"/>
      <family val="3"/>
      <charset val="134"/>
    </font>
    <font>
      <sz val="10"/>
      <color rgb="FF000000"/>
      <name val="宋体"/>
      <family val="3"/>
      <charset val="134"/>
    </font>
    <font>
      <sz val="20"/>
      <name val="微软雅黑"/>
      <family val="2"/>
      <charset val="134"/>
    </font>
    <font>
      <sz val="16"/>
      <name val="宋体"/>
      <family val="3"/>
      <charset val="134"/>
    </font>
    <font>
      <sz val="28"/>
      <name val="微软雅黑"/>
      <family val="2"/>
      <charset val="134"/>
    </font>
    <font>
      <b/>
      <sz val="15"/>
      <name val="微软雅黑"/>
      <family val="2"/>
      <charset val="134"/>
    </font>
    <font>
      <b/>
      <sz val="18"/>
      <name val="微软雅黑"/>
      <family val="2"/>
      <charset val="134"/>
    </font>
    <font>
      <b/>
      <sz val="12"/>
      <name val="等线"/>
      <family val="3"/>
      <charset val="134"/>
    </font>
    <font>
      <i/>
      <sz val="9"/>
      <name val="微软雅黑"/>
      <family val="2"/>
      <charset val="134"/>
    </font>
    <font>
      <sz val="12"/>
      <name val="等线"/>
      <family val="3"/>
      <charset val="134"/>
    </font>
    <font>
      <sz val="22"/>
      <name val="等线"/>
      <family val="3"/>
      <charset val="134"/>
    </font>
    <font>
      <sz val="11"/>
      <color rgb="FFC00000"/>
      <name val="微软雅黑"/>
      <family val="2"/>
      <charset val="134"/>
    </font>
    <font>
      <sz val="11"/>
      <color rgb="FF7F5F00"/>
      <name val="微软雅黑"/>
      <family val="2"/>
      <charset val="134"/>
    </font>
    <font>
      <sz val="11"/>
      <color rgb="FF1F4E79"/>
      <name val="微软雅黑"/>
      <family val="2"/>
      <charset val="134"/>
    </font>
    <font>
      <sz val="11"/>
      <color rgb="FF385623"/>
      <name val="微软雅黑"/>
      <family val="2"/>
      <charset val="134"/>
    </font>
    <font>
      <b/>
      <sz val="15"/>
      <name val="微软雅黑"/>
      <family val="2"/>
      <charset val="134"/>
    </font>
    <font>
      <b/>
      <sz val="16"/>
      <name val="微软雅黑"/>
      <family val="2"/>
      <charset val="134"/>
    </font>
    <font>
      <sz val="24"/>
      <name val="微软雅黑"/>
      <family val="2"/>
      <charset val="134"/>
    </font>
    <font>
      <sz val="18"/>
      <name val="微软雅黑"/>
      <family val="2"/>
      <charset val="134"/>
    </font>
    <font>
      <sz val="16"/>
      <name val="微软雅黑"/>
      <family val="2"/>
      <charset val="134"/>
    </font>
    <font>
      <b/>
      <sz val="14"/>
      <name val="微软雅黑"/>
      <family val="2"/>
      <charset val="134"/>
    </font>
    <font>
      <b/>
      <sz val="12"/>
      <name val="微软雅黑"/>
      <family val="2"/>
      <charset val="134"/>
    </font>
    <font>
      <sz val="22"/>
      <name val="微软雅黑"/>
      <family val="2"/>
      <charset val="134"/>
    </font>
    <font>
      <sz val="26"/>
      <name val="微软雅黑"/>
      <family val="2"/>
      <charset val="134"/>
    </font>
    <font>
      <b/>
      <sz val="20"/>
      <name val="微软雅黑"/>
      <family val="2"/>
      <charset val="134"/>
    </font>
    <font>
      <b/>
      <sz val="11"/>
      <color rgb="FFFF0000"/>
      <name val="等线"/>
      <family val="3"/>
      <charset val="134"/>
    </font>
    <font>
      <sz val="11"/>
      <color rgb="FFFF0000"/>
      <name val="等线"/>
      <family val="3"/>
      <charset val="134"/>
    </font>
    <font>
      <sz val="12"/>
      <color rgb="FF000000"/>
      <name val="等线"/>
      <family val="3"/>
      <charset val="134"/>
    </font>
    <font>
      <sz val="11"/>
      <color rgb="FF000000"/>
      <name val="等线"/>
      <family val="3"/>
      <charset val="134"/>
    </font>
    <font>
      <sz val="9"/>
      <color rgb="FF000000"/>
      <name val="微软雅黑"/>
      <family val="2"/>
      <charset val="134"/>
    </font>
    <font>
      <sz val="9"/>
      <color rgb="FF000000"/>
      <name val="等线"/>
      <family val="3"/>
      <charset val="134"/>
    </font>
    <font>
      <sz val="8"/>
      <name val="等线"/>
      <family val="3"/>
      <charset val="134"/>
    </font>
    <font>
      <sz val="7"/>
      <color rgb="FF000000"/>
      <name val="等线"/>
      <family val="3"/>
      <charset val="134"/>
    </font>
    <font>
      <sz val="12"/>
      <color rgb="FF000000"/>
      <name val="微软雅黑 Light"/>
      <family val="2"/>
      <charset val="134"/>
    </font>
    <font>
      <sz val="12"/>
      <color rgb="FFFFFFFF"/>
      <name val="微软雅黑 Light"/>
      <family val="2"/>
      <charset val="134"/>
    </font>
    <font>
      <sz val="11"/>
      <color rgb="FF000000"/>
      <name val="微软雅黑 Light"/>
      <family val="2"/>
      <charset val="134"/>
    </font>
    <font>
      <sz val="10"/>
      <color rgb="FF000000"/>
      <name val="微软雅黑 Light"/>
      <family val="2"/>
      <charset val="134"/>
    </font>
    <font>
      <sz val="12"/>
      <name val="微软雅黑 Light"/>
      <family val="2"/>
      <charset val="134"/>
    </font>
    <font>
      <sz val="9"/>
      <name val="微软雅黑 Light"/>
      <family val="2"/>
      <charset val="134"/>
    </font>
    <font>
      <b/>
      <sz val="12"/>
      <name val="微软雅黑 Light"/>
      <family val="2"/>
      <charset val="134"/>
    </font>
    <font>
      <sz val="9"/>
      <color rgb="FF000000"/>
      <name val="微软雅黑 Light"/>
      <family val="2"/>
      <charset val="134"/>
    </font>
    <font>
      <sz val="12"/>
      <color rgb="FFFFFFFF"/>
      <name val="微软雅黑"/>
      <family val="2"/>
      <charset val="134"/>
    </font>
    <font>
      <sz val="9"/>
      <color rgb="FF000000"/>
      <name val="宋体"/>
      <family val="3"/>
      <charset val="134"/>
    </font>
    <font>
      <b/>
      <sz val="9"/>
      <color rgb="FF000000"/>
      <name val="宋体"/>
      <family val="3"/>
      <charset val="134"/>
    </font>
    <font>
      <b/>
      <sz val="12"/>
      <color rgb="FFD58B43"/>
      <name val="微软雅黑 Light"/>
      <family val="2"/>
      <charset val="134"/>
    </font>
    <font>
      <i/>
      <sz val="9"/>
      <color rgb="FF000000"/>
      <name val="微软雅黑"/>
      <family val="2"/>
      <charset val="134"/>
    </font>
    <font>
      <sz val="12"/>
      <color rgb="FF2F75B6"/>
      <name val="微软雅黑 Light"/>
      <family val="2"/>
      <charset val="134"/>
    </font>
    <font>
      <sz val="20"/>
      <color rgb="FF000000"/>
      <name val="等线"/>
      <family val="3"/>
      <charset val="134"/>
    </font>
    <font>
      <sz val="18"/>
      <color rgb="FF000000"/>
      <name val="等线"/>
      <family val="3"/>
      <charset val="134"/>
    </font>
    <font>
      <sz val="11"/>
      <color rgb="FFFF0000"/>
      <name val="宋体"/>
      <family val="3"/>
      <charset val="134"/>
    </font>
    <font>
      <sz val="10"/>
      <color rgb="FFFF0000"/>
      <name val="微软雅黑"/>
      <family val="2"/>
      <charset val="134"/>
    </font>
    <font>
      <sz val="18"/>
      <color rgb="FF000000"/>
      <name val="微软雅黑"/>
      <family val="2"/>
      <charset val="134"/>
    </font>
    <font>
      <sz val="15"/>
      <name val="微软雅黑"/>
      <family val="2"/>
      <charset val="134"/>
    </font>
    <font>
      <sz val="11"/>
      <color rgb="FF32D3F6"/>
      <name val="微软雅黑"/>
      <family val="2"/>
      <charset val="134"/>
    </font>
    <font>
      <sz val="11"/>
      <color rgb="FF32D3F6"/>
      <name val="宋体"/>
      <family val="3"/>
      <charset val="134"/>
    </font>
    <font>
      <sz val="9"/>
      <color rgb="FFFFFFFF"/>
      <name val="微软雅黑"/>
      <family val="2"/>
      <charset val="134"/>
    </font>
    <font>
      <sz val="10"/>
      <color rgb="FF7F7F7F"/>
      <name val="等线"/>
      <family val="3"/>
      <charset val="134"/>
    </font>
    <font>
      <sz val="11"/>
      <name val="微软雅黑 Light"/>
      <family val="2"/>
      <charset val="134"/>
    </font>
    <font>
      <b/>
      <sz val="11"/>
      <color rgb="FF000000"/>
      <name val="微软雅黑 Light"/>
      <family val="2"/>
      <charset val="134"/>
    </font>
    <font>
      <sz val="11"/>
      <color rgb="FFFFFFFF"/>
      <name val="宋体"/>
      <family val="3"/>
      <charset val="134"/>
    </font>
    <font>
      <sz val="10"/>
      <color rgb="FF222222"/>
      <name val="宋体"/>
      <family val="3"/>
      <charset val="134"/>
    </font>
    <font>
      <b/>
      <sz val="12"/>
      <color rgb="FF000000"/>
      <name val="微软雅黑 Light"/>
      <family val="2"/>
      <charset val="134"/>
    </font>
    <font>
      <sz val="10"/>
      <color rgb="FF333333"/>
      <name val="微软雅黑"/>
      <family val="2"/>
      <charset val="134"/>
    </font>
    <font>
      <sz val="10"/>
      <color rgb="FF000000"/>
      <name val="FZBIAOYSK--GBK1-0"/>
    </font>
    <font>
      <sz val="14"/>
      <name val="等线"/>
      <family val="3"/>
      <charset val="134"/>
    </font>
    <font>
      <sz val="14"/>
      <color rgb="FF000000"/>
      <name val="等线"/>
      <family val="3"/>
      <charset val="134"/>
    </font>
    <font>
      <sz val="14"/>
      <color indexed="8"/>
      <name val="等线"/>
      <family val="3"/>
      <charset val="134"/>
    </font>
    <font>
      <sz val="10"/>
      <color indexed="8"/>
      <name val="Calibri"/>
      <family val="2"/>
    </font>
    <font>
      <sz val="10"/>
      <color rgb="FF000000"/>
      <name val="Calibri"/>
      <family val="2"/>
    </font>
    <font>
      <sz val="8"/>
      <color indexed="8"/>
      <name val="Calibri"/>
      <family val="2"/>
    </font>
    <font>
      <sz val="10"/>
      <name val="Calibri"/>
      <family val="2"/>
    </font>
    <font>
      <sz val="11"/>
      <name val="Calibri"/>
      <family val="2"/>
    </font>
    <font>
      <sz val="8"/>
      <color rgb="FF000000"/>
      <name val="Calibri"/>
      <family val="2"/>
    </font>
    <font>
      <sz val="11"/>
      <color rgb="FF000000"/>
      <name val="Calibri"/>
      <family val="2"/>
    </font>
    <font>
      <sz val="20"/>
      <name val="宋体"/>
      <family val="3"/>
      <charset val="134"/>
    </font>
    <font>
      <sz val="14"/>
      <color rgb="FFFF0000"/>
      <name val="宋体"/>
      <family val="3"/>
      <charset val="134"/>
    </font>
    <font>
      <sz val="11"/>
      <color rgb="FFFFFFFF"/>
      <name val="微软雅黑 Light"/>
      <family val="2"/>
      <charset val="134"/>
    </font>
    <font>
      <sz val="11"/>
      <color rgb="FFC00000"/>
      <name val="微软雅黑 Light"/>
      <family val="2"/>
      <charset val="134"/>
    </font>
    <font>
      <sz val="11"/>
      <color rgb="FF000000"/>
      <name val="微软雅黑 Light"/>
      <family val="2"/>
      <charset val="134"/>
    </font>
    <font>
      <sz val="14"/>
      <color rgb="FF000000"/>
      <name val="微软雅黑 Light"/>
      <family val="2"/>
      <charset val="134"/>
    </font>
    <font>
      <sz val="11"/>
      <color rgb="FFFF0000"/>
      <name val="微软雅黑 Light"/>
      <family val="2"/>
      <charset val="134"/>
    </font>
    <font>
      <sz val="11"/>
      <name val="微软雅黑 Light"/>
      <family val="2"/>
      <charset val="134"/>
    </font>
    <font>
      <sz val="10"/>
      <color rgb="FFBF0000"/>
      <name val="微软雅黑"/>
      <family val="2"/>
      <charset val="134"/>
    </font>
    <font>
      <sz val="32"/>
      <color rgb="FF000000"/>
      <name val="宋体"/>
      <family val="3"/>
      <charset val="134"/>
    </font>
    <font>
      <sz val="11"/>
      <color rgb="FFC00000"/>
      <name val="宋体"/>
      <family val="3"/>
      <charset val="134"/>
    </font>
    <font>
      <sz val="10"/>
      <color rgb="FFC00000"/>
      <name val="微软雅黑"/>
      <family val="2"/>
      <charset val="134"/>
    </font>
    <font>
      <sz val="10"/>
      <name val="微软雅黑 Light"/>
      <family val="2"/>
      <charset val="134"/>
    </font>
    <font>
      <sz val="10"/>
      <color rgb="FF65A3D7"/>
      <name val="微软雅黑"/>
      <family val="2"/>
      <charset val="134"/>
    </font>
    <font>
      <sz val="10"/>
      <color rgb="FF595959"/>
      <name val="微软雅黑"/>
      <family val="2"/>
      <charset val="134"/>
    </font>
    <font>
      <b/>
      <sz val="10"/>
      <color rgb="FFBF0000"/>
      <name val="微软雅黑"/>
      <family val="2"/>
      <charset val="134"/>
    </font>
    <font>
      <sz val="10"/>
      <color rgb="FFFF0000"/>
      <name val="宋体"/>
      <family val="3"/>
      <charset val="134"/>
    </font>
    <font>
      <sz val="8"/>
      <color rgb="FF2F5597"/>
      <name val="微软雅黑"/>
      <family val="2"/>
      <charset val="134"/>
    </font>
    <font>
      <sz val="10"/>
      <color rgb="FFF2F2F2"/>
      <name val="微软雅黑"/>
      <family val="2"/>
      <charset val="134"/>
    </font>
    <font>
      <sz val="9"/>
      <color rgb="FFF2F2F2"/>
      <name val="微软雅黑"/>
      <family val="2"/>
      <charset val="134"/>
    </font>
    <font>
      <b/>
      <sz val="12"/>
      <color rgb="FFFFFFFF"/>
      <name val="微软雅黑"/>
      <family val="2"/>
      <charset val="134"/>
    </font>
    <font>
      <sz val="10"/>
      <color rgb="FF02A5E3"/>
      <name val="微软雅黑"/>
      <family val="2"/>
      <charset val="134"/>
    </font>
    <font>
      <sz val="8"/>
      <color rgb="FF3F3F3F"/>
      <name val="微软雅黑"/>
      <family val="2"/>
      <charset val="134"/>
    </font>
    <font>
      <sz val="10"/>
      <color rgb="FF3F3F3F"/>
      <name val="微软雅黑"/>
      <family val="2"/>
      <charset val="134"/>
    </font>
    <font>
      <sz val="9"/>
      <color rgb="FF595959"/>
      <name val="微软雅黑"/>
      <family val="2"/>
      <charset val="134"/>
    </font>
    <font>
      <sz val="10"/>
      <color rgb="FF2F75B6"/>
      <name val="微软雅黑"/>
      <family val="2"/>
      <charset val="134"/>
    </font>
    <font>
      <sz val="24"/>
      <color rgb="FF0C0C0C"/>
      <name val="微软雅黑"/>
      <family val="2"/>
      <charset val="134"/>
    </font>
    <font>
      <sz val="10"/>
      <color rgb="FF7F7F7F"/>
      <name val="微软雅黑"/>
      <family val="2"/>
      <charset val="134"/>
    </font>
    <font>
      <sz val="12"/>
      <color rgb="FF000000"/>
      <name val="宋体"/>
      <family val="3"/>
      <charset val="134"/>
    </font>
    <font>
      <sz val="16"/>
      <color rgb="FF000000"/>
      <name val="微软雅黑"/>
      <family val="2"/>
      <charset val="134"/>
    </font>
    <font>
      <sz val="9"/>
      <color rgb="FF2F5597"/>
      <name val="微软雅黑"/>
      <family val="2"/>
      <charset val="134"/>
    </font>
    <font>
      <sz val="14"/>
      <color rgb="FFBFBFBF"/>
      <name val="等线"/>
      <family val="3"/>
      <charset val="134"/>
    </font>
    <font>
      <sz val="14"/>
      <color rgb="FFC00000"/>
      <name val="微软雅黑"/>
      <family val="2"/>
      <charset val="134"/>
    </font>
    <font>
      <sz val="9"/>
      <color rgb="FFBFBFBF"/>
      <name val="微软雅黑"/>
      <family val="2"/>
      <charset val="134"/>
    </font>
    <font>
      <sz val="8"/>
      <color rgb="FFFF0000"/>
      <name val="微软雅黑"/>
      <family val="2"/>
      <charset val="134"/>
    </font>
    <font>
      <sz val="11"/>
      <color rgb="FF0000FF"/>
      <name val="宋体"/>
      <family val="3"/>
      <charset val="134"/>
    </font>
    <font>
      <sz val="9"/>
      <name val="宋体"/>
      <family val="3"/>
      <charset val="134"/>
    </font>
    <font>
      <sz val="10"/>
      <color theme="1"/>
      <name val="微软雅黑"/>
      <family val="2"/>
      <charset val="134"/>
    </font>
    <font>
      <sz val="9"/>
      <color theme="1" tint="4.9989318521683403E-2"/>
      <name val="微软雅黑"/>
      <family val="2"/>
      <charset val="134"/>
    </font>
    <font>
      <sz val="14"/>
      <color rgb="FF00B050"/>
      <name val="等线"/>
      <family val="3"/>
      <charset val="134"/>
    </font>
    <font>
      <sz val="11"/>
      <color theme="0"/>
      <name val="微软雅黑"/>
      <family val="2"/>
      <charset val="134"/>
    </font>
    <font>
      <sz val="11"/>
      <color theme="0"/>
      <name val="宋体"/>
      <family val="3"/>
      <charset val="134"/>
    </font>
    <font>
      <sz val="10"/>
      <name val="宋体"/>
      <family val="3"/>
      <charset val="134"/>
    </font>
    <font>
      <b/>
      <sz val="10"/>
      <color rgb="FF7030A0"/>
      <name val="微软雅黑"/>
      <family val="2"/>
      <charset val="134"/>
    </font>
    <font>
      <b/>
      <sz val="11"/>
      <color theme="0"/>
      <name val="宋体"/>
      <family val="3"/>
      <charset val="134"/>
    </font>
    <font>
      <b/>
      <sz val="9"/>
      <color theme="0"/>
      <name val="宋体"/>
      <family val="3"/>
      <charset val="134"/>
    </font>
    <font>
      <sz val="10"/>
      <color theme="1"/>
      <name val="宋体"/>
      <family val="3"/>
      <charset val="134"/>
    </font>
    <font>
      <b/>
      <sz val="11"/>
      <name val="宋体"/>
      <family val="3"/>
      <charset val="134"/>
    </font>
    <font>
      <sz val="28"/>
      <color theme="1"/>
      <name val="微软雅黑"/>
      <family val="2"/>
      <charset val="134"/>
    </font>
    <font>
      <sz val="11"/>
      <color theme="1"/>
      <name val="微软雅黑"/>
      <family val="2"/>
      <charset val="134"/>
    </font>
    <font>
      <sz val="10"/>
      <color rgb="FFFF0000"/>
      <name val="等线"/>
      <family val="3"/>
      <charset val="134"/>
    </font>
    <font>
      <b/>
      <sz val="14"/>
      <color rgb="FF1F2937"/>
      <name val="宋体"/>
      <family val="3"/>
      <charset val="134"/>
    </font>
    <font>
      <b/>
      <sz val="10"/>
      <color rgb="FFFFFFFF"/>
      <name val="宋体"/>
      <family val="3"/>
      <charset val="134"/>
    </font>
    <font>
      <sz val="11"/>
      <name val="宋体"/>
      <family val="3"/>
      <charset val="134"/>
    </font>
    <font>
      <b/>
      <sz val="9"/>
      <color indexed="81"/>
      <name val="宋体"/>
      <family val="3"/>
      <charset val="134"/>
    </font>
    <font>
      <sz val="11"/>
      <name val="Carlito"/>
    </font>
    <font>
      <sz val="10"/>
      <name val="Noto Sans SC"/>
    </font>
    <font>
      <b/>
      <sz val="10"/>
      <color rgb="FFFFFFFF"/>
      <name val="Noto Sans SC"/>
    </font>
    <font>
      <b/>
      <sz val="12"/>
      <name val="Noto Sans SC"/>
    </font>
    <font>
      <sz val="11"/>
      <name val="Noto Sans SC"/>
    </font>
    <font>
      <b/>
      <sz val="11"/>
      <name val="Noto Sans SC"/>
    </font>
    <font>
      <color rgb="FF000000"/>
      <family val="2"/>
      <charset val="134"/>
      <sz val="8"/>
      <name val="微软雅黑"/>
    </font>
    <font>
      <color rgb="FF000000"/>
      <family val="2"/>
      <charset val="134"/>
      <sz val="9"/>
      <name val="微软雅黑"/>
    </font>
    <font>
      <color rgb="FF000000"/>
      <family val="2"/>
      <charset val="134"/>
      <sz val="9"/>
      <name val="微软雅黑"/>
    </font>
    <font>
      <color rgb="FF000000"/>
      <family val="2"/>
      <charset val="134"/>
      <sz val="9"/>
      <name val="微软雅黑"/>
    </font>
  </fonts>
  <fills count="103">
    <fill>
      <patternFill patternType="none"/>
    </fill>
    <fill>
      <patternFill patternType="gray125"/>
    </fill>
    <fill>
      <patternFill patternType="solid">
        <fgColor rgb="FF2F75B6"/>
      </patternFill>
    </fill>
    <fill>
      <patternFill patternType="solid">
        <fgColor rgb="FFF2F2F2"/>
      </patternFill>
    </fill>
    <fill>
      <patternFill patternType="solid">
        <fgColor rgb="FFBED7EE"/>
      </patternFill>
    </fill>
    <fill>
      <patternFill patternType="solid">
        <fgColor rgb="FF6DA9DB"/>
      </patternFill>
    </fill>
    <fill>
      <patternFill patternType="solid">
        <fgColor rgb="FF5C9BD5"/>
      </patternFill>
    </fill>
    <fill>
      <patternFill patternType="solid">
        <fgColor rgb="FF9DC3E5"/>
      </patternFill>
    </fill>
    <fill>
      <patternFill patternType="solid">
        <fgColor rgb="FFDEEAF6"/>
      </patternFill>
    </fill>
    <fill>
      <patternFill patternType="solid">
        <fgColor rgb="FFDEEBF6"/>
      </patternFill>
    </fill>
    <fill>
      <patternFill patternType="solid">
        <fgColor rgb="FFC3FBDF"/>
      </patternFill>
    </fill>
    <fill>
      <patternFill patternType="solid">
        <fgColor rgb="FF98DCF8"/>
      </patternFill>
    </fill>
    <fill>
      <patternFill patternType="solid">
        <fgColor rgb="FFFFD1FD"/>
      </patternFill>
    </fill>
    <fill>
      <patternFill patternType="solid">
        <fgColor rgb="FFFFD5F6"/>
      </patternFill>
    </fill>
    <fill>
      <patternFill patternType="solid">
        <fgColor rgb="FFFBE4D5"/>
      </patternFill>
    </fill>
    <fill>
      <patternFill patternType="solid">
        <fgColor rgb="FFF79E9E"/>
      </patternFill>
    </fill>
    <fill>
      <patternFill patternType="solid">
        <fgColor rgb="FFBA94FF"/>
      </patternFill>
    </fill>
    <fill>
      <patternFill patternType="solid">
        <fgColor rgb="FFCEFFC1"/>
      </patternFill>
    </fill>
    <fill>
      <patternFill patternType="solid">
        <fgColor rgb="FFB5B9FF"/>
      </patternFill>
    </fill>
    <fill>
      <patternFill patternType="solid">
        <fgColor rgb="FFF7CAAC"/>
      </patternFill>
    </fill>
    <fill>
      <patternFill patternType="solid">
        <fgColor rgb="FFF7F7D1"/>
      </patternFill>
    </fill>
    <fill>
      <patternFill patternType="solid">
        <fgColor rgb="FFD8D8D8"/>
      </patternFill>
    </fill>
    <fill>
      <patternFill patternType="solid">
        <fgColor rgb="FFFEE299"/>
      </patternFill>
    </fill>
    <fill>
      <patternFill patternType="solid">
        <fgColor rgb="FFBCFFE8"/>
      </patternFill>
    </fill>
    <fill>
      <patternFill patternType="solid">
        <fgColor rgb="FFE4BAFF"/>
      </patternFill>
    </fill>
    <fill>
      <patternFill patternType="solid">
        <fgColor rgb="FF2F75B5"/>
      </patternFill>
    </fill>
    <fill>
      <patternFill patternType="solid">
        <fgColor rgb="FFFFFFCD"/>
      </patternFill>
    </fill>
    <fill>
      <patternFill patternType="solid">
        <fgColor rgb="FFFEB497"/>
      </patternFill>
    </fill>
    <fill>
      <patternFill patternType="solid">
        <fgColor rgb="FFEDEDED"/>
      </patternFill>
    </fill>
    <fill>
      <patternFill patternType="solid">
        <fgColor rgb="FF3284CA"/>
      </patternFill>
    </fill>
    <fill>
      <patternFill patternType="solid">
        <fgColor rgb="FFFFD3D3"/>
      </patternFill>
    </fill>
    <fill>
      <patternFill patternType="solid">
        <fgColor rgb="FFFFEDED"/>
      </patternFill>
    </fill>
    <fill>
      <patternFill patternType="solid">
        <fgColor rgb="FFFFFFFF"/>
      </patternFill>
    </fill>
    <fill>
      <patternFill patternType="solid">
        <fgColor rgb="FFC5E0B3"/>
      </patternFill>
    </fill>
    <fill>
      <patternFill patternType="solid">
        <fgColor rgb="FFE2EFD9"/>
      </patternFill>
    </fill>
    <fill>
      <patternFill patternType="solid">
        <fgColor rgb="FF3D6DBD"/>
      </patternFill>
    </fill>
    <fill>
      <patternFill patternType="solid">
        <fgColor rgb="FF0066FF"/>
      </patternFill>
    </fill>
    <fill>
      <patternFill patternType="solid">
        <fgColor rgb="FFA8D08E"/>
      </patternFill>
    </fill>
    <fill>
      <patternFill patternType="solid">
        <fgColor rgb="FFF5F9F1"/>
      </patternFill>
    </fill>
    <fill>
      <patternFill patternType="solid">
        <fgColor rgb="FF9DC2E5"/>
      </patternFill>
    </fill>
    <fill>
      <patternFill patternType="solid">
        <fgColor rgb="FFD5FFD6"/>
      </patternFill>
    </fill>
    <fill>
      <patternFill patternType="solid">
        <fgColor rgb="FF3788CD"/>
      </patternFill>
    </fill>
    <fill>
      <patternFill patternType="solid">
        <fgColor rgb="FFFF8181"/>
      </patternFill>
    </fill>
    <fill>
      <patternFill patternType="solid">
        <fgColor rgb="FFFCF584"/>
      </patternFill>
    </fill>
    <fill>
      <patternFill patternType="solid">
        <fgColor rgb="FFFFD865"/>
      </patternFill>
    </fill>
    <fill>
      <patternFill patternType="solid">
        <fgColor rgb="FFA3FF71"/>
      </patternFill>
    </fill>
    <fill>
      <patternFill patternType="solid">
        <fgColor rgb="FFE5FD99"/>
      </patternFill>
    </fill>
    <fill>
      <patternFill patternType="solid">
        <fgColor rgb="FF81E9FF"/>
      </patternFill>
    </fill>
    <fill>
      <patternFill patternType="solid">
        <fgColor rgb="FFFF81F5"/>
      </patternFill>
    </fill>
    <fill>
      <patternFill patternType="solid">
        <fgColor rgb="FFBD81FF"/>
      </patternFill>
    </fill>
    <fill>
      <patternFill patternType="solid">
        <fgColor rgb="FFD8ECD9"/>
      </patternFill>
    </fill>
    <fill>
      <patternFill patternType="solid">
        <fgColor rgb="FFC0C0C0"/>
      </patternFill>
    </fill>
    <fill>
      <patternFill patternType="solid">
        <fgColor rgb="FF548235"/>
      </patternFill>
    </fill>
    <fill>
      <patternFill patternType="solid">
        <fgColor rgb="FFB6B6B6"/>
      </patternFill>
    </fill>
    <fill>
      <patternFill patternType="solid">
        <fgColor rgb="FFFFF1C5"/>
      </patternFill>
    </fill>
    <fill>
      <patternFill patternType="solid">
        <fgColor rgb="FF85B9E1"/>
      </patternFill>
    </fill>
    <fill>
      <patternFill patternType="solid">
        <fgColor rgb="FF6297C4"/>
      </patternFill>
    </fill>
    <fill>
      <patternFill patternType="solid">
        <fgColor rgb="FF5B9BD5"/>
      </patternFill>
    </fill>
    <fill>
      <patternFill patternType="solid">
        <fgColor rgb="FF7CB1DE"/>
      </patternFill>
    </fill>
    <fill>
      <patternFill patternType="solid">
        <fgColor rgb="FF5C9BD5"/>
      </patternFill>
    </fill>
    <fill>
      <patternFill patternType="solid">
        <fgColor rgb="FFC69CFF"/>
      </patternFill>
    </fill>
    <fill>
      <patternFill patternType="solid">
        <fgColor rgb="FFFFCFCF"/>
      </patternFill>
    </fill>
    <fill>
      <patternFill patternType="solid">
        <fgColor rgb="FFFFFF00"/>
      </patternFill>
    </fill>
    <fill>
      <patternFill patternType="solid">
        <fgColor rgb="FF7030A0"/>
      </patternFill>
    </fill>
    <fill>
      <patternFill patternType="solid">
        <fgColor rgb="FFFFE5E5"/>
      </patternFill>
    </fill>
    <fill>
      <patternFill patternType="solid">
        <fgColor rgb="FFCCFECC"/>
      </patternFill>
    </fill>
    <fill>
      <patternFill patternType="solid">
        <fgColor rgb="FF78B64A"/>
      </patternFill>
    </fill>
    <fill>
      <patternFill patternType="solid">
        <fgColor rgb="FFDEEAF6"/>
      </patternFill>
    </fill>
    <fill>
      <patternFill patternType="solid">
        <fgColor rgb="FFDDEBF7"/>
      </patternFill>
    </fill>
    <fill>
      <patternFill patternType="solid">
        <fgColor rgb="FFBDD7EE"/>
      </patternFill>
    </fill>
    <fill>
      <patternFill patternType="solid">
        <fgColor rgb="FF4176CF"/>
      </patternFill>
    </fill>
    <fill>
      <patternFill patternType="solid">
        <fgColor rgb="FFB8D0ED"/>
      </patternFill>
    </fill>
    <fill>
      <patternFill patternType="solid">
        <fgColor rgb="FF9BC2E6"/>
      </patternFill>
    </fill>
    <fill>
      <patternFill patternType="solid">
        <fgColor rgb="FF63973D"/>
      </patternFill>
    </fill>
    <fill>
      <patternFill patternType="solid">
        <fgColor rgb="FF499EA1"/>
      </patternFill>
    </fill>
    <fill>
      <patternFill patternType="solid">
        <fgColor rgb="FFBCEDEF"/>
      </patternFill>
    </fill>
    <fill>
      <patternFill patternType="solid">
        <fgColor rgb="FF23AF6B"/>
      </patternFill>
    </fill>
    <fill>
      <patternFill patternType="solid">
        <fgColor rgb="FFAEF1D2"/>
      </patternFill>
    </fill>
    <fill>
      <patternFill patternType="solid">
        <fgColor theme="4"/>
      </patternFill>
    </fill>
    <fill>
      <patternFill patternType="solid">
        <fgColor theme="4" tint="0.79995117038483843"/>
        <bgColor indexed="65"/>
      </patternFill>
    </fill>
    <fill>
      <patternFill patternType="solid">
        <fgColor theme="0"/>
      </patternFill>
    </fill>
    <fill>
      <patternFill patternType="solid">
        <fgColor theme="5" tint="0.79995117038483843"/>
        <bgColor indexed="65"/>
      </patternFill>
    </fill>
    <fill>
      <patternFill patternType="solid">
        <fgColor rgb="FFC9DFF1"/>
      </patternFill>
    </fill>
    <fill>
      <patternFill patternType="solid">
        <fgColor theme="4" tint="-0.249977111117893"/>
        <bgColor indexed="65"/>
      </patternFill>
    </fill>
    <fill>
      <patternFill patternType="solid">
        <fgColor rgb="FFD4D6F7"/>
      </patternFill>
    </fill>
    <fill>
      <patternFill patternType="solid">
        <fgColor rgb="FFD5F4F6"/>
      </patternFill>
    </fill>
    <fill>
      <patternFill patternType="solid">
        <fgColor rgb="FF80BEF8"/>
      </patternFill>
    </fill>
    <fill>
      <patternFill patternType="solid">
        <fgColor rgb="FFBBD8FB"/>
      </patternFill>
    </fill>
    <fill>
      <patternFill patternType="solid">
        <fgColor rgb="FFC4D9FF"/>
      </patternFill>
    </fill>
    <fill>
      <patternFill patternType="solid">
        <fgColor theme="4" tint="0.79992065187536243"/>
        <bgColor indexed="65"/>
      </patternFill>
    </fill>
    <fill>
      <patternFill patternType="solid">
        <fgColor rgb="FFCFF8DF"/>
      </patternFill>
    </fill>
    <fill>
      <patternFill patternType="solid">
        <fgColor rgb="FFC7D5F2"/>
      </patternFill>
    </fill>
    <fill>
      <patternFill patternType="solid">
        <fgColor rgb="FFD1CDF4"/>
      </patternFill>
    </fill>
    <fill>
      <patternFill patternType="solid">
        <fgColor rgb="FFD0FBF3"/>
      </patternFill>
    </fill>
    <fill>
      <patternFill patternType="solid">
        <fgColor theme="4" tint="0.59996337778862885"/>
        <bgColor indexed="65"/>
      </patternFill>
    </fill>
    <fill>
      <patternFill patternType="solid">
        <fgColor rgb="FF0070C0"/>
      </patternFill>
    </fill>
    <fill>
      <patternFill patternType="solid">
        <fgColor rgb="FFEEF2F7"/>
      </patternFill>
    </fill>
    <fill>
      <patternFill patternType="solid">
        <fgColor rgb="FFF8FAFC"/>
      </patternFill>
    </fill>
    <fill>
      <patternFill patternType="solid">
        <fgColor rgb="FF1F4E79"/>
      </patternFill>
    </fill>
    <fill>
      <patternFill patternType="none"/>
    </fill>
    <fill>
      <patternFill patternType="gray125"/>
    </fill>
    <fill>
      <patternFill patternType="solid">
        <fgColor rgb="FF344D53"/>
      </patternFill>
    </fill>
    <fill>
      <patternFill patternType="solid">
        <fgColor rgb="FFFFF0BF"/>
      </patternFill>
    </fill>
  </fills>
  <borders count="25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style="medium">
        <color auto="1"/>
      </right>
      <top style="medium">
        <color auto="1"/>
      </top>
      <bottom style="medium">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diagonal/>
    </border>
    <border>
      <left style="thin">
        <color auto="1"/>
      </left>
      <right style="thin">
        <color auto="1"/>
      </right>
      <top/>
      <bottom style="medium">
        <color auto="1"/>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auto="1"/>
      </right>
      <top style="thin">
        <color auto="1"/>
      </top>
      <bottom style="thin">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bottom style="medium">
        <color auto="1"/>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medium">
        <color auto="1"/>
      </left>
      <right style="thin">
        <color rgb="FFBFBFBF"/>
      </right>
      <top style="thin">
        <color rgb="FFBFBFBF"/>
      </top>
      <bottom/>
      <diagonal/>
    </border>
    <border>
      <left/>
      <right/>
      <top style="medium">
        <color auto="1"/>
      </top>
      <bottom style="thin">
        <color indexed="64"/>
      </bottom>
      <diagonal/>
    </border>
    <border>
      <left/>
      <right style="thin">
        <color auto="1"/>
      </right>
      <top style="medium">
        <color indexed="64"/>
      </top>
      <bottom style="thin">
        <color auto="1"/>
      </bottom>
      <diagonal/>
    </border>
    <border>
      <left style="medium">
        <color indexed="64"/>
      </left>
      <right style="thin">
        <color auto="1"/>
      </right>
      <top/>
      <bottom/>
      <diagonal/>
    </border>
    <border>
      <left style="medium">
        <color indexed="64"/>
      </left>
      <right style="thin">
        <color auto="1"/>
      </right>
      <top/>
      <bottom style="medium">
        <color indexed="64"/>
      </bottom>
      <diagonal/>
    </border>
    <border>
      <left/>
      <right style="thin">
        <color auto="1"/>
      </right>
      <top style="thin">
        <color auto="1"/>
      </top>
      <bottom style="medium">
        <color indexed="64"/>
      </bottom>
      <diagonal/>
    </border>
    <border>
      <left style="thin">
        <color rgb="FFD9E2EC"/>
      </left>
      <right style="thin">
        <color rgb="FFD9E2EC"/>
      </right>
      <top style="thin">
        <color rgb="FFD9E2EC"/>
      </top>
      <bottom style="thin">
        <color rgb="FFD9E2EC"/>
      </bottom>
      <diagonal/>
    </border>
    <border>
      <left style="medium">
        <color auto="1"/>
      </left>
      <right style="medium">
        <color auto="1"/>
      </right>
      <top style="thin">
        <color rgb="FFBFBFBF"/>
      </top>
      <bottom style="thin">
        <color rgb="FFBFBFBF"/>
      </bottom>
      <diagonal/>
    </border>
    <border>
      <left style="medium">
        <color auto="1"/>
      </left>
      <right style="medium">
        <color auto="1"/>
      </right>
      <top style="thin">
        <color rgb="FFBFBFBF"/>
      </top>
      <bottom style="medium">
        <color auto="1"/>
      </bottom>
      <diagonal/>
    </border>
    <border>
      <left style="medium">
        <color auto="1"/>
      </left>
      <right style="thin">
        <color rgb="FFBFBFBF"/>
      </right>
      <top/>
      <bottom style="medium">
        <color auto="1"/>
      </bottom>
      <diagonal/>
    </border>
    <border>
      <left style="medium">
        <color auto="1"/>
      </left>
      <right style="medium">
        <color auto="1"/>
      </right>
      <top style="thin">
        <color rgb="FFBFBFBF"/>
      </top>
      <bottom/>
      <diagonal/>
    </border>
    <border>
      <left style="medium">
        <color auto="1"/>
      </left>
      <right style="medium">
        <color auto="1"/>
      </right>
      <top style="medium">
        <color auto="1"/>
      </top>
      <bottom style="thin">
        <color rgb="FFBFBFBF"/>
      </bottom>
      <diagonal/>
    </border>
    <border>
      <left style="double">
        <color auto="1"/>
      </left>
      <right/>
      <top style="medium">
        <color auto="1"/>
      </top>
      <bottom style="medium">
        <color auto="1"/>
      </bottom>
      <diagonal/>
    </border>
    <border>
      <left/>
      <right style="thin">
        <color rgb="FFBFBFBF"/>
      </right>
      <top style="medium">
        <color auto="1"/>
      </top>
      <bottom style="medium">
        <color auto="1"/>
      </bottom>
      <diagonal/>
    </border>
    <border>
      <left style="thin">
        <color rgb="FFBFBFBF"/>
      </left>
      <right style="double">
        <color auto="1"/>
      </right>
      <top/>
      <bottom style="medium">
        <color auto="1"/>
      </bottom>
      <diagonal/>
    </border>
    <border>
      <left style="thin">
        <color rgb="FFBFBFBF"/>
      </left>
      <right style="double">
        <color auto="1"/>
      </right>
      <top style="medium">
        <color auto="1"/>
      </top>
      <bottom/>
      <diagonal/>
    </border>
    <border>
      <left/>
      <right style="double">
        <color auto="1"/>
      </right>
      <top style="medium">
        <color auto="1"/>
      </top>
      <bottom/>
      <diagonal/>
    </border>
    <border>
      <left style="thick">
        <color auto="1"/>
      </left>
      <right style="thick">
        <color auto="1"/>
      </right>
      <top style="thick">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medium">
        <color auto="1"/>
      </bottom>
      <diagonal/>
    </border>
    <border>
      <left style="medium">
        <color indexed="64"/>
      </left>
      <right style="thin">
        <color auto="1"/>
      </right>
      <top style="medium">
        <color indexed="64"/>
      </top>
      <bottom style="medium">
        <color indexed="64"/>
      </bottom>
      <diagonal/>
    </border>
    <border>
      <left style="thin">
        <color auto="1"/>
      </left>
      <right style="medium">
        <color auto="1"/>
      </right>
      <top style="medium">
        <color auto="1"/>
      </top>
      <bottom/>
      <diagonal/>
    </border>
    <border>
      <left style="medium">
        <color auto="1"/>
      </left>
      <right style="thin">
        <color rgb="FF7F7F7F"/>
      </right>
      <top/>
      <bottom style="thin">
        <color rgb="FF7F7F7F"/>
      </bottom>
      <diagonal/>
    </border>
    <border>
      <left style="medium">
        <color auto="1"/>
      </left>
      <right style="medium">
        <color auto="1"/>
      </right>
      <top style="thin">
        <color rgb="FF7F7F7F"/>
      </top>
      <bottom style="medium">
        <color auto="1"/>
      </bottom>
      <diagonal/>
    </border>
    <border>
      <left style="medium">
        <color auto="1"/>
      </left>
      <right style="thin">
        <color rgb="FF7F7F7F"/>
      </right>
      <top/>
      <bottom/>
      <diagonal/>
    </border>
    <border>
      <left style="thin">
        <color rgb="FF7F7F7F"/>
      </left>
      <right style="medium">
        <color auto="1"/>
      </right>
      <top style="thin">
        <color rgb="FF7F7F7F"/>
      </top>
      <bottom/>
      <diagonal/>
    </border>
    <border>
      <left style="medium">
        <color auto="1"/>
      </left>
      <right style="medium">
        <color auto="1"/>
      </right>
      <top/>
      <bottom style="thin">
        <color rgb="FF7F7F7F"/>
      </bottom>
      <diagonal/>
    </border>
    <border>
      <left style="thin">
        <color rgb="FF7F7F7F"/>
      </left>
      <right style="medium">
        <color auto="1"/>
      </right>
      <top/>
      <bottom style="thin">
        <color rgb="FF7F7F7F"/>
      </bottom>
      <diagonal/>
    </border>
    <border>
      <left style="thin">
        <color rgb="FF7F7F7F"/>
      </left>
      <right style="medium">
        <color auto="1"/>
      </right>
      <top style="thin">
        <color rgb="FF7F7F7F"/>
      </top>
      <bottom style="thin">
        <color rgb="FF7F7F7F"/>
      </bottom>
      <diagonal/>
    </border>
    <border>
      <left style="medium">
        <color auto="1"/>
      </left>
      <right style="medium">
        <color auto="1"/>
      </right>
      <top style="thin">
        <color rgb="FF7F7F7F"/>
      </top>
      <bottom/>
      <diagonal/>
    </border>
    <border>
      <left style="thin">
        <color rgb="FF7F7F7F"/>
      </left>
      <right style="medium">
        <color auto="1"/>
      </right>
      <top style="thin">
        <color rgb="FF7F7F7F"/>
      </top>
      <bottom style="medium">
        <color auto="1"/>
      </bottom>
      <diagonal/>
    </border>
    <border>
      <left style="medium">
        <color auto="1"/>
      </left>
      <right style="thin">
        <color rgb="FF7F7F7F"/>
      </right>
      <top style="thin">
        <color rgb="FF7F7F7F"/>
      </top>
      <bottom style="medium">
        <color auto="1"/>
      </bottom>
      <diagonal/>
    </border>
    <border>
      <left style="double">
        <color auto="1"/>
      </left>
      <right style="double">
        <color auto="1"/>
      </right>
      <top/>
      <bottom style="double">
        <color auto="1"/>
      </bottom>
      <diagonal/>
    </border>
    <border>
      <left style="thin">
        <color rgb="FFA5A5A5"/>
      </left>
      <right style="medium">
        <color auto="1"/>
      </right>
      <top style="thin">
        <color rgb="FFA5A5A5"/>
      </top>
      <bottom style="thin">
        <color rgb="FFA5A5A5"/>
      </bottom>
      <diagonal/>
    </border>
    <border>
      <left style="thin">
        <color rgb="FFA5A5A5"/>
      </left>
      <right style="medium">
        <color auto="1"/>
      </right>
      <top/>
      <bottom/>
      <diagonal/>
    </border>
    <border>
      <left style="medium">
        <color auto="1"/>
      </left>
      <right style="medium">
        <color auto="1"/>
      </right>
      <top/>
      <bottom style="thin">
        <color rgb="FFBFBFBF"/>
      </bottom>
      <diagonal/>
    </border>
    <border>
      <left style="thin">
        <color rgb="FFBFBFBF"/>
      </left>
      <right style="medium">
        <color auto="1"/>
      </right>
      <top/>
      <bottom style="thin">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thin">
        <color rgb="FFA5A5A5"/>
      </left>
      <right style="medium">
        <color auto="1"/>
      </right>
      <top/>
      <bottom style="thin">
        <color rgb="FFA5A5A5"/>
      </bottom>
      <diagonal/>
    </border>
    <border>
      <left style="medium">
        <color auto="1"/>
      </left>
      <right/>
      <top style="thin">
        <color rgb="FFA5A5A5"/>
      </top>
      <bottom style="thin">
        <color rgb="FFA5A5A5"/>
      </bottom>
      <diagonal/>
    </border>
    <border>
      <left style="medium">
        <color auto="1"/>
      </left>
      <right style="medium">
        <color auto="1"/>
      </right>
      <top style="medium">
        <color auto="1"/>
      </top>
      <bottom style="thin">
        <color rgb="FF7F7F7F"/>
      </bottom>
      <diagonal/>
    </border>
    <border>
      <left/>
      <right style="thin">
        <color rgb="FF7F7F7F"/>
      </right>
      <top style="thin">
        <color rgb="FF7F7F7F"/>
      </top>
      <bottom style="thin">
        <color rgb="FF7F7F7F"/>
      </bottom>
      <diagonal/>
    </border>
    <border>
      <left style="medium">
        <color auto="1"/>
      </left>
      <right style="thin">
        <color rgb="FF7F7F7F"/>
      </right>
      <top style="thin">
        <color rgb="FF7F7F7F"/>
      </top>
      <bottom style="thin">
        <color rgb="FF7F7F7F"/>
      </bottom>
      <diagonal/>
    </border>
    <border>
      <left style="medium">
        <color auto="1"/>
      </left>
      <right/>
      <top style="thin">
        <color rgb="FF7F7F7F"/>
      </top>
      <bottom style="thin">
        <color rgb="FF7F7F7F"/>
      </bottom>
      <diagonal/>
    </border>
    <border>
      <left style="medium">
        <color auto="1"/>
      </left>
      <right style="medium">
        <color auto="1"/>
      </right>
      <top/>
      <bottom style="thin">
        <color auto="1"/>
      </bottom>
      <diagonal/>
    </border>
    <border>
      <left style="thin">
        <color rgb="FFBFBFBF"/>
      </left>
      <right style="medium">
        <color auto="1"/>
      </right>
      <top style="medium">
        <color auto="1"/>
      </top>
      <bottom style="medium">
        <color auto="1"/>
      </bottom>
      <diagonal/>
    </border>
    <border>
      <left style="medium">
        <color rgb="FF000000"/>
      </left>
      <right style="medium">
        <color rgb="FF000000"/>
      </right>
      <top style="medium">
        <color rgb="FF000000"/>
      </top>
      <bottom/>
      <diagonal/>
    </border>
    <border>
      <left/>
      <right style="thin">
        <color indexed="64"/>
      </right>
      <top style="thin">
        <color rgb="FFBFBFBF"/>
      </top>
      <bottom style="thin">
        <color rgb="FFBFBFBF"/>
      </bottom>
      <diagonal/>
    </border>
    <border>
      <left/>
      <right style="thin">
        <color indexed="64"/>
      </right>
      <top style="thin">
        <color rgb="FFBFBFBF"/>
      </top>
      <bottom style="medium">
        <color auto="1"/>
      </bottom>
      <diagonal/>
    </border>
    <border>
      <left/>
      <right style="thin">
        <color indexed="64"/>
      </right>
      <top style="medium">
        <color auto="1"/>
      </top>
      <bottom style="thin">
        <color rgb="FFBFBFBF"/>
      </bottom>
      <diagonal/>
    </border>
    <border>
      <left/>
      <right style="thin">
        <color rgb="FFBFBFBF"/>
      </right>
      <top/>
      <bottom style="thin">
        <color indexed="64"/>
      </bottom>
      <diagonal/>
    </border>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auto="1"/>
      </bottom>
      <diagonal/>
    </border>
  </borders>
  <cellStyleXfs count="7">
    <xf numFmtId="0" fontId="0" fillId="0" borderId="0">
      <alignment vertical="center"/>
    </xf>
    <xf numFmtId="0" fontId="164" fillId="0" borderId="0"/>
    <xf numFmtId="0" fontId="114" fillId="7" borderId="0"/>
    <xf numFmtId="0" fontId="114" fillId="59" borderId="0"/>
    <xf numFmtId="0" fontId="28" fillId="67" borderId="0"/>
    <xf numFmtId="0" fontId="28" fillId="4" borderId="0"/>
    <xf numFmtId="0" fontId="27" fillId="0" borderId="0"/>
  </cellStyleXfs>
  <cellXfs count="2253">
    <xf numFmtId="0" fontId="0" fillId="0" borderId="0" xfId="0">
      <alignment vertical="center"/>
    </xf>
    <xf numFmtId="0" fontId="1" fillId="0" borderId="0" xfId="0" applyFont="1">
      <alignment vertical="center"/>
    </xf>
    <xf numFmtId="0" fontId="1" fillId="3" borderId="0" xfId="0" applyFont="1" applyFill="1">
      <alignment vertical="center"/>
    </xf>
    <xf numFmtId="0" fontId="9" fillId="4" borderId="1" xfId="0" applyFont="1" applyFill="1" applyBorder="1" applyAlignment="1">
      <alignment horizontal="center" vertical="center" wrapText="1"/>
    </xf>
    <xf numFmtId="0" fontId="10" fillId="4" borderId="1" xfId="0" applyFont="1" applyFill="1" applyBorder="1" applyAlignment="1">
      <alignment vertical="center" wrapText="1"/>
    </xf>
    <xf numFmtId="0" fontId="10" fillId="4" borderId="1" xfId="0" applyFont="1" applyFill="1" applyBorder="1" applyAlignment="1">
      <alignment horizontal="center" vertical="center" wrapText="1"/>
    </xf>
    <xf numFmtId="0" fontId="12" fillId="4" borderId="1" xfId="0" applyFont="1" applyFill="1" applyBorder="1" applyAlignment="1">
      <alignment horizontal="center" vertical="top" wrapText="1"/>
    </xf>
    <xf numFmtId="0" fontId="9" fillId="4" borderId="1" xfId="0" applyFont="1" applyFill="1" applyBorder="1" applyAlignment="1">
      <alignment horizontal="center" vertical="top" wrapText="1"/>
    </xf>
    <xf numFmtId="0" fontId="16" fillId="4" borderId="1" xfId="0" applyFont="1" applyFill="1" applyBorder="1" applyAlignment="1">
      <alignment vertical="center" wrapText="1"/>
    </xf>
    <xf numFmtId="0" fontId="12" fillId="4" borderId="1" xfId="0" applyFont="1" applyFill="1" applyBorder="1" applyAlignment="1">
      <alignment vertical="center" wrapText="1"/>
    </xf>
    <xf numFmtId="0" fontId="18" fillId="4" borderId="1" xfId="0" applyFont="1" applyFill="1" applyBorder="1" applyAlignment="1">
      <alignment vertical="center" wrapText="1"/>
    </xf>
    <xf numFmtId="0" fontId="19" fillId="4" borderId="1" xfId="0" applyFont="1" applyFill="1" applyBorder="1" applyAlignment="1">
      <alignment vertical="center" wrapText="1"/>
    </xf>
    <xf numFmtId="0" fontId="9" fillId="4" borderId="1" xfId="0" applyFont="1" applyFill="1" applyBorder="1" applyAlignment="1">
      <alignment vertical="center" wrapText="1"/>
    </xf>
    <xf numFmtId="0" fontId="16" fillId="4" borderId="1" xfId="0" applyFont="1" applyFill="1" applyBorder="1" applyAlignment="1">
      <alignment horizontal="left" vertical="center" wrapText="1"/>
    </xf>
    <xf numFmtId="0" fontId="1" fillId="0" borderId="0" xfId="0" applyFont="1" applyAlignment="1">
      <alignment horizontal="center" vertical="center"/>
    </xf>
    <xf numFmtId="0" fontId="9" fillId="7" borderId="10" xfId="0" applyFont="1" applyFill="1" applyBorder="1" applyAlignment="1">
      <alignment horizontal="center" vertical="center"/>
    </xf>
    <xf numFmtId="0" fontId="9" fillId="7" borderId="11" xfId="0" applyFont="1" applyFill="1" applyBorder="1" applyAlignment="1">
      <alignment horizontal="center" vertical="center"/>
    </xf>
    <xf numFmtId="0" fontId="20" fillId="0" borderId="10" xfId="0" applyFont="1" applyBorder="1" applyAlignment="1">
      <alignment horizontal="center" vertical="center"/>
    </xf>
    <xf numFmtId="0" fontId="21" fillId="0" borderId="11" xfId="0" applyFont="1" applyBorder="1" applyAlignment="1">
      <alignment horizontal="left" vertical="center" wrapText="1"/>
    </xf>
    <xf numFmtId="0" fontId="20" fillId="8" borderId="10" xfId="0" applyFont="1" applyFill="1" applyBorder="1" applyAlignment="1">
      <alignment horizontal="center" vertical="center"/>
    </xf>
    <xf numFmtId="0" fontId="21" fillId="8" borderId="11" xfId="0" applyFont="1" applyFill="1" applyBorder="1" applyAlignment="1">
      <alignment horizontal="left" vertical="center" wrapText="1"/>
    </xf>
    <xf numFmtId="0" fontId="20" fillId="8" borderId="12" xfId="0" applyFont="1" applyFill="1" applyBorder="1" applyAlignment="1">
      <alignment horizontal="center" vertical="center"/>
    </xf>
    <xf numFmtId="0" fontId="21" fillId="8" borderId="13" xfId="0" applyFont="1" applyFill="1" applyBorder="1" applyAlignment="1">
      <alignment horizontal="left" vertical="center" wrapText="1"/>
    </xf>
    <xf numFmtId="0" fontId="22" fillId="8" borderId="13" xfId="0" applyFont="1" applyFill="1" applyBorder="1" applyAlignment="1">
      <alignment horizontal="left" vertical="center" wrapText="1"/>
    </xf>
    <xf numFmtId="0" fontId="1" fillId="7" borderId="10" xfId="0" applyFont="1" applyFill="1" applyBorder="1" applyAlignment="1">
      <alignment horizontal="center" vertical="center"/>
    </xf>
    <xf numFmtId="0" fontId="1" fillId="7" borderId="11" xfId="0" applyFont="1" applyFill="1" applyBorder="1" applyAlignment="1">
      <alignment horizontal="center" vertical="center" wrapText="1"/>
    </xf>
    <xf numFmtId="0" fontId="1" fillId="0" borderId="0" xfId="0" applyFont="1" applyAlignment="1">
      <alignment horizontal="left" vertical="center"/>
    </xf>
    <xf numFmtId="0" fontId="20" fillId="0" borderId="0" xfId="0" applyFont="1" applyAlignment="1">
      <alignment vertical="center" wrapText="1"/>
    </xf>
    <xf numFmtId="0" fontId="25" fillId="0" borderId="0" xfId="0" applyFont="1" applyAlignment="1">
      <alignment horizontal="left"/>
    </xf>
    <xf numFmtId="0" fontId="1" fillId="0" borderId="0" xfId="0" applyFont="1" applyAlignment="1">
      <alignment vertical="center" wrapText="1"/>
    </xf>
    <xf numFmtId="0" fontId="26" fillId="0" borderId="0" xfId="6" applyFont="1" applyAlignment="1">
      <alignment vertical="center"/>
    </xf>
    <xf numFmtId="0" fontId="27" fillId="0" borderId="0" xfId="6" applyAlignment="1">
      <alignment vertical="center"/>
    </xf>
    <xf numFmtId="0" fontId="28" fillId="0" borderId="0" xfId="0" applyFont="1">
      <alignment vertical="center"/>
    </xf>
    <xf numFmtId="49" fontId="29" fillId="2" borderId="7" xfId="0" applyNumberFormat="1" applyFont="1" applyFill="1" applyBorder="1" applyAlignment="1">
      <alignment horizontal="center" vertical="center"/>
    </xf>
    <xf numFmtId="49" fontId="29" fillId="2" borderId="14" xfId="0" applyNumberFormat="1" applyFont="1" applyFill="1" applyBorder="1" applyAlignment="1">
      <alignment horizontal="center" vertical="center"/>
    </xf>
    <xf numFmtId="49" fontId="30" fillId="2" borderId="14" xfId="0" applyNumberFormat="1" applyFont="1" applyFill="1" applyBorder="1" applyAlignment="1">
      <alignment horizontal="center" vertical="center" wrapText="1"/>
    </xf>
    <xf numFmtId="0" fontId="31" fillId="0" borderId="10" xfId="0" applyFont="1" applyBorder="1" applyAlignment="1">
      <alignment horizontal="left" vertical="center"/>
    </xf>
    <xf numFmtId="0" fontId="31" fillId="0" borderId="0" xfId="0" applyFont="1" applyAlignment="1">
      <alignment horizontal="center" vertical="center"/>
    </xf>
    <xf numFmtId="0" fontId="31" fillId="0" borderId="27" xfId="0" applyFont="1" applyBorder="1" applyAlignment="1">
      <alignment horizontal="left" vertical="center"/>
    </xf>
    <xf numFmtId="0" fontId="31" fillId="0" borderId="28" xfId="0" applyFont="1" applyBorder="1" applyAlignment="1">
      <alignment horizontal="center" vertical="center"/>
    </xf>
    <xf numFmtId="0" fontId="31" fillId="0" borderId="29" xfId="0" applyFont="1" applyBorder="1" applyAlignment="1">
      <alignment horizontal="left" vertical="center"/>
    </xf>
    <xf numFmtId="0" fontId="31" fillId="0" borderId="30" xfId="0" applyFont="1" applyBorder="1" applyAlignment="1">
      <alignment horizontal="center" vertical="center"/>
    </xf>
    <xf numFmtId="0" fontId="31" fillId="10" borderId="27" xfId="0" applyFont="1" applyFill="1" applyBorder="1" applyAlignment="1">
      <alignment horizontal="left" vertical="center"/>
    </xf>
    <xf numFmtId="0" fontId="31" fillId="10" borderId="28" xfId="0" applyFont="1" applyFill="1" applyBorder="1" applyAlignment="1">
      <alignment horizontal="center" vertical="center"/>
    </xf>
    <xf numFmtId="0" fontId="32" fillId="11" borderId="10" xfId="0" applyFont="1" applyFill="1" applyBorder="1" applyAlignment="1">
      <alignment horizontal="left" vertical="center"/>
    </xf>
    <xf numFmtId="0" fontId="32" fillId="12" borderId="0" xfId="0" applyFont="1" applyFill="1" applyAlignment="1">
      <alignment horizontal="center" vertical="center"/>
    </xf>
    <xf numFmtId="0" fontId="32" fillId="0" borderId="0" xfId="0" applyFont="1" applyAlignment="1">
      <alignment horizontal="center" vertical="center"/>
    </xf>
    <xf numFmtId="0" fontId="26" fillId="0" borderId="10" xfId="6" applyFont="1" applyBorder="1" applyAlignment="1">
      <alignment horizontal="left" vertical="center"/>
    </xf>
    <xf numFmtId="0" fontId="26" fillId="0" borderId="0" xfId="6" applyFont="1" applyAlignment="1">
      <alignment horizontal="center" vertical="center"/>
    </xf>
    <xf numFmtId="0" fontId="32" fillId="12" borderId="10" xfId="0" applyFont="1" applyFill="1" applyBorder="1" applyAlignment="1">
      <alignment horizontal="left" vertical="center"/>
    </xf>
    <xf numFmtId="0" fontId="32" fillId="0" borderId="10" xfId="0" applyFont="1" applyBorder="1" applyAlignment="1">
      <alignment horizontal="left" vertical="center"/>
    </xf>
    <xf numFmtId="0" fontId="32" fillId="13" borderId="10" xfId="0" applyFont="1" applyFill="1" applyBorder="1" applyAlignment="1">
      <alignment horizontal="left" vertical="center"/>
    </xf>
    <xf numFmtId="0" fontId="32" fillId="13" borderId="0" xfId="0" applyFont="1" applyFill="1" applyAlignment="1">
      <alignment horizontal="center" vertical="center"/>
    </xf>
    <xf numFmtId="0" fontId="32" fillId="14" borderId="10" xfId="0" applyFont="1" applyFill="1" applyBorder="1" applyAlignment="1">
      <alignment horizontal="left" vertical="center"/>
    </xf>
    <xf numFmtId="0" fontId="32" fillId="14" borderId="0" xfId="0" applyFont="1" applyFill="1" applyAlignment="1">
      <alignment horizontal="center" vertical="center"/>
    </xf>
    <xf numFmtId="0" fontId="32" fillId="15" borderId="10" xfId="0" applyFont="1" applyFill="1" applyBorder="1" applyAlignment="1">
      <alignment horizontal="left" vertical="center"/>
    </xf>
    <xf numFmtId="0" fontId="32" fillId="15" borderId="0" xfId="0" applyFont="1" applyFill="1" applyAlignment="1">
      <alignment horizontal="center" vertical="center"/>
    </xf>
    <xf numFmtId="0" fontId="26" fillId="14" borderId="0" xfId="6" applyFont="1" applyFill="1" applyAlignment="1">
      <alignment horizontal="center" vertical="center"/>
    </xf>
    <xf numFmtId="0" fontId="32" fillId="16" borderId="10" xfId="0" applyFont="1" applyFill="1" applyBorder="1" applyAlignment="1">
      <alignment horizontal="left" vertical="center"/>
    </xf>
    <xf numFmtId="0" fontId="32" fillId="16" borderId="0" xfId="0" applyFont="1" applyFill="1" applyAlignment="1">
      <alignment horizontal="center" vertical="center"/>
    </xf>
    <xf numFmtId="0" fontId="26" fillId="16" borderId="0" xfId="6" applyFont="1" applyFill="1" applyAlignment="1">
      <alignment horizontal="center" vertical="center"/>
    </xf>
    <xf numFmtId="0" fontId="32" fillId="17" borderId="10" xfId="0" applyFont="1" applyFill="1" applyBorder="1" applyAlignment="1">
      <alignment horizontal="left" vertical="center"/>
    </xf>
    <xf numFmtId="0" fontId="26" fillId="17" borderId="0" xfId="6" applyFont="1" applyFill="1" applyAlignment="1">
      <alignment horizontal="center" vertical="center"/>
    </xf>
    <xf numFmtId="0" fontId="32" fillId="17" borderId="0" xfId="0" applyFont="1" applyFill="1" applyAlignment="1">
      <alignment horizontal="center" vertical="center"/>
    </xf>
    <xf numFmtId="0" fontId="26" fillId="0" borderId="10" xfId="6" applyFont="1" applyBorder="1" applyAlignment="1">
      <alignment vertical="center"/>
    </xf>
    <xf numFmtId="0" fontId="26" fillId="9" borderId="10" xfId="0" applyFont="1" applyFill="1" applyBorder="1" applyAlignment="1">
      <alignment horizontal="left" vertical="center"/>
    </xf>
    <xf numFmtId="0" fontId="26" fillId="9" borderId="0" xfId="6" applyFont="1" applyFill="1" applyAlignment="1">
      <alignment horizontal="center" vertical="center"/>
    </xf>
    <xf numFmtId="0" fontId="26" fillId="9" borderId="0" xfId="0" applyFont="1" applyFill="1" applyAlignment="1">
      <alignment horizontal="center" vertical="center"/>
    </xf>
    <xf numFmtId="0" fontId="32" fillId="9" borderId="10" xfId="0" applyFont="1" applyFill="1" applyBorder="1" applyAlignment="1">
      <alignment horizontal="left" vertical="center"/>
    </xf>
    <xf numFmtId="0" fontId="32" fillId="9" borderId="0" xfId="0" applyFont="1" applyFill="1" applyAlignment="1">
      <alignment horizontal="center" vertical="center"/>
    </xf>
    <xf numFmtId="49" fontId="29" fillId="2" borderId="8" xfId="0" applyNumberFormat="1" applyFont="1" applyFill="1" applyBorder="1" applyAlignment="1">
      <alignment horizontal="center" vertical="center"/>
    </xf>
    <xf numFmtId="0" fontId="31" fillId="0" borderId="11" xfId="0" applyFont="1" applyBorder="1" applyAlignment="1">
      <alignment horizontal="center" vertical="center"/>
    </xf>
    <xf numFmtId="0" fontId="31" fillId="0" borderId="31" xfId="0" applyFont="1" applyBorder="1" applyAlignment="1">
      <alignment horizontal="center" vertical="center"/>
    </xf>
    <xf numFmtId="0" fontId="31" fillId="0" borderId="32" xfId="0" applyFont="1" applyBorder="1" applyAlignment="1">
      <alignment horizontal="center" vertical="center"/>
    </xf>
    <xf numFmtId="0" fontId="31" fillId="10" borderId="31" xfId="0" applyFont="1" applyFill="1" applyBorder="1" applyAlignment="1">
      <alignment horizontal="center" vertical="center"/>
    </xf>
    <xf numFmtId="0" fontId="32" fillId="12" borderId="11" xfId="0" applyFont="1" applyFill="1" applyBorder="1" applyAlignment="1">
      <alignment horizontal="center" vertical="center"/>
    </xf>
    <xf numFmtId="0" fontId="26" fillId="0" borderId="11" xfId="6" applyFont="1" applyBorder="1" applyAlignment="1">
      <alignment horizontal="center" vertical="center"/>
    </xf>
    <xf numFmtId="0" fontId="32" fillId="0" borderId="11" xfId="0" applyFont="1" applyBorder="1" applyAlignment="1">
      <alignment horizontal="center" vertical="center"/>
    </xf>
    <xf numFmtId="0" fontId="32" fillId="13" borderId="11" xfId="0" applyFont="1" applyFill="1" applyBorder="1" applyAlignment="1">
      <alignment horizontal="center" vertical="center"/>
    </xf>
    <xf numFmtId="0" fontId="32" fillId="14" borderId="11" xfId="0" applyFont="1" applyFill="1" applyBorder="1" applyAlignment="1">
      <alignment horizontal="center" vertical="center"/>
    </xf>
    <xf numFmtId="0" fontId="27" fillId="0" borderId="0" xfId="6" applyAlignment="1">
      <alignment vertical="center" wrapText="1"/>
    </xf>
    <xf numFmtId="0" fontId="32" fillId="15" borderId="11" xfId="0" applyFont="1" applyFill="1" applyBorder="1" applyAlignment="1">
      <alignment horizontal="center" vertical="center"/>
    </xf>
    <xf numFmtId="0" fontId="32" fillId="16" borderId="11" xfId="0" applyFont="1" applyFill="1" applyBorder="1" applyAlignment="1">
      <alignment horizontal="center" vertical="center"/>
    </xf>
    <xf numFmtId="0" fontId="32" fillId="17" borderId="11" xfId="0" applyFont="1" applyFill="1" applyBorder="1" applyAlignment="1">
      <alignment horizontal="center" vertical="center"/>
    </xf>
    <xf numFmtId="0" fontId="37" fillId="0" borderId="0" xfId="6" applyFont="1" applyAlignment="1">
      <alignment vertical="center" wrapText="1"/>
    </xf>
    <xf numFmtId="0" fontId="27" fillId="0" borderId="11" xfId="6" applyBorder="1" applyAlignment="1">
      <alignment horizontal="center" vertical="center"/>
    </xf>
    <xf numFmtId="0" fontId="26" fillId="9" borderId="11" xfId="0" applyFont="1" applyFill="1" applyBorder="1" applyAlignment="1">
      <alignment horizontal="center" vertical="center"/>
    </xf>
    <xf numFmtId="49" fontId="39" fillId="2" borderId="7" xfId="0" applyNumberFormat="1" applyFont="1" applyFill="1" applyBorder="1" applyAlignment="1">
      <alignment horizontal="center" vertical="center"/>
    </xf>
    <xf numFmtId="49" fontId="39" fillId="2" borderId="14" xfId="0" applyNumberFormat="1" applyFont="1" applyFill="1" applyBorder="1" applyAlignment="1">
      <alignment horizontal="center" vertical="center"/>
    </xf>
    <xf numFmtId="49" fontId="39" fillId="2" borderId="14" xfId="0" applyNumberFormat="1" applyFont="1" applyFill="1" applyBorder="1" applyAlignment="1">
      <alignment horizontal="center" vertical="center" wrapText="1"/>
    </xf>
    <xf numFmtId="0" fontId="31" fillId="0" borderId="0" xfId="6" applyFont="1" applyAlignment="1">
      <alignment horizontal="center" vertical="center"/>
    </xf>
    <xf numFmtId="0" fontId="31" fillId="0" borderId="30" xfId="6" applyFont="1" applyBorder="1" applyAlignment="1">
      <alignment horizontal="center" vertical="center"/>
    </xf>
    <xf numFmtId="0" fontId="31" fillId="0" borderId="34" xfId="0" applyFont="1" applyBorder="1" applyAlignment="1">
      <alignment horizontal="center" vertical="center"/>
    </xf>
    <xf numFmtId="0" fontId="31" fillId="10" borderId="10" xfId="0" applyFont="1" applyFill="1" applyBorder="1" applyAlignment="1">
      <alignment horizontal="left" vertical="center"/>
    </xf>
    <xf numFmtId="0" fontId="31" fillId="10" borderId="0" xfId="0" applyFont="1" applyFill="1" applyAlignment="1">
      <alignment horizontal="center" vertical="center"/>
    </xf>
    <xf numFmtId="0" fontId="31" fillId="10" borderId="0" xfId="6" applyFont="1" applyFill="1" applyAlignment="1">
      <alignment horizontal="center" vertical="center"/>
    </xf>
    <xf numFmtId="0" fontId="31" fillId="12" borderId="10" xfId="0" applyFont="1" applyFill="1" applyBorder="1" applyAlignment="1">
      <alignment horizontal="left" vertical="center"/>
    </xf>
    <xf numFmtId="0" fontId="31" fillId="12" borderId="0" xfId="0" applyFont="1" applyFill="1" applyAlignment="1">
      <alignment horizontal="center" vertical="center"/>
    </xf>
    <xf numFmtId="0" fontId="31" fillId="18" borderId="10" xfId="0" applyFont="1" applyFill="1" applyBorder="1" applyAlignment="1">
      <alignment horizontal="left" vertical="center"/>
    </xf>
    <xf numFmtId="0" fontId="31" fillId="18" borderId="0" xfId="0" applyFont="1" applyFill="1" applyAlignment="1">
      <alignment horizontal="center" vertical="center"/>
    </xf>
    <xf numFmtId="0" fontId="31" fillId="18" borderId="0" xfId="6" applyFont="1" applyFill="1" applyAlignment="1">
      <alignment horizontal="center" vertical="center"/>
    </xf>
    <xf numFmtId="0" fontId="31" fillId="19" borderId="10" xfId="0" applyFont="1" applyFill="1" applyBorder="1" applyAlignment="1">
      <alignment horizontal="left" vertical="center"/>
    </xf>
    <xf numFmtId="0" fontId="32" fillId="20" borderId="10" xfId="0" applyFont="1" applyFill="1" applyBorder="1" applyAlignment="1">
      <alignment horizontal="left" vertical="center"/>
    </xf>
    <xf numFmtId="0" fontId="32" fillId="20" borderId="0" xfId="0" applyFont="1" applyFill="1" applyAlignment="1">
      <alignment horizontal="center" vertical="center"/>
    </xf>
    <xf numFmtId="0" fontId="26" fillId="20" borderId="0" xfId="6" applyFont="1" applyFill="1" applyAlignment="1">
      <alignment horizontal="center" vertical="center"/>
    </xf>
    <xf numFmtId="0" fontId="32" fillId="21" borderId="10" xfId="0" applyFont="1" applyFill="1" applyBorder="1" applyAlignment="1">
      <alignment horizontal="left" vertical="center"/>
    </xf>
    <xf numFmtId="0" fontId="32" fillId="21" borderId="0" xfId="0" applyFont="1" applyFill="1" applyAlignment="1">
      <alignment horizontal="center" vertical="center"/>
    </xf>
    <xf numFmtId="0" fontId="26" fillId="21" borderId="0" xfId="6" applyFont="1" applyFill="1" applyAlignment="1">
      <alignment horizontal="center" vertical="center"/>
    </xf>
    <xf numFmtId="0" fontId="26" fillId="22" borderId="10" xfId="6" applyFont="1" applyFill="1" applyBorder="1" applyAlignment="1">
      <alignment vertical="center"/>
    </xf>
    <xf numFmtId="0" fontId="40" fillId="22" borderId="0" xfId="6" applyFont="1" applyFill="1" applyAlignment="1">
      <alignment horizontal="center" vertical="center"/>
    </xf>
    <xf numFmtId="0" fontId="26" fillId="22" borderId="0" xfId="6" applyFont="1" applyFill="1" applyAlignment="1">
      <alignment horizontal="center" vertical="center"/>
    </xf>
    <xf numFmtId="0" fontId="32" fillId="22" borderId="0" xfId="0" applyFont="1" applyFill="1" applyAlignment="1">
      <alignment horizontal="center" vertical="center"/>
    </xf>
    <xf numFmtId="0" fontId="26" fillId="12" borderId="0" xfId="6" applyFont="1" applyFill="1" applyAlignment="1">
      <alignment horizontal="center" vertical="center"/>
    </xf>
    <xf numFmtId="0" fontId="32" fillId="23" borderId="10" xfId="0" applyFont="1" applyFill="1" applyBorder="1" applyAlignment="1">
      <alignment horizontal="left" vertical="center"/>
    </xf>
    <xf numFmtId="0" fontId="32" fillId="23" borderId="0" xfId="0" applyFont="1" applyFill="1" applyAlignment="1">
      <alignment horizontal="center" vertical="center"/>
    </xf>
    <xf numFmtId="0" fontId="26" fillId="23" borderId="0" xfId="6" applyFont="1" applyFill="1" applyAlignment="1">
      <alignment horizontal="center" vertical="center"/>
    </xf>
    <xf numFmtId="0" fontId="41" fillId="0" borderId="0" xfId="0" applyFont="1" applyAlignment="1">
      <alignment horizontal="center" vertical="center"/>
    </xf>
    <xf numFmtId="0" fontId="32" fillId="24" borderId="10" xfId="0" applyFont="1" applyFill="1" applyBorder="1" applyAlignment="1">
      <alignment horizontal="left" vertical="center"/>
    </xf>
    <xf numFmtId="0" fontId="32" fillId="24" borderId="0" xfId="0" applyFont="1" applyFill="1" applyAlignment="1">
      <alignment horizontal="center" vertical="center"/>
    </xf>
    <xf numFmtId="0" fontId="26" fillId="24" borderId="0" xfId="6" applyFont="1" applyFill="1" applyAlignment="1">
      <alignment horizontal="center" vertical="center"/>
    </xf>
    <xf numFmtId="49" fontId="32" fillId="0" borderId="0" xfId="0" applyNumberFormat="1" applyFont="1" applyAlignment="1">
      <alignment horizontal="center" vertical="center"/>
    </xf>
    <xf numFmtId="49" fontId="32" fillId="24" borderId="0" xfId="0" applyNumberFormat="1" applyFont="1" applyFill="1" applyAlignment="1">
      <alignment horizontal="center" vertical="center"/>
    </xf>
    <xf numFmtId="49" fontId="39" fillId="2" borderId="8" xfId="0" applyNumberFormat="1" applyFont="1" applyFill="1" applyBorder="1" applyAlignment="1">
      <alignment horizontal="center" vertical="center"/>
    </xf>
    <xf numFmtId="0" fontId="0" fillId="0" borderId="0" xfId="6" applyFont="1" applyAlignment="1">
      <alignment vertical="center"/>
    </xf>
    <xf numFmtId="0" fontId="44" fillId="0" borderId="0" xfId="6" applyFont="1" applyAlignment="1">
      <alignment vertical="center" wrapText="1"/>
    </xf>
    <xf numFmtId="0" fontId="44" fillId="0" borderId="0" xfId="6" applyFont="1" applyAlignment="1">
      <alignment vertical="center"/>
    </xf>
    <xf numFmtId="0" fontId="45" fillId="0" borderId="0" xfId="6" applyFont="1" applyAlignment="1">
      <alignment vertical="center"/>
    </xf>
    <xf numFmtId="0" fontId="31" fillId="0" borderId="36" xfId="0" applyFont="1" applyBorder="1" applyAlignment="1">
      <alignment horizontal="center" vertical="center"/>
    </xf>
    <xf numFmtId="0" fontId="31" fillId="10" borderId="11" xfId="0" applyFont="1" applyFill="1" applyBorder="1" applyAlignment="1">
      <alignment horizontal="center" vertical="center"/>
    </xf>
    <xf numFmtId="0" fontId="31" fillId="12" borderId="11" xfId="0" applyFont="1" applyFill="1" applyBorder="1" applyAlignment="1">
      <alignment horizontal="center" vertical="center"/>
    </xf>
    <xf numFmtId="0" fontId="31" fillId="18" borderId="11" xfId="0" applyFont="1" applyFill="1" applyBorder="1" applyAlignment="1">
      <alignment horizontal="center" vertical="center"/>
    </xf>
    <xf numFmtId="0" fontId="32" fillId="20" borderId="11" xfId="0" applyFont="1" applyFill="1" applyBorder="1" applyAlignment="1">
      <alignment horizontal="center" vertical="center"/>
    </xf>
    <xf numFmtId="0" fontId="0" fillId="0" borderId="0" xfId="6" applyFont="1" applyAlignment="1">
      <alignment vertical="center" wrapText="1"/>
    </xf>
    <xf numFmtId="0" fontId="32" fillId="21" borderId="11" xfId="0" applyFont="1" applyFill="1" applyBorder="1" applyAlignment="1">
      <alignment horizontal="center" vertical="center"/>
    </xf>
    <xf numFmtId="0" fontId="32" fillId="22" borderId="11" xfId="0" applyFont="1" applyFill="1" applyBorder="1" applyAlignment="1">
      <alignment horizontal="center" vertical="center"/>
    </xf>
    <xf numFmtId="0" fontId="0" fillId="0" borderId="38" xfId="6" applyFont="1" applyBorder="1" applyAlignment="1">
      <alignment vertical="center"/>
    </xf>
    <xf numFmtId="0" fontId="32" fillId="23" borderId="11" xfId="0" applyFont="1" applyFill="1" applyBorder="1" applyAlignment="1">
      <alignment horizontal="center" vertical="center"/>
    </xf>
    <xf numFmtId="0" fontId="32" fillId="24" borderId="11" xfId="0" applyFont="1" applyFill="1" applyBorder="1" applyAlignment="1">
      <alignment horizontal="center" vertical="center"/>
    </xf>
    <xf numFmtId="0" fontId="27" fillId="9" borderId="29" xfId="6" applyFill="1" applyBorder="1" applyAlignment="1">
      <alignment horizontal="center" vertical="center"/>
    </xf>
    <xf numFmtId="0" fontId="27" fillId="9" borderId="30" xfId="6" applyFill="1" applyBorder="1" applyAlignment="1">
      <alignment horizontal="center" vertical="center"/>
    </xf>
    <xf numFmtId="0" fontId="27" fillId="9" borderId="32" xfId="6" applyFill="1" applyBorder="1" applyAlignment="1">
      <alignment horizontal="center" vertical="center"/>
    </xf>
    <xf numFmtId="0" fontId="27" fillId="0" borderId="10" xfId="6" applyBorder="1" applyAlignment="1">
      <alignment horizontal="center" vertical="center"/>
    </xf>
    <xf numFmtId="0" fontId="27" fillId="0" borderId="0" xfId="6" applyAlignment="1">
      <alignment horizontal="center" vertical="center"/>
    </xf>
    <xf numFmtId="0" fontId="32" fillId="26" borderId="10" xfId="0" applyFont="1" applyFill="1" applyBorder="1" applyAlignment="1">
      <alignment horizontal="left" vertical="center"/>
    </xf>
    <xf numFmtId="0" fontId="26" fillId="26" borderId="0" xfId="6" applyFont="1" applyFill="1" applyAlignment="1">
      <alignment horizontal="center" vertical="center"/>
    </xf>
    <xf numFmtId="0" fontId="32" fillId="26" borderId="0" xfId="0" applyFont="1" applyFill="1" applyAlignment="1">
      <alignment horizontal="center" vertical="center"/>
    </xf>
    <xf numFmtId="0" fontId="26" fillId="0" borderId="10" xfId="0" applyFont="1" applyBorder="1" applyAlignment="1">
      <alignment horizontal="left" vertical="center"/>
    </xf>
    <xf numFmtId="0" fontId="26" fillId="0" borderId="0" xfId="0" applyFont="1" applyAlignment="1">
      <alignment horizontal="center" vertical="center"/>
    </xf>
    <xf numFmtId="0" fontId="32" fillId="27" borderId="10" xfId="0" applyFont="1" applyFill="1" applyBorder="1" applyAlignment="1">
      <alignment horizontal="left" vertical="center"/>
    </xf>
    <xf numFmtId="0" fontId="26" fillId="27" borderId="0" xfId="6" applyFont="1" applyFill="1" applyAlignment="1">
      <alignment horizontal="center" vertical="center"/>
    </xf>
    <xf numFmtId="0" fontId="32" fillId="27" borderId="0" xfId="0" applyFont="1" applyFill="1" applyAlignment="1">
      <alignment horizontal="center" vertical="center"/>
    </xf>
    <xf numFmtId="0" fontId="26" fillId="28" borderId="10" xfId="6" applyFont="1" applyFill="1" applyBorder="1" applyAlignment="1">
      <alignment vertical="center"/>
    </xf>
    <xf numFmtId="0" fontId="26" fillId="28" borderId="0" xfId="6" applyFont="1" applyFill="1" applyAlignment="1">
      <alignment horizontal="center" vertical="center"/>
    </xf>
    <xf numFmtId="0" fontId="32" fillId="0" borderId="40" xfId="0" applyFont="1" applyBorder="1" applyAlignment="1">
      <alignment horizontal="left" vertical="center"/>
    </xf>
    <xf numFmtId="0" fontId="26" fillId="0" borderId="40" xfId="6" applyFont="1" applyBorder="1" applyAlignment="1">
      <alignment horizontal="center" vertical="center"/>
    </xf>
    <xf numFmtId="0" fontId="32" fillId="0" borderId="40" xfId="0" applyFont="1" applyBorder="1" applyAlignment="1">
      <alignment horizontal="center" vertical="center"/>
    </xf>
    <xf numFmtId="0" fontId="54" fillId="0" borderId="0" xfId="6" applyFont="1" applyAlignment="1">
      <alignment vertical="center"/>
    </xf>
    <xf numFmtId="49" fontId="26" fillId="0" borderId="0" xfId="6" applyNumberFormat="1" applyFont="1" applyAlignment="1">
      <alignment vertical="center"/>
    </xf>
    <xf numFmtId="0" fontId="12" fillId="0" borderId="0" xfId="6" applyFont="1" applyAlignment="1">
      <alignment vertical="center"/>
    </xf>
    <xf numFmtId="0" fontId="12" fillId="0" borderId="0" xfId="6" applyFont="1" applyAlignment="1">
      <alignment vertical="center" wrapText="1"/>
    </xf>
    <xf numFmtId="0" fontId="9" fillId="0" borderId="0" xfId="6" applyFont="1" applyAlignment="1">
      <alignment vertical="center" wrapText="1"/>
    </xf>
    <xf numFmtId="0" fontId="32" fillId="9" borderId="11" xfId="0" applyFont="1" applyFill="1" applyBorder="1" applyAlignment="1">
      <alignment horizontal="center" vertical="center"/>
    </xf>
    <xf numFmtId="0" fontId="32" fillId="26" borderId="11" xfId="0" applyFont="1" applyFill="1" applyBorder="1" applyAlignment="1">
      <alignment horizontal="center" vertical="center"/>
    </xf>
    <xf numFmtId="0" fontId="26" fillId="0" borderId="11" xfId="0" applyFont="1" applyBorder="1" applyAlignment="1">
      <alignment horizontal="center" vertical="center"/>
    </xf>
    <xf numFmtId="0" fontId="32" fillId="27" borderId="11" xfId="0" applyFont="1" applyFill="1" applyBorder="1" applyAlignment="1">
      <alignment horizontal="center" vertical="center"/>
    </xf>
    <xf numFmtId="0" fontId="26" fillId="28" borderId="11" xfId="6" applyFont="1" applyFill="1" applyBorder="1" applyAlignment="1">
      <alignment horizontal="center" vertical="center"/>
    </xf>
    <xf numFmtId="0" fontId="55" fillId="0" borderId="0" xfId="6" applyFont="1" applyAlignment="1">
      <alignment vertical="center" wrapText="1"/>
    </xf>
    <xf numFmtId="0" fontId="9" fillId="0" borderId="0" xfId="6" applyFont="1" applyAlignment="1">
      <alignment horizontal="center" vertical="center"/>
    </xf>
    <xf numFmtId="0" fontId="9" fillId="0" borderId="0" xfId="6" applyFont="1" applyAlignment="1">
      <alignment vertical="center"/>
    </xf>
    <xf numFmtId="0" fontId="56" fillId="0" borderId="29" xfId="0" applyFont="1" applyBorder="1" applyAlignment="1">
      <alignment horizontal="left" vertical="center"/>
    </xf>
    <xf numFmtId="0" fontId="56" fillId="0" borderId="30" xfId="0" applyFont="1" applyBorder="1" applyAlignment="1">
      <alignment horizontal="center" vertical="center"/>
    </xf>
    <xf numFmtId="0" fontId="45" fillId="0" borderId="30" xfId="6" applyFont="1" applyBorder="1" applyAlignment="1">
      <alignment vertical="center"/>
    </xf>
    <xf numFmtId="0" fontId="56" fillId="0" borderId="10" xfId="0" applyFont="1" applyBorder="1" applyAlignment="1">
      <alignment horizontal="left" vertical="center"/>
    </xf>
    <xf numFmtId="0" fontId="56" fillId="0" borderId="0" xfId="0" applyFont="1" applyAlignment="1">
      <alignment horizontal="center" vertical="center"/>
    </xf>
    <xf numFmtId="0" fontId="56" fillId="0" borderId="12" xfId="0" applyFont="1" applyBorder="1" applyAlignment="1">
      <alignment horizontal="left" vertical="center"/>
    </xf>
    <xf numFmtId="0" fontId="56" fillId="0" borderId="15" xfId="0" applyFont="1" applyBorder="1" applyAlignment="1">
      <alignment horizontal="center" vertical="center"/>
    </xf>
    <xf numFmtId="0" fontId="45" fillId="0" borderId="15" xfId="6" applyFont="1" applyBorder="1" applyAlignment="1">
      <alignment vertical="center"/>
    </xf>
    <xf numFmtId="49" fontId="45" fillId="0" borderId="0" xfId="6" applyNumberFormat="1" applyFont="1" applyAlignment="1">
      <alignment vertical="center"/>
    </xf>
    <xf numFmtId="0" fontId="3" fillId="0" borderId="0" xfId="0" applyFont="1" applyAlignment="1">
      <alignment horizontal="center" vertical="center"/>
    </xf>
    <xf numFmtId="0" fontId="57" fillId="0" borderId="0" xfId="0" applyFont="1">
      <alignment vertical="center"/>
    </xf>
    <xf numFmtId="0" fontId="14" fillId="0" borderId="0" xfId="0" applyFont="1" applyAlignment="1">
      <alignment vertical="center" wrapText="1"/>
    </xf>
    <xf numFmtId="0" fontId="3" fillId="0" borderId="0" xfId="0" applyFont="1" applyAlignment="1">
      <alignment vertical="center" wrapText="1"/>
    </xf>
    <xf numFmtId="0" fontId="57" fillId="0" borderId="0" xfId="0" applyFont="1" applyAlignment="1">
      <alignment vertical="center" wrapText="1"/>
    </xf>
    <xf numFmtId="0" fontId="14" fillId="0" borderId="0" xfId="0" applyFont="1">
      <alignment vertical="center"/>
    </xf>
    <xf numFmtId="0" fontId="14" fillId="0" borderId="0" xfId="0" applyFont="1" applyAlignment="1">
      <alignment horizontal="center" vertical="center"/>
    </xf>
    <xf numFmtId="0" fontId="9" fillId="0" borderId="0" xfId="6" applyFont="1" applyAlignment="1">
      <alignment horizontal="center" vertical="center" wrapText="1"/>
    </xf>
    <xf numFmtId="0" fontId="56" fillId="0" borderId="32" xfId="0" applyFont="1" applyBorder="1" applyAlignment="1">
      <alignment horizontal="center" vertical="center"/>
    </xf>
    <xf numFmtId="0" fontId="56" fillId="0" borderId="11" xfId="0" applyFont="1" applyBorder="1" applyAlignment="1">
      <alignment horizontal="center" vertical="center"/>
    </xf>
    <xf numFmtId="0" fontId="0" fillId="0" borderId="32" xfId="6" applyFont="1" applyBorder="1" applyAlignment="1">
      <alignment vertical="center" wrapText="1"/>
    </xf>
    <xf numFmtId="0" fontId="0" fillId="0" borderId="13" xfId="6" applyFont="1" applyBorder="1" applyAlignment="1">
      <alignment vertical="center" wrapText="1"/>
    </xf>
    <xf numFmtId="0" fontId="27" fillId="0" borderId="12" xfId="6" applyBorder="1" applyAlignment="1">
      <alignment horizontal="center" vertical="center"/>
    </xf>
    <xf numFmtId="0" fontId="27" fillId="0" borderId="15" xfId="6" applyBorder="1" applyAlignment="1">
      <alignment horizontal="center" vertical="center"/>
    </xf>
    <xf numFmtId="0" fontId="27" fillId="0" borderId="13" xfId="6" applyBorder="1" applyAlignment="1">
      <alignment horizontal="center" vertical="center"/>
    </xf>
    <xf numFmtId="0" fontId="58" fillId="0" borderId="0" xfId="6" applyFont="1" applyAlignment="1">
      <alignment vertical="center" wrapText="1"/>
    </xf>
    <xf numFmtId="0" fontId="14" fillId="0" borderId="50" xfId="0" applyFont="1" applyBorder="1" applyAlignment="1">
      <alignment horizontal="center" vertical="center" wrapText="1"/>
    </xf>
    <xf numFmtId="0" fontId="14" fillId="0" borderId="51" xfId="0" applyFont="1" applyBorder="1" applyAlignment="1">
      <alignment horizontal="center" vertical="center" wrapText="1"/>
    </xf>
    <xf numFmtId="0" fontId="14" fillId="0" borderId="52" xfId="0" applyFont="1" applyBorder="1" applyAlignment="1">
      <alignment horizontal="center" vertical="center" wrapText="1"/>
    </xf>
    <xf numFmtId="49" fontId="12" fillId="0" borderId="0" xfId="6" applyNumberFormat="1" applyFont="1" applyAlignment="1">
      <alignment vertical="center"/>
    </xf>
    <xf numFmtId="49" fontId="60" fillId="0" borderId="0" xfId="6" applyNumberFormat="1" applyFont="1" applyAlignment="1">
      <alignment horizontal="center" vertical="center"/>
    </xf>
    <xf numFmtId="49" fontId="9" fillId="0" borderId="0" xfId="6" applyNumberFormat="1" applyFont="1" applyAlignment="1">
      <alignment horizontal="center" vertical="center" wrapText="1"/>
    </xf>
    <xf numFmtId="0" fontId="9" fillId="0" borderId="0" xfId="0" applyFont="1" applyAlignment="1">
      <alignment horizontal="center" vertical="center"/>
    </xf>
    <xf numFmtId="0" fontId="9" fillId="0" borderId="0" xfId="0" applyFont="1">
      <alignment vertical="center"/>
    </xf>
    <xf numFmtId="0" fontId="45" fillId="0" borderId="0" xfId="0" applyFont="1" applyAlignment="1">
      <alignment horizontal="left" vertical="center"/>
    </xf>
    <xf numFmtId="0" fontId="56" fillId="8" borderId="11" xfId="0" applyFont="1" applyFill="1" applyBorder="1" applyAlignment="1">
      <alignment horizontal="center" vertical="center"/>
    </xf>
    <xf numFmtId="0" fontId="50" fillId="0" borderId="0" xfId="0" applyFont="1">
      <alignment vertical="center"/>
    </xf>
    <xf numFmtId="49" fontId="9" fillId="0" borderId="10" xfId="6" applyNumberFormat="1" applyFont="1" applyBorder="1" applyAlignment="1">
      <alignment horizontal="center" vertical="center" wrapText="1"/>
    </xf>
    <xf numFmtId="49" fontId="9" fillId="0" borderId="11" xfId="6" applyNumberFormat="1" applyFont="1" applyBorder="1" applyAlignment="1">
      <alignment horizontal="center" vertical="center" wrapText="1"/>
    </xf>
    <xf numFmtId="0" fontId="9" fillId="7" borderId="0" xfId="6" applyFont="1" applyFill="1" applyAlignment="1">
      <alignment vertical="center"/>
    </xf>
    <xf numFmtId="0" fontId="9" fillId="21" borderId="2" xfId="6" applyFont="1" applyFill="1" applyBorder="1" applyAlignment="1">
      <alignment horizontal="center" vertical="center"/>
    </xf>
    <xf numFmtId="0" fontId="9" fillId="21" borderId="56" xfId="6" applyFont="1" applyFill="1" applyBorder="1" applyAlignment="1">
      <alignment horizontal="center" vertical="center"/>
    </xf>
    <xf numFmtId="0" fontId="27" fillId="0" borderId="10" xfId="6" applyBorder="1" applyAlignment="1">
      <alignment vertical="center"/>
    </xf>
    <xf numFmtId="0" fontId="9" fillId="0" borderId="10" xfId="6" applyFont="1" applyBorder="1" applyAlignment="1">
      <alignment vertical="center"/>
    </xf>
    <xf numFmtId="0" fontId="9" fillId="21" borderId="56" xfId="6" applyFont="1" applyFill="1" applyBorder="1" applyAlignment="1">
      <alignment vertical="center"/>
    </xf>
    <xf numFmtId="0" fontId="9" fillId="21" borderId="57" xfId="6" applyFont="1" applyFill="1" applyBorder="1" applyAlignment="1">
      <alignment vertical="center"/>
    </xf>
    <xf numFmtId="49" fontId="60" fillId="8" borderId="68" xfId="6" applyNumberFormat="1" applyFont="1" applyFill="1" applyBorder="1" applyAlignment="1">
      <alignment horizontal="center" vertical="center"/>
    </xf>
    <xf numFmtId="49" fontId="12" fillId="0" borderId="0" xfId="6" applyNumberFormat="1" applyFont="1" applyAlignment="1">
      <alignment horizontal="left" vertical="center"/>
    </xf>
    <xf numFmtId="49" fontId="9" fillId="0" borderId="7" xfId="6" applyNumberFormat="1" applyFont="1" applyBorder="1" applyAlignment="1">
      <alignment horizontal="center" vertical="center" wrapText="1"/>
    </xf>
    <xf numFmtId="49" fontId="9" fillId="0" borderId="8" xfId="6" applyNumberFormat="1" applyFont="1" applyBorder="1" applyAlignment="1">
      <alignment horizontal="center" vertical="center" wrapText="1"/>
    </xf>
    <xf numFmtId="0" fontId="9" fillId="0" borderId="12" xfId="6" applyFont="1" applyBorder="1" applyAlignment="1">
      <alignment horizontal="center" vertical="center"/>
    </xf>
    <xf numFmtId="49" fontId="9" fillId="0" borderId="13" xfId="6" applyNumberFormat="1" applyFont="1" applyBorder="1" applyAlignment="1">
      <alignment horizontal="center" vertical="center" wrapText="1"/>
    </xf>
    <xf numFmtId="0" fontId="14" fillId="34" borderId="10" xfId="6" applyFont="1" applyFill="1" applyBorder="1" applyAlignment="1">
      <alignment horizontal="center" vertical="center"/>
    </xf>
    <xf numFmtId="0" fontId="14" fillId="0" borderId="10" xfId="6" applyFont="1" applyBorder="1" applyAlignment="1">
      <alignment horizontal="center" vertical="center"/>
    </xf>
    <xf numFmtId="0" fontId="27" fillId="0" borderId="14" xfId="6" applyBorder="1" applyAlignment="1">
      <alignment vertical="center"/>
    </xf>
    <xf numFmtId="0" fontId="9" fillId="0" borderId="0" xfId="6" applyFont="1" applyAlignment="1">
      <alignment horizontal="left" vertical="center"/>
    </xf>
    <xf numFmtId="0" fontId="20" fillId="0" borderId="0" xfId="0" applyFont="1" applyAlignment="1">
      <alignment horizontal="center" vertical="center" wrapText="1"/>
    </xf>
    <xf numFmtId="0" fontId="6" fillId="0" borderId="0" xfId="0" applyFont="1" applyAlignment="1">
      <alignment horizontal="center" vertical="center"/>
    </xf>
    <xf numFmtId="0" fontId="11" fillId="0" borderId="0" xfId="0" applyFont="1">
      <alignment vertical="center"/>
    </xf>
    <xf numFmtId="0" fontId="15" fillId="39" borderId="10" xfId="0" applyFont="1" applyFill="1" applyBorder="1" applyAlignment="1">
      <alignment horizontal="center" vertical="center"/>
    </xf>
    <xf numFmtId="0" fontId="15" fillId="39" borderId="0" xfId="0" applyFont="1" applyFill="1" applyAlignment="1">
      <alignment horizontal="center" vertical="center"/>
    </xf>
    <xf numFmtId="0" fontId="15" fillId="0" borderId="10" xfId="0" applyFont="1" applyBorder="1" applyAlignment="1">
      <alignment horizontal="center" vertical="center"/>
    </xf>
    <xf numFmtId="0" fontId="15" fillId="0" borderId="0" xfId="0" applyFont="1" applyAlignment="1">
      <alignment horizontal="center" vertical="center"/>
    </xf>
    <xf numFmtId="0" fontId="15" fillId="8" borderId="10" xfId="0" applyFont="1" applyFill="1" applyBorder="1" applyAlignment="1">
      <alignment horizontal="center" vertical="center"/>
    </xf>
    <xf numFmtId="0" fontId="15" fillId="8" borderId="0" xfId="0" applyFont="1" applyFill="1" applyAlignment="1">
      <alignment horizontal="center" vertical="center"/>
    </xf>
    <xf numFmtId="0" fontId="15" fillId="8" borderId="12" xfId="0" applyFont="1" applyFill="1" applyBorder="1" applyAlignment="1">
      <alignment horizontal="center" vertical="center"/>
    </xf>
    <xf numFmtId="0" fontId="15" fillId="8" borderId="15" xfId="0" applyFont="1" applyFill="1" applyBorder="1" applyAlignment="1">
      <alignment horizontal="center" vertical="center"/>
    </xf>
    <xf numFmtId="0" fontId="13" fillId="0" borderId="0" xfId="0" applyFont="1">
      <alignment vertical="center"/>
    </xf>
    <xf numFmtId="24" fontId="1" fillId="0" borderId="0" xfId="0" applyNumberFormat="1" applyFont="1" applyAlignment="1">
      <alignment horizontal="center" vertical="center"/>
    </xf>
    <xf numFmtId="0" fontId="83" fillId="4" borderId="11" xfId="0" applyFont="1" applyFill="1" applyBorder="1" applyAlignment="1">
      <alignment horizontal="center" vertical="center"/>
    </xf>
    <xf numFmtId="0" fontId="83" fillId="0" borderId="11" xfId="0" applyFont="1" applyBorder="1" applyAlignment="1">
      <alignment horizontal="left" vertical="center"/>
    </xf>
    <xf numFmtId="0" fontId="83" fillId="9" borderId="11" xfId="0" applyFont="1" applyFill="1" applyBorder="1" applyAlignment="1">
      <alignment horizontal="left" vertical="center"/>
    </xf>
    <xf numFmtId="0" fontId="83" fillId="4" borderId="0" xfId="0" applyFont="1" applyFill="1" applyAlignment="1">
      <alignment horizontal="center" vertical="center"/>
    </xf>
    <xf numFmtId="0" fontId="83" fillId="0" borderId="0" xfId="0" applyFont="1">
      <alignment vertical="center"/>
    </xf>
    <xf numFmtId="0" fontId="83" fillId="9" borderId="13" xfId="0" applyFont="1" applyFill="1" applyBorder="1" applyAlignment="1">
      <alignment horizontal="left" vertical="center"/>
    </xf>
    <xf numFmtId="0" fontId="83" fillId="0" borderId="0" xfId="0" applyFont="1" applyAlignment="1">
      <alignment horizontal="left" vertical="center"/>
    </xf>
    <xf numFmtId="0" fontId="15" fillId="39" borderId="11" xfId="0" applyFont="1" applyFill="1" applyBorder="1" applyAlignment="1">
      <alignment horizontal="center" vertical="center"/>
    </xf>
    <xf numFmtId="0" fontId="15" fillId="0" borderId="11" xfId="0" applyFont="1" applyBorder="1" applyAlignment="1">
      <alignment horizontal="center" vertical="center"/>
    </xf>
    <xf numFmtId="0" fontId="15" fillId="8" borderId="11" xfId="0" applyFont="1" applyFill="1" applyBorder="1" applyAlignment="1">
      <alignment horizontal="center" vertical="center"/>
    </xf>
    <xf numFmtId="0" fontId="15" fillId="8" borderId="13" xfId="0" applyFont="1" applyFill="1" applyBorder="1" applyAlignment="1">
      <alignment horizontal="center" vertical="center"/>
    </xf>
    <xf numFmtId="24" fontId="15" fillId="0" borderId="0" xfId="0" applyNumberFormat="1" applyFont="1" applyAlignment="1">
      <alignment horizontal="center" vertical="center"/>
    </xf>
    <xf numFmtId="0" fontId="83" fillId="0" borderId="13" xfId="0" applyFont="1" applyBorder="1" applyAlignment="1">
      <alignment horizontal="left" vertical="center"/>
    </xf>
    <xf numFmtId="0" fontId="83" fillId="40" borderId="13" xfId="0" applyFont="1" applyFill="1" applyBorder="1" applyAlignment="1">
      <alignment horizontal="left" vertical="center"/>
    </xf>
    <xf numFmtId="0" fontId="84" fillId="0" borderId="11" xfId="0" applyFont="1" applyBorder="1" applyAlignment="1">
      <alignment horizontal="center" vertical="center"/>
    </xf>
    <xf numFmtId="0" fontId="12" fillId="0" borderId="0" xfId="0" applyFont="1">
      <alignment vertical="center"/>
    </xf>
    <xf numFmtId="0" fontId="12" fillId="0" borderId="0" xfId="0" applyFont="1" applyAlignment="1">
      <alignment vertical="center" wrapText="1"/>
    </xf>
    <xf numFmtId="0" fontId="83" fillId="9" borderId="15" xfId="0" applyFont="1" applyFill="1" applyBorder="1" applyAlignment="1">
      <alignment horizontal="left" vertical="center"/>
    </xf>
    <xf numFmtId="0" fontId="59" fillId="0" borderId="0" xfId="0" applyFont="1">
      <alignment vertical="center"/>
    </xf>
    <xf numFmtId="0" fontId="82" fillId="9" borderId="0" xfId="0" applyFont="1" applyFill="1" applyAlignment="1">
      <alignment horizontal="left" vertical="top"/>
    </xf>
    <xf numFmtId="0" fontId="82" fillId="0" borderId="0" xfId="0" applyFont="1" applyAlignment="1">
      <alignment horizontal="left" vertical="center" wrapText="1"/>
    </xf>
    <xf numFmtId="0" fontId="82" fillId="9" borderId="0" xfId="0" applyFont="1" applyFill="1" applyAlignment="1">
      <alignment horizontal="left" vertical="center" wrapText="1"/>
    </xf>
    <xf numFmtId="0" fontId="82" fillId="0" borderId="0" xfId="0" applyFont="1" applyAlignment="1">
      <alignment horizontal="left" vertical="center"/>
    </xf>
    <xf numFmtId="0" fontId="82" fillId="9" borderId="0" xfId="0" applyFont="1" applyFill="1" applyAlignment="1">
      <alignment horizontal="left" vertical="center"/>
    </xf>
    <xf numFmtId="0" fontId="83" fillId="9" borderId="0" xfId="0" applyFont="1" applyFill="1" applyAlignment="1">
      <alignment horizontal="left" vertical="center"/>
    </xf>
    <xf numFmtId="0" fontId="83" fillId="0" borderId="15" xfId="0" applyFont="1" applyBorder="1" applyAlignment="1">
      <alignment horizontal="left" vertical="center"/>
    </xf>
    <xf numFmtId="0" fontId="27" fillId="0" borderId="0" xfId="0" applyFont="1">
      <alignment vertical="center"/>
    </xf>
    <xf numFmtId="0" fontId="83" fillId="9" borderId="0" xfId="0" applyFont="1" applyFill="1" applyAlignment="1">
      <alignment horizontal="left" vertical="center" wrapText="1"/>
    </xf>
    <xf numFmtId="176" fontId="83" fillId="0" borderId="11" xfId="0" applyNumberFormat="1" applyFont="1" applyBorder="1" applyAlignment="1">
      <alignment horizontal="left" vertical="center"/>
    </xf>
    <xf numFmtId="176" fontId="83" fillId="9" borderId="11" xfId="0" applyNumberFormat="1" applyFont="1" applyFill="1" applyBorder="1" applyAlignment="1">
      <alignment horizontal="left" vertical="center"/>
    </xf>
    <xf numFmtId="176" fontId="83" fillId="9" borderId="13" xfId="0" applyNumberFormat="1" applyFont="1" applyFill="1" applyBorder="1" applyAlignment="1">
      <alignment horizontal="left" vertical="center"/>
    </xf>
    <xf numFmtId="0" fontId="85" fillId="0" borderId="0" xfId="0" applyFont="1" applyAlignment="1">
      <alignment horizontal="left" vertical="center"/>
    </xf>
    <xf numFmtId="49" fontId="83" fillId="9" borderId="0" xfId="0" applyNumberFormat="1" applyFont="1" applyFill="1" applyAlignment="1">
      <alignment horizontal="left" vertical="center"/>
    </xf>
    <xf numFmtId="0" fontId="64" fillId="0" borderId="0" xfId="0" applyFont="1">
      <alignment vertical="center"/>
    </xf>
    <xf numFmtId="0" fontId="82" fillId="0" borderId="0" xfId="0" applyFont="1">
      <alignment vertical="center"/>
    </xf>
    <xf numFmtId="0" fontId="32" fillId="4" borderId="11" xfId="0" applyFont="1" applyFill="1" applyBorder="1" applyAlignment="1">
      <alignment horizontal="center" vertical="center"/>
    </xf>
    <xf numFmtId="0" fontId="26" fillId="0" borderId="0" xfId="0" applyFont="1">
      <alignment vertical="center"/>
    </xf>
    <xf numFmtId="0" fontId="86" fillId="0" borderId="0" xfId="0" applyFont="1">
      <alignment vertical="center"/>
    </xf>
    <xf numFmtId="0" fontId="32" fillId="9" borderId="0" xfId="0" applyFont="1" applyFill="1" applyAlignment="1">
      <alignment horizontal="left" vertical="center"/>
    </xf>
    <xf numFmtId="0" fontId="32" fillId="9" borderId="11" xfId="0" applyFont="1" applyFill="1" applyBorder="1" applyAlignment="1">
      <alignment horizontal="left" vertical="center"/>
    </xf>
    <xf numFmtId="0" fontId="32" fillId="0" borderId="0" xfId="0" applyFont="1" applyAlignment="1">
      <alignment horizontal="left" vertical="center"/>
    </xf>
    <xf numFmtId="49" fontId="83" fillId="0" borderId="0" xfId="0" applyNumberFormat="1" applyFont="1" applyAlignment="1">
      <alignment horizontal="left" vertical="center"/>
    </xf>
    <xf numFmtId="0" fontId="85" fillId="9" borderId="0" xfId="0" applyFont="1" applyFill="1" applyAlignment="1">
      <alignment horizontal="left" vertical="center"/>
    </xf>
    <xf numFmtId="0" fontId="85" fillId="9" borderId="11" xfId="0" applyFont="1" applyFill="1" applyBorder="1" applyAlignment="1">
      <alignment horizontal="left" vertical="center"/>
    </xf>
    <xf numFmtId="0" fontId="85" fillId="4" borderId="11" xfId="0" applyFont="1" applyFill="1" applyBorder="1" applyAlignment="1">
      <alignment horizontal="center" vertical="center"/>
    </xf>
    <xf numFmtId="0" fontId="28" fillId="0" borderId="0" xfId="0" applyFont="1" applyAlignment="1">
      <alignment vertical="center" wrapText="1"/>
    </xf>
    <xf numFmtId="0" fontId="87" fillId="9" borderId="11" xfId="0" applyFont="1" applyFill="1" applyBorder="1" applyAlignment="1">
      <alignment horizontal="left" vertical="center"/>
    </xf>
    <xf numFmtId="0" fontId="87" fillId="0" borderId="11" xfId="0" applyFont="1" applyBorder="1" applyAlignment="1">
      <alignment horizontal="left" vertical="center"/>
    </xf>
    <xf numFmtId="0" fontId="32" fillId="0" borderId="11" xfId="0" applyFont="1" applyBorder="1" applyAlignment="1">
      <alignment horizontal="left" vertical="center"/>
    </xf>
    <xf numFmtId="0" fontId="41" fillId="9" borderId="0" xfId="0" applyFont="1" applyFill="1" applyAlignment="1">
      <alignment horizontal="left" vertical="center" wrapText="1"/>
    </xf>
    <xf numFmtId="0" fontId="88" fillId="0" borderId="0" xfId="0" applyFont="1" applyAlignment="1">
      <alignment horizontal="center" vertical="center"/>
    </xf>
    <xf numFmtId="0" fontId="89" fillId="0" borderId="0" xfId="0" applyFont="1" applyAlignment="1">
      <alignment horizontal="center" vertical="center"/>
    </xf>
    <xf numFmtId="0" fontId="91" fillId="8" borderId="10" xfId="0" applyFont="1" applyFill="1" applyBorder="1" applyAlignment="1">
      <alignment horizontal="center" vertical="center"/>
    </xf>
    <xf numFmtId="0" fontId="91" fillId="8" borderId="0" xfId="0" applyFont="1" applyFill="1" applyAlignment="1">
      <alignment horizontal="center" vertical="center"/>
    </xf>
    <xf numFmtId="0" fontId="88" fillId="0" borderId="92" xfId="0" applyFont="1" applyBorder="1" applyAlignment="1">
      <alignment horizontal="center" vertical="center"/>
    </xf>
    <xf numFmtId="0" fontId="92" fillId="0" borderId="0" xfId="0" applyFont="1">
      <alignment vertical="center"/>
    </xf>
    <xf numFmtId="0" fontId="92" fillId="0" borderId="92" xfId="0" applyFont="1" applyBorder="1">
      <alignment vertical="center"/>
    </xf>
    <xf numFmtId="0" fontId="92" fillId="0" borderId="93" xfId="0" applyFont="1" applyBorder="1">
      <alignment vertical="center"/>
    </xf>
    <xf numFmtId="0" fontId="92" fillId="0" borderId="94" xfId="0" applyFont="1" applyBorder="1">
      <alignment vertical="center"/>
    </xf>
    <xf numFmtId="0" fontId="92" fillId="0" borderId="0" xfId="0" applyFont="1" applyAlignment="1">
      <alignment vertical="center" wrapText="1"/>
    </xf>
    <xf numFmtId="0" fontId="92" fillId="0" borderId="92" xfId="0" applyFont="1" applyBorder="1" applyAlignment="1">
      <alignment vertical="center" wrapText="1"/>
    </xf>
    <xf numFmtId="0" fontId="92" fillId="0" borderId="95" xfId="0" applyFont="1" applyBorder="1" applyAlignment="1">
      <alignment vertical="center" wrapText="1"/>
    </xf>
    <xf numFmtId="0" fontId="92" fillId="0" borderId="96" xfId="0" applyFont="1" applyBorder="1" applyAlignment="1">
      <alignment vertical="center" wrapText="1"/>
    </xf>
    <xf numFmtId="0" fontId="94" fillId="0" borderId="0" xfId="0" applyFont="1" applyAlignment="1">
      <alignment vertical="center" wrapText="1"/>
    </xf>
    <xf numFmtId="0" fontId="88" fillId="0" borderId="97" xfId="0" applyFont="1" applyBorder="1" applyAlignment="1">
      <alignment horizontal="center" vertical="center"/>
    </xf>
    <xf numFmtId="0" fontId="88" fillId="0" borderId="98" xfId="0" applyFont="1" applyBorder="1" applyAlignment="1">
      <alignment horizontal="center" vertical="center"/>
    </xf>
    <xf numFmtId="0" fontId="88" fillId="0" borderId="99" xfId="0" applyFont="1" applyBorder="1" applyAlignment="1">
      <alignment horizontal="center" vertical="center"/>
    </xf>
    <xf numFmtId="0" fontId="88" fillId="0" borderId="100" xfId="0" applyFont="1" applyBorder="1" applyAlignment="1">
      <alignment horizontal="center" vertical="center"/>
    </xf>
    <xf numFmtId="0" fontId="94" fillId="0" borderId="101" xfId="0" applyFont="1" applyBorder="1" applyAlignment="1">
      <alignment vertical="center" wrapText="1"/>
    </xf>
    <xf numFmtId="0" fontId="94" fillId="0" borderId="102" xfId="0" applyFont="1" applyBorder="1" applyAlignment="1">
      <alignment vertical="center" wrapText="1"/>
    </xf>
    <xf numFmtId="0" fontId="88" fillId="0" borderId="103" xfId="0" applyFont="1" applyBorder="1" applyAlignment="1">
      <alignment horizontal="center" vertical="center"/>
    </xf>
    <xf numFmtId="0" fontId="88" fillId="0" borderId="104" xfId="0" applyFont="1" applyBorder="1" applyAlignment="1">
      <alignment horizontal="center" vertical="center"/>
    </xf>
    <xf numFmtId="0" fontId="88" fillId="0" borderId="0" xfId="0" applyFont="1">
      <alignment vertical="center"/>
    </xf>
    <xf numFmtId="0" fontId="88" fillId="0" borderId="105" xfId="0" applyFont="1" applyBorder="1">
      <alignment vertical="center"/>
    </xf>
    <xf numFmtId="0" fontId="88" fillId="0" borderId="106" xfId="0" applyFont="1" applyBorder="1" applyAlignment="1">
      <alignment horizontal="center" vertical="center"/>
    </xf>
    <xf numFmtId="0" fontId="88" fillId="0" borderId="105" xfId="0" applyFont="1" applyBorder="1" applyAlignment="1">
      <alignment horizontal="center" vertical="center"/>
    </xf>
    <xf numFmtId="0" fontId="92" fillId="0" borderId="107" xfId="0" applyFont="1" applyBorder="1">
      <alignment vertical="center"/>
    </xf>
    <xf numFmtId="0" fontId="92" fillId="0" borderId="108" xfId="0" applyFont="1" applyBorder="1">
      <alignment vertical="center"/>
    </xf>
    <xf numFmtId="0" fontId="92" fillId="0" borderId="109" xfId="0" applyFont="1" applyBorder="1">
      <alignment vertical="center"/>
    </xf>
    <xf numFmtId="0" fontId="92" fillId="0" borderId="105" xfId="0" applyFont="1" applyBorder="1">
      <alignment vertical="center"/>
    </xf>
    <xf numFmtId="0" fontId="92" fillId="0" borderId="103" xfId="0" applyFont="1" applyBorder="1">
      <alignment vertical="center"/>
    </xf>
    <xf numFmtId="0" fontId="92" fillId="0" borderId="110" xfId="0" applyFont="1" applyBorder="1">
      <alignment vertical="center"/>
    </xf>
    <xf numFmtId="0" fontId="88" fillId="0" borderId="110" xfId="0" applyFont="1" applyBorder="1" applyAlignment="1">
      <alignment horizontal="center" vertical="center"/>
    </xf>
    <xf numFmtId="0" fontId="94" fillId="0" borderId="111" xfId="0" applyFont="1" applyBorder="1" applyAlignment="1">
      <alignment vertical="center" wrapText="1"/>
    </xf>
    <xf numFmtId="0" fontId="88" fillId="0" borderId="115" xfId="0" applyFont="1" applyBorder="1" applyAlignment="1">
      <alignment horizontal="center" vertical="center"/>
    </xf>
    <xf numFmtId="0" fontId="88" fillId="0" borderId="116" xfId="0" applyFont="1" applyBorder="1" applyAlignment="1">
      <alignment horizontal="center" vertical="center"/>
    </xf>
    <xf numFmtId="0" fontId="88" fillId="0" borderId="0" xfId="0" applyFont="1" applyAlignment="1">
      <alignment vertical="center" wrapText="1"/>
    </xf>
    <xf numFmtId="0" fontId="88" fillId="0" borderId="116" xfId="0" applyFont="1" applyBorder="1" applyAlignment="1">
      <alignment vertical="center" wrapText="1"/>
    </xf>
    <xf numFmtId="0" fontId="88" fillId="0" borderId="117" xfId="0" applyFont="1" applyBorder="1" applyAlignment="1">
      <alignment horizontal="center" vertical="center"/>
    </xf>
    <xf numFmtId="0" fontId="88" fillId="0" borderId="118" xfId="0" applyFont="1" applyBorder="1" applyAlignment="1">
      <alignment horizontal="center" vertical="center"/>
    </xf>
    <xf numFmtId="0" fontId="89" fillId="0" borderId="0" xfId="0" applyFont="1" applyAlignment="1">
      <alignment vertical="center" wrapText="1"/>
    </xf>
    <xf numFmtId="0" fontId="88" fillId="0" borderId="120" xfId="0" applyFont="1" applyBorder="1" applyAlignment="1">
      <alignment horizontal="center" vertical="center"/>
    </xf>
    <xf numFmtId="0" fontId="88" fillId="0" borderId="121" xfId="0" applyFont="1" applyBorder="1" applyAlignment="1">
      <alignment horizontal="center" vertical="center"/>
    </xf>
    <xf numFmtId="0" fontId="88" fillId="0" borderId="122" xfId="0" applyFont="1" applyBorder="1" applyAlignment="1">
      <alignment vertical="center" wrapText="1"/>
    </xf>
    <xf numFmtId="0" fontId="88" fillId="0" borderId="123" xfId="0" applyFont="1" applyBorder="1" applyAlignment="1">
      <alignment horizontal="center" vertical="center"/>
    </xf>
    <xf numFmtId="0" fontId="88" fillId="0" borderId="124" xfId="0" applyFont="1" applyBorder="1" applyAlignment="1">
      <alignment horizontal="center" vertical="center"/>
    </xf>
    <xf numFmtId="0" fontId="56" fillId="4" borderId="11" xfId="0" applyFont="1" applyFill="1" applyBorder="1" applyAlignment="1">
      <alignment horizontal="center" vertical="center"/>
    </xf>
    <xf numFmtId="0" fontId="3" fillId="0" borderId="0" xfId="0" applyFont="1">
      <alignment vertical="center"/>
    </xf>
    <xf numFmtId="0" fontId="2" fillId="0" borderId="0" xfId="0" applyFont="1">
      <alignment vertical="center"/>
    </xf>
    <xf numFmtId="0" fontId="100" fillId="0" borderId="0" xfId="0" applyFont="1" applyAlignment="1">
      <alignment vertical="center" wrapText="1"/>
    </xf>
    <xf numFmtId="0" fontId="101" fillId="0" borderId="0" xfId="0" applyFont="1" applyAlignment="1">
      <alignment vertical="center" wrapText="1"/>
    </xf>
    <xf numFmtId="0" fontId="82" fillId="0" borderId="0" xfId="0" applyFont="1" applyAlignment="1">
      <alignment vertical="top" wrapText="1"/>
    </xf>
    <xf numFmtId="0" fontId="104" fillId="0" borderId="0" xfId="0" applyFont="1" applyAlignment="1">
      <alignment vertical="center" wrapText="1"/>
    </xf>
    <xf numFmtId="0" fontId="1" fillId="39" borderId="10" xfId="0" applyFont="1" applyFill="1" applyBorder="1" applyAlignment="1">
      <alignment horizontal="center" vertical="center"/>
    </xf>
    <xf numFmtId="49" fontId="1" fillId="0" borderId="10" xfId="0" applyNumberFormat="1" applyFont="1" applyBorder="1" applyAlignment="1">
      <alignment vertical="top" wrapText="1"/>
    </xf>
    <xf numFmtId="49" fontId="1" fillId="0" borderId="10" xfId="0" applyNumberFormat="1" applyFont="1" applyBorder="1">
      <alignment vertical="center"/>
    </xf>
    <xf numFmtId="49" fontId="1" fillId="0" borderId="0" xfId="0" applyNumberFormat="1" applyFont="1" applyAlignment="1">
      <alignment horizontal="left" vertical="center"/>
    </xf>
    <xf numFmtId="49" fontId="1" fillId="0" borderId="10" xfId="0" applyNumberFormat="1" applyFont="1" applyBorder="1" applyAlignment="1">
      <alignment vertical="center" wrapText="1"/>
    </xf>
    <xf numFmtId="49" fontId="1" fillId="0" borderId="0" xfId="0" applyNumberFormat="1" applyFont="1" applyAlignment="1">
      <alignment horizontal="left" vertical="center" wrapText="1"/>
    </xf>
    <xf numFmtId="49" fontId="1" fillId="0" borderId="10" xfId="0" applyNumberFormat="1" applyFont="1" applyBorder="1" applyAlignment="1">
      <alignment horizontal="left" vertical="center" wrapText="1"/>
    </xf>
    <xf numFmtId="49" fontId="1" fillId="0" borderId="0" xfId="0" applyNumberFormat="1" applyFont="1" applyAlignment="1">
      <alignment vertical="center" wrapText="1"/>
    </xf>
    <xf numFmtId="0" fontId="1" fillId="0" borderId="10" xfId="0" applyFont="1" applyBorder="1" applyAlignment="1">
      <alignment horizontal="center" vertical="center"/>
    </xf>
    <xf numFmtId="49" fontId="1" fillId="0" borderId="12" xfId="0" applyNumberFormat="1" applyFont="1" applyBorder="1" applyAlignment="1">
      <alignment vertical="center" wrapText="1"/>
    </xf>
    <xf numFmtId="49" fontId="1" fillId="0" borderId="11" xfId="0" applyNumberFormat="1" applyFont="1" applyBorder="1" applyAlignment="1">
      <alignment horizontal="left" vertical="center"/>
    </xf>
    <xf numFmtId="49" fontId="1" fillId="0" borderId="11" xfId="0" applyNumberFormat="1" applyFont="1" applyBorder="1" applyAlignment="1">
      <alignment horizontal="left" vertical="center" wrapText="1"/>
    </xf>
    <xf numFmtId="49" fontId="1" fillId="0" borderId="11" xfId="0" applyNumberFormat="1" applyFont="1" applyBorder="1" applyAlignment="1">
      <alignment vertical="center" wrapText="1"/>
    </xf>
    <xf numFmtId="0" fontId="1" fillId="0" borderId="11" xfId="0" applyFont="1" applyBorder="1" applyAlignment="1">
      <alignment horizontal="center" vertical="center"/>
    </xf>
    <xf numFmtId="0" fontId="106" fillId="0" borderId="0" xfId="0" applyFont="1">
      <alignment vertical="center"/>
    </xf>
    <xf numFmtId="0" fontId="74" fillId="0" borderId="0" xfId="0" applyFont="1" applyAlignment="1">
      <alignment vertical="center" wrapText="1"/>
    </xf>
    <xf numFmtId="0" fontId="109" fillId="0" borderId="0" xfId="0" applyFont="1">
      <alignment vertical="center"/>
    </xf>
    <xf numFmtId="0" fontId="108" fillId="0" borderId="0" xfId="0" applyFont="1">
      <alignment vertical="center"/>
    </xf>
    <xf numFmtId="0" fontId="24" fillId="0" borderId="0" xfId="0" applyFont="1">
      <alignment vertical="center"/>
    </xf>
    <xf numFmtId="0" fontId="14" fillId="0" borderId="29" xfId="0" applyFont="1" applyBorder="1">
      <alignment vertical="center"/>
    </xf>
    <xf numFmtId="0" fontId="14" fillId="0" borderId="10" xfId="0" applyFont="1" applyBorder="1">
      <alignment vertical="center"/>
    </xf>
    <xf numFmtId="0" fontId="14" fillId="0" borderId="43" xfId="0" applyFont="1" applyBorder="1">
      <alignment vertical="center"/>
    </xf>
    <xf numFmtId="0" fontId="14" fillId="0" borderId="12" xfId="0" applyFont="1" applyBorder="1">
      <alignment vertical="center"/>
    </xf>
    <xf numFmtId="0" fontId="10" fillId="0" borderId="0" xfId="0" applyFont="1" applyAlignment="1">
      <alignment horizontal="left"/>
    </xf>
    <xf numFmtId="0" fontId="15" fillId="0" borderId="0" xfId="0" applyFont="1">
      <alignment vertical="center"/>
    </xf>
    <xf numFmtId="0" fontId="15" fillId="9" borderId="11" xfId="0" applyFont="1" applyFill="1" applyBorder="1" applyAlignment="1">
      <alignment horizontal="center" vertical="center"/>
    </xf>
    <xf numFmtId="0" fontId="90" fillId="0" borderId="0" xfId="0" applyFont="1" applyAlignment="1">
      <alignment horizontal="center" vertical="center"/>
    </xf>
    <xf numFmtId="0" fontId="90" fillId="0" borderId="0" xfId="0" applyFont="1">
      <alignment vertical="center"/>
    </xf>
    <xf numFmtId="0" fontId="90" fillId="0" borderId="0" xfId="0" applyFont="1" applyAlignment="1">
      <alignment horizontal="left" vertical="center"/>
    </xf>
    <xf numFmtId="0" fontId="90" fillId="0" borderId="141" xfId="0" applyFont="1" applyBorder="1" applyAlignment="1">
      <alignment horizontal="left" vertical="center"/>
    </xf>
    <xf numFmtId="0" fontId="90" fillId="0" borderId="14" xfId="0" applyFont="1" applyBorder="1" applyAlignment="1">
      <alignment horizontal="left" vertical="center"/>
    </xf>
    <xf numFmtId="0" fontId="90" fillId="0" borderId="15" xfId="0" applyFont="1" applyBorder="1" applyAlignment="1">
      <alignment horizontal="left" vertical="center"/>
    </xf>
    <xf numFmtId="0" fontId="15" fillId="0" borderId="162"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horizontal="left" vertical="center"/>
    </xf>
    <xf numFmtId="0" fontId="15" fillId="0" borderId="33" xfId="0" applyFont="1" applyBorder="1">
      <alignment vertical="center"/>
    </xf>
    <xf numFmtId="0" fontId="15" fillId="0" borderId="10" xfId="0" applyFont="1" applyBorder="1" applyAlignment="1">
      <alignment horizontal="left" vertical="center"/>
    </xf>
    <xf numFmtId="0" fontId="15" fillId="0" borderId="11" xfId="0" applyFont="1" applyBorder="1" applyAlignment="1">
      <alignment horizontal="left" vertical="center"/>
    </xf>
    <xf numFmtId="177" fontId="12" fillId="0" borderId="0" xfId="0" applyNumberFormat="1" applyFont="1" applyAlignment="1">
      <alignment horizontal="left" vertical="center" wrapText="1"/>
    </xf>
    <xf numFmtId="0" fontId="117" fillId="0" borderId="0" xfId="0" applyFont="1" applyAlignment="1">
      <alignment horizontal="left" vertical="center"/>
    </xf>
    <xf numFmtId="0" fontId="12" fillId="0" borderId="0" xfId="0" applyFont="1" applyAlignment="1">
      <alignment horizontal="left" vertical="center" wrapText="1"/>
    </xf>
    <xf numFmtId="0" fontId="91" fillId="0" borderId="0" xfId="0" applyFont="1" applyAlignment="1">
      <alignment horizontal="left" vertical="center"/>
    </xf>
    <xf numFmtId="0" fontId="117" fillId="0" borderId="0" xfId="0" applyFont="1" applyAlignment="1">
      <alignment horizontal="left" vertical="center" wrapText="1"/>
    </xf>
    <xf numFmtId="0" fontId="15" fillId="7" borderId="0" xfId="0" applyFont="1" applyFill="1" applyAlignment="1">
      <alignment horizontal="left" vertical="center"/>
    </xf>
    <xf numFmtId="0" fontId="15" fillId="0" borderId="12" xfId="0" applyFont="1" applyBorder="1" applyAlignment="1">
      <alignment horizontal="left" vertical="center"/>
    </xf>
    <xf numFmtId="0" fontId="15" fillId="0" borderId="15" xfId="0" applyFont="1" applyBorder="1" applyAlignment="1">
      <alignment horizontal="left" vertical="center"/>
    </xf>
    <xf numFmtId="178" fontId="25" fillId="0" borderId="0" xfId="0" applyNumberFormat="1" applyFont="1" applyAlignment="1">
      <alignment horizontal="left" vertical="center"/>
    </xf>
    <xf numFmtId="0" fontId="15" fillId="7" borderId="11" xfId="0" applyFont="1" applyFill="1" applyBorder="1" applyAlignment="1">
      <alignment horizontal="left" vertical="center"/>
    </xf>
    <xf numFmtId="0" fontId="15" fillId="0" borderId="13" xfId="0" applyFont="1" applyBorder="1" applyAlignment="1">
      <alignment horizontal="left" vertical="center"/>
    </xf>
    <xf numFmtId="0" fontId="83" fillId="0" borderId="0" xfId="0" applyFont="1" applyAlignment="1">
      <alignment vertical="center" wrapText="1"/>
    </xf>
    <xf numFmtId="0" fontId="119" fillId="0" borderId="0" xfId="0" applyFont="1">
      <alignment vertical="center"/>
    </xf>
    <xf numFmtId="0" fontId="119" fillId="3" borderId="0" xfId="0" applyFont="1" applyFill="1">
      <alignment vertical="center"/>
    </xf>
    <xf numFmtId="0" fontId="27" fillId="60" borderId="0" xfId="0" applyFont="1" applyFill="1">
      <alignment vertical="center"/>
    </xf>
    <xf numFmtId="0" fontId="27" fillId="3" borderId="0" xfId="0" applyFont="1" applyFill="1">
      <alignment vertical="center"/>
    </xf>
    <xf numFmtId="0" fontId="27" fillId="34" borderId="0" xfId="0" applyFont="1" applyFill="1">
      <alignment vertical="center"/>
    </xf>
    <xf numFmtId="0" fontId="27" fillId="13" borderId="0" xfId="0" applyFont="1" applyFill="1">
      <alignment vertical="center"/>
    </xf>
    <xf numFmtId="0" fontId="27" fillId="61" borderId="0" xfId="0" applyFont="1" applyFill="1">
      <alignment vertical="center"/>
    </xf>
    <xf numFmtId="0" fontId="27" fillId="26" borderId="0" xfId="0" applyFont="1" applyFill="1">
      <alignment vertical="center"/>
    </xf>
    <xf numFmtId="0" fontId="27" fillId="62" borderId="0" xfId="0" applyFont="1" applyFill="1">
      <alignment vertical="center"/>
    </xf>
    <xf numFmtId="0" fontId="27" fillId="14" borderId="0" xfId="0" applyFont="1" applyFill="1">
      <alignment vertical="center"/>
    </xf>
    <xf numFmtId="0" fontId="27" fillId="9" borderId="0" xfId="0" applyFont="1" applyFill="1">
      <alignment vertical="center"/>
    </xf>
    <xf numFmtId="0" fontId="27" fillId="63" borderId="0" xfId="0" applyFont="1" applyFill="1">
      <alignment vertical="center"/>
    </xf>
    <xf numFmtId="0" fontId="120" fillId="0" borderId="0" xfId="0" applyFont="1" applyAlignment="1"/>
    <xf numFmtId="0" fontId="121" fillId="0" borderId="0" xfId="0" applyFont="1" applyAlignment="1"/>
    <xf numFmtId="16" fontId="121" fillId="0" borderId="0" xfId="0" applyNumberFormat="1" applyFont="1" applyAlignment="1"/>
    <xf numFmtId="0" fontId="120" fillId="3" borderId="38" xfId="0" applyFont="1" applyFill="1" applyBorder="1" applyAlignment="1">
      <alignment vertical="center" wrapText="1"/>
    </xf>
    <xf numFmtId="0" fontId="121" fillId="3" borderId="0" xfId="0" applyFont="1" applyFill="1" applyAlignment="1"/>
    <xf numFmtId="0" fontId="119" fillId="0" borderId="0" xfId="0" applyFont="1" applyAlignment="1">
      <alignment horizontal="left"/>
    </xf>
    <xf numFmtId="0" fontId="122" fillId="0" borderId="0" xfId="0" applyFont="1">
      <alignment vertical="center"/>
    </xf>
    <xf numFmtId="0" fontId="122" fillId="0" borderId="0" xfId="0" applyFont="1" applyAlignment="1">
      <alignment horizontal="left"/>
    </xf>
    <xf numFmtId="0" fontId="123" fillId="0" borderId="0" xfId="0" applyFont="1" applyAlignment="1">
      <alignment horizontal="left"/>
    </xf>
    <xf numFmtId="0" fontId="122" fillId="60" borderId="0" xfId="0" applyFont="1" applyFill="1" applyAlignment="1">
      <alignment vertical="center" wrapText="1"/>
    </xf>
    <xf numFmtId="0" fontId="122" fillId="60" borderId="0" xfId="0" applyFont="1" applyFill="1" applyAlignment="1">
      <alignment horizontal="left"/>
    </xf>
    <xf numFmtId="0" fontId="123" fillId="0" borderId="0" xfId="0" applyFont="1" applyAlignment="1"/>
    <xf numFmtId="0" fontId="124" fillId="0" borderId="0" xfId="0" applyFont="1" applyAlignment="1">
      <alignment horizontal="left"/>
    </xf>
    <xf numFmtId="0" fontId="122" fillId="3" borderId="0" xfId="0" applyFont="1" applyFill="1">
      <alignment vertical="center"/>
    </xf>
    <xf numFmtId="0" fontId="122" fillId="3" borderId="0" xfId="0" applyFont="1" applyFill="1" applyAlignment="1">
      <alignment horizontal="left"/>
    </xf>
    <xf numFmtId="0" fontId="123" fillId="3" borderId="0" xfId="0" applyFont="1" applyFill="1" applyAlignment="1">
      <alignment horizontal="left"/>
    </xf>
    <xf numFmtId="0" fontId="123" fillId="0" borderId="0" xfId="0" applyFont="1">
      <alignment vertical="center"/>
    </xf>
    <xf numFmtId="0" fontId="122" fillId="34" borderId="0" xfId="0" applyFont="1" applyFill="1">
      <alignment vertical="center"/>
    </xf>
    <xf numFmtId="0" fontId="122" fillId="34" borderId="0" xfId="0" applyFont="1" applyFill="1" applyAlignment="1">
      <alignment horizontal="left"/>
    </xf>
    <xf numFmtId="0" fontId="123" fillId="13" borderId="0" xfId="0" applyFont="1" applyFill="1" applyAlignment="1"/>
    <xf numFmtId="0" fontId="122" fillId="13" borderId="0" xfId="0" applyFont="1" applyFill="1" applyAlignment="1">
      <alignment horizontal="left"/>
    </xf>
    <xf numFmtId="0" fontId="123" fillId="61" borderId="0" xfId="0" applyFont="1" applyFill="1" applyAlignment="1"/>
    <xf numFmtId="0" fontId="122" fillId="61" borderId="0" xfId="0" applyFont="1" applyFill="1" applyAlignment="1">
      <alignment horizontal="left"/>
    </xf>
    <xf numFmtId="0" fontId="125" fillId="0" borderId="0" xfId="0" applyFont="1">
      <alignment vertical="center"/>
    </xf>
    <xf numFmtId="0" fontId="126" fillId="0" borderId="0" xfId="0" applyFont="1">
      <alignment vertical="center"/>
    </xf>
    <xf numFmtId="0" fontId="123" fillId="26" borderId="0" xfId="0" applyFont="1" applyFill="1">
      <alignment vertical="center"/>
    </xf>
    <xf numFmtId="0" fontId="122" fillId="26" borderId="0" xfId="0" applyFont="1" applyFill="1" applyAlignment="1">
      <alignment horizontal="left"/>
    </xf>
    <xf numFmtId="0" fontId="122" fillId="62" borderId="0" xfId="0" applyFont="1" applyFill="1">
      <alignment vertical="center"/>
    </xf>
    <xf numFmtId="0" fontId="122" fillId="62" borderId="0" xfId="0" applyFont="1" applyFill="1" applyAlignment="1">
      <alignment horizontal="left"/>
    </xf>
    <xf numFmtId="0" fontId="123" fillId="0" borderId="38" xfId="0" applyFont="1" applyBorder="1">
      <alignment vertical="center"/>
    </xf>
    <xf numFmtId="0" fontId="122" fillId="0" borderId="38" xfId="0" applyFont="1" applyBorder="1">
      <alignment vertical="center"/>
    </xf>
    <xf numFmtId="0" fontId="122" fillId="14" borderId="38" xfId="0" applyFont="1" applyFill="1" applyBorder="1">
      <alignment vertical="center"/>
    </xf>
    <xf numFmtId="0" fontId="122" fillId="14" borderId="0" xfId="0" applyFont="1" applyFill="1" applyAlignment="1">
      <alignment horizontal="left"/>
    </xf>
    <xf numFmtId="0" fontId="123" fillId="9" borderId="38" xfId="0" applyFont="1" applyFill="1" applyBorder="1">
      <alignment vertical="center"/>
    </xf>
    <xf numFmtId="0" fontId="122" fillId="9" borderId="0" xfId="0" applyFont="1" applyFill="1" applyAlignment="1">
      <alignment horizontal="left"/>
    </xf>
    <xf numFmtId="0" fontId="122" fillId="62" borderId="38" xfId="0" applyFont="1" applyFill="1" applyBorder="1">
      <alignment vertical="center"/>
    </xf>
    <xf numFmtId="0" fontId="123" fillId="9" borderId="0" xfId="0" applyFont="1" applyFill="1" applyAlignment="1">
      <alignment horizontal="left"/>
    </xf>
    <xf numFmtId="0" fontId="123" fillId="13" borderId="0" xfId="0" applyFont="1" applyFill="1" applyAlignment="1">
      <alignment horizontal="left"/>
    </xf>
    <xf numFmtId="0" fontId="127" fillId="0" borderId="0" xfId="0" applyFont="1" applyAlignment="1">
      <alignment horizontal="left"/>
    </xf>
    <xf numFmtId="0" fontId="123" fillId="62" borderId="0" xfId="0" applyFont="1" applyFill="1" applyAlignment="1">
      <alignment horizontal="left"/>
    </xf>
    <xf numFmtId="0" fontId="124" fillId="3" borderId="0" xfId="0" applyFont="1" applyFill="1" applyAlignment="1">
      <alignment horizontal="left"/>
    </xf>
    <xf numFmtId="0" fontId="128" fillId="61" borderId="0" xfId="0" applyFont="1" applyFill="1" applyAlignment="1">
      <alignment horizontal="left"/>
    </xf>
    <xf numFmtId="0" fontId="128" fillId="0" borderId="0" xfId="0" applyFont="1" applyAlignment="1">
      <alignment horizontal="left"/>
    </xf>
    <xf numFmtId="0" fontId="124" fillId="26" borderId="0" xfId="0" applyFont="1" applyFill="1" applyAlignment="1">
      <alignment horizontal="left"/>
    </xf>
    <xf numFmtId="0" fontId="123" fillId="61" borderId="0" xfId="0" applyFont="1" applyFill="1" applyAlignment="1">
      <alignment horizontal="left"/>
    </xf>
    <xf numFmtId="0" fontId="123" fillId="60" borderId="0" xfId="0" applyFont="1" applyFill="1" applyAlignment="1">
      <alignment horizontal="left"/>
    </xf>
    <xf numFmtId="0" fontId="124" fillId="62" borderId="0" xfId="0" applyFont="1" applyFill="1" applyAlignment="1">
      <alignment horizontal="left"/>
    </xf>
    <xf numFmtId="0" fontId="124" fillId="9" borderId="0" xfId="0" applyFont="1" applyFill="1" applyAlignment="1">
      <alignment horizontal="left"/>
    </xf>
    <xf numFmtId="0" fontId="123" fillId="26" borderId="0" xfId="0" applyFont="1" applyFill="1" applyAlignment="1">
      <alignment horizontal="left"/>
    </xf>
    <xf numFmtId="0" fontId="41" fillId="0" borderId="0" xfId="0" applyFont="1">
      <alignment vertical="center"/>
    </xf>
    <xf numFmtId="0" fontId="126" fillId="14" borderId="0" xfId="0" applyFont="1" applyFill="1" applyAlignment="1">
      <alignment horizontal="left"/>
    </xf>
    <xf numFmtId="0" fontId="123" fillId="14" borderId="0" xfId="0" applyFont="1" applyFill="1" applyAlignment="1">
      <alignment horizontal="left"/>
    </xf>
    <xf numFmtId="0" fontId="125" fillId="0" borderId="0" xfId="0" applyFont="1" applyAlignment="1">
      <alignment horizontal="left"/>
    </xf>
    <xf numFmtId="0" fontId="123" fillId="34" borderId="0" xfId="0" applyFont="1" applyFill="1" applyAlignment="1">
      <alignment horizontal="left"/>
    </xf>
    <xf numFmtId="0" fontId="122" fillId="63" borderId="0" xfId="0" applyFont="1" applyFill="1" applyAlignment="1">
      <alignment horizontal="left"/>
    </xf>
    <xf numFmtId="0" fontId="123" fillId="0" borderId="38" xfId="0" applyFont="1" applyBorder="1" applyAlignment="1">
      <alignment vertical="center" wrapText="1"/>
    </xf>
    <xf numFmtId="0" fontId="123" fillId="0" borderId="0" xfId="0" applyFont="1" applyAlignment="1">
      <alignment vertical="center" wrapText="1"/>
    </xf>
    <xf numFmtId="0" fontId="126" fillId="63" borderId="0" xfId="0" applyFont="1" applyFill="1">
      <alignment vertical="center"/>
    </xf>
    <xf numFmtId="0" fontId="9" fillId="32" borderId="1" xfId="0" applyFont="1" applyFill="1" applyBorder="1" applyAlignment="1">
      <alignment horizontal="center" vertical="center"/>
    </xf>
    <xf numFmtId="0" fontId="0" fillId="0" borderId="0" xfId="0" applyAlignment="1">
      <alignment horizontal="center" vertical="center"/>
    </xf>
    <xf numFmtId="0" fontId="90" fillId="0" borderId="0" xfId="0" applyFont="1" applyAlignment="1">
      <alignment horizontal="center" vertical="center" wrapText="1"/>
    </xf>
    <xf numFmtId="0" fontId="90" fillId="0" borderId="0" xfId="0" applyFont="1" applyAlignment="1">
      <alignment horizontal="left" vertical="center" wrapText="1"/>
    </xf>
    <xf numFmtId="49" fontId="90" fillId="0" borderId="0" xfId="0" applyNumberFormat="1" applyFont="1" applyAlignment="1">
      <alignment horizontal="center" vertical="center" wrapText="1"/>
    </xf>
    <xf numFmtId="0" fontId="112" fillId="0" borderId="0" xfId="0" applyFont="1" applyAlignment="1">
      <alignment horizontal="center" vertical="center"/>
    </xf>
    <xf numFmtId="0" fontId="131" fillId="2" borderId="7" xfId="0" applyFont="1" applyFill="1" applyBorder="1" applyAlignment="1">
      <alignment horizontal="center" vertical="center" wrapText="1"/>
    </xf>
    <xf numFmtId="0" fontId="131" fillId="2" borderId="14" xfId="0" applyFont="1" applyFill="1" applyBorder="1" applyAlignment="1">
      <alignment horizontal="center" vertical="center" wrapText="1"/>
    </xf>
    <xf numFmtId="49" fontId="131" fillId="2" borderId="14" xfId="0" applyNumberFormat="1" applyFont="1" applyFill="1" applyBorder="1" applyAlignment="1">
      <alignment horizontal="center" vertical="center" wrapText="1"/>
    </xf>
    <xf numFmtId="0" fontId="131" fillId="2" borderId="8" xfId="0" applyFont="1" applyFill="1" applyBorder="1" applyAlignment="1">
      <alignment horizontal="center" vertical="center" wrapText="1"/>
    </xf>
    <xf numFmtId="0" fontId="90" fillId="0" borderId="10" xfId="0" applyFont="1" applyBorder="1" applyAlignment="1">
      <alignment horizontal="center" vertical="center" wrapText="1"/>
    </xf>
    <xf numFmtId="0" fontId="90" fillId="33" borderId="10" xfId="0" applyFont="1" applyFill="1" applyBorder="1" applyAlignment="1">
      <alignment horizontal="center" vertical="center" wrapText="1"/>
    </xf>
    <xf numFmtId="0" fontId="90" fillId="33" borderId="0" xfId="0" applyFont="1" applyFill="1" applyAlignment="1">
      <alignment vertical="center" wrapText="1"/>
    </xf>
    <xf numFmtId="0" fontId="91" fillId="65" borderId="0" xfId="0" applyFont="1" applyFill="1" applyAlignment="1">
      <alignment horizontal="center" vertical="center" wrapText="1"/>
    </xf>
    <xf numFmtId="49" fontId="90" fillId="64" borderId="0" xfId="0" applyNumberFormat="1" applyFont="1" applyFill="1" applyAlignment="1">
      <alignment horizontal="center" vertical="center" wrapText="1"/>
    </xf>
    <xf numFmtId="0" fontId="112" fillId="33" borderId="0" xfId="0" applyFont="1" applyFill="1" applyAlignment="1">
      <alignment horizontal="center" vertical="center" wrapText="1"/>
    </xf>
    <xf numFmtId="0" fontId="90" fillId="33" borderId="0" xfId="0" applyFont="1" applyFill="1" applyAlignment="1">
      <alignment horizontal="center" vertical="center" wrapText="1"/>
    </xf>
    <xf numFmtId="0" fontId="90" fillId="33" borderId="11" xfId="0" applyFont="1" applyFill="1" applyBorder="1" applyAlignment="1">
      <alignment horizontal="left" vertical="center" wrapText="1"/>
    </xf>
    <xf numFmtId="0" fontId="90" fillId="0" borderId="11" xfId="0" applyFont="1" applyBorder="1" applyAlignment="1">
      <alignment horizontal="left" vertical="center" wrapText="1"/>
    </xf>
    <xf numFmtId="0" fontId="90" fillId="8" borderId="10" xfId="0" applyFont="1" applyFill="1" applyBorder="1" applyAlignment="1">
      <alignment horizontal="center" vertical="center" wrapText="1"/>
    </xf>
    <xf numFmtId="0" fontId="90" fillId="8" borderId="0" xfId="0" applyFont="1" applyFill="1" applyAlignment="1">
      <alignment horizontal="left" vertical="center" wrapText="1"/>
    </xf>
    <xf numFmtId="49" fontId="90" fillId="8" borderId="0" xfId="0" applyNumberFormat="1" applyFont="1" applyFill="1" applyAlignment="1">
      <alignment horizontal="center" vertical="center" wrapText="1"/>
    </xf>
    <xf numFmtId="0" fontId="90" fillId="8" borderId="0" xfId="0" applyFont="1" applyFill="1" applyAlignment="1">
      <alignment horizontal="center" vertical="center" wrapText="1"/>
    </xf>
    <xf numFmtId="0" fontId="90" fillId="8" borderId="11" xfId="0" applyFont="1" applyFill="1" applyBorder="1" applyAlignment="1">
      <alignment horizontal="left" vertical="center" wrapText="1"/>
    </xf>
    <xf numFmtId="0" fontId="27" fillId="37" borderId="10" xfId="0" applyFont="1" applyFill="1" applyBorder="1" applyAlignment="1">
      <alignment horizontal="center" vertical="center" wrapText="1"/>
    </xf>
    <xf numFmtId="0" fontId="83" fillId="34" borderId="10" xfId="0" applyFont="1" applyFill="1" applyBorder="1" applyAlignment="1">
      <alignment horizontal="center" vertical="center" wrapText="1"/>
    </xf>
    <xf numFmtId="0" fontId="83" fillId="0" borderId="10" xfId="0" applyFont="1" applyBorder="1" applyAlignment="1">
      <alignment horizontal="center" vertical="center" wrapText="1"/>
    </xf>
    <xf numFmtId="0" fontId="112" fillId="32" borderId="0" xfId="0" applyFont="1" applyFill="1" applyAlignment="1">
      <alignment horizontal="center" vertical="center" wrapText="1"/>
    </xf>
    <xf numFmtId="0" fontId="112" fillId="32" borderId="0" xfId="0" applyFont="1" applyFill="1" applyAlignment="1">
      <alignment horizontal="center" vertical="center"/>
    </xf>
    <xf numFmtId="0" fontId="112" fillId="32" borderId="0" xfId="0" applyFont="1" applyFill="1" applyAlignment="1">
      <alignment horizontal="left" vertical="center"/>
    </xf>
    <xf numFmtId="0" fontId="112" fillId="32" borderId="0" xfId="0" applyFont="1" applyFill="1" applyAlignment="1">
      <alignment horizontal="centerContinuous" vertical="center"/>
    </xf>
    <xf numFmtId="0" fontId="91" fillId="34" borderId="147" xfId="0" applyFont="1" applyFill="1" applyBorder="1" applyAlignment="1">
      <alignment horizontal="left" vertical="center" wrapText="1"/>
    </xf>
    <xf numFmtId="0" fontId="90" fillId="34" borderId="65" xfId="0" applyFont="1" applyFill="1" applyBorder="1" applyAlignment="1">
      <alignment vertical="center" wrapText="1"/>
    </xf>
    <xf numFmtId="0" fontId="27" fillId="37" borderId="0" xfId="0" applyFont="1" applyFill="1" applyAlignment="1">
      <alignment horizontal="center" vertical="center"/>
    </xf>
    <xf numFmtId="0" fontId="27" fillId="37" borderId="11" xfId="0" applyFont="1" applyFill="1" applyBorder="1" applyAlignment="1">
      <alignment horizontal="center" vertical="center"/>
    </xf>
    <xf numFmtId="0" fontId="83" fillId="34" borderId="46" xfId="0" applyFont="1" applyFill="1" applyBorder="1" applyAlignment="1">
      <alignment horizontal="center" vertical="center" wrapText="1"/>
    </xf>
    <xf numFmtId="0" fontId="83" fillId="34" borderId="19" xfId="0" applyFont="1" applyFill="1" applyBorder="1" applyAlignment="1">
      <alignment horizontal="center" vertical="center" wrapText="1"/>
    </xf>
    <xf numFmtId="0" fontId="83" fillId="0" borderId="46" xfId="0" applyFont="1" applyBorder="1" applyAlignment="1">
      <alignment horizontal="center" vertical="center" wrapText="1"/>
    </xf>
    <xf numFmtId="0" fontId="83" fillId="0" borderId="19" xfId="0" applyFont="1" applyBorder="1" applyAlignment="1">
      <alignment horizontal="center" vertical="center" wrapText="1"/>
    </xf>
    <xf numFmtId="0" fontId="90" fillId="0" borderId="0" xfId="0" applyFont="1" applyAlignment="1">
      <alignment vertical="center" wrapText="1"/>
    </xf>
    <xf numFmtId="0" fontId="112" fillId="32" borderId="0" xfId="0" applyFont="1" applyFill="1" applyAlignment="1">
      <alignment horizontal="left" vertical="center" wrapText="1"/>
    </xf>
    <xf numFmtId="0" fontId="90" fillId="8" borderId="12" xfId="0" applyFont="1" applyFill="1" applyBorder="1" applyAlignment="1">
      <alignment horizontal="center" vertical="center" wrapText="1"/>
    </xf>
    <xf numFmtId="49" fontId="90" fillId="8" borderId="15" xfId="0" applyNumberFormat="1" applyFont="1" applyFill="1" applyBorder="1" applyAlignment="1">
      <alignment horizontal="center" vertical="center" wrapText="1"/>
    </xf>
    <xf numFmtId="0" fontId="90" fillId="8" borderId="15" xfId="0" applyFont="1" applyFill="1" applyBorder="1" applyAlignment="1">
      <alignment horizontal="center" vertical="center" wrapText="1"/>
    </xf>
    <xf numFmtId="0" fontId="90" fillId="8" borderId="13" xfId="0" applyFont="1" applyFill="1" applyBorder="1" applyAlignment="1">
      <alignment horizontal="left" vertical="center" wrapText="1"/>
    </xf>
    <xf numFmtId="0" fontId="133" fillId="0" borderId="7" xfId="0" applyFont="1" applyBorder="1" applyAlignment="1">
      <alignment horizontal="center" vertical="center"/>
    </xf>
    <xf numFmtId="0" fontId="133" fillId="0" borderId="14" xfId="0" applyFont="1" applyBorder="1" applyAlignment="1">
      <alignment horizontal="center" vertical="center"/>
    </xf>
    <xf numFmtId="0" fontId="90" fillId="0" borderId="14" xfId="0" applyFont="1" applyBorder="1" applyAlignment="1">
      <alignment horizontal="center" vertical="center" wrapText="1"/>
    </xf>
    <xf numFmtId="0" fontId="133" fillId="0" borderId="8" xfId="0" applyFont="1" applyBorder="1" applyAlignment="1">
      <alignment horizontal="left" vertical="center"/>
    </xf>
    <xf numFmtId="0" fontId="133" fillId="67" borderId="10" xfId="0" applyFont="1" applyFill="1" applyBorder="1" applyAlignment="1">
      <alignment horizontal="center" vertical="center"/>
    </xf>
    <xf numFmtId="49" fontId="133" fillId="67" borderId="0" xfId="0" applyNumberFormat="1" applyFont="1" applyFill="1" applyAlignment="1">
      <alignment horizontal="center" vertical="center"/>
    </xf>
    <xf numFmtId="0" fontId="133" fillId="67" borderId="0" xfId="0" applyFont="1" applyFill="1" applyAlignment="1">
      <alignment horizontal="center" vertical="center" wrapText="1"/>
    </xf>
    <xf numFmtId="0" fontId="133" fillId="67" borderId="0" xfId="0" applyFont="1" applyFill="1" applyAlignment="1">
      <alignment horizontal="center" vertical="center"/>
    </xf>
    <xf numFmtId="0" fontId="133" fillId="67" borderId="11" xfId="0" applyFont="1" applyFill="1" applyBorder="1" applyAlignment="1">
      <alignment horizontal="left" vertical="center" wrapText="1"/>
    </xf>
    <xf numFmtId="0" fontId="133" fillId="0" borderId="10" xfId="0" applyFont="1" applyBorder="1" applyAlignment="1">
      <alignment horizontal="center" vertical="center"/>
    </xf>
    <xf numFmtId="0" fontId="133" fillId="0" borderId="0" xfId="0" applyFont="1" applyAlignment="1">
      <alignment horizontal="center" vertical="center"/>
    </xf>
    <xf numFmtId="0" fontId="133" fillId="0" borderId="0" xfId="0" applyFont="1" applyAlignment="1">
      <alignment horizontal="center" vertical="center" wrapText="1"/>
    </xf>
    <xf numFmtId="0" fontId="133" fillId="0" borderId="11" xfId="0" applyFont="1" applyBorder="1" applyAlignment="1">
      <alignment horizontal="left" vertical="center"/>
    </xf>
    <xf numFmtId="0" fontId="133" fillId="0" borderId="0" xfId="0" applyFont="1">
      <alignment vertical="center"/>
    </xf>
    <xf numFmtId="0" fontId="90" fillId="67" borderId="0" xfId="0" applyFont="1" applyFill="1" applyAlignment="1">
      <alignment horizontal="center" vertical="center" wrapText="1"/>
    </xf>
    <xf numFmtId="0" fontId="133" fillId="0" borderId="12" xfId="0" applyFont="1" applyBorder="1" applyAlignment="1">
      <alignment horizontal="center" vertical="center"/>
    </xf>
    <xf numFmtId="0" fontId="133" fillId="0" borderId="15" xfId="0" applyFont="1" applyBorder="1" applyAlignment="1">
      <alignment horizontal="center" vertical="center"/>
    </xf>
    <xf numFmtId="0" fontId="133" fillId="0" borderId="15" xfId="0" applyFont="1" applyBorder="1" applyAlignment="1">
      <alignment horizontal="center" vertical="center" wrapText="1"/>
    </xf>
    <xf numFmtId="0" fontId="133" fillId="0" borderId="13" xfId="0" applyFont="1" applyBorder="1" applyAlignment="1">
      <alignment horizontal="left" vertical="center"/>
    </xf>
    <xf numFmtId="0" fontId="133" fillId="67" borderId="7" xfId="0" applyFont="1" applyFill="1" applyBorder="1" applyAlignment="1">
      <alignment horizontal="center" vertical="center"/>
    </xf>
    <xf numFmtId="49" fontId="133" fillId="67" borderId="14" xfId="0" applyNumberFormat="1" applyFont="1" applyFill="1" applyBorder="1" applyAlignment="1">
      <alignment horizontal="center" vertical="center"/>
    </xf>
    <xf numFmtId="0" fontId="133" fillId="67" borderId="14" xfId="0" applyFont="1" applyFill="1" applyBorder="1" applyAlignment="1">
      <alignment horizontal="center" vertical="center" wrapText="1"/>
    </xf>
    <xf numFmtId="0" fontId="133" fillId="67" borderId="14" xfId="0" applyFont="1" applyFill="1" applyBorder="1" applyAlignment="1">
      <alignment horizontal="center" vertical="center"/>
    </xf>
    <xf numFmtId="0" fontId="133" fillId="67" borderId="8" xfId="0" applyFont="1" applyFill="1" applyBorder="1" applyAlignment="1">
      <alignment horizontal="left" vertical="center" wrapText="1"/>
    </xf>
    <xf numFmtId="0" fontId="133" fillId="0" borderId="11" xfId="0" applyFont="1" applyBorder="1" applyAlignment="1">
      <alignment horizontal="left" vertical="center" wrapText="1"/>
    </xf>
    <xf numFmtId="0" fontId="133" fillId="67" borderId="12" xfId="0" applyFont="1" applyFill="1" applyBorder="1" applyAlignment="1">
      <alignment horizontal="center" vertical="center"/>
    </xf>
    <xf numFmtId="49" fontId="133" fillId="67" borderId="15" xfId="0" applyNumberFormat="1" applyFont="1" applyFill="1" applyBorder="1" applyAlignment="1">
      <alignment horizontal="center" vertical="center"/>
    </xf>
    <xf numFmtId="0" fontId="133" fillId="67" borderId="15" xfId="0" applyFont="1" applyFill="1" applyBorder="1" applyAlignment="1">
      <alignment horizontal="center" vertical="center" wrapText="1"/>
    </xf>
    <xf numFmtId="0" fontId="133" fillId="67" borderId="15" xfId="0" applyFont="1" applyFill="1" applyBorder="1" applyAlignment="1">
      <alignment horizontal="center" vertical="center"/>
    </xf>
    <xf numFmtId="0" fontId="133" fillId="67" borderId="13" xfId="0" applyFont="1" applyFill="1" applyBorder="1" applyAlignment="1">
      <alignment horizontal="left" vertical="center" wrapText="1"/>
    </xf>
    <xf numFmtId="0" fontId="133" fillId="0" borderId="0" xfId="0" applyFont="1" applyAlignment="1">
      <alignment vertical="center" wrapText="1"/>
    </xf>
    <xf numFmtId="0" fontId="133" fillId="0" borderId="1" xfId="0" applyFont="1" applyBorder="1">
      <alignment vertical="center"/>
    </xf>
    <xf numFmtId="0" fontId="112" fillId="0" borderId="1" xfId="0" applyFont="1" applyBorder="1" applyAlignment="1">
      <alignment horizontal="center" vertical="center"/>
    </xf>
    <xf numFmtId="0" fontId="112" fillId="0" borderId="5" xfId="0" applyFont="1" applyBorder="1" applyAlignment="1">
      <alignment horizontal="center" vertical="center"/>
    </xf>
    <xf numFmtId="0" fontId="133" fillId="0" borderId="2" xfId="0" applyFont="1" applyBorder="1">
      <alignment vertical="center"/>
    </xf>
    <xf numFmtId="0" fontId="112" fillId="0" borderId="2" xfId="0" applyFont="1" applyBorder="1" applyAlignment="1">
      <alignment horizontal="center" vertical="center"/>
    </xf>
    <xf numFmtId="0" fontId="64" fillId="7" borderId="137" xfId="0" applyFont="1" applyFill="1" applyBorder="1">
      <alignment vertical="center"/>
    </xf>
    <xf numFmtId="0" fontId="64" fillId="0" borderId="26" xfId="0" applyFont="1" applyBorder="1">
      <alignment vertical="center"/>
    </xf>
    <xf numFmtId="0" fontId="64" fillId="9" borderId="26" xfId="0" applyFont="1" applyFill="1" applyBorder="1">
      <alignment vertical="center"/>
    </xf>
    <xf numFmtId="0" fontId="64" fillId="9" borderId="144" xfId="0" applyFont="1" applyFill="1" applyBorder="1">
      <alignment vertical="center"/>
    </xf>
    <xf numFmtId="49" fontId="133" fillId="0" borderId="7" xfId="0" applyNumberFormat="1" applyFont="1" applyBorder="1" applyAlignment="1">
      <alignment horizontal="center" vertical="center"/>
    </xf>
    <xf numFmtId="49" fontId="133" fillId="0" borderId="14" xfId="0" applyNumberFormat="1" applyFont="1" applyBorder="1" applyAlignment="1">
      <alignment horizontal="center" vertical="center"/>
    </xf>
    <xf numFmtId="49" fontId="133" fillId="0" borderId="14" xfId="0" applyNumberFormat="1" applyFont="1" applyBorder="1" applyAlignment="1">
      <alignment horizontal="center" vertical="center" wrapText="1"/>
    </xf>
    <xf numFmtId="49" fontId="133" fillId="0" borderId="8" xfId="0" applyNumberFormat="1" applyFont="1" applyBorder="1" applyAlignment="1">
      <alignment horizontal="left" vertical="center" wrapText="1"/>
    </xf>
    <xf numFmtId="49" fontId="133" fillId="67" borderId="10" xfId="0" applyNumberFormat="1" applyFont="1" applyFill="1" applyBorder="1" applyAlignment="1">
      <alignment horizontal="center" vertical="center"/>
    </xf>
    <xf numFmtId="49" fontId="133" fillId="67" borderId="0" xfId="0" applyNumberFormat="1" applyFont="1" applyFill="1" applyAlignment="1">
      <alignment horizontal="center" vertical="center" wrapText="1"/>
    </xf>
    <xf numFmtId="49" fontId="133" fillId="67" borderId="11" xfId="0" applyNumberFormat="1" applyFont="1" applyFill="1" applyBorder="1" applyAlignment="1">
      <alignment horizontal="left" vertical="center" wrapText="1"/>
    </xf>
    <xf numFmtId="49" fontId="133" fillId="0" borderId="10" xfId="0" applyNumberFormat="1" applyFont="1" applyBorder="1" applyAlignment="1">
      <alignment horizontal="center" vertical="center"/>
    </xf>
    <xf numFmtId="49" fontId="133" fillId="0" borderId="0" xfId="0" applyNumberFormat="1" applyFont="1" applyAlignment="1">
      <alignment horizontal="center" vertical="center"/>
    </xf>
    <xf numFmtId="49" fontId="133" fillId="0" borderId="0" xfId="0" applyNumberFormat="1" applyFont="1" applyAlignment="1">
      <alignment horizontal="center" vertical="center" wrapText="1"/>
    </xf>
    <xf numFmtId="49" fontId="133" fillId="0" borderId="11" xfId="0" applyNumberFormat="1" applyFont="1" applyBorder="1" applyAlignment="1">
      <alignment horizontal="left" vertical="center"/>
    </xf>
    <xf numFmtId="49" fontId="133" fillId="0" borderId="11" xfId="0" applyNumberFormat="1" applyFont="1" applyBorder="1" applyAlignment="1">
      <alignment horizontal="left" vertical="center" wrapText="1"/>
    </xf>
    <xf numFmtId="49" fontId="133" fillId="67" borderId="12" xfId="0" applyNumberFormat="1" applyFont="1" applyFill="1" applyBorder="1" applyAlignment="1">
      <alignment horizontal="center" vertical="center"/>
    </xf>
    <xf numFmtId="49" fontId="133" fillId="67" borderId="13" xfId="0" applyNumberFormat="1" applyFont="1" applyFill="1" applyBorder="1" applyAlignment="1">
      <alignment horizontal="left" vertical="center" wrapText="1"/>
    </xf>
    <xf numFmtId="49" fontId="136" fillId="0" borderId="0" xfId="0" applyNumberFormat="1" applyFont="1" applyAlignment="1">
      <alignment horizontal="center" vertical="center"/>
    </xf>
    <xf numFmtId="49" fontId="136" fillId="0" borderId="0" xfId="0" applyNumberFormat="1" applyFont="1" applyAlignment="1">
      <alignment horizontal="left" vertical="center"/>
    </xf>
    <xf numFmtId="49" fontId="136" fillId="0" borderId="0" xfId="0" applyNumberFormat="1" applyFont="1" applyAlignment="1">
      <alignment horizontal="center" vertical="center" wrapText="1"/>
    </xf>
    <xf numFmtId="0" fontId="112" fillId="0" borderId="0" xfId="0" applyFont="1" applyAlignment="1">
      <alignment horizontal="left" vertical="center" wrapText="1"/>
    </xf>
    <xf numFmtId="0" fontId="136" fillId="0" borderId="0" xfId="0" applyFont="1" applyAlignment="1">
      <alignment horizontal="center" vertical="center"/>
    </xf>
    <xf numFmtId="0" fontId="136" fillId="0" borderId="0" xfId="0" applyFont="1" applyAlignment="1">
      <alignment horizontal="left" vertical="center"/>
    </xf>
    <xf numFmtId="0" fontId="136" fillId="0" borderId="0" xfId="0" applyFont="1" applyAlignment="1">
      <alignment horizontal="center" vertical="center" wrapText="1"/>
    </xf>
    <xf numFmtId="0" fontId="136" fillId="0" borderId="0" xfId="0" applyFont="1" applyAlignment="1">
      <alignment horizontal="left" vertical="center" wrapText="1"/>
    </xf>
    <xf numFmtId="0" fontId="112" fillId="0" borderId="0" xfId="0" applyFont="1" applyAlignment="1">
      <alignment horizontal="center" vertical="center" wrapText="1"/>
    </xf>
    <xf numFmtId="0" fontId="136" fillId="0" borderId="0" xfId="0" applyFont="1">
      <alignment vertical="center"/>
    </xf>
    <xf numFmtId="179" fontId="3" fillId="9" borderId="0" xfId="0" applyNumberFormat="1" applyFont="1" applyFill="1" applyAlignment="1">
      <alignment horizontal="center" vertical="center"/>
    </xf>
    <xf numFmtId="179" fontId="3" fillId="4" borderId="0" xfId="0" applyNumberFormat="1" applyFont="1" applyFill="1" applyAlignment="1">
      <alignment horizontal="center" vertical="center"/>
    </xf>
    <xf numFmtId="179" fontId="12" fillId="0" borderId="0" xfId="0" applyNumberFormat="1" applyFont="1" applyAlignment="1">
      <alignment horizontal="center" vertical="center"/>
    </xf>
    <xf numFmtId="179" fontId="12" fillId="0" borderId="15" xfId="0" applyNumberFormat="1" applyFont="1" applyBorder="1" applyAlignment="1">
      <alignment horizontal="center" vertical="center"/>
    </xf>
    <xf numFmtId="179" fontId="84" fillId="0" borderId="10" xfId="0" applyNumberFormat="1" applyFont="1" applyBorder="1" applyAlignment="1">
      <alignment horizontal="center" vertical="center"/>
    </xf>
    <xf numFmtId="179" fontId="84" fillId="0" borderId="0" xfId="0" applyNumberFormat="1" applyFont="1" applyAlignment="1">
      <alignment horizontal="center" vertical="center"/>
    </xf>
    <xf numFmtId="179" fontId="18" fillId="9" borderId="10" xfId="0" applyNumberFormat="1" applyFont="1" applyFill="1" applyBorder="1" applyAlignment="1">
      <alignment horizontal="center" vertical="center"/>
    </xf>
    <xf numFmtId="179" fontId="18" fillId="9" borderId="0" xfId="0" applyNumberFormat="1" applyFont="1" applyFill="1" applyAlignment="1">
      <alignment horizontal="center" vertical="center"/>
    </xf>
    <xf numFmtId="179" fontId="18" fillId="0" borderId="10" xfId="0" applyNumberFormat="1" applyFont="1" applyBorder="1" applyAlignment="1">
      <alignment horizontal="center" vertical="center"/>
    </xf>
    <xf numFmtId="179" fontId="18" fillId="0" borderId="0" xfId="0" applyNumberFormat="1" applyFont="1" applyAlignment="1">
      <alignment horizontal="center" vertical="center"/>
    </xf>
    <xf numFmtId="0" fontId="15" fillId="9" borderId="83" xfId="0" applyFont="1" applyFill="1" applyBorder="1" applyAlignment="1">
      <alignment horizontal="center" vertical="center"/>
    </xf>
    <xf numFmtId="0" fontId="15" fillId="0" borderId="83" xfId="0" applyFont="1" applyBorder="1" applyAlignment="1">
      <alignment horizontal="center" vertical="center"/>
    </xf>
    <xf numFmtId="179" fontId="3" fillId="4" borderId="11" xfId="0" applyNumberFormat="1" applyFont="1" applyFill="1" applyBorder="1" applyAlignment="1">
      <alignment horizontal="center" vertical="center"/>
    </xf>
    <xf numFmtId="179" fontId="12" fillId="0" borderId="11" xfId="0" applyNumberFormat="1" applyFont="1" applyBorder="1" applyAlignment="1">
      <alignment horizontal="center" vertical="center"/>
    </xf>
    <xf numFmtId="179" fontId="3" fillId="9" borderId="11" xfId="0" applyNumberFormat="1" applyFont="1" applyFill="1" applyBorder="1" applyAlignment="1">
      <alignment horizontal="center" vertical="center"/>
    </xf>
    <xf numFmtId="179" fontId="12" fillId="0" borderId="13" xfId="0" applyNumberFormat="1" applyFont="1" applyBorder="1" applyAlignment="1">
      <alignment horizontal="center" vertical="center"/>
    </xf>
    <xf numFmtId="179" fontId="3" fillId="9" borderId="10" xfId="0" applyNumberFormat="1" applyFont="1" applyFill="1" applyBorder="1">
      <alignment vertical="center"/>
    </xf>
    <xf numFmtId="179" fontId="84" fillId="0" borderId="11" xfId="0" applyNumberFormat="1" applyFont="1" applyBorder="1" applyAlignment="1">
      <alignment horizontal="center" vertical="center"/>
    </xf>
    <xf numFmtId="179" fontId="18" fillId="9" borderId="11" xfId="0" applyNumberFormat="1" applyFont="1" applyFill="1" applyBorder="1" applyAlignment="1">
      <alignment horizontal="center" vertical="center"/>
    </xf>
    <xf numFmtId="179" fontId="18" fillId="0" borderId="11" xfId="0" applyNumberFormat="1" applyFont="1" applyBorder="1" applyAlignment="1">
      <alignment horizontal="center" vertical="center"/>
    </xf>
    <xf numFmtId="0" fontId="84" fillId="4" borderId="11" xfId="0" applyFont="1" applyFill="1" applyBorder="1" applyAlignment="1">
      <alignment horizontal="center" vertical="center"/>
    </xf>
    <xf numFmtId="179" fontId="3" fillId="9" borderId="12" xfId="0" applyNumberFormat="1" applyFont="1" applyFill="1" applyBorder="1">
      <alignment vertical="center"/>
    </xf>
    <xf numFmtId="179" fontId="1" fillId="9" borderId="0" xfId="0" applyNumberFormat="1" applyFont="1" applyFill="1" applyAlignment="1">
      <alignment horizontal="center" vertical="center"/>
    </xf>
    <xf numFmtId="179" fontId="1" fillId="9" borderId="0" xfId="0" applyNumberFormat="1" applyFont="1" applyFill="1" applyAlignment="1">
      <alignment horizontal="right" vertical="center"/>
    </xf>
    <xf numFmtId="180" fontId="1" fillId="9" borderId="0" xfId="0" applyNumberFormat="1" applyFont="1" applyFill="1" applyAlignment="1">
      <alignment horizontal="left" vertical="center"/>
    </xf>
    <xf numFmtId="179" fontId="1" fillId="4" borderId="0" xfId="0" applyNumberFormat="1" applyFont="1" applyFill="1" applyAlignment="1">
      <alignment horizontal="center" vertical="center"/>
    </xf>
    <xf numFmtId="179" fontId="1" fillId="4" borderId="0" xfId="0" applyNumberFormat="1" applyFont="1" applyFill="1" applyAlignment="1">
      <alignment horizontal="right" vertical="center"/>
    </xf>
    <xf numFmtId="0" fontId="1" fillId="9" borderId="0" xfId="0" applyFont="1" applyFill="1" applyAlignment="1">
      <alignment horizontal="center" vertical="center"/>
    </xf>
    <xf numFmtId="181" fontId="1" fillId="9" borderId="0" xfId="0" applyNumberFormat="1" applyFont="1" applyFill="1" applyAlignment="1">
      <alignment horizontal="right" vertical="center"/>
    </xf>
    <xf numFmtId="181" fontId="1" fillId="9" borderId="0" xfId="0" applyNumberFormat="1" applyFont="1" applyFill="1" applyAlignment="1">
      <alignment horizontal="left" vertical="center"/>
    </xf>
    <xf numFmtId="179" fontId="3" fillId="4" borderId="0" xfId="0" applyNumberFormat="1" applyFont="1" applyFill="1">
      <alignment vertical="center"/>
    </xf>
    <xf numFmtId="0" fontId="1" fillId="9" borderId="15" xfId="0" applyFont="1" applyFill="1" applyBorder="1" applyAlignment="1">
      <alignment horizontal="center" vertical="center"/>
    </xf>
    <xf numFmtId="181" fontId="1" fillId="9" borderId="15" xfId="0" applyNumberFormat="1" applyFont="1" applyFill="1" applyBorder="1" applyAlignment="1">
      <alignment horizontal="right" vertical="center"/>
    </xf>
    <xf numFmtId="181" fontId="1" fillId="9" borderId="15" xfId="0" applyNumberFormat="1" applyFont="1" applyFill="1" applyBorder="1" applyAlignment="1">
      <alignment horizontal="left" vertical="center"/>
    </xf>
    <xf numFmtId="179" fontId="1" fillId="4" borderId="15" xfId="0" applyNumberFormat="1" applyFont="1" applyFill="1" applyBorder="1" applyAlignment="1">
      <alignment horizontal="center" vertical="center"/>
    </xf>
    <xf numFmtId="179" fontId="1" fillId="4" borderId="15" xfId="0" applyNumberFormat="1" applyFont="1" applyFill="1" applyBorder="1" applyAlignment="1">
      <alignment horizontal="right" vertical="center"/>
    </xf>
    <xf numFmtId="180" fontId="1" fillId="4" borderId="11" xfId="0" applyNumberFormat="1" applyFont="1" applyFill="1" applyBorder="1" applyAlignment="1">
      <alignment horizontal="left" vertical="center"/>
    </xf>
    <xf numFmtId="0" fontId="15" fillId="0" borderId="78" xfId="0" applyFont="1" applyBorder="1" applyAlignment="1">
      <alignment horizontal="center" vertical="center"/>
    </xf>
    <xf numFmtId="0" fontId="15" fillId="0" borderId="15" xfId="0" applyFont="1" applyBorder="1" applyAlignment="1">
      <alignment horizontal="center" vertical="center"/>
    </xf>
    <xf numFmtId="0" fontId="15" fillId="0" borderId="91" xfId="0" applyFont="1" applyBorder="1" applyAlignment="1">
      <alignment horizontal="center" vertical="center"/>
    </xf>
    <xf numFmtId="180" fontId="1" fillId="4" borderId="13" xfId="0" applyNumberFormat="1" applyFont="1" applyFill="1" applyBorder="1" applyAlignment="1">
      <alignment horizontal="left" vertical="center"/>
    </xf>
    <xf numFmtId="0" fontId="138" fillId="0" borderId="0" xfId="0" applyFont="1">
      <alignment vertical="center"/>
    </xf>
    <xf numFmtId="0" fontId="15" fillId="9" borderId="0" xfId="0" applyFont="1" applyFill="1">
      <alignment vertical="center"/>
    </xf>
    <xf numFmtId="0" fontId="15" fillId="9" borderId="33" xfId="0" applyFont="1" applyFill="1" applyBorder="1">
      <alignment vertical="center"/>
    </xf>
    <xf numFmtId="0" fontId="51" fillId="0" borderId="0" xfId="0" applyFont="1" applyAlignment="1">
      <alignment horizontal="center" vertical="center"/>
    </xf>
    <xf numFmtId="177" fontId="51" fillId="0" borderId="0" xfId="0" applyNumberFormat="1" applyFont="1" applyAlignment="1">
      <alignment horizontal="center" vertical="center"/>
    </xf>
    <xf numFmtId="0" fontId="105" fillId="0" borderId="15" xfId="0" applyFont="1" applyBorder="1" applyAlignment="1">
      <alignment horizontal="center" vertical="center"/>
    </xf>
    <xf numFmtId="0" fontId="56" fillId="0" borderId="0" xfId="0" applyFont="1" applyAlignment="1">
      <alignment horizontal="left" vertical="center"/>
    </xf>
    <xf numFmtId="0" fontId="28" fillId="0" borderId="11" xfId="0" applyFont="1" applyBorder="1">
      <alignment vertical="center"/>
    </xf>
    <xf numFmtId="0" fontId="0" fillId="0" borderId="11" xfId="0" applyBorder="1">
      <alignment vertical="center"/>
    </xf>
    <xf numFmtId="0" fontId="28" fillId="0" borderId="15" xfId="0" applyFont="1" applyBorder="1">
      <alignment vertical="center"/>
    </xf>
    <xf numFmtId="0" fontId="28" fillId="0" borderId="13" xfId="0" applyFont="1" applyBorder="1">
      <alignment vertical="center"/>
    </xf>
    <xf numFmtId="0" fontId="160" fillId="0" borderId="0" xfId="0" applyFont="1" applyAlignment="1">
      <alignment vertical="top"/>
    </xf>
    <xf numFmtId="0" fontId="162" fillId="0" borderId="0" xfId="0" applyFont="1" applyAlignment="1">
      <alignment vertical="top" wrapText="1"/>
    </xf>
    <xf numFmtId="0" fontId="56" fillId="0" borderId="13" xfId="0" applyFont="1" applyBorder="1" applyAlignment="1">
      <alignment horizontal="center" vertical="center"/>
    </xf>
    <xf numFmtId="58" fontId="32" fillId="17" borderId="11" xfId="0" applyNumberFormat="1" applyFont="1" applyFill="1" applyBorder="1" applyAlignment="1">
      <alignment horizontal="center" vertical="center"/>
    </xf>
    <xf numFmtId="58" fontId="32" fillId="9" borderId="11" xfId="0" applyNumberFormat="1" applyFont="1" applyFill="1" applyBorder="1" applyAlignment="1">
      <alignment horizontal="center" vertical="center"/>
    </xf>
    <xf numFmtId="58" fontId="26" fillId="9" borderId="11" xfId="0" applyNumberFormat="1" applyFont="1" applyFill="1" applyBorder="1" applyAlignment="1">
      <alignment horizontal="center" vertical="center"/>
    </xf>
    <xf numFmtId="0" fontId="15" fillId="0" borderId="33" xfId="0" applyFont="1" applyBorder="1" applyAlignment="1">
      <alignment horizontal="left" vertical="center"/>
    </xf>
    <xf numFmtId="0" fontId="12" fillId="0" borderId="0" xfId="0" applyFont="1" applyAlignment="1">
      <alignment horizontal="left" vertical="center"/>
    </xf>
    <xf numFmtId="0" fontId="15" fillId="9" borderId="0" xfId="0" applyFont="1" applyFill="1" applyAlignment="1">
      <alignment horizontal="left" vertical="center"/>
    </xf>
    <xf numFmtId="0" fontId="15" fillId="0" borderId="10" xfId="0" applyFont="1" applyBorder="1" applyAlignment="1">
      <alignment horizontal="left" vertical="center" wrapText="1"/>
    </xf>
    <xf numFmtId="0" fontId="15" fillId="0" borderId="139" xfId="0" applyFont="1" applyBorder="1" applyAlignment="1">
      <alignment horizontal="left" vertical="center"/>
    </xf>
    <xf numFmtId="0" fontId="15" fillId="0" borderId="8" xfId="0" applyFont="1" applyBorder="1" applyAlignment="1">
      <alignment horizontal="left" vertical="center"/>
    </xf>
    <xf numFmtId="0" fontId="15" fillId="7" borderId="7" xfId="0" applyFont="1" applyFill="1" applyBorder="1" applyAlignment="1">
      <alignment horizontal="left" vertical="center"/>
    </xf>
    <xf numFmtId="0" fontId="15" fillId="0" borderId="14" xfId="0" applyFont="1" applyBorder="1" applyAlignment="1">
      <alignment horizontal="left" vertical="center"/>
    </xf>
    <xf numFmtId="0" fontId="112" fillId="37" borderId="145" xfId="0" applyFont="1" applyFill="1" applyBorder="1" applyAlignment="1">
      <alignment horizontal="left" vertical="center" wrapText="1"/>
    </xf>
    <xf numFmtId="0" fontId="15" fillId="37" borderId="146" xfId="0" applyFont="1" applyFill="1" applyBorder="1" applyAlignment="1">
      <alignment horizontal="left" vertical="center"/>
    </xf>
    <xf numFmtId="0" fontId="112" fillId="37" borderId="150" xfId="0" applyFont="1" applyFill="1" applyBorder="1" applyAlignment="1">
      <alignment horizontal="left" vertical="center"/>
    </xf>
    <xf numFmtId="0" fontId="112" fillId="0" borderId="0" xfId="0" applyFont="1" applyAlignment="1">
      <alignment horizontal="left" vertical="center"/>
    </xf>
    <xf numFmtId="0" fontId="15" fillId="0" borderId="38" xfId="0" applyFont="1" applyBorder="1" applyAlignment="1">
      <alignment horizontal="left" vertical="center"/>
    </xf>
    <xf numFmtId="0" fontId="90" fillId="34" borderId="138" xfId="0" applyFont="1" applyFill="1" applyBorder="1" applyAlignment="1">
      <alignment horizontal="left" vertical="center" wrapText="1"/>
    </xf>
    <xf numFmtId="0" fontId="90" fillId="0" borderId="1" xfId="0" applyFont="1" applyBorder="1" applyAlignment="1">
      <alignment horizontal="left" vertical="center"/>
    </xf>
    <xf numFmtId="0" fontId="90" fillId="0" borderId="63" xfId="0" applyFont="1" applyBorder="1" applyAlignment="1">
      <alignment horizontal="left" vertical="center"/>
    </xf>
    <xf numFmtId="0" fontId="90" fillId="0" borderId="7" xfId="0" applyFont="1" applyBorder="1" applyAlignment="1">
      <alignment horizontal="left" vertical="center"/>
    </xf>
    <xf numFmtId="0" fontId="90" fillId="0" borderId="11" xfId="0" applyFont="1" applyBorder="1" applyAlignment="1">
      <alignment horizontal="left" vertical="center"/>
    </xf>
    <xf numFmtId="0" fontId="15" fillId="0" borderId="70" xfId="0" applyFont="1" applyBorder="1" applyAlignment="1">
      <alignment horizontal="left" vertical="center"/>
    </xf>
    <xf numFmtId="49" fontId="15" fillId="0" borderId="0" xfId="0" applyNumberFormat="1" applyFont="1" applyAlignment="1">
      <alignment horizontal="left" vertical="center"/>
    </xf>
    <xf numFmtId="0" fontId="15" fillId="0" borderId="69" xfId="0" applyFont="1" applyBorder="1" applyAlignment="1">
      <alignment horizontal="left" vertical="center"/>
    </xf>
    <xf numFmtId="0" fontId="15" fillId="9" borderId="38" xfId="0" applyFont="1" applyFill="1" applyBorder="1" applyAlignment="1">
      <alignment horizontal="left" vertical="center" wrapText="1"/>
    </xf>
    <xf numFmtId="0" fontId="15" fillId="9" borderId="11" xfId="0" applyFont="1" applyFill="1" applyBorder="1" applyAlignment="1">
      <alignment horizontal="left" vertical="center" wrapText="1"/>
    </xf>
    <xf numFmtId="0" fontId="90" fillId="0" borderId="10" xfId="0" applyFont="1" applyBorder="1" applyAlignment="1">
      <alignment horizontal="left" vertical="center"/>
    </xf>
    <xf numFmtId="0" fontId="15" fillId="9" borderId="39" xfId="0" applyFont="1" applyFill="1" applyBorder="1" applyAlignment="1">
      <alignment horizontal="left" vertical="center"/>
    </xf>
    <xf numFmtId="0" fontId="15" fillId="9" borderId="10" xfId="0" applyFont="1" applyFill="1" applyBorder="1" applyAlignment="1">
      <alignment horizontal="left" vertical="center" wrapText="1"/>
    </xf>
    <xf numFmtId="0" fontId="15" fillId="9" borderId="38" xfId="0" applyFont="1" applyFill="1" applyBorder="1" applyAlignment="1">
      <alignment horizontal="left" vertical="center"/>
    </xf>
    <xf numFmtId="0" fontId="15" fillId="9" borderId="11" xfId="0" applyFont="1" applyFill="1" applyBorder="1" applyAlignment="1">
      <alignment horizontal="left" vertical="center"/>
    </xf>
    <xf numFmtId="0" fontId="15" fillId="0" borderId="140" xfId="0" applyFont="1" applyBorder="1" applyAlignment="1">
      <alignment horizontal="left" vertical="center"/>
    </xf>
    <xf numFmtId="0" fontId="90" fillId="0" borderId="140" xfId="0" applyFont="1" applyBorder="1" applyAlignment="1">
      <alignment horizontal="left" vertical="center"/>
    </xf>
    <xf numFmtId="0" fontId="15" fillId="0" borderId="141" xfId="0" applyFont="1" applyBorder="1" applyAlignment="1">
      <alignment horizontal="left" vertical="center"/>
    </xf>
    <xf numFmtId="0" fontId="90" fillId="0" borderId="142" xfId="0" applyFont="1" applyBorder="1" applyAlignment="1">
      <alignment horizontal="left" vertical="center"/>
    </xf>
    <xf numFmtId="0" fontId="113" fillId="0" borderId="7" xfId="0" applyFont="1" applyBorder="1" applyAlignment="1">
      <alignment horizontal="left" vertical="center"/>
    </xf>
    <xf numFmtId="0" fontId="90" fillId="0" borderId="8" xfId="0" applyFont="1" applyBorder="1" applyAlignment="1">
      <alignment horizontal="left" vertical="center"/>
    </xf>
    <xf numFmtId="0" fontId="12" fillId="9" borderId="81" xfId="0" applyFont="1" applyFill="1" applyBorder="1" applyAlignment="1">
      <alignment horizontal="left" vertical="center"/>
    </xf>
    <xf numFmtId="0" fontId="12" fillId="9" borderId="26" xfId="0" applyFont="1" applyFill="1" applyBorder="1" applyAlignment="1">
      <alignment horizontal="left" vertical="center"/>
    </xf>
    <xf numFmtId="0" fontId="12" fillId="0" borderId="81" xfId="0" applyFont="1" applyBorder="1" applyAlignment="1">
      <alignment horizontal="left" vertical="center"/>
    </xf>
    <xf numFmtId="0" fontId="12" fillId="0" borderId="26" xfId="0" applyFont="1" applyBorder="1" applyAlignment="1">
      <alignment horizontal="left" vertical="center"/>
    </xf>
    <xf numFmtId="0" fontId="15" fillId="7" borderId="14" xfId="0" applyFont="1" applyFill="1" applyBorder="1" applyAlignment="1">
      <alignment horizontal="left" vertical="center"/>
    </xf>
    <xf numFmtId="0" fontId="90" fillId="34" borderId="147" xfId="0" applyFont="1" applyFill="1" applyBorder="1" applyAlignment="1">
      <alignment horizontal="left" vertical="center" wrapText="1"/>
    </xf>
    <xf numFmtId="0" fontId="90" fillId="0" borderId="64" xfId="0" applyFont="1" applyBorder="1" applyAlignment="1">
      <alignment horizontal="left" vertical="center"/>
    </xf>
    <xf numFmtId="0" fontId="90" fillId="0" borderId="65" xfId="0" applyFont="1" applyBorder="1" applyAlignment="1">
      <alignment horizontal="left" vertical="center"/>
    </xf>
    <xf numFmtId="0" fontId="90" fillId="0" borderId="12" xfId="0" applyFont="1" applyBorder="1" applyAlignment="1">
      <alignment horizontal="left" vertical="center"/>
    </xf>
    <xf numFmtId="0" fontId="90" fillId="0" borderId="13" xfId="0" applyFont="1" applyBorder="1" applyAlignment="1">
      <alignment horizontal="left" vertical="center" wrapText="1"/>
    </xf>
    <xf numFmtId="0" fontId="12" fillId="9" borderId="143" xfId="0" applyFont="1" applyFill="1" applyBorder="1" applyAlignment="1">
      <alignment horizontal="left" vertical="center"/>
    </xf>
    <xf numFmtId="0" fontId="12" fillId="9" borderId="144" xfId="0" applyFont="1" applyFill="1" applyBorder="1" applyAlignment="1">
      <alignment horizontal="left" vertical="center"/>
    </xf>
    <xf numFmtId="0" fontId="15" fillId="8" borderId="145" xfId="0" applyFont="1" applyFill="1" applyBorder="1" applyAlignment="1">
      <alignment horizontal="left" vertical="center" wrapText="1"/>
    </xf>
    <xf numFmtId="0" fontId="15" fillId="0" borderId="146" xfId="0" applyFont="1" applyBorder="1" applyAlignment="1">
      <alignment horizontal="left" vertical="center" wrapText="1"/>
    </xf>
    <xf numFmtId="0" fontId="15" fillId="8" borderId="146" xfId="0" applyFont="1" applyFill="1" applyBorder="1" applyAlignment="1">
      <alignment horizontal="left" vertical="center" wrapText="1"/>
    </xf>
    <xf numFmtId="0" fontId="15" fillId="0" borderId="150" xfId="0" applyFont="1" applyBorder="1" applyAlignment="1">
      <alignment horizontal="left" vertical="center" wrapText="1"/>
    </xf>
    <xf numFmtId="0" fontId="15" fillId="8" borderId="147" xfId="0" applyFont="1" applyFill="1" applyBorder="1" applyAlignment="1">
      <alignment horizontal="left" vertical="center" wrapText="1"/>
    </xf>
    <xf numFmtId="0" fontId="15" fillId="0" borderId="64" xfId="0" applyFont="1" applyBorder="1" applyAlignment="1">
      <alignment horizontal="left" vertical="center" wrapText="1"/>
    </xf>
    <xf numFmtId="0" fontId="15" fillId="8" borderId="64" xfId="0" applyFont="1" applyFill="1" applyBorder="1" applyAlignment="1">
      <alignment horizontal="left" vertical="center" wrapText="1"/>
    </xf>
    <xf numFmtId="0" fontId="15" fillId="0" borderId="151" xfId="0" applyFont="1" applyBorder="1" applyAlignment="1">
      <alignment horizontal="left" vertical="center" wrapText="1"/>
    </xf>
    <xf numFmtId="49" fontId="15" fillId="7" borderId="7" xfId="0" applyNumberFormat="1" applyFont="1" applyFill="1" applyBorder="1" applyAlignment="1">
      <alignment horizontal="left" vertical="center"/>
    </xf>
    <xf numFmtId="49" fontId="15" fillId="7" borderId="14" xfId="0" applyNumberFormat="1" applyFont="1" applyFill="1" applyBorder="1" applyAlignment="1">
      <alignment horizontal="left" vertical="center"/>
    </xf>
    <xf numFmtId="49" fontId="15" fillId="7" borderId="8" xfId="0" applyNumberFormat="1" applyFont="1" applyFill="1" applyBorder="1" applyAlignment="1">
      <alignment horizontal="left" vertical="center"/>
    </xf>
    <xf numFmtId="0" fontId="15" fillId="0" borderId="7" xfId="0" applyFont="1" applyBorder="1" applyAlignment="1">
      <alignment horizontal="left" vertical="center"/>
    </xf>
    <xf numFmtId="0" fontId="15" fillId="0" borderId="68" xfId="0" applyFont="1" applyBorder="1" applyAlignment="1">
      <alignment horizontal="left" vertical="center"/>
    </xf>
    <xf numFmtId="0" fontId="15" fillId="9" borderId="68" xfId="0" applyFont="1" applyFill="1" applyBorder="1" applyAlignment="1">
      <alignment horizontal="left" vertical="center"/>
    </xf>
    <xf numFmtId="0" fontId="15" fillId="4" borderId="0" xfId="0" applyFont="1" applyFill="1" applyAlignment="1">
      <alignment horizontal="left" vertical="center"/>
    </xf>
    <xf numFmtId="0" fontId="15" fillId="0" borderId="14" xfId="0" applyFont="1" applyBorder="1" applyAlignment="1">
      <alignment horizontal="left" vertical="center" wrapText="1"/>
    </xf>
    <xf numFmtId="0" fontId="15" fillId="9" borderId="69" xfId="0" applyFont="1" applyFill="1" applyBorder="1" applyAlignment="1">
      <alignment horizontal="left" vertical="center"/>
    </xf>
    <xf numFmtId="0" fontId="14" fillId="7" borderId="7" xfId="6" applyFont="1" applyFill="1" applyBorder="1" applyAlignment="1">
      <alignment horizontal="left" vertical="center"/>
    </xf>
    <xf numFmtId="0" fontId="15" fillId="7" borderId="8" xfId="0" applyFont="1" applyFill="1" applyBorder="1" applyAlignment="1">
      <alignment horizontal="left" vertical="center"/>
    </xf>
    <xf numFmtId="0" fontId="15" fillId="0" borderId="40" xfId="0" applyFont="1" applyBorder="1" applyAlignment="1">
      <alignment horizontal="left" vertical="center"/>
    </xf>
    <xf numFmtId="0" fontId="15" fillId="9" borderId="40" xfId="0" applyFont="1" applyFill="1" applyBorder="1" applyAlignment="1">
      <alignment horizontal="left" vertical="center"/>
    </xf>
    <xf numFmtId="0" fontId="15" fillId="4" borderId="10" xfId="0" applyFont="1" applyFill="1" applyBorder="1" applyAlignment="1">
      <alignment horizontal="left" vertical="center"/>
    </xf>
    <xf numFmtId="0" fontId="15" fillId="4" borderId="11" xfId="0" applyFont="1" applyFill="1" applyBorder="1" applyAlignment="1">
      <alignment horizontal="left" vertical="center"/>
    </xf>
    <xf numFmtId="0" fontId="9" fillId="9" borderId="10" xfId="6" applyFont="1" applyFill="1" applyBorder="1" applyAlignment="1">
      <alignment horizontal="left" vertical="center"/>
    </xf>
    <xf numFmtId="0" fontId="9" fillId="9" borderId="11" xfId="6" applyFont="1" applyFill="1" applyBorder="1" applyAlignment="1">
      <alignment horizontal="left" vertical="center"/>
    </xf>
    <xf numFmtId="49" fontId="15" fillId="0" borderId="12" xfId="0" applyNumberFormat="1" applyFont="1" applyBorder="1" applyAlignment="1">
      <alignment horizontal="left" vertical="center"/>
    </xf>
    <xf numFmtId="0" fontId="15" fillId="0" borderId="142" xfId="0" applyFont="1" applyBorder="1" applyAlignment="1">
      <alignment horizontal="left" vertical="center"/>
    </xf>
    <xf numFmtId="0" fontId="9" fillId="4" borderId="10" xfId="6" applyFont="1" applyFill="1" applyBorder="1" applyAlignment="1">
      <alignment horizontal="left" vertical="center"/>
    </xf>
    <xf numFmtId="0" fontId="9" fillId="0" borderId="11" xfId="6" applyFont="1" applyBorder="1" applyAlignment="1">
      <alignment horizontal="left" vertical="center"/>
    </xf>
    <xf numFmtId="0" fontId="12" fillId="9" borderId="10" xfId="6" applyFont="1" applyFill="1" applyBorder="1" applyAlignment="1">
      <alignment horizontal="left" vertical="center"/>
    </xf>
    <xf numFmtId="0" fontId="12" fillId="0" borderId="11" xfId="6" applyFont="1" applyBorder="1" applyAlignment="1">
      <alignment horizontal="left" vertical="center"/>
    </xf>
    <xf numFmtId="0" fontId="9" fillId="0" borderId="12" xfId="6" applyFont="1" applyBorder="1" applyAlignment="1">
      <alignment horizontal="left" vertical="center"/>
    </xf>
    <xf numFmtId="0" fontId="9" fillId="0" borderId="13" xfId="6" applyFont="1" applyBorder="1" applyAlignment="1">
      <alignment horizontal="left" vertical="center"/>
    </xf>
    <xf numFmtId="0" fontId="15" fillId="7" borderId="68" xfId="0" applyFont="1" applyFill="1" applyBorder="1" applyAlignment="1">
      <alignment horizontal="left" vertical="center"/>
    </xf>
    <xf numFmtId="0" fontId="15" fillId="0" borderId="155" xfId="0" applyFont="1" applyBorder="1" applyAlignment="1">
      <alignment horizontal="left" vertical="center"/>
    </xf>
    <xf numFmtId="0" fontId="15" fillId="7" borderId="156" xfId="0" applyFont="1" applyFill="1" applyBorder="1" applyAlignment="1">
      <alignment horizontal="left" vertical="center"/>
    </xf>
    <xf numFmtId="176" fontId="15" fillId="0" borderId="11" xfId="0" applyNumberFormat="1" applyFont="1" applyBorder="1" applyAlignment="1">
      <alignment horizontal="left" vertical="center"/>
    </xf>
    <xf numFmtId="0" fontId="15" fillId="9" borderId="157" xfId="0" applyFont="1" applyFill="1" applyBorder="1" applyAlignment="1">
      <alignment horizontal="left" vertical="center"/>
    </xf>
    <xf numFmtId="0" fontId="15" fillId="9" borderId="156" xfId="0" applyFont="1" applyFill="1" applyBorder="1" applyAlignment="1">
      <alignment horizontal="left" vertical="center"/>
    </xf>
    <xf numFmtId="0" fontId="15" fillId="0" borderId="163" xfId="0" applyFont="1" applyBorder="1" applyAlignment="1">
      <alignment horizontal="left" vertical="center"/>
    </xf>
    <xf numFmtId="49" fontId="12" fillId="0" borderId="7" xfId="0" applyNumberFormat="1" applyFont="1" applyBorder="1" applyAlignment="1">
      <alignment horizontal="left" vertical="center"/>
    </xf>
    <xf numFmtId="0" fontId="15" fillId="9" borderId="15" xfId="0" applyFont="1" applyFill="1" applyBorder="1" applyAlignment="1">
      <alignment horizontal="left" vertical="center"/>
    </xf>
    <xf numFmtId="49" fontId="12" fillId="0" borderId="10" xfId="0" applyNumberFormat="1" applyFont="1" applyBorder="1" applyAlignment="1">
      <alignment horizontal="left" vertical="center"/>
    </xf>
    <xf numFmtId="0" fontId="15" fillId="0" borderId="140" xfId="0" applyFont="1" applyBorder="1" applyAlignment="1">
      <alignment horizontal="left" vertical="center" wrapText="1"/>
    </xf>
    <xf numFmtId="0" fontId="15" fillId="0" borderId="12" xfId="0" applyFont="1" applyBorder="1" applyAlignment="1">
      <alignment horizontal="left" vertical="center" wrapText="1"/>
    </xf>
    <xf numFmtId="0" fontId="15" fillId="9" borderId="158" xfId="0" applyFont="1" applyFill="1" applyBorder="1" applyAlignment="1">
      <alignment horizontal="left" vertical="center"/>
    </xf>
    <xf numFmtId="49" fontId="12" fillId="0" borderId="10" xfId="0" applyNumberFormat="1" applyFont="1" applyBorder="1" applyAlignment="1">
      <alignment horizontal="left" vertical="center" wrapText="1"/>
    </xf>
    <xf numFmtId="0" fontId="15" fillId="0" borderId="39" xfId="0" applyFont="1" applyBorder="1" applyAlignment="1">
      <alignment horizontal="left" vertical="center"/>
    </xf>
    <xf numFmtId="0" fontId="15" fillId="0" borderId="34" xfId="0" applyFont="1" applyBorder="1" applyAlignment="1">
      <alignment horizontal="left" vertical="center"/>
    </xf>
    <xf numFmtId="0" fontId="15" fillId="0" borderId="36" xfId="0" applyFont="1" applyBorder="1" applyAlignment="1">
      <alignment horizontal="left" vertical="center"/>
    </xf>
    <xf numFmtId="177" fontId="12" fillId="0" borderId="10" xfId="0" applyNumberFormat="1" applyFont="1" applyBorder="1" applyAlignment="1">
      <alignment horizontal="left" vertical="center"/>
    </xf>
    <xf numFmtId="0" fontId="15" fillId="9" borderId="10" xfId="0" applyFont="1" applyFill="1" applyBorder="1" applyAlignment="1">
      <alignment horizontal="left" vertical="center"/>
    </xf>
    <xf numFmtId="0" fontId="15" fillId="9" borderId="160" xfId="0" applyFont="1" applyFill="1" applyBorder="1" applyAlignment="1">
      <alignment horizontal="left" vertical="center"/>
    </xf>
    <xf numFmtId="0" fontId="15" fillId="0" borderId="164" xfId="0" applyFont="1" applyBorder="1" applyAlignment="1">
      <alignment horizontal="left" vertical="center"/>
    </xf>
    <xf numFmtId="0" fontId="15" fillId="9" borderId="12" xfId="0" applyFont="1" applyFill="1" applyBorder="1" applyAlignment="1">
      <alignment horizontal="left" vertical="center"/>
    </xf>
    <xf numFmtId="0" fontId="15" fillId="9" borderId="161" xfId="0" applyFont="1" applyFill="1" applyBorder="1" applyAlignment="1">
      <alignment horizontal="left" vertical="center"/>
    </xf>
    <xf numFmtId="0" fontId="15" fillId="9" borderId="140" xfId="0" applyFont="1" applyFill="1" applyBorder="1" applyAlignment="1">
      <alignment horizontal="left" vertical="center"/>
    </xf>
    <xf numFmtId="0" fontId="15" fillId="55" borderId="162" xfId="0" applyFont="1" applyFill="1" applyBorder="1" applyAlignment="1">
      <alignment horizontal="left" vertical="center"/>
    </xf>
    <xf numFmtId="0" fontId="15" fillId="55" borderId="0" xfId="0" applyFont="1" applyFill="1" applyAlignment="1">
      <alignment horizontal="left" vertical="center"/>
    </xf>
    <xf numFmtId="0" fontId="84" fillId="0" borderId="0" xfId="0" applyFont="1" applyAlignment="1">
      <alignment horizontal="left" vertical="center"/>
    </xf>
    <xf numFmtId="0" fontId="12" fillId="0" borderId="7" xfId="0" applyFont="1" applyBorder="1" applyAlignment="1">
      <alignment horizontal="left" vertical="center"/>
    </xf>
    <xf numFmtId="0" fontId="12" fillId="0" borderId="14" xfId="0" applyFont="1" applyBorder="1" applyAlignment="1">
      <alignment horizontal="left" vertical="center"/>
    </xf>
    <xf numFmtId="0" fontId="12" fillId="0" borderId="8" xfId="0" applyFont="1" applyBorder="1" applyAlignment="1">
      <alignment horizontal="left" vertical="center"/>
    </xf>
    <xf numFmtId="0" fontId="12" fillId="0" borderId="10" xfId="0" applyFont="1" applyBorder="1" applyAlignment="1">
      <alignment horizontal="left" vertical="center"/>
    </xf>
    <xf numFmtId="0" fontId="12" fillId="0" borderId="11" xfId="0" applyFont="1" applyBorder="1" applyAlignment="1">
      <alignment horizontal="left" vertical="center"/>
    </xf>
    <xf numFmtId="0" fontId="14" fillId="33" borderId="0" xfId="6" applyFont="1" applyFill="1" applyAlignment="1">
      <alignment horizontal="left" vertical="center"/>
    </xf>
    <xf numFmtId="0" fontId="14" fillId="0" borderId="0" xfId="6" applyFont="1" applyAlignment="1">
      <alignment horizontal="left" vertical="center"/>
    </xf>
    <xf numFmtId="0" fontId="14" fillId="34" borderId="0" xfId="6" applyFont="1" applyFill="1" applyAlignment="1">
      <alignment horizontal="left" vertical="center"/>
    </xf>
    <xf numFmtId="0" fontId="12" fillId="34" borderId="0" xfId="6" applyFont="1" applyFill="1" applyAlignment="1">
      <alignment horizontal="left" vertical="center"/>
    </xf>
    <xf numFmtId="0" fontId="9" fillId="34" borderId="0" xfId="6" applyFont="1" applyFill="1" applyAlignment="1">
      <alignment horizontal="left" vertical="center"/>
    </xf>
    <xf numFmtId="0" fontId="12" fillId="0" borderId="0" xfId="6" applyFont="1" applyAlignment="1">
      <alignment horizontal="left" vertical="center"/>
    </xf>
    <xf numFmtId="0" fontId="115" fillId="0" borderId="0" xfId="0" applyFont="1" applyAlignment="1">
      <alignment horizontal="left" vertical="center"/>
    </xf>
    <xf numFmtId="0" fontId="15" fillId="34" borderId="0" xfId="0" applyFont="1" applyFill="1" applyAlignment="1">
      <alignment horizontal="left" vertical="center"/>
    </xf>
    <xf numFmtId="0" fontId="12" fillId="58" borderId="7" xfId="0" applyFont="1" applyFill="1" applyBorder="1" applyAlignment="1">
      <alignment horizontal="left" vertical="center"/>
    </xf>
    <xf numFmtId="0" fontId="12" fillId="58" borderId="14" xfId="0" applyFont="1" applyFill="1" applyBorder="1" applyAlignment="1">
      <alignment horizontal="left" vertical="center"/>
    </xf>
    <xf numFmtId="0" fontId="12" fillId="58" borderId="8" xfId="0" applyFont="1" applyFill="1" applyBorder="1" applyAlignment="1">
      <alignment horizontal="left" vertical="center"/>
    </xf>
    <xf numFmtId="0" fontId="12" fillId="58" borderId="10" xfId="0" applyFont="1" applyFill="1" applyBorder="1" applyAlignment="1">
      <alignment horizontal="left" vertical="center"/>
    </xf>
    <xf numFmtId="0" fontId="12" fillId="58" borderId="0" xfId="0" applyFont="1" applyFill="1" applyAlignment="1">
      <alignment horizontal="left" vertical="center"/>
    </xf>
    <xf numFmtId="0" fontId="12" fillId="58" borderId="11" xfId="0" applyFont="1" applyFill="1" applyBorder="1" applyAlignment="1">
      <alignment horizontal="left" vertical="center"/>
    </xf>
    <xf numFmtId="0" fontId="12" fillId="0" borderId="12" xfId="0" applyFont="1" applyBorder="1" applyAlignment="1">
      <alignment horizontal="left" vertical="center"/>
    </xf>
    <xf numFmtId="0" fontId="12" fillId="0" borderId="15" xfId="0" applyFont="1" applyBorder="1" applyAlignment="1">
      <alignment horizontal="left" vertical="center"/>
    </xf>
    <xf numFmtId="0" fontId="12" fillId="0" borderId="13" xfId="0" applyFont="1" applyBorder="1" applyAlignment="1">
      <alignment horizontal="left" vertical="center"/>
    </xf>
    <xf numFmtId="0" fontId="3" fillId="0" borderId="0" xfId="0" applyFont="1" applyAlignment="1">
      <alignment horizontal="left" vertical="center"/>
    </xf>
    <xf numFmtId="0" fontId="1" fillId="0" borderId="0" xfId="0" applyFont="1" applyAlignment="1">
      <alignment horizontal="left" vertical="top"/>
    </xf>
    <xf numFmtId="0" fontId="20" fillId="0" borderId="0" xfId="0" applyFont="1" applyAlignment="1">
      <alignment horizontal="left" vertical="center"/>
    </xf>
    <xf numFmtId="0" fontId="15" fillId="0" borderId="0" xfId="0" applyFont="1" applyAlignment="1">
      <alignment horizontal="left" vertical="top" wrapText="1"/>
    </xf>
    <xf numFmtId="0" fontId="18" fillId="0" borderId="0" xfId="0" applyFont="1" applyAlignment="1">
      <alignment horizontal="left" vertical="center"/>
    </xf>
    <xf numFmtId="0" fontId="71" fillId="0" borderId="0" xfId="6" applyFont="1" applyAlignment="1">
      <alignment horizontal="left" vertical="center"/>
    </xf>
    <xf numFmtId="0" fontId="15" fillId="0" borderId="0" xfId="0" applyFont="1" applyAlignment="1">
      <alignment horizontal="left" vertical="top"/>
    </xf>
    <xf numFmtId="0" fontId="27" fillId="0" borderId="0" xfId="6" applyAlignment="1">
      <alignment horizontal="left" vertical="center"/>
    </xf>
    <xf numFmtId="0" fontId="1" fillId="0" borderId="7" xfId="0" applyFont="1" applyBorder="1" applyAlignment="1">
      <alignment horizontal="left" vertical="center"/>
    </xf>
    <xf numFmtId="0" fontId="1" fillId="0" borderId="14" xfId="0" applyFont="1" applyBorder="1" applyAlignment="1">
      <alignment horizontal="left" vertical="center"/>
    </xf>
    <xf numFmtId="0" fontId="84" fillId="0" borderId="11" xfId="0" applyFont="1" applyBorder="1" applyAlignment="1">
      <alignment horizontal="left" vertical="center"/>
    </xf>
    <xf numFmtId="0" fontId="28" fillId="0" borderId="0" xfId="0" applyFont="1" applyAlignment="1">
      <alignment horizontal="left" vertical="center"/>
    </xf>
    <xf numFmtId="0" fontId="15" fillId="0" borderId="10" xfId="0" applyFont="1" applyBorder="1" applyAlignment="1">
      <alignment horizontal="left"/>
    </xf>
    <xf numFmtId="0" fontId="27" fillId="0" borderId="7" xfId="0" applyFont="1" applyBorder="1" applyAlignment="1">
      <alignment horizontal="left" vertical="center"/>
    </xf>
    <xf numFmtId="0" fontId="27" fillId="0" borderId="14" xfId="0" applyFont="1" applyBorder="1" applyAlignment="1">
      <alignment horizontal="left" vertical="center"/>
    </xf>
    <xf numFmtId="0" fontId="27" fillId="0" borderId="10" xfId="0" applyFont="1" applyBorder="1" applyAlignment="1">
      <alignment horizontal="left" vertical="center"/>
    </xf>
    <xf numFmtId="0" fontId="27" fillId="0" borderId="0" xfId="0" applyFont="1" applyAlignment="1">
      <alignment horizontal="left" vertical="center"/>
    </xf>
    <xf numFmtId="0" fontId="15" fillId="0" borderId="165" xfId="0" applyFont="1" applyBorder="1" applyAlignment="1">
      <alignment horizontal="left" vertical="center"/>
    </xf>
    <xf numFmtId="0" fontId="15" fillId="0" borderId="165" xfId="0" applyFont="1" applyBorder="1" applyAlignment="1">
      <alignment horizontal="left" vertical="center" wrapText="1"/>
    </xf>
    <xf numFmtId="0" fontId="51" fillId="0" borderId="0" xfId="0" applyFont="1" applyAlignment="1">
      <alignment horizontal="left" vertical="center"/>
    </xf>
    <xf numFmtId="0" fontId="111" fillId="0" borderId="80" xfId="0" applyFont="1" applyBorder="1" applyAlignment="1">
      <alignment horizontal="left" vertical="center" wrapText="1"/>
    </xf>
    <xf numFmtId="0" fontId="111" fillId="0" borderId="0" xfId="0" applyFont="1" applyAlignment="1">
      <alignment horizontal="left" vertical="center" wrapText="1"/>
    </xf>
    <xf numFmtId="0" fontId="111" fillId="0" borderId="166" xfId="0" applyFont="1" applyBorder="1" applyAlignment="1">
      <alignment horizontal="left" vertical="center" wrapText="1"/>
    </xf>
    <xf numFmtId="0" fontId="111" fillId="0" borderId="86" xfId="0" applyFont="1" applyBorder="1" applyAlignment="1">
      <alignment horizontal="left" vertical="center" wrapText="1"/>
    </xf>
    <xf numFmtId="0" fontId="111" fillId="0" borderId="77" xfId="0" applyFont="1" applyBorder="1" applyAlignment="1">
      <alignment horizontal="left" vertical="center" wrapText="1"/>
    </xf>
    <xf numFmtId="0" fontId="56" fillId="0" borderId="68" xfId="0" applyFont="1" applyBorder="1" applyAlignment="1">
      <alignment horizontal="left" vertical="center"/>
    </xf>
    <xf numFmtId="0" fontId="56" fillId="0" borderId="69" xfId="0" applyFont="1" applyBorder="1" applyAlignment="1">
      <alignment horizontal="left" vertical="center"/>
    </xf>
    <xf numFmtId="0" fontId="118" fillId="0" borderId="0" xfId="0" applyFont="1" applyAlignment="1">
      <alignment horizontal="left" vertical="center"/>
    </xf>
    <xf numFmtId="0" fontId="91" fillId="0" borderId="11" xfId="0" applyFont="1" applyBorder="1" applyAlignment="1">
      <alignment horizontal="left" vertical="center"/>
    </xf>
    <xf numFmtId="49" fontId="15" fillId="0" borderId="15" xfId="0" applyNumberFormat="1" applyFont="1" applyBorder="1" applyAlignment="1">
      <alignment horizontal="left" vertical="center"/>
    </xf>
    <xf numFmtId="0" fontId="27" fillId="0" borderId="12" xfId="0" applyFont="1" applyBorder="1" applyAlignment="1">
      <alignment horizontal="left" vertical="center"/>
    </xf>
    <xf numFmtId="0" fontId="27" fillId="0" borderId="15" xfId="0" applyFont="1" applyBorder="1" applyAlignment="1">
      <alignment horizontal="left" vertical="center"/>
    </xf>
    <xf numFmtId="0" fontId="1" fillId="39" borderId="38" xfId="0" applyFont="1" applyFill="1" applyBorder="1" applyAlignment="1">
      <alignment horizontal="left" vertical="center"/>
    </xf>
    <xf numFmtId="0" fontId="1" fillId="39" borderId="0" xfId="0" applyFont="1" applyFill="1" applyAlignment="1">
      <alignment horizontal="left" vertical="center"/>
    </xf>
    <xf numFmtId="0" fontId="1" fillId="39" borderId="11" xfId="0" applyFont="1" applyFill="1" applyBorder="1" applyAlignment="1">
      <alignment horizontal="left" vertical="center"/>
    </xf>
    <xf numFmtId="0" fontId="9" fillId="7" borderId="0" xfId="0" applyFont="1" applyFill="1" applyAlignment="1">
      <alignment horizontal="left" vertical="center"/>
    </xf>
    <xf numFmtId="0" fontId="9" fillId="7" borderId="11" xfId="0" applyFont="1" applyFill="1" applyBorder="1" applyAlignment="1">
      <alignment horizontal="left" vertical="center"/>
    </xf>
    <xf numFmtId="0" fontId="1" fillId="39" borderId="10" xfId="0" applyFont="1" applyFill="1" applyBorder="1" applyAlignment="1">
      <alignment horizontal="left" vertical="center"/>
    </xf>
    <xf numFmtId="0" fontId="1" fillId="0" borderId="38" xfId="0" applyFont="1" applyBorder="1" applyAlignment="1">
      <alignment horizontal="left" vertical="center"/>
    </xf>
    <xf numFmtId="0" fontId="1" fillId="8" borderId="38" xfId="0" applyFont="1" applyFill="1" applyBorder="1" applyAlignment="1">
      <alignment horizontal="left" vertical="center"/>
    </xf>
    <xf numFmtId="0" fontId="1" fillId="8" borderId="11" xfId="0" applyFont="1" applyFill="1" applyBorder="1" applyAlignment="1">
      <alignment horizontal="left" vertical="center"/>
    </xf>
    <xf numFmtId="177" fontId="9" fillId="9" borderId="0" xfId="0" applyNumberFormat="1" applyFont="1" applyFill="1" applyAlignment="1">
      <alignment horizontal="left" vertical="center"/>
    </xf>
    <xf numFmtId="0" fontId="9" fillId="9" borderId="11" xfId="0" applyFont="1" applyFill="1" applyBorder="1" applyAlignment="1">
      <alignment horizontal="left" vertic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8" borderId="0" xfId="0" applyFont="1" applyFill="1" applyAlignment="1">
      <alignment horizontal="left" vertical="center"/>
    </xf>
    <xf numFmtId="177" fontId="9" fillId="0" borderId="15" xfId="0" applyNumberFormat="1" applyFont="1" applyBorder="1" applyAlignment="1">
      <alignment horizontal="left" vertical="center"/>
    </xf>
    <xf numFmtId="0" fontId="9" fillId="0" borderId="13" xfId="0" applyFont="1" applyBorder="1" applyAlignment="1">
      <alignment horizontal="left" vertical="center"/>
    </xf>
    <xf numFmtId="0" fontId="1" fillId="0" borderId="15" xfId="0" applyFont="1" applyBorder="1" applyAlignment="1">
      <alignment horizontal="left" vertical="center"/>
    </xf>
    <xf numFmtId="0" fontId="1" fillId="8" borderId="10" xfId="0" applyFont="1" applyFill="1" applyBorder="1" applyAlignment="1">
      <alignment horizontal="left" vertical="center"/>
    </xf>
    <xf numFmtId="0" fontId="15" fillId="58" borderId="8" xfId="0" applyFont="1" applyFill="1" applyBorder="1" applyAlignment="1">
      <alignment horizontal="left" vertical="center"/>
    </xf>
    <xf numFmtId="0" fontId="1" fillId="0" borderId="167" xfId="0" applyFont="1" applyBorder="1" applyAlignment="1">
      <alignment horizontal="left" vertical="center"/>
    </xf>
    <xf numFmtId="0" fontId="1" fillId="0" borderId="13" xfId="0" applyFont="1" applyBorder="1" applyAlignment="1">
      <alignment horizontal="left" vertical="center"/>
    </xf>
    <xf numFmtId="0" fontId="12" fillId="58" borderId="12" xfId="0" applyFont="1" applyFill="1" applyBorder="1" applyAlignment="1">
      <alignment horizontal="left" vertical="center"/>
    </xf>
    <xf numFmtId="0" fontId="1" fillId="8" borderId="12" xfId="0" applyFont="1" applyFill="1" applyBorder="1" applyAlignment="1">
      <alignment horizontal="left" vertical="center"/>
    </xf>
    <xf numFmtId="0" fontId="1" fillId="8" borderId="13" xfId="0" applyFont="1" applyFill="1" applyBorder="1" applyAlignment="1">
      <alignment horizontal="left" vertical="center"/>
    </xf>
    <xf numFmtId="0" fontId="15" fillId="7" borderId="140" xfId="0" applyFont="1" applyFill="1" applyBorder="1" applyAlignment="1">
      <alignment horizontal="left" vertical="center"/>
    </xf>
    <xf numFmtId="0" fontId="1" fillId="0" borderId="12" xfId="0" applyFont="1" applyBorder="1" applyAlignment="1">
      <alignment horizontal="left" vertical="center"/>
    </xf>
    <xf numFmtId="0" fontId="15" fillId="4" borderId="7" xfId="0" applyFont="1" applyFill="1" applyBorder="1" applyAlignment="1">
      <alignment horizontal="left" vertical="center"/>
    </xf>
    <xf numFmtId="0" fontId="12" fillId="4" borderId="10" xfId="0" applyFont="1" applyFill="1" applyBorder="1" applyAlignment="1">
      <alignment horizontal="left" vertical="center"/>
    </xf>
    <xf numFmtId="0" fontId="12" fillId="4" borderId="0" xfId="0" applyFont="1" applyFill="1" applyAlignment="1">
      <alignment horizontal="left" vertical="center"/>
    </xf>
    <xf numFmtId="0" fontId="12" fillId="4" borderId="11" xfId="0" applyFont="1" applyFill="1" applyBorder="1" applyAlignment="1">
      <alignment horizontal="left" vertical="center"/>
    </xf>
    <xf numFmtId="178" fontId="15" fillId="0" borderId="0" xfId="0" applyNumberFormat="1" applyFont="1" applyAlignment="1">
      <alignment horizontal="left" vertical="center"/>
    </xf>
    <xf numFmtId="177" fontId="12" fillId="0" borderId="0" xfId="0" applyNumberFormat="1" applyFont="1" applyAlignment="1">
      <alignment horizontal="left" vertical="center"/>
    </xf>
    <xf numFmtId="0" fontId="9" fillId="0" borderId="0" xfId="0" applyFont="1" applyAlignment="1">
      <alignment horizontal="left" vertical="center"/>
    </xf>
    <xf numFmtId="0" fontId="11" fillId="0" borderId="0" xfId="0" applyFont="1" applyAlignment="1">
      <alignment horizontal="left" vertical="center"/>
    </xf>
    <xf numFmtId="0" fontId="1" fillId="9" borderId="38" xfId="0" applyFont="1" applyFill="1" applyBorder="1" applyAlignment="1">
      <alignment horizontal="left" vertical="center"/>
    </xf>
    <xf numFmtId="0" fontId="15" fillId="58" borderId="7" xfId="0" applyFont="1" applyFill="1" applyBorder="1" applyAlignment="1">
      <alignment horizontal="left" vertical="center"/>
    </xf>
    <xf numFmtId="0" fontId="15" fillId="58" borderId="14" xfId="0" applyFont="1" applyFill="1" applyBorder="1" applyAlignment="1">
      <alignment horizontal="left" vertical="center"/>
    </xf>
    <xf numFmtId="0" fontId="15" fillId="57" borderId="7" xfId="0" applyFont="1" applyFill="1" applyBorder="1" applyAlignment="1">
      <alignment horizontal="left" vertical="center"/>
    </xf>
    <xf numFmtId="0" fontId="12" fillId="4" borderId="10" xfId="0" applyFont="1" applyFill="1" applyBorder="1" applyAlignment="1">
      <alignment horizontal="left" vertical="center" wrapText="1"/>
    </xf>
    <xf numFmtId="0" fontId="15" fillId="8" borderId="0" xfId="0" applyFont="1" applyFill="1" applyAlignment="1">
      <alignment horizontal="left" vertical="center"/>
    </xf>
    <xf numFmtId="0" fontId="12" fillId="8" borderId="0" xfId="0" applyFont="1" applyFill="1" applyAlignment="1">
      <alignment horizontal="left" vertical="center"/>
    </xf>
    <xf numFmtId="0" fontId="12" fillId="8" borderId="11" xfId="0" applyFont="1" applyFill="1" applyBorder="1" applyAlignment="1">
      <alignment horizontal="left" vertical="center"/>
    </xf>
    <xf numFmtId="0" fontId="1" fillId="9" borderId="167" xfId="0" applyFont="1" applyFill="1" applyBorder="1" applyAlignment="1">
      <alignment horizontal="left" vertical="center"/>
    </xf>
    <xf numFmtId="0" fontId="15" fillId="9" borderId="13" xfId="0" applyFont="1" applyFill="1" applyBorder="1" applyAlignment="1">
      <alignment horizontal="left" vertical="center"/>
    </xf>
    <xf numFmtId="0" fontId="15" fillId="0" borderId="167" xfId="0" applyFont="1" applyBorder="1" applyAlignment="1">
      <alignment horizontal="left" vertical="center"/>
    </xf>
    <xf numFmtId="0" fontId="12" fillId="7" borderId="10" xfId="0" applyFont="1" applyFill="1" applyBorder="1" applyAlignment="1">
      <alignment horizontal="left" vertical="center" wrapText="1"/>
    </xf>
    <xf numFmtId="0" fontId="105" fillId="0" borderId="0" xfId="0" applyFont="1" applyAlignment="1">
      <alignment horizontal="left" vertical="center"/>
    </xf>
    <xf numFmtId="2" fontId="12" fillId="0" borderId="0" xfId="0" applyNumberFormat="1" applyFont="1" applyAlignment="1">
      <alignment horizontal="left" vertical="center"/>
    </xf>
    <xf numFmtId="2" fontId="15" fillId="0" borderId="0" xfId="0" applyNumberFormat="1" applyFont="1" applyAlignment="1">
      <alignment horizontal="left" vertical="center"/>
    </xf>
    <xf numFmtId="0" fontId="12" fillId="4" borderId="12" xfId="0" applyFont="1" applyFill="1" applyBorder="1" applyAlignment="1">
      <alignment horizontal="left" vertical="center"/>
    </xf>
    <xf numFmtId="0" fontId="15" fillId="8" borderId="15" xfId="0" applyFont="1" applyFill="1" applyBorder="1" applyAlignment="1">
      <alignment horizontal="left" vertical="center"/>
    </xf>
    <xf numFmtId="0" fontId="12" fillId="8" borderId="15" xfId="0" applyFont="1" applyFill="1" applyBorder="1" applyAlignment="1">
      <alignment horizontal="left" vertical="center"/>
    </xf>
    <xf numFmtId="0" fontId="12" fillId="8" borderId="13" xfId="0" applyFont="1" applyFill="1" applyBorder="1" applyAlignment="1">
      <alignment horizontal="left" vertical="center"/>
    </xf>
    <xf numFmtId="0" fontId="56" fillId="0" borderId="70" xfId="0" applyFont="1" applyBorder="1" applyAlignment="1">
      <alignment horizontal="left" vertical="center"/>
    </xf>
    <xf numFmtId="0" fontId="166" fillId="0" borderId="0" xfId="0" applyFont="1" applyAlignment="1">
      <alignment vertical="center" wrapText="1"/>
    </xf>
    <xf numFmtId="0" fontId="9" fillId="79" borderId="5" xfId="0" applyFont="1" applyFill="1" applyBorder="1" applyAlignment="1">
      <alignment horizontal="center" vertical="center"/>
    </xf>
    <xf numFmtId="0" fontId="0" fillId="79" borderId="1" xfId="0" applyFill="1" applyBorder="1" applyAlignment="1">
      <alignment horizontal="center" vertical="center"/>
    </xf>
    <xf numFmtId="0" fontId="0" fillId="80" borderId="1" xfId="0" applyFill="1" applyBorder="1" applyAlignment="1">
      <alignment horizontal="center" vertical="center"/>
    </xf>
    <xf numFmtId="0" fontId="28" fillId="80" borderId="3" xfId="0" applyFont="1" applyFill="1" applyBorder="1" applyAlignment="1">
      <alignment horizontal="center" vertical="center"/>
    </xf>
    <xf numFmtId="0" fontId="28" fillId="80" borderId="1" xfId="0" applyFont="1" applyFill="1" applyBorder="1" applyAlignment="1">
      <alignment horizontal="center" vertical="center"/>
    </xf>
    <xf numFmtId="0" fontId="166" fillId="0" borderId="8" xfId="0" applyFont="1" applyBorder="1">
      <alignment vertical="center"/>
    </xf>
    <xf numFmtId="0" fontId="166" fillId="0" borderId="11" xfId="0" applyFont="1" applyBorder="1">
      <alignment vertical="center"/>
    </xf>
    <xf numFmtId="0" fontId="15" fillId="0" borderId="197" xfId="0" applyFont="1" applyBorder="1" applyAlignment="1">
      <alignment horizontal="left" vertical="center"/>
    </xf>
    <xf numFmtId="0" fontId="9" fillId="32" borderId="0" xfId="0" applyFont="1" applyFill="1" applyAlignment="1">
      <alignment horizontal="center" vertical="center"/>
    </xf>
    <xf numFmtId="0" fontId="15" fillId="9" borderId="12" xfId="0" applyFont="1" applyFill="1" applyBorder="1" applyAlignment="1">
      <alignment horizontal="center" vertical="center" wrapText="1"/>
    </xf>
    <xf numFmtId="0" fontId="15" fillId="9" borderId="10" xfId="0" applyFont="1" applyFill="1" applyBorder="1" applyAlignment="1">
      <alignment horizontal="center" vertical="center"/>
    </xf>
    <xf numFmtId="0" fontId="169" fillId="78" borderId="1" xfId="0" applyFont="1" applyFill="1" applyBorder="1" applyAlignment="1">
      <alignment horizontal="center" vertical="center"/>
    </xf>
    <xf numFmtId="0" fontId="169" fillId="78" borderId="0" xfId="0" applyFont="1" applyFill="1" applyAlignment="1">
      <alignment horizontal="center" vertical="center"/>
    </xf>
    <xf numFmtId="0" fontId="170" fillId="0" borderId="0" xfId="0" applyFont="1">
      <alignment vertical="center"/>
    </xf>
    <xf numFmtId="0" fontId="28" fillId="80" borderId="2" xfId="0" applyFont="1" applyFill="1" applyBorder="1" applyAlignment="1">
      <alignment horizontal="center" vertical="center"/>
    </xf>
    <xf numFmtId="0" fontId="9" fillId="79" borderId="37" xfId="0" applyFont="1" applyFill="1" applyBorder="1" applyAlignment="1">
      <alignment horizontal="center" vertical="center"/>
    </xf>
    <xf numFmtId="0" fontId="0" fillId="80" borderId="2" xfId="0" applyFill="1" applyBorder="1" applyAlignment="1">
      <alignment horizontal="center" vertical="center"/>
    </xf>
    <xf numFmtId="0" fontId="0" fillId="79" borderId="2" xfId="0" applyFill="1" applyBorder="1" applyAlignment="1">
      <alignment horizontal="center" vertical="center"/>
    </xf>
    <xf numFmtId="0" fontId="28" fillId="80" borderId="6" xfId="0" applyFont="1" applyFill="1" applyBorder="1" applyAlignment="1">
      <alignment horizontal="center" vertical="center"/>
    </xf>
    <xf numFmtId="0" fontId="28" fillId="80" borderId="198" xfId="0" applyFont="1" applyFill="1" applyBorder="1" applyAlignment="1">
      <alignment horizontal="center" vertical="center"/>
    </xf>
    <xf numFmtId="0" fontId="28" fillId="80" borderId="146" xfId="0" applyFont="1" applyFill="1" applyBorder="1" applyAlignment="1">
      <alignment horizontal="center" vertical="center"/>
    </xf>
    <xf numFmtId="0" fontId="28" fillId="80" borderId="150" xfId="0" applyFont="1" applyFill="1" applyBorder="1" applyAlignment="1">
      <alignment horizontal="center" vertical="center"/>
    </xf>
    <xf numFmtId="0" fontId="28" fillId="80" borderId="63" xfId="0" applyFont="1" applyFill="1" applyBorder="1" applyAlignment="1">
      <alignment horizontal="center" vertical="center"/>
    </xf>
    <xf numFmtId="0" fontId="28" fillId="80" borderId="201" xfId="0" applyFont="1" applyFill="1" applyBorder="1" applyAlignment="1">
      <alignment horizontal="center" vertical="center"/>
    </xf>
    <xf numFmtId="0" fontId="28" fillId="80" borderId="64" xfId="0" applyFont="1" applyFill="1" applyBorder="1" applyAlignment="1">
      <alignment horizontal="center" vertical="center"/>
    </xf>
    <xf numFmtId="0" fontId="28" fillId="80" borderId="65" xfId="0" applyFont="1" applyFill="1" applyBorder="1" applyAlignment="1">
      <alignment horizontal="center" vertical="center"/>
    </xf>
    <xf numFmtId="0" fontId="171" fillId="63" borderId="0" xfId="0" applyFont="1" applyFill="1">
      <alignment vertical="center"/>
    </xf>
    <xf numFmtId="0" fontId="1" fillId="80" borderId="0" xfId="0" applyFont="1" applyFill="1">
      <alignment vertical="center"/>
    </xf>
    <xf numFmtId="49" fontId="173" fillId="83" borderId="0" xfId="0" applyNumberFormat="1" applyFont="1" applyFill="1" applyAlignment="1">
      <alignment horizontal="center" vertical="center"/>
    </xf>
    <xf numFmtId="49" fontId="174" fillId="83" borderId="0" xfId="0" applyNumberFormat="1" applyFont="1" applyFill="1" applyAlignment="1">
      <alignment horizontal="center" vertical="center"/>
    </xf>
    <xf numFmtId="49" fontId="173" fillId="83" borderId="8" xfId="0" applyNumberFormat="1" applyFont="1" applyFill="1" applyBorder="1" applyAlignment="1">
      <alignment horizontal="center" vertical="center"/>
    </xf>
    <xf numFmtId="0" fontId="175" fillId="80" borderId="37" xfId="0" applyFont="1" applyFill="1" applyBorder="1" applyAlignment="1">
      <alignment horizontal="left" vertical="center"/>
    </xf>
    <xf numFmtId="49" fontId="175" fillId="80" borderId="30" xfId="0" applyNumberFormat="1" applyFont="1" applyFill="1" applyBorder="1" applyAlignment="1">
      <alignment horizontal="center" vertical="center"/>
    </xf>
    <xf numFmtId="0" fontId="175" fillId="80" borderId="30" xfId="0" applyFont="1" applyFill="1" applyBorder="1" applyAlignment="1">
      <alignment horizontal="center" vertical="center"/>
    </xf>
    <xf numFmtId="0" fontId="175" fillId="80" borderId="6" xfId="0" applyFont="1" applyFill="1" applyBorder="1" applyAlignment="1">
      <alignment horizontal="center" vertical="center"/>
    </xf>
    <xf numFmtId="0" fontId="175" fillId="68" borderId="38" xfId="0" applyFont="1" applyFill="1" applyBorder="1" applyAlignment="1">
      <alignment horizontal="left" vertical="center"/>
    </xf>
    <xf numFmtId="49" fontId="175" fillId="68" borderId="0" xfId="0" applyNumberFormat="1" applyFont="1" applyFill="1" applyAlignment="1">
      <alignment horizontal="center" vertical="center"/>
    </xf>
    <xf numFmtId="0" fontId="175" fillId="68" borderId="0" xfId="0" applyFont="1" applyFill="1" applyAlignment="1">
      <alignment horizontal="center" vertical="center"/>
    </xf>
    <xf numFmtId="0" fontId="175" fillId="68" borderId="33" xfId="0" applyFont="1" applyFill="1" applyBorder="1" applyAlignment="1">
      <alignment horizontal="center" vertical="center"/>
    </xf>
    <xf numFmtId="0" fontId="175" fillId="80" borderId="38" xfId="0" applyFont="1" applyFill="1" applyBorder="1" applyAlignment="1">
      <alignment horizontal="left" vertical="center"/>
    </xf>
    <xf numFmtId="49" fontId="175" fillId="80" borderId="0" xfId="0" applyNumberFormat="1" applyFont="1" applyFill="1" applyAlignment="1">
      <alignment horizontal="center" vertical="center"/>
    </xf>
    <xf numFmtId="0" fontId="175" fillId="80" borderId="0" xfId="0" applyFont="1" applyFill="1" applyAlignment="1">
      <alignment horizontal="center" vertical="center"/>
    </xf>
    <xf numFmtId="0" fontId="175" fillId="80" borderId="33" xfId="0" applyFont="1" applyFill="1" applyBorder="1" applyAlignment="1">
      <alignment horizontal="center" vertical="center"/>
    </xf>
    <xf numFmtId="0" fontId="175" fillId="84" borderId="38" xfId="0" applyFont="1" applyFill="1" applyBorder="1" applyAlignment="1">
      <alignment horizontal="left" vertical="center"/>
    </xf>
    <xf numFmtId="49" fontId="175" fillId="84" borderId="0" xfId="0" applyNumberFormat="1" applyFont="1" applyFill="1" applyAlignment="1">
      <alignment horizontal="center" vertical="center"/>
    </xf>
    <xf numFmtId="0" fontId="175" fillId="84" borderId="0" xfId="0" applyFont="1" applyFill="1" applyAlignment="1">
      <alignment horizontal="center" vertical="center"/>
    </xf>
    <xf numFmtId="0" fontId="175" fillId="84" borderId="33" xfId="0" applyFont="1" applyFill="1" applyBorder="1" applyAlignment="1">
      <alignment horizontal="center" vertical="center"/>
    </xf>
    <xf numFmtId="0" fontId="45" fillId="68" borderId="38" xfId="0" applyFont="1" applyFill="1" applyBorder="1" applyAlignment="1">
      <alignment horizontal="left" vertical="center"/>
    </xf>
    <xf numFmtId="49" fontId="45" fillId="68" borderId="0" xfId="0" applyNumberFormat="1" applyFont="1" applyFill="1" applyAlignment="1">
      <alignment horizontal="center" vertical="center"/>
    </xf>
    <xf numFmtId="0" fontId="45" fillId="68" borderId="0" xfId="0" applyFont="1" applyFill="1" applyAlignment="1">
      <alignment horizontal="center" vertical="center"/>
    </xf>
    <xf numFmtId="0" fontId="45" fillId="68" borderId="33" xfId="0" applyFont="1" applyFill="1" applyBorder="1" applyAlignment="1">
      <alignment horizontal="center" vertical="center"/>
    </xf>
    <xf numFmtId="0" fontId="175" fillId="85" borderId="38" xfId="0" applyFont="1" applyFill="1" applyBorder="1" applyAlignment="1">
      <alignment horizontal="left" vertical="center"/>
    </xf>
    <xf numFmtId="49" fontId="175" fillId="85" borderId="0" xfId="0" applyNumberFormat="1" applyFont="1" applyFill="1" applyAlignment="1">
      <alignment horizontal="center" vertical="center"/>
    </xf>
    <xf numFmtId="0" fontId="175" fillId="85" borderId="0" xfId="0" applyFont="1" applyFill="1" applyAlignment="1">
      <alignment horizontal="center" vertical="center"/>
    </xf>
    <xf numFmtId="0" fontId="175" fillId="85" borderId="33" xfId="0" applyFont="1" applyFill="1" applyBorder="1" applyAlignment="1">
      <alignment horizontal="center" vertical="center"/>
    </xf>
    <xf numFmtId="0" fontId="175" fillId="86" borderId="38" xfId="0" applyFont="1" applyFill="1" applyBorder="1" applyAlignment="1">
      <alignment horizontal="left" vertical="center"/>
    </xf>
    <xf numFmtId="49" fontId="175" fillId="86" borderId="0" xfId="0" applyNumberFormat="1" applyFont="1" applyFill="1" applyAlignment="1">
      <alignment horizontal="center" vertical="center"/>
    </xf>
    <xf numFmtId="0" fontId="175" fillId="86" borderId="0" xfId="0" applyFont="1" applyFill="1" applyAlignment="1">
      <alignment horizontal="center" vertical="center"/>
    </xf>
    <xf numFmtId="0" fontId="175" fillId="86" borderId="33" xfId="0" applyFont="1" applyFill="1" applyBorder="1" applyAlignment="1">
      <alignment horizontal="center" vertical="center"/>
    </xf>
    <xf numFmtId="0" fontId="175" fillId="87" borderId="38" xfId="0" applyFont="1" applyFill="1" applyBorder="1" applyAlignment="1">
      <alignment horizontal="left" vertical="center"/>
    </xf>
    <xf numFmtId="49" fontId="175" fillId="87" borderId="0" xfId="0" applyNumberFormat="1" applyFont="1" applyFill="1" applyAlignment="1">
      <alignment horizontal="center" vertical="center"/>
    </xf>
    <xf numFmtId="0" fontId="175" fillId="87" borderId="0" xfId="0" applyFont="1" applyFill="1" applyAlignment="1">
      <alignment horizontal="center" vertical="center"/>
    </xf>
    <xf numFmtId="0" fontId="175" fillId="87" borderId="33" xfId="0" applyFont="1" applyFill="1" applyBorder="1" applyAlignment="1">
      <alignment horizontal="center" vertical="center"/>
    </xf>
    <xf numFmtId="0" fontId="175" fillId="68" borderId="39" xfId="0" applyFont="1" applyFill="1" applyBorder="1" applyAlignment="1">
      <alignment horizontal="left" vertical="center"/>
    </xf>
    <xf numFmtId="49" fontId="175" fillId="68" borderId="34" xfId="0" applyNumberFormat="1" applyFont="1" applyFill="1" applyBorder="1" applyAlignment="1">
      <alignment horizontal="center" vertical="center"/>
    </xf>
    <xf numFmtId="0" fontId="175" fillId="68" borderId="34" xfId="0" applyFont="1" applyFill="1" applyBorder="1" applyAlignment="1">
      <alignment horizontal="center" vertical="center"/>
    </xf>
    <xf numFmtId="0" fontId="175" fillId="68" borderId="35" xfId="0" applyFont="1" applyFill="1" applyBorder="1" applyAlignment="1">
      <alignment horizontal="center" vertical="center"/>
    </xf>
    <xf numFmtId="0" fontId="175" fillId="88" borderId="37" xfId="0" applyFont="1" applyFill="1" applyBorder="1" applyAlignment="1">
      <alignment horizontal="left" vertical="center"/>
    </xf>
    <xf numFmtId="49" fontId="175" fillId="88" borderId="30" xfId="0" applyNumberFormat="1" applyFont="1" applyFill="1" applyBorder="1" applyAlignment="1">
      <alignment horizontal="center" vertical="center"/>
    </xf>
    <xf numFmtId="0" fontId="175" fillId="88" borderId="30" xfId="0" applyFont="1" applyFill="1" applyBorder="1" applyAlignment="1">
      <alignment horizontal="center" vertical="center"/>
    </xf>
    <xf numFmtId="0" fontId="175" fillId="88" borderId="6" xfId="0" applyFont="1" applyFill="1" applyBorder="1" applyAlignment="1">
      <alignment horizontal="center" vertical="center"/>
    </xf>
    <xf numFmtId="0" fontId="5" fillId="0" borderId="0" xfId="6" applyFont="1" applyAlignment="1">
      <alignment vertical="center" wrapText="1"/>
    </xf>
    <xf numFmtId="0" fontId="175" fillId="88" borderId="38" xfId="0" applyFont="1" applyFill="1" applyBorder="1" applyAlignment="1">
      <alignment horizontal="left" vertical="center"/>
    </xf>
    <xf numFmtId="49" fontId="175" fillId="88" borderId="0" xfId="0" applyNumberFormat="1" applyFont="1" applyFill="1" applyAlignment="1">
      <alignment horizontal="center" vertical="center"/>
    </xf>
    <xf numFmtId="0" fontId="175" fillId="88" borderId="0" xfId="0" applyFont="1" applyFill="1" applyAlignment="1">
      <alignment horizontal="center" vertical="center"/>
    </xf>
    <xf numFmtId="0" fontId="175" fillId="88" borderId="33" xfId="0" applyFont="1" applyFill="1" applyBorder="1" applyAlignment="1">
      <alignment horizontal="center" vertical="center"/>
    </xf>
    <xf numFmtId="182" fontId="175" fillId="80" borderId="0" xfId="0" applyNumberFormat="1" applyFont="1" applyFill="1" applyAlignment="1">
      <alignment horizontal="center" vertical="center"/>
    </xf>
    <xf numFmtId="0" fontId="175" fillId="88" borderId="39" xfId="0" applyFont="1" applyFill="1" applyBorder="1" applyAlignment="1">
      <alignment horizontal="left" vertical="center"/>
    </xf>
    <xf numFmtId="49" fontId="175" fillId="88" borderId="34" xfId="0" applyNumberFormat="1" applyFont="1" applyFill="1" applyBorder="1" applyAlignment="1">
      <alignment horizontal="center" vertical="center"/>
    </xf>
    <xf numFmtId="0" fontId="175" fillId="88" borderId="34" xfId="0" applyFont="1" applyFill="1" applyBorder="1" applyAlignment="1">
      <alignment horizontal="center" vertical="center"/>
    </xf>
    <xf numFmtId="0" fontId="175" fillId="88" borderId="35" xfId="0" applyFont="1" applyFill="1" applyBorder="1" applyAlignment="1">
      <alignment horizontal="center" vertical="center"/>
    </xf>
    <xf numFmtId="0" fontId="175" fillId="68" borderId="37" xfId="0" applyFont="1" applyFill="1" applyBorder="1" applyAlignment="1">
      <alignment horizontal="left" vertical="center"/>
    </xf>
    <xf numFmtId="49" fontId="175" fillId="89" borderId="30" xfId="0" applyNumberFormat="1" applyFont="1" applyFill="1" applyBorder="1" applyAlignment="1">
      <alignment horizontal="center" vertical="center"/>
    </xf>
    <xf numFmtId="0" fontId="175" fillId="89" borderId="30" xfId="0" applyFont="1" applyFill="1" applyBorder="1" applyAlignment="1">
      <alignment horizontal="center" vertical="center"/>
    </xf>
    <xf numFmtId="0" fontId="175" fillId="89" borderId="6" xfId="0" applyFont="1" applyFill="1" applyBorder="1" applyAlignment="1">
      <alignment horizontal="center" vertical="center"/>
    </xf>
    <xf numFmtId="0" fontId="5" fillId="0" borderId="38" xfId="6" applyFont="1" applyBorder="1" applyAlignment="1">
      <alignment vertical="center" wrapText="1"/>
    </xf>
    <xf numFmtId="49" fontId="175" fillId="89" borderId="0" xfId="0" applyNumberFormat="1" applyFont="1" applyFill="1" applyAlignment="1">
      <alignment horizontal="center" vertical="center"/>
    </xf>
    <xf numFmtId="0" fontId="175" fillId="89" borderId="0" xfId="0" applyFont="1" applyFill="1" applyAlignment="1">
      <alignment horizontal="center" vertical="center"/>
    </xf>
    <xf numFmtId="0" fontId="175" fillId="89" borderId="33" xfId="0" applyFont="1" applyFill="1" applyBorder="1" applyAlignment="1">
      <alignment horizontal="center" vertical="center"/>
    </xf>
    <xf numFmtId="0" fontId="175" fillId="90" borderId="38" xfId="0" applyFont="1" applyFill="1" applyBorder="1" applyAlignment="1">
      <alignment horizontal="left" vertical="center"/>
    </xf>
    <xf numFmtId="49" fontId="175" fillId="90" borderId="0" xfId="0" applyNumberFormat="1" applyFont="1" applyFill="1" applyAlignment="1">
      <alignment horizontal="center" vertical="center"/>
    </xf>
    <xf numFmtId="0" fontId="175" fillId="90" borderId="0" xfId="0" applyFont="1" applyFill="1" applyAlignment="1">
      <alignment horizontal="center" vertical="center"/>
    </xf>
    <xf numFmtId="0" fontId="175" fillId="90" borderId="33" xfId="0" applyFont="1" applyFill="1" applyBorder="1" applyAlignment="1">
      <alignment horizontal="center" vertical="center"/>
    </xf>
    <xf numFmtId="49" fontId="175" fillId="79" borderId="0" xfId="0" applyNumberFormat="1" applyFont="1" applyFill="1" applyAlignment="1">
      <alignment horizontal="center" vertical="center"/>
    </xf>
    <xf numFmtId="0" fontId="175" fillId="79" borderId="0" xfId="0" applyFont="1" applyFill="1" applyAlignment="1">
      <alignment horizontal="center" vertical="center"/>
    </xf>
    <xf numFmtId="0" fontId="175" fillId="79" borderId="33" xfId="0" applyFont="1" applyFill="1" applyBorder="1" applyAlignment="1">
      <alignment horizontal="center" vertical="center"/>
    </xf>
    <xf numFmtId="49" fontId="175" fillId="0" borderId="0" xfId="0" applyNumberFormat="1" applyFont="1" applyAlignment="1">
      <alignment horizontal="center" vertical="center"/>
    </xf>
    <xf numFmtId="0" fontId="175" fillId="0" borderId="0" xfId="0" applyFont="1" applyAlignment="1">
      <alignment horizontal="center" vertical="center"/>
    </xf>
    <xf numFmtId="0" fontId="175" fillId="0" borderId="33" xfId="0" applyFont="1" applyBorder="1" applyAlignment="1">
      <alignment horizontal="center" vertical="center"/>
    </xf>
    <xf numFmtId="0" fontId="175" fillId="89" borderId="33" xfId="0" applyFont="1" applyFill="1" applyBorder="1" applyAlignment="1">
      <alignment horizontal="center" vertical="center" wrapText="1"/>
    </xf>
    <xf numFmtId="0" fontId="175" fillId="0" borderId="33" xfId="0" applyFont="1" applyBorder="1" applyAlignment="1">
      <alignment horizontal="center" vertical="center" wrapText="1"/>
    </xf>
    <xf numFmtId="49" fontId="175" fillId="89" borderId="34" xfId="0" applyNumberFormat="1" applyFont="1" applyFill="1" applyBorder="1" applyAlignment="1">
      <alignment horizontal="center" vertical="center"/>
    </xf>
    <xf numFmtId="0" fontId="175" fillId="89" borderId="34" xfId="0" applyFont="1" applyFill="1" applyBorder="1" applyAlignment="1">
      <alignment horizontal="center" vertical="center"/>
    </xf>
    <xf numFmtId="0" fontId="175" fillId="89" borderId="35" xfId="0" applyFont="1" applyFill="1" applyBorder="1" applyAlignment="1">
      <alignment horizontal="center" vertical="center"/>
    </xf>
    <xf numFmtId="0" fontId="175" fillId="91" borderId="37" xfId="0" applyFont="1" applyFill="1" applyBorder="1" applyAlignment="1">
      <alignment horizontal="left" vertical="center"/>
    </xf>
    <xf numFmtId="49" fontId="175" fillId="91" borderId="30" xfId="0" applyNumberFormat="1" applyFont="1" applyFill="1" applyBorder="1" applyAlignment="1">
      <alignment horizontal="center" vertical="center"/>
    </xf>
    <xf numFmtId="0" fontId="175" fillId="91" borderId="30" xfId="0" applyFont="1" applyFill="1" applyBorder="1" applyAlignment="1">
      <alignment horizontal="center" vertical="center"/>
    </xf>
    <xf numFmtId="0" fontId="175" fillId="91" borderId="6" xfId="0" applyFont="1" applyFill="1" applyBorder="1" applyAlignment="1">
      <alignment horizontal="center" vertical="center"/>
    </xf>
    <xf numFmtId="0" fontId="175" fillId="0" borderId="38" xfId="0" applyFont="1" applyBorder="1" applyAlignment="1">
      <alignment horizontal="left" vertical="center"/>
    </xf>
    <xf numFmtId="0" fontId="175" fillId="91" borderId="38" xfId="0" applyFont="1" applyFill="1" applyBorder="1" applyAlignment="1">
      <alignment horizontal="left" vertical="center"/>
    </xf>
    <xf numFmtId="49" fontId="175" fillId="91" borderId="0" xfId="0" applyNumberFormat="1" applyFont="1" applyFill="1" applyAlignment="1">
      <alignment horizontal="center" vertical="center"/>
    </xf>
    <xf numFmtId="0" fontId="175" fillId="91" borderId="0" xfId="0" applyFont="1" applyFill="1" applyAlignment="1">
      <alignment horizontal="center" vertical="center"/>
    </xf>
    <xf numFmtId="0" fontId="175" fillId="91" borderId="33" xfId="0" applyFont="1" applyFill="1" applyBorder="1" applyAlignment="1">
      <alignment horizontal="center" vertical="center"/>
    </xf>
    <xf numFmtId="0" fontId="175" fillId="92" borderId="38" xfId="0" applyFont="1" applyFill="1" applyBorder="1" applyAlignment="1">
      <alignment horizontal="left" vertical="center"/>
    </xf>
    <xf numFmtId="49" fontId="175" fillId="92" borderId="0" xfId="0" applyNumberFormat="1" applyFont="1" applyFill="1" applyAlignment="1">
      <alignment horizontal="center" vertical="center"/>
    </xf>
    <xf numFmtId="0" fontId="175" fillId="92" borderId="0" xfId="0" applyFont="1" applyFill="1" applyAlignment="1">
      <alignment horizontal="center" vertical="center"/>
    </xf>
    <xf numFmtId="0" fontId="175" fillId="92" borderId="33" xfId="0" applyFont="1" applyFill="1" applyBorder="1" applyAlignment="1">
      <alignment horizontal="center" vertical="center"/>
    </xf>
    <xf numFmtId="0" fontId="175" fillId="91" borderId="39" xfId="0" applyFont="1" applyFill="1" applyBorder="1" applyAlignment="1">
      <alignment horizontal="left" vertical="center"/>
    </xf>
    <xf numFmtId="49" fontId="175" fillId="91" borderId="34" xfId="0" applyNumberFormat="1" applyFont="1" applyFill="1" applyBorder="1" applyAlignment="1">
      <alignment horizontal="center" vertical="center"/>
    </xf>
    <xf numFmtId="0" fontId="175" fillId="91" borderId="34" xfId="0" applyFont="1" applyFill="1" applyBorder="1" applyAlignment="1">
      <alignment horizontal="center" vertical="center"/>
    </xf>
    <xf numFmtId="0" fontId="175" fillId="91" borderId="35" xfId="0" applyFont="1" applyFill="1" applyBorder="1" applyAlignment="1">
      <alignment horizontal="center" vertical="center"/>
    </xf>
    <xf numFmtId="0" fontId="175" fillId="79" borderId="37" xfId="0" applyFont="1" applyFill="1" applyBorder="1" applyAlignment="1">
      <alignment horizontal="left" vertical="center"/>
    </xf>
    <xf numFmtId="49" fontId="175" fillId="79" borderId="30" xfId="0" applyNumberFormat="1" applyFont="1" applyFill="1" applyBorder="1" applyAlignment="1">
      <alignment horizontal="center" vertical="center"/>
    </xf>
    <xf numFmtId="0" fontId="175" fillId="79" borderId="30" xfId="0" applyFont="1" applyFill="1" applyBorder="1" applyAlignment="1">
      <alignment horizontal="center" vertical="center"/>
    </xf>
    <xf numFmtId="0" fontId="175" fillId="79" borderId="6" xfId="0" applyFont="1" applyFill="1" applyBorder="1" applyAlignment="1">
      <alignment horizontal="center" vertical="center"/>
    </xf>
    <xf numFmtId="0" fontId="27" fillId="93" borderId="1" xfId="6" applyFill="1" applyBorder="1" applyAlignment="1">
      <alignment vertical="center"/>
    </xf>
    <xf numFmtId="0" fontId="175" fillId="93" borderId="38" xfId="0" applyFont="1" applyFill="1" applyBorder="1" applyAlignment="1">
      <alignment horizontal="left" vertical="center"/>
    </xf>
    <xf numFmtId="49" fontId="175" fillId="94" borderId="0" xfId="0" applyNumberFormat="1" applyFont="1" applyFill="1" applyAlignment="1">
      <alignment horizontal="center" vertical="center"/>
    </xf>
    <xf numFmtId="0" fontId="175" fillId="94" borderId="0" xfId="0" applyFont="1" applyFill="1" applyAlignment="1">
      <alignment horizontal="center" vertical="center"/>
    </xf>
    <xf numFmtId="0" fontId="175" fillId="94" borderId="33" xfId="0" applyFont="1" applyFill="1" applyBorder="1" applyAlignment="1">
      <alignment horizontal="center" vertical="center"/>
    </xf>
    <xf numFmtId="0" fontId="175" fillId="93" borderId="39" xfId="0" applyFont="1" applyFill="1" applyBorder="1" applyAlignment="1">
      <alignment horizontal="left" vertical="center"/>
    </xf>
    <xf numFmtId="49" fontId="175" fillId="80" borderId="34" xfId="0" applyNumberFormat="1" applyFont="1" applyFill="1" applyBorder="1" applyAlignment="1">
      <alignment horizontal="center" vertical="center"/>
    </xf>
    <xf numFmtId="0" fontId="175" fillId="80" borderId="34" xfId="0" applyFont="1" applyFill="1" applyBorder="1" applyAlignment="1">
      <alignment horizontal="center" vertical="center"/>
    </xf>
    <xf numFmtId="0" fontId="175" fillId="80" borderId="35" xfId="0" applyFont="1" applyFill="1" applyBorder="1" applyAlignment="1">
      <alignment horizontal="center" vertical="center"/>
    </xf>
    <xf numFmtId="0" fontId="176" fillId="0" borderId="0" xfId="0" applyFont="1">
      <alignment vertical="center"/>
    </xf>
    <xf numFmtId="0" fontId="12" fillId="0" borderId="10" xfId="6" applyFont="1" applyBorder="1" applyAlignment="1">
      <alignment vertical="center"/>
    </xf>
    <xf numFmtId="0" fontId="9" fillId="0" borderId="34" xfId="6" applyFont="1" applyBorder="1" applyAlignment="1">
      <alignment vertical="center"/>
    </xf>
    <xf numFmtId="0" fontId="77" fillId="0" borderId="0" xfId="6" applyFont="1" applyAlignment="1">
      <alignment horizontal="right" vertical="center"/>
    </xf>
    <xf numFmtId="0" fontId="74" fillId="0" borderId="0" xfId="6" applyFont="1" applyAlignment="1">
      <alignment horizontal="center" vertical="center"/>
    </xf>
    <xf numFmtId="0" fontId="74" fillId="0" borderId="0" xfId="6" applyFont="1" applyAlignment="1">
      <alignment vertical="center"/>
    </xf>
    <xf numFmtId="0" fontId="74" fillId="0" borderId="0" xfId="6" applyFont="1" applyAlignment="1">
      <alignment horizontal="right" vertical="center"/>
    </xf>
    <xf numFmtId="0" fontId="9" fillId="0" borderId="14" xfId="6" applyFont="1" applyBorder="1" applyAlignment="1">
      <alignment vertical="center"/>
    </xf>
    <xf numFmtId="0" fontId="74" fillId="0" borderId="0" xfId="6" applyFont="1" applyAlignment="1">
      <alignment vertical="center" wrapText="1"/>
    </xf>
    <xf numFmtId="0" fontId="5" fillId="0" borderId="0" xfId="6" applyFont="1" applyAlignment="1">
      <alignment horizontal="center" vertical="center" wrapText="1"/>
    </xf>
    <xf numFmtId="49" fontId="60" fillId="89" borderId="68" xfId="6" applyNumberFormat="1" applyFont="1" applyFill="1" applyBorder="1" applyAlignment="1">
      <alignment horizontal="center" vertical="center"/>
    </xf>
    <xf numFmtId="0" fontId="1" fillId="0" borderId="1" xfId="0" applyFont="1" applyBorder="1" applyAlignment="1">
      <alignment horizontal="left" vertical="center"/>
    </xf>
    <xf numFmtId="0" fontId="2" fillId="0" borderId="0" xfId="0" applyFont="1" applyAlignment="1">
      <alignment horizontal="center" vertical="center"/>
    </xf>
    <xf numFmtId="0" fontId="181" fillId="98" borderId="202" xfId="0" applyFont="1" applyFill="1" applyBorder="1" applyAlignment="1">
      <alignment horizontal="center" vertical="center" wrapText="1"/>
    </xf>
    <xf numFmtId="0" fontId="45" fillId="0" borderId="202" xfId="0" applyFont="1" applyBorder="1" applyAlignment="1">
      <alignment vertical="top" wrapText="1"/>
    </xf>
    <xf numFmtId="0" fontId="45" fillId="97" borderId="202" xfId="0" applyFont="1" applyFill="1" applyBorder="1" applyAlignment="1">
      <alignment horizontal="center" vertical="center" wrapText="1"/>
    </xf>
    <xf numFmtId="0" fontId="0" fillId="0" borderId="0" xfId="0" applyAlignment="1"/>
    <xf numFmtId="0" fontId="182" fillId="0" borderId="11" xfId="0" applyFont="1" applyBorder="1">
      <alignment vertical="center"/>
    </xf>
    <xf numFmtId="0" fontId="180" fillId="96" borderId="0" xfId="0" applyFont="1" applyFill="1">
      <alignment vertical="center"/>
    </xf>
    <xf numFmtId="0" fontId="160" fillId="0" borderId="0" xfId="0" applyFont="1" applyAlignment="1">
      <alignment horizontal="center" vertical="top"/>
    </xf>
    <xf numFmtId="0" fontId="15" fillId="0" borderId="0" xfId="0" applyFont="1" applyAlignment="1">
      <alignment horizontal="center" vertical="center"/>
    </xf>
    <xf numFmtId="0" fontId="15" fillId="4" borderId="87" xfId="0" applyFont="1" applyFill="1" applyBorder="1" applyAlignment="1">
      <alignment horizontal="center" vertical="center"/>
    </xf>
    <xf numFmtId="0" fontId="0" fillId="0" borderId="87" xfId="0" applyBorder="1" applyAlignment="1"/>
    <xf numFmtId="0" fontId="15" fillId="9" borderId="90" xfId="0" applyFont="1" applyFill="1" applyBorder="1" applyAlignment="1">
      <alignment horizontal="center" vertical="center"/>
    </xf>
    <xf numFmtId="0" fontId="0" fillId="0" borderId="82" xfId="0" applyBorder="1" applyAlignment="1"/>
    <xf numFmtId="179" fontId="3" fillId="9" borderId="90" xfId="0" applyNumberFormat="1" applyFont="1" applyFill="1" applyBorder="1" applyAlignment="1">
      <alignment horizontal="center" vertical="center"/>
    </xf>
    <xf numFmtId="0" fontId="15" fillId="0" borderId="90" xfId="0" applyFont="1" applyBorder="1" applyAlignment="1">
      <alignment horizontal="center" vertical="center"/>
    </xf>
    <xf numFmtId="179" fontId="3" fillId="0" borderId="90" xfId="0" applyNumberFormat="1" applyFont="1" applyBorder="1" applyAlignment="1">
      <alignment horizontal="center" vertical="center"/>
    </xf>
    <xf numFmtId="177" fontId="15" fillId="0" borderId="90" xfId="0" applyNumberFormat="1" applyFont="1" applyBorder="1" applyAlignment="1">
      <alignment horizontal="center" vertical="center"/>
    </xf>
    <xf numFmtId="0" fontId="0" fillId="0" borderId="244" xfId="0" applyBorder="1" applyAlignment="1"/>
    <xf numFmtId="0" fontId="84" fillId="39" borderId="90" xfId="0" applyFont="1" applyFill="1" applyBorder="1" applyAlignment="1">
      <alignment horizontal="center" vertical="center"/>
    </xf>
    <xf numFmtId="0" fontId="0" fillId="0" borderId="80" xfId="0" applyBorder="1" applyAlignment="1"/>
    <xf numFmtId="0" fontId="9" fillId="4" borderId="136" xfId="0" applyFont="1" applyFill="1" applyBorder="1" applyAlignment="1">
      <alignment horizontal="right" vertical="top"/>
    </xf>
    <xf numFmtId="0" fontId="15" fillId="0" borderId="187" xfId="0" applyFont="1" applyBorder="1" applyAlignment="1">
      <alignment horizontal="center" vertical="center"/>
    </xf>
    <xf numFmtId="177" fontId="15" fillId="9" borderId="90" xfId="0" applyNumberFormat="1" applyFont="1" applyFill="1" applyBorder="1" applyAlignment="1">
      <alignment horizontal="center" vertical="center"/>
    </xf>
    <xf numFmtId="0" fontId="84" fillId="7" borderId="90" xfId="0" applyFont="1" applyFill="1" applyBorder="1" applyAlignment="1">
      <alignment horizontal="center" vertical="center"/>
    </xf>
    <xf numFmtId="49" fontId="84" fillId="8" borderId="86" xfId="0" applyNumberFormat="1" applyFont="1" applyFill="1" applyBorder="1" applyAlignment="1">
      <alignment horizontal="center" vertical="center" wrapText="1"/>
    </xf>
    <xf numFmtId="0" fontId="0" fillId="0" borderId="83" xfId="0" applyBorder="1" applyAlignment="1"/>
    <xf numFmtId="49" fontId="15" fillId="8" borderId="11" xfId="0" applyNumberFormat="1" applyFont="1" applyFill="1" applyBorder="1" applyAlignment="1">
      <alignment horizontal="center" vertical="center" wrapText="1"/>
    </xf>
    <xf numFmtId="0" fontId="0" fillId="0" borderId="11" xfId="0" applyBorder="1" applyAlignment="1"/>
    <xf numFmtId="0" fontId="168" fillId="0" borderId="0" xfId="0" applyFont="1" applyAlignment="1">
      <alignment horizontal="center" vertical="top"/>
    </xf>
    <xf numFmtId="179" fontId="14" fillId="0" borderId="90" xfId="0" applyNumberFormat="1" applyFont="1" applyBorder="1" applyAlignment="1">
      <alignment horizontal="center" vertical="center"/>
    </xf>
    <xf numFmtId="49" fontId="15" fillId="0" borderId="114" xfId="0" applyNumberFormat="1" applyFont="1" applyBorder="1" applyAlignment="1">
      <alignment horizontal="center" vertical="center" wrapText="1"/>
    </xf>
    <xf numFmtId="0" fontId="0" fillId="0" borderId="15" xfId="0" applyBorder="1" applyAlignment="1"/>
    <xf numFmtId="0" fontId="0" fillId="0" borderId="89" xfId="0" applyBorder="1" applyAlignment="1"/>
    <xf numFmtId="179" fontId="14" fillId="9" borderId="90" xfId="0" applyNumberFormat="1" applyFont="1" applyFill="1" applyBorder="1" applyAlignment="1">
      <alignment horizontal="center" vertical="center"/>
    </xf>
    <xf numFmtId="0" fontId="51" fillId="56" borderId="134" xfId="0" applyFont="1" applyFill="1" applyBorder="1" applyAlignment="1">
      <alignment horizontal="center" vertical="center"/>
    </xf>
    <xf numFmtId="0" fontId="0" fillId="0" borderId="149" xfId="0" applyBorder="1" applyAlignment="1"/>
    <xf numFmtId="0" fontId="0" fillId="0" borderId="152" xfId="0" applyBorder="1" applyAlignment="1"/>
    <xf numFmtId="0" fontId="15" fillId="8" borderId="176" xfId="0" applyFont="1" applyFill="1" applyBorder="1" applyAlignment="1">
      <alignment horizontal="center" vertical="center" wrapText="1"/>
    </xf>
    <xf numFmtId="0" fontId="0" fillId="0" borderId="78" xfId="0" applyBorder="1" applyAlignment="1"/>
    <xf numFmtId="0" fontId="0" fillId="0" borderId="133" xfId="0" applyBorder="1" applyAlignment="1"/>
    <xf numFmtId="0" fontId="9" fillId="0" borderId="71" xfId="0" applyFont="1" applyBorder="1" applyAlignment="1">
      <alignment horizontal="center" vertical="center"/>
    </xf>
    <xf numFmtId="0" fontId="15" fillId="0" borderId="0" xfId="0" applyFont="1" applyAlignment="1">
      <alignment horizontal="left" vertical="center"/>
    </xf>
    <xf numFmtId="0" fontId="15" fillId="0" borderId="90" xfId="0" applyFont="1" applyBorder="1" applyAlignment="1">
      <alignment horizontal="center" vertical="center" wrapText="1"/>
    </xf>
    <xf numFmtId="0" fontId="0" fillId="0" borderId="154" xfId="0" applyBorder="1" applyAlignment="1"/>
    <xf numFmtId="0" fontId="84" fillId="0" borderId="136" xfId="0" applyFont="1" applyBorder="1" applyAlignment="1">
      <alignment horizontal="left" vertical="top" wrapText="1"/>
    </xf>
    <xf numFmtId="0" fontId="0" fillId="0" borderId="74" xfId="0" applyBorder="1" applyAlignment="1"/>
    <xf numFmtId="0" fontId="0" fillId="0" borderId="10" xfId="0" applyBorder="1" applyAlignment="1"/>
    <xf numFmtId="0" fontId="0" fillId="0" borderId="75" xfId="0" applyBorder="1" applyAlignment="1"/>
    <xf numFmtId="0" fontId="0" fillId="0" borderId="76" xfId="0" applyBorder="1" applyAlignment="1"/>
    <xf numFmtId="179" fontId="9" fillId="9" borderId="203" xfId="0" applyNumberFormat="1" applyFont="1" applyFill="1" applyBorder="1" applyAlignment="1">
      <alignment horizontal="center" vertical="top" wrapText="1"/>
    </xf>
    <xf numFmtId="0" fontId="0" fillId="0" borderId="85" xfId="0" applyBorder="1" applyAlignment="1"/>
    <xf numFmtId="49" fontId="15" fillId="8" borderId="166" xfId="0" applyNumberFormat="1" applyFont="1" applyFill="1" applyBorder="1" applyAlignment="1">
      <alignment horizontal="center" vertical="center" wrapText="1"/>
    </xf>
    <xf numFmtId="0" fontId="84" fillId="8" borderId="11" xfId="0" applyFont="1" applyFill="1" applyBorder="1" applyAlignment="1">
      <alignment horizontal="center" vertical="center" wrapText="1"/>
    </xf>
    <xf numFmtId="0" fontId="31" fillId="9" borderId="90" xfId="0" applyFont="1" applyFill="1" applyBorder="1" applyAlignment="1">
      <alignment horizontal="center" vertical="center"/>
    </xf>
    <xf numFmtId="0" fontId="15" fillId="8" borderId="90" xfId="0" applyFont="1" applyFill="1" applyBorder="1" applyAlignment="1">
      <alignment horizontal="center" vertical="center"/>
    </xf>
    <xf numFmtId="49" fontId="15" fillId="0" borderId="11" xfId="0" applyNumberFormat="1" applyFont="1" applyBorder="1" applyAlignment="1">
      <alignment horizontal="center" vertical="center" wrapText="1"/>
    </xf>
    <xf numFmtId="0" fontId="105" fillId="0" borderId="0" xfId="0" applyFont="1" applyAlignment="1">
      <alignment horizontal="left" vertical="top" wrapText="1"/>
    </xf>
    <xf numFmtId="0" fontId="0" fillId="0" borderId="246" xfId="0" applyBorder="1" applyAlignment="1"/>
    <xf numFmtId="0" fontId="144" fillId="0" borderId="0" xfId="0" applyFont="1" applyAlignment="1">
      <alignment horizontal="center" vertical="center"/>
    </xf>
    <xf numFmtId="0" fontId="84" fillId="0" borderId="11" xfId="0" applyFont="1" applyBorder="1" applyAlignment="1">
      <alignment horizontal="center" vertical="center" wrapText="1"/>
    </xf>
    <xf numFmtId="49" fontId="15" fillId="0" borderId="166" xfId="0" applyNumberFormat="1" applyFont="1" applyBorder="1" applyAlignment="1">
      <alignment horizontal="center" vertical="center" wrapText="1"/>
    </xf>
    <xf numFmtId="0" fontId="105" fillId="0" borderId="0" xfId="0" applyFont="1" applyAlignment="1">
      <alignment horizontal="left" vertical="top"/>
    </xf>
    <xf numFmtId="179" fontId="147" fillId="56" borderId="192" xfId="0" applyNumberFormat="1" applyFont="1" applyFill="1" applyBorder="1" applyAlignment="1">
      <alignment horizontal="center" vertical="center"/>
    </xf>
    <xf numFmtId="0" fontId="0" fillId="0" borderId="184" xfId="0" applyBorder="1" applyAlignment="1"/>
    <xf numFmtId="0" fontId="0" fillId="0" borderId="192" xfId="0" applyBorder="1" applyAlignment="1"/>
    <xf numFmtId="0" fontId="15" fillId="9" borderId="187" xfId="0" applyFont="1" applyFill="1" applyBorder="1" applyAlignment="1">
      <alignment horizontal="center" vertical="center"/>
    </xf>
    <xf numFmtId="0" fontId="84" fillId="0" borderId="90" xfId="0" applyFont="1" applyBorder="1" applyAlignment="1">
      <alignment horizontal="center" vertical="center" wrapText="1"/>
    </xf>
    <xf numFmtId="49" fontId="15" fillId="8" borderId="86" xfId="0" applyNumberFormat="1" applyFont="1" applyFill="1" applyBorder="1" applyAlignment="1">
      <alignment horizontal="center" vertical="center" wrapText="1"/>
    </xf>
    <xf numFmtId="0" fontId="84" fillId="8" borderId="90" xfId="0" applyFont="1" applyFill="1" applyBorder="1" applyAlignment="1">
      <alignment horizontal="center" vertical="center"/>
    </xf>
    <xf numFmtId="0" fontId="15" fillId="9" borderId="82" xfId="0" applyFont="1" applyFill="1" applyBorder="1">
      <alignment vertical="center"/>
    </xf>
    <xf numFmtId="0" fontId="9" fillId="4" borderId="90" xfId="0" applyFont="1" applyFill="1" applyBorder="1" applyAlignment="1">
      <alignment horizontal="left" vertical="top"/>
    </xf>
    <xf numFmtId="0" fontId="143" fillId="68" borderId="182" xfId="0" applyFont="1" applyFill="1" applyBorder="1" applyAlignment="1">
      <alignment horizontal="center" vertical="center" wrapText="1"/>
    </xf>
    <xf numFmtId="0" fontId="1" fillId="4" borderId="90" xfId="0" applyFont="1" applyFill="1" applyBorder="1">
      <alignment vertical="center"/>
    </xf>
    <xf numFmtId="49" fontId="84" fillId="8" borderId="71" xfId="0" applyNumberFormat="1" applyFont="1" applyFill="1" applyBorder="1" applyAlignment="1">
      <alignment horizontal="center" vertical="center" wrapText="1"/>
    </xf>
    <xf numFmtId="0" fontId="15" fillId="0" borderId="90" xfId="0" applyFont="1" applyBorder="1" applyAlignment="1">
      <alignment horizontal="right" vertical="center"/>
    </xf>
    <xf numFmtId="179" fontId="3" fillId="9" borderId="175" xfId="0" applyNumberFormat="1" applyFont="1" applyFill="1" applyBorder="1" applyAlignment="1">
      <alignment horizontal="center" vertical="center"/>
    </xf>
    <xf numFmtId="0" fontId="0" fillId="0" borderId="180" xfId="0" applyBorder="1" applyAlignment="1"/>
    <xf numFmtId="49" fontId="84" fillId="0" borderId="71" xfId="0" applyNumberFormat="1" applyFont="1" applyBorder="1" applyAlignment="1">
      <alignment horizontal="center" vertical="center" wrapText="1"/>
    </xf>
    <xf numFmtId="188" fontId="143" fillId="4" borderId="182" xfId="0" applyNumberFormat="1" applyFont="1" applyFill="1" applyBorder="1" applyAlignment="1">
      <alignment horizontal="center" vertical="center"/>
    </xf>
    <xf numFmtId="0" fontId="84" fillId="0" borderId="136" xfId="0" applyFont="1" applyBorder="1" applyAlignment="1">
      <alignment horizontal="center" vertical="center"/>
    </xf>
    <xf numFmtId="49" fontId="84" fillId="0" borderId="91" xfId="0" applyNumberFormat="1" applyFont="1" applyBorder="1" applyAlignment="1">
      <alignment horizontal="center" vertical="center" wrapText="1"/>
    </xf>
    <xf numFmtId="0" fontId="12" fillId="39" borderId="80" xfId="2" applyFont="1" applyFill="1" applyBorder="1" applyAlignment="1">
      <alignment horizontal="center" vertical="center"/>
    </xf>
    <xf numFmtId="0" fontId="150" fillId="8" borderId="90" xfId="0" applyFont="1" applyFill="1" applyBorder="1" applyAlignment="1">
      <alignment horizontal="center" vertical="center"/>
    </xf>
    <xf numFmtId="0" fontId="84" fillId="8" borderId="86" xfId="0" applyFont="1" applyFill="1" applyBorder="1" applyAlignment="1">
      <alignment horizontal="center" vertical="center" wrapText="1"/>
    </xf>
    <xf numFmtId="0" fontId="1" fillId="4" borderId="185" xfId="5" applyFont="1" applyBorder="1" applyAlignment="1">
      <alignment horizontal="center" vertical="center"/>
    </xf>
    <xf numFmtId="0" fontId="15" fillId="8" borderId="136" xfId="0" applyFont="1" applyFill="1" applyBorder="1" applyAlignment="1">
      <alignment horizontal="center" vertical="center"/>
    </xf>
    <xf numFmtId="0" fontId="15" fillId="9" borderId="175" xfId="0" applyFont="1" applyFill="1" applyBorder="1" applyAlignment="1">
      <alignment horizontal="center" vertical="center"/>
    </xf>
    <xf numFmtId="49" fontId="84" fillId="0" borderId="10" xfId="0" applyNumberFormat="1" applyFont="1" applyBorder="1" applyAlignment="1">
      <alignment horizontal="center" vertical="center" wrapText="1"/>
    </xf>
    <xf numFmtId="0" fontId="15" fillId="9" borderId="90" xfId="0" applyFont="1" applyFill="1" applyBorder="1" applyAlignment="1">
      <alignment horizontal="right" vertical="center"/>
    </xf>
    <xf numFmtId="0" fontId="15" fillId="8" borderId="189" xfId="0" applyFont="1" applyFill="1" applyBorder="1" applyAlignment="1">
      <alignment horizontal="center" vertical="center" wrapText="1"/>
    </xf>
    <xf numFmtId="0" fontId="0" fillId="0" borderId="189" xfId="0" applyBorder="1" applyAlignment="1"/>
    <xf numFmtId="0" fontId="15" fillId="0" borderId="82" xfId="0" applyFont="1" applyBorder="1" applyAlignment="1">
      <alignment horizontal="left" vertical="center"/>
    </xf>
    <xf numFmtId="0" fontId="15" fillId="0" borderId="176" xfId="0" applyFont="1" applyBorder="1" applyAlignment="1">
      <alignment horizontal="center" vertical="center" wrapText="1"/>
    </xf>
    <xf numFmtId="0" fontId="15" fillId="8" borderId="90" xfId="0" applyFont="1" applyFill="1" applyBorder="1" applyAlignment="1">
      <alignment horizontal="center" vertical="center" wrapText="1"/>
    </xf>
    <xf numFmtId="0" fontId="157" fillId="8" borderId="90" xfId="0" applyFont="1" applyFill="1" applyBorder="1" applyAlignment="1">
      <alignment horizontal="center" vertical="center"/>
    </xf>
    <xf numFmtId="0" fontId="1" fillId="72" borderId="203" xfId="0" applyFont="1" applyFill="1" applyBorder="1" applyAlignment="1">
      <alignment horizontal="center" vertical="center"/>
    </xf>
    <xf numFmtId="0" fontId="0" fillId="0" borderId="88" xfId="0" applyBorder="1" applyAlignment="1"/>
    <xf numFmtId="49" fontId="15" fillId="0" borderId="136" xfId="0" applyNumberFormat="1" applyFont="1" applyBorder="1" applyAlignment="1">
      <alignment horizontal="center" vertical="center"/>
    </xf>
    <xf numFmtId="0" fontId="84" fillId="0" borderId="90" xfId="0" applyFont="1" applyBorder="1" applyAlignment="1">
      <alignment horizontal="center" vertical="center"/>
    </xf>
    <xf numFmtId="0" fontId="15" fillId="8" borderId="40" xfId="0" applyFont="1" applyFill="1" applyBorder="1" applyAlignment="1">
      <alignment horizontal="center" vertical="center"/>
    </xf>
    <xf numFmtId="0" fontId="0" fillId="0" borderId="14" xfId="0" applyBorder="1" applyAlignment="1"/>
    <xf numFmtId="0" fontId="0" fillId="0" borderId="8" xfId="0" applyBorder="1" applyAlignment="1"/>
    <xf numFmtId="0" fontId="0" fillId="0" borderId="12" xfId="0" applyBorder="1" applyAlignment="1"/>
    <xf numFmtId="0" fontId="0" fillId="0" borderId="13" xfId="0" applyBorder="1" applyAlignment="1"/>
    <xf numFmtId="0" fontId="15" fillId="8" borderId="182" xfId="0" applyFont="1" applyFill="1" applyBorder="1" applyAlignment="1">
      <alignment horizontal="center" vertical="center" wrapText="1"/>
    </xf>
    <xf numFmtId="0" fontId="0" fillId="0" borderId="182" xfId="0" applyBorder="1" applyAlignment="1"/>
    <xf numFmtId="0" fontId="31" fillId="9" borderId="82" xfId="0" applyFont="1" applyFill="1" applyBorder="1" applyAlignment="1">
      <alignment horizontal="left" vertical="center"/>
    </xf>
    <xf numFmtId="0" fontId="84" fillId="0" borderId="175" xfId="0" applyFont="1" applyBorder="1" applyAlignment="1">
      <alignment horizontal="center" vertical="center"/>
    </xf>
    <xf numFmtId="0" fontId="0" fillId="0" borderId="194" xfId="0" applyBorder="1" applyAlignment="1"/>
    <xf numFmtId="49" fontId="15" fillId="39" borderId="26" xfId="0" applyNumberFormat="1" applyFont="1" applyFill="1" applyBorder="1" applyAlignment="1">
      <alignment horizontal="center" vertical="center" wrapText="1"/>
    </xf>
    <xf numFmtId="0" fontId="15" fillId="4" borderId="90" xfId="0" applyFont="1" applyFill="1" applyBorder="1" applyAlignment="1">
      <alignment horizontal="center" vertical="center"/>
    </xf>
    <xf numFmtId="49" fontId="1" fillId="0" borderId="79" xfId="0" applyNumberFormat="1" applyFont="1" applyBorder="1" applyAlignment="1">
      <alignment horizontal="center" vertical="center"/>
    </xf>
    <xf numFmtId="0" fontId="151" fillId="68" borderId="190" xfId="0" applyFont="1" applyFill="1" applyBorder="1" applyAlignment="1">
      <alignment vertical="center" wrapText="1"/>
    </xf>
    <xf numFmtId="0" fontId="0" fillId="0" borderId="190" xfId="0" applyBorder="1" applyAlignment="1"/>
    <xf numFmtId="0" fontId="84" fillId="7" borderId="10" xfId="0" applyFont="1" applyFill="1" applyBorder="1" applyAlignment="1">
      <alignment horizontal="center" vertical="center" wrapText="1"/>
    </xf>
    <xf numFmtId="0" fontId="84" fillId="4" borderId="10" xfId="0" applyFont="1" applyFill="1" applyBorder="1" applyAlignment="1">
      <alignment horizontal="center" vertical="center" wrapText="1"/>
    </xf>
    <xf numFmtId="0" fontId="15" fillId="8" borderId="8" xfId="0" applyFont="1" applyFill="1" applyBorder="1" applyAlignment="1">
      <alignment horizontal="center" vertical="center" wrapText="1"/>
    </xf>
    <xf numFmtId="49" fontId="84" fillId="0" borderId="86" xfId="0" applyNumberFormat="1" applyFont="1" applyBorder="1" applyAlignment="1">
      <alignment horizontal="center" vertical="center" wrapText="1"/>
    </xf>
    <xf numFmtId="0" fontId="15" fillId="68" borderId="182" xfId="0" applyFont="1" applyFill="1" applyBorder="1" applyAlignment="1">
      <alignment horizontal="center" vertical="center" wrapText="1"/>
    </xf>
    <xf numFmtId="0" fontId="12" fillId="69" borderId="15" xfId="0" applyFont="1" applyFill="1" applyBorder="1" applyAlignment="1">
      <alignment horizontal="center" vertical="center" wrapText="1"/>
    </xf>
    <xf numFmtId="0" fontId="15" fillId="0" borderId="136" xfId="0" applyFont="1" applyBorder="1" applyAlignment="1">
      <alignment horizontal="center" vertical="center"/>
    </xf>
    <xf numFmtId="0" fontId="15" fillId="4" borderId="114" xfId="0" applyFont="1" applyFill="1" applyBorder="1" applyAlignment="1">
      <alignment horizontal="center" vertical="center"/>
    </xf>
    <xf numFmtId="0" fontId="15" fillId="8" borderId="136" xfId="0" applyFont="1" applyFill="1" applyBorder="1" applyAlignment="1">
      <alignment horizontal="center" vertical="center" wrapText="1"/>
    </xf>
    <xf numFmtId="49" fontId="15" fillId="9" borderId="136" xfId="0" applyNumberFormat="1" applyFont="1" applyFill="1" applyBorder="1" applyAlignment="1">
      <alignment horizontal="center" vertical="center"/>
    </xf>
    <xf numFmtId="49" fontId="1" fillId="0" borderId="90" xfId="0" applyNumberFormat="1" applyFont="1" applyBorder="1" applyAlignment="1">
      <alignment horizontal="center" vertical="center"/>
    </xf>
    <xf numFmtId="0" fontId="15" fillId="0" borderId="90" xfId="0" applyFont="1" applyBorder="1" applyAlignment="1">
      <alignment horizontal="center" vertical="top" wrapText="1"/>
    </xf>
    <xf numFmtId="0" fontId="0" fillId="0" borderId="71" xfId="0" applyBorder="1" applyAlignment="1"/>
    <xf numFmtId="49" fontId="15" fillId="0" borderId="86" xfId="0" applyNumberFormat="1" applyFont="1" applyBorder="1" applyAlignment="1">
      <alignment horizontal="center" vertical="center" wrapText="1"/>
    </xf>
    <xf numFmtId="0" fontId="15" fillId="8" borderId="175" xfId="0" applyFont="1" applyFill="1" applyBorder="1" applyAlignment="1">
      <alignment horizontal="right" vertical="center"/>
    </xf>
    <xf numFmtId="179" fontId="105" fillId="0" borderId="0" xfId="0" applyNumberFormat="1" applyFont="1" applyAlignment="1">
      <alignment horizontal="left"/>
    </xf>
    <xf numFmtId="0" fontId="15" fillId="0" borderId="82" xfId="0" applyFont="1" applyBorder="1">
      <alignment vertical="center"/>
    </xf>
    <xf numFmtId="49" fontId="15" fillId="0" borderId="195" xfId="0" applyNumberFormat="1" applyFont="1" applyBorder="1" applyAlignment="1">
      <alignment horizontal="left" vertical="top"/>
    </xf>
    <xf numFmtId="0" fontId="12" fillId="8" borderId="142" xfId="0" applyFont="1" applyFill="1" applyBorder="1" applyAlignment="1">
      <alignment horizontal="center" vertical="center"/>
    </xf>
    <xf numFmtId="0" fontId="0" fillId="0" borderId="141" xfId="0" applyBorder="1" applyAlignment="1"/>
    <xf numFmtId="0" fontId="0" fillId="0" borderId="142" xfId="0" applyBorder="1" applyAlignment="1"/>
    <xf numFmtId="0" fontId="1" fillId="77" borderId="79" xfId="0" applyFont="1" applyFill="1" applyBorder="1" applyAlignment="1">
      <alignment horizontal="center" vertical="center"/>
    </xf>
    <xf numFmtId="0" fontId="6" fillId="56" borderId="134" xfId="0" applyFont="1" applyFill="1" applyBorder="1" applyAlignment="1">
      <alignment horizontal="center" vertical="center"/>
    </xf>
    <xf numFmtId="185" fontId="145" fillId="0" borderId="15" xfId="0" applyNumberFormat="1" applyFont="1" applyBorder="1" applyAlignment="1">
      <alignment horizontal="center" vertical="center"/>
    </xf>
    <xf numFmtId="0" fontId="15" fillId="4" borderId="86" xfId="0" applyFont="1" applyFill="1" applyBorder="1" applyAlignment="1">
      <alignment horizontal="center" vertical="center"/>
    </xf>
    <xf numFmtId="49" fontId="15" fillId="0" borderId="174" xfId="0" applyNumberFormat="1" applyFont="1" applyBorder="1" applyAlignment="1">
      <alignment horizontal="left" vertical="top"/>
    </xf>
    <xf numFmtId="0" fontId="9" fillId="8" borderId="1" xfId="0" applyFont="1" applyFill="1" applyBorder="1" applyAlignment="1">
      <alignment horizontal="center" vertical="center"/>
    </xf>
    <xf numFmtId="0" fontId="0" fillId="0" borderId="1" xfId="0" applyBorder="1" applyAlignment="1"/>
    <xf numFmtId="0" fontId="15" fillId="0" borderId="136" xfId="0" applyFont="1" applyBorder="1" applyAlignment="1">
      <alignment horizontal="center" vertical="center" wrapText="1"/>
    </xf>
    <xf numFmtId="0" fontId="12" fillId="9" borderId="204" xfId="0" applyFont="1" applyFill="1" applyBorder="1" applyAlignment="1">
      <alignment horizontal="center" vertical="center"/>
    </xf>
    <xf numFmtId="0" fontId="0" fillId="0" borderId="195" xfId="0" applyBorder="1" applyAlignment="1"/>
    <xf numFmtId="0" fontId="12" fillId="7" borderId="84" xfId="0" applyFont="1" applyFill="1" applyBorder="1" applyAlignment="1">
      <alignment horizontal="center" vertical="center"/>
    </xf>
    <xf numFmtId="49" fontId="15" fillId="39" borderId="90" xfId="0" applyNumberFormat="1" applyFont="1" applyFill="1" applyBorder="1" applyAlignment="1">
      <alignment horizontal="center" vertical="top"/>
    </xf>
    <xf numFmtId="49" fontId="15" fillId="39" borderId="196" xfId="0" applyNumberFormat="1" applyFont="1" applyFill="1" applyBorder="1" applyAlignment="1">
      <alignment horizontal="center" vertical="top" wrapText="1"/>
    </xf>
    <xf numFmtId="49" fontId="15" fillId="8" borderId="83" xfId="0" applyNumberFormat="1" applyFont="1" applyFill="1" applyBorder="1" applyAlignment="1">
      <alignment horizontal="center" vertical="center" wrapText="1"/>
    </xf>
    <xf numFmtId="0" fontId="15" fillId="72" borderId="90" xfId="0" applyFont="1" applyFill="1" applyBorder="1" applyAlignment="1">
      <alignment horizontal="center" vertical="center"/>
    </xf>
    <xf numFmtId="0" fontId="84" fillId="8" borderId="90" xfId="0" applyFont="1" applyFill="1" applyBorder="1" applyAlignment="1">
      <alignment horizontal="center" vertical="center" wrapText="1"/>
    </xf>
    <xf numFmtId="0" fontId="143" fillId="8" borderId="182" xfId="0" applyFont="1" applyFill="1" applyBorder="1" applyAlignment="1">
      <alignment horizontal="center" vertical="center"/>
    </xf>
    <xf numFmtId="0" fontId="12" fillId="68" borderId="191" xfId="0" applyFont="1" applyFill="1" applyBorder="1" applyAlignment="1">
      <alignment horizontal="center" vertical="center" wrapText="1"/>
    </xf>
    <xf numFmtId="0" fontId="0" fillId="0" borderId="191" xfId="0" applyBorder="1" applyAlignment="1"/>
    <xf numFmtId="0" fontId="15" fillId="8" borderId="11" xfId="0" applyFont="1" applyFill="1" applyBorder="1" applyAlignment="1">
      <alignment horizontal="center" vertical="center" wrapText="1"/>
    </xf>
    <xf numFmtId="0" fontId="1" fillId="8" borderId="136" xfId="0" applyFont="1" applyFill="1" applyBorder="1" applyAlignment="1">
      <alignment horizontal="center" vertical="center" wrapText="1"/>
    </xf>
    <xf numFmtId="179" fontId="167" fillId="82" borderId="166" xfId="0" applyNumberFormat="1" applyFont="1" applyFill="1" applyBorder="1" applyAlignment="1">
      <alignment horizontal="center" vertical="center"/>
    </xf>
    <xf numFmtId="49" fontId="15" fillId="8" borderId="10" xfId="0" applyNumberFormat="1" applyFont="1" applyFill="1" applyBorder="1" applyAlignment="1">
      <alignment horizontal="center" vertical="center" wrapText="1"/>
    </xf>
    <xf numFmtId="0" fontId="1" fillId="0" borderId="136" xfId="0" applyFont="1" applyBorder="1" applyAlignment="1">
      <alignment horizontal="center" vertical="center" wrapText="1"/>
    </xf>
    <xf numFmtId="0" fontId="9" fillId="9" borderId="77" xfId="0" applyFont="1" applyFill="1" applyBorder="1" applyAlignment="1">
      <alignment horizontal="center" vertical="center"/>
    </xf>
    <xf numFmtId="0" fontId="83" fillId="9" borderId="136" xfId="0" applyFont="1" applyFill="1" applyBorder="1" applyAlignment="1">
      <alignment horizontal="left" vertical="top" wrapText="1"/>
    </xf>
    <xf numFmtId="49" fontId="18" fillId="8" borderId="86" xfId="0" applyNumberFormat="1" applyFont="1" applyFill="1" applyBorder="1" applyAlignment="1">
      <alignment horizontal="center" vertical="center" wrapText="1"/>
    </xf>
    <xf numFmtId="49" fontId="15" fillId="8" borderId="205" xfId="0" applyNumberFormat="1" applyFont="1" applyFill="1" applyBorder="1" applyAlignment="1">
      <alignment horizontal="center" vertical="center" wrapText="1"/>
    </xf>
    <xf numFmtId="0" fontId="15" fillId="0" borderId="136" xfId="0" applyFont="1" applyBorder="1" applyAlignment="1">
      <alignment horizontal="left" vertical="center"/>
    </xf>
    <xf numFmtId="0" fontId="150" fillId="8" borderId="175" xfId="0" applyFont="1" applyFill="1" applyBorder="1" applyAlignment="1">
      <alignment horizontal="center" vertical="center"/>
    </xf>
    <xf numFmtId="0" fontId="9" fillId="0" borderId="22" xfId="0" applyFont="1" applyBorder="1" applyAlignment="1">
      <alignment horizontal="center" vertical="center"/>
    </xf>
    <xf numFmtId="189" fontId="12" fillId="69" borderId="71" xfId="0" applyNumberFormat="1" applyFont="1" applyFill="1" applyBorder="1" applyAlignment="1">
      <alignment horizontal="center" vertical="center"/>
    </xf>
    <xf numFmtId="179" fontId="15" fillId="9" borderId="176" xfId="0" applyNumberFormat="1" applyFont="1" applyFill="1" applyBorder="1" applyAlignment="1">
      <alignment horizontal="center" vertical="center" wrapText="1"/>
    </xf>
    <xf numFmtId="0" fontId="15" fillId="8" borderId="185" xfId="0" applyFont="1" applyFill="1" applyBorder="1" applyAlignment="1">
      <alignment horizontal="center" vertical="center" wrapText="1"/>
    </xf>
    <xf numFmtId="183" fontId="14" fillId="4" borderId="26" xfId="0" applyNumberFormat="1" applyFont="1" applyFill="1" applyBorder="1" applyAlignment="1">
      <alignment horizontal="left" vertical="top"/>
    </xf>
    <xf numFmtId="49" fontId="15" fillId="0" borderId="83" xfId="0" applyNumberFormat="1" applyFont="1" applyBorder="1" applyAlignment="1">
      <alignment horizontal="center" vertical="center" wrapText="1"/>
    </xf>
    <xf numFmtId="0" fontId="15" fillId="9" borderId="84" xfId="0" applyFont="1" applyFill="1" applyBorder="1" applyAlignment="1">
      <alignment horizontal="center" vertical="center" wrapText="1"/>
    </xf>
    <xf numFmtId="0" fontId="1" fillId="33" borderId="136" xfId="0" applyFont="1" applyFill="1" applyBorder="1" applyAlignment="1">
      <alignment horizontal="center" vertical="center"/>
    </xf>
    <xf numFmtId="179" fontId="15" fillId="9" borderId="84" xfId="0" applyNumberFormat="1" applyFont="1" applyFill="1" applyBorder="1" applyAlignment="1">
      <alignment horizontal="center" vertical="center" wrapText="1"/>
    </xf>
    <xf numFmtId="49" fontId="15" fillId="0" borderId="10" xfId="0" applyNumberFormat="1" applyFont="1" applyBorder="1" applyAlignment="1">
      <alignment horizontal="center" vertical="center" wrapText="1"/>
    </xf>
    <xf numFmtId="49" fontId="12" fillId="0" borderId="136" xfId="0" applyNumberFormat="1" applyFont="1" applyBorder="1" applyAlignment="1">
      <alignment horizontal="center" vertical="center"/>
    </xf>
    <xf numFmtId="0" fontId="1" fillId="77" borderId="26" xfId="0" applyFont="1" applyFill="1" applyBorder="1" applyAlignment="1">
      <alignment horizontal="center" vertical="center"/>
    </xf>
    <xf numFmtId="49" fontId="1" fillId="0" borderId="26" xfId="0" applyNumberFormat="1" applyFont="1" applyBorder="1" applyAlignment="1">
      <alignment horizontal="center" vertical="center"/>
    </xf>
    <xf numFmtId="0" fontId="6" fillId="70" borderId="207" xfId="0" applyFont="1" applyFill="1" applyBorder="1" applyAlignment="1">
      <alignment horizontal="center" vertical="center" wrapText="1"/>
    </xf>
    <xf numFmtId="0" fontId="0" fillId="0" borderId="153" xfId="0" applyBorder="1" applyAlignment="1"/>
    <xf numFmtId="0" fontId="1" fillId="4" borderId="136" xfId="0" applyFont="1" applyFill="1" applyBorder="1" applyAlignment="1">
      <alignment horizontal="center" vertical="center"/>
    </xf>
    <xf numFmtId="177" fontId="15" fillId="9" borderId="175" xfId="0" applyNumberFormat="1" applyFont="1" applyFill="1" applyBorder="1" applyAlignment="1">
      <alignment horizontal="center" vertical="center"/>
    </xf>
    <xf numFmtId="0" fontId="0" fillId="0" borderId="245" xfId="0" applyBorder="1" applyAlignment="1"/>
    <xf numFmtId="0" fontId="15" fillId="4" borderId="136" xfId="0" applyFont="1" applyFill="1" applyBorder="1" applyAlignment="1">
      <alignment horizontal="center" vertical="center"/>
    </xf>
    <xf numFmtId="177" fontId="84" fillId="8" borderId="90" xfId="0" applyNumberFormat="1" applyFont="1" applyFill="1" applyBorder="1" applyAlignment="1">
      <alignment horizontal="center" vertical="center"/>
    </xf>
    <xf numFmtId="0" fontId="9" fillId="4" borderId="90" xfId="0" applyFont="1" applyFill="1" applyBorder="1" applyAlignment="1">
      <alignment horizontal="right" vertical="top"/>
    </xf>
    <xf numFmtId="0" fontId="84" fillId="0" borderId="86" xfId="0" applyFont="1" applyBorder="1" applyAlignment="1">
      <alignment horizontal="center" vertical="center" wrapText="1"/>
    </xf>
    <xf numFmtId="0" fontId="15" fillId="0" borderId="90" xfId="0" applyFont="1" applyBorder="1" applyAlignment="1">
      <alignment horizontal="left" vertical="center"/>
    </xf>
    <xf numFmtId="0" fontId="153" fillId="69" borderId="15" xfId="0" applyFont="1" applyFill="1" applyBorder="1" applyAlignment="1">
      <alignment horizontal="center" vertical="center"/>
    </xf>
    <xf numFmtId="0" fontId="15" fillId="0" borderId="82" xfId="0" applyFont="1" applyBorder="1" applyAlignment="1">
      <alignment vertical="center" wrapText="1"/>
    </xf>
    <xf numFmtId="49" fontId="84" fillId="8" borderId="22" xfId="0" applyNumberFormat="1" applyFont="1" applyFill="1" applyBorder="1" applyAlignment="1">
      <alignment horizontal="center" vertical="center" wrapText="1"/>
    </xf>
    <xf numFmtId="49" fontId="15" fillId="9" borderId="174" xfId="0" applyNumberFormat="1" applyFont="1" applyFill="1" applyBorder="1" applyAlignment="1">
      <alignment horizontal="center" vertical="center"/>
    </xf>
    <xf numFmtId="49" fontId="15" fillId="0" borderId="154" xfId="0" applyNumberFormat="1" applyFont="1" applyBorder="1" applyAlignment="1">
      <alignment horizontal="center" vertical="center" wrapText="1"/>
    </xf>
    <xf numFmtId="49" fontId="12" fillId="0" borderId="203" xfId="0" applyNumberFormat="1" applyFont="1" applyBorder="1" applyAlignment="1">
      <alignment horizontal="center" vertical="center"/>
    </xf>
    <xf numFmtId="0" fontId="84" fillId="4" borderId="86" xfId="0" applyFont="1" applyFill="1" applyBorder="1" applyAlignment="1">
      <alignment horizontal="center" vertical="center" wrapText="1"/>
    </xf>
    <xf numFmtId="0" fontId="84" fillId="7" borderId="86" xfId="0" applyFont="1" applyFill="1" applyBorder="1" applyAlignment="1">
      <alignment horizontal="center" vertical="center" wrapText="1"/>
    </xf>
    <xf numFmtId="49" fontId="15" fillId="0" borderId="90" xfId="0" applyNumberFormat="1" applyFont="1" applyBorder="1" applyAlignment="1">
      <alignment horizontal="center" vertical="center"/>
    </xf>
    <xf numFmtId="49" fontId="84" fillId="0" borderId="22" xfId="0" applyNumberFormat="1" applyFont="1" applyBorder="1" applyAlignment="1">
      <alignment horizontal="center" vertical="center" wrapText="1"/>
    </xf>
    <xf numFmtId="0" fontId="15" fillId="4" borderId="10" xfId="0" applyFont="1" applyFill="1" applyBorder="1" applyAlignment="1">
      <alignment horizontal="center" vertical="center"/>
    </xf>
    <xf numFmtId="0" fontId="15" fillId="0" borderId="176" xfId="0" applyFont="1" applyBorder="1" applyAlignment="1">
      <alignment horizontal="center" vertical="center"/>
    </xf>
    <xf numFmtId="0" fontId="15" fillId="4" borderId="12" xfId="0" applyFont="1" applyFill="1" applyBorder="1" applyAlignment="1">
      <alignment horizontal="center" vertical="center"/>
    </xf>
    <xf numFmtId="0" fontId="51" fillId="56" borderId="68" xfId="0" applyFont="1" applyFill="1" applyBorder="1" applyAlignment="1">
      <alignment horizontal="center" vertical="center"/>
    </xf>
    <xf numFmtId="49" fontId="15" fillId="39" borderId="90" xfId="0" applyNumberFormat="1" applyFont="1" applyFill="1" applyBorder="1" applyAlignment="1">
      <alignment horizontal="center" vertical="top" wrapText="1"/>
    </xf>
    <xf numFmtId="0" fontId="15" fillId="55" borderId="203" xfId="0" applyFont="1" applyFill="1" applyBorder="1" applyAlignment="1">
      <alignment horizontal="center" vertical="center"/>
    </xf>
    <xf numFmtId="49" fontId="84" fillId="8" borderId="0" xfId="0" applyNumberFormat="1" applyFont="1" applyFill="1" applyAlignment="1">
      <alignment horizontal="center" vertical="center" wrapText="1"/>
    </xf>
    <xf numFmtId="0" fontId="51" fillId="56" borderId="1" xfId="0" applyFont="1" applyFill="1" applyBorder="1" applyAlignment="1">
      <alignment horizontal="center" vertical="center"/>
    </xf>
    <xf numFmtId="49" fontId="84" fillId="0" borderId="0" xfId="0" applyNumberFormat="1" applyFont="1" applyAlignment="1">
      <alignment horizontal="center" vertical="center" wrapText="1"/>
    </xf>
    <xf numFmtId="0" fontId="159" fillId="0" borderId="40" xfId="0" applyFont="1" applyBorder="1" applyAlignment="1">
      <alignment horizontal="left" vertical="top" wrapText="1"/>
    </xf>
    <xf numFmtId="49" fontId="15" fillId="0" borderId="185" xfId="0" applyNumberFormat="1" applyFont="1" applyBorder="1" applyAlignment="1">
      <alignment horizontal="center" vertical="center" wrapText="1"/>
    </xf>
    <xf numFmtId="0" fontId="84" fillId="39" borderId="136" xfId="0" applyFont="1" applyFill="1" applyBorder="1" applyAlignment="1">
      <alignment horizontal="center" vertical="center"/>
    </xf>
    <xf numFmtId="0" fontId="15" fillId="9" borderId="82" xfId="0" applyFont="1" applyFill="1" applyBorder="1" applyAlignment="1">
      <alignment horizontal="left" vertical="center"/>
    </xf>
    <xf numFmtId="183" fontId="158" fillId="0" borderId="136" xfId="0" applyNumberFormat="1" applyFont="1" applyBorder="1" applyAlignment="1">
      <alignment horizontal="center" vertical="center"/>
    </xf>
    <xf numFmtId="0" fontId="84" fillId="8" borderId="136" xfId="0" applyFont="1" applyFill="1" applyBorder="1" applyAlignment="1">
      <alignment horizontal="center" vertical="center"/>
    </xf>
    <xf numFmtId="0" fontId="142" fillId="0" borderId="0" xfId="0" applyFont="1" applyAlignment="1">
      <alignment horizontal="center" vertical="center"/>
    </xf>
    <xf numFmtId="0" fontId="15" fillId="68" borderId="90" xfId="0" applyFont="1" applyFill="1" applyBorder="1" applyAlignment="1">
      <alignment horizontal="center" vertical="center"/>
    </xf>
    <xf numFmtId="49" fontId="15" fillId="8" borderId="185" xfId="0" applyNumberFormat="1" applyFont="1" applyFill="1" applyBorder="1" applyAlignment="1">
      <alignment horizontal="center" vertical="center" wrapText="1"/>
    </xf>
    <xf numFmtId="0" fontId="12" fillId="7" borderId="154" xfId="0" applyFont="1" applyFill="1" applyBorder="1" applyAlignment="1">
      <alignment horizontal="center" vertical="center"/>
    </xf>
    <xf numFmtId="49" fontId="84" fillId="8" borderId="114" xfId="0" applyNumberFormat="1" applyFont="1" applyFill="1" applyBorder="1" applyAlignment="1">
      <alignment horizontal="center" vertical="center" wrapText="1"/>
    </xf>
    <xf numFmtId="0" fontId="105" fillId="0" borderId="0" xfId="0" applyFont="1" applyAlignment="1">
      <alignment horizontal="right"/>
    </xf>
    <xf numFmtId="179" fontId="148" fillId="56" borderId="184" xfId="0" applyNumberFormat="1" applyFont="1" applyFill="1" applyBorder="1" applyAlignment="1">
      <alignment horizontal="center" vertical="center"/>
    </xf>
    <xf numFmtId="0" fontId="105" fillId="0" borderId="0" xfId="0" applyFont="1" applyAlignment="1">
      <alignment horizontal="center" vertical="center"/>
    </xf>
    <xf numFmtId="0" fontId="1" fillId="4" borderId="76" xfId="5" applyFont="1" applyBorder="1" applyAlignment="1">
      <alignment horizontal="center" vertical="center"/>
    </xf>
    <xf numFmtId="189" fontId="12" fillId="69" borderId="91" xfId="0" applyNumberFormat="1" applyFont="1" applyFill="1" applyBorder="1" applyAlignment="1">
      <alignment horizontal="center" vertical="center"/>
    </xf>
    <xf numFmtId="0" fontId="15" fillId="0" borderId="90" xfId="0" applyFont="1" applyBorder="1" applyAlignment="1">
      <alignment horizontal="left" vertical="center" wrapText="1"/>
    </xf>
    <xf numFmtId="1" fontId="140" fillId="9" borderId="90" xfId="0" applyNumberFormat="1" applyFont="1" applyFill="1" applyBorder="1" applyAlignment="1">
      <alignment horizontal="center" vertical="center"/>
    </xf>
    <xf numFmtId="49" fontId="84" fillId="0" borderId="12" xfId="0" applyNumberFormat="1" applyFont="1" applyBorder="1" applyAlignment="1">
      <alignment horizontal="center" vertical="center" wrapText="1"/>
    </xf>
    <xf numFmtId="49" fontId="84" fillId="8" borderId="10" xfId="0" applyNumberFormat="1" applyFont="1" applyFill="1" applyBorder="1" applyAlignment="1">
      <alignment horizontal="center" vertical="center" wrapText="1"/>
    </xf>
    <xf numFmtId="0" fontId="15" fillId="9" borderId="140" xfId="0" applyFont="1" applyFill="1" applyBorder="1" applyAlignment="1">
      <alignment horizontal="center" vertical="center" wrapText="1"/>
    </xf>
    <xf numFmtId="0" fontId="15" fillId="9" borderId="180" xfId="0" applyFont="1" applyFill="1" applyBorder="1">
      <alignment vertical="center"/>
    </xf>
    <xf numFmtId="0" fontId="1" fillId="0" borderId="90" xfId="0" applyFont="1" applyBorder="1" applyAlignment="1">
      <alignment horizontal="center" vertical="center" wrapText="1"/>
    </xf>
    <xf numFmtId="0" fontId="1" fillId="8" borderId="90" xfId="0" applyFont="1" applyFill="1" applyBorder="1" applyAlignment="1">
      <alignment horizontal="center" vertical="center" wrapText="1"/>
    </xf>
    <xf numFmtId="0" fontId="152" fillId="68" borderId="191" xfId="0" applyFont="1" applyFill="1" applyBorder="1" applyAlignment="1">
      <alignment horizontal="center" vertical="center" wrapText="1"/>
    </xf>
    <xf numFmtId="49" fontId="1" fillId="0" borderId="193" xfId="0" applyNumberFormat="1" applyFont="1" applyBorder="1" applyAlignment="1">
      <alignment horizontal="center" vertical="center"/>
    </xf>
    <xf numFmtId="188" fontId="15" fillId="4" borderId="141" xfId="0" applyNumberFormat="1" applyFont="1" applyFill="1" applyBorder="1" applyAlignment="1">
      <alignment horizontal="left" vertical="center"/>
    </xf>
    <xf numFmtId="186" fontId="145" fillId="0" borderId="15" xfId="0" applyNumberFormat="1" applyFont="1" applyBorder="1" applyAlignment="1">
      <alignment horizontal="center" vertical="center"/>
    </xf>
    <xf numFmtId="179" fontId="14" fillId="9" borderId="175" xfId="0" applyNumberFormat="1" applyFont="1" applyFill="1" applyBorder="1" applyAlignment="1">
      <alignment horizontal="center" vertical="center"/>
    </xf>
    <xf numFmtId="0" fontId="146" fillId="0" borderId="82" xfId="0" applyFont="1" applyBorder="1" applyAlignment="1">
      <alignment horizontal="left" vertical="top" wrapText="1"/>
    </xf>
    <xf numFmtId="0" fontId="15" fillId="8" borderId="174" xfId="0" applyFont="1" applyFill="1" applyBorder="1" applyAlignment="1">
      <alignment horizontal="center" vertical="center"/>
    </xf>
    <xf numFmtId="190" fontId="1" fillId="0" borderId="26" xfId="0" applyNumberFormat="1" applyFont="1" applyBorder="1" applyAlignment="1">
      <alignment horizontal="center" vertical="center"/>
    </xf>
    <xf numFmtId="0" fontId="157" fillId="0" borderId="90" xfId="0" applyFont="1" applyBorder="1" applyAlignment="1">
      <alignment horizontal="center" vertical="center"/>
    </xf>
    <xf numFmtId="1" fontId="15" fillId="9" borderId="141" xfId="0" applyNumberFormat="1" applyFont="1" applyFill="1" applyBorder="1" applyAlignment="1">
      <alignment horizontal="right" vertical="center" wrapText="1"/>
    </xf>
    <xf numFmtId="0" fontId="16" fillId="9" borderId="91" xfId="0" applyFont="1" applyFill="1" applyBorder="1" applyAlignment="1">
      <alignment horizontal="center" vertical="center"/>
    </xf>
    <xf numFmtId="0" fontId="1" fillId="33" borderId="203" xfId="0" applyFont="1" applyFill="1" applyBorder="1" applyAlignment="1">
      <alignment horizontal="center" vertical="center" wrapText="1"/>
    </xf>
    <xf numFmtId="0" fontId="12" fillId="7" borderId="196" xfId="0" applyFont="1" applyFill="1" applyBorder="1" applyAlignment="1">
      <alignment horizontal="center" vertical="center"/>
    </xf>
    <xf numFmtId="0" fontId="84" fillId="4" borderId="187" xfId="0" applyFont="1" applyFill="1" applyBorder="1" applyAlignment="1">
      <alignment horizontal="center" vertical="center"/>
    </xf>
    <xf numFmtId="0" fontId="31" fillId="0" borderId="90" xfId="0" applyFont="1" applyBorder="1" applyAlignment="1">
      <alignment horizontal="center" vertical="center"/>
    </xf>
    <xf numFmtId="0" fontId="15" fillId="8" borderId="180" xfId="0" applyFont="1" applyFill="1" applyBorder="1" applyAlignment="1">
      <alignment horizontal="left" vertical="center"/>
    </xf>
    <xf numFmtId="0" fontId="153" fillId="69" borderId="89" xfId="0" applyFont="1" applyFill="1" applyBorder="1" applyAlignment="1">
      <alignment horizontal="center" vertical="center"/>
    </xf>
    <xf numFmtId="0" fontId="84" fillId="0" borderId="174" xfId="0" applyFont="1" applyBorder="1" applyAlignment="1">
      <alignment horizontal="center" vertical="center"/>
    </xf>
    <xf numFmtId="49" fontId="15" fillId="0" borderId="15" xfId="0" applyNumberFormat="1" applyFont="1" applyBorder="1" applyAlignment="1">
      <alignment horizontal="center" vertical="center" wrapText="1"/>
    </xf>
    <xf numFmtId="0" fontId="9" fillId="9" borderId="26" xfId="0" applyFont="1" applyFill="1" applyBorder="1" applyAlignment="1">
      <alignment horizontal="center" vertical="center" wrapText="1"/>
    </xf>
    <xf numFmtId="0" fontId="51" fillId="56" borderId="68" xfId="3" applyFont="1" applyFill="1" applyBorder="1" applyAlignment="1">
      <alignment horizontal="center" vertical="center"/>
    </xf>
    <xf numFmtId="0" fontId="0" fillId="0" borderId="72" xfId="0" applyBorder="1" applyAlignment="1"/>
    <xf numFmtId="0" fontId="0" fillId="0" borderId="247" xfId="0" applyBorder="1" applyAlignment="1"/>
    <xf numFmtId="0" fontId="84" fillId="0" borderId="1" xfId="0" applyFont="1" applyBorder="1" applyAlignment="1">
      <alignment horizontal="center" vertical="center" wrapText="1"/>
    </xf>
    <xf numFmtId="0" fontId="15" fillId="0" borderId="1" xfId="0" applyFont="1" applyBorder="1" applyAlignment="1">
      <alignment horizontal="center" vertical="center"/>
    </xf>
    <xf numFmtId="187" fontId="145" fillId="0" borderId="15" xfId="0" applyNumberFormat="1" applyFont="1" applyBorder="1" applyAlignment="1">
      <alignment horizontal="center" vertical="center"/>
    </xf>
    <xf numFmtId="0" fontId="15" fillId="4" borderId="208" xfId="0" applyFont="1" applyFill="1" applyBorder="1" applyAlignment="1">
      <alignment horizontal="center" vertical="center" wrapText="1"/>
    </xf>
    <xf numFmtId="49" fontId="84" fillId="8" borderId="15" xfId="0" applyNumberFormat="1" applyFont="1" applyFill="1" applyBorder="1" applyAlignment="1">
      <alignment horizontal="center" vertical="center" wrapText="1"/>
    </xf>
    <xf numFmtId="188" fontId="12" fillId="4" borderId="211" xfId="0" applyNumberFormat="1" applyFont="1" applyFill="1" applyBorder="1" applyAlignment="1">
      <alignment horizontal="center" vertical="center"/>
    </xf>
    <xf numFmtId="0" fontId="0" fillId="0" borderId="212" xfId="0" applyBorder="1" applyAlignment="1"/>
    <xf numFmtId="0" fontId="84" fillId="7" borderId="136" xfId="0" applyFont="1" applyFill="1" applyBorder="1" applyAlignment="1">
      <alignment horizontal="center" vertical="center"/>
    </xf>
    <xf numFmtId="49" fontId="15" fillId="8" borderId="13" xfId="0" applyNumberFormat="1" applyFont="1" applyFill="1" applyBorder="1" applyAlignment="1">
      <alignment horizontal="center" vertical="center" wrapText="1"/>
    </xf>
    <xf numFmtId="49" fontId="18" fillId="8" borderId="0" xfId="0" applyNumberFormat="1" applyFont="1" applyFill="1" applyAlignment="1">
      <alignment horizontal="center" vertical="center" wrapText="1"/>
    </xf>
    <xf numFmtId="49" fontId="15" fillId="0" borderId="0" xfId="0" applyNumberFormat="1" applyFont="1" applyAlignment="1">
      <alignment horizontal="center" vertical="center" wrapText="1"/>
    </xf>
    <xf numFmtId="49" fontId="15" fillId="8" borderId="175" xfId="0" applyNumberFormat="1" applyFont="1" applyFill="1" applyBorder="1" applyAlignment="1">
      <alignment horizontal="center" vertical="center"/>
    </xf>
    <xf numFmtId="0" fontId="12" fillId="39" borderId="90" xfId="2" applyFont="1" applyFill="1" applyBorder="1" applyAlignment="1">
      <alignment horizontal="center" vertical="center"/>
    </xf>
    <xf numFmtId="0" fontId="9" fillId="9" borderId="25" xfId="0" applyFont="1" applyFill="1" applyBorder="1" applyAlignment="1">
      <alignment horizontal="center" vertical="center"/>
    </xf>
    <xf numFmtId="49" fontId="15" fillId="0" borderId="13" xfId="0" applyNumberFormat="1" applyFont="1" applyBorder="1" applyAlignment="1">
      <alignment horizontal="center" vertical="center" wrapText="1"/>
    </xf>
    <xf numFmtId="0" fontId="143" fillId="9" borderId="89" xfId="0" applyFont="1" applyFill="1" applyBorder="1" applyAlignment="1">
      <alignment horizontal="center" vertical="center"/>
    </xf>
    <xf numFmtId="0" fontId="15" fillId="9" borderId="175" xfId="0" applyFont="1" applyFill="1" applyBorder="1" applyAlignment="1">
      <alignment horizontal="right" vertical="center"/>
    </xf>
    <xf numFmtId="0" fontId="156" fillId="4" borderId="70" xfId="0" applyFont="1" applyFill="1" applyBorder="1" applyAlignment="1">
      <alignment horizontal="center" vertical="center"/>
    </xf>
    <xf numFmtId="49" fontId="1" fillId="0" borderId="204" xfId="0" applyNumberFormat="1" applyFont="1" applyBorder="1" applyAlignment="1">
      <alignment horizontal="center" vertical="center"/>
    </xf>
    <xf numFmtId="0" fontId="15" fillId="4" borderId="176" xfId="0" applyFont="1" applyFill="1" applyBorder="1" applyAlignment="1">
      <alignment horizontal="center" vertical="center"/>
    </xf>
    <xf numFmtId="49" fontId="15" fillId="0" borderId="70" xfId="0" applyNumberFormat="1" applyFont="1" applyBorder="1" applyAlignment="1">
      <alignment horizontal="left" vertical="top"/>
    </xf>
    <xf numFmtId="12" fontId="143" fillId="4" borderId="91" xfId="0" applyNumberFormat="1" applyFont="1" applyFill="1" applyBorder="1" applyAlignment="1">
      <alignment horizontal="center" vertical="center"/>
    </xf>
    <xf numFmtId="49" fontId="15" fillId="39" borderId="136" xfId="0" applyNumberFormat="1" applyFont="1" applyFill="1" applyBorder="1" applyAlignment="1">
      <alignment horizontal="center" vertical="top" wrapText="1"/>
    </xf>
    <xf numFmtId="0" fontId="154" fillId="0" borderId="90" xfId="0" applyFont="1" applyBorder="1" applyAlignment="1">
      <alignment horizontal="center" vertical="center"/>
    </xf>
    <xf numFmtId="177" fontId="84" fillId="0" borderId="1" xfId="0" applyNumberFormat="1" applyFont="1" applyBorder="1" applyAlignment="1">
      <alignment horizontal="center" vertical="center"/>
    </xf>
    <xf numFmtId="0" fontId="160" fillId="0" borderId="0" xfId="0" applyFont="1" applyAlignment="1">
      <alignment horizontal="center" vertical="top" wrapText="1"/>
    </xf>
    <xf numFmtId="184" fontId="145" fillId="0" borderId="0" xfId="0" applyNumberFormat="1" applyFont="1" applyAlignment="1">
      <alignment horizontal="center" vertical="center"/>
    </xf>
    <xf numFmtId="0" fontId="84" fillId="8" borderId="90" xfId="4" applyFont="1" applyFill="1" applyBorder="1" applyAlignment="1">
      <alignment horizontal="center" vertical="center"/>
    </xf>
    <xf numFmtId="0" fontId="15" fillId="69" borderId="141" xfId="0" applyFont="1" applyFill="1" applyBorder="1" applyAlignment="1">
      <alignment horizontal="center" vertical="center" wrapText="1"/>
    </xf>
    <xf numFmtId="183" fontId="15" fillId="8" borderId="180" xfId="0" applyNumberFormat="1" applyFont="1" applyFill="1" applyBorder="1" applyAlignment="1">
      <alignment horizontal="left" vertical="center"/>
    </xf>
    <xf numFmtId="192" fontId="15" fillId="68" borderId="209" xfId="0" applyNumberFormat="1" applyFont="1" applyFill="1" applyBorder="1" applyAlignment="1">
      <alignment horizontal="left" vertical="center" wrapText="1"/>
    </xf>
    <xf numFmtId="0" fontId="16" fillId="4" borderId="210" xfId="0" applyFont="1" applyFill="1" applyBorder="1" applyAlignment="1">
      <alignment horizontal="center" vertical="center"/>
    </xf>
    <xf numFmtId="0" fontId="0" fillId="0" borderId="186" xfId="0" applyBorder="1" applyAlignment="1"/>
    <xf numFmtId="0" fontId="84" fillId="0" borderId="196" xfId="0" applyFont="1" applyBorder="1" applyAlignment="1">
      <alignment horizontal="center" vertical="center"/>
    </xf>
    <xf numFmtId="0" fontId="15" fillId="75" borderId="203" xfId="0" applyFont="1" applyFill="1" applyBorder="1" applyAlignment="1">
      <alignment horizontal="center" vertical="center" wrapText="1"/>
    </xf>
    <xf numFmtId="49" fontId="15" fillId="0" borderId="196" xfId="0" applyNumberFormat="1" applyFont="1" applyBorder="1" applyAlignment="1">
      <alignment horizontal="center" vertical="center" wrapText="1"/>
    </xf>
    <xf numFmtId="0" fontId="154" fillId="9" borderId="175" xfId="0" applyFont="1" applyFill="1" applyBorder="1" applyAlignment="1">
      <alignment horizontal="center" vertical="center"/>
    </xf>
    <xf numFmtId="0" fontId="1" fillId="75" borderId="26" xfId="0" applyFont="1" applyFill="1" applyBorder="1" applyAlignment="1">
      <alignment horizontal="center" vertical="center"/>
    </xf>
    <xf numFmtId="179" fontId="15" fillId="0" borderId="86" xfId="0" applyNumberFormat="1" applyFont="1" applyBorder="1" applyAlignment="1">
      <alignment horizontal="center" vertical="center" wrapText="1"/>
    </xf>
    <xf numFmtId="0" fontId="32" fillId="9" borderId="203" xfId="0" applyFont="1" applyFill="1" applyBorder="1" applyAlignment="1">
      <alignment horizontal="left" vertical="top" wrapText="1"/>
    </xf>
    <xf numFmtId="49" fontId="1" fillId="0" borderId="133" xfId="0" applyNumberFormat="1" applyFont="1" applyBorder="1" applyAlignment="1">
      <alignment horizontal="center" vertical="center" wrapText="1"/>
    </xf>
    <xf numFmtId="49" fontId="15" fillId="0" borderId="82" xfId="0" applyNumberFormat="1" applyFont="1" applyBorder="1" applyAlignment="1">
      <alignment vertical="center" wrapText="1"/>
    </xf>
    <xf numFmtId="0" fontId="15" fillId="4" borderId="26" xfId="0" applyFont="1" applyFill="1" applyBorder="1" applyAlignment="1">
      <alignment horizontal="center" vertical="center"/>
    </xf>
    <xf numFmtId="0" fontId="15" fillId="0" borderId="114" xfId="0" applyFont="1" applyBorder="1" applyAlignment="1">
      <alignment horizontal="center" vertical="center"/>
    </xf>
    <xf numFmtId="0" fontId="15" fillId="8" borderId="176" xfId="0" applyFont="1" applyFill="1" applyBorder="1" applyAlignment="1">
      <alignment horizontal="center" vertical="center"/>
    </xf>
    <xf numFmtId="0" fontId="83" fillId="9" borderId="204" xfId="0" applyFont="1" applyFill="1" applyBorder="1" applyAlignment="1">
      <alignment horizontal="center" vertical="top" wrapText="1"/>
    </xf>
    <xf numFmtId="0" fontId="1" fillId="33" borderId="26" xfId="0" applyFont="1" applyFill="1" applyBorder="1" applyAlignment="1">
      <alignment horizontal="center" vertical="center"/>
    </xf>
    <xf numFmtId="188" fontId="15" fillId="4" borderId="141" xfId="0" applyNumberFormat="1" applyFont="1" applyFill="1" applyBorder="1" applyAlignment="1">
      <alignment horizontal="right" vertical="center"/>
    </xf>
    <xf numFmtId="188" fontId="12" fillId="9" borderId="181" xfId="0" applyNumberFormat="1" applyFont="1" applyFill="1" applyBorder="1" applyAlignment="1">
      <alignment horizontal="center" vertical="center" wrapText="1"/>
    </xf>
    <xf numFmtId="0" fontId="12" fillId="9" borderId="144" xfId="0" applyFont="1" applyFill="1" applyBorder="1" applyAlignment="1">
      <alignment horizontal="center" vertical="center"/>
    </xf>
    <xf numFmtId="0" fontId="9" fillId="4" borderId="10" xfId="0" applyFont="1" applyFill="1" applyBorder="1" applyAlignment="1">
      <alignment horizontal="center" vertical="center"/>
    </xf>
    <xf numFmtId="0" fontId="6" fillId="56" borderId="7" xfId="0" applyFont="1" applyFill="1" applyBorder="1" applyAlignment="1">
      <alignment horizontal="center" vertical="center"/>
    </xf>
    <xf numFmtId="0" fontId="157" fillId="0" borderId="26" xfId="0" applyFont="1" applyBorder="1" applyAlignment="1">
      <alignment horizontal="center" vertical="center"/>
    </xf>
    <xf numFmtId="0" fontId="143" fillId="9" borderId="15" xfId="0" applyFont="1" applyFill="1" applyBorder="1" applyAlignment="1">
      <alignment horizontal="center" vertical="center"/>
    </xf>
    <xf numFmtId="0" fontId="84" fillId="0" borderId="133" xfId="0" applyFont="1" applyBorder="1" applyAlignment="1">
      <alignment horizontal="left" vertical="top" wrapText="1"/>
    </xf>
    <xf numFmtId="0" fontId="14" fillId="9" borderId="135" xfId="0" applyFont="1" applyFill="1" applyBorder="1" applyAlignment="1">
      <alignment horizontal="center" vertical="center" wrapText="1"/>
    </xf>
    <xf numFmtId="49" fontId="15" fillId="8" borderId="87" xfId="0" applyNumberFormat="1" applyFont="1" applyFill="1" applyBorder="1" applyAlignment="1">
      <alignment horizontal="center" vertical="center" wrapText="1"/>
    </xf>
    <xf numFmtId="188" fontId="15" fillId="9" borderId="14" xfId="0" applyNumberFormat="1" applyFont="1" applyFill="1" applyBorder="1" applyAlignment="1">
      <alignment horizontal="center" vertical="center" wrapText="1"/>
    </xf>
    <xf numFmtId="188" fontId="15" fillId="9" borderId="189" xfId="0" applyNumberFormat="1" applyFont="1" applyFill="1" applyBorder="1" applyAlignment="1">
      <alignment horizontal="center" vertical="center" wrapText="1"/>
    </xf>
    <xf numFmtId="188" fontId="15" fillId="9" borderId="15" xfId="0" applyNumberFormat="1" applyFont="1" applyFill="1" applyBorder="1" applyAlignment="1">
      <alignment horizontal="center" vertical="center" wrapText="1"/>
    </xf>
    <xf numFmtId="188" fontId="15" fillId="9" borderId="89" xfId="0" applyNumberFormat="1" applyFont="1" applyFill="1" applyBorder="1" applyAlignment="1">
      <alignment horizontal="center" vertical="center" wrapText="1"/>
    </xf>
    <xf numFmtId="0" fontId="31" fillId="9" borderId="90" xfId="0" applyFont="1" applyFill="1" applyBorder="1" applyAlignment="1">
      <alignment horizontal="right" vertical="center"/>
    </xf>
    <xf numFmtId="0" fontId="1" fillId="71" borderId="206" xfId="0" applyFont="1" applyFill="1" applyBorder="1" applyAlignment="1">
      <alignment horizontal="center" vertical="center" wrapText="1"/>
    </xf>
    <xf numFmtId="0" fontId="15" fillId="9" borderId="188" xfId="0" applyFont="1" applyFill="1" applyBorder="1" applyAlignment="1">
      <alignment horizontal="center" vertical="center"/>
    </xf>
    <xf numFmtId="0" fontId="12" fillId="9" borderId="15" xfId="0" applyFont="1" applyFill="1" applyBorder="1" applyAlignment="1">
      <alignment horizontal="center" vertical="center"/>
    </xf>
    <xf numFmtId="0" fontId="9" fillId="0" borderId="1" xfId="0" applyFont="1" applyBorder="1" applyAlignment="1">
      <alignment horizontal="center" vertical="center"/>
    </xf>
    <xf numFmtId="0" fontId="1" fillId="75" borderId="79" xfId="0" applyFont="1" applyFill="1" applyBorder="1" applyAlignment="1">
      <alignment horizontal="center" vertical="center"/>
    </xf>
    <xf numFmtId="0" fontId="15" fillId="0" borderId="136" xfId="0" applyFont="1" applyBorder="1" applyAlignment="1">
      <alignment horizontal="center" vertical="top" wrapText="1"/>
    </xf>
    <xf numFmtId="0" fontId="143" fillId="9" borderId="12" xfId="0" applyFont="1" applyFill="1" applyBorder="1" applyAlignment="1">
      <alignment horizontal="center" vertical="center"/>
    </xf>
    <xf numFmtId="0" fontId="6" fillId="56" borderId="134" xfId="0" applyFont="1" applyFill="1" applyBorder="1" applyAlignment="1">
      <alignment horizontal="center" vertical="center" wrapText="1"/>
    </xf>
    <xf numFmtId="0" fontId="0" fillId="0" borderId="166" xfId="0" applyBorder="1" applyAlignment="1"/>
    <xf numFmtId="0" fontId="0" fillId="0" borderId="185" xfId="0" applyBorder="1" applyAlignment="1"/>
    <xf numFmtId="0" fontId="84" fillId="9" borderId="90" xfId="0" applyFont="1" applyFill="1" applyBorder="1" applyAlignment="1">
      <alignment horizontal="center" vertical="center" wrapText="1"/>
    </xf>
    <xf numFmtId="0" fontId="6" fillId="73" borderId="134" xfId="0" applyFont="1" applyFill="1" applyBorder="1" applyAlignment="1">
      <alignment horizontal="center" vertical="center"/>
    </xf>
    <xf numFmtId="49" fontId="84" fillId="0" borderId="23" xfId="0" applyNumberFormat="1" applyFont="1" applyBorder="1" applyAlignment="1">
      <alignment horizontal="center" vertical="center" wrapText="1"/>
    </xf>
    <xf numFmtId="49" fontId="18" fillId="0" borderId="0" xfId="0" applyNumberFormat="1" applyFont="1" applyAlignment="1">
      <alignment horizontal="center" vertical="center" wrapText="1"/>
    </xf>
    <xf numFmtId="0" fontId="51" fillId="56" borderId="137" xfId="0" applyFont="1" applyFill="1" applyBorder="1" applyAlignment="1">
      <alignment horizontal="center" vertical="center" wrapText="1"/>
    </xf>
    <xf numFmtId="0" fontId="12" fillId="4" borderId="15" xfId="0" applyFont="1" applyFill="1" applyBorder="1" applyAlignment="1">
      <alignment horizontal="center" vertical="center"/>
    </xf>
    <xf numFmtId="188" fontId="15" fillId="0" borderId="0" xfId="0" applyNumberFormat="1" applyFont="1" applyAlignment="1">
      <alignment vertical="center" wrapText="1"/>
    </xf>
    <xf numFmtId="0" fontId="15" fillId="9" borderId="90" xfId="0" applyFont="1" applyFill="1" applyBorder="1" applyAlignment="1">
      <alignment horizontal="center" vertical="center" wrapText="1"/>
    </xf>
    <xf numFmtId="0" fontId="15" fillId="0" borderId="136" xfId="0" applyFont="1" applyBorder="1" applyAlignment="1">
      <alignment horizontal="left" vertical="center" wrapText="1"/>
    </xf>
    <xf numFmtId="49" fontId="15" fillId="8" borderId="0" xfId="0" applyNumberFormat="1" applyFont="1" applyFill="1" applyAlignment="1">
      <alignment horizontal="center" vertical="center" wrapText="1"/>
    </xf>
    <xf numFmtId="0" fontId="1" fillId="8" borderId="90" xfId="0" applyFont="1" applyFill="1" applyBorder="1" applyAlignment="1">
      <alignment horizontal="center" vertical="center"/>
    </xf>
    <xf numFmtId="0" fontId="150" fillId="8" borderId="143" xfId="0" applyFont="1" applyFill="1" applyBorder="1" applyAlignment="1">
      <alignment horizontal="center" vertical="center" wrapText="1"/>
    </xf>
    <xf numFmtId="0" fontId="0" fillId="0" borderId="91" xfId="0" applyBorder="1" applyAlignment="1"/>
    <xf numFmtId="0" fontId="140" fillId="0" borderId="0" xfId="0" applyFont="1" applyAlignment="1">
      <alignment horizontal="center" vertical="center"/>
    </xf>
    <xf numFmtId="177" fontId="15" fillId="9" borderId="82" xfId="0" applyNumberFormat="1" applyFont="1" applyFill="1" applyBorder="1">
      <alignment vertical="center"/>
    </xf>
    <xf numFmtId="49" fontId="15" fillId="0" borderId="12" xfId="0" applyNumberFormat="1" applyFont="1" applyBorder="1" applyAlignment="1">
      <alignment horizontal="center" vertical="center" wrapText="1"/>
    </xf>
    <xf numFmtId="0" fontId="84" fillId="39" borderId="82" xfId="0" applyFont="1" applyFill="1" applyBorder="1" applyAlignment="1">
      <alignment horizontal="center" vertical="center"/>
    </xf>
    <xf numFmtId="0" fontId="149" fillId="56" borderId="184" xfId="0" applyFont="1" applyFill="1" applyBorder="1" applyAlignment="1">
      <alignment horizontal="center" vertical="center"/>
    </xf>
    <xf numFmtId="0" fontId="84" fillId="0" borderId="84" xfId="0" applyFont="1" applyBorder="1" applyAlignment="1">
      <alignment horizontal="center" vertical="center"/>
    </xf>
    <xf numFmtId="0" fontId="15" fillId="0" borderId="86" xfId="0" applyFont="1" applyBorder="1" applyAlignment="1">
      <alignment horizontal="center" vertical="center"/>
    </xf>
    <xf numFmtId="0" fontId="147" fillId="56" borderId="183" xfId="0" applyFont="1" applyFill="1" applyBorder="1" applyAlignment="1">
      <alignment horizontal="center" vertical="center"/>
    </xf>
    <xf numFmtId="49" fontId="15" fillId="0" borderId="84" xfId="0" applyNumberFormat="1" applyFont="1" applyBorder="1" applyAlignment="1">
      <alignment horizontal="center" vertical="center" wrapText="1"/>
    </xf>
    <xf numFmtId="0" fontId="15" fillId="72" borderId="136" xfId="0" applyFont="1" applyFill="1" applyBorder="1" applyAlignment="1">
      <alignment horizontal="center" vertical="center"/>
    </xf>
    <xf numFmtId="0" fontId="15" fillId="0" borderId="84" xfId="0" applyFont="1" applyBorder="1" applyAlignment="1">
      <alignment horizontal="center" vertical="center"/>
    </xf>
    <xf numFmtId="49" fontId="15" fillId="39" borderId="154" xfId="0" applyNumberFormat="1" applyFont="1" applyFill="1" applyBorder="1" applyAlignment="1">
      <alignment horizontal="center" vertical="top"/>
    </xf>
    <xf numFmtId="0" fontId="1" fillId="72" borderId="207" xfId="0" applyFont="1" applyFill="1" applyBorder="1" applyAlignment="1">
      <alignment horizontal="center" vertical="center"/>
    </xf>
    <xf numFmtId="0" fontId="15" fillId="9" borderId="136" xfId="0" applyFont="1" applyFill="1" applyBorder="1" applyAlignment="1">
      <alignment horizontal="center" vertical="center" wrapText="1"/>
    </xf>
    <xf numFmtId="0" fontId="6" fillId="76" borderId="207" xfId="0" applyFont="1" applyFill="1" applyBorder="1" applyAlignment="1">
      <alignment horizontal="center" vertical="center" wrapText="1"/>
    </xf>
    <xf numFmtId="0" fontId="12" fillId="0" borderId="90" xfId="0" applyFont="1" applyBorder="1" applyAlignment="1">
      <alignment horizontal="center" vertical="center"/>
    </xf>
    <xf numFmtId="179" fontId="161" fillId="8" borderId="90" xfId="4" applyNumberFormat="1" applyFont="1" applyFill="1" applyBorder="1" applyAlignment="1">
      <alignment horizontal="center" vertical="center"/>
    </xf>
    <xf numFmtId="0" fontId="15" fillId="0" borderId="13" xfId="0" applyFont="1" applyBorder="1" applyAlignment="1">
      <alignment horizontal="center" vertical="center"/>
    </xf>
    <xf numFmtId="0" fontId="84" fillId="8" borderId="1" xfId="0" applyFont="1" applyFill="1" applyBorder="1" applyAlignment="1">
      <alignment horizontal="center" vertical="center" wrapText="1"/>
    </xf>
    <xf numFmtId="0" fontId="15" fillId="0" borderId="175" xfId="0" applyFont="1" applyBorder="1" applyAlignment="1">
      <alignment horizontal="center" vertical="center"/>
    </xf>
    <xf numFmtId="190" fontId="12" fillId="4" borderId="186" xfId="0" applyNumberFormat="1" applyFont="1" applyFill="1" applyBorder="1" applyAlignment="1">
      <alignment horizontal="center" vertical="center"/>
    </xf>
    <xf numFmtId="0" fontId="12" fillId="39" borderId="79" xfId="2" applyFont="1" applyFill="1" applyBorder="1" applyAlignment="1">
      <alignment horizontal="center" vertical="center"/>
    </xf>
    <xf numFmtId="0" fontId="84" fillId="0" borderId="136" xfId="0" applyFont="1" applyBorder="1" applyAlignment="1">
      <alignment horizontal="center" vertical="center" wrapText="1"/>
    </xf>
    <xf numFmtId="0" fontId="15" fillId="9" borderId="82" xfId="0" applyFont="1" applyFill="1" applyBorder="1" applyAlignment="1">
      <alignment vertical="center" wrapText="1"/>
    </xf>
    <xf numFmtId="0" fontId="150" fillId="8" borderId="143" xfId="0" applyFont="1" applyFill="1" applyBorder="1" applyAlignment="1">
      <alignment horizontal="center" vertical="center"/>
    </xf>
    <xf numFmtId="0" fontId="15" fillId="0" borderId="174" xfId="0" applyFont="1" applyBorder="1" applyAlignment="1">
      <alignment horizontal="center" vertical="center"/>
    </xf>
    <xf numFmtId="0" fontId="163" fillId="0" borderId="14" xfId="0" applyFont="1" applyBorder="1" applyAlignment="1">
      <alignment horizontal="center" vertical="center"/>
    </xf>
    <xf numFmtId="0" fontId="6" fillId="56" borderId="8" xfId="0" applyFont="1" applyFill="1" applyBorder="1" applyAlignment="1">
      <alignment horizontal="center" vertical="center"/>
    </xf>
    <xf numFmtId="0" fontId="6" fillId="74" borderId="134" xfId="0" applyFont="1" applyFill="1" applyBorder="1" applyAlignment="1">
      <alignment horizontal="center" vertical="center"/>
    </xf>
    <xf numFmtId="0" fontId="147" fillId="56" borderId="184" xfId="0" applyFont="1" applyFill="1" applyBorder="1" applyAlignment="1">
      <alignment horizontal="right" vertical="center"/>
    </xf>
    <xf numFmtId="191" fontId="12" fillId="0" borderId="136" xfId="0" applyNumberFormat="1" applyFont="1" applyBorder="1" applyAlignment="1">
      <alignment horizontal="center" vertical="center"/>
    </xf>
    <xf numFmtId="0" fontId="15" fillId="8" borderId="175" xfId="0" applyFont="1" applyFill="1" applyBorder="1" applyAlignment="1">
      <alignment horizontal="center" vertical="center"/>
    </xf>
    <xf numFmtId="0" fontId="84" fillId="4" borderId="136" xfId="0" applyFont="1" applyFill="1" applyBorder="1" applyAlignment="1">
      <alignment horizontal="center" vertical="center"/>
    </xf>
    <xf numFmtId="49" fontId="18" fillId="0" borderId="86" xfId="0" applyNumberFormat="1" applyFont="1" applyBorder="1" applyAlignment="1">
      <alignment horizontal="center" vertical="center" wrapText="1"/>
    </xf>
    <xf numFmtId="179" fontId="155" fillId="81" borderId="166" xfId="0" applyNumberFormat="1" applyFont="1" applyFill="1" applyBorder="1" applyAlignment="1">
      <alignment horizontal="center" vertical="center"/>
    </xf>
    <xf numFmtId="0" fontId="15" fillId="0" borderId="11" xfId="0" applyFont="1" applyBorder="1" applyAlignment="1">
      <alignment horizontal="center" vertical="center"/>
    </xf>
    <xf numFmtId="0" fontId="15" fillId="68" borderId="15" xfId="0" applyFont="1" applyFill="1" applyBorder="1" applyAlignment="1">
      <alignment horizontal="right" vertical="center" wrapText="1"/>
    </xf>
    <xf numFmtId="0" fontId="91" fillId="9" borderId="10" xfId="0" applyFont="1" applyFill="1" applyBorder="1" applyAlignment="1">
      <alignment horizontal="center" vertical="center" wrapText="1"/>
    </xf>
    <xf numFmtId="0" fontId="15" fillId="0" borderId="0" xfId="0" applyFont="1">
      <alignment vertical="center"/>
    </xf>
    <xf numFmtId="179" fontId="3" fillId="4" borderId="0" xfId="0" applyNumberFormat="1" applyFont="1" applyFill="1" applyAlignment="1">
      <alignment horizontal="center" vertical="center"/>
    </xf>
    <xf numFmtId="0" fontId="3" fillId="4" borderId="12" xfId="0" applyFont="1" applyFill="1" applyBorder="1" applyAlignment="1">
      <alignment horizontal="center" vertical="center"/>
    </xf>
    <xf numFmtId="0" fontId="15" fillId="7" borderId="162" xfId="0" applyFont="1" applyFill="1" applyBorder="1" applyAlignment="1">
      <alignment horizontal="left" vertical="center"/>
    </xf>
    <xf numFmtId="0" fontId="91" fillId="8" borderId="11" xfId="0" applyFont="1" applyFill="1" applyBorder="1" applyAlignment="1">
      <alignment horizontal="left" vertical="center" wrapText="1"/>
    </xf>
    <xf numFmtId="0" fontId="15" fillId="0" borderId="70" xfId="0" applyFont="1" applyBorder="1" applyAlignment="1">
      <alignment horizontal="center" vertical="center"/>
    </xf>
    <xf numFmtId="179" fontId="15" fillId="9" borderId="10" xfId="0" applyNumberFormat="1" applyFont="1" applyFill="1" applyBorder="1" applyAlignment="1">
      <alignment horizontal="center" vertical="center"/>
    </xf>
    <xf numFmtId="0" fontId="3" fillId="0" borderId="14" xfId="0" applyFont="1" applyBorder="1" applyAlignment="1">
      <alignment horizontal="center" vertical="center"/>
    </xf>
    <xf numFmtId="179" fontId="3" fillId="9" borderId="10" xfId="0" applyNumberFormat="1" applyFont="1" applyFill="1" applyBorder="1" applyAlignment="1">
      <alignment horizontal="center" vertical="center"/>
    </xf>
    <xf numFmtId="192" fontId="3" fillId="0" borderId="14" xfId="0" applyNumberFormat="1" applyFont="1" applyBorder="1" applyAlignment="1">
      <alignment horizontal="left" vertical="center"/>
    </xf>
    <xf numFmtId="0" fontId="15" fillId="9" borderId="160" xfId="0" applyFont="1" applyFill="1" applyBorder="1" applyAlignment="1">
      <alignment horizontal="center" vertical="center"/>
    </xf>
    <xf numFmtId="0" fontId="0" fillId="0" borderId="160" xfId="0" applyBorder="1" applyAlignment="1"/>
    <xf numFmtId="0" fontId="12" fillId="0" borderId="33" xfId="0" applyFont="1" applyBorder="1" applyAlignment="1">
      <alignment horizontal="left" vertical="center"/>
    </xf>
    <xf numFmtId="0" fontId="0" fillId="0" borderId="33" xfId="0" applyBorder="1" applyAlignment="1"/>
    <xf numFmtId="0" fontId="16" fillId="9" borderId="160" xfId="0" applyFont="1" applyFill="1" applyBorder="1">
      <alignment vertical="center"/>
    </xf>
    <xf numFmtId="179" fontId="15" fillId="9" borderId="11" xfId="0" applyNumberFormat="1" applyFont="1" applyFill="1" applyBorder="1" applyAlignment="1">
      <alignment horizontal="center" vertical="center"/>
    </xf>
    <xf numFmtId="0" fontId="91" fillId="0" borderId="10" xfId="0" applyFont="1" applyBorder="1" applyAlignment="1">
      <alignment horizontal="center" vertical="center" wrapText="1"/>
    </xf>
    <xf numFmtId="179" fontId="15" fillId="0" borderId="0" xfId="0" applyNumberFormat="1" applyFont="1" applyAlignment="1">
      <alignment horizontal="center" vertical="center"/>
    </xf>
    <xf numFmtId="0" fontId="51" fillId="57" borderId="213" xfId="0" applyFont="1" applyFill="1" applyBorder="1" applyAlignment="1">
      <alignment horizontal="center" vertical="center"/>
    </xf>
    <xf numFmtId="0" fontId="0" fillId="0" borderId="165" xfId="0" applyBorder="1" applyAlignment="1"/>
    <xf numFmtId="0" fontId="0" fillId="0" borderId="177" xfId="0" applyBorder="1" applyAlignment="1"/>
    <xf numFmtId="179" fontId="3" fillId="4" borderId="15" xfId="0" applyNumberFormat="1" applyFont="1" applyFill="1" applyBorder="1" applyAlignment="1">
      <alignment horizontal="center" vertical="center"/>
    </xf>
    <xf numFmtId="0" fontId="12" fillId="4" borderId="1" xfId="0" applyFont="1" applyFill="1" applyBorder="1" applyAlignment="1">
      <alignment horizontal="center" vertical="center"/>
    </xf>
    <xf numFmtId="0" fontId="0" fillId="0" borderId="41" xfId="0" applyBorder="1" applyAlignment="1"/>
    <xf numFmtId="0" fontId="0" fillId="0" borderId="3" xfId="0" applyBorder="1" applyAlignment="1"/>
    <xf numFmtId="0" fontId="12" fillId="0" borderId="0" xfId="0" applyFont="1" applyAlignment="1">
      <alignment horizontal="center" vertical="center"/>
    </xf>
    <xf numFmtId="0" fontId="91" fillId="0" borderId="11" xfId="0" applyFont="1" applyBorder="1" applyAlignment="1">
      <alignment horizontal="left" vertical="center" wrapText="1"/>
    </xf>
    <xf numFmtId="0" fontId="91" fillId="9" borderId="0" xfId="0" applyFont="1" applyFill="1" applyAlignment="1">
      <alignment horizontal="center" vertical="center" wrapText="1"/>
    </xf>
    <xf numFmtId="0" fontId="91" fillId="0" borderId="0" xfId="0" applyFont="1" applyAlignment="1">
      <alignment horizontal="center" vertical="center" wrapText="1"/>
    </xf>
    <xf numFmtId="0" fontId="91" fillId="8" borderId="0" xfId="0" applyFont="1" applyFill="1" applyAlignment="1">
      <alignment horizontal="center" vertical="center" wrapText="1"/>
    </xf>
    <xf numFmtId="0" fontId="12" fillId="9" borderId="160" xfId="0" applyFont="1" applyFill="1" applyBorder="1">
      <alignment vertical="center"/>
    </xf>
    <xf numFmtId="0" fontId="12" fillId="0" borderId="179" xfId="0" applyFont="1" applyBorder="1" applyAlignment="1">
      <alignment horizontal="left" vertical="center"/>
    </xf>
    <xf numFmtId="0" fontId="0" fillId="0" borderId="155" xfId="0" applyBorder="1" applyAlignment="1"/>
    <xf numFmtId="0" fontId="0" fillId="0" borderId="179" xfId="0" applyBorder="1" applyAlignment="1"/>
    <xf numFmtId="0" fontId="15" fillId="0" borderId="160" xfId="0" applyFont="1" applyBorder="1" applyAlignment="1">
      <alignment horizontal="center" vertical="center"/>
    </xf>
    <xf numFmtId="0" fontId="15" fillId="0" borderId="33" xfId="0" applyFont="1" applyBorder="1">
      <alignment vertical="center"/>
    </xf>
    <xf numFmtId="0" fontId="15" fillId="9" borderId="0" xfId="0" applyFont="1" applyFill="1" applyAlignment="1">
      <alignment horizontal="center" vertical="center"/>
    </xf>
    <xf numFmtId="0" fontId="12" fillId="9" borderId="0" xfId="0" applyFont="1" applyFill="1" applyAlignment="1">
      <alignment horizontal="center" vertical="center"/>
    </xf>
    <xf numFmtId="0" fontId="84" fillId="4" borderId="0" xfId="0" applyFont="1" applyFill="1" applyAlignment="1">
      <alignment horizontal="center" vertical="center"/>
    </xf>
    <xf numFmtId="179" fontId="3" fillId="9" borderId="0" xfId="0" applyNumberFormat="1" applyFont="1" applyFill="1" applyAlignment="1">
      <alignment horizontal="center" vertical="center"/>
    </xf>
    <xf numFmtId="0" fontId="12" fillId="0" borderId="1" xfId="0" applyFont="1" applyBorder="1" applyAlignment="1">
      <alignment horizontal="left" vertical="center" wrapText="1"/>
    </xf>
    <xf numFmtId="0" fontId="0" fillId="0" borderId="30" xfId="0" applyBorder="1" applyAlignment="1"/>
    <xf numFmtId="0" fontId="0" fillId="0" borderId="6" xfId="0" applyBorder="1" applyAlignment="1"/>
    <xf numFmtId="0" fontId="0" fillId="0" borderId="38" xfId="0" applyBorder="1" applyAlignment="1"/>
    <xf numFmtId="0" fontId="0" fillId="0" borderId="39" xfId="0" applyBorder="1" applyAlignment="1"/>
    <xf numFmtId="0" fontId="0" fillId="0" borderId="34" xfId="0" applyBorder="1" applyAlignment="1"/>
    <xf numFmtId="0" fontId="0" fillId="0" borderId="35" xfId="0" applyBorder="1" applyAlignment="1"/>
    <xf numFmtId="0" fontId="3" fillId="4" borderId="0" xfId="0" applyFont="1" applyFill="1" applyAlignment="1">
      <alignment horizontal="center" vertical="center"/>
    </xf>
    <xf numFmtId="0" fontId="3" fillId="0" borderId="7" xfId="0" applyFont="1" applyBorder="1" applyAlignment="1">
      <alignment horizontal="center" vertical="center"/>
    </xf>
    <xf numFmtId="0" fontId="15" fillId="9" borderId="33" xfId="0" applyFont="1" applyFill="1" applyBorder="1" applyAlignment="1">
      <alignment horizontal="left" vertical="center"/>
    </xf>
    <xf numFmtId="0" fontId="3" fillId="0" borderId="15" xfId="0" applyFont="1" applyBorder="1" applyAlignment="1">
      <alignment horizontal="center" vertical="center"/>
    </xf>
    <xf numFmtId="0" fontId="3" fillId="9" borderId="15" xfId="0" applyFont="1" applyFill="1" applyBorder="1" applyAlignment="1">
      <alignment horizontal="center" vertical="center"/>
    </xf>
    <xf numFmtId="0" fontId="12" fillId="0" borderId="160" xfId="0" applyFont="1" applyBorder="1" applyAlignment="1">
      <alignment horizontal="left" vertical="center"/>
    </xf>
    <xf numFmtId="0" fontId="28" fillId="80" borderId="38" xfId="0" applyFont="1" applyFill="1" applyBorder="1" applyAlignment="1">
      <alignment horizontal="right" vertical="center" wrapText="1"/>
    </xf>
    <xf numFmtId="0" fontId="137" fillId="0" borderId="0" xfId="0" applyFont="1">
      <alignment vertical="center"/>
    </xf>
    <xf numFmtId="0" fontId="15" fillId="7" borderId="207" xfId="0" applyFont="1" applyFill="1" applyBorder="1" applyAlignment="1">
      <alignment horizontal="center" vertical="center"/>
    </xf>
    <xf numFmtId="0" fontId="51" fillId="57" borderId="1" xfId="0" applyFont="1" applyFill="1" applyBorder="1" applyAlignment="1">
      <alignment horizontal="center" vertical="center"/>
    </xf>
    <xf numFmtId="0" fontId="15" fillId="9" borderId="33" xfId="0" applyFont="1" applyFill="1" applyBorder="1">
      <alignment vertical="center"/>
    </xf>
    <xf numFmtId="49" fontId="15" fillId="4" borderId="11" xfId="0" applyNumberFormat="1" applyFont="1" applyFill="1" applyBorder="1" applyAlignment="1">
      <alignment horizontal="center" vertical="top" wrapText="1"/>
    </xf>
    <xf numFmtId="0" fontId="15" fillId="80" borderId="0" xfId="0" applyFont="1" applyFill="1" applyAlignment="1">
      <alignment horizontal="left" vertical="center"/>
    </xf>
    <xf numFmtId="0" fontId="141" fillId="7" borderId="10" xfId="0" applyFont="1" applyFill="1" applyBorder="1" applyAlignment="1">
      <alignment vertical="center" wrapText="1"/>
    </xf>
    <xf numFmtId="0" fontId="15" fillId="9" borderId="14" xfId="0" applyFont="1" applyFill="1" applyBorder="1" applyAlignment="1">
      <alignment horizontal="center" vertical="center"/>
    </xf>
    <xf numFmtId="179" fontId="84" fillId="9" borderId="10" xfId="0" applyNumberFormat="1" applyFont="1" applyFill="1" applyBorder="1" applyAlignment="1">
      <alignment horizontal="center" vertical="center"/>
    </xf>
    <xf numFmtId="0" fontId="12" fillId="9" borderId="33" xfId="0" applyFont="1" applyFill="1" applyBorder="1" applyAlignment="1">
      <alignment horizontal="left" vertical="center"/>
    </xf>
    <xf numFmtId="0" fontId="141" fillId="7" borderId="11" xfId="0" applyFont="1" applyFill="1" applyBorder="1" applyAlignment="1">
      <alignment horizontal="left" vertical="center" wrapText="1"/>
    </xf>
    <xf numFmtId="179" fontId="84" fillId="9" borderId="87" xfId="0" applyNumberFormat="1" applyFont="1" applyFill="1" applyBorder="1" applyAlignment="1">
      <alignment horizontal="center" vertical="center"/>
    </xf>
    <xf numFmtId="0" fontId="3" fillId="7" borderId="68" xfId="0" applyFont="1" applyFill="1" applyBorder="1" applyAlignment="1">
      <alignment horizontal="center" vertical="center"/>
    </xf>
    <xf numFmtId="179" fontId="15" fillId="9" borderId="71" xfId="0" applyNumberFormat="1" applyFont="1" applyFill="1" applyBorder="1" applyAlignment="1">
      <alignment horizontal="center" vertical="center"/>
    </xf>
    <xf numFmtId="179" fontId="3" fillId="9" borderId="15" xfId="0" applyNumberFormat="1" applyFont="1" applyFill="1" applyBorder="1" applyAlignment="1">
      <alignment horizontal="center" vertical="center"/>
    </xf>
    <xf numFmtId="179" fontId="15" fillId="0" borderId="15" xfId="0" applyNumberFormat="1" applyFont="1" applyBorder="1" applyAlignment="1">
      <alignment horizontal="center" vertical="center"/>
    </xf>
    <xf numFmtId="0" fontId="12" fillId="0" borderId="162" xfId="0" applyFont="1" applyBorder="1" applyAlignment="1">
      <alignment horizontal="center" vertical="center"/>
    </xf>
    <xf numFmtId="0" fontId="15" fillId="7" borderId="0" xfId="0" applyFont="1" applyFill="1" applyAlignment="1">
      <alignment horizontal="center" vertical="center"/>
    </xf>
    <xf numFmtId="0" fontId="139" fillId="0" borderId="0" xfId="0" applyFont="1">
      <alignment vertical="center"/>
    </xf>
    <xf numFmtId="179" fontId="15" fillId="0" borderId="71" xfId="0" applyNumberFormat="1" applyFont="1" applyBorder="1" applyAlignment="1">
      <alignment horizontal="center" vertical="center"/>
    </xf>
    <xf numFmtId="179" fontId="84" fillId="9" borderId="11" xfId="0" applyNumberFormat="1" applyFont="1" applyFill="1" applyBorder="1" applyAlignment="1">
      <alignment horizontal="center" vertical="center"/>
    </xf>
    <xf numFmtId="179" fontId="15" fillId="9" borderId="0" xfId="0" applyNumberFormat="1" applyFont="1" applyFill="1" applyAlignment="1">
      <alignment horizontal="center" vertical="center"/>
    </xf>
    <xf numFmtId="179" fontId="15" fillId="0" borderId="10" xfId="0" applyNumberFormat="1" applyFont="1" applyBorder="1" applyAlignment="1">
      <alignment horizontal="center" vertical="center"/>
    </xf>
    <xf numFmtId="0" fontId="23" fillId="0" borderId="0" xfId="0" applyFont="1">
      <alignment vertical="center"/>
    </xf>
    <xf numFmtId="0" fontId="15" fillId="7" borderId="68" xfId="0" applyFont="1" applyFill="1" applyBorder="1" applyAlignment="1">
      <alignment horizontal="center" vertical="center"/>
    </xf>
    <xf numFmtId="0" fontId="28" fillId="0" borderId="40" xfId="0" applyFont="1" applyBorder="1" applyAlignment="1">
      <alignment vertical="center" wrapText="1"/>
    </xf>
    <xf numFmtId="0" fontId="15" fillId="0" borderId="162" xfId="0" applyFont="1" applyBorder="1" applyAlignment="1">
      <alignment horizontal="center" vertical="center"/>
    </xf>
    <xf numFmtId="0" fontId="141" fillId="7" borderId="0" xfId="0" applyFont="1" applyFill="1" applyAlignment="1">
      <alignment horizontal="center" vertical="center" wrapText="1"/>
    </xf>
    <xf numFmtId="0" fontId="28" fillId="0" borderId="40" xfId="0" applyFont="1" applyBorder="1" applyAlignment="1">
      <alignment horizontal="left" vertical="center" wrapText="1"/>
    </xf>
    <xf numFmtId="179" fontId="15" fillId="0" borderId="13" xfId="0" applyNumberFormat="1" applyFont="1" applyBorder="1" applyAlignment="1">
      <alignment horizontal="center" vertical="center"/>
    </xf>
    <xf numFmtId="0" fontId="15" fillId="7" borderId="0" xfId="0" applyFont="1" applyFill="1" applyAlignment="1">
      <alignment horizontal="left" vertical="center"/>
    </xf>
    <xf numFmtId="0" fontId="12" fillId="9" borderId="162" xfId="0" applyFont="1" applyFill="1" applyBorder="1" applyAlignment="1">
      <alignment horizontal="center" vertical="center"/>
    </xf>
    <xf numFmtId="179" fontId="15" fillId="9" borderId="77" xfId="0" applyNumberFormat="1" applyFont="1" applyFill="1" applyBorder="1" applyAlignment="1">
      <alignment horizontal="center" vertical="center"/>
    </xf>
    <xf numFmtId="0" fontId="15" fillId="9" borderId="10" xfId="0" applyFont="1" applyFill="1" applyBorder="1" applyAlignment="1">
      <alignment horizontal="center" vertical="center"/>
    </xf>
    <xf numFmtId="0" fontId="15" fillId="7" borderId="160" xfId="0" applyFont="1" applyFill="1" applyBorder="1" applyAlignment="1">
      <alignment horizontal="center" vertical="center"/>
    </xf>
    <xf numFmtId="0" fontId="12" fillId="9" borderId="33" xfId="0" applyFont="1" applyFill="1" applyBorder="1">
      <alignment vertical="center"/>
    </xf>
    <xf numFmtId="0" fontId="140" fillId="0" borderId="155" xfId="0" applyFont="1" applyBorder="1" applyAlignment="1">
      <alignment horizontal="center" vertical="center"/>
    </xf>
    <xf numFmtId="0" fontId="12" fillId="0" borderId="155" xfId="0" applyFont="1" applyBorder="1" applyAlignment="1">
      <alignment horizontal="center" vertical="center"/>
    </xf>
    <xf numFmtId="0" fontId="15" fillId="0" borderId="179" xfId="0" applyFont="1" applyBorder="1">
      <alignment vertical="center"/>
    </xf>
    <xf numFmtId="0" fontId="12" fillId="0" borderId="33" xfId="0" applyFont="1" applyBorder="1">
      <alignment vertical="center"/>
    </xf>
    <xf numFmtId="0" fontId="15" fillId="0" borderId="160" xfId="0" applyFont="1" applyBorder="1" applyAlignment="1">
      <alignment horizontal="left" vertical="center"/>
    </xf>
    <xf numFmtId="0" fontId="15" fillId="4" borderId="11" xfId="0" applyFont="1" applyFill="1" applyBorder="1" applyAlignment="1">
      <alignment horizontal="center" vertical="center"/>
    </xf>
    <xf numFmtId="0" fontId="91" fillId="0" borderId="13" xfId="0" applyFont="1" applyBorder="1" applyAlignment="1">
      <alignment horizontal="left" vertical="center" wrapText="1"/>
    </xf>
    <xf numFmtId="0" fontId="12" fillId="0" borderId="161" xfId="0" applyFont="1" applyBorder="1">
      <alignment vertical="center"/>
    </xf>
    <xf numFmtId="0" fontId="0" fillId="0" borderId="161" xfId="0" applyBorder="1" applyAlignment="1"/>
    <xf numFmtId="0" fontId="15" fillId="0" borderId="12" xfId="0" applyFont="1" applyBorder="1" applyAlignment="1">
      <alignment horizontal="center" vertical="center"/>
    </xf>
    <xf numFmtId="0" fontId="15" fillId="9" borderId="162" xfId="0" applyFont="1" applyFill="1" applyBorder="1" applyAlignment="1">
      <alignment horizontal="center" vertical="center"/>
    </xf>
    <xf numFmtId="0" fontId="95" fillId="9" borderId="0" xfId="0" applyFont="1" applyFill="1" applyAlignment="1">
      <alignment horizontal="center" vertical="center" wrapText="1"/>
    </xf>
    <xf numFmtId="0" fontId="18" fillId="0" borderId="144" xfId="0" applyFont="1" applyBorder="1" applyAlignment="1">
      <alignment horizontal="left" vertical="top" wrapText="1"/>
    </xf>
    <xf numFmtId="0" fontId="15" fillId="0" borderId="15" xfId="0" applyFont="1" applyBorder="1" applyAlignment="1">
      <alignment horizontal="center" vertical="center"/>
    </xf>
    <xf numFmtId="0" fontId="91" fillId="9" borderId="11" xfId="0" applyFont="1" applyFill="1" applyBorder="1" applyAlignment="1">
      <alignment horizontal="left" vertical="center" wrapText="1"/>
    </xf>
    <xf numFmtId="0" fontId="3" fillId="0" borderId="12" xfId="0" applyFont="1" applyBorder="1" applyAlignment="1">
      <alignment horizontal="center" vertical="center"/>
    </xf>
    <xf numFmtId="0" fontId="3" fillId="9" borderId="0" xfId="0" applyFont="1" applyFill="1" applyAlignment="1">
      <alignment horizontal="center" vertical="center"/>
    </xf>
    <xf numFmtId="0" fontId="3" fillId="0" borderId="14" xfId="0" applyFont="1" applyBorder="1" applyAlignment="1">
      <alignment horizontal="right" vertical="center"/>
    </xf>
    <xf numFmtId="0" fontId="3" fillId="9" borderId="14" xfId="0" applyFont="1" applyFill="1" applyBorder="1" applyAlignment="1">
      <alignment horizontal="center" vertical="center"/>
    </xf>
    <xf numFmtId="179" fontId="15" fillId="0" borderId="11" xfId="0" applyNumberFormat="1" applyFont="1" applyBorder="1" applyAlignment="1">
      <alignment horizontal="center" vertical="center"/>
    </xf>
    <xf numFmtId="0" fontId="3" fillId="4" borderId="15" xfId="0" applyFont="1" applyFill="1" applyBorder="1" applyAlignment="1">
      <alignment horizontal="center" vertical="center"/>
    </xf>
    <xf numFmtId="0" fontId="15" fillId="0" borderId="178" xfId="0" applyFont="1" applyBorder="1" applyAlignment="1">
      <alignment horizontal="center" vertical="center"/>
    </xf>
    <xf numFmtId="0" fontId="15" fillId="0" borderId="155" xfId="0" applyFont="1" applyBorder="1" applyAlignment="1">
      <alignment horizontal="center" vertical="center"/>
    </xf>
    <xf numFmtId="0" fontId="84" fillId="4" borderId="10" xfId="0" applyFont="1" applyFill="1" applyBorder="1" applyAlignment="1">
      <alignment horizontal="center" vertical="center"/>
    </xf>
    <xf numFmtId="179" fontId="84" fillId="9" borderId="75" xfId="0" applyNumberFormat="1" applyFont="1" applyFill="1" applyBorder="1" applyAlignment="1">
      <alignment horizontal="center" vertical="center"/>
    </xf>
    <xf numFmtId="0" fontId="91" fillId="0" borderId="15" xfId="0" applyFont="1" applyBorder="1" applyAlignment="1">
      <alignment horizontal="center" vertical="center" wrapText="1"/>
    </xf>
    <xf numFmtId="179" fontId="15" fillId="9" borderId="87" xfId="0" applyNumberFormat="1" applyFont="1" applyFill="1" applyBorder="1" applyAlignment="1">
      <alignment horizontal="center" vertical="center"/>
    </xf>
    <xf numFmtId="0" fontId="140" fillId="0" borderId="0" xfId="0" applyFont="1" applyAlignment="1">
      <alignment horizontal="center" vertical="center" wrapText="1"/>
    </xf>
    <xf numFmtId="0" fontId="105" fillId="0" borderId="0" xfId="0" applyFont="1">
      <alignment vertical="center"/>
    </xf>
    <xf numFmtId="0" fontId="91" fillId="0" borderId="12" xfId="0" applyFont="1" applyBorder="1" applyAlignment="1">
      <alignment horizontal="center" vertical="center" wrapText="1"/>
    </xf>
    <xf numFmtId="0" fontId="18" fillId="0" borderId="70" xfId="0" applyFont="1" applyBorder="1" applyAlignment="1">
      <alignment horizontal="left" vertical="center"/>
    </xf>
    <xf numFmtId="0" fontId="106" fillId="8" borderId="40" xfId="0" applyFont="1" applyFill="1" applyBorder="1" applyAlignment="1">
      <alignment horizontal="center" vertical="center"/>
    </xf>
    <xf numFmtId="49" fontId="15" fillId="4" borderId="10" xfId="0" applyNumberFormat="1" applyFont="1" applyFill="1" applyBorder="1" applyAlignment="1">
      <alignment horizontal="center" vertical="top" wrapText="1"/>
    </xf>
    <xf numFmtId="0" fontId="3" fillId="9" borderId="14" xfId="0" applyFont="1" applyFill="1" applyBorder="1" applyAlignment="1">
      <alignment horizontal="right" vertical="center"/>
    </xf>
    <xf numFmtId="20" fontId="15" fillId="0" borderId="176" xfId="0" applyNumberFormat="1" applyFont="1" applyBorder="1" applyAlignment="1">
      <alignment horizontal="center" vertical="center"/>
    </xf>
    <xf numFmtId="0" fontId="15" fillId="0" borderId="33" xfId="0" applyFont="1" applyBorder="1" applyAlignment="1">
      <alignment horizontal="left" vertical="center"/>
    </xf>
    <xf numFmtId="0" fontId="3" fillId="9" borderId="8" xfId="0" applyFont="1" applyFill="1" applyBorder="1" applyAlignment="1">
      <alignment horizontal="center" vertical="center"/>
    </xf>
    <xf numFmtId="179" fontId="15" fillId="0" borderId="12" xfId="0" applyNumberFormat="1" applyFont="1" applyBorder="1" applyAlignment="1">
      <alignment horizontal="center" vertical="center"/>
    </xf>
    <xf numFmtId="179" fontId="15" fillId="9" borderId="114" xfId="0" applyNumberFormat="1" applyFont="1" applyFill="1" applyBorder="1" applyAlignment="1">
      <alignment horizontal="center" vertical="center"/>
    </xf>
    <xf numFmtId="0" fontId="3" fillId="7" borderId="207" xfId="0" applyFont="1" applyFill="1" applyBorder="1" applyAlignment="1">
      <alignment horizontal="center" vertical="center"/>
    </xf>
    <xf numFmtId="179" fontId="15" fillId="9" borderId="75" xfId="0" applyNumberFormat="1" applyFont="1" applyFill="1" applyBorder="1" applyAlignment="1">
      <alignment horizontal="center" vertical="center"/>
    </xf>
    <xf numFmtId="0" fontId="3" fillId="9" borderId="13" xfId="0" applyFont="1" applyFill="1" applyBorder="1" applyAlignment="1">
      <alignment horizontal="center" vertical="center"/>
    </xf>
    <xf numFmtId="0" fontId="172" fillId="57" borderId="1" xfId="0" applyFont="1" applyFill="1" applyBorder="1" applyAlignment="1">
      <alignment horizontal="center" vertical="center"/>
    </xf>
    <xf numFmtId="0" fontId="15" fillId="0" borderId="160" xfId="0" applyFont="1" applyBorder="1">
      <alignment vertical="center"/>
    </xf>
    <xf numFmtId="0" fontId="140" fillId="9" borderId="0" xfId="0" applyFont="1" applyFill="1" applyAlignment="1">
      <alignment horizontal="center" vertical="center"/>
    </xf>
    <xf numFmtId="192" fontId="3" fillId="9" borderId="14" xfId="0" applyNumberFormat="1" applyFont="1" applyFill="1" applyBorder="1" applyAlignment="1">
      <alignment horizontal="left" vertical="center"/>
    </xf>
    <xf numFmtId="0" fontId="3" fillId="9" borderId="10" xfId="0" applyFont="1" applyFill="1" applyBorder="1" applyAlignment="1">
      <alignment horizontal="center" vertical="center"/>
    </xf>
    <xf numFmtId="49" fontId="136" fillId="0" borderId="0" xfId="0" applyNumberFormat="1" applyFont="1" applyAlignment="1">
      <alignment horizontal="left" vertical="center"/>
    </xf>
    <xf numFmtId="0" fontId="90" fillId="0" borderId="0" xfId="0" applyFont="1" applyAlignment="1">
      <alignment horizontal="left" vertical="center" wrapText="1"/>
    </xf>
    <xf numFmtId="49" fontId="133" fillId="0" borderId="0" xfId="0" applyNumberFormat="1" applyFont="1" applyAlignment="1">
      <alignment horizontal="left" vertical="center"/>
    </xf>
    <xf numFmtId="0" fontId="112" fillId="32" borderId="0" xfId="0" applyFont="1" applyFill="1" applyAlignment="1">
      <alignment horizontal="left" vertical="center"/>
    </xf>
    <xf numFmtId="0" fontId="90" fillId="0" borderId="0" xfId="0" applyFont="1" applyAlignment="1">
      <alignment horizontal="center" vertical="center"/>
    </xf>
    <xf numFmtId="0" fontId="133" fillId="0" borderId="0" xfId="0" applyFont="1" applyAlignment="1">
      <alignment horizontal="left" vertical="center"/>
    </xf>
    <xf numFmtId="0" fontId="132" fillId="0" borderId="10" xfId="0" applyFont="1" applyBorder="1" applyAlignment="1">
      <alignment horizontal="center" vertical="center" wrapText="1"/>
    </xf>
    <xf numFmtId="0" fontId="90" fillId="8" borderId="0" xfId="0" applyFont="1" applyFill="1" applyAlignment="1">
      <alignment horizontal="left" vertical="center" wrapText="1"/>
    </xf>
    <xf numFmtId="49" fontId="133" fillId="67" borderId="0" xfId="0" applyNumberFormat="1" applyFont="1" applyFill="1" applyAlignment="1">
      <alignment horizontal="left" vertical="center"/>
    </xf>
    <xf numFmtId="0" fontId="133" fillId="67" borderId="0" xfId="0" applyFont="1" applyFill="1" applyAlignment="1">
      <alignment horizontal="left" vertical="center"/>
    </xf>
    <xf numFmtId="0" fontId="27" fillId="0" borderId="0" xfId="0" applyFont="1" applyAlignment="1">
      <alignment horizontal="center" vertical="center" wrapText="1"/>
    </xf>
    <xf numFmtId="0" fontId="112" fillId="0" borderId="0" xfId="0" applyFont="1" applyAlignment="1">
      <alignment horizontal="center" vertical="center"/>
    </xf>
    <xf numFmtId="0" fontId="27" fillId="0" borderId="0" xfId="0" applyFont="1" applyAlignment="1">
      <alignment horizontal="left" vertical="center" wrapText="1"/>
    </xf>
    <xf numFmtId="0" fontId="135" fillId="0" borderId="0" xfId="0" applyFont="1" applyAlignment="1">
      <alignment horizontal="center" vertical="center" wrapText="1"/>
    </xf>
    <xf numFmtId="0" fontId="90" fillId="0" borderId="0" xfId="0" applyFont="1" applyAlignment="1">
      <alignment horizontal="center" vertical="center" wrapText="1"/>
    </xf>
    <xf numFmtId="0" fontId="134" fillId="0" borderId="0" xfId="0" applyFont="1" applyAlignment="1">
      <alignment horizontal="center" vertical="center" wrapText="1"/>
    </xf>
    <xf numFmtId="0" fontId="133" fillId="67" borderId="15" xfId="0" applyFont="1" applyFill="1" applyBorder="1" applyAlignment="1">
      <alignment horizontal="left" vertical="center"/>
    </xf>
    <xf numFmtId="0" fontId="90" fillId="34" borderId="138" xfId="0" applyFont="1" applyFill="1" applyBorder="1" applyAlignment="1">
      <alignment horizontal="center" vertical="center" wrapText="1"/>
    </xf>
    <xf numFmtId="0" fontId="131" fillId="2" borderId="0" xfId="0" applyFont="1" applyFill="1" applyAlignment="1">
      <alignment horizontal="center" vertical="center"/>
    </xf>
    <xf numFmtId="0" fontId="133" fillId="67" borderId="14" xfId="0" applyFont="1" applyFill="1" applyBorder="1" applyAlignment="1">
      <alignment horizontal="left" vertical="center"/>
    </xf>
    <xf numFmtId="0" fontId="64" fillId="7" borderId="134" xfId="0" applyFont="1" applyFill="1" applyBorder="1" applyAlignment="1">
      <alignment horizontal="center" vertical="center" wrapText="1"/>
    </xf>
    <xf numFmtId="0" fontId="82" fillId="0" borderId="136" xfId="0" applyFont="1" applyBorder="1" applyAlignment="1">
      <alignment horizontal="center" vertical="center" wrapText="1"/>
    </xf>
    <xf numFmtId="0" fontId="64" fillId="0" borderId="0" xfId="0" applyFont="1" applyAlignment="1">
      <alignment horizontal="left" vertical="center" wrapText="1"/>
    </xf>
    <xf numFmtId="0" fontId="114" fillId="66" borderId="145" xfId="3" applyFill="1" applyBorder="1" applyAlignment="1">
      <alignment horizontal="center" vertical="center" wrapText="1"/>
    </xf>
    <xf numFmtId="0" fontId="0" fillId="0" borderId="214" xfId="0" applyBorder="1" applyAlignment="1"/>
    <xf numFmtId="0" fontId="83" fillId="33" borderId="68" xfId="0" applyFont="1" applyFill="1" applyBorder="1" applyAlignment="1">
      <alignment horizontal="center" vertical="center" wrapText="1"/>
    </xf>
    <xf numFmtId="0" fontId="32" fillId="0" borderId="70" xfId="0" applyFont="1" applyBorder="1" applyAlignment="1">
      <alignment horizontal="center" vertical="center" wrapText="1"/>
    </xf>
    <xf numFmtId="0" fontId="136" fillId="0" borderId="0" xfId="0" applyFont="1" applyAlignment="1">
      <alignment horizontal="left" vertical="center"/>
    </xf>
    <xf numFmtId="0" fontId="133" fillId="0" borderId="15" xfId="0" applyFont="1" applyBorder="1" applyAlignment="1">
      <alignment horizontal="left" vertical="center"/>
    </xf>
    <xf numFmtId="0" fontId="132" fillId="0" borderId="11" xfId="0" applyFont="1" applyBorder="1" applyAlignment="1">
      <alignment horizontal="center" vertical="center" wrapText="1"/>
    </xf>
    <xf numFmtId="49" fontId="90" fillId="0" borderId="0" xfId="0" applyNumberFormat="1" applyFont="1" applyAlignment="1">
      <alignment horizontal="center" vertical="center" wrapText="1"/>
    </xf>
    <xf numFmtId="0" fontId="133" fillId="0" borderId="14" xfId="0" applyFont="1" applyBorder="1" applyAlignment="1">
      <alignment horizontal="left" vertical="center"/>
    </xf>
    <xf numFmtId="0" fontId="82" fillId="9" borderId="136" xfId="0" applyFont="1" applyFill="1" applyBorder="1" applyAlignment="1">
      <alignment horizontal="center" vertical="center" wrapText="1"/>
    </xf>
    <xf numFmtId="0" fontId="112" fillId="0" borderId="0" xfId="0" applyFont="1" applyAlignment="1">
      <alignment horizontal="left" vertical="center" wrapText="1"/>
    </xf>
    <xf numFmtId="0" fontId="82" fillId="9" borderId="174" xfId="0" applyFont="1" applyFill="1" applyBorder="1" applyAlignment="1">
      <alignment horizontal="center" vertical="center" wrapText="1"/>
    </xf>
    <xf numFmtId="0" fontId="50" fillId="66" borderId="68" xfId="3" applyFont="1" applyFill="1" applyBorder="1" applyAlignment="1">
      <alignment horizontal="center" vertical="center" wrapText="1"/>
    </xf>
    <xf numFmtId="49" fontId="133" fillId="0" borderId="14" xfId="0" applyNumberFormat="1" applyFont="1" applyBorder="1" applyAlignment="1">
      <alignment horizontal="left" vertical="center"/>
    </xf>
    <xf numFmtId="0" fontId="131" fillId="2" borderId="14" xfId="0" applyFont="1" applyFill="1" applyBorder="1" applyAlignment="1">
      <alignment horizontal="center" vertical="center" wrapText="1"/>
    </xf>
    <xf numFmtId="49" fontId="133" fillId="67" borderId="15" xfId="0" applyNumberFormat="1" applyFont="1" applyFill="1" applyBorder="1" applyAlignment="1">
      <alignment horizontal="left" vertical="center"/>
    </xf>
    <xf numFmtId="0" fontId="90" fillId="8" borderId="15" xfId="0" applyFont="1" applyFill="1" applyBorder="1" applyAlignment="1">
      <alignment horizontal="left" vertical="center" wrapText="1"/>
    </xf>
    <xf numFmtId="0" fontId="129" fillId="0" borderId="0" xfId="0" applyFont="1" applyAlignment="1">
      <alignment horizontal="center" vertical="center"/>
    </xf>
    <xf numFmtId="0" fontId="0" fillId="0" borderId="0" xfId="0" applyAlignment="1"/>
    <xf numFmtId="0" fontId="130" fillId="0" borderId="0" xfId="0" applyFont="1" applyAlignment="1">
      <alignment horizontal="center" vertical="center"/>
    </xf>
    <xf numFmtId="0" fontId="9" fillId="79" borderId="216" xfId="0" applyFont="1" applyFill="1" applyBorder="1" applyAlignment="1">
      <alignment horizontal="center" vertical="center"/>
    </xf>
    <xf numFmtId="0" fontId="0" fillId="0" borderId="199" xfId="0" applyBorder="1" applyAlignment="1"/>
    <xf numFmtId="0" fontId="0" fillId="0" borderId="200" xfId="0" applyBorder="1" applyAlignment="1"/>
    <xf numFmtId="0" fontId="9" fillId="79" borderId="215" xfId="0" applyFont="1" applyFill="1" applyBorder="1" applyAlignment="1">
      <alignment horizontal="center" vertical="center" wrapText="1"/>
    </xf>
    <xf numFmtId="0" fontId="0" fillId="0" borderId="163" xfId="0" applyBorder="1" applyAlignment="1"/>
    <xf numFmtId="0" fontId="0" fillId="0" borderId="167" xfId="0" applyBorder="1" applyAlignment="1"/>
    <xf numFmtId="0" fontId="0" fillId="0" borderId="164" xfId="0" applyBorder="1" applyAlignment="1"/>
    <xf numFmtId="0" fontId="15" fillId="4" borderId="8" xfId="0" applyFont="1" applyFill="1" applyBorder="1" applyAlignment="1">
      <alignment horizontal="left" vertical="center"/>
    </xf>
    <xf numFmtId="49" fontId="90" fillId="0" borderId="11" xfId="6" applyNumberFormat="1" applyFont="1" applyBorder="1" applyAlignment="1">
      <alignment horizontal="left" vertical="center" wrapText="1"/>
    </xf>
    <xf numFmtId="0" fontId="15" fillId="0" borderId="8" xfId="0" applyFont="1" applyBorder="1" applyAlignment="1">
      <alignment horizontal="left" vertical="center"/>
    </xf>
    <xf numFmtId="0" fontId="15" fillId="0" borderId="0" xfId="0" applyFont="1" applyAlignment="1">
      <alignment horizontal="left" vertical="center" wrapText="1"/>
    </xf>
    <xf numFmtId="0" fontId="15" fillId="0" borderId="13" xfId="0" applyFont="1" applyBorder="1" applyAlignment="1">
      <alignment horizontal="left" vertical="center"/>
    </xf>
    <xf numFmtId="0" fontId="12" fillId="7" borderId="40" xfId="0" applyFont="1" applyFill="1" applyBorder="1" applyAlignment="1">
      <alignment horizontal="left" vertical="center"/>
    </xf>
    <xf numFmtId="0" fontId="15" fillId="0" borderId="68" xfId="0" applyFont="1" applyBorder="1" applyAlignment="1">
      <alignment horizontal="left" vertical="center" wrapText="1"/>
    </xf>
    <xf numFmtId="0" fontId="0" fillId="0" borderId="69" xfId="0" applyBorder="1" applyAlignment="1"/>
    <xf numFmtId="0" fontId="51" fillId="56" borderId="148" xfId="0" applyFont="1" applyFill="1" applyBorder="1" applyAlignment="1">
      <alignment horizontal="left" vertical="center"/>
    </xf>
    <xf numFmtId="0" fontId="15" fillId="0" borderId="11" xfId="0" applyFont="1" applyBorder="1" applyAlignment="1">
      <alignment horizontal="left" vertical="center"/>
    </xf>
    <xf numFmtId="0" fontId="15" fillId="8" borderId="10" xfId="0" applyFont="1" applyFill="1" applyBorder="1" applyAlignment="1">
      <alignment horizontal="left" vertical="center"/>
    </xf>
    <xf numFmtId="0" fontId="15" fillId="7" borderId="7" xfId="0" applyFont="1" applyFill="1" applyBorder="1" applyAlignment="1">
      <alignment horizontal="left" vertical="center"/>
    </xf>
    <xf numFmtId="0" fontId="6" fillId="57" borderId="217" xfId="0" applyFont="1" applyFill="1" applyBorder="1" applyAlignment="1">
      <alignment horizontal="left" vertical="center"/>
    </xf>
    <xf numFmtId="0" fontId="51" fillId="56" borderId="137" xfId="0" applyFont="1" applyFill="1" applyBorder="1" applyAlignment="1">
      <alignment horizontal="left" vertical="center"/>
    </xf>
    <xf numFmtId="0" fontId="15" fillId="7" borderId="68" xfId="0" applyFont="1" applyFill="1" applyBorder="1" applyAlignment="1">
      <alignment horizontal="left" vertical="center"/>
    </xf>
    <xf numFmtId="0" fontId="114" fillId="0" borderId="0" xfId="3" applyFill="1" applyAlignment="1">
      <alignment horizontal="left" vertical="center" wrapText="1"/>
    </xf>
    <xf numFmtId="0" fontId="15" fillId="7" borderId="157" xfId="0" applyFont="1" applyFill="1" applyBorder="1" applyAlignment="1">
      <alignment horizontal="left" vertical="center"/>
    </xf>
    <xf numFmtId="0" fontId="0" fillId="0" borderId="159" xfId="0" applyBorder="1" applyAlignment="1"/>
    <xf numFmtId="0" fontId="15" fillId="7" borderId="40" xfId="0" applyFont="1" applyFill="1" applyBorder="1" applyAlignment="1">
      <alignment horizontal="left" vertical="center"/>
    </xf>
    <xf numFmtId="0" fontId="15" fillId="0" borderId="139" xfId="0" applyFont="1" applyBorder="1" applyAlignment="1">
      <alignment horizontal="left" vertical="center" wrapText="1"/>
    </xf>
    <xf numFmtId="193" fontId="23" fillId="0" borderId="144" xfId="0" applyNumberFormat="1" applyFont="1" applyBorder="1" applyAlignment="1">
      <alignment horizontal="left" vertical="center"/>
    </xf>
    <xf numFmtId="0" fontId="15" fillId="0" borderId="142" xfId="0" applyFont="1" applyBorder="1" applyAlignment="1">
      <alignment horizontal="left" vertical="center"/>
    </xf>
    <xf numFmtId="0" fontId="111" fillId="0" borderId="174" xfId="0" applyFont="1" applyBorder="1" applyAlignment="1">
      <alignment horizontal="left" vertical="center" wrapText="1"/>
    </xf>
    <xf numFmtId="0" fontId="15" fillId="0" borderId="7" xfId="0" applyFont="1" applyBorder="1" applyAlignment="1">
      <alignment horizontal="left" vertical="center" wrapText="1"/>
    </xf>
    <xf numFmtId="0" fontId="15" fillId="39" borderId="168" xfId="0" applyFont="1" applyFill="1" applyBorder="1" applyAlignment="1">
      <alignment horizontal="left" vertical="center"/>
    </xf>
    <xf numFmtId="0" fontId="0" fillId="0" borderId="170" xfId="0" applyBorder="1" applyAlignment="1"/>
    <xf numFmtId="49" fontId="116" fillId="59" borderId="8" xfId="6" applyNumberFormat="1" applyFont="1" applyFill="1" applyBorder="1" applyAlignment="1">
      <alignment horizontal="left" vertical="top" wrapText="1"/>
    </xf>
    <xf numFmtId="0" fontId="71" fillId="37" borderId="0" xfId="6" applyFont="1" applyFill="1" applyAlignment="1">
      <alignment horizontal="left" vertical="center"/>
    </xf>
    <xf numFmtId="0" fontId="15" fillId="0" borderId="7" xfId="0" applyFont="1" applyBorder="1" applyAlignment="1">
      <alignment horizontal="left" vertical="center"/>
    </xf>
    <xf numFmtId="0" fontId="83" fillId="0" borderId="13" xfId="0" applyFont="1" applyBorder="1" applyAlignment="1">
      <alignment horizontal="left" vertical="center" wrapText="1"/>
    </xf>
    <xf numFmtId="0" fontId="15" fillId="57" borderId="68" xfId="0" applyFont="1" applyFill="1" applyBorder="1" applyAlignment="1">
      <alignment horizontal="left" vertical="center"/>
    </xf>
    <xf numFmtId="0" fontId="15" fillId="0" borderId="68" xfId="0" applyFont="1" applyBorder="1" applyAlignment="1">
      <alignment horizontal="left" vertical="center"/>
    </xf>
    <xf numFmtId="0" fontId="110" fillId="56" borderId="135" xfId="0" applyFont="1" applyFill="1" applyBorder="1" applyAlignment="1">
      <alignment horizontal="left" vertical="center"/>
    </xf>
    <xf numFmtId="0" fontId="15" fillId="39" borderId="75" xfId="0" applyFont="1" applyFill="1" applyBorder="1" applyAlignment="1">
      <alignment horizontal="left" vertical="center"/>
    </xf>
    <xf numFmtId="49" fontId="90" fillId="0" borderId="13" xfId="6" applyNumberFormat="1" applyFont="1" applyBorder="1" applyAlignment="1">
      <alignment horizontal="left" vertical="center" wrapText="1"/>
    </xf>
    <xf numFmtId="0" fontId="15" fillId="39" borderId="10" xfId="0" applyFont="1" applyFill="1" applyBorder="1" applyAlignment="1">
      <alignment horizontal="left" vertical="center"/>
    </xf>
    <xf numFmtId="0" fontId="15" fillId="39" borderId="136" xfId="0" applyFont="1" applyFill="1" applyBorder="1" applyAlignment="1">
      <alignment horizontal="left" vertical="center"/>
    </xf>
    <xf numFmtId="0" fontId="15" fillId="8" borderId="169" xfId="0" applyFont="1" applyFill="1" applyBorder="1" applyAlignment="1">
      <alignment horizontal="left" vertical="center"/>
    </xf>
    <xf numFmtId="0" fontId="0" fillId="0" borderId="171" xfId="0" applyBorder="1" applyAlignment="1"/>
    <xf numFmtId="0" fontId="15" fillId="8" borderId="75" xfId="0" applyFont="1" applyFill="1" applyBorder="1" applyAlignment="1">
      <alignment horizontal="left" vertical="center"/>
    </xf>
    <xf numFmtId="0" fontId="83" fillId="0" borderId="11" xfId="0" applyFont="1" applyBorder="1" applyAlignment="1">
      <alignment horizontal="left" vertical="center" wrapText="1"/>
    </xf>
    <xf numFmtId="0" fontId="51" fillId="6" borderId="68" xfId="0" applyFont="1" applyFill="1" applyBorder="1" applyAlignment="1">
      <alignment horizontal="left" vertical="center"/>
    </xf>
    <xf numFmtId="0" fontId="15" fillId="58" borderId="68" xfId="0" applyFont="1" applyFill="1" applyBorder="1" applyAlignment="1">
      <alignment horizontal="left" vertical="center"/>
    </xf>
    <xf numFmtId="0" fontId="6" fillId="57" borderId="8" xfId="0" applyFont="1" applyFill="1" applyBorder="1" applyAlignment="1">
      <alignment horizontal="left" vertical="center"/>
    </xf>
    <xf numFmtId="0" fontId="15" fillId="0" borderId="142" xfId="0" applyFont="1" applyBorder="1" applyAlignment="1">
      <alignment horizontal="left" vertical="center" wrapText="1"/>
    </xf>
    <xf numFmtId="0" fontId="6" fillId="6" borderId="139" xfId="0" applyFont="1" applyFill="1" applyBorder="1" applyAlignment="1">
      <alignment horizontal="left" vertical="center"/>
    </xf>
    <xf numFmtId="0" fontId="15" fillId="8" borderId="172" xfId="0" applyFont="1" applyFill="1" applyBorder="1" applyAlignment="1">
      <alignment horizontal="left" vertical="center"/>
    </xf>
    <xf numFmtId="0" fontId="0" fillId="0" borderId="173" xfId="0" applyBorder="1" applyAlignment="1"/>
    <xf numFmtId="0" fontId="6" fillId="6" borderId="68" xfId="0" applyFont="1" applyFill="1" applyBorder="1" applyAlignment="1">
      <alignment horizontal="left" vertical="center"/>
    </xf>
    <xf numFmtId="0" fontId="14" fillId="0" borderId="42" xfId="0" applyFont="1" applyBorder="1" applyAlignment="1">
      <alignment horizontal="center" vertical="center" wrapText="1"/>
    </xf>
    <xf numFmtId="0" fontId="0" fillId="0" borderId="32" xfId="0" applyBorder="1" applyAlignment="1"/>
    <xf numFmtId="0" fontId="1" fillId="0" borderId="0" xfId="0" applyFont="1" applyAlignment="1">
      <alignment horizontal="center" vertical="center"/>
    </xf>
    <xf numFmtId="0" fontId="0" fillId="0" borderId="36" xfId="0" applyBorder="1" applyAlignment="1"/>
    <xf numFmtId="0" fontId="24" fillId="8" borderId="68" xfId="0" applyFont="1" applyFill="1" applyBorder="1" applyAlignment="1">
      <alignment horizontal="center" vertical="center"/>
    </xf>
    <xf numFmtId="49" fontId="1" fillId="0" borderId="11" xfId="0" applyNumberFormat="1" applyFont="1" applyBorder="1" applyAlignment="1">
      <alignment horizontal="left" vertical="center" wrapText="1"/>
    </xf>
    <xf numFmtId="0" fontId="20" fillId="0" borderId="70" xfId="0" applyFont="1" applyBorder="1" applyAlignment="1">
      <alignment horizontal="center" vertical="center" wrapText="1"/>
    </xf>
    <xf numFmtId="0" fontId="14" fillId="0" borderId="36" xfId="0" applyFont="1" applyBorder="1" applyAlignment="1">
      <alignment horizontal="center" vertical="center" wrapText="1"/>
    </xf>
    <xf numFmtId="0" fontId="14" fillId="0" borderId="1" xfId="0" applyFont="1" applyBorder="1" applyAlignment="1">
      <alignment horizontal="center" vertical="center" wrapText="1"/>
    </xf>
    <xf numFmtId="0" fontId="76" fillId="0" borderId="69" xfId="0" applyFont="1" applyBorder="1" applyAlignment="1">
      <alignment horizontal="center" vertical="center" wrapText="1"/>
    </xf>
    <xf numFmtId="49" fontId="1" fillId="0" borderId="10" xfId="0" applyNumberFormat="1" applyFont="1" applyBorder="1" applyAlignment="1">
      <alignment horizontal="left" vertical="center" wrapText="1"/>
    </xf>
    <xf numFmtId="0" fontId="20" fillId="0" borderId="16" xfId="0" applyFont="1" applyBorder="1" applyAlignment="1">
      <alignment horizontal="center" vertical="center" wrapText="1"/>
    </xf>
    <xf numFmtId="0" fontId="0" fillId="0" borderId="44" xfId="0" applyBorder="1" applyAlignment="1"/>
    <xf numFmtId="0" fontId="14" fillId="0" borderId="70" xfId="0" applyFont="1" applyBorder="1" applyAlignment="1">
      <alignment horizontal="center" vertical="center" wrapText="1"/>
    </xf>
    <xf numFmtId="49" fontId="1" fillId="0" borderId="69" xfId="0" applyNumberFormat="1" applyFont="1" applyBorder="1" applyAlignment="1">
      <alignment horizontal="left" vertical="center" wrapText="1"/>
    </xf>
    <xf numFmtId="0" fontId="14" fillId="0" borderId="13" xfId="0" applyFont="1" applyBorder="1" applyAlignment="1">
      <alignment horizontal="center" vertical="center" wrapText="1"/>
    </xf>
    <xf numFmtId="0" fontId="6" fillId="57" borderId="68" xfId="0" applyFont="1" applyFill="1" applyBorder="1" applyAlignment="1">
      <alignment horizontal="center" vertical="center"/>
    </xf>
    <xf numFmtId="0" fontId="14" fillId="0" borderId="69" xfId="0" applyFont="1" applyBorder="1" applyAlignment="1">
      <alignment horizontal="center" vertical="center" wrapText="1"/>
    </xf>
    <xf numFmtId="0" fontId="3" fillId="39" borderId="90" xfId="0" applyFont="1" applyFill="1" applyBorder="1" applyAlignment="1">
      <alignment horizontal="center" vertical="center"/>
    </xf>
    <xf numFmtId="0" fontId="3" fillId="39" borderId="82" xfId="0" applyFont="1" applyFill="1" applyBorder="1" applyAlignment="1">
      <alignment horizontal="center" vertical="center"/>
    </xf>
    <xf numFmtId="179" fontId="32" fillId="0" borderId="90" xfId="0" applyNumberFormat="1" applyFont="1" applyBorder="1" applyAlignment="1">
      <alignment horizontal="left" vertical="center" wrapText="1"/>
    </xf>
    <xf numFmtId="0" fontId="107" fillId="8" borderId="69" xfId="0" applyFont="1" applyFill="1" applyBorder="1" applyAlignment="1">
      <alignment horizontal="center" vertical="center" wrapText="1"/>
    </xf>
    <xf numFmtId="0" fontId="3" fillId="0" borderId="27" xfId="0" applyFont="1" applyBorder="1" applyAlignment="1">
      <alignment horizontal="center" vertical="top" wrapText="1"/>
    </xf>
    <xf numFmtId="0" fontId="0" fillId="0" borderId="27" xfId="0" applyBorder="1" applyAlignment="1"/>
    <xf numFmtId="0" fontId="0" fillId="0" borderId="28" xfId="0" applyBorder="1" applyAlignment="1"/>
    <xf numFmtId="0" fontId="20" fillId="0" borderId="11" xfId="0" applyFont="1" applyBorder="1" applyAlignment="1">
      <alignment horizontal="center" vertical="center" wrapText="1"/>
    </xf>
    <xf numFmtId="0" fontId="20" fillId="0" borderId="221" xfId="0" applyFont="1" applyBorder="1" applyAlignment="1">
      <alignment horizontal="center" vertical="center" wrapText="1"/>
    </xf>
    <xf numFmtId="0" fontId="0" fillId="0" borderId="17" xfId="0" applyBorder="1" applyAlignment="1"/>
    <xf numFmtId="0" fontId="0" fillId="0" borderId="46" xfId="0" applyBorder="1" applyAlignment="1"/>
    <xf numFmtId="179" fontId="2" fillId="0" borderId="73" xfId="0" applyNumberFormat="1" applyFont="1" applyBorder="1" applyAlignment="1">
      <alignment horizontal="center" vertical="center" wrapText="1"/>
    </xf>
    <xf numFmtId="0" fontId="96" fillId="57" borderId="134" xfId="0" applyFont="1" applyFill="1" applyBorder="1" applyAlignment="1">
      <alignment horizontal="center" vertical="center"/>
    </xf>
    <xf numFmtId="0" fontId="11" fillId="0" borderId="0" xfId="0" applyFont="1" applyAlignment="1">
      <alignment horizontal="left" vertical="center" wrapText="1"/>
    </xf>
    <xf numFmtId="179" fontId="103" fillId="0" borderId="90" xfId="0" applyNumberFormat="1" applyFont="1" applyBorder="1" applyAlignment="1">
      <alignment horizontal="center" vertical="center" wrapText="1"/>
    </xf>
    <xf numFmtId="0" fontId="20" fillId="0" borderId="220" xfId="0" applyFont="1" applyBorder="1" applyAlignment="1">
      <alignment horizontal="center" vertical="center" wrapText="1"/>
    </xf>
    <xf numFmtId="0" fontId="0" fillId="0" borderId="45" xfId="0" applyBorder="1" applyAlignment="1"/>
    <xf numFmtId="179" fontId="82" fillId="0" borderId="204" xfId="0" applyNumberFormat="1" applyFont="1" applyBorder="1" applyAlignment="1">
      <alignment horizontal="left" vertical="top" wrapText="1"/>
    </xf>
    <xf numFmtId="179" fontId="83" fillId="0" borderId="136" xfId="0" applyNumberFormat="1" applyFont="1" applyBorder="1" applyAlignment="1">
      <alignment horizontal="left" vertical="center" wrapText="1"/>
    </xf>
    <xf numFmtId="0" fontId="3" fillId="39" borderId="136" xfId="0" applyFont="1" applyFill="1" applyBorder="1" applyAlignment="1">
      <alignment horizontal="center" vertical="center"/>
    </xf>
    <xf numFmtId="0" fontId="1" fillId="0" borderId="11" xfId="0" applyFont="1" applyBorder="1" applyAlignment="1">
      <alignment horizontal="left" vertical="center" wrapText="1"/>
    </xf>
    <xf numFmtId="0" fontId="11" fillId="0" borderId="69" xfId="0" applyFont="1" applyBorder="1" applyAlignment="1">
      <alignment horizontal="left" vertical="center" wrapText="1"/>
    </xf>
    <xf numFmtId="49" fontId="102" fillId="0" borderId="90" xfId="0" applyNumberFormat="1" applyFont="1" applyBorder="1" applyAlignment="1">
      <alignment horizontal="center" vertical="center"/>
    </xf>
    <xf numFmtId="0" fontId="106" fillId="8" borderId="68" xfId="0" applyFont="1" applyFill="1" applyBorder="1" applyAlignment="1">
      <alignment horizontal="center" vertical="center"/>
    </xf>
    <xf numFmtId="0" fontId="24" fillId="8" borderId="222" xfId="0" applyFont="1" applyFill="1" applyBorder="1" applyAlignment="1">
      <alignment horizontal="center" vertical="center"/>
    </xf>
    <xf numFmtId="0" fontId="0" fillId="0" borderId="31" xfId="0" applyBorder="1" applyAlignment="1"/>
    <xf numFmtId="179" fontId="83" fillId="0" borderId="82" xfId="0" applyNumberFormat="1" applyFont="1" applyBorder="1" applyAlignment="1">
      <alignment horizontal="left" vertical="top" wrapText="1"/>
    </xf>
    <xf numFmtId="0" fontId="20" fillId="0" borderId="69" xfId="0" applyFont="1" applyBorder="1" applyAlignment="1">
      <alignment horizontal="center" vertical="center" wrapText="1"/>
    </xf>
    <xf numFmtId="0" fontId="3" fillId="0" borderId="223" xfId="0" applyFont="1" applyBorder="1" applyAlignment="1">
      <alignment horizontal="center" vertical="top" wrapText="1"/>
    </xf>
    <xf numFmtId="0" fontId="0" fillId="0" borderId="47" xfId="0" applyBorder="1" applyAlignment="1"/>
    <xf numFmtId="0" fontId="23" fillId="8" borderId="40" xfId="0" applyFont="1" applyFill="1" applyBorder="1" applyAlignment="1">
      <alignment horizontal="center" vertical="center"/>
    </xf>
    <xf numFmtId="0" fontId="108" fillId="0" borderId="69" xfId="0" applyFont="1" applyBorder="1" applyAlignment="1">
      <alignment horizontal="center" vertical="center"/>
    </xf>
    <xf numFmtId="0" fontId="3" fillId="0" borderId="218" xfId="0" applyFont="1" applyBorder="1" applyAlignment="1">
      <alignment horizontal="center" vertical="top" wrapText="1"/>
    </xf>
    <xf numFmtId="0" fontId="0" fillId="0" borderId="48" xfId="0" applyBorder="1" applyAlignment="1"/>
    <xf numFmtId="0" fontId="3" fillId="0" borderId="70" xfId="0" applyFont="1" applyBorder="1" applyAlignment="1">
      <alignment horizontal="center" vertical="center"/>
    </xf>
    <xf numFmtId="0" fontId="3" fillId="0" borderId="31" xfId="0" applyFont="1" applyBorder="1" applyAlignment="1">
      <alignment horizontal="center" vertical="top" wrapText="1"/>
    </xf>
    <xf numFmtId="0" fontId="1" fillId="39" borderId="11" xfId="0" applyFont="1" applyFill="1" applyBorder="1" applyAlignment="1">
      <alignment horizontal="center" vertical="center"/>
    </xf>
    <xf numFmtId="0" fontId="3" fillId="7" borderId="90" xfId="0" applyFont="1" applyFill="1" applyBorder="1" applyAlignment="1">
      <alignment horizontal="center" vertical="center"/>
    </xf>
    <xf numFmtId="49" fontId="1" fillId="0" borderId="11" xfId="0" applyNumberFormat="1" applyFont="1" applyBorder="1" applyAlignment="1">
      <alignment horizontal="left" vertical="top" wrapText="1"/>
    </xf>
    <xf numFmtId="179" fontId="83" fillId="0" borderId="90" xfId="0" applyNumberFormat="1" applyFont="1" applyBorder="1" applyAlignment="1">
      <alignment horizontal="left" vertical="top" wrapText="1"/>
    </xf>
    <xf numFmtId="179" fontId="82" fillId="0" borderId="90" xfId="0" applyNumberFormat="1" applyFont="1" applyBorder="1" applyAlignment="1">
      <alignment horizontal="left" vertical="center" wrapText="1"/>
    </xf>
    <xf numFmtId="0" fontId="52" fillId="0" borderId="69" xfId="0" applyFont="1" applyBorder="1" applyAlignment="1">
      <alignment horizontal="center" vertical="center"/>
    </xf>
    <xf numFmtId="0" fontId="3" fillId="0" borderId="219" xfId="0" applyFont="1" applyBorder="1" applyAlignment="1">
      <alignment horizontal="center" vertical="center" wrapText="1"/>
    </xf>
    <xf numFmtId="0" fontId="6" fillId="0" borderId="0" xfId="0" applyFont="1" applyAlignment="1">
      <alignment horizontal="center" vertical="center"/>
    </xf>
    <xf numFmtId="49" fontId="1" fillId="0" borderId="13" xfId="0" applyNumberFormat="1" applyFont="1" applyBorder="1" applyAlignment="1">
      <alignment horizontal="left" vertical="center" wrapText="1"/>
    </xf>
    <xf numFmtId="0" fontId="14" fillId="0" borderId="138" xfId="0" applyFont="1" applyBorder="1" applyAlignment="1">
      <alignment horizontal="center" vertical="center" wrapText="1"/>
    </xf>
    <xf numFmtId="0" fontId="0" fillId="0" borderId="43" xfId="0" applyBorder="1" applyAlignment="1"/>
    <xf numFmtId="0" fontId="91" fillId="8" borderId="11" xfId="0" applyFont="1" applyFill="1" applyBorder="1" applyAlignment="1">
      <alignment horizontal="center" vertical="center"/>
    </xf>
    <xf numFmtId="0" fontId="88" fillId="0" borderId="0" xfId="0" applyFont="1" applyAlignment="1">
      <alignment horizontal="center" vertical="center"/>
    </xf>
    <xf numFmtId="0" fontId="91" fillId="8" borderId="0" xfId="0" applyFont="1" applyFill="1" applyAlignment="1">
      <alignment horizontal="center" vertical="center"/>
    </xf>
    <xf numFmtId="0" fontId="88" fillId="0" borderId="3" xfId="0" applyFont="1" applyBorder="1" applyAlignment="1">
      <alignment horizontal="center" vertical="center" wrapText="1"/>
    </xf>
    <xf numFmtId="0" fontId="92" fillId="4" borderId="125" xfId="0" applyFont="1" applyFill="1" applyBorder="1" applyAlignment="1">
      <alignment horizontal="center" vertical="center"/>
    </xf>
    <xf numFmtId="0" fontId="0" fillId="0" borderId="125" xfId="0" applyBorder="1" applyAlignment="1"/>
    <xf numFmtId="0" fontId="2" fillId="8" borderId="207" xfId="0" applyFont="1" applyFill="1" applyBorder="1" applyAlignment="1">
      <alignment horizontal="center" vertical="center"/>
    </xf>
    <xf numFmtId="0" fontId="88" fillId="0" borderId="4" xfId="0" applyFont="1" applyBorder="1" applyAlignment="1">
      <alignment horizontal="center" vertical="center" wrapText="1"/>
    </xf>
    <xf numFmtId="0" fontId="91" fillId="8" borderId="11" xfId="0" applyFont="1" applyFill="1" applyBorder="1" applyAlignment="1">
      <alignment horizontal="center" vertical="center" wrapText="1"/>
    </xf>
    <xf numFmtId="0" fontId="91" fillId="0" borderId="0" xfId="0" applyFont="1" applyAlignment="1">
      <alignment horizontal="center" vertical="center"/>
    </xf>
    <xf numFmtId="0" fontId="88" fillId="49" borderId="0" xfId="0" applyFont="1" applyFill="1" applyAlignment="1">
      <alignment horizontal="center" vertical="center" wrapText="1"/>
    </xf>
    <xf numFmtId="0" fontId="88" fillId="47" borderId="0" xfId="0" applyFont="1" applyFill="1" applyAlignment="1">
      <alignment horizontal="center" vertical="center"/>
    </xf>
    <xf numFmtId="0" fontId="6" fillId="56" borderId="68" xfId="0" applyFont="1" applyFill="1" applyBorder="1" applyAlignment="1">
      <alignment horizontal="center" vertical="center"/>
    </xf>
    <xf numFmtId="0" fontId="88" fillId="0" borderId="1" xfId="0" applyFont="1" applyBorder="1" applyAlignment="1">
      <alignment horizontal="center" vertical="center" wrapText="1"/>
    </xf>
    <xf numFmtId="0" fontId="1" fillId="55" borderId="14" xfId="0" applyFont="1" applyFill="1" applyBorder="1" applyAlignment="1">
      <alignment horizontal="center" vertical="center"/>
    </xf>
    <xf numFmtId="0" fontId="90" fillId="7" borderId="76" xfId="0" applyFont="1" applyFill="1" applyBorder="1" applyAlignment="1">
      <alignment horizontal="center" vertical="center"/>
    </xf>
    <xf numFmtId="49" fontId="1" fillId="9" borderId="0" xfId="0" applyNumberFormat="1" applyFont="1" applyFill="1" applyAlignment="1">
      <alignment horizontal="center" vertical="center"/>
    </xf>
    <xf numFmtId="0" fontId="88" fillId="8" borderId="90" xfId="0" applyFont="1" applyFill="1" applyBorder="1" applyAlignment="1">
      <alignment horizontal="center" vertical="center"/>
    </xf>
    <xf numFmtId="0" fontId="90" fillId="7" borderId="87" xfId="0" applyFont="1" applyFill="1" applyBorder="1" applyAlignment="1">
      <alignment horizontal="center" vertical="center"/>
    </xf>
    <xf numFmtId="0" fontId="90" fillId="7" borderId="0" xfId="0" applyFont="1" applyFill="1" applyAlignment="1">
      <alignment horizontal="center" vertical="center"/>
    </xf>
    <xf numFmtId="0" fontId="91" fillId="0" borderId="11" xfId="0" applyFont="1" applyBorder="1" applyAlignment="1">
      <alignment horizontal="center" vertical="center"/>
    </xf>
    <xf numFmtId="0" fontId="91" fillId="37" borderId="0" xfId="0" applyFont="1" applyFill="1" applyAlignment="1">
      <alignment horizontal="center" vertical="center" wrapText="1"/>
    </xf>
    <xf numFmtId="0" fontId="88" fillId="0" borderId="5" xfId="0" applyFont="1" applyBorder="1" applyAlignment="1">
      <alignment horizontal="center" vertical="center"/>
    </xf>
    <xf numFmtId="0" fontId="91" fillId="0" borderId="10" xfId="0" applyFont="1" applyBorder="1" applyAlignment="1">
      <alignment horizontal="center" vertical="center"/>
    </xf>
    <xf numFmtId="0" fontId="89" fillId="52" borderId="0" xfId="0" applyFont="1" applyFill="1" applyAlignment="1">
      <alignment horizontal="center" vertical="center" wrapText="1"/>
    </xf>
    <xf numFmtId="0" fontId="90" fillId="7" borderId="75" xfId="0" applyFont="1" applyFill="1" applyBorder="1" applyAlignment="1">
      <alignment horizontal="center" vertical="center" wrapText="1"/>
    </xf>
    <xf numFmtId="0" fontId="2" fillId="8" borderId="68" xfId="0" applyFont="1" applyFill="1" applyBorder="1" applyAlignment="1">
      <alignment horizontal="center" vertical="center"/>
    </xf>
    <xf numFmtId="0" fontId="3" fillId="0" borderId="224" xfId="0" applyFont="1" applyBorder="1" applyAlignment="1">
      <alignment horizontal="center" vertical="center" wrapText="1"/>
    </xf>
    <xf numFmtId="0" fontId="91" fillId="0" borderId="11" xfId="0" applyFont="1" applyBorder="1" applyAlignment="1">
      <alignment horizontal="center" vertical="center" wrapText="1"/>
    </xf>
    <xf numFmtId="0" fontId="1" fillId="0" borderId="225" xfId="0" applyFont="1" applyBorder="1" applyAlignment="1">
      <alignment horizontal="center" vertical="center"/>
    </xf>
    <xf numFmtId="0" fontId="88" fillId="8" borderId="15" xfId="0" applyFont="1" applyFill="1" applyBorder="1" applyAlignment="1">
      <alignment horizontal="center" vertical="center"/>
    </xf>
    <xf numFmtId="0" fontId="88" fillId="48" borderId="0" xfId="0" applyFont="1" applyFill="1" applyAlignment="1">
      <alignment horizontal="center" vertical="center"/>
    </xf>
    <xf numFmtId="0" fontId="21" fillId="0" borderId="224" xfId="0" applyFont="1" applyBorder="1" applyAlignment="1">
      <alignment horizontal="center" vertical="center"/>
    </xf>
    <xf numFmtId="49" fontId="1" fillId="9" borderId="15" xfId="0" applyNumberFormat="1" applyFont="1" applyFill="1" applyBorder="1" applyAlignment="1">
      <alignment horizontal="center" vertical="center"/>
    </xf>
    <xf numFmtId="0" fontId="88" fillId="0" borderId="0" xfId="0" applyFont="1" applyAlignment="1">
      <alignment horizontal="center" vertical="center" wrapText="1"/>
    </xf>
    <xf numFmtId="0" fontId="91" fillId="0" borderId="15" xfId="0" applyFont="1" applyBorder="1" applyAlignment="1">
      <alignment horizontal="center" vertical="center"/>
    </xf>
    <xf numFmtId="0" fontId="92" fillId="0" borderId="0" xfId="0" applyFont="1" applyAlignment="1">
      <alignment horizontal="center" vertical="center"/>
    </xf>
    <xf numFmtId="0" fontId="88" fillId="50" borderId="0" xfId="0" applyFont="1" applyFill="1" applyAlignment="1">
      <alignment horizontal="center" vertical="center" wrapText="1"/>
    </xf>
    <xf numFmtId="0" fontId="22" fillId="0" borderId="11" xfId="0" applyFont="1" applyBorder="1" applyAlignment="1">
      <alignment horizontal="center" vertical="center"/>
    </xf>
    <xf numFmtId="0" fontId="91" fillId="8" borderId="10" xfId="0" applyFont="1" applyFill="1" applyBorder="1" applyAlignment="1">
      <alignment horizontal="center" vertical="center"/>
    </xf>
    <xf numFmtId="0" fontId="88" fillId="3" borderId="0" xfId="0" applyFont="1" applyFill="1" applyAlignment="1">
      <alignment horizontal="center" vertical="center" wrapText="1"/>
    </xf>
    <xf numFmtId="0" fontId="3" fillId="0" borderId="226" xfId="0" applyFont="1" applyBorder="1" applyAlignment="1">
      <alignment horizontal="center" vertical="center"/>
    </xf>
    <xf numFmtId="0" fontId="0" fillId="0" borderId="55" xfId="0" applyBorder="1" applyAlignment="1"/>
    <xf numFmtId="0" fontId="88" fillId="54" borderId="0" xfId="0" applyFont="1" applyFill="1" applyAlignment="1">
      <alignment horizontal="center" vertical="center" wrapText="1"/>
    </xf>
    <xf numFmtId="0" fontId="88" fillId="54" borderId="0" xfId="0" applyFont="1" applyFill="1" applyAlignment="1">
      <alignment horizontal="center" vertical="center"/>
    </xf>
    <xf numFmtId="0" fontId="57" fillId="0" borderId="0" xfId="0" applyFont="1" applyAlignment="1">
      <alignment horizontal="center" vertical="center"/>
    </xf>
    <xf numFmtId="0" fontId="88" fillId="0" borderId="1" xfId="0" applyFont="1" applyBorder="1" applyAlignment="1">
      <alignment horizontal="center" vertical="center"/>
    </xf>
    <xf numFmtId="0" fontId="93" fillId="0" borderId="1" xfId="0" applyFont="1" applyBorder="1" applyAlignment="1">
      <alignment horizontal="center" vertical="center" wrapText="1"/>
    </xf>
    <xf numFmtId="0" fontId="0" fillId="0" borderId="56" xfId="0" applyBorder="1" applyAlignment="1"/>
    <xf numFmtId="0" fontId="0" fillId="0" borderId="4" xfId="0" applyBorder="1" applyAlignment="1"/>
    <xf numFmtId="0" fontId="6" fillId="55" borderId="140" xfId="0" applyFont="1" applyFill="1" applyBorder="1" applyAlignment="1">
      <alignment horizontal="center" vertical="center" wrapText="1"/>
    </xf>
    <xf numFmtId="0" fontId="1" fillId="0" borderId="185" xfId="0" applyFont="1" applyBorder="1" applyAlignment="1">
      <alignment horizontal="center" vertical="center" wrapText="1"/>
    </xf>
    <xf numFmtId="0" fontId="92" fillId="8" borderId="112" xfId="0" applyFont="1" applyFill="1" applyBorder="1" applyAlignment="1">
      <alignment horizontal="center" vertical="center"/>
    </xf>
    <xf numFmtId="0" fontId="0" fillId="0" borderId="113" xfId="0" applyBorder="1" applyAlignment="1"/>
    <xf numFmtId="0" fontId="97" fillId="0" borderId="10" xfId="0" applyFont="1" applyBorder="1" applyAlignment="1">
      <alignment horizontal="center" vertical="center"/>
    </xf>
    <xf numFmtId="0" fontId="95" fillId="0" borderId="0" xfId="0" applyFont="1" applyAlignment="1">
      <alignment horizontal="center" vertical="center" wrapText="1"/>
    </xf>
    <xf numFmtId="0" fontId="97" fillId="0" borderId="12" xfId="0" applyFont="1" applyBorder="1" applyAlignment="1">
      <alignment horizontal="center" vertical="center"/>
    </xf>
    <xf numFmtId="0" fontId="97" fillId="8" borderId="10" xfId="0" applyFont="1" applyFill="1" applyBorder="1" applyAlignment="1">
      <alignment horizontal="center" vertical="center"/>
    </xf>
    <xf numFmtId="0" fontId="99" fillId="4" borderId="130" xfId="0" applyFont="1" applyFill="1" applyBorder="1" applyAlignment="1">
      <alignment horizontal="center" vertical="center"/>
    </xf>
    <xf numFmtId="0" fontId="0" fillId="0" borderId="130" xfId="0" applyBorder="1" applyAlignment="1"/>
    <xf numFmtId="49" fontId="1" fillId="4" borderId="0" xfId="0" applyNumberFormat="1" applyFont="1" applyFill="1" applyAlignment="1">
      <alignment horizontal="center" vertical="center"/>
    </xf>
    <xf numFmtId="0" fontId="91" fillId="0" borderId="12" xfId="0" applyFont="1" applyBorder="1" applyAlignment="1">
      <alignment horizontal="center" vertical="center"/>
    </xf>
    <xf numFmtId="0" fontId="88" fillId="43" borderId="0" xfId="0" applyFont="1" applyFill="1" applyAlignment="1">
      <alignment horizontal="center" vertical="center"/>
    </xf>
    <xf numFmtId="0" fontId="15" fillId="0" borderId="87" xfId="0" applyFont="1" applyBorder="1" applyAlignment="1">
      <alignment horizontal="center" vertical="center" wrapText="1"/>
    </xf>
    <xf numFmtId="0" fontId="22" fillId="0" borderId="25" xfId="0" applyFont="1" applyBorder="1" applyAlignment="1">
      <alignment horizontal="center" vertical="center"/>
    </xf>
    <xf numFmtId="49" fontId="1" fillId="0" borderId="0" xfId="0" applyNumberFormat="1" applyFont="1" applyAlignment="1">
      <alignment horizontal="center" vertical="center"/>
    </xf>
    <xf numFmtId="0" fontId="88" fillId="8" borderId="0" xfId="0" applyFont="1" applyFill="1" applyAlignment="1">
      <alignment horizontal="center" vertical="center"/>
    </xf>
    <xf numFmtId="0" fontId="88" fillId="44" borderId="0" xfId="0" applyFont="1" applyFill="1" applyAlignment="1">
      <alignment horizontal="center" vertical="center" wrapText="1"/>
    </xf>
    <xf numFmtId="0" fontId="88" fillId="0" borderId="5" xfId="0" applyFont="1" applyBorder="1" applyAlignment="1">
      <alignment horizontal="center" vertical="center" wrapText="1"/>
    </xf>
    <xf numFmtId="0" fontId="88" fillId="51" borderId="0" xfId="0" applyFont="1" applyFill="1" applyAlignment="1">
      <alignment horizontal="center" vertical="center"/>
    </xf>
    <xf numFmtId="0" fontId="3" fillId="0" borderId="128" xfId="0" applyFont="1" applyBorder="1" applyAlignment="1">
      <alignment horizontal="center" vertical="center" wrapText="1"/>
    </xf>
    <xf numFmtId="0" fontId="3" fillId="0" borderId="75" xfId="0" applyFont="1" applyBorder="1" applyAlignment="1">
      <alignment horizontal="left" vertical="center" wrapText="1"/>
    </xf>
    <xf numFmtId="0" fontId="90" fillId="7" borderId="10" xfId="0" applyFont="1" applyFill="1" applyBorder="1" applyAlignment="1">
      <alignment horizontal="center" vertical="center" wrapText="1"/>
    </xf>
    <xf numFmtId="0" fontId="88" fillId="8" borderId="91" xfId="0" applyFont="1" applyFill="1" applyBorder="1" applyAlignment="1">
      <alignment horizontal="center" vertical="center"/>
    </xf>
    <xf numFmtId="0" fontId="88" fillId="0" borderId="3" xfId="0" applyFont="1" applyBorder="1" applyAlignment="1">
      <alignment horizontal="center" vertical="center"/>
    </xf>
    <xf numFmtId="0" fontId="92" fillId="8" borderId="119" xfId="0" applyFont="1" applyFill="1" applyBorder="1" applyAlignment="1">
      <alignment horizontal="center" vertical="center" wrapText="1"/>
    </xf>
    <xf numFmtId="0" fontId="0" fillId="0" borderId="119" xfId="0" applyBorder="1" applyAlignment="1"/>
    <xf numFmtId="0" fontId="88" fillId="37" borderId="0" xfId="0" applyFont="1" applyFill="1" applyAlignment="1">
      <alignment horizontal="center" vertical="center" wrapText="1"/>
    </xf>
    <xf numFmtId="0" fontId="100" fillId="0" borderId="70" xfId="0" applyFont="1" applyBorder="1" applyAlignment="1">
      <alignment horizontal="center" vertical="center" wrapText="1"/>
    </xf>
    <xf numFmtId="0" fontId="15" fillId="0" borderId="22" xfId="0" applyFont="1" applyBorder="1" applyAlignment="1">
      <alignment horizontal="center" vertical="center" wrapText="1"/>
    </xf>
    <xf numFmtId="0" fontId="88" fillId="45" borderId="0" xfId="0" applyFont="1" applyFill="1" applyAlignment="1">
      <alignment horizontal="center" vertical="center"/>
    </xf>
    <xf numFmtId="0" fontId="22" fillId="0" borderId="22" xfId="0" applyFont="1" applyBorder="1" applyAlignment="1">
      <alignment horizontal="center" vertical="center"/>
    </xf>
    <xf numFmtId="0" fontId="92" fillId="4" borderId="130" xfId="0" applyFont="1" applyFill="1" applyBorder="1" applyAlignment="1">
      <alignment horizontal="center" vertical="center" wrapText="1"/>
    </xf>
    <xf numFmtId="0" fontId="92" fillId="8" borderId="125" xfId="0" applyFont="1" applyFill="1" applyBorder="1" applyAlignment="1">
      <alignment horizontal="center" vertical="center"/>
    </xf>
    <xf numFmtId="0" fontId="1" fillId="0" borderId="75" xfId="0" applyFont="1" applyBorder="1" applyAlignment="1">
      <alignment horizontal="center" vertical="center" wrapText="1"/>
    </xf>
    <xf numFmtId="0" fontId="15" fillId="0" borderId="24" xfId="0" applyFont="1" applyBorder="1" applyAlignment="1">
      <alignment horizontal="center" vertical="center" wrapText="1"/>
    </xf>
    <xf numFmtId="0" fontId="1" fillId="0" borderId="87" xfId="0" applyFont="1" applyBorder="1" applyAlignment="1">
      <alignment horizontal="center" vertical="center" wrapText="1"/>
    </xf>
    <xf numFmtId="0" fontId="1" fillId="0" borderId="69" xfId="0" applyFont="1" applyBorder="1" applyAlignment="1">
      <alignment horizontal="center" vertical="center" wrapText="1"/>
    </xf>
    <xf numFmtId="0" fontId="1" fillId="0" borderId="23" xfId="0" applyFont="1" applyBorder="1" applyAlignment="1">
      <alignment horizontal="center" vertical="center" wrapText="1"/>
    </xf>
    <xf numFmtId="0" fontId="89" fillId="41" borderId="68" xfId="0" applyFont="1" applyFill="1" applyBorder="1" applyAlignment="1">
      <alignment horizontal="center" vertical="center"/>
    </xf>
    <xf numFmtId="0" fontId="91" fillId="44" borderId="0" xfId="0" applyFont="1" applyFill="1" applyAlignment="1">
      <alignment horizontal="center" vertical="center"/>
    </xf>
    <xf numFmtId="0" fontId="92" fillId="8" borderId="228" xfId="0" applyFont="1" applyFill="1" applyBorder="1" applyAlignment="1">
      <alignment horizontal="center" vertical="center"/>
    </xf>
    <xf numFmtId="0" fontId="0" fillId="0" borderId="126" xfId="0" applyBorder="1" applyAlignment="1"/>
    <xf numFmtId="0" fontId="0" fillId="0" borderId="127" xfId="0" applyBorder="1" applyAlignment="1"/>
    <xf numFmtId="0" fontId="0" fillId="0" borderId="131" xfId="0" applyBorder="1" applyAlignment="1"/>
    <xf numFmtId="0" fontId="88" fillId="51" borderId="0" xfId="0" applyFont="1" applyFill="1" applyAlignment="1">
      <alignment horizontal="center" vertical="center" wrapText="1"/>
    </xf>
    <xf numFmtId="0" fontId="88" fillId="8" borderId="12" xfId="0" applyFont="1" applyFill="1" applyBorder="1" applyAlignment="1">
      <alignment horizontal="center" vertical="center"/>
    </xf>
    <xf numFmtId="0" fontId="98" fillId="4" borderId="10" xfId="0" applyFont="1" applyFill="1" applyBorder="1" applyAlignment="1">
      <alignment horizontal="center" vertical="center"/>
    </xf>
    <xf numFmtId="0" fontId="88" fillId="42" borderId="0" xfId="0" applyFont="1" applyFill="1" applyAlignment="1">
      <alignment horizontal="center" vertical="center" wrapText="1"/>
    </xf>
    <xf numFmtId="0" fontId="88" fillId="8" borderId="114" xfId="0" applyFont="1" applyFill="1" applyBorder="1" applyAlignment="1">
      <alignment horizontal="center" vertical="center"/>
    </xf>
    <xf numFmtId="0" fontId="92" fillId="0" borderId="1" xfId="0" applyFont="1" applyBorder="1" applyAlignment="1">
      <alignment horizontal="center" vertical="center" wrapText="1"/>
    </xf>
    <xf numFmtId="0" fontId="88" fillId="0" borderId="91" xfId="0" applyFont="1" applyBorder="1" applyAlignment="1">
      <alignment horizontal="center" vertical="center"/>
    </xf>
    <xf numFmtId="0" fontId="92" fillId="8" borderId="130" xfId="0" applyFont="1" applyFill="1" applyBorder="1" applyAlignment="1">
      <alignment horizontal="center" vertical="center" wrapText="1"/>
    </xf>
    <xf numFmtId="0" fontId="88" fillId="0" borderId="23" xfId="0" applyFont="1" applyBorder="1" applyAlignment="1">
      <alignment horizontal="center" vertical="center"/>
    </xf>
    <xf numFmtId="0" fontId="88" fillId="46" borderId="0" xfId="0" applyFont="1" applyFill="1" applyAlignment="1">
      <alignment horizontal="center" vertical="center" wrapText="1"/>
    </xf>
    <xf numFmtId="0" fontId="88" fillId="49" borderId="0" xfId="0" applyFont="1" applyFill="1" applyAlignment="1">
      <alignment horizontal="center" vertical="center"/>
    </xf>
    <xf numFmtId="0" fontId="3" fillId="0" borderId="12" xfId="0" applyFont="1" applyBorder="1" applyAlignment="1">
      <alignment horizontal="left" vertical="center" wrapText="1"/>
    </xf>
    <xf numFmtId="0" fontId="88" fillId="0" borderId="114" xfId="0" applyFont="1" applyBorder="1" applyAlignment="1">
      <alignment horizontal="center" vertical="center"/>
    </xf>
    <xf numFmtId="0" fontId="90" fillId="7" borderId="11" xfId="0" applyFont="1" applyFill="1" applyBorder="1" applyAlignment="1">
      <alignment horizontal="center" vertical="center"/>
    </xf>
    <xf numFmtId="0" fontId="3" fillId="0" borderId="226" xfId="0" applyFont="1" applyBorder="1" applyAlignment="1">
      <alignment horizontal="center" vertical="center" wrapText="1"/>
    </xf>
    <xf numFmtId="0" fontId="3" fillId="0" borderId="227" xfId="0" applyFont="1" applyBorder="1" applyAlignment="1">
      <alignment horizontal="center" vertical="center" wrapText="1"/>
    </xf>
    <xf numFmtId="0" fontId="0" fillId="0" borderId="49" xfId="0" applyBorder="1" applyAlignment="1"/>
    <xf numFmtId="0" fontId="0" fillId="0" borderId="53" xfId="0" applyBorder="1" applyAlignment="1"/>
    <xf numFmtId="0" fontId="91" fillId="0" borderId="13" xfId="0" applyFont="1" applyBorder="1" applyAlignment="1">
      <alignment horizontal="center" vertical="center" wrapText="1"/>
    </xf>
    <xf numFmtId="0" fontId="88" fillId="53" borderId="0" xfId="0" applyFont="1" applyFill="1" applyAlignment="1">
      <alignment horizontal="center" vertical="center"/>
    </xf>
    <xf numFmtId="0" fontId="83" fillId="9" borderId="10" xfId="0" applyFont="1" applyFill="1" applyBorder="1" applyAlignment="1">
      <alignment horizontal="left" vertical="center"/>
    </xf>
    <xf numFmtId="0" fontId="28" fillId="0" borderId="0" xfId="0" applyFont="1">
      <alignment vertical="center"/>
    </xf>
    <xf numFmtId="0" fontId="83" fillId="0" borderId="10" xfId="0" applyFont="1" applyBorder="1" applyAlignment="1">
      <alignment horizontal="left" vertical="center"/>
    </xf>
    <xf numFmtId="0" fontId="13" fillId="0" borderId="0" xfId="0" applyFont="1" applyAlignment="1">
      <alignment horizontal="left" vertical="center" wrapText="1"/>
    </xf>
    <xf numFmtId="0" fontId="83" fillId="4" borderId="10" xfId="0" applyFont="1" applyFill="1" applyBorder="1" applyAlignment="1">
      <alignment horizontal="center" vertical="center"/>
    </xf>
    <xf numFmtId="0" fontId="15" fillId="8" borderId="0" xfId="0" applyFont="1" applyFill="1" applyAlignment="1">
      <alignment horizontal="center" vertical="center" wrapText="1"/>
    </xf>
    <xf numFmtId="0" fontId="83" fillId="9" borderId="10" xfId="0" applyFont="1" applyFill="1" applyBorder="1" applyAlignment="1">
      <alignment horizontal="left" vertical="center" wrapText="1"/>
    </xf>
    <xf numFmtId="0" fontId="32" fillId="0" borderId="10" xfId="0" applyFont="1" applyBorder="1" applyAlignment="1">
      <alignment horizontal="left" vertical="center"/>
    </xf>
    <xf numFmtId="0" fontId="32" fillId="9" borderId="10" xfId="0" applyFont="1" applyFill="1" applyBorder="1" applyAlignment="1">
      <alignment horizontal="left" vertical="center"/>
    </xf>
    <xf numFmtId="0" fontId="15" fillId="0" borderId="0" xfId="0" applyFont="1" applyAlignment="1">
      <alignment horizontal="center" vertical="center" wrapText="1"/>
    </xf>
    <xf numFmtId="0" fontId="82" fillId="7" borderId="69" xfId="0" applyFont="1" applyFill="1" applyBorder="1" applyAlignment="1">
      <alignment horizontal="center" vertical="center"/>
    </xf>
    <xf numFmtId="0" fontId="15" fillId="8" borderId="15" xfId="0" applyFont="1" applyFill="1" applyBorder="1" applyAlignment="1">
      <alignment horizontal="center" vertical="center"/>
    </xf>
    <xf numFmtId="0" fontId="15" fillId="0" borderId="69" xfId="0" applyFont="1" applyBorder="1" applyAlignment="1">
      <alignment horizontal="left" vertical="center" wrapText="1"/>
    </xf>
    <xf numFmtId="0" fontId="22" fillId="39" borderId="68" xfId="0" applyFont="1" applyFill="1" applyBorder="1" applyAlignment="1">
      <alignment horizontal="center" vertical="center"/>
    </xf>
    <xf numFmtId="0" fontId="15" fillId="39" borderId="68" xfId="0" applyFont="1" applyFill="1" applyBorder="1" applyAlignment="1">
      <alignment horizontal="center" vertical="center"/>
    </xf>
    <xf numFmtId="0" fontId="83" fillId="0" borderId="12" xfId="0" applyFont="1" applyBorder="1" applyAlignment="1">
      <alignment horizontal="left" vertical="center" wrapText="1"/>
    </xf>
    <xf numFmtId="0" fontId="83" fillId="7" borderId="68" xfId="0" applyFont="1" applyFill="1" applyBorder="1" applyAlignment="1">
      <alignment horizontal="center" vertical="center"/>
    </xf>
    <xf numFmtId="0" fontId="82" fillId="7" borderId="68" xfId="0" applyFont="1" applyFill="1" applyBorder="1" applyAlignment="1">
      <alignment horizontal="center" vertical="center"/>
    </xf>
    <xf numFmtId="0" fontId="83" fillId="9" borderId="12" xfId="0" applyFont="1" applyFill="1" applyBorder="1" applyAlignment="1">
      <alignment horizontal="left" vertical="center"/>
    </xf>
    <xf numFmtId="0" fontId="83" fillId="9" borderId="10" xfId="0" applyFont="1" applyFill="1" applyBorder="1">
      <alignment vertical="center"/>
    </xf>
    <xf numFmtId="0" fontId="83" fillId="0" borderId="12" xfId="0" applyFont="1" applyBorder="1" applyAlignment="1">
      <alignment horizontal="left" vertical="center"/>
    </xf>
    <xf numFmtId="0" fontId="32" fillId="9" borderId="10" xfId="0" applyFont="1" applyFill="1" applyBorder="1">
      <alignment vertical="center"/>
    </xf>
    <xf numFmtId="0" fontId="32" fillId="9" borderId="12" xfId="0" applyFont="1" applyFill="1" applyBorder="1" applyAlignment="1">
      <alignment horizontal="left" vertical="center"/>
    </xf>
    <xf numFmtId="0" fontId="41" fillId="9" borderId="10" xfId="0" applyFont="1" applyFill="1" applyBorder="1" applyAlignment="1">
      <alignment horizontal="left" vertical="center"/>
    </xf>
    <xf numFmtId="0" fontId="85" fillId="0" borderId="10" xfId="0" applyFont="1" applyBorder="1">
      <alignment vertical="center"/>
    </xf>
    <xf numFmtId="0" fontId="83" fillId="0" borderId="10" xfId="0" applyFont="1" applyBorder="1">
      <alignment vertical="center"/>
    </xf>
    <xf numFmtId="0" fontId="83" fillId="0" borderId="10" xfId="0" applyFont="1" applyBorder="1" applyAlignment="1">
      <alignment horizontal="left" vertical="top"/>
    </xf>
    <xf numFmtId="0" fontId="32" fillId="9" borderId="10" xfId="0" applyFont="1" applyFill="1" applyBorder="1" applyAlignment="1">
      <alignment horizontal="left" vertical="top"/>
    </xf>
    <xf numFmtId="0" fontId="85" fillId="9" borderId="10" xfId="0" applyFont="1" applyFill="1" applyBorder="1" applyAlignment="1">
      <alignment horizontal="left" vertical="center"/>
    </xf>
    <xf numFmtId="0" fontId="83" fillId="9" borderId="12" xfId="0" applyFont="1" applyFill="1" applyBorder="1">
      <alignment vertical="center"/>
    </xf>
    <xf numFmtId="0" fontId="85" fillId="0" borderId="10" xfId="0" applyFont="1" applyBorder="1" applyAlignment="1">
      <alignment horizontal="left" vertical="center"/>
    </xf>
    <xf numFmtId="0" fontId="1" fillId="0" borderId="0" xfId="0" applyFont="1" applyAlignment="1">
      <alignment horizontal="left" vertical="center" wrapText="1"/>
    </xf>
    <xf numFmtId="0" fontId="85" fillId="9" borderId="10" xfId="0" applyFont="1" applyFill="1" applyBorder="1">
      <alignment vertical="center"/>
    </xf>
    <xf numFmtId="0" fontId="83" fillId="0" borderId="70" xfId="0" applyFont="1" applyBorder="1" applyAlignment="1">
      <alignment horizontal="center" vertical="center" wrapText="1"/>
    </xf>
    <xf numFmtId="0" fontId="85" fillId="40" borderId="10" xfId="0" applyFont="1" applyFill="1" applyBorder="1">
      <alignment vertical="center"/>
    </xf>
    <xf numFmtId="0" fontId="15" fillId="39" borderId="0" xfId="0" applyFont="1" applyFill="1" applyAlignment="1">
      <alignment horizontal="center" vertical="center"/>
    </xf>
    <xf numFmtId="0" fontId="83" fillId="9" borderId="10" xfId="0" applyFont="1" applyFill="1" applyBorder="1" applyAlignment="1">
      <alignment horizontal="left" vertical="top"/>
    </xf>
    <xf numFmtId="0" fontId="83" fillId="0" borderId="13" xfId="0" applyFont="1" applyBorder="1" applyAlignment="1">
      <alignment horizontal="left" vertical="center"/>
    </xf>
    <xf numFmtId="0" fontId="83" fillId="9" borderId="10" xfId="0" applyFont="1" applyFill="1" applyBorder="1" applyAlignment="1">
      <alignment horizontal="left" vertical="top" wrapText="1"/>
    </xf>
    <xf numFmtId="0" fontId="15" fillId="39" borderId="69" xfId="0" applyFont="1" applyFill="1" applyBorder="1" applyAlignment="1">
      <alignment horizontal="center" vertical="center"/>
    </xf>
    <xf numFmtId="0" fontId="83" fillId="4" borderId="10" xfId="0" applyFont="1" applyFill="1" applyBorder="1" applyAlignment="1">
      <alignment horizontal="center" vertical="center" wrapText="1"/>
    </xf>
    <xf numFmtId="0" fontId="32" fillId="0" borderId="10" xfId="0" applyFont="1" applyBorder="1">
      <alignment vertical="center"/>
    </xf>
    <xf numFmtId="0" fontId="83" fillId="9" borderId="12" xfId="0" applyFont="1" applyFill="1" applyBorder="1" applyAlignment="1">
      <alignment horizontal="left" vertical="center" wrapText="1"/>
    </xf>
    <xf numFmtId="0" fontId="83" fillId="9" borderId="11" xfId="0" applyFont="1" applyFill="1" applyBorder="1" applyAlignment="1">
      <alignment horizontal="left" vertical="center"/>
    </xf>
    <xf numFmtId="0" fontId="83" fillId="0" borderId="10" xfId="0" applyFont="1" applyBorder="1" applyAlignment="1">
      <alignment horizontal="left" vertical="center" wrapText="1"/>
    </xf>
    <xf numFmtId="0" fontId="41" fillId="0" borderId="10" xfId="0" applyFont="1" applyBorder="1">
      <alignment vertical="center"/>
    </xf>
    <xf numFmtId="0" fontId="51" fillId="6" borderId="68" xfId="0" applyFont="1" applyFill="1" applyBorder="1" applyAlignment="1">
      <alignment horizontal="center" vertical="center"/>
    </xf>
    <xf numFmtId="0" fontId="32" fillId="0" borderId="11" xfId="0" applyFont="1" applyBorder="1" applyAlignment="1">
      <alignment horizontal="center" vertical="center"/>
    </xf>
    <xf numFmtId="0" fontId="41" fillId="0" borderId="10" xfId="0" applyFont="1" applyBorder="1" applyAlignment="1">
      <alignment horizontal="left" vertical="center"/>
    </xf>
    <xf numFmtId="0" fontId="41" fillId="0" borderId="10" xfId="0" applyFont="1" applyBorder="1" applyAlignment="1">
      <alignment horizontal="left" vertical="center" wrapText="1"/>
    </xf>
    <xf numFmtId="0" fontId="28" fillId="0" borderId="0" xfId="0" applyFont="1" applyAlignment="1">
      <alignment horizontal="center" vertical="center"/>
    </xf>
    <xf numFmtId="0" fontId="11" fillId="0" borderId="15" xfId="0" applyFont="1" applyBorder="1" applyAlignment="1">
      <alignment horizontal="center" vertical="center"/>
    </xf>
    <xf numFmtId="0" fontId="83" fillId="0" borderId="12" xfId="0" applyFont="1" applyBorder="1">
      <alignment vertical="center"/>
    </xf>
    <xf numFmtId="0" fontId="32" fillId="0" borderId="12" xfId="0" applyFont="1" applyBorder="1">
      <alignment vertical="center"/>
    </xf>
    <xf numFmtId="0" fontId="32" fillId="0" borderId="12" xfId="0" applyFont="1" applyBorder="1" applyAlignment="1">
      <alignment horizontal="left" vertical="center"/>
    </xf>
    <xf numFmtId="0" fontId="83" fillId="4" borderId="11" xfId="0" applyFont="1" applyFill="1" applyBorder="1" applyAlignment="1">
      <alignment horizontal="center" vertical="center"/>
    </xf>
    <xf numFmtId="0" fontId="83" fillId="0" borderId="11" xfId="0" applyFont="1" applyBorder="1" applyAlignment="1">
      <alignment horizontal="left" vertical="center"/>
    </xf>
    <xf numFmtId="0" fontId="83" fillId="0" borderId="11" xfId="0" applyFont="1" applyBorder="1" applyAlignment="1">
      <alignment horizontal="center" vertical="center"/>
    </xf>
    <xf numFmtId="0" fontId="32" fillId="9" borderId="10" xfId="0" applyFont="1" applyFill="1" applyBorder="1" applyAlignment="1">
      <alignment vertical="center" wrapText="1"/>
    </xf>
    <xf numFmtId="0" fontId="83" fillId="0" borderId="12" xfId="0" applyFont="1" applyBorder="1" applyAlignment="1">
      <alignment horizontal="left" vertical="top"/>
    </xf>
    <xf numFmtId="0" fontId="80" fillId="0" borderId="0" xfId="0" applyFont="1" applyAlignment="1">
      <alignment horizontal="left" vertical="center"/>
    </xf>
    <xf numFmtId="0" fontId="32" fillId="0" borderId="10" xfId="0" applyFont="1" applyBorder="1" applyAlignment="1">
      <alignment horizontal="left" vertical="top" wrapText="1"/>
    </xf>
    <xf numFmtId="0" fontId="83" fillId="0" borderId="0" xfId="0" applyFont="1">
      <alignment vertical="center"/>
    </xf>
    <xf numFmtId="0" fontId="41" fillId="9" borderId="10" xfId="0" applyFont="1" applyFill="1" applyBorder="1">
      <alignment vertical="center"/>
    </xf>
    <xf numFmtId="0" fontId="15" fillId="0" borderId="70" xfId="0" applyFont="1" applyBorder="1" applyAlignment="1">
      <alignment horizontal="left" vertical="center" wrapText="1"/>
    </xf>
    <xf numFmtId="0" fontId="32" fillId="40" borderId="10" xfId="0" applyFont="1" applyFill="1" applyBorder="1">
      <alignment vertical="center"/>
    </xf>
    <xf numFmtId="0" fontId="15" fillId="0" borderId="11" xfId="0" applyFont="1" applyBorder="1" applyAlignment="1">
      <alignment horizontal="left" vertical="center" wrapText="1"/>
    </xf>
    <xf numFmtId="0" fontId="83" fillId="40" borderId="10" xfId="0" applyFont="1" applyFill="1" applyBorder="1">
      <alignment vertical="center"/>
    </xf>
    <xf numFmtId="0" fontId="83" fillId="40" borderId="11" xfId="0" applyFont="1" applyFill="1" applyBorder="1" applyAlignment="1">
      <alignment horizontal="left" vertical="center"/>
    </xf>
    <xf numFmtId="0" fontId="78" fillId="0" borderId="0" xfId="6" applyFont="1" applyAlignment="1">
      <alignment horizontal="center" vertical="center"/>
    </xf>
    <xf numFmtId="0" fontId="27" fillId="0" borderId="0" xfId="6" applyAlignment="1">
      <alignment vertical="center"/>
    </xf>
    <xf numFmtId="0" fontId="60" fillId="8" borderId="68" xfId="6" applyFont="1" applyFill="1" applyBorder="1" applyAlignment="1">
      <alignment horizontal="center" vertical="center"/>
    </xf>
    <xf numFmtId="0" fontId="77" fillId="0" borderId="0" xfId="6" applyFont="1" applyAlignment="1">
      <alignment horizontal="right" vertical="center"/>
    </xf>
    <xf numFmtId="49" fontId="12" fillId="0" borderId="69" xfId="6" applyNumberFormat="1" applyFont="1" applyBorder="1" applyAlignment="1">
      <alignment horizontal="center" vertical="center" wrapText="1"/>
    </xf>
    <xf numFmtId="0" fontId="26" fillId="0" borderId="0" xfId="6" applyFont="1" applyAlignment="1">
      <alignment vertical="center"/>
    </xf>
    <xf numFmtId="0" fontId="9" fillId="0" borderId="235" xfId="6" applyFont="1" applyBorder="1" applyAlignment="1">
      <alignment horizontal="left" vertical="center" wrapText="1"/>
    </xf>
    <xf numFmtId="0" fontId="0" fillId="0" borderId="60" xfId="0" applyBorder="1" applyAlignment="1"/>
    <xf numFmtId="0" fontId="0" fillId="0" borderId="61" xfId="0" applyBorder="1" applyAlignment="1"/>
    <xf numFmtId="0" fontId="0" fillId="0" borderId="67" xfId="0" applyBorder="1" applyAlignment="1"/>
    <xf numFmtId="0" fontId="74" fillId="0" borderId="40" xfId="6" applyFont="1" applyBorder="1" applyAlignment="1">
      <alignment horizontal="center" vertical="center" wrapText="1"/>
    </xf>
    <xf numFmtId="0" fontId="12" fillId="0" borderId="0" xfId="6" applyFont="1" applyAlignment="1">
      <alignment horizontal="center" vertical="center"/>
    </xf>
    <xf numFmtId="0" fontId="9" fillId="0" borderId="70" xfId="6" applyFont="1" applyBorder="1" applyAlignment="1">
      <alignment horizontal="left" vertical="center" wrapText="1"/>
    </xf>
    <xf numFmtId="49" fontId="12" fillId="8" borderId="0" xfId="6" applyNumberFormat="1" applyFont="1" applyFill="1" applyAlignment="1">
      <alignment horizontal="center" vertical="center"/>
    </xf>
    <xf numFmtId="0" fontId="9" fillId="0" borderId="70" xfId="6" applyFont="1" applyBorder="1" applyAlignment="1">
      <alignment horizontal="center" vertical="center" wrapText="1"/>
    </xf>
    <xf numFmtId="0" fontId="12" fillId="34" borderId="0" xfId="6" applyFont="1" applyFill="1" applyAlignment="1">
      <alignment horizontal="center" vertical="center"/>
    </xf>
    <xf numFmtId="0" fontId="60" fillId="33" borderId="68" xfId="6" applyFont="1" applyFill="1" applyBorder="1" applyAlignment="1">
      <alignment horizontal="center" vertical="center"/>
    </xf>
    <xf numFmtId="0" fontId="14" fillId="34" borderId="10" xfId="6" applyFont="1" applyFill="1" applyBorder="1" applyAlignment="1">
      <alignment horizontal="center" vertical="center"/>
    </xf>
    <xf numFmtId="0" fontId="73" fillId="0" borderId="0" xfId="6" applyFont="1" applyAlignment="1">
      <alignment horizontal="center" vertical="center"/>
    </xf>
    <xf numFmtId="0" fontId="14" fillId="0" borderId="40" xfId="6" applyFont="1" applyBorder="1" applyAlignment="1">
      <alignment horizontal="left" vertical="center" wrapText="1"/>
    </xf>
    <xf numFmtId="49" fontId="12" fillId="8" borderId="12" xfId="6" applyNumberFormat="1" applyFont="1" applyFill="1" applyBorder="1" applyAlignment="1">
      <alignment horizontal="center" vertical="center"/>
    </xf>
    <xf numFmtId="49" fontId="12" fillId="0" borderId="69" xfId="6" applyNumberFormat="1" applyFont="1" applyBorder="1" applyAlignment="1">
      <alignment horizontal="center" vertical="center"/>
    </xf>
    <xf numFmtId="49" fontId="12" fillId="8" borderId="10" xfId="6" applyNumberFormat="1" applyFont="1" applyFill="1" applyBorder="1" applyAlignment="1">
      <alignment horizontal="center" vertical="center"/>
    </xf>
    <xf numFmtId="0" fontId="61" fillId="0" borderId="40" xfId="6" applyFont="1" applyBorder="1" applyAlignment="1">
      <alignment horizontal="center" vertical="center" wrapText="1"/>
    </xf>
    <xf numFmtId="0" fontId="0" fillId="0" borderId="70" xfId="0" applyBorder="1" applyAlignment="1"/>
    <xf numFmtId="0" fontId="73" fillId="0" borderId="0" xfId="6" applyFont="1" applyAlignment="1">
      <alignment horizontal="center"/>
    </xf>
    <xf numFmtId="0" fontId="76" fillId="0" borderId="40" xfId="6" applyFont="1" applyBorder="1" applyAlignment="1">
      <alignment horizontal="center" vertical="center" wrapText="1"/>
    </xf>
    <xf numFmtId="0" fontId="9" fillId="0" borderId="11" xfId="6" applyFont="1" applyBorder="1" applyAlignment="1">
      <alignment horizontal="center" vertical="center" wrapText="1"/>
    </xf>
    <xf numFmtId="0" fontId="9" fillId="0" borderId="0" xfId="6" applyFont="1" applyAlignment="1">
      <alignment horizontal="center" vertical="center"/>
    </xf>
    <xf numFmtId="0" fontId="74" fillId="0" borderId="0" xfId="6" applyFont="1" applyAlignment="1">
      <alignment horizontal="center" vertical="center"/>
    </xf>
    <xf numFmtId="0" fontId="27" fillId="93" borderId="1" xfId="6" applyFill="1" applyBorder="1" applyAlignment="1">
      <alignment horizontal="left" vertical="center" wrapText="1"/>
    </xf>
    <xf numFmtId="0" fontId="27" fillId="87" borderId="1" xfId="6" applyFill="1" applyBorder="1" applyAlignment="1">
      <alignment horizontal="left" vertical="center" wrapText="1"/>
    </xf>
    <xf numFmtId="0" fontId="9" fillId="9" borderId="229" xfId="6" applyFont="1" applyFill="1" applyBorder="1" applyAlignment="1">
      <alignment horizontal="left" vertical="center" wrapText="1"/>
    </xf>
    <xf numFmtId="0" fontId="0" fillId="0" borderId="58" xfId="0" applyBorder="1" applyAlignment="1"/>
    <xf numFmtId="0" fontId="0" fillId="0" borderId="66" xfId="0" applyBorder="1" applyAlignment="1"/>
    <xf numFmtId="49" fontId="173" fillId="83" borderId="68" xfId="0" applyNumberFormat="1" applyFont="1" applyFill="1" applyBorder="1" applyAlignment="1">
      <alignment horizontal="center" vertical="center"/>
    </xf>
    <xf numFmtId="0" fontId="9" fillId="0" borderId="13" xfId="6" applyFont="1" applyBorder="1" applyAlignment="1">
      <alignment horizontal="center" vertical="center" wrapText="1"/>
    </xf>
    <xf numFmtId="0" fontId="14" fillId="0" borderId="40" xfId="6" applyFont="1" applyBorder="1" applyAlignment="1">
      <alignment horizontal="center" vertical="center" wrapText="1"/>
    </xf>
    <xf numFmtId="0" fontId="20" fillId="38" borderId="70" xfId="0" applyFont="1" applyFill="1" applyBorder="1" applyAlignment="1">
      <alignment horizontal="center" vertical="center" wrapText="1"/>
    </xf>
    <xf numFmtId="0" fontId="14" fillId="33" borderId="90" xfId="6" applyFont="1" applyFill="1" applyBorder="1" applyAlignment="1">
      <alignment horizontal="center" vertical="center"/>
    </xf>
    <xf numFmtId="0" fontId="14" fillId="33" borderId="79" xfId="6" applyFont="1" applyFill="1" applyBorder="1" applyAlignment="1">
      <alignment horizontal="center" vertical="center"/>
    </xf>
    <xf numFmtId="0" fontId="35" fillId="79" borderId="35" xfId="6" applyFont="1" applyFill="1" applyBorder="1" applyAlignment="1">
      <alignment horizontal="center" vertical="center" wrapText="1"/>
    </xf>
    <xf numFmtId="0" fontId="9" fillId="7" borderId="10" xfId="6" applyFont="1" applyFill="1" applyBorder="1" applyAlignment="1">
      <alignment horizontal="center" vertical="center"/>
    </xf>
    <xf numFmtId="0" fontId="12" fillId="0" borderId="1" xfId="6" applyFont="1" applyBorder="1" applyAlignment="1">
      <alignment horizontal="center" vertical="center" wrapText="1"/>
    </xf>
    <xf numFmtId="0" fontId="62" fillId="8" borderId="231" xfId="6" applyFont="1" applyFill="1" applyBorder="1" applyAlignment="1">
      <alignment horizontal="center" vertical="center" wrapText="1"/>
    </xf>
    <xf numFmtId="0" fontId="74" fillId="0" borderId="0" xfId="6" applyFont="1" applyAlignment="1">
      <alignment horizontal="center" vertical="center" wrapText="1"/>
    </xf>
    <xf numFmtId="0" fontId="9" fillId="0" borderId="10" xfId="6" applyFont="1" applyBorder="1" applyAlignment="1">
      <alignment horizontal="center" vertical="center"/>
    </xf>
    <xf numFmtId="0" fontId="35" fillId="68" borderId="3" xfId="6" applyFont="1" applyFill="1" applyBorder="1" applyAlignment="1">
      <alignment horizontal="center" vertical="center" wrapText="1"/>
    </xf>
    <xf numFmtId="0" fontId="35" fillId="89" borderId="6" xfId="6" applyFont="1" applyFill="1" applyBorder="1" applyAlignment="1">
      <alignment horizontal="center" vertical="center" wrapText="1"/>
    </xf>
    <xf numFmtId="49" fontId="16" fillId="0" borderId="70" xfId="6" applyNumberFormat="1" applyFont="1" applyBorder="1" applyAlignment="1">
      <alignment horizontal="left" vertical="center" wrapText="1"/>
    </xf>
    <xf numFmtId="49" fontId="9" fillId="0" borderId="11" xfId="6" applyNumberFormat="1" applyFont="1" applyBorder="1" applyAlignment="1">
      <alignment horizontal="center" vertical="center"/>
    </xf>
    <xf numFmtId="49" fontId="59" fillId="8" borderId="40" xfId="6" applyNumberFormat="1" applyFont="1" applyFill="1" applyBorder="1" applyAlignment="1">
      <alignment horizontal="center" vertical="center"/>
    </xf>
    <xf numFmtId="0" fontId="14" fillId="0" borderId="68" xfId="6" applyFont="1" applyBorder="1" applyAlignment="1">
      <alignment horizontal="center" vertical="center" wrapText="1"/>
    </xf>
    <xf numFmtId="0" fontId="9" fillId="0" borderId="69" xfId="6" applyFont="1" applyBorder="1" applyAlignment="1">
      <alignment horizontal="center" vertical="center" wrapText="1"/>
    </xf>
    <xf numFmtId="0" fontId="9" fillId="0" borderId="40" xfId="6" applyFont="1" applyBorder="1" applyAlignment="1">
      <alignment horizontal="left" vertical="center" wrapText="1"/>
    </xf>
    <xf numFmtId="49" fontId="9" fillId="8" borderId="13" xfId="6" applyNumberFormat="1" applyFont="1" applyFill="1" applyBorder="1" applyAlignment="1">
      <alignment horizontal="center" vertical="center"/>
    </xf>
    <xf numFmtId="49" fontId="9" fillId="0" borderId="70" xfId="6" applyNumberFormat="1" applyFont="1" applyBorder="1" applyAlignment="1">
      <alignment horizontal="left" vertical="center" wrapText="1"/>
    </xf>
    <xf numFmtId="49" fontId="9" fillId="0" borderId="233" xfId="6" applyNumberFormat="1" applyFont="1" applyBorder="1" applyAlignment="1">
      <alignment horizontal="center" vertical="center"/>
    </xf>
    <xf numFmtId="49" fontId="9" fillId="8" borderId="11" xfId="6" applyNumberFormat="1" applyFont="1" applyFill="1" applyBorder="1" applyAlignment="1">
      <alignment horizontal="center" vertical="center"/>
    </xf>
    <xf numFmtId="49" fontId="14" fillId="0" borderId="12" xfId="6" applyNumberFormat="1" applyFont="1" applyBorder="1" applyAlignment="1">
      <alignment horizontal="center" vertical="center" wrapText="1"/>
    </xf>
    <xf numFmtId="0" fontId="14" fillId="34" borderId="43" xfId="6" applyFont="1" applyFill="1" applyBorder="1" applyAlignment="1">
      <alignment horizontal="center" vertical="center"/>
    </xf>
    <xf numFmtId="0" fontId="12" fillId="0" borderId="232" xfId="6" applyFont="1" applyBorder="1" applyAlignment="1">
      <alignment horizontal="center" vertical="center" wrapText="1"/>
    </xf>
    <xf numFmtId="0" fontId="12" fillId="0" borderId="70" xfId="6" applyFont="1" applyBorder="1" applyAlignment="1">
      <alignment horizontal="center" vertical="center" wrapText="1"/>
    </xf>
    <xf numFmtId="49" fontId="60" fillId="8" borderId="7" xfId="6" applyNumberFormat="1" applyFont="1" applyFill="1" applyBorder="1" applyAlignment="1">
      <alignment horizontal="center" vertical="center"/>
    </xf>
    <xf numFmtId="0" fontId="5" fillId="0" borderId="40" xfId="6" applyFont="1" applyBorder="1" applyAlignment="1">
      <alignment horizontal="center" vertical="center" wrapText="1"/>
    </xf>
    <xf numFmtId="0" fontId="5" fillId="38" borderId="86" xfId="6" applyFont="1" applyFill="1" applyBorder="1" applyAlignment="1">
      <alignment horizontal="center" vertical="center"/>
    </xf>
    <xf numFmtId="0" fontId="12" fillId="0" borderId="40" xfId="6" applyFont="1" applyBorder="1" applyAlignment="1">
      <alignment horizontal="center" vertical="center" wrapText="1"/>
    </xf>
    <xf numFmtId="49" fontId="173" fillId="83" borderId="0" xfId="0" applyNumberFormat="1" applyFont="1" applyFill="1" applyAlignment="1">
      <alignment horizontal="center" vertical="center"/>
    </xf>
    <xf numFmtId="0" fontId="9" fillId="7" borderId="11" xfId="6" applyFont="1" applyFill="1" applyBorder="1" applyAlignment="1">
      <alignment horizontal="center" vertical="center"/>
    </xf>
    <xf numFmtId="0" fontId="14" fillId="0" borderId="10" xfId="6" applyFont="1" applyBorder="1" applyAlignment="1">
      <alignment horizontal="center" vertical="center" wrapText="1"/>
    </xf>
    <xf numFmtId="0" fontId="70" fillId="8" borderId="68" xfId="6" applyFont="1" applyFill="1" applyBorder="1" applyAlignment="1">
      <alignment horizontal="center" vertical="center"/>
    </xf>
    <xf numFmtId="49" fontId="60" fillId="8" borderId="68" xfId="6" applyNumberFormat="1" applyFont="1" applyFill="1" applyBorder="1" applyAlignment="1">
      <alignment horizontal="center" vertical="center"/>
    </xf>
    <xf numFmtId="49" fontId="12" fillId="0" borderId="0" xfId="6" applyNumberFormat="1" applyFont="1" applyAlignment="1">
      <alignment horizontal="center" vertical="center"/>
    </xf>
    <xf numFmtId="0" fontId="27" fillId="88" borderId="39" xfId="6" applyFill="1" applyBorder="1" applyAlignment="1">
      <alignment horizontal="left" vertical="center" wrapText="1"/>
    </xf>
    <xf numFmtId="49" fontId="9" fillId="0" borderId="69" xfId="6" applyNumberFormat="1" applyFont="1" applyBorder="1" applyAlignment="1">
      <alignment horizontal="center" vertical="center" wrapText="1"/>
    </xf>
    <xf numFmtId="0" fontId="66" fillId="9" borderId="236" xfId="6" applyFont="1" applyFill="1" applyBorder="1" applyAlignment="1">
      <alignment horizontal="center" vertical="center"/>
    </xf>
    <xf numFmtId="0" fontId="0" fillId="0" borderId="59" xfId="0" applyBorder="1" applyAlignment="1"/>
    <xf numFmtId="0" fontId="12" fillId="0" borderId="10" xfId="6" applyFont="1" applyBorder="1" applyAlignment="1">
      <alignment horizontal="center" vertical="center" wrapText="1"/>
    </xf>
    <xf numFmtId="0" fontId="27" fillId="92" borderId="4" xfId="6" applyFill="1" applyBorder="1" applyAlignment="1">
      <alignment horizontal="center" vertical="center" wrapText="1"/>
    </xf>
    <xf numFmtId="0" fontId="26" fillId="89" borderId="3" xfId="6" applyFont="1" applyFill="1" applyBorder="1" applyAlignment="1">
      <alignment horizontal="left" vertical="center" wrapText="1"/>
    </xf>
    <xf numFmtId="0" fontId="38" fillId="91" borderId="41" xfId="6" applyFont="1" applyFill="1" applyBorder="1" applyAlignment="1">
      <alignment horizontal="center" vertical="center" wrapText="1"/>
    </xf>
    <xf numFmtId="0" fontId="26" fillId="89" borderId="6" xfId="6" applyFont="1" applyFill="1" applyBorder="1" applyAlignment="1">
      <alignment horizontal="left" vertical="center" wrapText="1"/>
    </xf>
    <xf numFmtId="49" fontId="51" fillId="35" borderId="14" xfId="6" applyNumberFormat="1" applyFont="1" applyFill="1" applyBorder="1" applyAlignment="1">
      <alignment horizontal="center" vertical="center"/>
    </xf>
    <xf numFmtId="0" fontId="67" fillId="0" borderId="59" xfId="6" applyFont="1" applyBorder="1" applyAlignment="1">
      <alignment horizontal="center" vertical="center"/>
    </xf>
    <xf numFmtId="0" fontId="65" fillId="91" borderId="0" xfId="6" applyFont="1" applyFill="1" applyAlignment="1">
      <alignment horizontal="center" vertical="center" wrapText="1"/>
    </xf>
    <xf numFmtId="0" fontId="64" fillId="0" borderId="70" xfId="6" applyFont="1" applyBorder="1" applyAlignment="1">
      <alignment horizontal="left" vertical="top" wrapText="1"/>
    </xf>
    <xf numFmtId="49" fontId="9" fillId="0" borderId="70" xfId="6" applyNumberFormat="1" applyFont="1" applyBorder="1" applyAlignment="1">
      <alignment horizontal="center" vertical="center" wrapText="1"/>
    </xf>
    <xf numFmtId="0" fontId="6" fillId="36" borderId="68" xfId="6" applyFont="1" applyFill="1" applyBorder="1" applyAlignment="1">
      <alignment horizontal="center" vertical="center"/>
    </xf>
    <xf numFmtId="0" fontId="14" fillId="33" borderId="88" xfId="6" applyFont="1" applyFill="1" applyBorder="1" applyAlignment="1">
      <alignment horizontal="center" vertical="center"/>
    </xf>
    <xf numFmtId="0" fontId="48" fillId="89" borderId="3" xfId="6" applyFont="1" applyFill="1" applyBorder="1" applyAlignment="1">
      <alignment horizontal="center" vertical="center" wrapText="1"/>
    </xf>
    <xf numFmtId="0" fontId="75" fillId="0" borderId="0" xfId="6" applyFont="1" applyAlignment="1">
      <alignment horizontal="center" vertical="center" wrapText="1"/>
    </xf>
    <xf numFmtId="0" fontId="27" fillId="88" borderId="37" xfId="6" applyFill="1" applyBorder="1" applyAlignment="1">
      <alignment horizontal="left" vertical="center" wrapText="1"/>
    </xf>
    <xf numFmtId="0" fontId="72" fillId="0" borderId="40" xfId="6" applyFont="1" applyBorder="1" applyAlignment="1">
      <alignment horizontal="center" vertical="center"/>
    </xf>
    <xf numFmtId="49" fontId="51" fillId="35" borderId="7" xfId="6" applyNumberFormat="1" applyFont="1" applyFill="1" applyBorder="1" applyAlignment="1">
      <alignment horizontal="center" vertical="center"/>
    </xf>
    <xf numFmtId="49" fontId="9" fillId="0" borderId="11" xfId="6" applyNumberFormat="1" applyFont="1" applyBorder="1" applyAlignment="1">
      <alignment horizontal="center" vertical="center" wrapText="1"/>
    </xf>
    <xf numFmtId="0" fontId="69" fillId="0" borderId="10" xfId="6" applyFont="1" applyBorder="1" applyAlignment="1">
      <alignment horizontal="center" vertical="center"/>
    </xf>
    <xf numFmtId="0" fontId="27" fillId="93" borderId="1" xfId="6" applyFill="1" applyBorder="1" applyAlignment="1">
      <alignment horizontal="center" wrapText="1"/>
    </xf>
    <xf numFmtId="0" fontId="9" fillId="8" borderId="235" xfId="6" applyFont="1" applyFill="1" applyBorder="1" applyAlignment="1">
      <alignment horizontal="left" vertical="center" wrapText="1"/>
    </xf>
    <xf numFmtId="0" fontId="0" fillId="0" borderId="62" xfId="0" applyBorder="1" applyAlignment="1"/>
    <xf numFmtId="49" fontId="12" fillId="0" borderId="10" xfId="6" applyNumberFormat="1" applyFont="1" applyBorder="1" applyAlignment="1">
      <alignment horizontal="center" vertical="center" wrapText="1"/>
    </xf>
    <xf numFmtId="0" fontId="5" fillId="0" borderId="0" xfId="6" applyFont="1" applyAlignment="1">
      <alignment horizontal="center" vertical="center" wrapText="1"/>
    </xf>
    <xf numFmtId="0" fontId="9" fillId="0" borderId="205" xfId="6" applyFont="1" applyBorder="1" applyAlignment="1">
      <alignment horizontal="center" vertical="center" wrapText="1"/>
    </xf>
    <xf numFmtId="0" fontId="35" fillId="91" borderId="41" xfId="6" applyFont="1" applyFill="1" applyBorder="1" applyAlignment="1">
      <alignment horizontal="center" vertical="center" wrapText="1"/>
    </xf>
    <xf numFmtId="0" fontId="9" fillId="0" borderId="40" xfId="6" applyFont="1" applyBorder="1" applyAlignment="1">
      <alignment horizontal="center" vertical="center" wrapText="1"/>
    </xf>
    <xf numFmtId="0" fontId="27" fillId="93" borderId="1" xfId="6" applyFill="1" applyBorder="1" applyAlignment="1">
      <alignment horizontal="center" vertical="center"/>
    </xf>
    <xf numFmtId="0" fontId="9" fillId="0" borderId="1" xfId="6" applyFont="1" applyBorder="1" applyAlignment="1">
      <alignment horizontal="left" vertical="center" wrapText="1"/>
    </xf>
    <xf numFmtId="0" fontId="5" fillId="0" borderId="0" xfId="6" applyFont="1" applyAlignment="1">
      <alignment horizontal="center" vertical="center"/>
    </xf>
    <xf numFmtId="0" fontId="51" fillId="35" borderId="8" xfId="6" applyFont="1" applyFill="1" applyBorder="1" applyAlignment="1">
      <alignment horizontal="center" vertical="center"/>
    </xf>
    <xf numFmtId="0" fontId="9" fillId="0" borderId="203" xfId="6" applyFont="1" applyBorder="1" applyAlignment="1">
      <alignment horizontal="center" vertical="center" wrapText="1"/>
    </xf>
    <xf numFmtId="49" fontId="12" fillId="0" borderId="234" xfId="6" applyNumberFormat="1" applyFont="1" applyBorder="1" applyAlignment="1">
      <alignment horizontal="center" vertical="center"/>
    </xf>
    <xf numFmtId="0" fontId="0" fillId="0" borderId="42" xfId="0" applyBorder="1" applyAlignment="1"/>
    <xf numFmtId="49" fontId="12" fillId="0" borderId="70" xfId="6" applyNumberFormat="1" applyFont="1" applyBorder="1" applyAlignment="1">
      <alignment horizontal="center" vertical="center"/>
    </xf>
    <xf numFmtId="0" fontId="12" fillId="0" borderId="29" xfId="6" applyFont="1" applyBorder="1" applyAlignment="1">
      <alignment horizontal="center" vertical="center"/>
    </xf>
    <xf numFmtId="49" fontId="12" fillId="8" borderId="15" xfId="6" applyNumberFormat="1" applyFont="1" applyFill="1" applyBorder="1" applyAlignment="1">
      <alignment horizontal="center" vertical="center"/>
    </xf>
    <xf numFmtId="0" fontId="71" fillId="37" borderId="207" xfId="6" applyFont="1" applyFill="1" applyBorder="1" applyAlignment="1">
      <alignment horizontal="center" vertical="center"/>
    </xf>
    <xf numFmtId="49" fontId="51" fillId="29" borderId="68" xfId="6" applyNumberFormat="1" applyFont="1" applyFill="1" applyBorder="1" applyAlignment="1">
      <alignment horizontal="center" vertical="center"/>
    </xf>
    <xf numFmtId="0" fontId="75" fillId="0" borderId="40" xfId="6" applyFont="1" applyBorder="1" applyAlignment="1">
      <alignment horizontal="center" vertical="center" wrapText="1"/>
    </xf>
    <xf numFmtId="0" fontId="12" fillId="0" borderId="12" xfId="6" applyFont="1" applyBorder="1" applyAlignment="1">
      <alignment horizontal="center" vertical="center" wrapText="1"/>
    </xf>
    <xf numFmtId="49" fontId="12" fillId="0" borderId="233" xfId="6" applyNumberFormat="1" applyFont="1" applyBorder="1" applyAlignment="1">
      <alignment horizontal="center" vertical="center"/>
    </xf>
    <xf numFmtId="0" fontId="6" fillId="29" borderId="68" xfId="6" applyFont="1" applyFill="1" applyBorder="1" applyAlignment="1">
      <alignment horizontal="center" vertical="center"/>
    </xf>
    <xf numFmtId="0" fontId="12" fillId="0" borderId="25" xfId="6" applyFont="1" applyBorder="1" applyAlignment="1">
      <alignment horizontal="center" vertical="center" wrapText="1"/>
    </xf>
    <xf numFmtId="0" fontId="27" fillId="93" borderId="1" xfId="6" applyFill="1" applyBorder="1" applyAlignment="1">
      <alignment horizontal="center" vertical="center" wrapText="1"/>
    </xf>
    <xf numFmtId="0" fontId="12" fillId="0" borderId="1" xfId="6" applyFont="1" applyBorder="1" applyAlignment="1">
      <alignment horizontal="center" vertical="center"/>
    </xf>
    <xf numFmtId="0" fontId="9" fillId="0" borderId="230" xfId="6" applyFont="1" applyBorder="1" applyAlignment="1">
      <alignment horizontal="left" vertical="center" wrapText="1"/>
    </xf>
    <xf numFmtId="0" fontId="74" fillId="0" borderId="40" xfId="6" applyFont="1" applyBorder="1" applyAlignment="1">
      <alignment horizontal="center" vertical="center"/>
    </xf>
    <xf numFmtId="0" fontId="68" fillId="8" borderId="59" xfId="6" applyFont="1" applyFill="1" applyBorder="1" applyAlignment="1">
      <alignment horizontal="center" vertical="center"/>
    </xf>
    <xf numFmtId="0" fontId="9" fillId="0" borderId="196" xfId="6" applyFont="1" applyBorder="1" applyAlignment="1">
      <alignment horizontal="center" vertical="center" wrapText="1"/>
    </xf>
    <xf numFmtId="0" fontId="27" fillId="80" borderId="30" xfId="6" applyFill="1" applyBorder="1" applyAlignment="1">
      <alignment horizontal="center" vertical="center"/>
    </xf>
    <xf numFmtId="0" fontId="1" fillId="0" borderId="86" xfId="0" applyFont="1" applyBorder="1" applyAlignment="1">
      <alignment horizontal="center" vertical="center" wrapText="1"/>
    </xf>
    <xf numFmtId="0" fontId="20" fillId="38" borderId="11" xfId="0" applyFont="1" applyFill="1" applyBorder="1" applyAlignment="1">
      <alignment horizontal="center" vertical="center"/>
    </xf>
    <xf numFmtId="0" fontId="16" fillId="34" borderId="0" xfId="6" applyFont="1" applyFill="1" applyAlignment="1">
      <alignment horizontal="center" vertical="center" wrapText="1"/>
    </xf>
    <xf numFmtId="49" fontId="12" fillId="8" borderId="10" xfId="6" applyNumberFormat="1" applyFont="1" applyFill="1" applyBorder="1" applyAlignment="1">
      <alignment horizontal="center" vertical="center" wrapText="1"/>
    </xf>
    <xf numFmtId="49" fontId="12" fillId="0" borderId="10" xfId="6" applyNumberFormat="1" applyFont="1" applyBorder="1" applyAlignment="1">
      <alignment horizontal="center" vertical="center"/>
    </xf>
    <xf numFmtId="0" fontId="179" fillId="0" borderId="33" xfId="6" applyFont="1" applyBorder="1" applyAlignment="1">
      <alignment horizontal="left" vertical="center" wrapText="1"/>
    </xf>
    <xf numFmtId="0" fontId="16" fillId="0" borderId="70" xfId="6" applyFont="1" applyBorder="1" applyAlignment="1">
      <alignment horizontal="left" vertical="center" wrapText="1"/>
    </xf>
    <xf numFmtId="0" fontId="12" fillId="85" borderId="2" xfId="6" applyFont="1" applyFill="1" applyBorder="1" applyAlignment="1">
      <alignment horizontal="left" vertical="center" wrapText="1"/>
    </xf>
    <xf numFmtId="0" fontId="35" fillId="88" borderId="3" xfId="6" applyFont="1" applyFill="1" applyBorder="1" applyAlignment="1">
      <alignment horizontal="center" vertical="center" wrapText="1"/>
    </xf>
    <xf numFmtId="0" fontId="27" fillId="90" borderId="2" xfId="6" applyFill="1" applyBorder="1" applyAlignment="1">
      <alignment horizontal="left" vertical="center" wrapText="1"/>
    </xf>
    <xf numFmtId="0" fontId="27" fillId="86" borderId="1" xfId="6" applyFill="1" applyBorder="1" applyAlignment="1">
      <alignment horizontal="left" vertical="center" wrapText="1"/>
    </xf>
    <xf numFmtId="0" fontId="27" fillId="93" borderId="4" xfId="6" applyFill="1" applyBorder="1" applyAlignment="1">
      <alignment horizontal="center" vertical="top" wrapText="1"/>
    </xf>
    <xf numFmtId="0" fontId="27" fillId="89" borderId="6" xfId="6" applyFill="1" applyBorder="1" applyAlignment="1">
      <alignment horizontal="left" vertical="center" wrapText="1"/>
    </xf>
    <xf numFmtId="0" fontId="27" fillId="84" borderId="1" xfId="6" applyFill="1" applyBorder="1" applyAlignment="1">
      <alignment horizontal="left" vertical="center" wrapText="1"/>
    </xf>
    <xf numFmtId="0" fontId="64" fillId="0" borderId="1" xfId="6" applyFont="1" applyBorder="1" applyAlignment="1">
      <alignment horizontal="left" vertical="center" wrapText="1"/>
    </xf>
    <xf numFmtId="0" fontId="27" fillId="69" borderId="1" xfId="6" applyFill="1" applyBorder="1" applyAlignment="1">
      <alignment horizontal="center" vertical="center" wrapText="1"/>
    </xf>
    <xf numFmtId="0" fontId="12" fillId="85" borderId="4" xfId="6" applyFont="1" applyFill="1" applyBorder="1" applyAlignment="1">
      <alignment horizontal="left" vertical="center" wrapText="1"/>
    </xf>
    <xf numFmtId="0" fontId="9" fillId="8" borderId="11" xfId="6" applyFont="1" applyFill="1" applyBorder="1" applyAlignment="1">
      <alignment horizontal="center" vertical="center" wrapText="1"/>
    </xf>
    <xf numFmtId="0" fontId="77" fillId="0" borderId="0" xfId="6" applyFont="1" applyAlignment="1">
      <alignment horizontal="left" vertical="center"/>
    </xf>
    <xf numFmtId="0" fontId="14" fillId="33" borderId="206" xfId="6" applyFont="1" applyFill="1" applyBorder="1" applyAlignment="1">
      <alignment horizontal="center" vertical="center"/>
    </xf>
    <xf numFmtId="0" fontId="26" fillId="89" borderId="37" xfId="6" applyFont="1" applyFill="1" applyBorder="1" applyAlignment="1">
      <alignment horizontal="left" vertical="center" wrapText="1"/>
    </xf>
    <xf numFmtId="0" fontId="177" fillId="89" borderId="40" xfId="0" applyFont="1" applyFill="1" applyBorder="1" applyAlignment="1">
      <alignment horizontal="center" vertical="center"/>
    </xf>
    <xf numFmtId="0" fontId="79" fillId="0" borderId="40" xfId="6" applyFont="1" applyBorder="1" applyAlignment="1">
      <alignment horizontal="center" vertical="center" wrapText="1"/>
    </xf>
    <xf numFmtId="49" fontId="12" fillId="0" borderId="12" xfId="6" applyNumberFormat="1" applyFont="1" applyBorder="1" applyAlignment="1">
      <alignment horizontal="center" vertical="center" wrapText="1"/>
    </xf>
    <xf numFmtId="0" fontId="14" fillId="0" borderId="0" xfId="6" applyFont="1" applyAlignment="1">
      <alignment horizontal="center" vertical="center" wrapText="1"/>
    </xf>
    <xf numFmtId="0" fontId="9" fillId="0" borderId="40" xfId="6" applyFont="1" applyBorder="1" applyAlignment="1">
      <alignment horizontal="center" vertical="center"/>
    </xf>
    <xf numFmtId="0" fontId="64" fillId="0" borderId="3" xfId="6" applyFont="1" applyBorder="1" applyAlignment="1">
      <alignment horizontal="left" vertical="center" wrapText="1"/>
    </xf>
    <xf numFmtId="49" fontId="29" fillId="2" borderId="0" xfId="0" applyNumberFormat="1" applyFont="1" applyFill="1" applyAlignment="1">
      <alignment horizontal="center" vertical="center"/>
    </xf>
    <xf numFmtId="0" fontId="14" fillId="0" borderId="0" xfId="6" applyFont="1" applyAlignment="1">
      <alignment horizontal="center" vertical="center"/>
    </xf>
    <xf numFmtId="0" fontId="9" fillId="0" borderId="0" xfId="6" applyFont="1" applyAlignment="1">
      <alignment horizontal="center" vertical="center" wrapText="1"/>
    </xf>
    <xf numFmtId="0" fontId="50" fillId="25" borderId="68" xfId="6" applyFont="1" applyFill="1" applyBorder="1" applyAlignment="1">
      <alignment horizontal="center" vertical="center"/>
    </xf>
    <xf numFmtId="0" fontId="35" fillId="26" borderId="6" xfId="6" applyFont="1" applyFill="1" applyBorder="1" applyAlignment="1">
      <alignment horizontal="center" vertical="center" wrapText="1"/>
    </xf>
    <xf numFmtId="0" fontId="60" fillId="0" borderId="0" xfId="6" applyFont="1" applyAlignment="1">
      <alignment horizontal="center" vertical="center"/>
    </xf>
    <xf numFmtId="0" fontId="52" fillId="0" borderId="0" xfId="0" applyFont="1" applyAlignment="1">
      <alignment horizontal="center" vertical="center"/>
    </xf>
    <xf numFmtId="0" fontId="14" fillId="0" borderId="0" xfId="0" applyFont="1" applyAlignment="1">
      <alignment horizontal="center" vertical="center" wrapText="1"/>
    </xf>
    <xf numFmtId="0" fontId="3" fillId="0" borderId="223" xfId="0" applyFont="1" applyBorder="1" applyAlignment="1">
      <alignment horizontal="left" vertical="center" wrapText="1"/>
    </xf>
    <xf numFmtId="0" fontId="62" fillId="0" borderId="0" xfId="6" applyFont="1" applyAlignment="1">
      <alignment horizontal="center" vertical="center" wrapText="1"/>
    </xf>
    <xf numFmtId="49" fontId="53" fillId="0" borderId="70" xfId="6" applyNumberFormat="1" applyFont="1" applyBorder="1" applyAlignment="1">
      <alignment horizontal="center" vertical="center" wrapText="1"/>
    </xf>
    <xf numFmtId="0" fontId="14" fillId="0" borderId="223" xfId="0" applyFont="1" applyBorder="1" applyAlignment="1">
      <alignment horizontal="center" vertical="center" wrapText="1"/>
    </xf>
    <xf numFmtId="0" fontId="9" fillId="0" borderId="15" xfId="6" applyFont="1" applyBorder="1" applyAlignment="1">
      <alignment horizontal="center" vertical="center" wrapText="1"/>
    </xf>
    <xf numFmtId="0" fontId="27" fillId="15" borderId="3" xfId="6" applyFill="1" applyBorder="1" applyAlignment="1">
      <alignment horizontal="center" vertical="center" wrapText="1"/>
    </xf>
    <xf numFmtId="0" fontId="14" fillId="0" borderId="132" xfId="0" applyFont="1" applyBorder="1" applyAlignment="1">
      <alignment horizontal="center" vertical="center" wrapText="1"/>
    </xf>
    <xf numFmtId="0" fontId="9" fillId="0" borderId="11" xfId="6" applyFont="1" applyBorder="1" applyAlignment="1">
      <alignment horizontal="center" vertical="center"/>
    </xf>
    <xf numFmtId="0" fontId="14" fillId="31" borderId="10" xfId="6" applyFont="1" applyFill="1" applyBorder="1" applyAlignment="1">
      <alignment horizontal="center" vertical="center"/>
    </xf>
    <xf numFmtId="0" fontId="27" fillId="0" borderId="0" xfId="6" applyAlignment="1">
      <alignment horizontal="center" vertical="center"/>
    </xf>
    <xf numFmtId="0" fontId="34" fillId="10" borderId="3" xfId="6" applyFont="1" applyFill="1" applyBorder="1" applyAlignment="1">
      <alignment horizontal="left" vertical="center" wrapText="1"/>
    </xf>
    <xf numFmtId="49" fontId="53" fillId="0" borderId="234" xfId="6" applyNumberFormat="1" applyFont="1" applyBorder="1" applyAlignment="1">
      <alignment horizontal="center" vertical="center" wrapText="1"/>
    </xf>
    <xf numFmtId="0" fontId="42" fillId="0" borderId="3" xfId="6" applyFont="1" applyBorder="1" applyAlignment="1">
      <alignment horizontal="center" vertical="center" wrapText="1"/>
    </xf>
    <xf numFmtId="0" fontId="14" fillId="0" borderId="220" xfId="6" applyFont="1" applyBorder="1" applyAlignment="1">
      <alignment horizontal="center" vertical="center" wrapText="1"/>
    </xf>
    <xf numFmtId="0" fontId="14" fillId="0" borderId="239" xfId="0" applyFont="1" applyBorder="1" applyAlignment="1">
      <alignment horizontal="center" vertical="center" wrapText="1"/>
    </xf>
    <xf numFmtId="0" fontId="9" fillId="31" borderId="0" xfId="6" applyFont="1" applyFill="1" applyAlignment="1">
      <alignment horizontal="center" vertical="center" wrapText="1"/>
    </xf>
    <xf numFmtId="0" fontId="63" fillId="0" borderId="0" xfId="0" applyFont="1" applyAlignment="1">
      <alignment horizontal="center" vertical="center" wrapText="1"/>
    </xf>
    <xf numFmtId="0" fontId="57" fillId="9" borderId="237" xfId="0" applyFont="1" applyFill="1" applyBorder="1" applyAlignment="1">
      <alignment horizontal="center" vertical="center"/>
    </xf>
    <xf numFmtId="0" fontId="9" fillId="0" borderId="13" xfId="6" applyFont="1" applyBorder="1" applyAlignment="1">
      <alignment horizontal="center" vertical="center"/>
    </xf>
    <xf numFmtId="0" fontId="44" fillId="19" borderId="1" xfId="6" applyFont="1" applyFill="1" applyBorder="1" applyAlignment="1">
      <alignment horizontal="center" vertical="center" wrapText="1"/>
    </xf>
    <xf numFmtId="0" fontId="52" fillId="0" borderId="234" xfId="6" applyFont="1" applyBorder="1" applyAlignment="1">
      <alignment horizontal="center" vertical="center"/>
    </xf>
    <xf numFmtId="0" fontId="14" fillId="0" borderId="238" xfId="0" applyFont="1" applyBorder="1" applyAlignment="1">
      <alignment horizontal="center" vertical="center" wrapText="1"/>
    </xf>
    <xf numFmtId="0" fontId="35" fillId="14" borderId="3" xfId="6" applyFont="1" applyFill="1" applyBorder="1" applyAlignment="1">
      <alignment horizontal="center" vertical="center" wrapText="1"/>
    </xf>
    <xf numFmtId="0" fontId="9" fillId="0" borderId="0" xfId="0" applyFont="1" applyAlignment="1">
      <alignment horizontal="center" vertical="center" wrapText="1"/>
    </xf>
    <xf numFmtId="0" fontId="48" fillId="0" borderId="3" xfId="6" applyFont="1" applyBorder="1" applyAlignment="1">
      <alignment horizontal="center" vertical="center" wrapText="1"/>
    </xf>
    <xf numFmtId="0" fontId="0" fillId="0" borderId="0" xfId="6" applyFont="1" applyAlignment="1">
      <alignment horizontal="center" vertical="center"/>
    </xf>
    <xf numFmtId="49" fontId="60" fillId="0" borderId="0" xfId="6" applyNumberFormat="1" applyFont="1" applyAlignment="1">
      <alignment horizontal="center" vertical="center"/>
    </xf>
    <xf numFmtId="0" fontId="27" fillId="28" borderId="1" xfId="6" applyFill="1" applyBorder="1" applyAlignment="1">
      <alignment horizontal="left" vertical="center" wrapText="1"/>
    </xf>
    <xf numFmtId="0" fontId="16" fillId="0" borderId="70" xfId="0" applyFont="1" applyBorder="1" applyAlignment="1">
      <alignment horizontal="center" vertical="center" wrapText="1"/>
    </xf>
    <xf numFmtId="0" fontId="14" fillId="0" borderId="240" xfId="0" applyFont="1" applyBorder="1" applyAlignment="1">
      <alignment horizontal="center" vertical="center" wrapText="1"/>
    </xf>
    <xf numFmtId="0" fontId="14" fillId="0" borderId="52" xfId="0" applyFont="1" applyBorder="1" applyAlignment="1">
      <alignment horizontal="center" vertical="center" wrapText="1"/>
    </xf>
    <xf numFmtId="49" fontId="9" fillId="0" borderId="0" xfId="6" applyNumberFormat="1" applyFont="1" applyAlignment="1">
      <alignment horizontal="center" vertical="center" wrapText="1"/>
    </xf>
    <xf numFmtId="0" fontId="46" fillId="12" borderId="33" xfId="6" applyFont="1" applyFill="1" applyBorder="1" applyAlignment="1">
      <alignment horizontal="center" vertical="center" wrapText="1"/>
    </xf>
    <xf numFmtId="0" fontId="23" fillId="30" borderId="68" xfId="0" applyFont="1" applyFill="1" applyBorder="1" applyAlignment="1">
      <alignment horizontal="center" vertical="center"/>
    </xf>
    <xf numFmtId="0" fontId="27" fillId="0" borderId="0" xfId="6" applyAlignment="1">
      <alignment horizontal="center" vertical="center" wrapText="1"/>
    </xf>
    <xf numFmtId="49" fontId="52" fillId="0" borderId="233" xfId="6" applyNumberFormat="1" applyFont="1" applyBorder="1" applyAlignment="1">
      <alignment horizontal="center" vertical="center" wrapText="1"/>
    </xf>
    <xf numFmtId="0" fontId="14" fillId="0" borderId="51" xfId="0" applyFont="1" applyBorder="1" applyAlignment="1">
      <alignment horizontal="center" vertical="center" wrapText="1"/>
    </xf>
    <xf numFmtId="0" fontId="0" fillId="0" borderId="238" xfId="0" applyBorder="1" applyAlignment="1"/>
    <xf numFmtId="0" fontId="3" fillId="0" borderId="222" xfId="0" applyFont="1" applyBorder="1" applyAlignment="1">
      <alignment horizontal="center" vertical="center"/>
    </xf>
    <xf numFmtId="0" fontId="32" fillId="12" borderId="0" xfId="0" applyFont="1" applyFill="1" applyAlignment="1">
      <alignment horizontal="center" vertical="center"/>
    </xf>
    <xf numFmtId="0" fontId="27" fillId="27" borderId="1" xfId="6" applyFill="1" applyBorder="1" applyAlignment="1">
      <alignment horizontal="left" vertical="center" wrapText="1"/>
    </xf>
    <xf numFmtId="0" fontId="53" fillId="0" borderId="218" xfId="0" applyFont="1" applyBorder="1" applyAlignment="1">
      <alignment horizontal="center" vertical="center" wrapText="1"/>
    </xf>
    <xf numFmtId="0" fontId="5" fillId="0" borderId="10" xfId="6" applyFont="1" applyBorder="1" applyAlignment="1">
      <alignment horizontal="left" vertical="center" wrapText="1"/>
    </xf>
    <xf numFmtId="0" fontId="3" fillId="0" borderId="218" xfId="0" applyFont="1" applyBorder="1" applyAlignment="1">
      <alignment horizontal="left" vertical="center" wrapText="1"/>
    </xf>
    <xf numFmtId="49" fontId="53" fillId="0" borderId="241" xfId="6" applyNumberFormat="1" applyFont="1" applyBorder="1" applyAlignment="1">
      <alignment horizontal="center" vertical="center" wrapText="1"/>
    </xf>
    <xf numFmtId="0" fontId="14" fillId="0" borderId="50" xfId="0" applyFont="1" applyBorder="1" applyAlignment="1">
      <alignment horizontal="center" vertical="center" wrapText="1"/>
    </xf>
    <xf numFmtId="0" fontId="81" fillId="0" borderId="5" xfId="6" applyFont="1" applyBorder="1" applyAlignment="1">
      <alignment horizontal="center" vertical="center" wrapText="1"/>
    </xf>
    <xf numFmtId="0" fontId="14" fillId="0" borderId="11" xfId="0" applyFont="1" applyBorder="1" applyAlignment="1">
      <alignment horizontal="center" vertical="center" wrapText="1"/>
    </xf>
    <xf numFmtId="0" fontId="48" fillId="20" borderId="6" xfId="6" applyFont="1" applyFill="1" applyBorder="1" applyAlignment="1">
      <alignment horizontal="center" vertical="center" wrapText="1"/>
    </xf>
    <xf numFmtId="0" fontId="14" fillId="0" borderId="16" xfId="0" applyFont="1" applyBorder="1" applyAlignment="1">
      <alignment horizontal="center" vertical="center" wrapText="1"/>
    </xf>
    <xf numFmtId="0" fontId="61" fillId="0" borderId="0" xfId="6" applyFont="1" applyAlignment="1">
      <alignment horizontal="center" vertical="center"/>
    </xf>
    <xf numFmtId="49" fontId="12" fillId="0" borderId="0" xfId="6" applyNumberFormat="1" applyFont="1" applyAlignment="1">
      <alignment horizontal="center" vertical="center" wrapText="1"/>
    </xf>
    <xf numFmtId="0" fontId="14" fillId="0" borderId="46" xfId="0" applyFont="1" applyBorder="1" applyAlignment="1">
      <alignment horizontal="center" vertical="center" wrapText="1"/>
    </xf>
    <xf numFmtId="0" fontId="35" fillId="17" borderId="6" xfId="6" applyFont="1" applyFill="1" applyBorder="1" applyAlignment="1">
      <alignment horizontal="center" vertical="center" wrapText="1"/>
    </xf>
    <xf numFmtId="0" fontId="14" fillId="0" borderId="54" xfId="0" applyFont="1" applyBorder="1" applyAlignment="1">
      <alignment horizontal="center" vertical="center" wrapText="1"/>
    </xf>
    <xf numFmtId="0" fontId="14" fillId="0" borderId="128" xfId="0" applyFont="1" applyBorder="1" applyAlignment="1">
      <alignment horizontal="center" vertical="center" wrapText="1"/>
    </xf>
    <xf numFmtId="0" fontId="12" fillId="0" borderId="0" xfId="6" applyFont="1" applyAlignment="1">
      <alignment horizontal="center" vertical="center" wrapText="1"/>
    </xf>
    <xf numFmtId="0" fontId="43" fillId="0" borderId="1" xfId="6" applyFont="1" applyBorder="1" applyAlignment="1">
      <alignment horizontal="center" vertical="center" wrapText="1"/>
    </xf>
    <xf numFmtId="0" fontId="3" fillId="0" borderId="47" xfId="0" applyFont="1" applyBorder="1" applyAlignment="1">
      <alignment horizontal="center" vertical="center" wrapText="1"/>
    </xf>
    <xf numFmtId="0" fontId="48" fillId="21" borderId="33" xfId="6" applyFont="1" applyFill="1" applyBorder="1" applyAlignment="1">
      <alignment horizontal="center" vertical="center" wrapText="1"/>
    </xf>
    <xf numFmtId="0" fontId="38" fillId="23" borderId="35" xfId="6" applyFont="1" applyFill="1" applyBorder="1" applyAlignment="1">
      <alignment horizontal="center" vertical="center" wrapText="1"/>
    </xf>
    <xf numFmtId="0" fontId="33" fillId="0" borderId="3" xfId="6" applyFont="1" applyBorder="1" applyAlignment="1">
      <alignment horizontal="center" vertical="center" wrapText="1"/>
    </xf>
    <xf numFmtId="0" fontId="5" fillId="31" borderId="10" xfId="6" applyFont="1" applyFill="1" applyBorder="1" applyAlignment="1">
      <alignment horizontal="left" vertical="center" wrapText="1"/>
    </xf>
    <xf numFmtId="0" fontId="38" fillId="9" borderId="6" xfId="6" applyFont="1" applyFill="1" applyBorder="1" applyAlignment="1">
      <alignment horizontal="center" vertical="center" wrapText="1"/>
    </xf>
    <xf numFmtId="49" fontId="53" fillId="0" borderId="69" xfId="6" applyNumberFormat="1" applyFont="1" applyBorder="1" applyAlignment="1">
      <alignment horizontal="center" vertical="center" wrapText="1"/>
    </xf>
    <xf numFmtId="0" fontId="27" fillId="11" borderId="3" xfId="6" applyFill="1" applyBorder="1" applyAlignment="1">
      <alignment horizontal="center" vertical="center" wrapText="1"/>
    </xf>
    <xf numFmtId="49" fontId="54" fillId="0" borderId="69" xfId="6" applyNumberFormat="1" applyFont="1" applyBorder="1" applyAlignment="1">
      <alignment horizontal="center" vertical="center"/>
    </xf>
    <xf numFmtId="0" fontId="47" fillId="18" borderId="3" xfId="6" applyFont="1" applyFill="1" applyBorder="1" applyAlignment="1">
      <alignment horizontal="center" vertical="center" wrapText="1"/>
    </xf>
    <xf numFmtId="49" fontId="39" fillId="25" borderId="0" xfId="0" applyNumberFormat="1" applyFont="1" applyFill="1" applyAlignment="1">
      <alignment horizontal="center" vertical="center"/>
    </xf>
    <xf numFmtId="0" fontId="27" fillId="0" borderId="3" xfId="6" applyBorder="1" applyAlignment="1">
      <alignment horizontal="center" vertical="center" wrapText="1"/>
    </xf>
    <xf numFmtId="0" fontId="36" fillId="0" borderId="0" xfId="6" applyFont="1" applyAlignment="1">
      <alignment horizontal="left" vertical="center" wrapText="1"/>
    </xf>
    <xf numFmtId="0" fontId="0" fillId="0" borderId="52" xfId="0" applyBorder="1" applyAlignment="1"/>
    <xf numFmtId="0" fontId="14" fillId="0" borderId="129" xfId="0" applyFont="1" applyBorder="1" applyAlignment="1">
      <alignment horizontal="center" vertical="center" wrapText="1"/>
    </xf>
    <xf numFmtId="0" fontId="32" fillId="12" borderId="11" xfId="0" applyFont="1" applyFill="1" applyBorder="1" applyAlignment="1">
      <alignment horizontal="center" vertical="center"/>
    </xf>
    <xf numFmtId="0" fontId="53" fillId="0" borderId="0" xfId="6" applyFont="1" applyAlignment="1">
      <alignment horizontal="center" vertical="center"/>
    </xf>
    <xf numFmtId="0" fontId="9" fillId="31" borderId="11" xfId="6" applyFont="1" applyFill="1" applyBorder="1" applyAlignment="1">
      <alignment horizontal="center" vertical="center"/>
    </xf>
    <xf numFmtId="0" fontId="14" fillId="31" borderId="11" xfId="6" applyFont="1" applyFill="1" applyBorder="1" applyAlignment="1">
      <alignment horizontal="center" vertical="center"/>
    </xf>
    <xf numFmtId="0" fontId="51" fillId="29" borderId="68" xfId="6" applyFont="1" applyFill="1" applyBorder="1" applyAlignment="1">
      <alignment horizontal="center" vertical="center"/>
    </xf>
    <xf numFmtId="0" fontId="0" fillId="22" borderId="1" xfId="6" applyFont="1" applyFill="1" applyBorder="1" applyAlignment="1">
      <alignment horizontal="center" vertical="center"/>
    </xf>
    <xf numFmtId="0" fontId="35" fillId="12" borderId="3" xfId="6" applyFont="1" applyFill="1" applyBorder="1" applyAlignment="1">
      <alignment horizontal="center" vertical="center" wrapText="1"/>
    </xf>
    <xf numFmtId="0" fontId="53" fillId="0" borderId="70" xfId="6" applyFont="1" applyBorder="1" applyAlignment="1">
      <alignment horizontal="center" vertical="center"/>
    </xf>
    <xf numFmtId="0" fontId="14" fillId="0" borderId="54" xfId="6" applyFont="1" applyBorder="1" applyAlignment="1">
      <alignment horizontal="center" vertical="center" wrapText="1"/>
    </xf>
    <xf numFmtId="0" fontId="46" fillId="10" borderId="3" xfId="6" applyFont="1" applyFill="1" applyBorder="1" applyAlignment="1">
      <alignment horizontal="center" vertical="center" wrapText="1"/>
    </xf>
    <xf numFmtId="0" fontId="5" fillId="0" borderId="12" xfId="6" applyFont="1" applyBorder="1" applyAlignment="1">
      <alignment horizontal="left" vertical="center" wrapText="1"/>
    </xf>
    <xf numFmtId="0" fontId="14" fillId="31" borderId="0" xfId="6" applyFont="1" applyFill="1" applyAlignment="1">
      <alignment horizontal="center" vertical="center"/>
    </xf>
    <xf numFmtId="0" fontId="3" fillId="0" borderId="31" xfId="0" applyFont="1" applyBorder="1" applyAlignment="1">
      <alignment horizontal="center" vertical="center" wrapText="1"/>
    </xf>
    <xf numFmtId="0" fontId="16" fillId="0" borderId="0" xfId="6" applyFont="1" applyAlignment="1">
      <alignment horizontal="center" vertical="center" wrapText="1"/>
    </xf>
    <xf numFmtId="0" fontId="2" fillId="8" borderId="237" xfId="0" applyFont="1" applyFill="1" applyBorder="1" applyAlignment="1">
      <alignment horizontal="center" vertical="center" wrapText="1"/>
    </xf>
    <xf numFmtId="0" fontId="14" fillId="0" borderId="223" xfId="6" applyFont="1" applyBorder="1" applyAlignment="1">
      <alignment horizontal="center" vertical="center" wrapText="1"/>
    </xf>
    <xf numFmtId="0" fontId="59" fillId="0" borderId="0" xfId="0" applyFont="1" applyAlignment="1">
      <alignment horizontal="center" vertical="center"/>
    </xf>
    <xf numFmtId="49" fontId="52" fillId="0" borderId="234" xfId="6" applyNumberFormat="1" applyFont="1" applyBorder="1" applyAlignment="1">
      <alignment horizontal="center" vertical="center" wrapText="1"/>
    </xf>
    <xf numFmtId="0" fontId="49" fillId="24" borderId="34" xfId="6" applyFont="1" applyFill="1" applyBorder="1" applyAlignment="1">
      <alignment horizontal="center" vertical="center" wrapText="1"/>
    </xf>
    <xf numFmtId="0" fontId="27" fillId="16" borderId="3" xfId="6" applyFill="1" applyBorder="1" applyAlignment="1">
      <alignment horizontal="center" vertical="center" wrapText="1"/>
    </xf>
    <xf numFmtId="0" fontId="57" fillId="9" borderId="68" xfId="0" applyFont="1" applyFill="1" applyBorder="1" applyAlignment="1">
      <alignment horizontal="center" vertical="center"/>
    </xf>
    <xf numFmtId="0" fontId="0" fillId="12" borderId="1" xfId="6" applyFont="1" applyFill="1" applyBorder="1" applyAlignment="1">
      <alignment horizontal="center" vertical="center" wrapText="1"/>
    </xf>
    <xf numFmtId="0" fontId="14" fillId="0" borderId="226" xfId="0" applyFont="1" applyBorder="1" applyAlignment="1">
      <alignment horizontal="center" vertical="center" wrapText="1"/>
    </xf>
    <xf numFmtId="0" fontId="14" fillId="0" borderId="224" xfId="0" applyFont="1" applyBorder="1" applyAlignment="1">
      <alignment horizontal="center" vertical="center" wrapText="1"/>
    </xf>
    <xf numFmtId="0" fontId="3" fillId="0" borderId="70" xfId="0" applyFont="1" applyBorder="1" applyAlignment="1">
      <alignment horizontal="center" vertical="center" wrapText="1"/>
    </xf>
    <xf numFmtId="0" fontId="3" fillId="0" borderId="28" xfId="0" applyFont="1" applyBorder="1" applyAlignment="1">
      <alignment horizontal="center" vertical="center" wrapText="1"/>
    </xf>
    <xf numFmtId="0" fontId="24" fillId="9" borderId="68" xfId="0" applyFont="1" applyFill="1" applyBorder="1" applyAlignment="1">
      <alignment horizontal="center" vertical="center" wrapText="1"/>
    </xf>
    <xf numFmtId="0" fontId="6" fillId="6" borderId="243" xfId="0" applyFont="1" applyFill="1" applyBorder="1" applyAlignment="1">
      <alignment horizontal="center" vertical="center"/>
    </xf>
    <xf numFmtId="0" fontId="0" fillId="0" borderId="9" xfId="0" applyBorder="1" applyAlignment="1"/>
    <xf numFmtId="0" fontId="1" fillId="0" borderId="242" xfId="0" applyFont="1" applyBorder="1" applyAlignment="1">
      <alignment horizontal="left" vertical="center" wrapText="1"/>
    </xf>
    <xf numFmtId="0" fontId="0" fillId="0" borderId="22" xfId="0" applyBorder="1" applyAlignment="1"/>
    <xf numFmtId="0" fontId="0" fillId="0" borderId="23" xfId="0" applyBorder="1" applyAlignment="1"/>
    <xf numFmtId="0" fontId="6" fillId="5" borderId="68" xfId="0" applyFont="1" applyFill="1" applyBorder="1" applyAlignment="1">
      <alignment horizontal="center" vertical="center"/>
    </xf>
    <xf numFmtId="0" fontId="22" fillId="0" borderId="22" xfId="0" applyFont="1" applyBorder="1" applyAlignment="1">
      <alignment horizontal="center" vertical="center" wrapText="1"/>
    </xf>
    <xf numFmtId="0" fontId="1" fillId="0" borderId="12" xfId="0" applyFont="1" applyBorder="1" applyAlignment="1">
      <alignment horizontal="center" vertical="center"/>
    </xf>
    <xf numFmtId="0" fontId="24" fillId="9" borderId="140" xfId="0" applyFont="1" applyFill="1" applyBorder="1" applyAlignment="1">
      <alignment horizontal="center" vertical="center" wrapText="1"/>
    </xf>
    <xf numFmtId="0" fontId="1" fillId="0" borderId="21" xfId="0" applyFont="1" applyBorder="1" applyAlignment="1">
      <alignment horizontal="left" vertical="center" wrapText="1"/>
    </xf>
    <xf numFmtId="0" fontId="1" fillId="0" borderId="26" xfId="0" applyFont="1" applyBorder="1" applyAlignment="1">
      <alignment horizontal="left" vertical="center" wrapText="1"/>
    </xf>
    <xf numFmtId="0" fontId="0" fillId="0" borderId="24" xfId="0" applyBorder="1" applyAlignment="1"/>
    <xf numFmtId="0" fontId="22" fillId="0" borderId="137" xfId="0" applyFont="1" applyBorder="1" applyAlignment="1">
      <alignment horizontal="center" vertical="center" wrapText="1"/>
    </xf>
    <xf numFmtId="0" fontId="22" fillId="0" borderId="24" xfId="0" applyFont="1" applyBorder="1" applyAlignment="1">
      <alignment horizontal="center" vertical="center" wrapText="1"/>
    </xf>
    <xf numFmtId="0" fontId="1" fillId="0" borderId="13" xfId="0" applyFont="1" applyBorder="1" applyAlignment="1">
      <alignment horizontal="left" vertical="center" wrapText="1"/>
    </xf>
    <xf numFmtId="0" fontId="6" fillId="6" borderId="68" xfId="0" applyFont="1" applyFill="1" applyBorder="1" applyAlignment="1">
      <alignment horizontal="center" vertical="center"/>
    </xf>
    <xf numFmtId="0" fontId="1" fillId="0" borderId="22" xfId="0" applyFont="1" applyBorder="1" applyAlignment="1">
      <alignment horizontal="left" vertical="center" wrapText="1"/>
    </xf>
    <xf numFmtId="0" fontId="1" fillId="9" borderId="140" xfId="0" applyFont="1" applyFill="1" applyBorder="1" applyAlignment="1">
      <alignment horizontal="center" vertical="center" wrapText="1"/>
    </xf>
    <xf numFmtId="0" fontId="3" fillId="0" borderId="18" xfId="0" applyFont="1" applyBorder="1" applyAlignment="1">
      <alignment horizontal="center" vertical="center" wrapText="1"/>
    </xf>
    <xf numFmtId="0" fontId="0" fillId="0" borderId="19" xfId="0" applyBorder="1" applyAlignment="1"/>
    <xf numFmtId="0" fontId="1" fillId="9" borderId="12" xfId="0" applyFont="1" applyFill="1" applyBorder="1" applyAlignment="1">
      <alignment horizontal="center" vertical="center" wrapText="1"/>
    </xf>
    <xf numFmtId="0" fontId="22" fillId="0" borderId="144" xfId="0" applyFont="1" applyBorder="1" applyAlignment="1">
      <alignment horizontal="center" vertical="center" wrapText="1"/>
    </xf>
    <xf numFmtId="0" fontId="20" fillId="0" borderId="219" xfId="0" applyFont="1" applyBorder="1" applyAlignment="1">
      <alignment horizontal="center" vertical="center" wrapText="1"/>
    </xf>
    <xf numFmtId="0" fontId="23" fillId="9" borderId="40" xfId="0" applyFont="1" applyFill="1" applyBorder="1" applyAlignment="1">
      <alignment horizontal="center" vertical="center" wrapText="1"/>
    </xf>
    <xf numFmtId="0" fontId="1" fillId="9" borderId="7" xfId="0" applyFont="1" applyFill="1" applyBorder="1" applyAlignment="1">
      <alignment horizontal="center" vertical="center" wrapText="1"/>
    </xf>
    <xf numFmtId="0" fontId="1" fillId="9" borderId="10" xfId="0" applyFont="1" applyFill="1" applyBorder="1" applyAlignment="1">
      <alignment horizontal="center" vertical="center" wrapText="1"/>
    </xf>
    <xf numFmtId="0" fontId="3" fillId="0" borderId="20" xfId="0" applyFont="1" applyBorder="1" applyAlignment="1">
      <alignment horizontal="center" vertical="center" wrapText="1"/>
    </xf>
    <xf numFmtId="0" fontId="0" fillId="0" borderId="20" xfId="0" applyBorder="1" applyAlignment="1"/>
    <xf numFmtId="0" fontId="1" fillId="0" borderId="144" xfId="0" applyFont="1" applyBorder="1" applyAlignment="1">
      <alignment horizontal="left" vertical="center" wrapText="1"/>
    </xf>
    <xf numFmtId="0" fontId="180" fillId="96" borderId="0" xfId="0" applyFont="1" applyFill="1" applyAlignment="1">
      <alignment horizontal="center" vertical="center"/>
    </xf>
    <xf numFmtId="0" fontId="9" fillId="0" borderId="1" xfId="0" applyFont="1" applyBorder="1" applyAlignment="1">
      <alignment horizontal="left" vertical="center" wrapText="1"/>
    </xf>
    <xf numFmtId="0" fontId="1" fillId="0" borderId="0" xfId="0" applyFont="1">
      <alignment vertical="center"/>
    </xf>
    <xf numFmtId="0" fontId="5" fillId="4" borderId="1" xfId="0" applyFont="1" applyFill="1" applyBorder="1" applyAlignment="1">
      <alignment horizontal="center" vertical="center"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9" fillId="4"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1" fillId="0" borderId="0" xfId="0" applyFont="1" applyAlignment="1">
      <alignment vertical="center" wrapText="1"/>
    </xf>
    <xf numFmtId="0" fontId="1" fillId="0" borderId="1" xfId="0" applyFont="1" applyBorder="1" applyAlignment="1">
      <alignment vertical="center" wrapText="1"/>
    </xf>
    <xf numFmtId="0" fontId="9" fillId="0" borderId="1" xfId="0" applyFont="1" applyBorder="1" applyAlignment="1">
      <alignment horizontal="left" vertical="center"/>
    </xf>
    <xf numFmtId="0" fontId="14" fillId="4" borderId="1" xfId="0" applyFont="1" applyFill="1" applyBorder="1" applyAlignment="1">
      <alignment horizontal="center" vertical="center" wrapText="1"/>
    </xf>
    <xf numFmtId="0" fontId="18" fillId="0" borderId="1" xfId="0" applyFont="1" applyBorder="1" applyAlignment="1">
      <alignment horizontal="left" vertical="center"/>
    </xf>
    <xf numFmtId="0" fontId="169" fillId="83" borderId="0" xfId="0" applyFont="1" applyFill="1" applyAlignment="1">
      <alignment horizontal="center" vertical="center"/>
    </xf>
    <xf numFmtId="0" fontId="1" fillId="0" borderId="1" xfId="0" applyFont="1" applyBorder="1">
      <alignment vertical="center"/>
    </xf>
    <xf numFmtId="0" fontId="8" fillId="0" borderId="1" xfId="0" applyFont="1" applyBorder="1">
      <alignment vertical="center"/>
    </xf>
    <xf numFmtId="0" fontId="20" fillId="94" borderId="1" xfId="0" applyFont="1" applyFill="1" applyBorder="1" applyAlignment="1">
      <alignment horizontal="center" vertical="center" wrapText="1"/>
    </xf>
    <xf numFmtId="0" fontId="7" fillId="0" borderId="1" xfId="0" applyFont="1" applyBorder="1" applyAlignment="1">
      <alignment vertical="center" wrapText="1"/>
    </xf>
    <xf numFmtId="0" fontId="14" fillId="4" borderId="1" xfId="0" applyFont="1" applyFill="1" applyBorder="1" applyAlignment="1">
      <alignment horizontal="center" vertical="center"/>
    </xf>
    <xf numFmtId="0" fontId="8" fillId="0" borderId="1" xfId="0" applyFont="1" applyBorder="1" applyAlignment="1">
      <alignment vertical="center" wrapText="1"/>
    </xf>
    <xf numFmtId="0" fontId="10" fillId="4" borderId="1" xfId="0" applyFont="1" applyFill="1" applyBorder="1" applyAlignment="1">
      <alignment horizontal="center" vertical="center" wrapText="1"/>
    </xf>
    <xf numFmtId="0" fontId="6" fillId="2" borderId="4" xfId="0" applyFont="1" applyFill="1" applyBorder="1" applyAlignment="1">
      <alignment horizontal="center" vertical="center"/>
    </xf>
    <xf numFmtId="0" fontId="1" fillId="0" borderId="3" xfId="0" applyFont="1" applyBorder="1" applyAlignment="1">
      <alignment horizontal="left" vertical="center" wrapText="1"/>
    </xf>
    <xf numFmtId="0" fontId="15" fillId="0" borderId="1" xfId="0" applyFont="1" applyBorder="1" applyAlignment="1">
      <alignment horizontal="left" vertical="center"/>
    </xf>
    <xf numFmtId="0" fontId="2" fillId="80" borderId="0" xfId="0" applyFont="1" applyFill="1" applyAlignment="1">
      <alignment horizontal="center" vertical="center"/>
    </xf>
    <xf numFmtId="0" fontId="11" fillId="0" borderId="1" xfId="0" applyFont="1" applyBorder="1" applyAlignment="1">
      <alignment horizontal="left" vertical="center"/>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7" fillId="0" borderId="1" xfId="0" applyFont="1" applyBorder="1">
      <alignment vertical="center"/>
    </xf>
    <xf numFmtId="0" fontId="6" fillId="2" borderId="1" xfId="0" applyFont="1" applyFill="1" applyBorder="1" applyAlignment="1">
      <alignment horizontal="left" vertical="center"/>
    </xf>
    <xf numFmtId="0" fontId="4" fillId="0" borderId="1" xfId="1" applyFont="1" applyBorder="1" applyAlignment="1">
      <alignment horizontal="center" vertical="center" wrapText="1"/>
    </xf>
    <xf numFmtId="0" fontId="9" fillId="4" borderId="4" xfId="0" applyFont="1" applyFill="1" applyBorder="1" applyAlignment="1">
      <alignment horizontal="center" vertical="center" wrapText="1"/>
    </xf>
    <xf numFmtId="0" fontId="5" fillId="4" borderId="1" xfId="0" applyFont="1" applyFill="1" applyBorder="1" applyAlignment="1">
      <alignment vertical="center" wrapText="1"/>
    </xf>
    <xf numFmtId="0" fontId="11" fillId="0" borderId="1" xfId="0" applyFont="1" applyBorder="1" applyAlignment="1">
      <alignment horizontal="left" vertical="center" wrapText="1"/>
    </xf>
    <xf numFmtId="0" fontId="16" fillId="4" borderId="1" xfId="0" applyFont="1" applyFill="1" applyBorder="1" applyAlignment="1">
      <alignment horizontal="center" vertical="center" wrapText="1"/>
    </xf>
    <xf numFmtId="0" fontId="1" fillId="80" borderId="1" xfId="0" applyFont="1" applyFill="1" applyBorder="1" applyAlignment="1">
      <alignment vertical="center" wrapText="1"/>
    </xf>
    <xf numFmtId="0" fontId="6" fillId="2" borderId="1" xfId="0" applyFont="1" applyFill="1" applyBorder="1" applyAlignment="1">
      <alignment horizontal="center" vertical="center" wrapText="1"/>
    </xf>
    <xf numFmtId="0" fontId="6" fillId="2" borderId="0" xfId="0" applyFont="1" applyFill="1" applyAlignment="1">
      <alignment horizontal="left" vertical="center"/>
    </xf>
    <xf numFmtId="0" fontId="178" fillId="80" borderId="0" xfId="0" applyFont="1" applyFill="1" applyAlignment="1">
      <alignment horizontal="left" vertical="center" wrapText="1"/>
    </xf>
    <xf numFmtId="0" fontId="7" fillId="0" borderId="1" xfId="0" applyFont="1" applyBorder="1" applyAlignment="1">
      <alignment horizontal="center" vertical="center"/>
    </xf>
    <xf numFmtId="0" fontId="12"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 fillId="0" borderId="6" xfId="0" applyFont="1" applyBorder="1" applyAlignment="1">
      <alignment horizontal="left" vertical="center" wrapText="1"/>
    </xf>
    <xf numFmtId="0" fontId="9" fillId="0" borderId="1" xfId="0" applyFont="1" applyBorder="1" applyAlignment="1">
      <alignment vertical="center" wrapText="1"/>
    </xf>
    <xf numFmtId="0" fontId="12" fillId="4" borderId="1" xfId="0" applyFont="1" applyFill="1" applyBorder="1" applyAlignment="1">
      <alignment horizontal="center" vertical="top" wrapText="1"/>
    </xf>
    <xf numFmtId="0" fontId="169" fillId="95" borderId="5" xfId="0" applyFont="1" applyFill="1" applyBorder="1" applyAlignment="1">
      <alignment horizontal="center" vertical="center"/>
    </xf>
    <xf numFmtId="0" fontId="169" fillId="95" borderId="41" xfId="0" applyFont="1" applyFill="1" applyBorder="1" applyAlignment="1">
      <alignment horizontal="center" vertical="center"/>
    </xf>
    <xf numFmtId="0" fontId="169" fillId="95" borderId="3" xfId="0" applyFont="1" applyFill="1" applyBorder="1" applyAlignment="1">
      <alignment horizontal="center" vertical="center"/>
    </xf>
    <xf numFmtId="0" fontId="1" fillId="80" borderId="37" xfId="0" applyFont="1" applyFill="1" applyBorder="1" applyAlignment="1">
      <alignment horizontal="center" vertical="center" wrapText="1"/>
    </xf>
    <xf numFmtId="0" fontId="1" fillId="80" borderId="30" xfId="0" applyFont="1" applyFill="1" applyBorder="1" applyAlignment="1">
      <alignment horizontal="center" vertical="center" wrapText="1"/>
    </xf>
    <xf numFmtId="0" fontId="1" fillId="80" borderId="6" xfId="0" applyFont="1" applyFill="1" applyBorder="1" applyAlignment="1">
      <alignment horizontal="center" vertical="center" wrapText="1"/>
    </xf>
    <xf numFmtId="0" fontId="1" fillId="80" borderId="38" xfId="0" applyFont="1" applyFill="1" applyBorder="1" applyAlignment="1">
      <alignment horizontal="center" vertical="center" wrapText="1"/>
    </xf>
    <xf numFmtId="0" fontId="1" fillId="80" borderId="0" xfId="0" applyFont="1" applyFill="1" applyAlignment="1">
      <alignment horizontal="center" vertical="center" wrapText="1"/>
    </xf>
    <xf numFmtId="0" fontId="1" fillId="80" borderId="33" xfId="0" applyFont="1" applyFill="1" applyBorder="1" applyAlignment="1">
      <alignment horizontal="center" vertical="center" wrapText="1"/>
    </xf>
    <xf numFmtId="0" fontId="1" fillId="80" borderId="39" xfId="0" applyFont="1" applyFill="1" applyBorder="1" applyAlignment="1">
      <alignment horizontal="center" vertical="center" wrapText="1"/>
    </xf>
    <xf numFmtId="0" fontId="1" fillId="80" borderId="34" xfId="0" applyFont="1" applyFill="1" applyBorder="1" applyAlignment="1">
      <alignment horizontal="center" vertical="center" wrapText="1"/>
    </xf>
    <xf numFmtId="0" fontId="1" fillId="80" borderId="35" xfId="0" applyFont="1" applyFill="1" applyBorder="1" applyAlignment="1">
      <alignment horizontal="center" vertical="center" wrapText="1"/>
    </xf>
    <xf numFmtId="0" fontId="6" fillId="2" borderId="2" xfId="0" applyFont="1" applyFill="1" applyBorder="1" applyAlignment="1">
      <alignment horizontal="center" vertical="center"/>
    </xf>
    <xf numFmtId="0" fontId="2" fillId="0" borderId="0" xfId="0" applyFont="1" applyAlignment="1">
      <alignment horizontal="center" vertical="center"/>
    </xf>
    <xf numFmtId="0" fontId="1" fillId="0" borderId="3" xfId="0" applyFont="1" applyBorder="1" applyAlignment="1">
      <alignment horizontal="left" vertical="center"/>
    </xf>
    <xf numFmtId="0" fontId="20" fillId="94" borderId="2" xfId="0" applyFont="1" applyFill="1" applyBorder="1" applyAlignment="1">
      <alignment horizontal="center" vertical="center" wrapText="1"/>
    </xf>
    <xf numFmtId="0" fontId="20" fillId="94" borderId="56" xfId="0" applyFont="1" applyFill="1" applyBorder="1" applyAlignment="1">
      <alignment horizontal="center" vertical="center" wrapText="1"/>
    </xf>
    <xf numFmtId="0" fontId="20" fillId="94" borderId="4" xfId="0" applyFont="1" applyFill="1" applyBorder="1" applyAlignment="1">
      <alignment horizontal="center" vertical="center" wrapText="1"/>
    </xf>
    <xf numFmtId="0" fontId="1" fillId="0" borderId="4" xfId="0" applyFont="1" applyBorder="1" applyAlignment="1">
      <alignment horizontal="left" vertical="center" wrapText="1"/>
    </xf>
    <xf numFmtId="0" fontId="13" fillId="0" borderId="1" xfId="0" applyFont="1" applyBorder="1" applyAlignment="1">
      <alignment horizontal="left" vertical="center" wrapText="1"/>
    </xf>
    <xf numFmtId="0" fontId="15" fillId="4" borderId="1" xfId="0" applyFont="1" applyFill="1" applyBorder="1" applyAlignment="1">
      <alignment horizontal="center" vertical="center" wrapText="1"/>
    </xf>
    <xf numFmtId="0" fontId="17" fillId="0" borderId="1" xfId="0" applyFont="1" applyBorder="1" applyAlignment="1">
      <alignment horizontal="left" vertical="center"/>
    </xf>
    <xf numFmtId="0" fontId="5" fillId="4" borderId="4"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1" xfId="0" applyFont="1" applyBorder="1" applyAlignment="1">
      <alignment horizontal="left" vertical="center"/>
    </xf>
    <xf numFmtId="0" fontId="4" fillId="0" borderId="1" xfId="0" applyFont="1" applyBorder="1" applyAlignment="1">
      <alignment horizontal="center" vertical="center" wrapText="1"/>
    </xf>
    <xf numFmtId="0" fontId="0" fillId="0" borderId="0" xfId="0" applyAlignment="1">
      <alignment vertical="center" wrapText="1"/>
    </xf>
    <xf numFmtId="0" fontId="0" fillId="0" borderId="0" xfId="0" applyAlignment="1">
      <alignment vertical="center" wrapText="1" shrinkToFit="1"/>
    </xf>
    <xf numFmtId="194" fontId="0" fillId="0" borderId="0" xfId="0" applyNumberFormat="1" applyAlignment="1">
      <alignment vertical="center" wrapText="1"/>
    </xf>
    <xf numFmtId="194" fontId="1" fillId="0" borderId="144" xfId="0" applyNumberFormat="1" applyFont="1" applyBorder="1" applyAlignment="1">
      <alignment horizontal="center" vertical="center"/>
    </xf>
    <xf numFmtId="4" fontId="84" fillId="8" borderId="90" xfId="0" applyNumberFormat="1" applyFont="1" applyFill="1" applyBorder="1" applyAlignment="1">
      <alignment horizontal="center" vertical="center" shrinkToFit="1"/>
    </xf>
    <xf numFmtId="0" fontId="0" fillId="0" borderId="80" xfId="0" applyBorder="1" applyAlignment="1">
      <alignment shrinkToFit="1"/>
    </xf>
    <xf numFmtId="0" fontId="0" fillId="0" borderId="82" xfId="0" applyBorder="1" applyAlignment="1">
      <alignment shrinkToFit="1"/>
    </xf>
    <xf numFmtId="4" fontId="84" fillId="8" borderId="82" xfId="0" applyNumberFormat="1" applyFont="1" applyFill="1" applyBorder="1" applyAlignment="1">
      <alignment horizontal="center" vertical="center" shrinkToFit="1"/>
    </xf>
    <xf numFmtId="4" fontId="15" fillId="0" borderId="12" xfId="0" applyNumberFormat="1" applyFont="1" applyBorder="1" applyAlignment="1">
      <alignment horizontal="left" vertical="center"/>
    </xf>
    <xf numFmtId="4" fontId="15" fillId="0" borderId="15" xfId="0" applyNumberFormat="1" applyFont="1" applyBorder="1" applyAlignment="1">
      <alignment horizontal="left" vertical="center"/>
    </xf>
    <xf numFmtId="4" fontId="15" fillId="0" borderId="13" xfId="0" applyNumberFormat="1" applyFont="1" applyBorder="1" applyAlignment="1">
      <alignment horizontal="left" vertical="center"/>
    </xf>
    <xf numFmtId="0" fontId="84" fillId="8" borderId="90" xfId="0" applyFont="1" applyFill="1" applyBorder="1" applyAlignment="1">
      <alignment horizontal="center" vertical="center" wrapText="1" shrinkToFit="1"/>
    </xf>
    <xf numFmtId="4" fontId="15" fillId="0" borderId="174" xfId="0" applyNumberFormat="1" applyFont="1" applyBorder="1" applyAlignment="1">
      <alignment horizontal="center" vertical="center" shrinkToFit="1"/>
    </xf>
    <xf numFmtId="0" fontId="0" fillId="0" borderId="194" xfId="0" applyBorder="1" applyAlignment="1">
      <alignment shrinkToFit="1"/>
    </xf>
    <xf numFmtId="0" fontId="0" fillId="0" borderId="180" xfId="0" applyBorder="1" applyAlignment="1">
      <alignment shrinkToFit="1"/>
    </xf>
    <xf numFmtId="4" fontId="15" fillId="0" borderId="175" xfId="0" applyNumberFormat="1" applyFont="1" applyBorder="1" applyAlignment="1">
      <alignment horizontal="center" vertical="center" shrinkToFit="1"/>
    </xf>
    <xf numFmtId="0" fontId="184" fillId="99" borderId="248" xfId="0"/>
    <xf numFmtId="0" fontId="185" fillId="99" borderId="248" xfId="0" applyNumberFormat="1" applyFont="1" applyFill="1" applyBorder="1"/>
    <xf numFmtId="0" fontId="185" fillId="99" borderId="248" xfId="0" applyNumberFormat="1" applyFont="1" applyFill="1" applyBorder="1" applyAlignment="1">
      <alignment vertical="center"/>
    </xf>
    <xf numFmtId="0" fontId="185" fillId="99" borderId="248" xfId="0" applyNumberFormat="1" applyFont="1" applyFill="1" applyBorder="1" applyAlignment="1">
      <alignment vertical="center" wrapText="1"/>
    </xf>
    <xf numFmtId="0" fontId="185" fillId="101" borderId="248" xfId="0" applyNumberFormat="1" applyFont="1" applyFill="1" applyBorder="1" applyAlignment="1">
      <alignment vertical="center" wrapText="1"/>
    </xf>
    <xf numFmtId="0" fontId="186" fillId="101" borderId="248" xfId="0" applyNumberFormat="1" applyFont="1" applyFill="1" applyBorder="1" applyAlignment="1">
      <alignment vertical="center" wrapText="1"/>
    </xf>
    <xf numFmtId="0" fontId="186" fillId="101" borderId="248" xfId="0" applyNumberFormat="1" applyFont="1" applyFill="1" applyBorder="1" applyAlignment="1">
      <alignment horizontal="center" vertical="center" wrapText="1"/>
    </xf>
    <xf numFmtId="195" fontId="185" fillId="99" borderId="248" xfId="0" applyNumberFormat="1" applyFont="1" applyFill="1" applyBorder="1" applyAlignment="1">
      <alignment vertical="center" wrapText="1"/>
    </xf>
    <xf numFmtId="196" fontId="185" fillId="99" borderId="248" xfId="0" applyNumberFormat="1" applyFont="1" applyFill="1" applyBorder="1" applyAlignment="1">
      <alignment vertical="center" wrapText="1"/>
    </xf>
    <xf numFmtId="0" fontId="187" fillId="99" borderId="248" xfId="0" applyNumberFormat="1" applyFont="1" applyFill="1" applyBorder="1"/>
    <xf numFmtId="0" fontId="188" fillId="99" borderId="248" xfId="0" applyNumberFormat="1" applyFont="1" applyFill="1" applyBorder="1"/>
    <xf numFmtId="0" fontId="188" fillId="99" borderId="248" xfId="0" applyNumberFormat="1" applyFont="1" applyFill="1" applyBorder="1" applyAlignment="1">
      <alignment wrapText="1"/>
    </xf>
    <xf numFmtId="0" fontId="188" fillId="99" borderId="248" xfId="0" applyNumberFormat="1" applyFont="1" applyFill="1" applyBorder="1" applyAlignment="1">
      <alignment vertical="center" wrapText="1"/>
    </xf>
    <xf numFmtId="0" fontId="189" fillId="99" borderId="248" xfId="0" applyNumberFormat="1" applyFont="1" applyFill="1" applyBorder="1" applyAlignment="1">
      <alignment vertical="center" wrapText="1"/>
    </xf>
    <xf numFmtId="0" fontId="188" fillId="102" borderId="248" xfId="0" applyNumberFormat="1" applyFont="1" applyFill="1" applyBorder="1" applyAlignment="1">
      <alignment vertical="center" wrapText="1"/>
    </xf>
    <xf numFmtId="197" fontId="188" fillId="99" borderId="248" xfId="0" applyNumberFormat="1" applyFont="1" applyFill="1" applyBorder="1" applyAlignment="1">
      <alignment vertical="center" wrapText="1"/>
    </xf>
    <xf numFmtId="197" fontId="188" fillId="102" borderId="248" xfId="0" applyNumberFormat="1" applyFont="1" applyFill="1" applyBorder="1" applyAlignment="1">
      <alignment vertical="center" wrapText="1"/>
    </xf>
    <xf numFmtId="195" fontId="188" fillId="99" borderId="248" xfId="0" applyNumberFormat="1" applyFont="1" applyFill="1" applyBorder="1" applyAlignment="1">
      <alignment vertical="center" wrapText="1"/>
    </xf>
    <xf numFmtId="0" fontId="190" fillId="4" borderId="249" xfId="0" applyFont="1" applyFill="1" applyBorder="1" applyAlignment="1">
      <alignment horizontal="center" vertical="center" wrapText="1"/>
    </xf>
    <xf numFmtId="0" fontId="191" fillId="0" borderId="250" xfId="0" applyFont="1" applyBorder="1" applyAlignment="1">
      <alignment horizontal="center" vertical="center" wrapText="0" shrinkToFit="1"/>
    </xf>
    <xf numFmtId="0" fontId="192" fillId="9" borderId="251" xfId="0" applyFont="1" applyFill="1" applyBorder="1" applyAlignment="1">
      <alignment horizontal="center" vertical="center" wrapText="0" shrinkToFit="1"/>
    </xf>
    <xf numFmtId="0" fontId="193" fillId="9" borderId="252" xfId="0" applyFont="1" applyFill="1" applyBorder="1" applyAlignment="1">
      <alignment horizontal="center" vertical="center" wrapText="0" shrinkToFit="1"/>
    </xf>
  </cellXfs>
  <cellStyles count="7">
    <cellStyle name="20% - 着色 1" xfId="4" xr:uid="{00000000-0005-0000-0000-000004000000}"/>
    <cellStyle name="40% - 着色 1" xfId="5" xr:uid="{00000000-0005-0000-0000-000005000000}"/>
    <cellStyle name="60% - 着色 1" xfId="2" xr:uid="{00000000-0005-0000-0000-000002000000}"/>
    <cellStyle name="常规" xfId="0" builtinId="0"/>
    <cellStyle name="常规 2" xfId="6" xr:uid="{00000000-0005-0000-0000-000006000000}"/>
    <cellStyle name="超链接" xfId="1" xr:uid="{00000000-0005-0000-0000-000001000000}"/>
    <cellStyle name="着色 1" xfId="3" xr:uid="{00000000-0005-0000-0000-000003000000}"/>
  </cellStyles>
  <dxfs count="21">
    <dxf>
      <font>
        <color theme="0" tint="-0.249977111117893"/>
      </font>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theme="4" tint="0.79995117038483843"/>
        </patternFill>
      </fill>
    </dxf>
    <dxf>
      <font>
        <color theme="0"/>
      </font>
      <fill>
        <patternFill>
          <bgColor rgb="FFC00000"/>
        </patternFill>
      </fill>
    </dxf>
    <dxf>
      <fill>
        <patternFill>
          <bgColor theme="0"/>
        </patternFill>
      </fill>
    </dxf>
    <dxf>
      <fill>
        <patternFill>
          <bgColor rgb="FFB4C7E7"/>
        </patternFill>
      </fill>
    </dxf>
    <dxf>
      <fill>
        <patternFill>
          <bgColor rgb="FFC5E0B3"/>
        </patternFill>
      </fill>
      <border>
        <left style="dotted">
          <color auto="1"/>
        </left>
        <right style="dotted">
          <color auto="1"/>
        </right>
        <top style="dotted">
          <color auto="1"/>
        </top>
        <bottom style="dotted">
          <color auto="1"/>
        </bottom>
      </border>
    </dxf>
    <dxf>
      <fill>
        <patternFill>
          <bgColor rgb="FFFFE598"/>
        </patternFill>
      </fill>
      <border>
        <left style="dotted">
          <color auto="1"/>
        </left>
        <right style="dotted">
          <color auto="1"/>
        </right>
        <top style="dotted">
          <color auto="1"/>
        </top>
        <bottom style="dotted">
          <color auto="1"/>
        </bottom>
      </border>
    </dxf>
    <dxf>
      <fill>
        <patternFill>
          <bgColor rgb="FFFBE4D5"/>
        </patternFill>
      </fill>
      <border>
        <left style="dotted">
          <color auto="1"/>
        </left>
        <right style="dotted">
          <color auto="1"/>
        </right>
        <top style="dotted">
          <color auto="1"/>
        </top>
        <bottom style="dotted">
          <color auto="1"/>
        </bottom>
      </border>
    </dxf>
    <dxf>
      <fill>
        <patternFill>
          <bgColor rgb="FFBED6EE"/>
        </patternFill>
      </fill>
      <border>
        <left style="dashDot">
          <color auto="1"/>
        </left>
        <right style="dashDot">
          <color auto="1"/>
        </right>
        <top style="dashDot">
          <color auto="1"/>
        </top>
        <bottom style="dashDot">
          <color auto="1"/>
        </bottom>
      </border>
    </dxf>
    <dxf>
      <fill>
        <patternFill>
          <bgColor rgb="FFB4C7E7"/>
        </patternFill>
      </fill>
    </dxf>
    <dxf>
      <fill>
        <patternFill>
          <bgColor rgb="FFC5E0B3"/>
        </patternFill>
      </fill>
      <border>
        <left style="dotted">
          <color auto="1"/>
        </left>
        <right style="dotted">
          <color auto="1"/>
        </right>
        <top style="dotted">
          <color auto="1"/>
        </top>
        <bottom style="dotted">
          <color auto="1"/>
        </bottom>
      </border>
    </dxf>
    <dxf>
      <fill>
        <patternFill>
          <bgColor rgb="FFFFE598"/>
        </patternFill>
      </fill>
      <border>
        <left style="dotted">
          <color auto="1"/>
        </left>
        <right style="dotted">
          <color auto="1"/>
        </right>
        <top style="dotted">
          <color auto="1"/>
        </top>
        <bottom style="dotted">
          <color auto="1"/>
        </bottom>
      </border>
    </dxf>
    <dxf>
      <fill>
        <patternFill>
          <bgColor rgb="FFFBE4D5"/>
        </patternFill>
      </fill>
      <border>
        <left style="dotted">
          <color auto="1"/>
        </left>
        <right style="dotted">
          <color auto="1"/>
        </right>
        <top style="dotted">
          <color auto="1"/>
        </top>
        <bottom style="dotted">
          <color auto="1"/>
        </bottom>
      </border>
    </dxf>
    <dxf>
      <fill>
        <patternFill>
          <bgColor rgb="FFBED6EE"/>
        </patternFill>
      </fill>
      <border>
        <left style="dashDot">
          <color auto="1"/>
        </left>
        <right style="dashDot">
          <color auto="1"/>
        </right>
        <top style="dashDot">
          <color auto="1"/>
        </top>
        <bottom style="dashDot">
          <color auto="1"/>
        </bottom>
      </border>
    </dxf>
    <dxf>
      <font>
        <color rgb="FF963B28"/>
      </font>
      <fill>
        <patternFill patternType="solid">
          <bgColor rgb="FFFCE6D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autoTitleDeleted val="1"/>
    <c:plotArea>
      <c:layout/>
      <c:radarChart>
        <c:radarStyle val="marker"/>
        <c:varyColors val="1"/>
        <c:ser>
          <c:idx val="0"/>
          <c:order val="0"/>
          <c:spPr>
            <a:ln>
              <a:noFill/>
              <a:prstDash val="solid"/>
            </a:ln>
          </c:spPr>
          <c:marker>
            <c:symbol val="none"/>
          </c:marke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C0CB-45D9-80A6-09E200FA0584}"/>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numFmt formatCode="General" sourceLinked="0"/>
        <c:majorTickMark val="none"/>
        <c:minorTickMark val="none"/>
        <c:tickLblPos val="nextTo"/>
        <c:spPr>
          <a:ln w="9525" cmpd="sng">
            <a:solidFill>
              <a:schemeClr val="tx1">
                <a:lumMod val="15000"/>
                <a:lumOff val="8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zh-CN"/>
          </a:p>
        </c:txPr>
        <c:crossAx val="48672768"/>
        <c:crosses val="autoZero"/>
        <c:auto val="1"/>
        <c:lblAlgn val="ctr"/>
        <c:lblOffset val="100"/>
        <c:noMultiLvlLbl val="0"/>
      </c:catAx>
      <c:valAx>
        <c:axId val="48672768"/>
        <c:scaling>
          <c:orientation val="minMax"/>
        </c:scaling>
        <c:delete val="0"/>
        <c:axPos val="l"/>
        <c:majorGridlines>
          <c:spPr>
            <a:ln w="9525" cmpd="sng">
              <a:solidFill>
                <a:schemeClr val="tx1">
                  <a:lumMod val="15000"/>
                  <a:lumOff val="85000"/>
                </a:schemeClr>
              </a:solidFill>
              <a:prstDash val="solid"/>
            </a:ln>
          </c:spPr>
        </c:majorGridlines>
        <c:numFmt formatCode="General" sourceLinked="1"/>
        <c:majorTickMark val="none"/>
        <c:minorTickMark val="none"/>
        <c:tickLblPos val="nextTo"/>
        <c:spPr>
          <a:ln>
            <a:noFill/>
            <a:prstDash val="solid"/>
          </a:ln>
        </c:spPr>
        <c:txPr>
          <a:bodyPr rot="-60000000" vert="horz" anchor="ctr" anchorCtr="1"/>
          <a:lstStyle/>
          <a:p>
            <a:pPr>
              <a:defRPr sz="900" b="0" i="0">
                <a:noFill/>
                <a:latin typeface="+mn-lt"/>
                <a:ea typeface="+mn-lt"/>
                <a:cs typeface="+mn-lt"/>
              </a:defRPr>
            </a:pPr>
            <a:endParaRPr lang="zh-CN"/>
          </a:p>
        </c:txPr>
        <c:crossAx val="48650112"/>
        <c:crosses val="autoZero"/>
        <c:crossBetween val="between"/>
      </c:valAx>
    </c:plotArea>
    <c:plotVisOnly val="1"/>
    <c:dispBlanksAs val="zero"/>
    <c:showDLblsOverMax val="1"/>
  </c:chart>
  <c:spPr>
    <a:solidFill>
      <a:schemeClr val="bg1"/>
    </a:solidFill>
    <a:ln w="9525" cmpd="sng">
      <a:solidFill>
        <a:schemeClr val="tx1">
          <a:lumMod val="15000"/>
          <a:lumOff val="85000"/>
        </a:schemeClr>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autoTitleDeleted val="1"/>
    <c:plotArea>
      <c:layout/>
      <c:radarChart>
        <c:radarStyle val="marker"/>
        <c:varyColors val="1"/>
        <c:ser>
          <c:idx val="0"/>
          <c:order val="0"/>
          <c:spPr>
            <a:ln>
              <a:noFill/>
              <a:prstDash val="solid"/>
            </a:ln>
          </c:spPr>
          <c:marker>
            <c:symbol val="none"/>
          </c:marke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73FA-4128-94CC-98BDEBA950C3}"/>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numFmt formatCode="General" sourceLinked="0"/>
        <c:majorTickMark val="none"/>
        <c:minorTickMark val="none"/>
        <c:tickLblPos val="nextTo"/>
        <c:spPr>
          <a:ln w="9525" cmpd="sng">
            <a:solidFill>
              <a:schemeClr val="tx1">
                <a:lumMod val="15000"/>
                <a:lumOff val="8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zh-CN"/>
          </a:p>
        </c:txPr>
        <c:crossAx val="48672768"/>
        <c:crosses val="autoZero"/>
        <c:auto val="1"/>
        <c:lblAlgn val="ctr"/>
        <c:lblOffset val="100"/>
        <c:noMultiLvlLbl val="0"/>
      </c:catAx>
      <c:valAx>
        <c:axId val="48672768"/>
        <c:scaling>
          <c:orientation val="minMax"/>
        </c:scaling>
        <c:delete val="0"/>
        <c:axPos val="l"/>
        <c:majorGridlines>
          <c:spPr>
            <a:ln w="9525" cmpd="sng">
              <a:solidFill>
                <a:schemeClr val="tx1">
                  <a:lumMod val="15000"/>
                  <a:lumOff val="85000"/>
                </a:schemeClr>
              </a:solidFill>
              <a:prstDash val="solid"/>
            </a:ln>
          </c:spPr>
        </c:majorGridlines>
        <c:minorGridlines>
          <c:spPr>
            <a:ln w="9525" cmpd="sng">
              <a:solidFill>
                <a:schemeClr val="tx1">
                  <a:lumMod val="5000"/>
                  <a:lumOff val="95000"/>
                </a:schemeClr>
              </a:solidFill>
              <a:prstDash val="solid"/>
            </a:ln>
          </c:spPr>
        </c:minorGridlines>
        <c:numFmt formatCode="General" sourceLinked="1"/>
        <c:majorTickMark val="none"/>
        <c:minorTickMark val="none"/>
        <c:tickLblPos val="nextTo"/>
        <c:spPr>
          <a:ln>
            <a:no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zh-CN"/>
          </a:p>
        </c:txPr>
        <c:crossAx val="48650112"/>
        <c:crosses val="autoZero"/>
        <c:crossBetween val="between"/>
      </c:valAx>
    </c:plotArea>
    <c:plotVisOnly val="1"/>
    <c:dispBlanksAs val="zero"/>
    <c:showDLblsOverMax val="1"/>
  </c:chart>
  <c:spPr>
    <a:solidFill>
      <a:schemeClr val="bg1"/>
    </a:solidFill>
    <a:ln w="9525" cmpd="sng">
      <a:solidFill>
        <a:schemeClr val="tx1">
          <a:lumMod val="15000"/>
          <a:lumOff val="85000"/>
        </a:schemeClr>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57</xdr:col>
      <xdr:colOff>161364</xdr:colOff>
      <xdr:row>7</xdr:row>
      <xdr:rowOff>215152</xdr:rowOff>
    </xdr:from>
    <xdr:to>
      <xdr:col>69</xdr:col>
      <xdr:colOff>205796</xdr:colOff>
      <xdr:row>15</xdr:row>
      <xdr:rowOff>204977</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14605</xdr:colOff>
      <xdr:row>8</xdr:row>
      <xdr:rowOff>0</xdr:rowOff>
    </xdr:from>
    <xdr:to>
      <xdr:col>58</xdr:col>
      <xdr:colOff>61472</xdr:colOff>
      <xdr:row>15</xdr:row>
      <xdr:rowOff>199784</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148"/>
  <sheetViews>
    <sheetView showGridLines="0" tabSelected="1" topLeftCell="A26" workbookViewId="0">
      <selection activeCell="J50" sqref="J50:AS50"/>
    </sheetView>
  </sheetViews>
  <sheetFormatPr defaultColWidth="3.109375" defaultRowHeight="15"/>
  <cols>
    <col min="1" max="1" width="13.21875" style="230" customWidth="1"/>
    <col min="2" max="45" width="3.109375" style="230" customWidth="1"/>
    <col min="46" max="46" width="13.21875" style="230" customWidth="1"/>
    <col min="47" max="47" width="3.109375" style="230" customWidth="1"/>
    <col min="48" max="16384" width="3.109375" style="230"/>
  </cols>
  <sheetData>
    <row r="1" spans="1:77" ht="18" customHeight="1" thickBot="1">
      <c r="B1" s="1201" t="s">
        <v>0</v>
      </c>
      <c r="C1" s="996"/>
      <c r="D1" s="996"/>
      <c r="E1" s="996"/>
      <c r="F1" s="996"/>
      <c r="G1" s="996"/>
      <c r="H1" s="996"/>
      <c r="I1" s="996"/>
      <c r="J1" s="996"/>
      <c r="K1" s="996"/>
      <c r="L1" s="996"/>
      <c r="M1" s="996"/>
      <c r="N1" s="996"/>
      <c r="O1" s="996"/>
      <c r="P1" s="996"/>
      <c r="Q1" s="996"/>
      <c r="R1" s="996"/>
      <c r="S1" s="996"/>
      <c r="T1" s="996"/>
      <c r="U1" s="996"/>
      <c r="V1" s="996"/>
      <c r="W1" s="996"/>
      <c r="X1" s="996"/>
      <c r="Y1" s="996"/>
      <c r="Z1" s="996"/>
      <c r="AA1" s="996"/>
      <c r="AB1" s="996"/>
      <c r="AC1" s="996"/>
      <c r="AD1" s="996"/>
      <c r="AE1" s="996"/>
      <c r="AF1" s="996"/>
      <c r="AG1" s="996"/>
      <c r="AH1" s="996"/>
      <c r="AI1" s="996"/>
      <c r="AJ1" s="996"/>
      <c r="AK1" s="996"/>
      <c r="AL1" s="996"/>
      <c r="AM1" s="996"/>
      <c r="AN1" s="996"/>
      <c r="AO1" s="996"/>
      <c r="AP1" s="996"/>
      <c r="AQ1" s="996"/>
      <c r="AR1" s="996"/>
      <c r="AS1" s="996"/>
      <c r="AT1" s="996"/>
      <c r="AU1" s="996"/>
      <c r="AV1" s="996"/>
      <c r="AW1" s="996"/>
      <c r="AX1" s="996"/>
      <c r="AY1" s="996"/>
      <c r="AZ1" s="996"/>
      <c r="BA1" s="996"/>
      <c r="BB1" s="996"/>
      <c r="BC1" s="996"/>
      <c r="BD1" s="996"/>
      <c r="BE1" s="996"/>
      <c r="BF1" s="996"/>
      <c r="BG1" s="996"/>
      <c r="BH1" s="996"/>
      <c r="BI1" s="996"/>
      <c r="BJ1" s="996"/>
      <c r="BK1" s="996"/>
      <c r="BL1" s="996"/>
      <c r="BM1" s="996"/>
      <c r="BN1" s="996"/>
      <c r="BO1" s="996"/>
      <c r="BP1" s="996"/>
      <c r="BQ1" s="996"/>
      <c r="BR1" s="996"/>
    </row>
    <row r="2" spans="1:77" ht="18" customHeight="1" thickBot="1">
      <c r="B2" s="1022" t="s">
        <v>1</v>
      </c>
      <c r="C2" s="1023"/>
      <c r="D2" s="1023"/>
      <c r="E2" s="1023"/>
      <c r="F2" s="1023"/>
      <c r="G2" s="1023"/>
      <c r="H2" s="1023"/>
      <c r="I2" s="1023"/>
      <c r="J2" s="1023"/>
      <c r="K2" s="1023"/>
      <c r="L2" s="1023"/>
      <c r="M2" s="1023"/>
      <c r="N2" s="1023"/>
      <c r="O2" s="1023"/>
      <c r="P2" s="1023"/>
      <c r="Q2" s="1024"/>
      <c r="S2" s="1334" t="s">
        <v>2</v>
      </c>
      <c r="T2" s="1051"/>
      <c r="U2" s="1051"/>
      <c r="V2" s="1207" t="str">
        <f>附表!D37</f>
        <v>请和kp商议</v>
      </c>
      <c r="W2" s="1051"/>
      <c r="X2" s="1051"/>
      <c r="Y2" s="1051"/>
      <c r="Z2" s="1051"/>
      <c r="AA2" s="1331" t="s">
        <v>3</v>
      </c>
      <c r="AB2" s="1051"/>
      <c r="AC2" s="1356" t="s">
        <v>4</v>
      </c>
      <c r="AD2" s="1051"/>
      <c r="AE2" s="1051"/>
      <c r="AF2" s="1051"/>
      <c r="AG2" s="1050" t="n">
        <f>U3+U5+U7+AA3+AA5+AA7+AG3+AG5+AG7</f>
        <v>0</v>
      </c>
      <c r="AH2" s="1051"/>
      <c r="AI2" s="1051"/>
      <c r="AJ2" s="1052"/>
      <c r="AL2" s="1087" t="s">
        <v>5</v>
      </c>
      <c r="AM2" s="1088"/>
      <c r="AN2" s="1088"/>
      <c r="AO2" s="1088"/>
      <c r="AP2" s="1088"/>
      <c r="AQ2" s="1088"/>
      <c r="AR2" s="1088"/>
      <c r="AS2" s="1089"/>
      <c r="AU2" s="1124" t="s">
        <v>6</v>
      </c>
      <c r="AV2" s="1023"/>
      <c r="AW2" s="1023"/>
      <c r="AX2" s="1023"/>
      <c r="AY2" s="1023"/>
      <c r="AZ2" s="1023"/>
      <c r="BA2" s="1023"/>
      <c r="BB2" s="1023"/>
      <c r="BC2" s="1023"/>
      <c r="BD2" s="1023"/>
      <c r="BE2" s="1023"/>
      <c r="BF2" s="1023"/>
      <c r="BG2" s="1023"/>
      <c r="BH2" s="1023"/>
      <c r="BI2" s="1023"/>
      <c r="BJ2" s="1023"/>
      <c r="BK2" s="1023"/>
      <c r="BL2" s="1023"/>
      <c r="BM2" s="1023"/>
      <c r="BN2" s="1023"/>
      <c r="BO2" s="1023"/>
      <c r="BP2" s="1023"/>
      <c r="BQ2" s="1023"/>
      <c r="BR2" s="1024"/>
    </row>
    <row r="3" spans="1:77" ht="18" customHeight="1">
      <c r="B3" s="1108" t="s">
        <v>7</v>
      </c>
      <c r="C3" s="1007"/>
      <c r="D3" s="1000"/>
      <c r="E3" s="1002"/>
      <c r="F3" s="1007"/>
      <c r="G3" s="1007"/>
      <c r="H3" s="1007"/>
      <c r="I3" s="1007"/>
      <c r="J3" s="1007"/>
      <c r="K3" s="1007"/>
      <c r="L3" s="1007"/>
      <c r="M3" s="1007"/>
      <c r="N3" s="1007"/>
      <c r="O3" s="1007"/>
      <c r="P3" s="1007"/>
      <c r="Q3" s="1000"/>
      <c r="S3" s="1156" t="s">
        <v>8</v>
      </c>
      <c r="T3" s="1013"/>
      <c r="U3" s="1025"/>
      <c r="V3" s="1013"/>
      <c r="W3" s="1042" t="n">
        <f>INT(U3/2)</f>
        <v>0</v>
      </c>
      <c r="X3" s="1000"/>
      <c r="Y3" s="1080" t="s">
        <v>9</v>
      </c>
      <c r="Z3" s="1013"/>
      <c r="AA3" s="1080"/>
      <c r="AB3" s="1013"/>
      <c r="AC3" s="1187" t="n">
        <f>INT(AA3/2)</f>
        <v>0</v>
      </c>
      <c r="AD3" s="1027"/>
      <c r="AE3" s="1025" t="s">
        <v>10</v>
      </c>
      <c r="AF3" s="1013"/>
      <c r="AG3" s="1025"/>
      <c r="AH3" s="1013"/>
      <c r="AI3" s="1286" t="n">
        <f>INT(AG3/2)</f>
        <v>0</v>
      </c>
      <c r="AJ3" s="1027"/>
      <c r="AL3" s="1034"/>
      <c r="AM3" s="996"/>
      <c r="AN3" s="996"/>
      <c r="AO3" s="996"/>
      <c r="AP3" s="996"/>
      <c r="AQ3" s="996"/>
      <c r="AR3" s="996"/>
      <c r="AS3" s="1015"/>
      <c r="AU3" s="1143" t="str">
        <f>IF(U3=0,"",IF(U3&lt;=15,"虚弱，孱弱",IF(U3&lt;=40,"力量弱小",IF(U3&lt;=60,"有正常人的力量",IF(U3&lt;=80,"超乎常人的力量",IF(U3&lt;100,"超乎超乎常人的力量"))))))</f>
        <v/>
      </c>
      <c r="AV3" s="1033"/>
      <c r="AW3" s="1033"/>
      <c r="AX3" s="1033"/>
      <c r="AY3" s="1033"/>
      <c r="AZ3" s="1033"/>
      <c r="BA3" s="1033"/>
      <c r="BB3" s="1031"/>
      <c r="BC3" s="1217" t="str">
        <f>IF(AA3=0,"",IF(AA3&lt;=20,"很不灵活",IF(AA3&lt;=40,"不是很灵活",IF(AA3&lt;=60,"普通人水平",IF(AA3&lt;=80,"是一位运动健将",IF(AA3&lt;100,"高速而灵活,可以达成超凡的技艺"))))))</f>
        <v/>
      </c>
      <c r="BD3" s="1033"/>
      <c r="BE3" s="1033"/>
      <c r="BF3" s="1033"/>
      <c r="BG3" s="1033"/>
      <c r="BH3" s="1033"/>
      <c r="BI3" s="1033"/>
      <c r="BJ3" s="1031"/>
      <c r="BK3" s="1218" t="str">
        <f>IF(AG3=0,"",IF(AG3&lt;=20,"尔不过玩物",IF(AG3&lt;=40,"痴愚盲目",IF(AG3&lt;=60,"如常人一般会有一定自制力",IF(AG3&lt;=80,"我心如铁，心坚石穿",IF(AG3&lt;100,"泰山崩于面而色不变",IF(AG3&lt;140,"钢铁之心，还能看见鬼","你怕是个假人吧")))))))</f>
        <v/>
      </c>
      <c r="BL3" s="1033"/>
      <c r="BM3" s="1033"/>
      <c r="BN3" s="1033"/>
      <c r="BO3" s="1033"/>
      <c r="BP3" s="1033"/>
      <c r="BQ3" s="1033"/>
      <c r="BR3" s="1031"/>
    </row>
    <row r="4" spans="1:77" ht="18" customHeight="1">
      <c r="B4" s="1073" t="s">
        <v>11</v>
      </c>
      <c r="C4" s="1007"/>
      <c r="D4" s="1000"/>
      <c r="E4" s="1042"/>
      <c r="F4" s="1007"/>
      <c r="G4" s="1007"/>
      <c r="H4" s="1007"/>
      <c r="I4" s="1000"/>
      <c r="J4" s="1042" t="s">
        <v>12</v>
      </c>
      <c r="K4" s="1007"/>
      <c r="L4" s="1000"/>
      <c r="M4" s="1042" t="s">
        <v>13</v>
      </c>
      <c r="N4" s="1007"/>
      <c r="O4" s="1007"/>
      <c r="P4" s="1007"/>
      <c r="Q4" s="1000"/>
      <c r="S4" s="1035"/>
      <c r="T4" s="1027"/>
      <c r="U4" s="1026"/>
      <c r="V4" s="1027"/>
      <c r="W4" s="1042" t="n">
        <f>INT(U3/5)</f>
        <v>0</v>
      </c>
      <c r="X4" s="1000"/>
      <c r="Y4" s="1026"/>
      <c r="Z4" s="1027"/>
      <c r="AA4" s="1026"/>
      <c r="AB4" s="1027"/>
      <c r="AC4" s="1002" t="n">
        <f>INT(AA3/5)</f>
        <v>0</v>
      </c>
      <c r="AD4" s="1000"/>
      <c r="AE4" s="1026"/>
      <c r="AF4" s="1027"/>
      <c r="AG4" s="1026"/>
      <c r="AH4" s="1027"/>
      <c r="AI4" s="1042" t="n">
        <f>INT(AG3/5)</f>
        <v>0</v>
      </c>
      <c r="AJ4" s="1000"/>
      <c r="AL4" s="1034"/>
      <c r="AM4" s="996"/>
      <c r="AN4" s="996"/>
      <c r="AO4" s="996"/>
      <c r="AP4" s="996"/>
      <c r="AQ4" s="996"/>
      <c r="AR4" s="996"/>
      <c r="AS4" s="1015"/>
      <c r="AU4" s="1035"/>
      <c r="AV4" s="1036"/>
      <c r="AW4" s="1036"/>
      <c r="AX4" s="1036"/>
      <c r="AY4" s="1036"/>
      <c r="AZ4" s="1036"/>
      <c r="BA4" s="1036"/>
      <c r="BB4" s="1027"/>
      <c r="BC4" s="1026"/>
      <c r="BD4" s="1036"/>
      <c r="BE4" s="1036"/>
      <c r="BF4" s="1036"/>
      <c r="BG4" s="1036"/>
      <c r="BH4" s="1036"/>
      <c r="BI4" s="1036"/>
      <c r="BJ4" s="1027"/>
      <c r="BK4" s="1026"/>
      <c r="BL4" s="1036"/>
      <c r="BM4" s="1036"/>
      <c r="BN4" s="1036"/>
      <c r="BO4" s="1036"/>
      <c r="BP4" s="1036"/>
      <c r="BQ4" s="1036"/>
      <c r="BR4" s="1027"/>
    </row>
    <row r="5" spans="1:77" ht="18" customHeight="1">
      <c r="B5" s="1108" t="s">
        <v>14</v>
      </c>
      <c r="C5" s="1007"/>
      <c r="D5" s="1000"/>
      <c r="E5" s="1002"/>
      <c r="F5" s="1007"/>
      <c r="G5" s="1007"/>
      <c r="H5" s="1007"/>
      <c r="I5" s="1000"/>
      <c r="J5" s="1002" t="s">
        <v>15</v>
      </c>
      <c r="K5" s="1007"/>
      <c r="L5" s="1000"/>
      <c r="M5" s="1002">
        <v>1</v>
      </c>
      <c r="N5" s="1007"/>
      <c r="O5" s="1007"/>
      <c r="P5" s="1007"/>
      <c r="Q5" s="1000"/>
      <c r="S5" s="1130" t="s">
        <v>16</v>
      </c>
      <c r="T5" s="1031"/>
      <c r="U5" s="1030"/>
      <c r="V5" s="1031"/>
      <c r="W5" s="1187" t="n">
        <f>INT(U5/2)</f>
        <v>0</v>
      </c>
      <c r="X5" s="1027"/>
      <c r="Y5" s="1081" t="s">
        <v>17</v>
      </c>
      <c r="Z5" s="1031"/>
      <c r="AA5" s="1081"/>
      <c r="AB5" s="1031"/>
      <c r="AC5" s="1042" t="n">
        <f>INT(AA5/2)</f>
        <v>0</v>
      </c>
      <c r="AD5" s="1000"/>
      <c r="AE5" s="1030" t="s">
        <v>18</v>
      </c>
      <c r="AF5" s="1031"/>
      <c r="AG5" s="1030"/>
      <c r="AH5" s="1031"/>
      <c r="AI5" s="1002" t="n">
        <f>INT(AG5/2)</f>
        <v>0</v>
      </c>
      <c r="AJ5" s="1000"/>
      <c r="AL5" s="1034"/>
      <c r="AM5" s="996"/>
      <c r="AN5" s="996"/>
      <c r="AO5" s="996"/>
      <c r="AP5" s="996"/>
      <c r="AQ5" s="996"/>
      <c r="AR5" s="996"/>
      <c r="AS5" s="1015"/>
      <c r="AU5" s="1146" t="str">
        <f>IF(U5=0,"",IF(U5&lt;=20,"常年患病在身",IF(U5&lt;=40,"体弱多病",IF(U5&lt;=60,"不会生什么大毛病",IF(U5&lt;=80,"健硕，浑身湿透也不会感冒",IF(U5&lt;100,"身体素质极好，精神抖擞"))))))</f>
        <v/>
      </c>
      <c r="AV5" s="1033"/>
      <c r="AW5" s="1033"/>
      <c r="AX5" s="1033"/>
      <c r="AY5" s="1033"/>
      <c r="AZ5" s="1033"/>
      <c r="BA5" s="1033"/>
      <c r="BB5" s="1031"/>
      <c r="BC5" s="1218" t="str">
        <f>IF(AA5=0,"",IF(AA5&lt;=20,"用脸就能恐惧敌人。。或队友",IF(AA5&lt;=40,"有些难看",IF(AA5&lt;=60,"人群之中谁也不会看你一眼之后就忘不掉你容颜",IF(AA5&lt;=80,"五官端正，仪表堂堂",IF(AA5&lt;100,"沉鱼落雁，闭月羞花"))))))</f>
        <v/>
      </c>
      <c r="BD5" s="1033"/>
      <c r="BE5" s="1033"/>
      <c r="BF5" s="1033"/>
      <c r="BG5" s="1033"/>
      <c r="BH5" s="1033"/>
      <c r="BI5" s="1033"/>
      <c r="BJ5" s="1031"/>
      <c r="BK5" s="1217" t="str">
        <f>IF(AG5=0,"",IF(AG5&lt;=20,"目不识丁",IF(AG5&lt;=40,"小学毕业",IF(AG5&lt;=60,"高中毕业",IF(AG5&lt;=80,"是重点大学的学生，或是普通大学的研究生",IF(AG5&lt;100,"饱读诗书，满腹经纶"))))))</f>
        <v/>
      </c>
      <c r="BL5" s="1033"/>
      <c r="BM5" s="1033"/>
      <c r="BN5" s="1033"/>
      <c r="BO5" s="1033"/>
      <c r="BP5" s="1033"/>
      <c r="BQ5" s="1033"/>
      <c r="BR5" s="1031"/>
    </row>
    <row r="6" spans="1:77" ht="18" customHeight="1">
      <c r="B6" s="1073" t="s">
        <v>19</v>
      </c>
      <c r="C6" s="1007"/>
      <c r="D6" s="1000"/>
      <c r="E6" s="1324"/>
      <c r="F6" s="1007"/>
      <c r="G6" s="1007"/>
      <c r="H6" s="1007"/>
      <c r="I6" s="1000"/>
      <c r="J6" s="1042" t="s">
        <v>20</v>
      </c>
      <c r="K6" s="1007"/>
      <c r="L6" s="1000"/>
      <c r="M6" s="1042"/>
      <c r="N6" s="1007"/>
      <c r="O6" s="1007"/>
      <c r="P6" s="1007"/>
      <c r="Q6" s="1000"/>
      <c r="S6" s="1035"/>
      <c r="T6" s="1027"/>
      <c r="U6" s="1026"/>
      <c r="V6" s="1027"/>
      <c r="W6" s="1002" t="n">
        <f>INT(U5/5)</f>
        <v>0</v>
      </c>
      <c r="X6" s="1000"/>
      <c r="Y6" s="1026"/>
      <c r="Z6" s="1027"/>
      <c r="AA6" s="1026"/>
      <c r="AB6" s="1027"/>
      <c r="AC6" s="1042" t="n">
        <f>INT(AA5/5)</f>
        <v>0</v>
      </c>
      <c r="AD6" s="1000"/>
      <c r="AE6" s="1026"/>
      <c r="AF6" s="1027"/>
      <c r="AG6" s="1026"/>
      <c r="AH6" s="1027"/>
      <c r="AI6" s="1337" t="n">
        <f>INT(AG5/5)</f>
        <v>0</v>
      </c>
      <c r="AJ6" s="1031"/>
      <c r="AL6" s="1034"/>
      <c r="AM6" s="996"/>
      <c r="AN6" s="996"/>
      <c r="AO6" s="996"/>
      <c r="AP6" s="996"/>
      <c r="AQ6" s="996"/>
      <c r="AR6" s="996"/>
      <c r="AS6" s="1015"/>
      <c r="AU6" s="1035"/>
      <c r="AV6" s="1036"/>
      <c r="AW6" s="1036"/>
      <c r="AX6" s="1036"/>
      <c r="AY6" s="1036"/>
      <c r="AZ6" s="1036"/>
      <c r="BA6" s="1036"/>
      <c r="BB6" s="1027"/>
      <c r="BC6" s="1026"/>
      <c r="BD6" s="1036"/>
      <c r="BE6" s="1036"/>
      <c r="BF6" s="1036"/>
      <c r="BG6" s="1036"/>
      <c r="BH6" s="1036"/>
      <c r="BI6" s="1036"/>
      <c r="BJ6" s="1027"/>
      <c r="BK6" s="1026"/>
      <c r="BL6" s="1036"/>
      <c r="BM6" s="1036"/>
      <c r="BN6" s="1036"/>
      <c r="BO6" s="1036"/>
      <c r="BP6" s="1036"/>
      <c r="BQ6" s="1036"/>
      <c r="BR6" s="1027"/>
    </row>
    <row r="7" spans="1:77" ht="18" customHeight="1" thickBot="1">
      <c r="B7" s="1108" t="s">
        <v>21</v>
      </c>
      <c r="C7" s="1007"/>
      <c r="D7" s="1000"/>
      <c r="E7" s="1002"/>
      <c r="F7" s="1007"/>
      <c r="G7" s="1007"/>
      <c r="H7" s="1007"/>
      <c r="I7" s="1000"/>
      <c r="J7" s="1002" t="s">
        <v>22</v>
      </c>
      <c r="K7" s="1007"/>
      <c r="L7" s="1000"/>
      <c r="M7" s="1002"/>
      <c r="N7" s="1007"/>
      <c r="O7" s="1007"/>
      <c r="P7" s="1007"/>
      <c r="Q7" s="1000"/>
      <c r="S7" s="1110" t="s">
        <v>23</v>
      </c>
      <c r="T7" s="1031"/>
      <c r="U7" s="1081"/>
      <c r="V7" s="1031"/>
      <c r="W7" s="1286" t="n">
        <f>INT(U7/2)</f>
        <v>0</v>
      </c>
      <c r="X7" s="1027"/>
      <c r="Y7" s="1030" t="s">
        <v>24</v>
      </c>
      <c r="Z7" s="1031"/>
      <c r="AA7" s="1030"/>
      <c r="AB7" s="1031"/>
      <c r="AC7" s="1002" t="n">
        <f>INT(AA7/2)</f>
        <v>0</v>
      </c>
      <c r="AD7" s="1000"/>
      <c r="AE7" s="1325" t="s">
        <v>25</v>
      </c>
      <c r="AF7" s="1033"/>
      <c r="AG7" s="1351"/>
      <c r="AH7" s="1033"/>
      <c r="AI7" s="1070" t="n">
        <f>INT(AG7/2)</f>
        <v>0</v>
      </c>
      <c r="AJ7" s="1000"/>
      <c r="AL7" s="1034"/>
      <c r="AM7" s="996"/>
      <c r="AN7" s="996"/>
      <c r="AO7" s="996"/>
      <c r="AP7" s="996"/>
      <c r="AQ7" s="996"/>
      <c r="AR7" s="996"/>
      <c r="AS7" s="1015"/>
      <c r="AU7" s="1143" t="str">
        <f>IF(U7=0,"",IF(U7&lt;=20,"孩童，身短体瘦",IF(U7&lt;=40,"乙女身材",IF(U7&lt;=60,"普遍身高155-175",IF(U7&lt;=80,"不是高就是胖",IF(U7&lt;=100,"大号的人",IF(U7&lt;150,"听说你正在申请身高世界记录？",IF(U7&lt;180,"你可能是一头牛",IF(U7&lt;200,"你已经是历史上最重的人类了","过分了喂！")))))))))</f>
        <v/>
      </c>
      <c r="AV7" s="1033"/>
      <c r="AW7" s="1033"/>
      <c r="AX7" s="1033"/>
      <c r="AY7" s="1033"/>
      <c r="AZ7" s="1033"/>
      <c r="BA7" s="1033"/>
      <c r="BB7" s="1031"/>
      <c r="BC7" s="1217" t="str">
        <f>IF(INT=0,"",IF(INT&lt;=20,"脑子是个好东西，可惜。。。",IF(INT&lt;=40,"理解知识要耗费比普通人更多的时间",IF(INT&lt;=60,"有着普通人的灵光一现",IF(INT&lt;=80,"可以自主进行发明创造",IF(INT&lt;100,"天才级水准"))))))</f>
        <v/>
      </c>
      <c r="BD7" s="1033"/>
      <c r="BE7" s="1033"/>
      <c r="BF7" s="1033"/>
      <c r="BG7" s="1033"/>
      <c r="BH7" s="1033"/>
      <c r="BI7" s="1033"/>
      <c r="BJ7" s="1031"/>
      <c r="BK7" s="1218" t="str">
        <f>IF(Luck=0,"",IF(Luck&lt;=20,"克夫克妻",IF(Luck&lt;=40,"霉运连连",IF(Luck&lt;=60,"命格平庸",IF(Luck&lt;=80,"在马路边捡到100块",IF(Luck&lt;100,"被幸运女神所眷顾"))))))</f>
        <v/>
      </c>
      <c r="BL7" s="1033"/>
      <c r="BM7" s="1033"/>
      <c r="BN7" s="1033"/>
      <c r="BO7" s="1033"/>
      <c r="BP7" s="1033"/>
      <c r="BQ7" s="1033"/>
      <c r="BR7" s="1031"/>
    </row>
    <row r="8" spans="1:77" ht="18" customHeight="1" thickBot="1">
      <c r="B8" s="1225" t="s">
        <v>26</v>
      </c>
      <c r="C8" s="1096"/>
      <c r="D8" s="1064"/>
      <c r="E8" s="1116" t="s">
        <v>27</v>
      </c>
      <c r="F8" s="1064"/>
      <c r="G8" s="1271">
        <v>2026</v>
      </c>
      <c r="H8" s="1096"/>
      <c r="I8" s="1064"/>
      <c r="J8" s="1116" t="s">
        <v>6106</v>
      </c>
      <c r="K8" s="1064"/>
      <c r="L8" s="1234" t="s">
        <v>28</v>
      </c>
      <c r="M8" s="1064"/>
      <c r="N8" s="1253" t="s">
        <v>29</v>
      </c>
      <c r="O8" s="1096"/>
      <c r="P8" s="1096"/>
      <c r="Q8" s="1064"/>
      <c r="S8" s="1035"/>
      <c r="T8" s="1027"/>
      <c r="U8" s="1026"/>
      <c r="V8" s="1027"/>
      <c r="W8" s="1358" t="n">
        <f>INT(U7/5)</f>
        <v>0</v>
      </c>
      <c r="X8" s="1064"/>
      <c r="Y8" s="1240"/>
      <c r="Z8" s="1241"/>
      <c r="AA8" s="1240"/>
      <c r="AB8" s="1241"/>
      <c r="AC8" s="1346" t="n">
        <f>INT(AA7/5)</f>
        <v>0</v>
      </c>
      <c r="AD8" s="1064"/>
      <c r="AE8" s="1326"/>
      <c r="AF8" s="1019"/>
      <c r="AG8" s="1326"/>
      <c r="AH8" s="1019"/>
      <c r="AI8" s="1152" t="n">
        <f>INT(AG7/5)</f>
        <v>0</v>
      </c>
      <c r="AJ8" s="1064"/>
      <c r="AL8" s="1090"/>
      <c r="AM8" s="1019"/>
      <c r="AN8" s="1019"/>
      <c r="AO8" s="1019"/>
      <c r="AP8" s="1019"/>
      <c r="AQ8" s="1019"/>
      <c r="AR8" s="1019"/>
      <c r="AS8" s="1091"/>
      <c r="AU8" s="1035"/>
      <c r="AV8" s="1036"/>
      <c r="AW8" s="1036"/>
      <c r="AX8" s="1036"/>
      <c r="AY8" s="1036"/>
      <c r="AZ8" s="1036"/>
      <c r="BA8" s="1036"/>
      <c r="BB8" s="1027"/>
      <c r="BC8" s="1026"/>
      <c r="BD8" s="1036"/>
      <c r="BE8" s="1036"/>
      <c r="BF8" s="1036"/>
      <c r="BG8" s="1036"/>
      <c r="BH8" s="1036"/>
      <c r="BI8" s="1036"/>
      <c r="BJ8" s="1027"/>
      <c r="BK8" s="1026"/>
      <c r="BL8" s="1036"/>
      <c r="BM8" s="1036"/>
      <c r="BN8" s="1036"/>
      <c r="BO8" s="1036"/>
      <c r="BP8" s="1036"/>
      <c r="BQ8" s="1036"/>
      <c r="BR8" s="1027"/>
    </row>
    <row r="9" spans="1:77" ht="18" customHeight="1" thickBot="1">
      <c r="B9" s="1206" t="str">
        <f>IF(F9=0,"","任意特长数：")</f>
        <v/>
      </c>
      <c r="C9" s="996"/>
      <c r="D9" s="996"/>
      <c r="E9" s="996"/>
      <c r="F9" s="1117" t="n">
        <f>INDEX(本职技能!$A$2:$HX$69,MATCH("任意特长",本职技能!$A$2:$A$75,0),MATCH($M$5,本职技能!$A$1:$HX$1,0))</f>
        <v>0</v>
      </c>
      <c r="G9" s="996"/>
      <c r="H9" s="996"/>
      <c r="I9" s="996"/>
      <c r="K9" s="1268" t="n">
        <f>INDEX(本职技能!$A$2:$HX$69,MATCH("☆",本职技能!$A$2:$A$75,0),MATCH($M$5,本职技能!$A$1:$HX$1,0))</f>
        <v>0</v>
      </c>
      <c r="L9" s="996"/>
      <c r="M9" s="996"/>
      <c r="N9" s="996"/>
      <c r="O9" s="996"/>
      <c r="P9" s="996"/>
      <c r="Q9" s="996"/>
      <c r="R9" s="996"/>
      <c r="S9" s="607"/>
      <c r="T9" s="1125" t="n">
        <f>INDEX(本职技能!$A$2:$HX$69,MATCH("⊙",本职技能!$A$2:$A$75,0),MATCH($M$5,本职技能!$A$1:$HX$1,0))</f>
        <v>0</v>
      </c>
      <c r="U9" s="1019"/>
      <c r="V9" s="1019"/>
      <c r="W9" s="1019"/>
      <c r="X9" s="1019"/>
      <c r="Y9" s="1019"/>
      <c r="Z9" s="1019"/>
      <c r="AA9" s="1019"/>
      <c r="AC9" s="1222" t="n">
        <f>INDEX(本职技能!$A$2:$HX$69,MATCH("☯",本职技能!$A$2:$A$75,0),MATCH($M$5,本职技能!$A$1:$HX$1,0))</f>
        <v>0</v>
      </c>
      <c r="AD9" s="1019"/>
      <c r="AE9" s="1019"/>
      <c r="AF9" s="1019"/>
      <c r="AG9" s="1019"/>
      <c r="AH9" s="1019"/>
      <c r="AI9" s="1019"/>
      <c r="AJ9" s="1019"/>
      <c r="AK9" s="615"/>
      <c r="AL9" s="1244" t="n">
        <f>INDEX(本职技能!$A$2:$HX$69,MATCH("※",本职技能!$A$2:$A$75,0),MATCH($M$5,本职技能!$A$1:$HX$1,0))</f>
        <v>0</v>
      </c>
      <c r="AM9" s="1019"/>
      <c r="AN9" s="1019"/>
      <c r="AO9" s="1019"/>
      <c r="AP9" s="1019"/>
      <c r="AQ9" s="1019"/>
      <c r="AR9" s="1019"/>
      <c r="AS9" s="1019"/>
      <c r="AT9" s="617"/>
      <c r="AU9" s="32"/>
      <c r="AV9" s="32"/>
      <c r="AW9" s="32"/>
      <c r="AX9" s="32"/>
      <c r="AZ9" s="32"/>
      <c r="BA9" s="32"/>
      <c r="BB9" s="32"/>
      <c r="BC9" s="32"/>
      <c r="BD9" s="32"/>
      <c r="BE9" s="32"/>
      <c r="BF9" s="32"/>
      <c r="BG9" s="32"/>
      <c r="BH9" s="32"/>
      <c r="BI9" s="32"/>
      <c r="BJ9" s="32"/>
      <c r="BK9" s="32"/>
      <c r="BL9" s="32"/>
      <c r="BM9" s="32"/>
      <c r="BN9" s="32"/>
      <c r="BO9" s="32"/>
      <c r="BP9" s="32"/>
      <c r="BQ9" s="32"/>
      <c r="BR9" s="617"/>
      <c r="BX9" s="1320"/>
      <c r="BY9" s="996"/>
    </row>
    <row r="10" spans="1:77" ht="18" customHeight="1" thickBot="1">
      <c r="B10" s="1215" t="s">
        <v>30</v>
      </c>
      <c r="C10" s="1088"/>
      <c r="D10" s="1088"/>
      <c r="E10" s="1228" t="n">
        <f>G10</f>
        <v>0</v>
      </c>
      <c r="F10" s="1088"/>
      <c r="G10" s="1299" t="n">
        <f>INT((U5+U7)/10)</f>
        <v>0</v>
      </c>
      <c r="H10" s="1300"/>
      <c r="I10" s="1290" t="s">
        <v>31</v>
      </c>
      <c r="J10" s="1088"/>
      <c r="K10" s="1245" t="s">
        <v>32</v>
      </c>
      <c r="L10" s="1088"/>
      <c r="M10" s="1088"/>
      <c r="N10" s="1289">
        <v>0</v>
      </c>
      <c r="O10" s="1088"/>
      <c r="P10" s="1221" t="n">
        <f>INT(POW)</f>
        <v>0</v>
      </c>
      <c r="Q10" s="1088"/>
      <c r="R10" s="1247" t="s">
        <v>31</v>
      </c>
      <c r="S10" s="1248"/>
      <c r="T10" s="1106" t="s">
        <v>33</v>
      </c>
      <c r="U10" s="996"/>
      <c r="V10" s="996"/>
      <c r="W10" s="1363">
        <v>0</v>
      </c>
      <c r="X10" s="996"/>
      <c r="Y10" s="1272" t="n">
        <f>INT(AG3/5)</f>
        <v>0</v>
      </c>
      <c r="Z10" s="1078"/>
      <c r="AA10" s="1100" t="s">
        <v>34</v>
      </c>
      <c r="AB10" s="1101"/>
      <c r="AC10" s="1270" t="s">
        <v>35</v>
      </c>
      <c r="AD10" s="1088"/>
      <c r="AE10" s="1088"/>
      <c r="AF10" s="1107" t="n">
        <f>AI11+8</f>
        <v>8</v>
      </c>
      <c r="AG10" s="996"/>
      <c r="AH10" s="996"/>
      <c r="AI10" s="1154" t="s">
        <v>36</v>
      </c>
      <c r="AJ10" s="996"/>
      <c r="AK10" s="1092" t="s">
        <v>37</v>
      </c>
      <c r="AL10" s="996"/>
      <c r="AM10" s="996"/>
      <c r="AN10" s="1077" t="str">
        <f>IF($AN12=0,"0",VLOOKUP($AN12,'防具表 载具表'!B2:J82,2,FALSE))</f>
        <v>无</v>
      </c>
      <c r="AO10" s="1078"/>
      <c r="AP10" s="1104" t="s">
        <v>38</v>
      </c>
      <c r="AQ10" s="1088"/>
      <c r="AR10" s="1088"/>
      <c r="AS10" s="1089"/>
      <c r="AT10" s="617"/>
      <c r="AU10" s="32"/>
      <c r="AV10" s="32"/>
      <c r="AW10" s="32"/>
      <c r="AX10" s="32"/>
      <c r="AZ10"/>
      <c r="BA10"/>
      <c r="BB10"/>
      <c r="BC10"/>
      <c r="BD10"/>
      <c r="BE10"/>
      <c r="BF10"/>
      <c r="BG10"/>
      <c r="BH10"/>
      <c r="BI10"/>
      <c r="BJ10"/>
      <c r="BK10"/>
      <c r="BL10"/>
      <c r="BM10"/>
      <c r="BN10"/>
      <c r="BO10"/>
      <c r="BP10"/>
      <c r="BQ10"/>
      <c r="BR10" s="617"/>
      <c r="BX10" s="996"/>
      <c r="BY10" s="996"/>
    </row>
    <row r="11" spans="1:77" ht="18" customHeight="1" thickBot="1">
      <c r="B11" s="1090"/>
      <c r="C11" s="1019"/>
      <c r="D11" s="1019"/>
      <c r="E11" s="1019"/>
      <c r="F11" s="1019"/>
      <c r="G11" s="1301"/>
      <c r="H11" s="1302"/>
      <c r="I11" s="1229" t="s">
        <v>39</v>
      </c>
      <c r="J11" s="1019"/>
      <c r="K11" s="1093"/>
      <c r="L11" s="1019"/>
      <c r="M11" s="1019"/>
      <c r="N11" s="1019"/>
      <c r="O11" s="1019"/>
      <c r="P11" s="1019"/>
      <c r="Q11" s="1019"/>
      <c r="R11" s="1273" t="s">
        <v>40</v>
      </c>
      <c r="S11" s="1274"/>
      <c r="T11" s="1093"/>
      <c r="U11" s="1019"/>
      <c r="V11" s="1019"/>
      <c r="W11" s="1019"/>
      <c r="X11" s="1019"/>
      <c r="Y11" s="1019"/>
      <c r="Z11" s="1020"/>
      <c r="AA11" s="1219" t="str">
        <f>IF(AG3="","",INT(AG3/100+1))</f>
        <v/>
      </c>
      <c r="AB11" s="1141"/>
      <c r="AC11" s="1019"/>
      <c r="AD11" s="1019"/>
      <c r="AE11" s="1019"/>
      <c r="AF11" s="1019"/>
      <c r="AG11" s="1019"/>
      <c r="AH11" s="1019"/>
      <c r="AI11" s="1210" t="n">
        <f>附表!C9</f>
        <v>0</v>
      </c>
      <c r="AJ11" s="1019"/>
      <c r="AK11" s="1093"/>
      <c r="AL11" s="1019"/>
      <c r="AM11" s="1019"/>
      <c r="AN11" s="996"/>
      <c r="AO11" s="1013"/>
      <c r="AP11" s="1142" t="str">
        <f>IF($AN12=0,"",VLOOKUP($AN12,'防具表 载具表'!B2:I101,4,FALSE))</f>
        <v>——</v>
      </c>
      <c r="AQ11" s="996"/>
      <c r="AR11" s="996"/>
      <c r="AS11" s="1015"/>
      <c r="AT11" s="617"/>
      <c r="AU11" s="32"/>
      <c r="AV11" s="32"/>
      <c r="AW11" s="32"/>
      <c r="AX11" s="32"/>
      <c r="AZ11"/>
      <c r="BA11"/>
      <c r="BB11"/>
      <c r="BC11"/>
      <c r="BD11"/>
      <c r="BE11"/>
      <c r="BF11"/>
      <c r="BG11"/>
      <c r="BH11"/>
      <c r="BI11"/>
      <c r="BJ11"/>
      <c r="BK11"/>
      <c r="BL11"/>
      <c r="BM11"/>
      <c r="BN11"/>
      <c r="BO11"/>
      <c r="BP11"/>
      <c r="BQ11"/>
      <c r="BR11" s="617"/>
    </row>
    <row r="12" spans="1:77" ht="18" customHeight="1" thickBot="1">
      <c r="B12" s="1310" t="s">
        <v>41</v>
      </c>
      <c r="C12" s="1019"/>
      <c r="D12" s="1257" t="n">
        <f>CEILING(G10/2,1)</f>
        <v>0</v>
      </c>
      <c r="E12" s="1020"/>
      <c r="F12" s="1295" t="s">
        <v>42</v>
      </c>
      <c r="G12" s="1019"/>
      <c r="H12" s="1019"/>
      <c r="I12" s="1306">
        <v>0</v>
      </c>
      <c r="J12" s="1019"/>
      <c r="K12" s="1066" t="s">
        <v>43</v>
      </c>
      <c r="L12" s="1019"/>
      <c r="M12" s="1019"/>
      <c r="N12" s="1319">
        <v>0</v>
      </c>
      <c r="O12" s="1019"/>
      <c r="P12" s="1263" t="s">
        <v>6108</v>
      </c>
      <c r="Q12" s="1019"/>
      <c r="R12" s="1347" t="n">
        <f>P10/10</f>
        <v>0</v>
      </c>
      <c r="S12" s="1274"/>
      <c r="T12" s="1059" t="s">
        <v>44</v>
      </c>
      <c r="U12" s="1019"/>
      <c r="V12" s="1019"/>
      <c r="W12" s="1019"/>
      <c r="X12" s="1140"/>
      <c r="Y12" s="1019"/>
      <c r="Z12" s="1019"/>
      <c r="AA12" s="1019"/>
      <c r="AB12" s="1141"/>
      <c r="AC12" s="1176" t="s">
        <v>45</v>
      </c>
      <c r="AD12" s="1019"/>
      <c r="AE12" s="1235" t="s">
        <v>46</v>
      </c>
      <c r="AF12" s="1020"/>
      <c r="AG12" s="1176" t="s">
        <v>47</v>
      </c>
      <c r="AH12" s="1019"/>
      <c r="AI12" s="1176" t="s">
        <v>48</v>
      </c>
      <c r="AJ12" s="1019"/>
      <c r="AK12" s="1139" t="s">
        <v>49</v>
      </c>
      <c r="AL12" s="1019"/>
      <c r="AM12" s="1019"/>
      <c r="AN12" s="1120" t="s">
        <v>6109</v>
      </c>
      <c r="AO12" s="1121"/>
      <c r="AP12" s="1121"/>
      <c r="AQ12" s="1121"/>
      <c r="AR12" s="1121"/>
      <c r="AS12" s="1122"/>
      <c r="AT12" s="617"/>
      <c r="AU12" s="32"/>
      <c r="AV12" s="32"/>
      <c r="AW12" s="32"/>
      <c r="AX12" s="32"/>
      <c r="AZ12"/>
      <c r="BA12"/>
      <c r="BB12"/>
      <c r="BC12"/>
      <c r="BD12"/>
      <c r="BE12"/>
      <c r="BF12"/>
      <c r="BG12"/>
      <c r="BH12"/>
      <c r="BI12"/>
      <c r="BJ12"/>
      <c r="BK12"/>
      <c r="BL12"/>
      <c r="BM12"/>
      <c r="BN12"/>
      <c r="BO12"/>
      <c r="BP12"/>
      <c r="BQ12"/>
      <c r="BR12" s="617"/>
    </row>
    <row r="13" spans="1:77" ht="18" customHeight="1" thickBot="1">
      <c r="B13" s="1046" t="str">
        <f>IF(M5=0," ","["&amp;LOOKUP(M5,职业列表!A2:A232,职业列表!B2:B232)&amp;"]的本职技能："&amp;LOOKUP(M5,职业列表!A2:A232,职业列表!G2:G232))</f>
        <v>[自定义职业]的本职技能：不多于8个本职技能。在右侧职业属性中输入第二职业属性的数值（留空则视为EDU）并自行设置起始信誉。使用自定义职业前，请先咨询你的守秘人。</v>
      </c>
      <c r="C13" s="996"/>
      <c r="D13" s="996"/>
      <c r="E13" s="996"/>
      <c r="F13" s="996"/>
      <c r="G13" s="996"/>
      <c r="H13" s="996"/>
      <c r="I13" s="996"/>
      <c r="J13" s="996"/>
      <c r="K13" s="996"/>
      <c r="L13" s="996"/>
      <c r="M13" s="996"/>
      <c r="N13" s="996"/>
      <c r="O13" s="996"/>
      <c r="P13" s="996"/>
      <c r="Q13" s="996"/>
      <c r="R13" s="996"/>
      <c r="S13" s="996"/>
      <c r="T13" s="996"/>
      <c r="U13" s="996"/>
      <c r="V13" s="996"/>
      <c r="W13" s="996"/>
      <c r="X13" s="996"/>
      <c r="Y13" s="996"/>
      <c r="Z13" s="996"/>
      <c r="AA13" s="996"/>
      <c r="AB13" s="996"/>
      <c r="AC13" s="996"/>
      <c r="AD13" s="996"/>
      <c r="AE13" s="996"/>
      <c r="AF13" s="996"/>
      <c r="AG13" s="996"/>
      <c r="AH13" s="996"/>
      <c r="AI13" s="996"/>
      <c r="AJ13" s="996"/>
      <c r="AK13" s="996"/>
      <c r="AL13" s="996"/>
      <c r="AM13" s="996"/>
      <c r="AN13" s="996"/>
      <c r="AO13" s="996"/>
      <c r="AP13" s="996"/>
      <c r="AQ13" s="996"/>
      <c r="AR13" s="996"/>
      <c r="AS13" s="996"/>
      <c r="AT13" s="618"/>
      <c r="AU13" s="32"/>
      <c r="AV13"/>
      <c r="AW13"/>
      <c r="AX13"/>
      <c r="AZ13"/>
      <c r="BA13"/>
      <c r="BB13"/>
      <c r="BC13"/>
      <c r="BD13"/>
      <c r="BE13"/>
      <c r="BF13"/>
      <c r="BG13"/>
      <c r="BH13"/>
      <c r="BI13"/>
      <c r="BJ13"/>
      <c r="BK13"/>
      <c r="BL13"/>
      <c r="BM13"/>
      <c r="BN13"/>
      <c r="BO13"/>
      <c r="BP13"/>
      <c r="BQ13"/>
      <c r="BR13" s="617"/>
    </row>
    <row r="14" spans="1:77" ht="18" customHeight="1">
      <c r="B14" s="1022" t="str">
        <v>技能表（成长点数与经历包点分别填写；经历包额度不含成长）</v>
      </c>
      <c r="C14" s="1023"/>
      <c r="D14" s="1023"/>
      <c r="E14" s="1023"/>
      <c r="F14" s="1023"/>
      <c r="G14" s="1023"/>
      <c r="H14" s="1023"/>
      <c r="I14" s="1023"/>
      <c r="J14" s="1023"/>
      <c r="K14" s="1023"/>
      <c r="L14" s="1023"/>
      <c r="M14" s="1023"/>
      <c r="N14" s="1023"/>
      <c r="O14" s="1023"/>
      <c r="P14" s="1023"/>
      <c r="Q14" s="1023"/>
      <c r="R14" s="1023"/>
      <c r="S14" s="1023"/>
      <c r="T14" s="1023"/>
      <c r="U14" s="1023"/>
      <c r="V14" s="1023"/>
      <c r="W14" s="1023"/>
      <c r="X14" s="1023"/>
      <c r="Y14" s="1023"/>
      <c r="Z14" s="1023"/>
      <c r="AA14" s="1023"/>
      <c r="AB14" s="1023"/>
      <c r="AC14" s="1023"/>
      <c r="AD14" s="1023"/>
      <c r="AE14" s="1023"/>
      <c r="AF14" s="1023"/>
      <c r="AG14" s="1023"/>
      <c r="AH14" s="1023"/>
      <c r="AI14" s="1023"/>
      <c r="AJ14" s="1023"/>
      <c r="AK14" s="1023"/>
      <c r="AL14" s="1023"/>
      <c r="AM14" s="1023"/>
      <c r="AN14" s="1023"/>
      <c r="AO14" s="1023"/>
      <c r="AP14" s="1023"/>
      <c r="AQ14" s="1023"/>
      <c r="AR14" s="1023"/>
      <c r="AS14" s="1045"/>
      <c r="AT14" s="618"/>
      <c r="AU14" s="32"/>
      <c r="AV14" s="32"/>
      <c r="AW14" s="32"/>
      <c r="AX14" s="32"/>
      <c r="AZ14"/>
      <c r="BA14"/>
      <c r="BB14"/>
      <c r="BC14"/>
      <c r="BD14"/>
      <c r="BE14"/>
      <c r="BF14"/>
      <c r="BG14"/>
      <c r="BH14"/>
      <c r="BI14"/>
      <c r="BJ14"/>
      <c r="BK14"/>
      <c r="BL14"/>
      <c r="BM14"/>
      <c r="BN14"/>
      <c r="BO14"/>
      <c r="BP14"/>
      <c r="BQ14"/>
      <c r="BR14" s="617"/>
    </row>
    <row r="15" spans="1:77" ht="30" customHeight="1">
      <c r="A15" s="230" t="s">
        <v>51</v>
      </c>
      <c r="B15" s="1359" t="s">
        <v>52</v>
      </c>
      <c r="C15" s="1000"/>
      <c r="D15" s="1098" t="s">
        <v>53</v>
      </c>
      <c r="E15" s="1000"/>
      <c r="F15" s="1098" t="s">
        <v>54</v>
      </c>
      <c r="G15" s="1007"/>
      <c r="H15" s="1007"/>
      <c r="I15" s="1000"/>
      <c r="J15" s="1098" t="s">
        <v>55</v>
      </c>
      <c r="K15" s="1000"/>
      <c r="L15" s="2249" t="str">
        <v>成长
点数</v>
      </c>
      <c r="M15" s="2249" t="str">
        <v>经历
包点</v>
      </c>
      <c r="N15" s="1098" t="s">
        <v>14</v>
      </c>
      <c r="O15" s="1000"/>
      <c r="P15" s="1098" t="s">
        <v>57</v>
      </c>
      <c r="Q15" s="1000"/>
      <c r="R15" s="1098" t="s">
        <v>58</v>
      </c>
      <c r="S15" s="1007"/>
      <c r="T15" s="1007"/>
      <c r="U15" s="1007"/>
      <c r="V15" s="1007"/>
      <c r="W15" s="1000"/>
      <c r="X15" s="1232" t="s">
        <v>52</v>
      </c>
      <c r="Y15" s="1000"/>
      <c r="Z15" s="1098" t="s">
        <v>53</v>
      </c>
      <c r="AA15" s="1000"/>
      <c r="AB15" s="1098" t="s">
        <v>54</v>
      </c>
      <c r="AC15" s="1007"/>
      <c r="AD15" s="1007"/>
      <c r="AE15" s="1000"/>
      <c r="AF15" s="1098" t="s">
        <v>55</v>
      </c>
      <c r="AG15" s="1000"/>
      <c r="AH15" s="2249" t="str">
        <v>成长
点数</v>
      </c>
      <c r="AI15" s="2249" t="str">
        <v>经历
包点</v>
      </c>
      <c r="AJ15" s="1098" t="s">
        <v>14</v>
      </c>
      <c r="AK15" s="1000"/>
      <c r="AL15" s="1098" t="s">
        <v>57</v>
      </c>
      <c r="AM15" s="1000"/>
      <c r="AN15" s="1098" t="s">
        <v>58</v>
      </c>
      <c r="AO15" s="1007"/>
      <c r="AP15" s="1007"/>
      <c r="AQ15" s="1007"/>
      <c r="AR15" s="1007"/>
      <c r="AS15" s="1005"/>
      <c r="AT15" s="993" t="s">
        <v>6110</v>
      </c>
      <c r="AU15" s="32"/>
      <c r="AV15" s="32"/>
      <c r="AW15" s="32"/>
      <c r="AX15" s="32"/>
      <c r="AZ15"/>
      <c r="BA15"/>
      <c r="BB15"/>
      <c r="BC15"/>
      <c r="BD15"/>
      <c r="BE15"/>
      <c r="BF15"/>
      <c r="BG15"/>
      <c r="BH15"/>
      <c r="BI15"/>
      <c r="BJ15"/>
      <c r="BK15"/>
      <c r="BL15"/>
      <c r="BM15"/>
      <c r="BN15"/>
      <c r="BO15"/>
      <c r="BP15"/>
      <c r="BQ15"/>
      <c r="BR15" s="617"/>
    </row>
    <row r="16" spans="1:77" ht="18" customHeight="1" thickBot="1">
      <c r="A16" s="613" t="str">
        <f>IF(AND(IFERROR(N16&gt;0,FALSE),IFERROR(P16&gt;0,FALSE)),"混点！ ","")&amp;IF(AND(IFERROR(N16&gt;0,FALSE),D16&lt;&gt;"★"),"非本职职业！","")</f>
        <v/>
      </c>
      <c r="B16" s="1085" t="s">
        <v>59</v>
      </c>
      <c r="C16" s="1000"/>
      <c r="D16" s="1017" t="str">
        <f>IFERROR(IF(ISTEXT(IFERROR(VLOOKUP(人物卡!F16,人物卡!BJ18:BR22,1,FALSE),IFERROR(VLOOKUP(人物卡!F16,人物卡!BA18:BC22,1,FALSE),0))),"★",INDEX(本职技能!$A$2:$HX$76,MATCH(人物卡!F16,本职技能!$A$2:$A$75,0),MATCH(人物卡!$M$5,本职技能!$A$1:$HX$1,0))),0)</f>
        <v/>
      </c>
      <c r="E16" s="1000"/>
      <c r="F16" s="1002" t="s">
        <v>60</v>
      </c>
      <c r="G16" s="1007"/>
      <c r="H16" s="1007"/>
      <c r="I16" s="1000"/>
      <c r="J16" s="1002">
        <v>5</v>
      </c>
      <c r="K16" s="1000"/>
      <c r="L16" s="2250"/>
      <c r="M16" s="2250"/>
      <c r="N16" s="1002"/>
      <c r="O16" s="1000"/>
      <c r="P16" s="1002"/>
      <c r="Q16" s="1000"/>
      <c r="R16" s="1004" t="n">
        <f>SUM(J16:Q16)</f>
        <v>5</v>
      </c>
      <c r="S16" s="1000"/>
      <c r="T16" s="1002" t="n">
        <f>INT(R16/2)</f>
        <v>2</v>
      </c>
      <c r="U16" s="1000"/>
      <c r="V16" s="1002" t="n">
        <f>INT(R16/5)</f>
        <v>1</v>
      </c>
      <c r="W16" s="1000"/>
      <c r="X16" s="1009" t="s">
        <v>59</v>
      </c>
      <c r="Y16" s="1000"/>
      <c r="Z16" s="1017" t="str">
        <f>IFERROR(IF(ISTEXT(IFERROR(VLOOKUP(人物卡!AB16,人物卡!BJ18:BR22,1,FALSE),IFERROR(VLOOKUP(人物卡!AB16,人物卡!BA18:BC22,1,FALSE),0))),"★",INDEX(本职技能!$A$2:$HX$76,MATCH(人物卡!AB16,本职技能!$A$2:$A$75,0),MATCH(人物卡!$M$5,本职技能!$A$1:$HX$1,0))),0)</f>
        <v/>
      </c>
      <c r="AA16" s="1000"/>
      <c r="AB16" s="1002" t="s">
        <v>61</v>
      </c>
      <c r="AC16" s="1007"/>
      <c r="AD16" s="1007"/>
      <c r="AE16" s="1000"/>
      <c r="AF16" s="1002">
        <v>5</v>
      </c>
      <c r="AG16" s="1000"/>
      <c r="AH16" s="2250"/>
      <c r="AI16" s="2250"/>
      <c r="AJ16" s="1002"/>
      <c r="AK16" s="1000"/>
      <c r="AL16" s="1004"/>
      <c r="AM16" s="1000"/>
      <c r="AN16" s="1004" t="n">
        <f>SUM(AF16:AM16)</f>
        <v>5</v>
      </c>
      <c r="AO16" s="1000"/>
      <c r="AP16" s="1004" t="n">
        <f>INT(AN16/2)</f>
        <v>2</v>
      </c>
      <c r="AQ16" s="1000"/>
      <c r="AR16" s="1004" t="n">
        <f>INT(AN16/5)</f>
        <v>1</v>
      </c>
      <c r="AS16" s="1005"/>
      <c r="AT16" s="618" t="str">
        <f>IF(AND(IFERROR(AJ16&gt;0,FALSE),IFERROR(AL16&gt;0,FALSE)),"混点！ ","")&amp;IF(AND(IFERROR(AJ16&gt;0,FALSE),Z16&lt;&gt;"★"),"非本职！","")</f>
        <v/>
      </c>
      <c r="AU16" s="619"/>
      <c r="AV16" s="619"/>
      <c r="AW16" s="619"/>
      <c r="AX16" s="619"/>
      <c r="AZ16" s="619"/>
      <c r="BA16" s="619"/>
      <c r="BB16" s="619"/>
      <c r="BC16" s="619"/>
      <c r="BD16" s="619"/>
      <c r="BE16" s="619"/>
      <c r="BF16" s="619"/>
      <c r="BG16" s="619"/>
      <c r="BH16" s="619"/>
      <c r="BI16" s="619"/>
      <c r="BJ16" s="619"/>
      <c r="BK16" s="619"/>
      <c r="BL16" s="619"/>
      <c r="BM16" s="619"/>
      <c r="BN16" s="619"/>
      <c r="BO16" s="619"/>
      <c r="BP16" s="619"/>
      <c r="BQ16" s="619"/>
      <c r="BR16" s="620"/>
    </row>
    <row r="17" spans="1:70" ht="18" customHeight="1">
      <c r="A17" s="230" t="str">
        <f>IF(AND(IFERROR(N17&gt;0,FALSE),IFERROR(P17&gt;0,FALSE)),"混点！ ","")&amp;IF(AND(IFERROR(N17&gt;0,FALSE),D17&lt;&gt;"★"),"非本职职业！","")</f>
        <v/>
      </c>
      <c r="B17" s="1111" t="s">
        <v>59</v>
      </c>
      <c r="C17" s="1000"/>
      <c r="D17" s="1021" t="str">
        <f>IFERROR(IF(ISTEXT(IFERROR(VLOOKUP(人物卡!F17,人物卡!BJ18:BR22,1,FALSE),IFERROR(VLOOKUP(人物卡!F17,人物卡!BA18:BC22,1,FALSE),0))),"★",INDEX(本职技能!$A$2:$HX$76,MATCH(人物卡!F17,本职技能!$A$2:$A$75,0),MATCH(人物卡!$M$5,本职技能!$A$1:$HX$1,0))),0)</f>
        <v/>
      </c>
      <c r="E17" s="1000"/>
      <c r="F17" s="999" t="s">
        <v>62</v>
      </c>
      <c r="G17" s="1007"/>
      <c r="H17" s="1007"/>
      <c r="I17" s="1000"/>
      <c r="J17" s="999">
        <v>1</v>
      </c>
      <c r="K17" s="1000"/>
      <c r="L17" s="2251"/>
      <c r="M17" s="2251"/>
      <c r="N17" s="1202"/>
      <c r="O17" s="1000"/>
      <c r="P17" s="999"/>
      <c r="Q17" s="1000"/>
      <c r="R17" s="1010" t="n">
        <f>SUM(J17:Q17)</f>
        <v>1</v>
      </c>
      <c r="S17" s="1000"/>
      <c r="T17" s="999" t="n">
        <f>INT(R17/2)</f>
        <v>0</v>
      </c>
      <c r="U17" s="1000"/>
      <c r="V17" s="999" t="n">
        <f>INT(R17/5)</f>
        <v>0</v>
      </c>
      <c r="W17" s="1000"/>
      <c r="X17" s="1053" t="s">
        <v>59</v>
      </c>
      <c r="Y17" s="1000"/>
      <c r="Z17" s="1021" t="str">
        <f>IFERROR(IF(ISTEXT(IFERROR(VLOOKUP(人物卡!AB17,人物卡!BJ18:BR22,1,FALSE),IFERROR(VLOOKUP(人物卡!AB17,人物卡!BA18:BC22,1,FALSE),0))),"★",INDEX(本职技能!$A$2:$HX$76,MATCH(人物卡!AB17,本职技能!$A$2:$A$75,0),MATCH(人物卡!$M$5,本职技能!$A$1:$HX$1,0))),0)</f>
        <v/>
      </c>
      <c r="AA17" s="1000"/>
      <c r="AB17" s="999" t="s">
        <v>63</v>
      </c>
      <c r="AC17" s="1007"/>
      <c r="AD17" s="1007"/>
      <c r="AE17" s="1000"/>
      <c r="AF17" s="999">
        <v>20</v>
      </c>
      <c r="AG17" s="1000"/>
      <c r="AH17" s="2251"/>
      <c r="AI17" s="2251"/>
      <c r="AJ17" s="999"/>
      <c r="AK17" s="1000"/>
      <c r="AL17" s="1010"/>
      <c r="AM17" s="1000"/>
      <c r="AN17" s="1010" t="n">
        <f>SUM(AF17:AM17)</f>
        <v>20</v>
      </c>
      <c r="AO17" s="1000"/>
      <c r="AP17" s="1010" t="n">
        <f>INT(AN17/2)</f>
        <v>10</v>
      </c>
      <c r="AQ17" s="1000"/>
      <c r="AR17" s="1010" t="n">
        <f>INT(AN17/5)</f>
        <v>4</v>
      </c>
      <c r="AS17" s="1005"/>
      <c r="AT17" s="230" t="str">
        <f>IF(AND(IFERROR(AJ17&gt;0,FALSE),IFERROR(AL17&gt;0,FALSE)),"混点！ ","")&amp;IF(AND(IFERROR(AJ17&gt;0,FALSE),Z17&lt;&gt;"★"),"非本职！","")</f>
        <v/>
      </c>
      <c r="AU17" s="1293" t="s">
        <v>64</v>
      </c>
      <c r="AV17" s="1088"/>
      <c r="AW17" s="1088"/>
      <c r="AX17" s="1088"/>
      <c r="AY17" s="1088"/>
      <c r="AZ17" s="1088"/>
      <c r="BA17" s="1354" t="s">
        <v>65</v>
      </c>
      <c r="BB17" s="1088"/>
      <c r="BC17" s="1088"/>
      <c r="BD17" s="1088"/>
      <c r="BE17" s="1088"/>
      <c r="BF17" s="1088"/>
      <c r="BG17" s="1088"/>
      <c r="BH17" s="1088"/>
      <c r="BI17" s="1088"/>
      <c r="BJ17" s="1088"/>
      <c r="BK17" s="1088"/>
      <c r="BL17" s="1088"/>
      <c r="BM17" s="1088"/>
      <c r="BN17" s="1088"/>
      <c r="BO17" s="1088"/>
      <c r="BP17" s="1088"/>
      <c r="BQ17" s="1088"/>
      <c r="BR17" s="1089"/>
    </row>
    <row r="18" spans="1:70" ht="18" customHeight="1">
      <c r="A18" s="230" t="str">
        <f>IF(AND(IFERROR(N18&gt;0,FALSE),IFERROR(P18&gt;0,FALSE)),"混点！ ","")&amp;IF(AND(IFERROR(N18&gt;0,FALSE),D18&lt;&gt;"★"),"非本职职业！","")</f>
        <v/>
      </c>
      <c r="B18" s="1085" t="s">
        <v>59</v>
      </c>
      <c r="C18" s="1000"/>
      <c r="D18" s="1017" t="str">
        <f>IFERROR(IF(ISTEXT(IFERROR(VLOOKUP(人物卡!F18,人物卡!BJ18:BR22,1,FALSE),IFERROR(VLOOKUP(人物卡!F18,人物卡!BA18:BC22,1,FALSE),0))),"★",INDEX(本职技能!$A$2:$HX$76,MATCH(人物卡!F18,本职技能!$A$2:$A$75,0),MATCH(人物卡!$M$5,本职技能!$A$1:$HX$1,0))),0)</f>
        <v/>
      </c>
      <c r="E18" s="1000"/>
      <c r="F18" s="1002" t="s">
        <v>66</v>
      </c>
      <c r="G18" s="1007"/>
      <c r="H18" s="1007"/>
      <c r="I18" s="1000"/>
      <c r="J18" s="1002">
        <v>5</v>
      </c>
      <c r="K18" s="1000"/>
      <c r="L18" s="2250"/>
      <c r="M18" s="2250"/>
      <c r="N18" s="1002"/>
      <c r="O18" s="1000"/>
      <c r="P18" s="1002"/>
      <c r="Q18" s="1000"/>
      <c r="R18" s="1004" t="n">
        <f>SUM(J18:Q18)</f>
        <v>5</v>
      </c>
      <c r="S18" s="1000"/>
      <c r="T18" s="1002" t="n">
        <f>INT(R18/2)</f>
        <v>2</v>
      </c>
      <c r="U18" s="1000"/>
      <c r="V18" s="1002" t="n">
        <f>INT(R18/5)</f>
        <v>1</v>
      </c>
      <c r="W18" s="1000"/>
      <c r="X18" s="1009" t="s">
        <v>59</v>
      </c>
      <c r="Y18" s="1000"/>
      <c r="Z18" s="1017" t="str">
        <f>IFERROR(IF(ISTEXT(IFERROR(VLOOKUP(人物卡!AB18,人物卡!BJ18:BR22,1,FALSE),IFERROR(VLOOKUP(人物卡!AB18,人物卡!BA18:BC22,1,FALSE),0))),"★",INDEX(本职技能!$A$2:$HX$76,MATCH(人物卡!AB18,本职技能!$A$2:$A$75,0),MATCH(人物卡!$M$5,本职技能!$A$1:$HX$1,0))),0)</f>
        <v/>
      </c>
      <c r="AA18" s="1000"/>
      <c r="AB18" s="1002" t="s">
        <v>67</v>
      </c>
      <c r="AC18" s="1007"/>
      <c r="AD18" s="1007"/>
      <c r="AE18" s="1000"/>
      <c r="AF18" s="1002">
        <v>20</v>
      </c>
      <c r="AG18" s="1000"/>
      <c r="AH18" s="2250"/>
      <c r="AI18" s="2250"/>
      <c r="AJ18" s="1002"/>
      <c r="AK18" s="1000"/>
      <c r="AL18" s="1004"/>
      <c r="AM18" s="1000"/>
      <c r="AN18" s="1004" t="n">
        <f>SUM(AF18:AM18)</f>
        <v>20</v>
      </c>
      <c r="AO18" s="1000"/>
      <c r="AP18" s="1004" t="n">
        <f>INT(AN18/2)</f>
        <v>10</v>
      </c>
      <c r="AQ18" s="1000"/>
      <c r="AR18" s="1004" t="n">
        <f>INT(AN18/5)</f>
        <v>4</v>
      </c>
      <c r="AS18" s="1005"/>
      <c r="AT18" s="230" t="str">
        <f>IF(AND(IFERROR(AJ18&gt;0,FALSE),IFERROR(AL18&gt;0,FALSE)),"混点！ ","")&amp;IF(AND(IFERROR(AJ18&gt;0,FALSE),Z18&lt;&gt;"★"),"非本职！","")</f>
        <v/>
      </c>
      <c r="AU18" s="1292" t="s">
        <v>68</v>
      </c>
      <c r="AV18" s="996"/>
      <c r="AW18" s="996"/>
      <c r="AX18" s="996"/>
      <c r="AY18" s="996"/>
      <c r="AZ18" s="996"/>
      <c r="BA18" s="1147"/>
      <c r="BB18" s="1033"/>
      <c r="BC18" s="1033"/>
      <c r="BD18" s="1033"/>
      <c r="BE18" s="1033"/>
      <c r="BF18" s="1033"/>
      <c r="BG18" s="1033"/>
      <c r="BH18" s="1033"/>
      <c r="BI18" s="1033"/>
      <c r="BJ18" s="1255"/>
      <c r="BK18" s="1033"/>
      <c r="BL18" s="1033"/>
      <c r="BM18" s="1033"/>
      <c r="BN18" s="1033"/>
      <c r="BO18" s="1033"/>
      <c r="BP18" s="1033"/>
      <c r="BQ18" s="1033"/>
      <c r="BR18" s="1038"/>
    </row>
    <row r="19" spans="1:70" ht="18" customHeight="1">
      <c r="A19" s="230" t="str">
        <f>IF(AND(IFERROR(N19&gt;0,FALSE),IFERROR(P19&gt;0,FALSE)),"混点！ ","")&amp;IF(AND(IFERROR(N19&gt;0,FALSE),D19&lt;&gt;"★"),"非本职职业！","")</f>
        <v/>
      </c>
      <c r="B19" s="1111" t="s">
        <v>59</v>
      </c>
      <c r="C19" s="1000"/>
      <c r="D19" s="1021" t="str">
        <f>IFERROR(IF(ISTEXT(IFERROR(VLOOKUP(人物卡!F19,人物卡!BJ18:BR22,1,FALSE),IFERROR(VLOOKUP(人物卡!F19,人物卡!BA18:BC22,1,FALSE),0))),"★",INDEX(本职技能!$A$2:$HX$76,MATCH(人物卡!F19,本职技能!$A$2:$A$75,0),MATCH(人物卡!$M$5,本职技能!$A$1:$HX$1,0))),0)</f>
        <v/>
      </c>
      <c r="E19" s="1000"/>
      <c r="F19" s="999" t="s">
        <v>69</v>
      </c>
      <c r="G19" s="1007"/>
      <c r="H19" s="1007"/>
      <c r="I19" s="1000"/>
      <c r="J19" s="999">
        <v>1</v>
      </c>
      <c r="K19" s="1000"/>
      <c r="L19" s="2251"/>
      <c r="M19" s="2251"/>
      <c r="N19" s="999"/>
      <c r="O19" s="1000"/>
      <c r="P19" s="999"/>
      <c r="Q19" s="1000"/>
      <c r="R19" s="1010" t="n">
        <f>SUM(J19:Q19)</f>
        <v>1</v>
      </c>
      <c r="S19" s="1000"/>
      <c r="T19" s="999" t="n">
        <f>INT(R19/2)</f>
        <v>0</v>
      </c>
      <c r="U19" s="1000"/>
      <c r="V19" s="999" t="n">
        <f>INT(R19/5)</f>
        <v>0</v>
      </c>
      <c r="W19" s="1000"/>
      <c r="X19" s="1053" t="s">
        <v>59</v>
      </c>
      <c r="Y19" s="1000"/>
      <c r="Z19" s="1021" t="str">
        <f>IFERROR(IF(ISTEXT(IFERROR(VLOOKUP(人物卡!AB19,人物卡!BJ18:BR22,1,FALSE),IFERROR(VLOOKUP(人物卡!AB19,人物卡!BA18:BC22,1,FALSE),0))),"★",INDEX(本职技能!$A$2:$HX$76,MATCH(人物卡!AB19,本职技能!$A$2:$A$75,0),MATCH(人物卡!$M$5,本职技能!$A$1:$HX$1,0))),0)</f>
        <v/>
      </c>
      <c r="AA19" s="1000"/>
      <c r="AB19" s="999" t="s">
        <v>70</v>
      </c>
      <c r="AC19" s="1007"/>
      <c r="AD19" s="1007"/>
      <c r="AE19" s="1000"/>
      <c r="AF19" s="999">
        <v>1</v>
      </c>
      <c r="AG19" s="1000"/>
      <c r="AH19" s="2251"/>
      <c r="AI19" s="2251"/>
      <c r="AJ19" s="999"/>
      <c r="AK19" s="1000"/>
      <c r="AL19" s="1010"/>
      <c r="AM19" s="1000"/>
      <c r="AN19" s="1010" t="n">
        <f>SUM(AF19:AM19)</f>
        <v>1</v>
      </c>
      <c r="AO19" s="1000"/>
      <c r="AP19" s="1010" t="n">
        <f>INT(AN19/2)</f>
        <v>0</v>
      </c>
      <c r="AQ19" s="1000"/>
      <c r="AR19" s="1010" t="n">
        <f>INT(AN19/5)</f>
        <v>0</v>
      </c>
      <c r="AS19" s="1005"/>
      <c r="AT19" s="230" t="str">
        <f>IF(AND(IFERROR(AJ19&gt;0,FALSE),IFERROR(AL19&gt;0,FALSE)),"混点！ ","")&amp;IF(AND(IFERROR(AJ19&gt;0,FALSE),Z19&lt;&gt;"★"),"非本职职业！","")</f>
        <v/>
      </c>
      <c r="AU19" s="1361" t="str">
        <f>附表!AD25</f>
        <v>无</v>
      </c>
      <c r="AV19" s="996"/>
      <c r="AW19" s="996"/>
      <c r="AX19" s="996"/>
      <c r="AY19" s="996"/>
      <c r="AZ19" s="1013"/>
      <c r="BA19" s="1028"/>
      <c r="BB19" s="996"/>
      <c r="BC19" s="996"/>
      <c r="BD19" s="996"/>
      <c r="BE19" s="996"/>
      <c r="BF19" s="996"/>
      <c r="BG19" s="996"/>
      <c r="BH19" s="996"/>
      <c r="BI19" s="996"/>
      <c r="BJ19" s="1153"/>
      <c r="BK19" s="996"/>
      <c r="BL19" s="996"/>
      <c r="BM19" s="996"/>
      <c r="BN19" s="996"/>
      <c r="BO19" s="996"/>
      <c r="BP19" s="996"/>
      <c r="BQ19" s="996"/>
      <c r="BR19" s="1015"/>
    </row>
    <row r="20" spans="1:70" ht="18" customHeight="1">
      <c r="A20" s="230" t="str">
        <f>IF(AND(IFERROR(N20&gt;0,FALSE),IFERROR(P20&gt;0,FALSE)),"混点！ ","")&amp;IF(AND(IFERROR(N20&gt;0,FALSE),D20&lt;&gt;"★"),"非本职职业！","")</f>
        <v/>
      </c>
      <c r="B20" s="1085" t="s">
        <v>59</v>
      </c>
      <c r="C20" s="1000"/>
      <c r="D20" s="1017" t="str">
        <f>IFERROR(IF(ISTEXT(IFERROR(VLOOKUP(人物卡!F20,人物卡!BJ18:BR22,1,FALSE),IFERROR(VLOOKUP(人物卡!F20,人物卡!BA18:BC22,1,FALSE),0))),"★",INDEX(本职技能!$A$2:$HX$76,MATCH(人物卡!F20,本职技能!$A$2:$A$75,0),MATCH(人物卡!$M$5,本职技能!$A$1:$HX$1,0))),0)</f>
        <v/>
      </c>
      <c r="E20" s="1000"/>
      <c r="F20" s="1062" t="s">
        <v>71</v>
      </c>
      <c r="G20" s="1000"/>
      <c r="H20" s="1283"/>
      <c r="I20" s="1000"/>
      <c r="J20" s="1002" t="n">
        <f>IF(ISBLANK(AU26),5,IF(H20=AU26,BA26,5))</f>
        <v>5</v>
      </c>
      <c r="K20" s="1000"/>
      <c r="L20" s="2250"/>
      <c r="M20" s="2250"/>
      <c r="N20" s="1002"/>
      <c r="O20" s="1000"/>
      <c r="P20" s="1002"/>
      <c r="Q20" s="1000"/>
      <c r="R20" s="1004" t="n">
        <f>SUM(J20:Q20)</f>
        <v>5</v>
      </c>
      <c r="S20" s="1000"/>
      <c r="T20" s="1002" t="n">
        <f>INT(R20/2)</f>
        <v>2</v>
      </c>
      <c r="U20" s="1000"/>
      <c r="V20" s="1002" t="n">
        <f>INT(R20/5)</f>
        <v>1</v>
      </c>
      <c r="W20" s="1000"/>
      <c r="X20" s="1009" t="s">
        <v>59</v>
      </c>
      <c r="Y20" s="1000"/>
      <c r="Z20" s="1017" t="str">
        <f>IFERROR(IF(ISTEXT(IFERROR(VLOOKUP(人物卡!AB20,人物卡!BJ18:BR22,1,FALSE),IFERROR(VLOOKUP(人物卡!AB20,人物卡!BA18:BC22,1,FALSE),0))),"★",INDEX(本职技能!$A$2:$HX$76,MATCH(人物卡!AB20,本职技能!$A$2:$A$75,0),MATCH(人物卡!$M$5,本职技能!$A$1:$HX$1,0))),0)</f>
        <v/>
      </c>
      <c r="AA20" s="1000"/>
      <c r="AB20" s="1002" t="s">
        <v>72</v>
      </c>
      <c r="AC20" s="1007"/>
      <c r="AD20" s="1007"/>
      <c r="AE20" s="1000"/>
      <c r="AF20" s="1002">
        <v>10</v>
      </c>
      <c r="AG20" s="1000"/>
      <c r="AH20" s="2250"/>
      <c r="AI20" s="2250"/>
      <c r="AJ20" s="1002"/>
      <c r="AK20" s="1000"/>
      <c r="AL20" s="1004"/>
      <c r="AM20" s="1000"/>
      <c r="AN20" s="1004" t="n">
        <f>SUM(AF20:AM20)</f>
        <v>10</v>
      </c>
      <c r="AO20" s="1000"/>
      <c r="AP20" s="1004" t="n">
        <f>INT(AN20/2)</f>
        <v>5</v>
      </c>
      <c r="AQ20" s="1000"/>
      <c r="AR20" s="1004" t="n">
        <f>INT(AN20/5)</f>
        <v>2</v>
      </c>
      <c r="AS20" s="1005"/>
      <c r="AT20" s="230" t="str">
        <f>IF(AND(IFERROR(AJ20&gt;0,FALSE),IFERROR(AL20&gt;0,FALSE)),"混点！ ","")&amp;IF(AND(IFERROR(AJ20&gt;0,FALSE),Z20&lt;&gt;"★"),"非本职职业！","")</f>
        <v/>
      </c>
      <c r="AU20" s="1034"/>
      <c r="AV20" s="996"/>
      <c r="AW20" s="996"/>
      <c r="AX20" s="996"/>
      <c r="AY20" s="996"/>
      <c r="AZ20" s="1013"/>
      <c r="BA20" s="1147"/>
      <c r="BB20" s="1033"/>
      <c r="BC20" s="1033"/>
      <c r="BD20" s="1033"/>
      <c r="BE20" s="1033"/>
      <c r="BF20" s="1033"/>
      <c r="BG20" s="1033"/>
      <c r="BH20" s="1033"/>
      <c r="BI20" s="1033"/>
      <c r="BJ20" s="1255"/>
      <c r="BK20" s="1033"/>
      <c r="BL20" s="1033"/>
      <c r="BM20" s="1033"/>
      <c r="BN20" s="1033"/>
      <c r="BO20" s="1033"/>
      <c r="BP20" s="1033"/>
      <c r="BQ20" s="1033"/>
      <c r="BR20" s="1038"/>
    </row>
    <row r="21" spans="1:70" ht="18" customHeight="1">
      <c r="A21" s="230" t="str">
        <f>IF(AND(IFERROR(N21&gt;0,FALSE),IFERROR(P21&gt;0,FALSE)),"混点！ ","")&amp;IF(AND(IFERROR(N21&gt;0,FALSE),D21&lt;&gt;"★"),"非本职职业！","")</f>
        <v/>
      </c>
      <c r="B21" s="1111" t="s">
        <v>59</v>
      </c>
      <c r="C21" s="1000"/>
      <c r="D21" s="1021" t="str">
        <f>IFERROR(IF(ISTEXT(IFERROR(VLOOKUP(人物卡!F21,人物卡!BJ18:BR22,1,FALSE),IFERROR(VLOOKUP(人物卡!F21,人物卡!BA18:BC22,1,FALSE),0))),"★",INDEX(本职技能!$A$2:$HX$76,MATCH(人物卡!F21,本职技能!$A$2:$A$75,0),MATCH(人物卡!$M$5,本职技能!$A$1:$HX$1,0))),0)</f>
        <v/>
      </c>
      <c r="E21" s="1000"/>
      <c r="F21" s="1076" t="s">
        <v>73</v>
      </c>
      <c r="G21" s="1000"/>
      <c r="H21" s="1328"/>
      <c r="I21" s="1000"/>
      <c r="J21" s="999" t="n">
        <f>IF(ISBLANK(AU26),5,IF(H21=AU26,BA26,5))</f>
        <v>5</v>
      </c>
      <c r="K21" s="1000"/>
      <c r="L21" s="2251"/>
      <c r="M21" s="2251"/>
      <c r="N21" s="999"/>
      <c r="O21" s="1000"/>
      <c r="P21" s="999"/>
      <c r="Q21" s="1000"/>
      <c r="R21" s="1010" t="n">
        <f>SUM(J21:Q21)</f>
        <v>5</v>
      </c>
      <c r="S21" s="1000"/>
      <c r="T21" s="999" t="n">
        <f>INT(R21/2)</f>
        <v>2</v>
      </c>
      <c r="U21" s="1000"/>
      <c r="V21" s="999" t="n">
        <f>INT(R21/5)</f>
        <v>1</v>
      </c>
      <c r="W21" s="1000"/>
      <c r="X21" s="1053" t="s">
        <v>59</v>
      </c>
      <c r="Y21" s="1000"/>
      <c r="Z21" s="1021" t="str">
        <f>IFERROR(IF(ISTEXT(IFERROR(VLOOKUP(人物卡!AB21,人物卡!BJ18:BR22,1,FALSE),IFERROR(VLOOKUP(人物卡!AB21,人物卡!BA18:BC22,1,FALSE),0))),"★",INDEX(本职技能!$A$2:$HX$76,MATCH(人物卡!AB21,本职技能!$A$2:$A$75,0),MATCH(人物卡!$M$5,本职技能!$A$1:$HX$1,0))),0)</f>
        <v/>
      </c>
      <c r="AA21" s="1000"/>
      <c r="AB21" s="999" t="s">
        <v>74</v>
      </c>
      <c r="AC21" s="1007"/>
      <c r="AD21" s="1007"/>
      <c r="AE21" s="1000"/>
      <c r="AF21" s="999">
        <v>1</v>
      </c>
      <c r="AG21" s="1000"/>
      <c r="AH21" s="2251"/>
      <c r="AI21" s="2251"/>
      <c r="AJ21" s="999"/>
      <c r="AK21" s="1000"/>
      <c r="AL21" s="1010"/>
      <c r="AM21" s="1000"/>
      <c r="AN21" s="1010" t="n">
        <f>SUM(AF21:AM21)</f>
        <v>1</v>
      </c>
      <c r="AO21" s="1000"/>
      <c r="AP21" s="1010" t="n">
        <f>INT(AN21/2)</f>
        <v>0</v>
      </c>
      <c r="AQ21" s="1000"/>
      <c r="AR21" s="1010" t="n">
        <f>INT(AN21/5)</f>
        <v>0</v>
      </c>
      <c r="AS21" s="1005"/>
      <c r="AT21" s="230" t="str">
        <f>IF(AND(IFERROR(AJ21&gt;0,FALSE),IFERROR(AL21&gt;0,FALSE)),"混点！ ","")&amp;IF(AND(IFERROR(AJ21&gt;0,FALSE),Z21&lt;&gt;"★"),"非本职职业！","")</f>
        <v/>
      </c>
      <c r="AU21" s="1034"/>
      <c r="AV21" s="996"/>
      <c r="AW21" s="996"/>
      <c r="AX21" s="996"/>
      <c r="AY21" s="996"/>
      <c r="AZ21" s="1013"/>
      <c r="BA21" s="1028"/>
      <c r="BB21" s="996"/>
      <c r="BC21" s="996"/>
      <c r="BD21" s="996"/>
      <c r="BE21" s="996"/>
      <c r="BF21" s="996"/>
      <c r="BG21" s="996"/>
      <c r="BH21" s="996"/>
      <c r="BI21" s="996"/>
      <c r="BJ21" s="1153"/>
      <c r="BK21" s="996"/>
      <c r="BL21" s="996"/>
      <c r="BM21" s="996"/>
      <c r="BN21" s="996"/>
      <c r="BO21" s="996"/>
      <c r="BP21" s="996"/>
      <c r="BQ21" s="996"/>
      <c r="BR21" s="1015"/>
    </row>
    <row r="22" spans="1:70" ht="18" customHeight="1">
      <c r="A22" s="230" t="str">
        <f>IF(AND(IFERROR(N22&gt;0,FALSE),IFERROR(P22&gt;0,FALSE)),"混点！ ","")&amp;IF(AND(IFERROR(N22&gt;0,FALSE),D22&lt;&gt;"★"),"非本职职业！","")</f>
        <v/>
      </c>
      <c r="B22" s="1085" t="s">
        <v>59</v>
      </c>
      <c r="C22" s="1000"/>
      <c r="D22" s="1017" t="str">
        <f>IFERROR(IF(ISTEXT(IFERROR(VLOOKUP(人物卡!F22,人物卡!BJ18:BR22,1,FALSE),IFERROR(VLOOKUP(人物卡!F22,人物卡!BA18:BC22,1,FALSE),0))),"★",INDEX(本职技能!$A$2:$HX$76,MATCH(人物卡!F22,本职技能!$A$2:$A$75,0),MATCH(人物卡!$M$5,本职技能!$A$1:$HX$1,0))),0)</f>
        <v/>
      </c>
      <c r="E22" s="1000"/>
      <c r="F22" s="1062" t="s">
        <v>75</v>
      </c>
      <c r="G22" s="1000"/>
      <c r="H22" s="1283"/>
      <c r="I22" s="1000"/>
      <c r="J22" s="1002" t="n">
        <f>IF(ISBLANK(AU26),5,IF(H22=AU26,BA26,5))</f>
        <v>5</v>
      </c>
      <c r="K22" s="1000"/>
      <c r="L22" s="2250"/>
      <c r="M22" s="2250"/>
      <c r="N22" s="1002"/>
      <c r="O22" s="1000"/>
      <c r="P22" s="1002"/>
      <c r="Q22" s="1000"/>
      <c r="R22" s="1004" t="n">
        <f>SUM(J22:Q22)</f>
        <v>5</v>
      </c>
      <c r="S22" s="1000"/>
      <c r="T22" s="1002" t="n">
        <f>INT(R22/2)</f>
        <v>2</v>
      </c>
      <c r="U22" s="1000"/>
      <c r="V22" s="1002" t="n">
        <f>INT(R22/5)</f>
        <v>1</v>
      </c>
      <c r="W22" s="1000"/>
      <c r="X22" s="1009" t="s">
        <v>59</v>
      </c>
      <c r="Y22" s="1000"/>
      <c r="Z22" s="1017" t="str">
        <f>IFERROR(IF(ISTEXT(IFERROR(VLOOKUP(人物卡!AB22,人物卡!BJ18:BR22,1,FALSE),IFERROR(VLOOKUP(人物卡!AB22,人物卡!BA18:BC22,1,FALSE),0))),"★",INDEX(本职技能!$A$2:$HX$76,MATCH(人物卡!AB22,本职技能!$A$2:$A$75,0),MATCH(人物卡!$M$5,本职技能!$A$1:$HX$1,0))),0)</f>
        <v/>
      </c>
      <c r="AA22" s="1000"/>
      <c r="AB22" s="1002" t="s">
        <v>76</v>
      </c>
      <c r="AC22" s="1007"/>
      <c r="AD22" s="1007"/>
      <c r="AE22" s="1000"/>
      <c r="AF22" s="1002">
        <v>10</v>
      </c>
      <c r="AG22" s="1000"/>
      <c r="AH22" s="2250"/>
      <c r="AI22" s="2250"/>
      <c r="AJ22" s="1002"/>
      <c r="AK22" s="1000"/>
      <c r="AL22" s="1004"/>
      <c r="AM22" s="1000"/>
      <c r="AN22" s="1004" t="n">
        <f>SUM(AF22:AM22)</f>
        <v>10</v>
      </c>
      <c r="AO22" s="1000"/>
      <c r="AP22" s="1004" t="n">
        <f>INT(AN22/2)</f>
        <v>5</v>
      </c>
      <c r="AQ22" s="1000"/>
      <c r="AR22" s="1004" t="n">
        <f>INT(AN22/5)</f>
        <v>2</v>
      </c>
      <c r="AS22" s="1005"/>
      <c r="AT22" s="230" t="str">
        <f>IF(AND(IFERROR(AJ22&gt;0,FALSE),IFERROR(AL22&gt;0,FALSE)),"混点！ ","")&amp;IF(AND(IFERROR(AJ22&gt;0,FALSE),Z22&lt;&gt;"★"),"非本职职业！","")</f>
        <v/>
      </c>
      <c r="AU22" s="1144" t="s">
        <v>77</v>
      </c>
      <c r="AV22" s="996"/>
      <c r="AW22" s="996"/>
      <c r="AX22" s="996"/>
      <c r="AY22" s="996"/>
      <c r="AZ22" s="1013"/>
      <c r="BA22" s="1147"/>
      <c r="BB22" s="1033"/>
      <c r="BC22" s="1033"/>
      <c r="BD22" s="1033"/>
      <c r="BE22" s="1033"/>
      <c r="BF22" s="1033"/>
      <c r="BG22" s="1033"/>
      <c r="BH22" s="1033"/>
      <c r="BI22" s="1033"/>
      <c r="BJ22" s="1255"/>
      <c r="BK22" s="1033"/>
      <c r="BL22" s="1033"/>
      <c r="BM22" s="1033"/>
      <c r="BN22" s="1033"/>
      <c r="BO22" s="1033"/>
      <c r="BP22" s="1033"/>
      <c r="BQ22" s="1033"/>
      <c r="BR22" s="1038"/>
    </row>
    <row r="23" spans="1:70" ht="18" customHeight="1" thickBot="1">
      <c r="A23" s="230" t="str">
        <f>IF(AND(IFERROR(N23&gt;0,FALSE),IFERROR(P23&gt;0,FALSE)),"混点！ ","")&amp;IF(AND(IFERROR(N23&gt;0,FALSE),D23&lt;&gt;"★"),"非本职职业！","")</f>
        <v/>
      </c>
      <c r="B23" s="1111" t="s">
        <v>59</v>
      </c>
      <c r="C23" s="1000"/>
      <c r="D23" s="1021" t="str">
        <f>IFERROR(IF(ISTEXT(IFERROR(VLOOKUP(人物卡!F23,人物卡!BJ18:BR22,1,FALSE),IFERROR(VLOOKUP(人物卡!F23,人物卡!BA18:BC22,1,FALSE),0))),"★",INDEX(本职技能!$A$2:$HX$76,MATCH(人物卡!F23,本职技能!$A$2:$A$75,0),MATCH(人物卡!$M$5,本职技能!$A$1:$HX$1,0))),0)</f>
        <v/>
      </c>
      <c r="E23" s="1000"/>
      <c r="F23" s="999" t="s">
        <v>78</v>
      </c>
      <c r="G23" s="1007"/>
      <c r="H23" s="1007"/>
      <c r="I23" s="1000"/>
      <c r="J23" s="999">
        <v>15</v>
      </c>
      <c r="K23" s="1000"/>
      <c r="L23" s="2251"/>
      <c r="M23" s="2251"/>
      <c r="N23" s="999"/>
      <c r="O23" s="1000"/>
      <c r="P23" s="999"/>
      <c r="Q23" s="1000"/>
      <c r="R23" s="1010" t="n">
        <f>SUM(J23:Q23)</f>
        <v>15</v>
      </c>
      <c r="S23" s="1000"/>
      <c r="T23" s="999" t="n">
        <f>INT(R23/2)</f>
        <v>7</v>
      </c>
      <c r="U23" s="1000"/>
      <c r="V23" s="999" t="n">
        <f>INT(R23/5)</f>
        <v>3</v>
      </c>
      <c r="W23" s="1000"/>
      <c r="X23" s="1053" t="s">
        <v>59</v>
      </c>
      <c r="Y23" s="1000"/>
      <c r="Z23" s="1021" t="str">
        <f>IFERROR(IF(ISTEXT(IFERROR(VLOOKUP(人物卡!AB23,人物卡!BJ18:BR22,1,FALSE),IFERROR(VLOOKUP(人物卡!AB23,人物卡!BA18:BC22,1,FALSE),0))),"★",INDEX(本职技能!$A$2:$HX$76,MATCH(人物卡!AB23,本职技能!$A$2:$A$75,0),MATCH(人物卡!$M$5,本职技能!$A$1:$HX$1,0))),0)</f>
        <v/>
      </c>
      <c r="AA23" s="1000"/>
      <c r="AB23" s="999" t="s">
        <v>79</v>
      </c>
      <c r="AC23" s="1007"/>
      <c r="AD23" s="1007"/>
      <c r="AE23" s="1000"/>
      <c r="AF23" s="999">
        <v>10</v>
      </c>
      <c r="AG23" s="1000"/>
      <c r="AH23" s="2251"/>
      <c r="AI23" s="2251"/>
      <c r="AJ23" s="999"/>
      <c r="AK23" s="1000"/>
      <c r="AL23" s="1010"/>
      <c r="AM23" s="1000"/>
      <c r="AN23" s="1010" t="n">
        <f>SUM(AF23:AM23)</f>
        <v>10</v>
      </c>
      <c r="AO23" s="1000"/>
      <c r="AP23" s="1010" t="n">
        <f>INT(AN23/2)</f>
        <v>5</v>
      </c>
      <c r="AQ23" s="1000"/>
      <c r="AR23" s="1010" t="n">
        <f>INT(AN23/5)</f>
        <v>2</v>
      </c>
      <c r="AS23" s="1005"/>
      <c r="AT23" s="230" t="str">
        <f>IF(AND(IFERROR(AJ23&gt;0,FALSE),IFERROR(AL23&gt;0,FALSE)),"混点！ ","")&amp;IF(AND(IFERROR(AJ23&gt;0,FALSE),Z23&lt;&gt;"★"),"非本职职业！","")</f>
        <v/>
      </c>
      <c r="AU23" s="1259" t="s">
        <v>80</v>
      </c>
      <c r="AV23" s="1019"/>
      <c r="AW23" s="1019"/>
      <c r="AX23" s="1019"/>
      <c r="AY23" s="1019"/>
      <c r="AZ23" s="1019"/>
      <c r="BA23" s="1019"/>
      <c r="BB23" s="1019"/>
      <c r="BC23" s="1019"/>
      <c r="BD23" s="1019"/>
      <c r="BE23" s="1019"/>
      <c r="BF23" s="1019"/>
      <c r="BG23" s="1019"/>
      <c r="BH23" s="1019"/>
      <c r="BI23" s="1019"/>
      <c r="BJ23" s="1019"/>
      <c r="BK23" s="1019"/>
      <c r="BL23" s="1019"/>
      <c r="BM23" s="1019"/>
      <c r="BN23" s="1019"/>
      <c r="BO23" s="1019"/>
      <c r="BP23" s="1019"/>
      <c r="BQ23" s="1019"/>
      <c r="BR23" s="1091"/>
    </row>
    <row r="24" spans="1:70" ht="18" customHeight="1">
      <c r="A24" s="230" t="str">
        <f>IF(AND(IFERROR(N24&gt;0,FALSE),IFERROR(P24&gt;0,FALSE)),"混点！ ","")&amp;IF(AND(IFERROR(N24&gt;0,FALSE),D24&lt;&gt;"★"),"非本职职业！","")</f>
        <v/>
      </c>
      <c r="B24" s="1085" t="s">
        <v>59</v>
      </c>
      <c r="C24" s="1000"/>
      <c r="D24" s="1017" t="str">
        <f>IFERROR(IF(ISTEXT(IFERROR(VLOOKUP(人物卡!F24,人物卡!BJ18:BR22,1,FALSE),IFERROR(VLOOKUP(人物卡!F24,人物卡!BA18:BC22,1,FALSE),0))),"★",INDEX(本职技能!$A$2:$HX$76,MATCH(人物卡!F24,本职技能!$A$2:$A$75,0),MATCH(人物卡!$M$5,本职技能!$A$1:$HX$1,0))),0)</f>
        <v/>
      </c>
      <c r="E24" s="1000"/>
      <c r="F24" s="1002" t="s">
        <v>81</v>
      </c>
      <c r="G24" s="1007"/>
      <c r="H24" s="1007"/>
      <c r="I24" s="1000"/>
      <c r="J24" s="1002">
        <v>20</v>
      </c>
      <c r="K24" s="1000"/>
      <c r="L24" s="2250"/>
      <c r="M24" s="2250"/>
      <c r="N24" s="1002"/>
      <c r="O24" s="1000"/>
      <c r="P24" s="1002"/>
      <c r="Q24" s="1000"/>
      <c r="R24" s="1004" t="n">
        <f>SUM(J24:Q24)</f>
        <v>20</v>
      </c>
      <c r="S24" s="1000"/>
      <c r="T24" s="1002" t="n">
        <f>INT(R24/2)</f>
        <v>10</v>
      </c>
      <c r="U24" s="1000"/>
      <c r="V24" s="1002" t="n">
        <f>INT(R24/5)</f>
        <v>4</v>
      </c>
      <c r="W24" s="1000"/>
      <c r="X24" s="1009" t="s">
        <v>59</v>
      </c>
      <c r="Y24" s="1000"/>
      <c r="Z24" s="1017" t="str">
        <f>IFERROR(IF(ISTEXT(IFERROR(VLOOKUP(人物卡!AB24,人物卡!BJ18:BR22,1,FALSE),IFERROR(VLOOKUP(人物卡!AB24,人物卡!BA18:BC22,1,FALSE),0))),"★",INDEX(本职技能!$A$2:$HX$76,MATCH(人物卡!AB24,本职技能!$A$2:$A$75,0),MATCH(人物卡!$M$5,本职技能!$A$1:$HX$1,0))),0)</f>
        <v/>
      </c>
      <c r="AA24" s="1000"/>
      <c r="AB24" s="1002" t="s">
        <v>82</v>
      </c>
      <c r="AC24" s="1007"/>
      <c r="AD24" s="1007"/>
      <c r="AE24" s="1000"/>
      <c r="AF24" s="1002">
        <v>5</v>
      </c>
      <c r="AG24" s="1000"/>
      <c r="AH24" s="2250"/>
      <c r="AI24" s="2250"/>
      <c r="AJ24" s="1002"/>
      <c r="AK24" s="1000"/>
      <c r="AL24" s="1004"/>
      <c r="AM24" s="1000"/>
      <c r="AN24" s="1004" t="n">
        <f>SUM(AF24:AM24)</f>
        <v>5</v>
      </c>
      <c r="AO24" s="1000"/>
      <c r="AP24" s="1004" t="n">
        <f>INT(AN24/2)</f>
        <v>2</v>
      </c>
      <c r="AQ24" s="1000"/>
      <c r="AR24" s="1004" t="n">
        <f>INT(AN24/5)</f>
        <v>1</v>
      </c>
      <c r="AS24" s="1005"/>
      <c r="AT24" s="230" t="str">
        <f>IF(AND(IFERROR(AJ24&gt;0,FALSE),IFERROR(AL24&gt;0,FALSE)),"混点！ ","")&amp;IF(AND(IFERROR(AJ24&gt;0,FALSE),Z24&lt;&gt;"★"),"非本职职业！","")</f>
        <v/>
      </c>
      <c r="AU24" s="1124" t="s">
        <v>83</v>
      </c>
      <c r="AV24" s="1023"/>
      <c r="AW24" s="1023"/>
      <c r="AX24" s="1023"/>
      <c r="AY24" s="1023"/>
      <c r="AZ24" s="1023"/>
      <c r="BA24" s="1023"/>
      <c r="BB24" s="1024"/>
      <c r="BC24" s="1315" t="s">
        <v>84</v>
      </c>
      <c r="BD24" s="1023"/>
      <c r="BE24" s="1023"/>
      <c r="BF24" s="1023"/>
      <c r="BG24" s="1023"/>
      <c r="BH24" s="1023"/>
      <c r="BI24" s="1023"/>
      <c r="BJ24" s="1024"/>
      <c r="BK24" s="1355" t="s">
        <v>85</v>
      </c>
      <c r="BL24" s="1023"/>
      <c r="BM24" s="1023"/>
      <c r="BN24" s="1023"/>
      <c r="BO24" s="1023"/>
      <c r="BP24" s="1023"/>
      <c r="BQ24" s="1023"/>
      <c r="BR24" s="1024"/>
    </row>
    <row r="25" spans="1:70" ht="18" customHeight="1">
      <c r="A25" s="230" t="str">
        <f>IF(AND(IFERROR(N25&gt;0,FALSE),IFERROR(P25&gt;0,FALSE)),"混点！ ","")&amp;IF(AND(IFERROR(N25&gt;0,FALSE),D25&lt;&gt;"★"),"非本职职业！","")</f>
        <v/>
      </c>
      <c r="B25" s="1111" t="s">
        <v>59</v>
      </c>
      <c r="C25" s="1000"/>
      <c r="D25" s="1021" t="str">
        <f>IFERROR(IF(ISTEXT(IFERROR(VLOOKUP(人物卡!F25,人物卡!BJ18:BR22,1,FALSE),IFERROR(VLOOKUP(人物卡!F25,人物卡!BA18:BC22,1,FALSE),0))),"★",INDEX(本职技能!$A$2:$HX$76,MATCH(人物卡!F25,本职技能!$A$2:$A$75,0),MATCH(人物卡!$M$5,本职技能!$A$1:$HX$1,0))),0)</f>
        <v/>
      </c>
      <c r="E25" s="1000"/>
      <c r="F25" s="999" t="s">
        <v>86</v>
      </c>
      <c r="G25" s="1007"/>
      <c r="H25" s="1007"/>
      <c r="I25" s="1000"/>
      <c r="J25" s="999">
        <v>5</v>
      </c>
      <c r="K25" s="1000"/>
      <c r="L25" s="2251"/>
      <c r="M25" s="2251"/>
      <c r="N25" s="999"/>
      <c r="O25" s="1000"/>
      <c r="P25" s="999"/>
      <c r="Q25" s="1000"/>
      <c r="R25" s="1010" t="n">
        <f>SUM(J25:Q25)</f>
        <v>5</v>
      </c>
      <c r="S25" s="1000"/>
      <c r="T25" s="999" t="n">
        <f>INT(R25/2)</f>
        <v>2</v>
      </c>
      <c r="U25" s="1000"/>
      <c r="V25" s="999" t="n">
        <f>INT(R25/5)</f>
        <v>1</v>
      </c>
      <c r="W25" s="1000"/>
      <c r="X25" s="1053" t="s">
        <v>59</v>
      </c>
      <c r="Y25" s="1000"/>
      <c r="Z25" s="1021" t="str">
        <f>IFERROR(IF(ISTEXT(IFERROR(VLOOKUP(人物卡!AB25,人物卡!BJ18:BR22,1,FALSE),IFERROR(VLOOKUP(人物卡!AB25,人物卡!BA18:BC22,1,FALSE),0))),"★",INDEX(本职技能!$A$2:$HX$76,MATCH(人物卡!AB25,本职技能!$A$2:$A$75,0),MATCH(人物卡!$M$5,本职技能!$A$1:$HX$1,0))),0)</f>
        <v/>
      </c>
      <c r="AA25" s="1000"/>
      <c r="AB25" s="999" t="s">
        <v>87</v>
      </c>
      <c r="AC25" s="1007"/>
      <c r="AD25" s="1007"/>
      <c r="AE25" s="1000"/>
      <c r="AF25" s="999">
        <v>1</v>
      </c>
      <c r="AG25" s="1000"/>
      <c r="AH25" s="2251"/>
      <c r="AI25" s="2251"/>
      <c r="AJ25" s="999"/>
      <c r="AK25" s="1000"/>
      <c r="AL25" s="1010"/>
      <c r="AM25" s="1000"/>
      <c r="AN25" s="1010" t="n">
        <f>SUM(AF25:AM25)</f>
        <v>1</v>
      </c>
      <c r="AO25" s="1000"/>
      <c r="AP25" s="1010" t="n">
        <f>INT(AN25/2)</f>
        <v>0</v>
      </c>
      <c r="AQ25" s="1000"/>
      <c r="AR25" s="1010" t="n">
        <f>INT(AN25/5)</f>
        <v>0</v>
      </c>
      <c r="AS25" s="1005"/>
      <c r="AT25" s="230" t="str">
        <f>IF(AND(IFERROR(AJ25&gt;0,FALSE),IFERROR(AL25&gt;0,FALSE)),"混点！ ","")&amp;IF(AND(IFERROR(AJ25&gt;0,FALSE),Z25&lt;&gt;"★"),"非本职职业！","")</f>
        <v/>
      </c>
      <c r="AU25" s="1168" t="s">
        <v>88</v>
      </c>
      <c r="AV25" s="1007"/>
      <c r="AW25" s="1007"/>
      <c r="AX25" s="1007"/>
      <c r="AY25" s="1007"/>
      <c r="AZ25" s="1000"/>
      <c r="BA25" s="1060" t="s">
        <v>89</v>
      </c>
      <c r="BB25" s="1000"/>
      <c r="BC25" s="1230" t="s">
        <v>90</v>
      </c>
      <c r="BD25" s="1007"/>
      <c r="BE25" s="1007"/>
      <c r="BF25" s="1007"/>
      <c r="BG25" s="1007"/>
      <c r="BH25" s="1007"/>
      <c r="BI25" s="1007"/>
      <c r="BJ25" s="1084"/>
      <c r="BK25" s="1276" t="s">
        <v>91</v>
      </c>
      <c r="BL25" s="1007"/>
      <c r="BM25" s="1007"/>
      <c r="BN25" s="1007"/>
      <c r="BO25" s="1007"/>
      <c r="BP25" s="1007"/>
      <c r="BQ25" s="1007"/>
      <c r="BR25" s="1084"/>
    </row>
    <row r="26" spans="1:70" ht="18" customHeight="1">
      <c r="A26" s="230" t="str">
        <f>IF(AND(IFERROR(N26&gt;0,FALSE),IFERROR(P26&gt;0,FALSE)),"混点！ ","")&amp;IF(AND(IFERROR(N26&gt;0,FALSE),D26&lt;&gt;"★"),"非本职职业！","")</f>
        <v/>
      </c>
      <c r="B26" s="1085" t="s">
        <v>92</v>
      </c>
      <c r="C26" s="1000"/>
      <c r="D26" s="1017" t="s">
        <v>93</v>
      </c>
      <c r="E26" s="1000"/>
      <c r="F26" s="1002" t="s">
        <v>94</v>
      </c>
      <c r="G26" s="1007"/>
      <c r="H26" s="1007"/>
      <c r="I26" s="1000"/>
      <c r="J26" s="1002">
        <v>0</v>
      </c>
      <c r="K26" s="1000"/>
      <c r="L26" s="2250"/>
      <c r="M26" s="2250"/>
      <c r="N26" s="1002"/>
      <c r="O26" s="1000"/>
      <c r="P26" s="1002"/>
      <c r="Q26" s="1000"/>
      <c r="R26" s="1004" t="n">
        <f>SUM(J26:Q26)</f>
        <v>0</v>
      </c>
      <c r="S26" s="1000"/>
      <c r="T26" s="1002" t="n">
        <f>INT(R26/2)</f>
        <v>0</v>
      </c>
      <c r="U26" s="1000"/>
      <c r="V26" s="1002" t="n">
        <f>INT(R26/5)</f>
        <v>0</v>
      </c>
      <c r="W26" s="1000"/>
      <c r="X26" s="1009" t="s">
        <v>59</v>
      </c>
      <c r="Y26" s="1000"/>
      <c r="Z26" s="1017" t="str">
        <f>IFERROR(IF(ISTEXT(IFERROR(VLOOKUP(人物卡!AB26,人物卡!BJ18:BR22,1,FALSE),IFERROR(VLOOKUP(人物卡!AB26,人物卡!BA18:BC22,1,FALSE),0))),"★",INDEX(本职技能!$A$2:$HX$76,MATCH(人物卡!AB26,本职技能!$A$2:$A$75,0),MATCH(人物卡!$M$5,本职技能!$A$1:$HX$1,0))),0)</f>
        <v/>
      </c>
      <c r="AA26" s="1000"/>
      <c r="AB26" s="1002" t="s">
        <v>95</v>
      </c>
      <c r="AC26" s="1007"/>
      <c r="AD26" s="1007"/>
      <c r="AE26" s="1000"/>
      <c r="AF26" s="1002">
        <v>10</v>
      </c>
      <c r="AG26" s="1000"/>
      <c r="AH26" s="2250"/>
      <c r="AI26" s="2250"/>
      <c r="AJ26" s="1002"/>
      <c r="AK26" s="1000"/>
      <c r="AL26" s="1004"/>
      <c r="AM26" s="1000"/>
      <c r="AN26" s="1004" t="n">
        <f>SUM(AF26:AM26)</f>
        <v>10</v>
      </c>
      <c r="AO26" s="1000"/>
      <c r="AP26" s="1004" t="n">
        <f>INT(AN26/2)</f>
        <v>5</v>
      </c>
      <c r="AQ26" s="1000"/>
      <c r="AR26" s="1004" t="n">
        <f>INT(AN26/5)</f>
        <v>2</v>
      </c>
      <c r="AS26" s="1005"/>
      <c r="AT26" s="230" t="str">
        <f>IF(AND(IFERROR(AJ26&gt;0,FALSE),IFERROR(AL26&gt;0,FALSE)),"混点！ ","")&amp;IF(AND(IFERROR(AJ26&gt;0,FALSE),Z26&lt;&gt;"★"),"非本职职业！","")</f>
        <v/>
      </c>
      <c r="AU26" s="1163"/>
      <c r="AV26" s="1007"/>
      <c r="AW26" s="1007"/>
      <c r="AX26" s="1007"/>
      <c r="AY26" s="1007"/>
      <c r="AZ26" s="1000"/>
      <c r="BA26" s="1112"/>
      <c r="BB26" s="1000"/>
      <c r="BC26" s="1181"/>
      <c r="BD26" s="1007"/>
      <c r="BE26" s="1007"/>
      <c r="BF26" s="1007"/>
      <c r="BG26" s="1007"/>
      <c r="BH26" s="1007"/>
      <c r="BI26" s="1007"/>
      <c r="BJ26" s="1084"/>
      <c r="BK26" s="1099"/>
      <c r="BL26" s="1007"/>
      <c r="BM26" s="1007"/>
      <c r="BN26" s="1007"/>
      <c r="BO26" s="1165"/>
      <c r="BP26" s="1007"/>
      <c r="BQ26" s="1007"/>
      <c r="BR26" s="1084"/>
    </row>
    <row r="27" spans="1:70" ht="18" customHeight="1">
      <c r="B27" s="1111" t="s">
        <v>92</v>
      </c>
      <c r="C27" s="1000"/>
      <c r="D27" s="1021" t="str">
        <f>IFERROR(IF(ISTEXT(IFERROR(VLOOKUP(F27,人物卡!BJ18:BR22,1,FALSE),IFERROR(VLOOKUP(F27,人物卡!BA18:BC22,1,FALSE),0))),"★",INDEX(本职技能!$A$2:$HX$76,MATCH(F27,本职技能!$A$2:$A$75,0),MATCH(人物卡!$M$5,本职技能!$A$1:$HX$1,0))),0)</f>
        <v/>
      </c>
      <c r="E27" s="1000"/>
      <c r="F27" s="999" t="s">
        <v>96</v>
      </c>
      <c r="G27" s="1007"/>
      <c r="H27" s="1007"/>
      <c r="I27" s="1000"/>
      <c r="J27" s="999">
        <v>0</v>
      </c>
      <c r="K27" s="1000"/>
      <c r="L27" s="2251"/>
      <c r="M27" s="2251"/>
      <c r="N27" s="999" t="s">
        <v>92</v>
      </c>
      <c r="O27" s="1000"/>
      <c r="P27" s="999" t="s">
        <v>92</v>
      </c>
      <c r="Q27" s="1000"/>
      <c r="R27" s="1010" t="n">
        <f>SUM(J27:Q27)</f>
        <v>0</v>
      </c>
      <c r="S27" s="1000"/>
      <c r="T27" s="999" t="n">
        <f>INT(R27/2)</f>
        <v>0</v>
      </c>
      <c r="U27" s="1000"/>
      <c r="V27" s="999" t="n">
        <f>INT(R27/5)</f>
        <v>0</v>
      </c>
      <c r="W27" s="1000"/>
      <c r="X27" s="1053" t="s">
        <v>59</v>
      </c>
      <c r="Y27" s="1000"/>
      <c r="Z27" s="1021" t="str">
        <f>IFERROR(IF(ISTEXT(IFERROR(VLOOKUP(人物卡!AB27,人物卡!BJ18:BR22,1,FALSE),IFERROR(VLOOKUP(人物卡!AB27,人物卡!BA18:BC22,1,FALSE),0))),"★",INDEX(本职技能!$A$2:$HX$76,MATCH(人物卡!AB27,本职技能!$A$2:$A$75,0),MATCH(人物卡!$M$5,本职技能!$A$1:$HX$1,0))),0)</f>
        <v/>
      </c>
      <c r="AA27" s="1000"/>
      <c r="AB27" s="1076" t="s">
        <v>97</v>
      </c>
      <c r="AC27" s="1000"/>
      <c r="AD27" s="1198"/>
      <c r="AE27" s="1000"/>
      <c r="AF27" s="999" t="n">
        <f>IF(ISBLANK(AU32),1,IF(AD27=AU32,BA32,1))</f>
        <v>1</v>
      </c>
      <c r="AG27" s="1000"/>
      <c r="AH27" s="2251"/>
      <c r="AI27" s="2251"/>
      <c r="AJ27" s="999"/>
      <c r="AK27" s="1000"/>
      <c r="AL27" s="1010"/>
      <c r="AM27" s="1000"/>
      <c r="AN27" s="1010" t="n">
        <f>SUM(AF27:AM27)</f>
        <v>1</v>
      </c>
      <c r="AO27" s="1000"/>
      <c r="AP27" s="1010" t="n">
        <f>INT(AN27/2)</f>
        <v>0</v>
      </c>
      <c r="AQ27" s="1000"/>
      <c r="AR27" s="1010" t="n">
        <f>INT(AN27/5)</f>
        <v>0</v>
      </c>
      <c r="AS27" s="1005"/>
      <c r="AT27" s="230" t="str">
        <f>IF(AND(IFERROR(AJ27&gt;0,FALSE),IFERROR(AL27&gt;0,FALSE)),"混点！ ","")&amp;IF(AND(IFERROR(AJ27&gt;0,FALSE),Z27&lt;&gt;"★"),"非本职职业！","")</f>
        <v/>
      </c>
      <c r="AU27" s="1168" t="s">
        <v>98</v>
      </c>
      <c r="AV27" s="1007"/>
      <c r="AW27" s="1007"/>
      <c r="AX27" s="1007"/>
      <c r="AY27" s="1007"/>
      <c r="AZ27" s="1000"/>
      <c r="BA27" s="1060" t="s">
        <v>89</v>
      </c>
      <c r="BB27" s="1000"/>
      <c r="BC27" s="1160" t="s">
        <v>99</v>
      </c>
      <c r="BD27" s="1007"/>
      <c r="BE27" s="1007"/>
      <c r="BF27" s="1000"/>
      <c r="BG27" s="1288" t="s">
        <v>100</v>
      </c>
      <c r="BH27" s="1007"/>
      <c r="BI27" s="1007"/>
      <c r="BJ27" s="1084"/>
      <c r="BK27" s="1308" t="s">
        <v>101</v>
      </c>
      <c r="BL27" s="1007"/>
      <c r="BM27" s="1007"/>
      <c r="BN27" s="1007"/>
      <c r="BO27" s="1279" t="s">
        <v>102</v>
      </c>
      <c r="BP27" s="1007"/>
      <c r="BQ27" s="1007"/>
      <c r="BR27" s="1084"/>
    </row>
    <row r="28" spans="1:70" ht="18" customHeight="1" thickBot="1">
      <c r="A28" s="230" t="str">
        <f>IF(AND(IFERROR(N28&gt;0,FALSE),IFERROR(P28&gt;0,FALSE)),"混点！ ","")&amp;IF(AND(IFERROR(N28&gt;0,FALSE),D28&lt;&gt;"★"),"非本职职业！","")</f>
        <v/>
      </c>
      <c r="B28" s="1085" t="s">
        <v>59</v>
      </c>
      <c r="C28" s="1000"/>
      <c r="D28" s="1017" t="str">
        <f>IFERROR(IF(ISTEXT(IFERROR(VLOOKUP(人物卡!F28,人物卡!BJ18:BR22,1,FALSE),IFERROR(VLOOKUP(人物卡!F28,人物卡!BA18:BC22,1,FALSE),0))),"★",INDEX(本职技能!$A$2:$HX$76,MATCH(人物卡!F28,本职技能!$A$2:$A$75,0),MATCH(人物卡!$M$5,本职技能!$A$1:$HX$1,0))),0)</f>
        <v/>
      </c>
      <c r="E28" s="1000"/>
      <c r="F28" s="1002" t="s">
        <v>103</v>
      </c>
      <c r="G28" s="1007"/>
      <c r="H28" s="1007"/>
      <c r="I28" s="1000"/>
      <c r="J28" s="1002">
        <v>5</v>
      </c>
      <c r="K28" s="1000"/>
      <c r="L28" s="2250"/>
      <c r="M28" s="2250"/>
      <c r="N28" s="1002"/>
      <c r="O28" s="1000"/>
      <c r="P28" s="1002"/>
      <c r="Q28" s="1000"/>
      <c r="R28" s="1004" t="n">
        <f>SUM(J28:Q28)</f>
        <v>5</v>
      </c>
      <c r="S28" s="1000"/>
      <c r="T28" s="1002" t="n">
        <f>INT(R28/2)</f>
        <v>2</v>
      </c>
      <c r="U28" s="1000"/>
      <c r="V28" s="1002" t="n">
        <f>INT(R28/5)</f>
        <v>1</v>
      </c>
      <c r="W28" s="1000"/>
      <c r="X28" s="1009" t="s">
        <v>59</v>
      </c>
      <c r="Y28" s="1000"/>
      <c r="Z28" s="1017" t="str">
        <f>IFERROR(IF(ISTEXT(IFERROR(VLOOKUP(人物卡!AB28,人物卡!BJ18:BR22,1,FALSE),IFERROR(VLOOKUP(人物卡!AB28,人物卡!BA18:BC22,1,FALSE),0))),"★",INDEX(本职技能!$A$2:$HX$76,MATCH(人物卡!AB28,本职技能!$A$2:$A$75,0),MATCH(人物卡!$M$5,本职技能!$A$1:$HX$1,0))),0)</f>
        <v/>
      </c>
      <c r="AA28" s="1000"/>
      <c r="AB28" s="1002" t="s">
        <v>104</v>
      </c>
      <c r="AC28" s="1007"/>
      <c r="AD28" s="1007"/>
      <c r="AE28" s="1000"/>
      <c r="AF28" s="1002">
        <v>1</v>
      </c>
      <c r="AG28" s="1000"/>
      <c r="AH28" s="2250"/>
      <c r="AI28" s="2250"/>
      <c r="AJ28" s="1002"/>
      <c r="AK28" s="1000"/>
      <c r="AL28" s="1004"/>
      <c r="AM28" s="1000"/>
      <c r="AN28" s="1004" t="n">
        <f>SUM(AF28:AM28)</f>
        <v>1</v>
      </c>
      <c r="AO28" s="1000"/>
      <c r="AP28" s="1004" t="n">
        <f>INT(AN28/2)</f>
        <v>0</v>
      </c>
      <c r="AQ28" s="1000"/>
      <c r="AR28" s="1004" t="n">
        <f>INT(AN28/5)</f>
        <v>0</v>
      </c>
      <c r="AS28" s="1005"/>
      <c r="AT28" s="230" t="str">
        <f>IF(AND(IFERROR(AJ28&gt;0,FALSE),IFERROR(AL28&gt;0,FALSE)),"混点！ ","")&amp;IF(AND(IFERROR(AJ28&gt;0,FALSE),Z28&lt;&gt;"★"),"非本职职业！","")</f>
        <v/>
      </c>
      <c r="AU28" s="1163"/>
      <c r="AV28" s="1007"/>
      <c r="AW28" s="1007"/>
      <c r="AX28" s="1007"/>
      <c r="AY28" s="1007"/>
      <c r="AZ28" s="1000"/>
      <c r="BA28" s="1112"/>
      <c r="BB28" s="1000"/>
      <c r="BC28" s="1357"/>
      <c r="BD28" s="1007"/>
      <c r="BE28" s="1007"/>
      <c r="BF28" s="1000"/>
      <c r="BG28" s="1226"/>
      <c r="BH28" s="1007"/>
      <c r="BI28" s="1007"/>
      <c r="BJ28" s="1084"/>
      <c r="BK28" s="1127"/>
      <c r="BL28" s="1033"/>
      <c r="BM28" s="1033"/>
      <c r="BN28" s="1031"/>
      <c r="BO28" s="1119"/>
      <c r="BP28" s="1033"/>
      <c r="BQ28" s="1033"/>
      <c r="BR28" s="1038"/>
    </row>
    <row r="29" spans="1:70" ht="18" customHeight="1">
      <c r="A29" s="230" t="str">
        <f>IF(AND(IFERROR(N29&gt;0,FALSE),IFERROR(P29&gt;0,FALSE)),"混点！ ","")&amp;IF(AND(IFERROR(N29&gt;0,FALSE),D29&lt;&gt;"★"),"非本职职业！","")</f>
        <v/>
      </c>
      <c r="B29" s="1111" t="s">
        <v>59</v>
      </c>
      <c r="C29" s="1000"/>
      <c r="D29" s="1021" t="str">
        <f>IFERROR(IF(ISTEXT(IFERROR(VLOOKUP(人物卡!F29,人物卡!BJ18:BR22,1,FALSE),IFERROR(VLOOKUP(人物卡!F29,人物卡!BA18:BC22,1,FALSE),0))),"★",INDEX(本职技能!$A$2:$HX$76,MATCH(人物卡!F29,本职技能!$A$2:$A$75,0),MATCH(人物卡!$M$5,本职技能!$A$1:$HX$1,0))),0)</f>
        <v/>
      </c>
      <c r="E29" s="1000"/>
      <c r="F29" s="999" t="s">
        <v>105</v>
      </c>
      <c r="G29" s="1007"/>
      <c r="H29" s="1007"/>
      <c r="I29" s="1000"/>
      <c r="J29" s="999" t="n">
        <f>INT(DEX/2)</f>
        <v>0</v>
      </c>
      <c r="K29" s="1000"/>
      <c r="L29" s="2251"/>
      <c r="M29" s="2251"/>
      <c r="N29" s="999"/>
      <c r="O29" s="1000"/>
      <c r="P29" s="999"/>
      <c r="Q29" s="1000"/>
      <c r="R29" s="1010" t="n">
        <f>SUM(J29:Q29)</f>
        <v>0</v>
      </c>
      <c r="S29" s="1000"/>
      <c r="T29" s="999" t="n">
        <f>INT(R29/2)</f>
        <v>0</v>
      </c>
      <c r="U29" s="1000"/>
      <c r="V29" s="999" t="n">
        <f>INT(R29/5)</f>
        <v>0</v>
      </c>
      <c r="W29" s="1000"/>
      <c r="X29" s="1053" t="s">
        <v>59</v>
      </c>
      <c r="Y29" s="1000"/>
      <c r="Z29" s="1021" t="str">
        <f>IFERROR(IF(ISTEXT(IFERROR(VLOOKUP(人物卡!AB29,人物卡!BJ18:BR22,1,FALSE),IFERROR(VLOOKUP(人物卡!AB29,人物卡!BA18:BC22,1,FALSE),0))),"★",INDEX(本职技能!$A$2:$HX$76,MATCH(人物卡!AB29,本职技能!$A$2:$A$75,0),MATCH(人物卡!$M$5,本职技能!$A$1:$HX$1,0))),0)</f>
        <v/>
      </c>
      <c r="AA29" s="1000"/>
      <c r="AB29" s="999" t="s">
        <v>106</v>
      </c>
      <c r="AC29" s="1007"/>
      <c r="AD29" s="1007"/>
      <c r="AE29" s="1000"/>
      <c r="AF29" s="999">
        <v>10</v>
      </c>
      <c r="AG29" s="1000"/>
      <c r="AH29" s="2251"/>
      <c r="AI29" s="2251"/>
      <c r="AJ29" s="999"/>
      <c r="AK29" s="1000"/>
      <c r="AL29" s="1010"/>
      <c r="AM29" s="1000"/>
      <c r="AN29" s="1010" t="n">
        <f>SUM(AF29:AM29)</f>
        <v>10</v>
      </c>
      <c r="AO29" s="1000"/>
      <c r="AP29" s="1010" t="n">
        <f>INT(AN29/2)</f>
        <v>5</v>
      </c>
      <c r="AQ29" s="1000"/>
      <c r="AR29" s="1010" t="n">
        <f>INT(AN29/5)</f>
        <v>2</v>
      </c>
      <c r="AS29" s="1005"/>
      <c r="AT29" s="230" t="str">
        <f>IF(AND(IFERROR(AJ29&gt;0,FALSE),IFERROR(AL29&gt;0,FALSE)),"混点！ ","")&amp;IF(AND(IFERROR(AJ29&gt;0,FALSE),Z29&lt;&gt;"★"),"非本职职业！","")</f>
        <v/>
      </c>
      <c r="AU29" s="1168" t="s">
        <v>107</v>
      </c>
      <c r="AV29" s="1007"/>
      <c r="AW29" s="1007"/>
      <c r="AX29" s="1007"/>
      <c r="AY29" s="1007"/>
      <c r="AZ29" s="1000"/>
      <c r="BA29" s="1060" t="s">
        <v>89</v>
      </c>
      <c r="BB29" s="1000"/>
      <c r="BC29" s="1160" t="s">
        <v>108</v>
      </c>
      <c r="BD29" s="1007"/>
      <c r="BE29" s="1007"/>
      <c r="BF29" s="1007"/>
      <c r="BG29" s="1007"/>
      <c r="BH29" s="1007"/>
      <c r="BI29" s="1007"/>
      <c r="BJ29" s="1000"/>
      <c r="BK29" s="1034"/>
      <c r="BL29" s="996"/>
      <c r="BM29" s="996"/>
      <c r="BN29" s="1013"/>
      <c r="BO29" s="996"/>
      <c r="BP29" s="996"/>
      <c r="BQ29" s="996"/>
      <c r="BR29" s="1015"/>
    </row>
    <row r="30" spans="1:70" ht="18" customHeight="1" thickBot="1">
      <c r="A30" s="230" t="str">
        <f>IF(AND(IFERROR(N30&gt;0,FALSE),IFERROR(P30&gt;0,FALSE)),"混点！ ","")&amp;IF(AND(IFERROR(N30&gt;0,FALSE),D30&lt;&gt;"★"),"非本职职业！","")</f>
        <v/>
      </c>
      <c r="B30" s="1085" t="s">
        <v>59</v>
      </c>
      <c r="C30" s="1000"/>
      <c r="D30" s="1017" t="str">
        <f>IFERROR(IF(ISTEXT(IFERROR(VLOOKUP(人物卡!F30,人物卡!BJ18:BR22,1,FALSE),IFERROR(VLOOKUP(人物卡!F30,人物卡!BA18:BC22,1,FALSE),0))),"★",INDEX(本职技能!$A$2:$HX$76,MATCH(人物卡!F30,本职技能!$A$2:$A$75,0),MATCH(人物卡!$M$5,本职技能!$A$1:$HX$1,0))),0)</f>
        <v/>
      </c>
      <c r="E30" s="1000"/>
      <c r="F30" s="1002" t="s">
        <v>109</v>
      </c>
      <c r="G30" s="1007"/>
      <c r="H30" s="1007"/>
      <c r="I30" s="1000"/>
      <c r="J30" s="1002">
        <v>20</v>
      </c>
      <c r="K30" s="1000"/>
      <c r="L30" s="2250"/>
      <c r="M30" s="2250"/>
      <c r="N30" s="1002"/>
      <c r="O30" s="1000"/>
      <c r="P30" s="1002"/>
      <c r="Q30" s="1000"/>
      <c r="R30" s="1004" t="n">
        <f>SUM(J30:Q30)</f>
        <v>20</v>
      </c>
      <c r="S30" s="1000"/>
      <c r="T30" s="1002" t="n">
        <f>INT(R30/2)</f>
        <v>10</v>
      </c>
      <c r="U30" s="1000"/>
      <c r="V30" s="1002" t="n">
        <f>INT(R30/5)</f>
        <v>4</v>
      </c>
      <c r="W30" s="1000"/>
      <c r="X30" s="1009" t="s">
        <v>59</v>
      </c>
      <c r="Y30" s="1000"/>
      <c r="Z30" s="1017" t="str">
        <f>IFERROR(IF(ISTEXT(IFERROR(VLOOKUP(人物卡!AB30,人物卡!BJ18:BR22,1,FALSE),IFERROR(VLOOKUP(人物卡!AB30,人物卡!BA18:BC22,1,FALSE),0))),"★",INDEX(本职技能!$A$2:$HX$76,MATCH(人物卡!AB30,本职技能!$A$2:$A$75,0),MATCH(人物卡!$M$5,本职技能!$A$1:$HX$1,0))),0)</f>
        <v/>
      </c>
      <c r="AA30" s="1000"/>
      <c r="AB30" s="1002" t="s">
        <v>110</v>
      </c>
      <c r="AC30" s="1007"/>
      <c r="AD30" s="1007"/>
      <c r="AE30" s="1000"/>
      <c r="AF30" s="1002">
        <v>5</v>
      </c>
      <c r="AG30" s="1000"/>
      <c r="AH30" s="2250"/>
      <c r="AI30" s="2250"/>
      <c r="AJ30" s="1002"/>
      <c r="AK30" s="1000"/>
      <c r="AL30" s="1004"/>
      <c r="AM30" s="1000"/>
      <c r="AN30" s="1004" t="n">
        <f>SUM(AF30:AM30)</f>
        <v>5</v>
      </c>
      <c r="AO30" s="1000"/>
      <c r="AP30" s="1004" t="n">
        <f>INT(AN30/2)</f>
        <v>2</v>
      </c>
      <c r="AQ30" s="1000"/>
      <c r="AR30" s="1004" t="n">
        <f>INT(AN30/5)</f>
        <v>1</v>
      </c>
      <c r="AS30" s="1005"/>
      <c r="AT30" s="230" t="str">
        <f>IF(AND(IFERROR(AJ30&gt;0,FALSE),IFERROR(AL30&gt;0,FALSE)),"混点！ ","")&amp;IF(AND(IFERROR(AJ30&gt;0,FALSE),Z30&lt;&gt;"★"),"非本职职业！","")</f>
        <v/>
      </c>
      <c r="AU30" s="1163"/>
      <c r="AV30" s="1007"/>
      <c r="AW30" s="1007"/>
      <c r="AX30" s="1007"/>
      <c r="AY30" s="1007"/>
      <c r="AZ30" s="1000"/>
      <c r="BA30" s="1112"/>
      <c r="BB30" s="1000"/>
      <c r="BC30" s="1262"/>
      <c r="BD30" s="996"/>
      <c r="BE30" s="996"/>
      <c r="BF30" s="996"/>
      <c r="BG30" s="996"/>
      <c r="BH30" s="996"/>
      <c r="BI30" s="996"/>
      <c r="BJ30" s="1015"/>
      <c r="BK30" s="1034"/>
      <c r="BL30" s="996"/>
      <c r="BM30" s="996"/>
      <c r="BN30" s="1013"/>
      <c r="BO30" s="996"/>
      <c r="BP30" s="996"/>
      <c r="BQ30" s="996"/>
      <c r="BR30" s="1015"/>
    </row>
    <row r="31" spans="1:70" ht="18" customHeight="1">
      <c r="A31" s="230" t="str">
        <f>IF(AND(IFERROR(N31&gt;0,FALSE),IFERROR(P31&gt;0,FALSE)),"混点！ ","")&amp;IF(AND(IFERROR(N31&gt;0,FALSE),D31&lt;&gt;"★"),"非本职职业！","")</f>
        <v/>
      </c>
      <c r="B31" s="1111" t="s">
        <v>59</v>
      </c>
      <c r="C31" s="1000"/>
      <c r="D31" s="1021" t="str">
        <f>IFERROR(IF(ISTEXT(IFERROR(VLOOKUP(人物卡!F31,人物卡!BJ18:BR22,1,FALSE),IFERROR(VLOOKUP(人物卡!F31,人物卡!BA18:BC22,1,FALSE),0))),"★",INDEX(本职技能!$A$2:$HX$76,MATCH(人物卡!F31,本职技能!$A$2:$A$75,0),MATCH(人物卡!$M$5,本职技能!$A$1:$HX$1,0))),0)</f>
        <v/>
      </c>
      <c r="E31" s="1000"/>
      <c r="F31" s="999" t="s">
        <v>111</v>
      </c>
      <c r="G31" s="1007"/>
      <c r="H31" s="1007"/>
      <c r="I31" s="1000"/>
      <c r="J31" s="999">
        <v>10</v>
      </c>
      <c r="K31" s="1000"/>
      <c r="L31" s="2251"/>
      <c r="M31" s="2251"/>
      <c r="N31" s="999"/>
      <c r="O31" s="1000"/>
      <c r="P31" s="1321"/>
      <c r="Q31" s="1000"/>
      <c r="R31" s="1010" t="n">
        <f>SUM(J31:Q31)</f>
        <v>10</v>
      </c>
      <c r="S31" s="1000"/>
      <c r="T31" s="999" t="n">
        <f>INT(R31/2)</f>
        <v>5</v>
      </c>
      <c r="U31" s="1000"/>
      <c r="V31" s="999" t="n">
        <f>INT(R31/5)</f>
        <v>2</v>
      </c>
      <c r="W31" s="1000"/>
      <c r="X31" s="1053" t="s">
        <v>59</v>
      </c>
      <c r="Y31" s="1000"/>
      <c r="Z31" s="1021" t="str">
        <f>IFERROR(IF(ISTEXT(IFERROR(VLOOKUP(人物卡!AB31,人物卡!BJ18:BR22,1,FALSE),IFERROR(VLOOKUP(人物卡!AB31,人物卡!BA18:BC22,1,FALSE),0))),"★",INDEX(本职技能!$A$2:$HX$76,MATCH(人物卡!AB31,本职技能!$A$2:$A$75,0),MATCH(人物卡!$M$5,本职技能!$A$1:$HX$1,0))),0)</f>
        <v/>
      </c>
      <c r="AA31" s="1000"/>
      <c r="AB31" s="1076" t="s">
        <v>112</v>
      </c>
      <c r="AC31" s="1000"/>
      <c r="AD31" s="1198"/>
      <c r="AE31" s="1000"/>
      <c r="AF31" s="999" t="n">
        <f>IF(ISBLANK(AU34),IF(AD31="数学",10,1),IF(AD31=AU34,BA34,1))</f>
        <v>1</v>
      </c>
      <c r="AG31" s="1000"/>
      <c r="AH31" s="2251"/>
      <c r="AI31" s="2251"/>
      <c r="AJ31" s="999"/>
      <c r="AK31" s="1000"/>
      <c r="AL31" s="1010"/>
      <c r="AM31" s="1000"/>
      <c r="AN31" s="1010" t="n">
        <f>SUM(AF31:AM31)</f>
        <v>1</v>
      </c>
      <c r="AO31" s="1000"/>
      <c r="AP31" s="1010" t="n">
        <f>INT(AN31/2)</f>
        <v>0</v>
      </c>
      <c r="AQ31" s="1000"/>
      <c r="AR31" s="1010" t="n">
        <f>INT(AN31/5)</f>
        <v>0</v>
      </c>
      <c r="AS31" s="1005"/>
      <c r="AT31" s="230" t="str">
        <f>IF(AND(IFERROR(AJ31&gt;0,FALSE),IFERROR(AL31&gt;0,FALSE)),"混点！ ","")&amp;IF(AND(IFERROR(AJ31&gt;0,FALSE),Z31&lt;&gt;"★"),"非本职职业！","")</f>
        <v/>
      </c>
      <c r="AU31" s="1168" t="s">
        <v>113</v>
      </c>
      <c r="AV31" s="1007"/>
      <c r="AW31" s="1007"/>
      <c r="AX31" s="1007"/>
      <c r="AY31" s="1007"/>
      <c r="AZ31" s="1000"/>
      <c r="BA31" s="1060" t="s">
        <v>89</v>
      </c>
      <c r="BB31" s="1000"/>
      <c r="BC31" s="1034"/>
      <c r="BD31" s="996"/>
      <c r="BE31" s="996"/>
      <c r="BF31" s="996"/>
      <c r="BG31" s="996"/>
      <c r="BH31" s="996"/>
      <c r="BI31" s="996"/>
      <c r="BJ31" s="1015"/>
      <c r="BK31" s="1034"/>
      <c r="BL31" s="996"/>
      <c r="BM31" s="996"/>
      <c r="BN31" s="1013"/>
      <c r="BO31" s="996"/>
      <c r="BP31" s="996"/>
      <c r="BQ31" s="996"/>
      <c r="BR31" s="1015"/>
    </row>
    <row r="32" spans="1:70" ht="18" customHeight="1">
      <c r="A32" s="230" t="str">
        <f>IF(AND(IFERROR(N32&gt;0,FALSE),IFERROR(P32&gt;0,FALSE)),"混点！ ","")&amp;IF(AND(IFERROR(N32&gt;0,FALSE),D32&lt;&gt;"★"),"非本职职业！","")</f>
        <v/>
      </c>
      <c r="B32" s="1085" t="s">
        <v>59</v>
      </c>
      <c r="C32" s="1000"/>
      <c r="D32" s="1017" t="str">
        <f>IFERROR(IF(ISTEXT(IFERROR(VLOOKUP(人物卡!F32,人物卡!BJ18:BR22,1,FALSE),IFERROR(VLOOKUP(人物卡!F32,人物卡!BA18:BC22,1,FALSE),0))),"★",INDEX(本职技能!$A$2:$HX$76,MATCH(人物卡!F32,本职技能!$A$2:$A$75,0),MATCH(人物卡!$M$5,本职技能!$A$1:$HX$1,0))),0)</f>
        <v/>
      </c>
      <c r="E32" s="1000"/>
      <c r="F32" s="1002" t="s">
        <v>114</v>
      </c>
      <c r="G32" s="1007"/>
      <c r="H32" s="1007"/>
      <c r="I32" s="1000"/>
      <c r="J32" s="1002">
        <v>1</v>
      </c>
      <c r="K32" s="1000"/>
      <c r="L32" s="2250"/>
      <c r="M32" s="2250"/>
      <c r="N32" s="1002"/>
      <c r="O32" s="1000"/>
      <c r="P32" s="1002"/>
      <c r="Q32" s="1000"/>
      <c r="R32" s="1004" t="n">
        <f>SUM(J32:Q32)</f>
        <v>1</v>
      </c>
      <c r="S32" s="1000"/>
      <c r="T32" s="1002" t="n">
        <f>INT(R32/2)</f>
        <v>0</v>
      </c>
      <c r="U32" s="1000"/>
      <c r="V32" s="1002" t="n">
        <f>INT(R32/5)</f>
        <v>0</v>
      </c>
      <c r="W32" s="1000"/>
      <c r="X32" s="1009" t="s">
        <v>59</v>
      </c>
      <c r="Y32" s="1000"/>
      <c r="Z32" s="1017" t="str">
        <f>IFERROR(IF(ISTEXT(IFERROR(VLOOKUP(人物卡!AB32,人物卡!BJ18:BR22,1,FALSE),IFERROR(VLOOKUP(人物卡!AB32,人物卡!BA18:BC22,1,FALSE),0))),"★",INDEX(本职技能!$A$2:$HX$76,MATCH(人物卡!AB32,本职技能!$A$2:$A$75,0),MATCH(人物卡!$M$5,本职技能!$A$1:$HX$1,0))),0)</f>
        <v/>
      </c>
      <c r="AA32" s="1000"/>
      <c r="AB32" s="1062" t="s">
        <v>115</v>
      </c>
      <c r="AC32" s="1000"/>
      <c r="AD32" s="1079"/>
      <c r="AE32" s="1000"/>
      <c r="AF32" s="1002" t="n">
        <f>IF(ISBLANK(AU34),IF(AD32="数学",10,1),IF(AD32=AU34,BA34,1))</f>
        <v>1</v>
      </c>
      <c r="AG32" s="1000"/>
      <c r="AH32" s="2250"/>
      <c r="AI32" s="2250"/>
      <c r="AJ32" s="1002"/>
      <c r="AK32" s="1000"/>
      <c r="AL32" s="1004"/>
      <c r="AM32" s="1000"/>
      <c r="AN32" s="1004" t="n">
        <f>SUM(AF32:AM32)</f>
        <v>1</v>
      </c>
      <c r="AO32" s="1000"/>
      <c r="AP32" s="1004" t="n">
        <f>INT(AN32/2)</f>
        <v>0</v>
      </c>
      <c r="AQ32" s="1000"/>
      <c r="AR32" s="1004" t="n">
        <f>INT(AN32/5)</f>
        <v>0</v>
      </c>
      <c r="AS32" s="1005"/>
      <c r="AT32" s="230" t="str">
        <f>IF(AND(IFERROR(AJ32&gt;0,FALSE),IFERROR(AL32&gt;0,FALSE)),"混点！ ","")&amp;IF(AND(IFERROR(AJ32&gt;0,FALSE),Z32&lt;&gt;"★"),"非本职职业！","")</f>
        <v/>
      </c>
      <c r="AU32" s="1163"/>
      <c r="AV32" s="1007"/>
      <c r="AW32" s="1007"/>
      <c r="AX32" s="1007"/>
      <c r="AY32" s="1007"/>
      <c r="AZ32" s="1000"/>
      <c r="BA32" s="1112"/>
      <c r="BB32" s="1000"/>
      <c r="BC32" s="1034"/>
      <c r="BD32" s="996"/>
      <c r="BE32" s="996"/>
      <c r="BF32" s="996"/>
      <c r="BG32" s="996"/>
      <c r="BH32" s="996"/>
      <c r="BI32" s="996"/>
      <c r="BJ32" s="1015"/>
      <c r="BK32" s="1034"/>
      <c r="BL32" s="996"/>
      <c r="BM32" s="996"/>
      <c r="BN32" s="1013"/>
      <c r="BO32" s="996"/>
      <c r="BP32" s="996"/>
      <c r="BQ32" s="996"/>
      <c r="BR32" s="1015"/>
    </row>
    <row r="33" spans="1:70" ht="18" customHeight="1">
      <c r="A33" s="614" t="str">
        <f>IF(AND(IFERROR(N33&gt;0,FALSE),IFERROR(P33&gt;0,FALSE)),"混点！ ","")&amp;IF(AND(IFERROR(N33&gt;0,FALSE),D33&lt;&gt;"★"),"非本职职业！","")</f>
        <v/>
      </c>
      <c r="B33" s="1111" t="s">
        <v>59</v>
      </c>
      <c r="C33" s="1000"/>
      <c r="D33" s="1021" t="str">
        <f>IFERROR(IF(ISTEXT(IFERROR(VLOOKUP(人物卡!F33,人物卡!BJ18:BR22,1,FALSE),IFERROR(VLOOKUP(人物卡!F33,人物卡!BA18:BC22,1,FALSE),0))),"★",INDEX(本职技能!$A$2:$HX$76,MATCH(人物卡!F33,本职技能!$A$2:$A$75,0),MATCH(人物卡!$M$5,本职技能!$A$1:$HX$1,0))),0)</f>
        <v/>
      </c>
      <c r="E33" s="1000"/>
      <c r="F33" s="999" t="s">
        <v>116</v>
      </c>
      <c r="G33" s="1007"/>
      <c r="H33" s="1007"/>
      <c r="I33" s="1000"/>
      <c r="J33" s="999">
        <v>5</v>
      </c>
      <c r="K33" s="1000"/>
      <c r="L33" s="2251"/>
      <c r="M33" s="2251"/>
      <c r="N33" s="999"/>
      <c r="O33" s="1000"/>
      <c r="P33" s="999"/>
      <c r="Q33" s="1000"/>
      <c r="R33" s="1010" t="n">
        <f>SUM(J33:Q33)</f>
        <v>5</v>
      </c>
      <c r="S33" s="1000"/>
      <c r="T33" s="999" t="n">
        <f>INT(R33/2)</f>
        <v>2</v>
      </c>
      <c r="U33" s="1000"/>
      <c r="V33" s="999" t="n">
        <f>INT(R33/5)</f>
        <v>1</v>
      </c>
      <c r="W33" s="1000"/>
      <c r="X33" s="1053" t="s">
        <v>59</v>
      </c>
      <c r="Y33" s="1000"/>
      <c r="Z33" s="1021" t="str">
        <f>IFERROR(IF(ISTEXT(IFERROR(VLOOKUP(人物卡!AB33,人物卡!BJ18:BR22,1,FALSE),IFERROR(VLOOKUP(人物卡!AB33,人物卡!BA18:BC22,1,FALSE),0))),"★",INDEX(本职技能!$A$2:$HX$76,MATCH(人物卡!AB33,本职技能!$A$2:$A$75,0),MATCH(人物卡!$M$5,本职技能!$A$1:$HX$1,0))),0)</f>
        <v/>
      </c>
      <c r="AA33" s="1000"/>
      <c r="AB33" s="1076" t="s">
        <v>117</v>
      </c>
      <c r="AC33" s="1000"/>
      <c r="AD33" s="1198"/>
      <c r="AE33" s="1000"/>
      <c r="AF33" s="999" t="n">
        <f>IF(ISBLANK(AU34),IF(AD33="数学",10,1),IF(AD33=AU34,BA34,1))</f>
        <v>1</v>
      </c>
      <c r="AG33" s="1000"/>
      <c r="AH33" s="2251"/>
      <c r="AI33" s="2251"/>
      <c r="AJ33" s="999"/>
      <c r="AK33" s="1000"/>
      <c r="AL33" s="1010"/>
      <c r="AM33" s="1000"/>
      <c r="AN33" s="1010" t="n">
        <f>SUM(AF33:AM33)</f>
        <v>1</v>
      </c>
      <c r="AO33" s="1000"/>
      <c r="AP33" s="1010" t="n">
        <f>INT(AN33/2)</f>
        <v>0</v>
      </c>
      <c r="AQ33" s="1000"/>
      <c r="AR33" s="1010" t="n">
        <f>INT(AN33/5)</f>
        <v>0</v>
      </c>
      <c r="AS33" s="1005"/>
      <c r="AT33" s="230" t="str">
        <f>IF(AND(IFERROR(AJ33&gt;0,FALSE),IFERROR(AL33&gt;0,FALSE)),"混点！ ","")&amp;IF(AND(IFERROR(AJ33&gt;0,FALSE),Z33&lt;&gt;"★"),"非本职职业！","")</f>
        <v/>
      </c>
      <c r="AU33" s="1168" t="s">
        <v>118</v>
      </c>
      <c r="AV33" s="1007"/>
      <c r="AW33" s="1007"/>
      <c r="AX33" s="1007"/>
      <c r="AY33" s="1007"/>
      <c r="AZ33" s="1000"/>
      <c r="BA33" s="1060" t="s">
        <v>89</v>
      </c>
      <c r="BB33" s="1000"/>
      <c r="BC33" s="1034"/>
      <c r="BD33" s="996"/>
      <c r="BE33" s="996"/>
      <c r="BF33" s="996"/>
      <c r="BG33" s="996"/>
      <c r="BH33" s="996"/>
      <c r="BI33" s="996"/>
      <c r="BJ33" s="1015"/>
      <c r="BK33" s="1034"/>
      <c r="BL33" s="996"/>
      <c r="BM33" s="996"/>
      <c r="BN33" s="1013"/>
      <c r="BO33" s="996"/>
      <c r="BP33" s="996"/>
      <c r="BQ33" s="996"/>
      <c r="BR33" s="1015"/>
    </row>
    <row r="34" spans="1:70" ht="18" customHeight="1" thickBot="1">
      <c r="A34" s="614" t="str">
        <f>IF(AND(IFERROR(N34&gt;0,FALSE),IFERROR(P34&gt;0,FALSE)),"混点！ ","")&amp;IF(AND(IFERROR(N34&gt;0,FALSE),D34&lt;&gt;"★"),"非本职职业！","")</f>
        <v/>
      </c>
      <c r="B34" s="1085" t="s">
        <v>59</v>
      </c>
      <c r="C34" s="1000"/>
      <c r="D34" s="1017" t="str">
        <f>IFERROR(IF(ISTEXT(IFERROR(VLOOKUP(人物卡!F34,人物卡!BJ18:BR22,1,FALSE),IFERROR(VLOOKUP(人物卡!F34,人物卡!BA18:BC22,1,FALSE),0))),"★",INDEX(本职技能!$A$2:$HX$76,MATCH(人物卡!F34,本职技能!$A$2:$A$75,0),MATCH(人物卡!$M$5,本职技能!$A$1:$HX$1,0))),0)</f>
        <v/>
      </c>
      <c r="E34" s="1000"/>
      <c r="F34" s="1062" t="s">
        <v>119</v>
      </c>
      <c r="G34" s="1000"/>
      <c r="H34" s="1118" t="s">
        <v>120</v>
      </c>
      <c r="I34" s="1000"/>
      <c r="J34" s="1002">
        <v>25</v>
      </c>
      <c r="K34" s="1000"/>
      <c r="L34" s="2250"/>
      <c r="M34" s="2250"/>
      <c r="N34" s="1002"/>
      <c r="O34" s="1000"/>
      <c r="P34" s="1002"/>
      <c r="Q34" s="1000"/>
      <c r="R34" s="1004" t="n">
        <f>SUM(J34:Q34)</f>
        <v>25</v>
      </c>
      <c r="S34" s="1000"/>
      <c r="T34" s="1002" t="n">
        <f>INT(R34/2)</f>
        <v>12</v>
      </c>
      <c r="U34" s="1000"/>
      <c r="V34" s="1002" t="n">
        <f>INT(R34/5)</f>
        <v>5</v>
      </c>
      <c r="W34" s="1000"/>
      <c r="X34" s="1009" t="s">
        <v>59</v>
      </c>
      <c r="Y34" s="1000"/>
      <c r="Z34" s="1017" t="str">
        <f>IFERROR(IF(ISTEXT(IFERROR(VLOOKUP(人物卡!AB34,人物卡!BJ18:BR22,1,FALSE),IFERROR(VLOOKUP(人物卡!AB34,人物卡!BA18:BC22,1,FALSE),0))),"★",INDEX(本职技能!$A$2:$HX$76,MATCH(人物卡!AB34,本职技能!$A$2:$A$75,0),MATCH(人物卡!$M$5,本职技能!$A$1:$HX$1,0))),0)</f>
        <v/>
      </c>
      <c r="AA34" s="1000"/>
      <c r="AB34" s="1002" t="s">
        <v>121</v>
      </c>
      <c r="AC34" s="1007"/>
      <c r="AD34" s="1007"/>
      <c r="AE34" s="1000"/>
      <c r="AF34" s="1002">
        <v>10</v>
      </c>
      <c r="AG34" s="1000"/>
      <c r="AH34" s="2250"/>
      <c r="AI34" s="2250"/>
      <c r="AJ34" s="1002"/>
      <c r="AK34" s="1000"/>
      <c r="AL34" s="1004"/>
      <c r="AM34" s="1000"/>
      <c r="AN34" s="1004" t="n">
        <f>SUM(AF34:AM34)</f>
        <v>10</v>
      </c>
      <c r="AO34" s="1000"/>
      <c r="AP34" s="1004" t="n">
        <f>INT(AN34/2)</f>
        <v>5</v>
      </c>
      <c r="AQ34" s="1000"/>
      <c r="AR34" s="1004" t="n">
        <f>INT(AN34/5)</f>
        <v>2</v>
      </c>
      <c r="AS34" s="1005"/>
      <c r="AT34" s="230" t="str">
        <f>IF(AND(IFERROR(AJ34&gt;0,FALSE),IFERROR(AL34&gt;0,FALSE)),"混点！ ","")&amp;IF(AND(IFERROR(AJ34&gt;0,FALSE),Z34&lt;&gt;"★"),"非本职职业！","")</f>
        <v/>
      </c>
      <c r="AU34" s="1163"/>
      <c r="AV34" s="1007"/>
      <c r="AW34" s="1007"/>
      <c r="AX34" s="1007"/>
      <c r="AY34" s="1007"/>
      <c r="AZ34" s="1000"/>
      <c r="BA34" s="1112"/>
      <c r="BB34" s="1000"/>
      <c r="BC34" s="1034"/>
      <c r="BD34" s="996"/>
      <c r="BE34" s="996"/>
      <c r="BF34" s="996"/>
      <c r="BG34" s="996"/>
      <c r="BH34" s="996"/>
      <c r="BI34" s="996"/>
      <c r="BJ34" s="1015"/>
      <c r="BK34" s="1090"/>
      <c r="BL34" s="1019"/>
      <c r="BM34" s="1019"/>
      <c r="BN34" s="1020"/>
      <c r="BO34" s="1019"/>
      <c r="BP34" s="1019"/>
      <c r="BQ34" s="1019"/>
      <c r="BR34" s="1091"/>
    </row>
    <row r="35" spans="1:70" ht="18" customHeight="1">
      <c r="A35" s="614" t="str">
        <f>IF(AND(IFERROR(N35&gt;0,FALSE),IFERROR(P35&gt;0,FALSE)),"混点！ ","")&amp;IF(AND(IFERROR(N35&gt;0,FALSE),D35&lt;&gt;"★"),"非本职职业！","")</f>
        <v/>
      </c>
      <c r="B35" s="1111" t="s">
        <v>59</v>
      </c>
      <c r="C35" s="1000"/>
      <c r="D35" s="1021" t="str">
        <f>IFERROR(IF(ISTEXT(IFERROR(VLOOKUP(人物卡!F35,人物卡!BJ18:BR22,1,FALSE),IFERROR(VLOOKUP(人物卡!F35,人物卡!BA18:BC22,1,FALSE),0))),"★",INDEX(本职技能!$A$2:$HX$76,MATCH(人物卡!F35,本职技能!$A$2:$A$75,0),MATCH(人物卡!$M$5,本职技能!$A$1:$HX$1,0))),0)</f>
        <v/>
      </c>
      <c r="E35" s="1000"/>
      <c r="F35" s="1076" t="s">
        <v>122</v>
      </c>
      <c r="G35" s="1000"/>
      <c r="H35" s="1057"/>
      <c r="I35" s="1000"/>
      <c r="J35" s="999" t="n">
        <f>附表!C11</f>
        <v>0</v>
      </c>
      <c r="K35" s="1000"/>
      <c r="L35" s="2251"/>
      <c r="M35" s="2251"/>
      <c r="N35" s="999"/>
      <c r="O35" s="1000"/>
      <c r="P35" s="999"/>
      <c r="Q35" s="1000"/>
      <c r="R35" s="1010" t="n">
        <f>SUM(J35:Q35)</f>
        <v>0</v>
      </c>
      <c r="S35" s="1000"/>
      <c r="T35" s="999" t="n">
        <f>INT(R35/2)</f>
        <v>0</v>
      </c>
      <c r="U35" s="1000"/>
      <c r="V35" s="999" t="n">
        <f>INT(R35/5)</f>
        <v>0</v>
      </c>
      <c r="W35" s="1000"/>
      <c r="X35" s="1053" t="s">
        <v>59</v>
      </c>
      <c r="Y35" s="1000"/>
      <c r="Z35" s="1021" t="str">
        <f>IFERROR(IF(ISTEXT(IFERROR(VLOOKUP(人物卡!AB35,人物卡!BJ18:BR22,1,FALSE),IFERROR(VLOOKUP(人物卡!AB35,人物卡!BA18:BC22,1,FALSE),0))),"★",INDEX(本职技能!$A$2:$HX$76,MATCH(人物卡!AB35,本职技能!$A$2:$A$75,0),MATCH(人物卡!$M$5,本职技能!$A$1:$HX$1,0))),0)</f>
        <v/>
      </c>
      <c r="AA35" s="1000"/>
      <c r="AB35" s="999" t="s">
        <v>123</v>
      </c>
      <c r="AC35" s="1007"/>
      <c r="AD35" s="1007"/>
      <c r="AE35" s="1000"/>
      <c r="AF35" s="999">
        <v>25</v>
      </c>
      <c r="AG35" s="1000"/>
      <c r="AH35" s="2251"/>
      <c r="AI35" s="2251"/>
      <c r="AJ35" s="999"/>
      <c r="AK35" s="1000"/>
      <c r="AL35" s="1010"/>
      <c r="AM35" s="1000"/>
      <c r="AN35" s="1010" t="n">
        <f>SUM(AF35:AM35)</f>
        <v>25</v>
      </c>
      <c r="AO35" s="1000"/>
      <c r="AP35" s="1010" t="n">
        <f>INT(AN35/2)</f>
        <v>12</v>
      </c>
      <c r="AQ35" s="1000"/>
      <c r="AR35" s="1010" t="n">
        <f>INT(AN35/5)</f>
        <v>5</v>
      </c>
      <c r="AS35" s="1005"/>
      <c r="AT35" s="230" t="str">
        <f>IF(AND(IFERROR(AJ35&gt;0,FALSE),IFERROR(AL35&gt;0,FALSE)),"混点！ ","")&amp;IF(AND(IFERROR(AJ35&gt;0,FALSE),Z35&lt;&gt;"★"),"非本职职业！","")</f>
        <v/>
      </c>
      <c r="AU35" s="1166" t="s">
        <v>124</v>
      </c>
      <c r="AV35" s="1023"/>
      <c r="AW35" s="1023"/>
      <c r="AX35" s="1023"/>
      <c r="AY35" s="1023"/>
      <c r="AZ35" s="1023"/>
      <c r="BA35" s="1023"/>
      <c r="BB35" s="1167"/>
      <c r="BC35" s="1034"/>
      <c r="BD35" s="996"/>
      <c r="BE35" s="996"/>
      <c r="BF35" s="996"/>
      <c r="BG35" s="996"/>
      <c r="BH35" s="996"/>
      <c r="BI35" s="996"/>
      <c r="BJ35" s="1015"/>
      <c r="BK35" s="1341" t="s">
        <v>125</v>
      </c>
      <c r="BL35" s="1023"/>
      <c r="BM35" s="1023"/>
      <c r="BN35" s="1023"/>
      <c r="BO35" s="1023"/>
      <c r="BP35" s="1023"/>
      <c r="BQ35" s="1023"/>
      <c r="BR35" s="1167"/>
    </row>
    <row r="36" spans="1:70" ht="18" customHeight="1">
      <c r="A36" s="614" t="str">
        <f>IF(AND(IFERROR(N36&gt;0,FALSE),IFERROR(P36&gt;0,FALSE)),"混点！ ","")&amp;IF(AND(IFERROR(N36&gt;0,FALSE),D36&lt;&gt;"★"),"非本职职业！","")</f>
        <v/>
      </c>
      <c r="B36" s="1085" t="s">
        <v>59</v>
      </c>
      <c r="C36" s="1000"/>
      <c r="D36" s="1017" t="str">
        <f>IFERROR(IF(ISTEXT(IFERROR(VLOOKUP(F36,人物卡!BJ18:BR22,1,FALSE),IFERROR(VLOOKUP(F36,人物卡!BA18:BC22,1,FALSE),0))),"★",INDEX(本职技能!$A$2:$HX$76,MATCH(F36,本职技能!$A$2:$A$75,0),MATCH(人物卡!$M$5,本职技能!$A$1:$HX$1,0))),0)</f>
        <v/>
      </c>
      <c r="E36" s="1000"/>
      <c r="F36" s="1062" t="s">
        <v>126</v>
      </c>
      <c r="G36" s="1000"/>
      <c r="H36" s="1118"/>
      <c r="I36" s="1000"/>
      <c r="J36" s="1002" t="n">
        <f>附表!C12</f>
        <v>0</v>
      </c>
      <c r="K36" s="1000"/>
      <c r="L36" s="2250"/>
      <c r="M36" s="2250"/>
      <c r="N36" s="1002"/>
      <c r="O36" s="1000"/>
      <c r="P36" s="1002"/>
      <c r="Q36" s="1000"/>
      <c r="R36" s="1004" t="n">
        <f>SUM(J36:Q36)</f>
        <v>0</v>
      </c>
      <c r="S36" s="1000"/>
      <c r="T36" s="1002" t="n">
        <f>INT(R36/2)</f>
        <v>0</v>
      </c>
      <c r="U36" s="1000"/>
      <c r="V36" s="1002" t="n">
        <f>INT(R36/5)</f>
        <v>0</v>
      </c>
      <c r="W36" s="1000"/>
      <c r="X36" s="1009" t="s">
        <v>59</v>
      </c>
      <c r="Y36" s="1000"/>
      <c r="Z36" s="1017" t="str">
        <f>IFERROR(IF(ISTEXT(IFERROR(VLOOKUP(人物卡!AB36,人物卡!BJ18:BR22,1,FALSE),IFERROR(VLOOKUP(人物卡!AB36,人物卡!BA18:BC22,1,FALSE),0))),"★",INDEX(本职技能!$A$2:$HX$76,MATCH(人物卡!AB36,本职技能!$A$2:$A$75,0),MATCH(人物卡!$M$5,本职技能!$A$1:$HX$1,0))),0)</f>
        <v/>
      </c>
      <c r="AA36" s="1000"/>
      <c r="AB36" s="1002" t="s">
        <v>127</v>
      </c>
      <c r="AC36" s="1007"/>
      <c r="AD36" s="1007"/>
      <c r="AE36" s="1000"/>
      <c r="AF36" s="1002">
        <v>20</v>
      </c>
      <c r="AG36" s="1000"/>
      <c r="AH36" s="2250"/>
      <c r="AI36" s="2250"/>
      <c r="AJ36" s="1002"/>
      <c r="AK36" s="1000"/>
      <c r="AL36" s="1004"/>
      <c r="AM36" s="1000"/>
      <c r="AN36" s="1004" t="n">
        <f>SUM(AF36:AM36)</f>
        <v>20</v>
      </c>
      <c r="AO36" s="1000"/>
      <c r="AP36" s="1004" t="n">
        <f>INT(AN36/2)</f>
        <v>10</v>
      </c>
      <c r="AQ36" s="1000"/>
      <c r="AR36" s="1004" t="n">
        <f>INT(AN36/5)</f>
        <v>4</v>
      </c>
      <c r="AS36" s="1005"/>
      <c r="AT36" s="230" t="str">
        <f>IF(AND(IFERROR(AJ36&gt;0,FALSE),IFERROR(AL36&gt;0,FALSE)),"混点！ ","")&amp;IF(AND(IFERROR(AJ36&gt;0,FALSE),Z36&lt;&gt;"★"),"非本职职业！","")</f>
        <v/>
      </c>
      <c r="AU36" s="1304" t="s">
        <v>128</v>
      </c>
      <c r="AV36" s="1033"/>
      <c r="AW36" s="1033"/>
      <c r="AX36" s="1033"/>
      <c r="AY36" s="1033"/>
      <c r="AZ36" s="1033"/>
      <c r="BA36" s="1033"/>
      <c r="BB36" s="1038"/>
      <c r="BC36" s="1034"/>
      <c r="BD36" s="996"/>
      <c r="BE36" s="996"/>
      <c r="BF36" s="996"/>
      <c r="BG36" s="996"/>
      <c r="BH36" s="996"/>
      <c r="BI36" s="996"/>
      <c r="BJ36" s="1015"/>
      <c r="BK36" s="1123" t="s">
        <v>129</v>
      </c>
      <c r="BL36" s="1007"/>
      <c r="BM36" s="1007"/>
      <c r="BN36" s="1007"/>
      <c r="BO36" s="1164" t="s">
        <v>130</v>
      </c>
      <c r="BP36" s="1007"/>
      <c r="BQ36" s="1007"/>
      <c r="BR36" s="1084"/>
    </row>
    <row r="37" spans="1:70" ht="18" customHeight="1" thickBot="1">
      <c r="A37" s="614" t="str">
        <f>IF(AND(IFERROR(N37&gt;0,FALSE),IFERROR(P37&gt;0,FALSE)),"混点！ ","")&amp;IF(AND(IFERROR(N37&gt;0,FALSE),D37&lt;&gt;"★"),"非本职职业！","")</f>
        <v/>
      </c>
      <c r="B37" s="1111" t="s">
        <v>59</v>
      </c>
      <c r="C37" s="1000"/>
      <c r="D37" s="1021" t="str">
        <f>IFERROR(IF(ISTEXT(IFERROR(VLOOKUP(F37,人物卡!BJ18:BR22,1,FALSE),IFERROR(VLOOKUP(F37,人物卡!BA18:BC22,1,FALSE),0))),"★",INDEX(本职技能!$A$2:$HX$76,MATCH(F37,本职技能!$A$2:$A$75,0),MATCH(人物卡!$M$5,本职技能!$A$1:$HX$1,0))),0)</f>
        <v/>
      </c>
      <c r="E37" s="1000"/>
      <c r="F37" s="1076" t="s">
        <v>131</v>
      </c>
      <c r="G37" s="1000"/>
      <c r="H37" s="1057"/>
      <c r="I37" s="1000"/>
      <c r="J37" s="999" t="n">
        <f>附表!C13</f>
        <v>0</v>
      </c>
      <c r="K37" s="1000"/>
      <c r="L37" s="2251"/>
      <c r="M37" s="2251"/>
      <c r="N37" s="999"/>
      <c r="O37" s="1000"/>
      <c r="P37" s="999"/>
      <c r="Q37" s="1000"/>
      <c r="R37" s="1010" t="n">
        <f>SUM(J37:Q37)</f>
        <v>0</v>
      </c>
      <c r="S37" s="1000"/>
      <c r="T37" s="999" t="n">
        <f>INT(R37/2)</f>
        <v>0</v>
      </c>
      <c r="U37" s="1000"/>
      <c r="V37" s="999" t="n">
        <f>INT(R37/5)</f>
        <v>0</v>
      </c>
      <c r="W37" s="1000"/>
      <c r="X37" s="1053" t="s">
        <v>59</v>
      </c>
      <c r="Y37" s="1000"/>
      <c r="Z37" s="1021" t="str">
        <f>IFERROR(IF(ISTEXT(IFERROR(VLOOKUP(人物卡!AB37,人物卡!BJ18:BR22,1,FALSE),IFERROR(VLOOKUP(人物卡!AB37,人物卡!BA18:BC22,1,FALSE),0))),"★",INDEX(本职技能!$A$2:$HX$76,MATCH(人物卡!AB37,本职技能!$A$2:$A$75,0),MATCH(人物卡!$M$5,本职技能!$A$1:$HX$1,0))),0)</f>
        <v/>
      </c>
      <c r="AA37" s="1000"/>
      <c r="AB37" s="1076" t="s">
        <v>132</v>
      </c>
      <c r="AC37" s="1000"/>
      <c r="AD37" s="1198"/>
      <c r="AE37" s="1000"/>
      <c r="AF37" s="999">
        <v>10</v>
      </c>
      <c r="AG37" s="1000"/>
      <c r="AH37" s="2251"/>
      <c r="AI37" s="2251"/>
      <c r="AJ37" s="999"/>
      <c r="AK37" s="1000"/>
      <c r="AL37" s="1010"/>
      <c r="AM37" s="1000"/>
      <c r="AN37" s="1010" t="n">
        <f>SUM(AF37:AM37)</f>
        <v>10</v>
      </c>
      <c r="AO37" s="1000"/>
      <c r="AP37" s="1010" t="n">
        <f>INT(AN37/2)</f>
        <v>5</v>
      </c>
      <c r="AQ37" s="1000"/>
      <c r="AR37" s="1010" t="n">
        <f>INT(AN37/5)</f>
        <v>2</v>
      </c>
      <c r="AS37" s="1005"/>
      <c r="AT37" s="252" t="str">
        <f>IF(AND(IFERROR(AJ37&gt;0,FALSE),IFERROR(AL37&gt;0,FALSE)),"混点！ ","")&amp;IF(AND(IFERROR(AJ37&gt;0,FALSE),Z37&lt;&gt;"★"),"非本职职业！","")</f>
        <v/>
      </c>
      <c r="AU37" s="1260"/>
      <c r="AV37" s="1096"/>
      <c r="AW37" s="1096"/>
      <c r="AX37" s="1096"/>
      <c r="AY37" s="1096"/>
      <c r="AZ37" s="1096"/>
      <c r="BA37" s="1096"/>
      <c r="BB37" s="1132"/>
      <c r="BC37" s="1090"/>
      <c r="BD37" s="1019"/>
      <c r="BE37" s="1019"/>
      <c r="BF37" s="1019"/>
      <c r="BG37" s="1019"/>
      <c r="BH37" s="1019"/>
      <c r="BI37" s="1019"/>
      <c r="BJ37" s="1091"/>
      <c r="BK37" s="1220" t="str">
        <f>IF('货币汇率'!$K$8="可用",'货币汇率'!$K$3,"请选择可用币种")</f>
        <v>美元（USD）</v>
      </c>
      <c r="BL37" s="1096"/>
      <c r="BM37" s="1096"/>
      <c r="BN37" s="1096"/>
      <c r="BO37" s="2218" t="n">
        <f>'货币汇率'!$K$5</f>
        <v>1</v>
      </c>
      <c r="BP37" s="1096"/>
      <c r="BQ37" s="1096"/>
      <c r="BR37" s="1132"/>
    </row>
    <row r="38" spans="1:70" ht="18" customHeight="1">
      <c r="A38" s="614" t="str">
        <f>IF(AND(IFERROR(N38&gt;0,FALSE),IFERROR(P38&gt;0,FALSE)),"混点！ ","")&amp;IF(AND(IFERROR(N38&gt;0,FALSE),D38&lt;&gt;"★"),"非本职职业！","")</f>
        <v/>
      </c>
      <c r="B38" s="1085" t="s">
        <v>59</v>
      </c>
      <c r="C38" s="1000"/>
      <c r="D38" s="1017" t="str">
        <f>IFERROR(IF(ISTEXT(IFERROR(VLOOKUP(人物卡!F38,人物卡!BJ18:BR22,1,FALSE),IFERROR(VLOOKUP(人物卡!F38,人物卡!BA18:BC22,1,FALSE),0))),"★",INDEX(本职技能!$A$2:$HX$76,MATCH(人物卡!F38,本职技能!$A$2:$A$75,0),MATCH(人物卡!$M$5,本职技能!$A$1:$HX$1,0))),0)</f>
        <v/>
      </c>
      <c r="E38" s="1000"/>
      <c r="F38" s="1062" t="s">
        <v>133</v>
      </c>
      <c r="G38" s="1000"/>
      <c r="H38" s="1177" t="s">
        <v>134</v>
      </c>
      <c r="I38" s="1000"/>
      <c r="J38" s="1002">
        <v>20</v>
      </c>
      <c r="K38" s="1000"/>
      <c r="L38" s="2250"/>
      <c r="M38" s="2250"/>
      <c r="N38" s="1002"/>
      <c r="O38" s="1000"/>
      <c r="P38" s="1002"/>
      <c r="Q38" s="1000"/>
      <c r="R38" s="1004" t="n">
        <f>SUM(J38:Q38)</f>
        <v>20</v>
      </c>
      <c r="S38" s="1000"/>
      <c r="T38" s="1002" t="n">
        <f>INT(R38/2)</f>
        <v>10</v>
      </c>
      <c r="U38" s="1000"/>
      <c r="V38" s="1002" t="n">
        <f>INT(R38/5)</f>
        <v>4</v>
      </c>
      <c r="W38" s="1000"/>
      <c r="X38" s="1009" t="s">
        <v>59</v>
      </c>
      <c r="Y38" s="1000"/>
      <c r="Z38" s="1017" t="str">
        <f>IFERROR(IF(ISTEXT(IFERROR(VLOOKUP(人物卡!AB38,人物卡!BJ18:BR22,1,FALSE),IFERROR(VLOOKUP(人物卡!AB38,人物卡!BA18:BC22,1,FALSE),0))),"★",INDEX(本职技能!$A$2:$HX$76,MATCH(人物卡!AB38,本职技能!$A$2:$A$75,0),MATCH(人物卡!$M$5,本职技能!$A$1:$HX$1,0))),0)</f>
        <v/>
      </c>
      <c r="AA38" s="1000"/>
      <c r="AB38" s="1002" t="s">
        <v>135</v>
      </c>
      <c r="AC38" s="1007"/>
      <c r="AD38" s="1007"/>
      <c r="AE38" s="1000"/>
      <c r="AF38" s="1002">
        <v>20</v>
      </c>
      <c r="AG38" s="1000"/>
      <c r="AH38" s="2250"/>
      <c r="AI38" s="2250"/>
      <c r="AJ38" s="1002"/>
      <c r="AK38" s="1000"/>
      <c r="AL38" s="1004"/>
      <c r="AM38" s="1000"/>
      <c r="AN38" s="1004" t="n">
        <f>SUM(AF38:AM38)</f>
        <v>20</v>
      </c>
      <c r="AO38" s="1000"/>
      <c r="AP38" s="1004" t="n">
        <f>INT(AN38/2)</f>
        <v>10</v>
      </c>
      <c r="AQ38" s="1000"/>
      <c r="AR38" s="1004" t="n">
        <f>INT(AN38/5)</f>
        <v>4</v>
      </c>
      <c r="AS38" s="1005"/>
      <c r="AT38" s="252" t="str">
        <f>IF(AND(IFERROR(AJ38&gt;0,FALSE),IFERROR(AL38&gt;0,FALSE)),"混点！ ","")&amp;IF(AND(IFERROR(AJ38&gt;0,FALSE),Z38&lt;&gt;"★"),"非本职职业！","")</f>
        <v/>
      </c>
      <c r="AU38" s="1311" t="s">
        <v>136</v>
      </c>
      <c r="AV38" s="1297" t="str">
        <f>IF(M5=0," ",""&amp;LOOKUP(M5,职业列表!A2:A232,职业列表!K2:K232))</f>
        <v>列出一些角色在职业工作中可能接触的个人或组织,它们也可以为调查员的个人背景提供灵感。</v>
      </c>
      <c r="AW38" s="1088"/>
      <c r="AX38" s="1088"/>
      <c r="AY38" s="1088"/>
      <c r="AZ38" s="1088"/>
      <c r="BA38" s="1088"/>
      <c r="BB38" s="1088"/>
      <c r="BC38" s="1088"/>
      <c r="BD38" s="1088"/>
      <c r="BE38" s="1088"/>
      <c r="BF38" s="1088"/>
      <c r="BG38" s="1088"/>
      <c r="BH38" s="1088"/>
      <c r="BI38" s="1088"/>
      <c r="BJ38" s="1088"/>
      <c r="BK38" s="1088"/>
      <c r="BL38" s="1088"/>
      <c r="BM38" s="1088"/>
      <c r="BN38" s="1088"/>
      <c r="BO38" s="1088"/>
      <c r="BP38" s="1088"/>
      <c r="BQ38" s="1088"/>
      <c r="BR38" s="1078"/>
    </row>
    <row r="39" spans="1:70" ht="18" customHeight="1">
      <c r="A39" s="230" t="str">
        <f>IF(AND(IFERROR(N39&gt;0,FALSE),IFERROR(P39&gt;0,FALSE)),"混点！ ","")&amp;IF(AND(IFERROR(N39&gt;0,FALSE),D39&lt;&gt;"★"),"非本职职业！","")</f>
        <v/>
      </c>
      <c r="B39" s="1111" t="s">
        <v>59</v>
      </c>
      <c r="C39" s="1000"/>
      <c r="D39" s="1021" t="str">
        <f>IFERROR(IF(ISTEXT(IFERROR(VLOOKUP(人物卡!F39,人物卡!BJ18:BR22,1,FALSE),IFERROR(VLOOKUP(人物卡!F39,人物卡!BA18:BC22,1,FALSE),0))),"★",INDEX(本职技能!$A$2:$HX$76,MATCH(人物卡!F39,本职技能!$A$2:$A$75,0),MATCH(人物卡!$M$5,本职技能!$A$1:$HX$1,0))),0)</f>
        <v/>
      </c>
      <c r="E39" s="1000"/>
      <c r="F39" s="1076" t="s">
        <v>137</v>
      </c>
      <c r="G39" s="1000"/>
      <c r="H39" s="1057"/>
      <c r="I39" s="1000"/>
      <c r="J39" s="999" t="n">
        <f>附表!E11</f>
        <v>0</v>
      </c>
      <c r="K39" s="1000"/>
      <c r="L39" s="2251"/>
      <c r="M39" s="2251"/>
      <c r="N39" s="999"/>
      <c r="O39" s="1000"/>
      <c r="P39" s="999"/>
      <c r="Q39" s="1000"/>
      <c r="R39" s="1010" t="n">
        <f>SUM(J39:Q39)</f>
        <v>0</v>
      </c>
      <c r="S39" s="1000"/>
      <c r="T39" s="999" t="n">
        <f>INT(R39/2)</f>
        <v>0</v>
      </c>
      <c r="U39" s="1000"/>
      <c r="V39" s="999" t="n">
        <f>INT(R39/5)</f>
        <v>0</v>
      </c>
      <c r="W39" s="1000"/>
      <c r="X39" s="1053" t="s">
        <v>59</v>
      </c>
      <c r="Y39" s="1000"/>
      <c r="Z39" s="1021" t="str">
        <f>IFERROR(IF(ISTEXT(IFERROR(VLOOKUP(人物卡!AB39,人物卡!BJ18:BR22,1,FALSE),IFERROR(VLOOKUP(人物卡!AB39,人物卡!BA18:BC22,1,FALSE),0))),"★",INDEX(本职技能!$A$2:$HX$76,MATCH(人物卡!AB39,本职技能!$A$2:$A$75,0),MATCH(人物卡!$M$5,本职技能!$A$1:$HX$1,0))),0)</f>
        <v/>
      </c>
      <c r="AA39" s="1000"/>
      <c r="AB39" s="999" t="s">
        <v>138</v>
      </c>
      <c r="AC39" s="1007"/>
      <c r="AD39" s="1007"/>
      <c r="AE39" s="1000"/>
      <c r="AF39" s="999">
        <v>20</v>
      </c>
      <c r="AG39" s="1000"/>
      <c r="AH39" s="2251"/>
      <c r="AI39" s="2251"/>
      <c r="AJ39" s="999"/>
      <c r="AK39" s="1000"/>
      <c r="AL39" s="1010"/>
      <c r="AM39" s="1000"/>
      <c r="AN39" s="1010" t="n">
        <f>SUM(AF39:AM39)</f>
        <v>20</v>
      </c>
      <c r="AO39" s="1000"/>
      <c r="AP39" s="1010" t="n">
        <f>INT(AN39/2)</f>
        <v>10</v>
      </c>
      <c r="AQ39" s="1000"/>
      <c r="AR39" s="1010" t="n">
        <f>INT(AN39/5)</f>
        <v>4</v>
      </c>
      <c r="AS39" s="1005"/>
      <c r="AT39" s="252" t="str">
        <f>IF(AND(IFERROR(AJ39&gt;0,FALSE),IFERROR(AL39&gt;0,FALSE)),"混点！ ","")&amp;IF(AND(IFERROR(AJ39&gt;0,FALSE),Z39&lt;&gt;"★"),"非本职职业！","")</f>
        <v/>
      </c>
      <c r="AU39" s="1312"/>
      <c r="AV39" s="1114"/>
      <c r="AW39" s="996"/>
      <c r="AX39" s="996"/>
      <c r="AY39" s="996"/>
      <c r="AZ39" s="996"/>
      <c r="BA39" s="996"/>
      <c r="BB39" s="996"/>
      <c r="BC39" s="996"/>
      <c r="BD39" s="996"/>
      <c r="BE39" s="996"/>
      <c r="BF39" s="996"/>
      <c r="BG39" s="996"/>
      <c r="BH39" s="996"/>
      <c r="BI39" s="996"/>
      <c r="BJ39" s="996"/>
      <c r="BK39" s="996"/>
      <c r="BL39" s="996"/>
      <c r="BM39" s="996"/>
      <c r="BN39" s="996"/>
      <c r="BO39" s="996"/>
      <c r="BP39" s="996"/>
      <c r="BQ39" s="996"/>
      <c r="BR39" s="1013"/>
    </row>
    <row r="40" spans="1:70" ht="18" customHeight="1">
      <c r="A40" s="230" t="str">
        <f>IF(AND(IFERROR(N40&gt;0,FALSE),IFERROR(P40&gt;0,FALSE)),"混点！ ","")&amp;IF(AND(IFERROR(N40&gt;0,FALSE),D40&lt;&gt;"★"),"非本职职业！","")</f>
        <v/>
      </c>
      <c r="B40" s="1085" t="s">
        <v>59</v>
      </c>
      <c r="C40" s="1000"/>
      <c r="D40" s="1017" t="str">
        <f>IFERROR(IF(ISTEXT(IFERROR(VLOOKUP(F40,人物卡!BJ18:BR22,1,FALSE),IFERROR(VLOOKUP(F40,人物卡!BA18:BC22,1,FALSE),0))),"★",INDEX(本职技能!$A$2:$HX$76,MATCH(F40,本职技能!$A$2:$A$75,0),MATCH(人物卡!$M$5,本职技能!$A$1:$HX$1,0))),0)</f>
        <v/>
      </c>
      <c r="E40" s="1000"/>
      <c r="F40" s="1062" t="s">
        <v>139</v>
      </c>
      <c r="G40" s="1000"/>
      <c r="H40" s="1118"/>
      <c r="I40" s="1000"/>
      <c r="J40" s="1002" t="n">
        <f>附表!E12</f>
        <v>0</v>
      </c>
      <c r="K40" s="1000"/>
      <c r="L40" s="2250"/>
      <c r="M40" s="2250"/>
      <c r="N40" s="1002"/>
      <c r="O40" s="1000"/>
      <c r="P40" s="1002"/>
      <c r="Q40" s="1000"/>
      <c r="R40" s="1004" t="n">
        <f>SUM(J40:Q40)</f>
        <v>0</v>
      </c>
      <c r="S40" s="1000"/>
      <c r="T40" s="1002" t="n">
        <f>INT(R40/2)</f>
        <v>0</v>
      </c>
      <c r="U40" s="1000"/>
      <c r="V40" s="1002" t="n">
        <f>INT(R40/5)</f>
        <v>0</v>
      </c>
      <c r="W40" s="1000"/>
      <c r="X40" s="1009" t="s">
        <v>59</v>
      </c>
      <c r="Y40" s="1000"/>
      <c r="Z40" s="1017" t="str">
        <f>IFERROR(IF(ISTEXT(IFERROR(VLOOKUP(人物卡!AB40,人物卡!BJ18:BR22,1,FALSE),IFERROR(VLOOKUP(人物卡!AB40,人物卡!BA18:BC22,1,FALSE),0))),"★",INDEX(本职技能!$A$2:$HX$76,MATCH(人物卡!AB40,本职技能!$A$2:$A$75,0),MATCH(人物卡!$M$5,本职技能!$A$1:$HX$1,0))),0)</f>
        <v/>
      </c>
      <c r="AA40" s="1000"/>
      <c r="AB40" s="1002" t="s">
        <v>140</v>
      </c>
      <c r="AC40" s="1007"/>
      <c r="AD40" s="1007"/>
      <c r="AE40" s="1000"/>
      <c r="AF40" s="1002">
        <v>10</v>
      </c>
      <c r="AG40" s="1000"/>
      <c r="AH40" s="2250"/>
      <c r="AI40" s="2250"/>
      <c r="AJ40" s="1002"/>
      <c r="AK40" s="1000"/>
      <c r="AL40" s="1004"/>
      <c r="AM40" s="1000"/>
      <c r="AN40" s="1004" t="n">
        <f>SUM(AF40:AM40)</f>
        <v>10</v>
      </c>
      <c r="AO40" s="1000"/>
      <c r="AP40" s="1004" t="n">
        <f>INT(AN40/2)</f>
        <v>5</v>
      </c>
      <c r="AQ40" s="1000"/>
      <c r="AR40" s="1004" t="n">
        <f>INT(AN40/5)</f>
        <v>2</v>
      </c>
      <c r="AS40" s="1005"/>
      <c r="AT40" s="252" t="str">
        <f>IF(AND(IFERROR(AJ40&gt;0,FALSE),IFERROR(AL40&gt;0,FALSE)),"混点！ ","")&amp;IF(AND(IFERROR(AJ40&gt;0,FALSE),Z40&lt;&gt;"★"),"非本职职业！","")</f>
        <v/>
      </c>
      <c r="AU40" s="1312"/>
      <c r="AV40" s="1114"/>
      <c r="AW40" s="996"/>
      <c r="AX40" s="996"/>
      <c r="AY40" s="996"/>
      <c r="AZ40" s="996"/>
      <c r="BA40" s="996"/>
      <c r="BB40" s="996"/>
      <c r="BC40" s="996"/>
      <c r="BD40" s="996"/>
      <c r="BE40" s="996"/>
      <c r="BF40" s="996"/>
      <c r="BG40" s="996"/>
      <c r="BH40" s="996"/>
      <c r="BI40" s="996"/>
      <c r="BJ40" s="996"/>
      <c r="BK40" s="996"/>
      <c r="BL40" s="996"/>
      <c r="BM40" s="996"/>
      <c r="BN40" s="996"/>
      <c r="BO40" s="996"/>
      <c r="BP40" s="996"/>
      <c r="BQ40" s="996"/>
      <c r="BR40" s="1013"/>
    </row>
    <row r="41" spans="1:70" ht="18" customHeight="1">
      <c r="A41" s="230" t="str">
        <f>IF(AND(IFERROR(N41&gt;0,FALSE),IFERROR(P41&gt;0,FALSE)),"混点！ ","")&amp;IF(AND(IFERROR(N41&gt;0,FALSE),D41&lt;&gt;"★"),"非本职职业！","")</f>
        <v/>
      </c>
      <c r="B41" s="1111" t="s">
        <v>59</v>
      </c>
      <c r="C41" s="1000"/>
      <c r="D41" s="1021" t="str">
        <f>IFERROR(IF(ISTEXT(IFERROR(VLOOKUP(F41,人物卡!BJ18:BR22,1,FALSE),IFERROR(VLOOKUP(F41,人物卡!BA18:BC22,1,FALSE),0))),"★",INDEX(本职技能!$A$2:$HX$76,MATCH(F41,本职技能!$A$2:$A$75,0),MATCH(人物卡!$M$5,本职技能!$A$1:$HX$1,0))),0)</f>
        <v/>
      </c>
      <c r="E41" s="1000"/>
      <c r="F41" s="1076" t="s">
        <v>141</v>
      </c>
      <c r="G41" s="1000"/>
      <c r="H41" s="1350"/>
      <c r="I41" s="1000"/>
      <c r="J41" s="999" t="n">
        <f>附表!E13</f>
        <v>0</v>
      </c>
      <c r="K41" s="1000"/>
      <c r="L41" s="2251"/>
      <c r="M41" s="2251"/>
      <c r="N41" s="999"/>
      <c r="O41" s="1000"/>
      <c r="P41" s="999"/>
      <c r="Q41" s="1000"/>
      <c r="R41" s="1010" t="n">
        <f>SUM(J41:Q41)</f>
        <v>0</v>
      </c>
      <c r="S41" s="1000"/>
      <c r="T41" s="999" t="n">
        <f>INT(R41/2)</f>
        <v>0</v>
      </c>
      <c r="U41" s="1000"/>
      <c r="V41" s="999" t="n">
        <f>INT(R41/5)</f>
        <v>0</v>
      </c>
      <c r="W41" s="1000"/>
      <c r="X41" s="1053" t="s">
        <v>59</v>
      </c>
      <c r="Y41" s="1000"/>
      <c r="Z41" s="1021" t="str">
        <f>IFERROR(IF(ISTEXT(IFERROR(VLOOKUP(人物卡!AB41,人物卡!BJ18:BR22,1,FALSE),IFERROR(VLOOKUP(人物卡!AB41,人物卡!BA18:BC22,1,FALSE),0))),"★",INDEX(本职技能!$A$2:$HX$76,MATCH(人物卡!AB41,本职技能!$A$2:$A$75,0),MATCH(人物卡!$M$5,本职技能!$A$1:$HX$1,0))),0)</f>
        <v/>
      </c>
      <c r="AA41" s="1000"/>
      <c r="AB41" s="1041" t="s">
        <v>142</v>
      </c>
      <c r="AC41" s="1007"/>
      <c r="AD41" s="1007"/>
      <c r="AE41" s="1000"/>
      <c r="AF41" s="999">
        <v>5</v>
      </c>
      <c r="AG41" s="1000"/>
      <c r="AH41" s="2251"/>
      <c r="AI41" s="2251"/>
      <c r="AJ41" s="999"/>
      <c r="AK41" s="1000"/>
      <c r="AL41" s="1010"/>
      <c r="AM41" s="1000"/>
      <c r="AN41" s="1010" t="n">
        <f>SUM(AF41:AM41)</f>
        <v>5</v>
      </c>
      <c r="AO41" s="1000"/>
      <c r="AP41" s="1010" t="n">
        <f>INT(AN41/2)</f>
        <v>2</v>
      </c>
      <c r="AQ41" s="1000"/>
      <c r="AR41" s="1010" t="n">
        <f>INT(AN41/5)</f>
        <v>1</v>
      </c>
      <c r="AS41" s="1005"/>
      <c r="AT41" s="252" t="str">
        <f>IF(AND(IFERROR(AJ41&gt;0,FALSE),IFERROR(AL41&gt;0,FALSE)),"混点！ ","")&amp;IF(AND(IFERROR(AJ41&gt;0,FALSE),Z41&lt;&gt;"★"),"非本职职业！","")</f>
        <v/>
      </c>
      <c r="AU41" s="1312"/>
      <c r="AV41" s="1114"/>
      <c r="AW41" s="996"/>
      <c r="AX41" s="996"/>
      <c r="AY41" s="996"/>
      <c r="AZ41" s="996"/>
      <c r="BA41" s="996"/>
      <c r="BB41" s="996"/>
      <c r="BC41" s="996"/>
      <c r="BD41" s="996"/>
      <c r="BE41" s="996"/>
      <c r="BF41" s="996"/>
      <c r="BG41" s="996"/>
      <c r="BH41" s="996"/>
      <c r="BI41" s="996"/>
      <c r="BJ41" s="996"/>
      <c r="BK41" s="996"/>
      <c r="BL41" s="996"/>
      <c r="BM41" s="996"/>
      <c r="BN41" s="996"/>
      <c r="BO41" s="996"/>
      <c r="BP41" s="996"/>
      <c r="BQ41" s="996"/>
      <c r="BR41" s="1013"/>
    </row>
    <row r="42" spans="1:70" ht="18" customHeight="1" thickBot="1">
      <c r="A42" s="230" t="str">
        <f>IF(AND(IFERROR(N42&gt;0,FALSE),IFERROR(P42&gt;0,FALSE)),"混点！ ","")&amp;IF(AND(IFERROR(N42&gt;0,FALSE),D42&lt;&gt;"★"),"非本职职业！","")</f>
        <v/>
      </c>
      <c r="B42" s="1085" t="s">
        <v>59</v>
      </c>
      <c r="C42" s="1000"/>
      <c r="D42" s="1017" t="str">
        <f>IFERROR(IF(ISTEXT(IFERROR(VLOOKUP(人物卡!F42,人物卡!BJ18:BR22,1,FALSE),IFERROR(VLOOKUP(人物卡!F42,人物卡!BA18:BC22,1,FALSE),0))),"★",INDEX(本职技能!$A$2:$HX$76,MATCH(人物卡!F42,本职技能!$A$2:$A$75,0),MATCH(人物卡!$M$5,本职技能!$A$1:$HX$1,0))),0)</f>
        <v/>
      </c>
      <c r="E42" s="1000"/>
      <c r="F42" s="1002" t="s">
        <v>143</v>
      </c>
      <c r="G42" s="1007"/>
      <c r="H42" s="1007"/>
      <c r="I42" s="1000"/>
      <c r="J42" s="1342">
        <v>30</v>
      </c>
      <c r="K42" s="1000"/>
      <c r="L42" s="2250"/>
      <c r="M42" s="2250"/>
      <c r="N42" s="1002"/>
      <c r="O42" s="1000"/>
      <c r="P42" s="1002"/>
      <c r="Q42" s="1000"/>
      <c r="R42" s="1004" t="n">
        <f>SUM(J42:Q42)</f>
        <v>30</v>
      </c>
      <c r="S42" s="1000"/>
      <c r="T42" s="1002" t="n">
        <f>INT(R42/2)</f>
        <v>15</v>
      </c>
      <c r="U42" s="1000"/>
      <c r="V42" s="1002" t="n">
        <f>INT(R42/5)</f>
        <v>6</v>
      </c>
      <c r="W42" s="1000"/>
      <c r="X42" s="1009" t="s">
        <v>59</v>
      </c>
      <c r="Y42" s="1000"/>
      <c r="Z42" s="1017" t="str">
        <f>IFERROR(IF(ISTEXT(IFERROR(VLOOKUP(人物卡!AB42,人物卡!BJ18:BR22,1,FALSE),IFERROR(VLOOKUP(人物卡!AB42,人物卡!BA18:BC22,1,FALSE),0))),"★",INDEX(本职技能!$A$2:$HX$76,MATCH(人物卡!AB42,本职技能!$A$2:$A$75,0),MATCH(人物卡!$M$5,本职技能!$A$1:$HX$1,0))),0)</f>
        <v/>
      </c>
      <c r="AA42" s="1000"/>
      <c r="AB42" s="1233" t="s">
        <v>144</v>
      </c>
      <c r="AC42" s="1007"/>
      <c r="AD42" s="1007"/>
      <c r="AE42" s="1000"/>
      <c r="AF42" s="1002">
        <v>1</v>
      </c>
      <c r="AG42" s="1000"/>
      <c r="AH42" s="2250"/>
      <c r="AI42" s="2250"/>
      <c r="AJ42" s="1002"/>
      <c r="AK42" s="1000"/>
      <c r="AL42" s="1004"/>
      <c r="AM42" s="1000"/>
      <c r="AN42" s="1004" t="n">
        <f>SUM(AF42:AM42)</f>
        <v>1</v>
      </c>
      <c r="AO42" s="1000"/>
      <c r="AP42" s="1004" t="n">
        <f>INT(AN42/2)</f>
        <v>0</v>
      </c>
      <c r="AQ42" s="1000"/>
      <c r="AR42" s="1004" t="n">
        <f>INT(AN42/5)</f>
        <v>0</v>
      </c>
      <c r="AS42" s="1005"/>
      <c r="AT42" s="252" t="str">
        <f>IF(AND(IFERROR(AJ42&gt;0,FALSE),IFERROR(AL42&gt;0,FALSE)),"混点！ ","")&amp;IF(AND(IFERROR(AJ42&gt;0,FALSE),Z42&lt;&gt;"★"),"非本职职业！","")</f>
        <v/>
      </c>
      <c r="AU42" s="1313"/>
      <c r="AV42" s="1026"/>
      <c r="AW42" s="1036"/>
      <c r="AX42" s="1036"/>
      <c r="AY42" s="1036"/>
      <c r="AZ42" s="1036"/>
      <c r="BA42" s="1036"/>
      <c r="BB42" s="1036"/>
      <c r="BC42" s="1036"/>
      <c r="BD42" s="1036"/>
      <c r="BE42" s="1036"/>
      <c r="BF42" s="1036"/>
      <c r="BG42" s="1036"/>
      <c r="BH42" s="1036"/>
      <c r="BI42" s="1036"/>
      <c r="BJ42" s="1036"/>
      <c r="BK42" s="1036"/>
      <c r="BL42" s="1036"/>
      <c r="BM42" s="1036"/>
      <c r="BN42" s="1036"/>
      <c r="BO42" s="1036"/>
      <c r="BP42" s="1036"/>
      <c r="BQ42" s="1036"/>
      <c r="BR42" s="1027"/>
    </row>
    <row r="43" spans="1:70" ht="18" customHeight="1">
      <c r="A43" s="230" t="str">
        <f>IF(AND(IFERROR(N43&gt;0,FALSE),IFERROR(P43&gt;0,FALSE)),"混点！ ","")&amp;IF(AND(IFERROR(N43&gt;0,FALSE),D43&lt;&gt;"★"),"非本职职业！","")</f>
        <v/>
      </c>
      <c r="B43" s="1111" t="s">
        <v>59</v>
      </c>
      <c r="C43" s="1000"/>
      <c r="D43" s="1021" t="str">
        <f>IFERROR(IF(ISTEXT(IFERROR(VLOOKUP(人物卡!F43,人物卡!BJ18:BR22,1,FALSE),IFERROR(VLOOKUP(人物卡!F43,人物卡!BA18:BC22,1,FALSE),0))),"★",INDEX(本职技能!$A$2:$HX$76,MATCH(人物卡!F43,本职技能!$A$2:$A$75,0),MATCH(人物卡!$M$5,本职技能!$A$1:$HX$1,0))),0)</f>
        <v/>
      </c>
      <c r="E43" s="1000"/>
      <c r="F43" s="999" t="s">
        <v>145</v>
      </c>
      <c r="G43" s="1007"/>
      <c r="H43" s="1007"/>
      <c r="I43" s="1000"/>
      <c r="J43" s="999">
        <v>5</v>
      </c>
      <c r="K43" s="1000"/>
      <c r="L43" s="2251"/>
      <c r="M43" s="2251"/>
      <c r="N43" s="999"/>
      <c r="O43" s="1000"/>
      <c r="P43" s="999"/>
      <c r="Q43" s="1000"/>
      <c r="R43" s="1010" t="n">
        <f>SUM(J43:Q43)</f>
        <v>5</v>
      </c>
      <c r="S43" s="1000"/>
      <c r="T43" s="999" t="n">
        <f>INT(R43/2)</f>
        <v>2</v>
      </c>
      <c r="U43" s="1000"/>
      <c r="V43" s="999" t="n">
        <f>INT(R43/5)</f>
        <v>1</v>
      </c>
      <c r="W43" s="1000"/>
      <c r="X43" s="1053" t="s">
        <v>59</v>
      </c>
      <c r="Y43" s="1000"/>
      <c r="Z43" s="1021" t="str">
        <f>IFERROR(IF(ISTEXT(IFERROR(VLOOKUP(人物卡!AB43,人物卡!BJ18:BR22,1,FALSE),IFERROR(VLOOKUP(人物卡!AB43,人物卡!BA18:BC22,1,FALSE),0))),"★",INDEX(本职技能!$A$2:$HX$76,MATCH(人物卡!AB43,本职技能!$A$2:$A$75,0),MATCH(人物卡!$M$5,本职技能!$A$1:$HX$1,0))),0)</f>
        <v/>
      </c>
      <c r="AA43" s="1000"/>
      <c r="AB43" s="1041" t="s">
        <v>146</v>
      </c>
      <c r="AC43" s="1007"/>
      <c r="AD43" s="1007"/>
      <c r="AE43" s="1000"/>
      <c r="AF43" s="999">
        <v>1</v>
      </c>
      <c r="AG43" s="1000"/>
      <c r="AH43" s="2251"/>
      <c r="AI43" s="2251"/>
      <c r="AJ43" s="999"/>
      <c r="AK43" s="1000"/>
      <c r="AL43" s="1010"/>
      <c r="AM43" s="1000"/>
      <c r="AN43" s="1010" t="n">
        <f>SUM(AF43:AM43)</f>
        <v>1</v>
      </c>
      <c r="AO43" s="1000"/>
      <c r="AP43" s="1010" t="n">
        <f>INT(AN43/2)</f>
        <v>0</v>
      </c>
      <c r="AQ43" s="1000"/>
      <c r="AR43" s="1010" t="n">
        <f>INT(AN43/5)</f>
        <v>0</v>
      </c>
      <c r="AS43" s="1005"/>
      <c r="AT43" s="252" t="str">
        <f>IF(AND(IFERROR(AJ43&gt;0,FALSE),IFERROR(AL43&gt;0,FALSE)),"混点！ ","")&amp;IF(AND(IFERROR(AJ43&gt;0,FALSE),Z43&lt;&gt;"★"),"非本职职业！","")</f>
        <v/>
      </c>
      <c r="AU43" s="1124" t="s">
        <v>147</v>
      </c>
      <c r="AV43" s="1023"/>
      <c r="AW43" s="1023"/>
      <c r="AX43" s="1023"/>
      <c r="AY43" s="1023"/>
      <c r="AZ43" s="1023"/>
      <c r="BA43" s="1023"/>
      <c r="BB43" s="1023"/>
      <c r="BC43" s="1023"/>
      <c r="BD43" s="1023"/>
      <c r="BE43" s="1023"/>
      <c r="BF43" s="1023"/>
      <c r="BG43" s="1023"/>
      <c r="BH43" s="1023"/>
      <c r="BI43" s="1023"/>
      <c r="BJ43" s="1023"/>
      <c r="BK43" s="1023"/>
      <c r="BL43" s="1023"/>
      <c r="BM43" s="1023"/>
      <c r="BN43" s="1023"/>
      <c r="BO43" s="1023"/>
      <c r="BP43" s="1023"/>
      <c r="BQ43" s="1023"/>
      <c r="BR43" s="1024"/>
    </row>
    <row r="44" spans="1:70" ht="18" customHeight="1">
      <c r="A44" s="230" t="str">
        <f>IF(AND(IFERROR(N44&gt;0,FALSE),IFERROR(P44&gt;0,FALSE)),"混点！ ","")&amp;IF(AND(IFERROR(N44&gt;0,FALSE),D44&lt;&gt;"★"),"非本职职业！","")</f>
        <v/>
      </c>
      <c r="B44" s="1085" t="s">
        <v>59</v>
      </c>
      <c r="C44" s="1000"/>
      <c r="D44" s="1017" t="str">
        <f>IFERROR(IF(ISTEXT(IFERROR(VLOOKUP(人物卡!F44,人物卡!BJ18:BR22,1,FALSE),IFERROR(VLOOKUP(人物卡!F44,人物卡!BA18:BC22,1,FALSE),0))),"★",INDEX(本职技能!$A$2:$HX$76,MATCH(人物卡!F44,本职技能!$A$2:$A$75,0),MATCH(人物卡!$M$5,本职技能!$A$1:$HX$1,0))),0)</f>
        <v/>
      </c>
      <c r="E44" s="1000"/>
      <c r="F44" s="1002" t="s">
        <v>148</v>
      </c>
      <c r="G44" s="1007"/>
      <c r="H44" s="1007"/>
      <c r="I44" s="1000"/>
      <c r="J44" s="1002">
        <v>15</v>
      </c>
      <c r="K44" s="1000"/>
      <c r="L44" s="2250"/>
      <c r="M44" s="2250"/>
      <c r="N44" s="1002"/>
      <c r="O44" s="1000"/>
      <c r="P44" s="1002"/>
      <c r="Q44" s="1000"/>
      <c r="R44" s="1004" t="n">
        <f>SUM(J44:Q44)</f>
        <v>15</v>
      </c>
      <c r="S44" s="1000"/>
      <c r="T44" s="1002" t="n">
        <f>INT(R44/2)</f>
        <v>7</v>
      </c>
      <c r="U44" s="1000"/>
      <c r="V44" s="1002" t="n">
        <f>INT(R44/5)</f>
        <v>3</v>
      </c>
      <c r="W44" s="1000"/>
      <c r="X44" s="1009" t="s">
        <v>59</v>
      </c>
      <c r="Y44" s="1000"/>
      <c r="Z44" s="1017" t="str">
        <f>IFERROR(IF(ISTEXT(IFERROR(VLOOKUP(人物卡!AB44,人物卡!BJ18:BR22,1,FALSE),IFERROR(VLOOKUP(人物卡!AB44,人物卡!BA18:BC22,1,FALSE),0))),"★",INDEX(本职技能!$A$2:$HX$76,MATCH(人物卡!AB44,本职技能!$A$2:$A$75,0),MATCH(人物卡!$M$5,本职技能!$A$1:$HX$1,0))),0)</f>
        <v/>
      </c>
      <c r="AA44" s="1000"/>
      <c r="AB44" s="1233" t="s">
        <v>149</v>
      </c>
      <c r="AC44" s="1007"/>
      <c r="AD44" s="1007"/>
      <c r="AE44" s="1000"/>
      <c r="AF44" s="1002">
        <v>1</v>
      </c>
      <c r="AG44" s="1000"/>
      <c r="AH44" s="2250"/>
      <c r="AI44" s="2250"/>
      <c r="AJ44" s="1002"/>
      <c r="AK44" s="1000"/>
      <c r="AL44" s="1004"/>
      <c r="AM44" s="1000"/>
      <c r="AN44" s="1004" t="n">
        <f>SUM(AF44:AM44)</f>
        <v>1</v>
      </c>
      <c r="AO44" s="1000"/>
      <c r="AP44" s="1004" t="n">
        <f>INT(AN44/2)</f>
        <v>0</v>
      </c>
      <c r="AQ44" s="1000"/>
      <c r="AR44" s="1004" t="n">
        <f>INT(AN44/5)</f>
        <v>0</v>
      </c>
      <c r="AS44" s="1005"/>
      <c r="AT44" s="252" t="str">
        <f>IF(AND(IFERROR(AJ44&gt;0,FALSE),IFERROR(AL44&gt;0,FALSE)),"混点！ ","")&amp;IF(AND(IFERROR(AJ44&gt;0,FALSE),Z44&lt;&gt;"★"),"非本职职业！","")</f>
        <v/>
      </c>
      <c r="AU44" s="1148" t="str">
        <f>IF(M5=0," ",""&amp;LOOKUP(M5,职业列表!A2:A232,职业列表!M2:M232))</f>
        <v>不多于7个本职技能。
在职业属性中输入第二职业属性的名字（如外貌、意志、教育、敏捷、力量、体质、体型，留空则视为EDU）并自行设置起始信誉。使用自定义职业前，请先咨询你的KP</v>
      </c>
      <c r="AV44" s="1033"/>
      <c r="AW44" s="1033"/>
      <c r="AX44" s="1033"/>
      <c r="AY44" s="1033"/>
      <c r="AZ44" s="1033"/>
      <c r="BA44" s="1033"/>
      <c r="BB44" s="1033"/>
      <c r="BC44" s="1033"/>
      <c r="BD44" s="1033"/>
      <c r="BE44" s="1033"/>
      <c r="BF44" s="1033"/>
      <c r="BG44" s="1033"/>
      <c r="BH44" s="1033"/>
      <c r="BI44" s="1033"/>
      <c r="BJ44" s="1033"/>
      <c r="BK44" s="1033"/>
      <c r="BL44" s="1033"/>
      <c r="BM44" s="1033"/>
      <c r="BN44" s="1033"/>
      <c r="BO44" s="1033"/>
      <c r="BP44" s="1033"/>
      <c r="BQ44" s="1033"/>
      <c r="BR44" s="1031"/>
    </row>
    <row r="45" spans="1:70" ht="18" customHeight="1">
      <c r="A45" s="230" t="str">
        <f>IF(AND(IFERROR(N45&gt;0,FALSE),IFERROR(P45&gt;0,FALSE)),"混点！ ","")&amp;IF(AND(IFERROR(N45&gt;0,FALSE),D45&lt;&gt;"★"),"非本职职业！","")</f>
        <v/>
      </c>
      <c r="B45" s="1111" t="s">
        <v>59</v>
      </c>
      <c r="C45" s="1000"/>
      <c r="D45" s="1021" t="str">
        <f>IFERROR(IF(ISTEXT(IFERROR(VLOOKUP(人物卡!F45,人物卡!BJ18:BR22,1,FALSE),IFERROR(VLOOKUP(人物卡!F45,人物卡!BA18:BC22,1,FALSE),0))),"★",INDEX(本职技能!$A$2:$HX$76,MATCH(人物卡!F45,本职技能!$A$2:$A$75,0),MATCH(人物卡!$M$5,本职技能!$A$1:$HX$1,0))),0)</f>
        <v/>
      </c>
      <c r="E45" s="1000"/>
      <c r="F45" s="999" t="s">
        <v>150</v>
      </c>
      <c r="G45" s="1007"/>
      <c r="H45" s="1007"/>
      <c r="I45" s="1000"/>
      <c r="J45" s="999">
        <v>20</v>
      </c>
      <c r="K45" s="1000"/>
      <c r="L45" s="2251"/>
      <c r="M45" s="2251"/>
      <c r="N45" s="999"/>
      <c r="O45" s="1000"/>
      <c r="P45" s="999"/>
      <c r="Q45" s="1000"/>
      <c r="R45" s="1010" t="n">
        <f>SUM(J45:Q45)</f>
        <v>20</v>
      </c>
      <c r="S45" s="1000"/>
      <c r="T45" s="999" t="n">
        <f>INT(R45/2)</f>
        <v>10</v>
      </c>
      <c r="U45" s="1000"/>
      <c r="V45" s="999" t="n">
        <f>INT(R45/5)</f>
        <v>4</v>
      </c>
      <c r="W45" s="1000"/>
      <c r="X45" s="1053" t="s">
        <v>59</v>
      </c>
      <c r="Y45" s="1000"/>
      <c r="Z45" s="1021" t="str">
        <f>IFERROR(IF(ISTEXT(IFERROR(VLOOKUP(人物卡!AB45,人物卡!BJ18:BR22,1,FALSE),IFERROR(VLOOKUP(人物卡!AB45,人物卡!BA18:BC22,1,FALSE),0))),"★",INDEX(本职技能!$A$2:$HX$76,MATCH(人物卡!AB45,本职技能!$A$2:$A$75,0),MATCH(人物卡!$M$5,本职技能!$A$1:$HX$1,0))),0)</f>
        <v/>
      </c>
      <c r="AA45" s="1000"/>
      <c r="AB45" s="1041" t="s">
        <v>151</v>
      </c>
      <c r="AC45" s="1007"/>
      <c r="AD45" s="1007"/>
      <c r="AE45" s="1000"/>
      <c r="AF45" s="999">
        <v>1</v>
      </c>
      <c r="AG45" s="1000"/>
      <c r="AH45" s="2251"/>
      <c r="AI45" s="2251"/>
      <c r="AJ45" s="999"/>
      <c r="AK45" s="1000"/>
      <c r="AL45" s="1010"/>
      <c r="AM45" s="1000"/>
      <c r="AN45" s="1010" t="n">
        <f>SUM(AF45:AM45)</f>
        <v>1</v>
      </c>
      <c r="AO45" s="1000"/>
      <c r="AP45" s="1010" t="n">
        <f>INT(AN45/2)</f>
        <v>0</v>
      </c>
      <c r="AQ45" s="1000"/>
      <c r="AR45" s="1010" t="n">
        <f>INT(AN45/5)</f>
        <v>0</v>
      </c>
      <c r="AS45" s="1005"/>
      <c r="AT45" s="252" t="str">
        <f>IF(AND(IFERROR(AJ45&gt;0,FALSE),IFERROR(AL45&gt;0,FALSE)),"混点！ ","")&amp;IF(AND(IFERROR(AJ45&gt;0,FALSE),Z45&lt;&gt;"★"),"非本职职业！","")</f>
        <v/>
      </c>
      <c r="AU45" s="1034"/>
      <c r="AV45" s="996"/>
      <c r="AW45" s="996"/>
      <c r="AX45" s="996"/>
      <c r="AY45" s="996"/>
      <c r="AZ45" s="996"/>
      <c r="BA45" s="996"/>
      <c r="BB45" s="996"/>
      <c r="BC45" s="996"/>
      <c r="BD45" s="996"/>
      <c r="BE45" s="996"/>
      <c r="BF45" s="996"/>
      <c r="BG45" s="996"/>
      <c r="BH45" s="996"/>
      <c r="BI45" s="996"/>
      <c r="BJ45" s="996"/>
      <c r="BK45" s="996"/>
      <c r="BL45" s="996"/>
      <c r="BM45" s="996"/>
      <c r="BN45" s="996"/>
      <c r="BO45" s="996"/>
      <c r="BP45" s="996"/>
      <c r="BQ45" s="996"/>
      <c r="BR45" s="1013"/>
    </row>
    <row r="46" spans="1:70" ht="18" customHeight="1">
      <c r="A46" s="230" t="str">
        <f>IF(AND(IFERROR(N46&gt;0,FALSE),IFERROR(P46&gt;0,FALSE)),"混点！ ","")&amp;IF(AND(IFERROR(N46&gt;0,FALSE),D46&lt;&gt;"★"),"非本职职业！","")</f>
        <v/>
      </c>
      <c r="B46" s="1085" t="s">
        <v>59</v>
      </c>
      <c r="C46" s="1000"/>
      <c r="D46" s="1017" t="str">
        <f>IFERROR(IF(ISTEXT(IFERROR(VLOOKUP(人物卡!F46,人物卡!BJ18:BR22,1,FALSE),IFERROR(VLOOKUP(人物卡!F46,人物卡!BA18:BC22,1,FALSE),0))),"★",INDEX(本职技能!$A$2:$HX$76,MATCH(人物卡!F46,本职技能!$A$2:$A$75,0),MATCH(人物卡!$M$5,本职技能!$A$1:$HX$1,0))),0)</f>
        <v/>
      </c>
      <c r="E46" s="1000"/>
      <c r="F46" s="1062" t="s">
        <v>152</v>
      </c>
      <c r="G46" s="1000"/>
      <c r="H46" s="1177"/>
      <c r="I46" s="1000"/>
      <c r="J46" s="1002">
        <v>1</v>
      </c>
      <c r="K46" s="1000"/>
      <c r="L46" s="2250"/>
      <c r="M46" s="2250"/>
      <c r="N46" s="1002"/>
      <c r="O46" s="1000"/>
      <c r="P46" s="1002"/>
      <c r="Q46" s="1000"/>
      <c r="R46" s="1004" t="n">
        <f>SUM(J46:Q46)</f>
        <v>1</v>
      </c>
      <c r="S46" s="1000"/>
      <c r="T46" s="1002" t="n">
        <f>INT(R46/2)</f>
        <v>0</v>
      </c>
      <c r="U46" s="1000"/>
      <c r="V46" s="1002" t="n">
        <f>INT(R46/5)</f>
        <v>0</v>
      </c>
      <c r="W46" s="1000"/>
      <c r="X46" s="1009" t="s">
        <v>59</v>
      </c>
      <c r="Y46" s="1000"/>
      <c r="Z46" s="1017" t="str">
        <f>IFERROR(IF(ISTEXT(IFERROR(VLOOKUP(人物卡!AB46,人物卡!BJ18:BR22,1,FALSE),IFERROR(VLOOKUP(人物卡!AB46,人物卡!BA18:BC22,1,FALSE),0))),"★",INDEX(本职技能!$A$2:$HX$76,MATCH(人物卡!AB46,本职技能!$A$2:$A$75,0),MATCH(人物卡!$M$5,本职技能!$A$1:$HX$1,0))),0)</f>
        <v/>
      </c>
      <c r="AA46" s="1000"/>
      <c r="AB46" s="1233" t="s">
        <v>153</v>
      </c>
      <c r="AC46" s="1007"/>
      <c r="AD46" s="1007"/>
      <c r="AE46" s="1000"/>
      <c r="AF46" s="1002">
        <v>1</v>
      </c>
      <c r="AG46" s="1000"/>
      <c r="AH46" s="2250"/>
      <c r="AI46" s="2250"/>
      <c r="AJ46" s="1002"/>
      <c r="AK46" s="1000"/>
      <c r="AL46" s="1004"/>
      <c r="AM46" s="1000"/>
      <c r="AN46" s="1004" t="n">
        <f>SUM(AF46:AM46)</f>
        <v>1</v>
      </c>
      <c r="AO46" s="1000"/>
      <c r="AP46" s="1004" t="n">
        <f>INT(AN46/2)</f>
        <v>0</v>
      </c>
      <c r="AQ46" s="1000"/>
      <c r="AR46" s="1004" t="n">
        <f>INT(AN46/5)</f>
        <v>0</v>
      </c>
      <c r="AS46" s="1005"/>
      <c r="AT46" s="252" t="str">
        <f>IF(AND(IFERROR(AJ46&gt;0,FALSE),IFERROR(AL46&gt;0,FALSE)),"混点！ ","")&amp;IF(AND(IFERROR(AJ46&gt;0,FALSE),Z46&lt;&gt;"★"),"非本职职业！","")</f>
        <v/>
      </c>
      <c r="AU46" s="1034"/>
      <c r="AV46" s="996"/>
      <c r="AW46" s="996"/>
      <c r="AX46" s="996"/>
      <c r="AY46" s="996"/>
      <c r="AZ46" s="996"/>
      <c r="BA46" s="996"/>
      <c r="BB46" s="996"/>
      <c r="BC46" s="996"/>
      <c r="BD46" s="996"/>
      <c r="BE46" s="996"/>
      <c r="BF46" s="996"/>
      <c r="BG46" s="996"/>
      <c r="BH46" s="996"/>
      <c r="BI46" s="996"/>
      <c r="BJ46" s="996"/>
      <c r="BK46" s="996"/>
      <c r="BL46" s="996"/>
      <c r="BM46" s="996"/>
      <c r="BN46" s="996"/>
      <c r="BO46" s="996"/>
      <c r="BP46" s="996"/>
      <c r="BQ46" s="996"/>
      <c r="BR46" s="1013"/>
    </row>
    <row r="47" spans="1:70" ht="18" customHeight="1">
      <c r="A47" s="230" t="str">
        <f>IF(AND(IFERROR(N47&gt;0,FALSE),IFERROR(P47&gt;0,FALSE)),"混点！ ","")&amp;IF(AND(IFERROR(N47&gt;0,FALSE),D47&lt;&gt;"★"),"非本职职业！","")</f>
        <v/>
      </c>
      <c r="B47" s="1111" t="s">
        <v>59</v>
      </c>
      <c r="C47" s="1000"/>
      <c r="D47" s="1021" t="str">
        <f>IFERROR(IF(ISTEXT(IFERROR(VLOOKUP(人物卡!F47,人物卡!BJ18:BR22,1,FALSE),IFERROR(VLOOKUP(人物卡!F47,人物卡!BA18:BC22,1,FALSE),0))),"★",INDEX(本职技能!$A$2:$HX$76,MATCH(人物卡!F47,本职技能!$A$2:$A$75,0),MATCH(人物卡!$M$5,本职技能!$A$1:$HX$1,0))),0)</f>
        <v/>
      </c>
      <c r="E47" s="1000"/>
      <c r="F47" s="1076" t="s">
        <v>154</v>
      </c>
      <c r="G47" s="1000"/>
      <c r="H47" s="1057"/>
      <c r="I47" s="1000"/>
      <c r="J47" s="999">
        <v>1</v>
      </c>
      <c r="K47" s="1000"/>
      <c r="L47" s="2251"/>
      <c r="M47" s="2251"/>
      <c r="N47" s="999"/>
      <c r="O47" s="1000"/>
      <c r="P47" s="999"/>
      <c r="Q47" s="1000"/>
      <c r="R47" s="1010" t="n">
        <f>SUM(J47:Q47)</f>
        <v>1</v>
      </c>
      <c r="S47" s="1000"/>
      <c r="T47" s="999" t="n">
        <f>INT(R47/2)</f>
        <v>0</v>
      </c>
      <c r="U47" s="1000"/>
      <c r="V47" s="999" t="n">
        <f>INT(R47/5)</f>
        <v>0</v>
      </c>
      <c r="W47" s="1000"/>
      <c r="X47" s="1053" t="s">
        <v>59</v>
      </c>
      <c r="Y47" s="1000"/>
      <c r="Z47" s="1001" t="str">
        <f>IFERROR(IF(ISTEXT(IFERROR(VLOOKUP(人物卡!AB47,人物卡!BJ18:BR22,1,FALSE),IFERROR(VLOOKUP(人物卡!AB47,人物卡!BA18:BC22,1,FALSE),0))),"★",INDEX(本职技能!$A$2:$HX$76,MATCH(人物卡!AB47,本职技能!$A$2:$A$75,0),MATCH(人物卡!$M$5,本职技能!$A$1:$HX$1,0))),0)</f>
        <v/>
      </c>
      <c r="AA47" s="1000"/>
      <c r="AB47" s="1303" t="s">
        <v>155</v>
      </c>
      <c r="AC47" s="1000"/>
      <c r="AD47" s="1094"/>
      <c r="AE47" s="1000"/>
      <c r="AF47" s="999">
        <v>1</v>
      </c>
      <c r="AG47" s="1000"/>
      <c r="AH47" s="2251"/>
      <c r="AI47" s="2251"/>
      <c r="AJ47" s="999"/>
      <c r="AK47" s="1000"/>
      <c r="AL47" s="1010"/>
      <c r="AM47" s="1000"/>
      <c r="AN47" s="1010" t="n">
        <f>SUM(AF47:AM47)</f>
        <v>1</v>
      </c>
      <c r="AO47" s="1000"/>
      <c r="AP47" s="1010" t="n">
        <f>INT(AN47/2)</f>
        <v>0</v>
      </c>
      <c r="AQ47" s="1000"/>
      <c r="AR47" s="1010" t="n">
        <f>INT(AN47/5)</f>
        <v>0</v>
      </c>
      <c r="AS47" s="1005"/>
      <c r="AT47" s="364" t="str">
        <f>IF(AND(IFERROR(AJ47&gt;0,FALSE),IFERROR(AL47&gt;0,FALSE)),"混点！ ","")&amp;IF(AND(IFERROR(AJ47&gt;0,FALSE),Z47&lt;&gt;"★"),"非本职职业！","")</f>
        <v/>
      </c>
      <c r="AU47" s="1034"/>
      <c r="AV47" s="996"/>
      <c r="AW47" s="996"/>
      <c r="AX47" s="996"/>
      <c r="AY47" s="996"/>
      <c r="AZ47" s="996"/>
      <c r="BA47" s="996"/>
      <c r="BB47" s="996"/>
      <c r="BC47" s="996"/>
      <c r="BD47" s="996"/>
      <c r="BE47" s="996"/>
      <c r="BF47" s="996"/>
      <c r="BG47" s="996"/>
      <c r="BH47" s="996"/>
      <c r="BI47" s="996"/>
      <c r="BJ47" s="996"/>
      <c r="BK47" s="996"/>
      <c r="BL47" s="996"/>
      <c r="BM47" s="996"/>
      <c r="BN47" s="996"/>
      <c r="BO47" s="996"/>
      <c r="BP47" s="996"/>
      <c r="BQ47" s="996"/>
      <c r="BR47" s="1013"/>
    </row>
    <row r="48" spans="1:70" ht="18" customHeight="1">
      <c r="A48" s="230" t="str">
        <f>IF(AND(IFERROR(N48&gt;0,FALSE),IFERROR(P48&gt;0,FALSE)),"混点！ ","")&amp;IF(AND(IFERROR(N48&gt;0,FALSE),D48&lt;&gt;"★"),"非本职职业！","")</f>
        <v/>
      </c>
      <c r="B48" s="1085" t="s">
        <v>59</v>
      </c>
      <c r="C48" s="1000"/>
      <c r="D48" s="1017" t="str">
        <f>IFERROR(IF(ISTEXT(IFERROR(VLOOKUP(F48,人物卡!BJ18:BR22,1,FALSE),IFERROR(VLOOKUP(F48,人物卡!BA18:BC22,1,FALSE),0))),"★",INDEX(本职技能!$A$2:$HX$76,MATCH(F48,本职技能!$A$2:$A$75,0),MATCH(人物卡!$M$5,本职技能!$A$1:$HX$1,0))),0)</f>
        <v/>
      </c>
      <c r="E48" s="1000"/>
      <c r="F48" s="1062" t="s">
        <v>156</v>
      </c>
      <c r="G48" s="1000"/>
      <c r="H48" s="1177"/>
      <c r="I48" s="1000"/>
      <c r="J48" s="1002">
        <v>1</v>
      </c>
      <c r="K48" s="1000"/>
      <c r="L48" s="2250"/>
      <c r="M48" s="2250"/>
      <c r="N48" s="1002"/>
      <c r="O48" s="1000"/>
      <c r="P48" s="1002"/>
      <c r="Q48" s="1000"/>
      <c r="R48" s="1004" t="n">
        <f>SUM(J48:Q48)</f>
        <v>1</v>
      </c>
      <c r="S48" s="1000"/>
      <c r="T48" s="1002" t="n">
        <f>INT(R48/2)</f>
        <v>0</v>
      </c>
      <c r="U48" s="1000"/>
      <c r="V48" s="1002" t="n">
        <f>INT(R48/5)</f>
        <v>0</v>
      </c>
      <c r="W48" s="1000"/>
      <c r="X48" s="1009" t="s">
        <v>59</v>
      </c>
      <c r="Y48" s="1000"/>
      <c r="Z48" s="1003" t="str">
        <f>IFERROR(IF(ISTEXT(IFERROR(VLOOKUP(AB48,人物卡!BJ18:BR22,1,FALSE),IFERROR(VLOOKUP(AB48,人物卡!BA18:BC22,1,FALSE),0))),"★",INDEX(本职技能!$A$2:$HX$76,MATCH(AB48,本职技能!$A$2:$A$75,0),MATCH(人物卡!$M$5,本职技能!$A$1:$HX$1,0))),0)</f>
        <v/>
      </c>
      <c r="AA48" s="1000"/>
      <c r="AB48" s="1265" t="s">
        <v>157</v>
      </c>
      <c r="AC48" s="1007"/>
      <c r="AD48" s="1007"/>
      <c r="AE48" s="1000"/>
      <c r="AF48" s="1002"/>
      <c r="AG48" s="1000"/>
      <c r="AH48" s="2250"/>
      <c r="AI48" s="2250"/>
      <c r="AJ48" s="1002"/>
      <c r="AK48" s="1000"/>
      <c r="AL48" s="1004"/>
      <c r="AM48" s="1000"/>
      <c r="AN48" s="1004" t="n">
        <f>SUM(AF48:AM48)</f>
        <v>0</v>
      </c>
      <c r="AO48" s="1000"/>
      <c r="AP48" s="1004" t="n">
        <f>INT(AN48/2)</f>
        <v>0</v>
      </c>
      <c r="AQ48" s="1000"/>
      <c r="AR48" s="1004" t="n">
        <f>INT(AN48/5)</f>
        <v>0</v>
      </c>
      <c r="AS48" s="1005"/>
      <c r="AT48" s="364" t="str">
        <f>IF(AND(IFERROR(AJ48&gt;0,FALSE),IFERROR(AL48&gt;0,FALSE)),"混点！ ","")&amp;IF(AND(IFERROR(AJ48&gt;0,FALSE),Z48&lt;&gt;"★"),"非本职职业！","")</f>
        <v/>
      </c>
      <c r="AU48" s="1034"/>
      <c r="AV48" s="996"/>
      <c r="AW48" s="996"/>
      <c r="AX48" s="996"/>
      <c r="AY48" s="996"/>
      <c r="AZ48" s="996"/>
      <c r="BA48" s="996"/>
      <c r="BB48" s="996"/>
      <c r="BC48" s="996"/>
      <c r="BD48" s="996"/>
      <c r="BE48" s="996"/>
      <c r="BF48" s="996"/>
      <c r="BG48" s="996"/>
      <c r="BH48" s="996"/>
      <c r="BI48" s="996"/>
      <c r="BJ48" s="996"/>
      <c r="BK48" s="996"/>
      <c r="BL48" s="996"/>
      <c r="BM48" s="996"/>
      <c r="BN48" s="996"/>
      <c r="BO48" s="996"/>
      <c r="BP48" s="996"/>
      <c r="BQ48" s="996"/>
      <c r="BR48" s="1013"/>
    </row>
    <row r="49" spans="1:70" ht="18" customHeight="1" thickBot="1">
      <c r="A49" s="230" t="str">
        <f>IF(AND(IFERROR(N49&gt;0,FALSE),IFERROR(P49&gt;0,FALSE)),"混点！ ","")&amp;IF(AND(IFERROR(N49&gt;0,FALSE),D49&lt;&gt;"★"),"非本职职业！","")</f>
        <v/>
      </c>
      <c r="B49" s="1179" t="s">
        <v>59</v>
      </c>
      <c r="C49" s="1064"/>
      <c r="D49" s="1223" t="str">
        <f>IFERROR(IF(ISTEXT(IFERROR(VLOOKUP(人物卡!F49,人物卡!BJ18:BR22,1,FALSE),IFERROR(VLOOKUP(人物卡!F49,人物卡!BA18:BC22,1,FALSE),0))),"★",INDEX(本职技能!$A$2:$HX$76,MATCH(人物卡!F49,本职技能!$A$2:$A$75,0),MATCH(人物卡!$M$5,本职技能!$A$1:$HX$1,0))),0)</f>
        <v/>
      </c>
      <c r="E49" s="1064"/>
      <c r="F49" s="1258" t="s">
        <v>158</v>
      </c>
      <c r="G49" s="1064"/>
      <c r="H49" s="1216"/>
      <c r="I49" s="1064"/>
      <c r="J49" s="1074" t="n">
        <f>AG5</f>
        <v>0</v>
      </c>
      <c r="K49" s="1064"/>
      <c r="L49" s="2252"/>
      <c r="M49" s="2252"/>
      <c r="N49" s="1074"/>
      <c r="O49" s="1064"/>
      <c r="P49" s="1074"/>
      <c r="Q49" s="1064"/>
      <c r="R49" s="1169" t="n">
        <f>SUM(J49:Q49)</f>
        <v>0</v>
      </c>
      <c r="S49" s="1064"/>
      <c r="T49" s="1074" t="n">
        <f>INT(R49/2)</f>
        <v>0</v>
      </c>
      <c r="U49" s="1064"/>
      <c r="V49" s="1074" t="n">
        <f>INT(R49/5)</f>
        <v>0</v>
      </c>
      <c r="W49" s="1064"/>
      <c r="X49" s="1305" t="s">
        <v>59</v>
      </c>
      <c r="Y49" s="1064"/>
      <c r="Z49" s="1063" t="n">
        <f>IFERROR(IF(ISTEXT(IFERROR(VLOOKUP(AB49,人物卡!BJ18:BR22,1,FALSE),IFERROR(VLOOKUP(AB49,人物卡!BA18:BC22,1,FALSE),0))),"★",INDEX(本职技能!$A$2:$HX$76,MATCH(AB49,本职技能!$A$2:$A$75,0),MATCH(人物卡!$M$5,本职技能!$A$1:$HX$1,0))),0)</f>
        <v>0</v>
      </c>
      <c r="AA49" s="1064"/>
      <c r="AB49" s="1278"/>
      <c r="AC49" s="1096"/>
      <c r="AD49" s="1096"/>
      <c r="AE49" s="1064"/>
      <c r="AF49" s="1074"/>
      <c r="AG49" s="1064"/>
      <c r="AH49" s="2252"/>
      <c r="AI49" s="2252"/>
      <c r="AJ49" s="1074"/>
      <c r="AK49" s="1064"/>
      <c r="AL49" s="1169"/>
      <c r="AM49" s="1064"/>
      <c r="AN49" s="1169" t="n">
        <f>SUM(AF49:AM49)</f>
        <v>0</v>
      </c>
      <c r="AO49" s="1064"/>
      <c r="AP49" s="1169" t="n">
        <f>INT(AN49/2)</f>
        <v>0</v>
      </c>
      <c r="AQ49" s="1064"/>
      <c r="AR49" s="1169" t="n">
        <f>INT(AN49/5)</f>
        <v>0</v>
      </c>
      <c r="AS49" s="1170"/>
      <c r="AT49" s="364" t="str">
        <f>IF(AND(IFERROR(AJ49&gt;0,FALSE),IFERROR(AL49&gt;0,FALSE)),"混点！ ","")&amp;IF(AND(IFERROR(AJ49&gt;0,FALSE),Z49&lt;&gt;"★"),"非本职职业！","")</f>
        <v/>
      </c>
      <c r="AU49" s="1034"/>
      <c r="AV49" s="996"/>
      <c r="AW49" s="996"/>
      <c r="AX49" s="996"/>
      <c r="AY49" s="996"/>
      <c r="AZ49" s="996"/>
      <c r="BA49" s="996"/>
      <c r="BB49" s="996"/>
      <c r="BC49" s="996"/>
      <c r="BD49" s="996"/>
      <c r="BE49" s="996"/>
      <c r="BF49" s="996"/>
      <c r="BG49" s="996"/>
      <c r="BH49" s="996"/>
      <c r="BI49" s="996"/>
      <c r="BJ49" s="996"/>
      <c r="BK49" s="996"/>
      <c r="BL49" s="996"/>
      <c r="BM49" s="996"/>
      <c r="BN49" s="996"/>
      <c r="BO49" s="996"/>
      <c r="BP49" s="996"/>
      <c r="BQ49" s="996"/>
      <c r="BR49" s="1013"/>
    </row>
    <row r="50" spans="1:70" ht="18" customHeight="1" thickBot="1">
      <c r="B50" s="1049" t="str">
        <f>IF(M5=0,"","职业信用范围："&amp;LOOKUP(M5,职业列表!A2:A232,职业列表!D2:D232))</f>
        <v>职业信用范围：</v>
      </c>
      <c r="C50" s="996"/>
      <c r="D50" s="996"/>
      <c r="E50" s="996"/>
      <c r="F50" s="996"/>
      <c r="G50" s="996"/>
      <c r="H50" s="996"/>
      <c r="I50" s="374"/>
      <c r="J50" s="1044" t="str">
        <f>IF(M5=0,"","本职属性："&amp;附表!J52&amp;"   剩余职业点="&amp;(附表!J53-SUM(N16:O49,AJ16:AK49))&amp;"   剩余兴趣点="&amp;(AA7*2-SUM(P16:Q49,AL16:AM49)))&amp;IF(F113=附表!B26,"","   剩余经历包点="&amp;IF(ISNUMBER(附表!D34),附表!D34-SUM(M16:M49,AI16:AI49),附表!D34))</f>
        <v>本职属性：[教育×4]   剩余职业点=0   剩余兴趣点=0</v>
      </c>
      <c r="K50" s="996"/>
      <c r="L50" s="996"/>
      <c r="M50" s="996"/>
      <c r="N50" s="996"/>
      <c r="O50" s="996"/>
      <c r="P50" s="996"/>
      <c r="Q50" s="996"/>
      <c r="R50" s="996"/>
      <c r="S50" s="996"/>
      <c r="T50" s="996"/>
      <c r="U50" s="996"/>
      <c r="V50" s="996"/>
      <c r="W50" s="996"/>
      <c r="X50" s="996"/>
      <c r="Y50" s="996"/>
      <c r="Z50" s="996"/>
      <c r="AA50" s="996"/>
      <c r="AB50" s="996"/>
      <c r="AC50" s="996"/>
      <c r="AD50" s="996"/>
      <c r="AE50" s="996"/>
      <c r="AF50" s="996"/>
      <c r="AG50" s="996"/>
      <c r="AH50" s="996"/>
      <c r="AI50" s="996"/>
      <c r="AJ50" s="996"/>
      <c r="AK50" s="996"/>
      <c r="AL50" s="996"/>
      <c r="AM50" s="996"/>
      <c r="AN50" s="996"/>
      <c r="AO50" s="996"/>
      <c r="AP50" s="996"/>
      <c r="AQ50" s="996"/>
      <c r="AR50" s="996"/>
      <c r="AS50" s="996"/>
      <c r="AT50" s="364"/>
      <c r="AU50" s="1034"/>
      <c r="AV50" s="996"/>
      <c r="AW50" s="996"/>
      <c r="AX50" s="996"/>
      <c r="AY50" s="996"/>
      <c r="AZ50" s="996"/>
      <c r="BA50" s="996"/>
      <c r="BB50" s="996"/>
      <c r="BC50" s="996"/>
      <c r="BD50" s="996"/>
      <c r="BE50" s="996"/>
      <c r="BF50" s="996"/>
      <c r="BG50" s="996"/>
      <c r="BH50" s="996"/>
      <c r="BI50" s="996"/>
      <c r="BJ50" s="996"/>
      <c r="BK50" s="996"/>
      <c r="BL50" s="996"/>
      <c r="BM50" s="996"/>
      <c r="BN50" s="996"/>
      <c r="BO50" s="996"/>
      <c r="BP50" s="996"/>
      <c r="BQ50" s="996"/>
      <c r="BR50" s="1013"/>
    </row>
    <row r="51" spans="1:70" ht="18" customHeight="1">
      <c r="B51" s="1022" t="s">
        <v>159</v>
      </c>
      <c r="C51" s="1023"/>
      <c r="D51" s="1023"/>
      <c r="E51" s="1023"/>
      <c r="F51" s="1023"/>
      <c r="G51" s="1023"/>
      <c r="H51" s="1023"/>
      <c r="I51" s="1023"/>
      <c r="J51" s="1023"/>
      <c r="K51" s="1023"/>
      <c r="L51" s="1023"/>
      <c r="M51" s="1023"/>
      <c r="N51" s="1023"/>
      <c r="O51" s="1023"/>
      <c r="P51" s="1023"/>
      <c r="Q51" s="1023"/>
      <c r="R51" s="1023"/>
      <c r="S51" s="1023"/>
      <c r="T51" s="1023"/>
      <c r="U51" s="1023"/>
      <c r="V51" s="1023"/>
      <c r="W51" s="1023"/>
      <c r="X51" s="1023"/>
      <c r="Y51" s="1023"/>
      <c r="Z51" s="1023"/>
      <c r="AA51" s="1023"/>
      <c r="AB51" s="1023"/>
      <c r="AC51" s="1023"/>
      <c r="AD51" s="1023"/>
      <c r="AE51" s="1023"/>
      <c r="AF51" s="1023"/>
      <c r="AG51" s="1023"/>
      <c r="AH51" s="1023"/>
      <c r="AI51" s="1023"/>
      <c r="AJ51" s="1023"/>
      <c r="AK51" s="1045"/>
      <c r="AM51" s="1193" t="s">
        <v>160</v>
      </c>
      <c r="AN51" s="1129"/>
      <c r="AO51" s="1129"/>
      <c r="AP51" s="1129"/>
      <c r="AQ51" s="1129"/>
      <c r="AR51" s="1129"/>
      <c r="AS51" s="1129"/>
      <c r="AT51" s="364"/>
      <c r="AU51" s="1034"/>
      <c r="AV51" s="996"/>
      <c r="AW51" s="996"/>
      <c r="AX51" s="996"/>
      <c r="AY51" s="996"/>
      <c r="AZ51" s="996"/>
      <c r="BA51" s="996"/>
      <c r="BB51" s="996"/>
      <c r="BC51" s="996"/>
      <c r="BD51" s="996"/>
      <c r="BE51" s="996"/>
      <c r="BF51" s="996"/>
      <c r="BG51" s="996"/>
      <c r="BH51" s="996"/>
      <c r="BI51" s="996"/>
      <c r="BJ51" s="996"/>
      <c r="BK51" s="996"/>
      <c r="BL51" s="996"/>
      <c r="BM51" s="996"/>
      <c r="BN51" s="996"/>
      <c r="BO51" s="996"/>
      <c r="BP51" s="996"/>
      <c r="BQ51" s="996"/>
      <c r="BR51" s="1013"/>
    </row>
    <row r="52" spans="1:70" ht="18" customHeight="1">
      <c r="B52" s="1249" t="s">
        <v>161</v>
      </c>
      <c r="C52" s="1007"/>
      <c r="D52" s="1007"/>
      <c r="E52" s="1007"/>
      <c r="F52" s="1000"/>
      <c r="G52" s="1011" t="s">
        <v>162</v>
      </c>
      <c r="H52" s="1007"/>
      <c r="I52" s="1007"/>
      <c r="J52" s="1007"/>
      <c r="K52" s="1007"/>
      <c r="L52" s="1000"/>
      <c r="M52" s="1011" t="s">
        <v>163</v>
      </c>
      <c r="N52" s="1007"/>
      <c r="O52" s="1007"/>
      <c r="P52" s="1000"/>
      <c r="Q52" s="1011" t="s">
        <v>164</v>
      </c>
      <c r="R52" s="1007"/>
      <c r="S52" s="1007"/>
      <c r="T52" s="1007"/>
      <c r="U52" s="1007"/>
      <c r="V52" s="1000"/>
      <c r="W52" s="1011" t="s">
        <v>165</v>
      </c>
      <c r="X52" s="1007"/>
      <c r="Y52" s="1007"/>
      <c r="Z52" s="1000"/>
      <c r="AA52" s="1011" t="s">
        <v>166</v>
      </c>
      <c r="AB52" s="1000"/>
      <c r="AC52" s="1011" t="s">
        <v>167</v>
      </c>
      <c r="AD52" s="1000"/>
      <c r="AE52" s="1011" t="s">
        <v>168</v>
      </c>
      <c r="AF52" s="1000"/>
      <c r="AG52" s="1011" t="s">
        <v>169</v>
      </c>
      <c r="AH52" s="1007"/>
      <c r="AI52" s="1000"/>
      <c r="AJ52" s="1011" t="s">
        <v>170</v>
      </c>
      <c r="AK52" s="1005"/>
      <c r="AM52" s="1242" t="s">
        <v>171</v>
      </c>
      <c r="AN52" s="1129"/>
      <c r="AO52" s="1129"/>
      <c r="AP52" s="1307" t="str">
        <f>附表!P9</f>
        <v>0</v>
      </c>
      <c r="AQ52" s="1129"/>
      <c r="AR52" s="1129"/>
      <c r="AS52" s="1129"/>
      <c r="AU52" s="1034"/>
      <c r="AV52" s="996"/>
      <c r="AW52" s="996"/>
      <c r="AX52" s="996"/>
      <c r="AY52" s="996"/>
      <c r="AZ52" s="996"/>
      <c r="BA52" s="996"/>
      <c r="BB52" s="996"/>
      <c r="BC52" s="996"/>
      <c r="BD52" s="996"/>
      <c r="BE52" s="996"/>
      <c r="BF52" s="996"/>
      <c r="BG52" s="996"/>
      <c r="BH52" s="996"/>
      <c r="BI52" s="996"/>
      <c r="BJ52" s="996"/>
      <c r="BK52" s="996"/>
      <c r="BL52" s="996"/>
      <c r="BM52" s="996"/>
      <c r="BN52" s="996"/>
      <c r="BO52" s="996"/>
      <c r="BP52" s="996"/>
      <c r="BQ52" s="996"/>
      <c r="BR52" s="1013"/>
    </row>
    <row r="53" spans="1:70" ht="18" customHeight="1">
      <c r="B53" s="1200" t="s">
        <v>172</v>
      </c>
      <c r="C53" s="1007"/>
      <c r="D53" s="1007"/>
      <c r="E53" s="1007"/>
      <c r="F53" s="1000"/>
      <c r="G53" s="1056" t="s">
        <v>173</v>
      </c>
      <c r="H53" s="1007"/>
      <c r="I53" s="1007"/>
      <c r="J53" s="1007"/>
      <c r="K53" s="1007"/>
      <c r="L53" s="1000"/>
      <c r="M53" s="1056" t="s">
        <v>120</v>
      </c>
      <c r="N53" s="1007"/>
      <c r="O53" s="1007"/>
      <c r="P53" s="1000"/>
      <c r="Q53" s="1172" t="n">
        <f>R34</f>
        <v>25</v>
      </c>
      <c r="R53" s="1000"/>
      <c r="S53" s="1056" t="n">
        <f>INT(Q53/2)</f>
        <v>12</v>
      </c>
      <c r="T53" s="1000"/>
      <c r="U53" s="1056" t="n">
        <f>INT(Q53/5)</f>
        <v>5</v>
      </c>
      <c r="V53" s="1000"/>
      <c r="W53" s="1056" t="s">
        <v>174</v>
      </c>
      <c r="X53" s="1007"/>
      <c r="Y53" s="1007"/>
      <c r="Z53" s="1000"/>
      <c r="AA53" s="1056" t="s">
        <v>92</v>
      </c>
      <c r="AB53" s="1000"/>
      <c r="AC53" s="1056" t="s">
        <v>175</v>
      </c>
      <c r="AD53" s="1000"/>
      <c r="AE53" s="1056">
        <v>1</v>
      </c>
      <c r="AF53" s="1000"/>
      <c r="AG53" s="1056" t="s">
        <v>92</v>
      </c>
      <c r="AH53" s="1007"/>
      <c r="AI53" s="1000"/>
      <c r="AJ53" s="1056" t="s">
        <v>92</v>
      </c>
      <c r="AK53" s="1005"/>
      <c r="AM53" s="1129"/>
      <c r="AN53" s="1243"/>
      <c r="AO53" s="1129"/>
      <c r="AP53" s="1129"/>
      <c r="AQ53" s="1243"/>
      <c r="AR53" s="1243"/>
      <c r="AS53" s="1129"/>
      <c r="AU53" s="1034"/>
      <c r="AV53" s="996"/>
      <c r="AW53" s="996"/>
      <c r="AX53" s="996"/>
      <c r="AY53" s="996"/>
      <c r="AZ53" s="996"/>
      <c r="BA53" s="996"/>
      <c r="BB53" s="996"/>
      <c r="BC53" s="996"/>
      <c r="BD53" s="996"/>
      <c r="BE53" s="996"/>
      <c r="BF53" s="996"/>
      <c r="BG53" s="996"/>
      <c r="BH53" s="996"/>
      <c r="BI53" s="996"/>
      <c r="BJ53" s="996"/>
      <c r="BK53" s="996"/>
      <c r="BL53" s="996"/>
      <c r="BM53" s="996"/>
      <c r="BN53" s="996"/>
      <c r="BO53" s="996"/>
      <c r="BP53" s="996"/>
      <c r="BQ53" s="996"/>
      <c r="BR53" s="1013"/>
    </row>
    <row r="54" spans="1:70" ht="18" customHeight="1">
      <c r="B54" s="1067"/>
      <c r="C54" s="1007"/>
      <c r="D54" s="1007"/>
      <c r="E54" s="1007"/>
      <c r="F54" s="1000"/>
      <c r="G54" s="1086"/>
      <c r="H54" s="1007"/>
      <c r="I54" s="1007"/>
      <c r="J54" s="1007"/>
      <c r="K54" s="1007"/>
      <c r="L54" s="1000"/>
      <c r="M54" s="1086" t="str">
        <f>IF($G54=0,"←请选择类型",VLOOKUP($G54,'武器列表 战斗'!$B$2:$I$105,2,FALSE))</f>
        <v>←请选择类型</v>
      </c>
      <c r="N54" s="1007"/>
      <c r="O54" s="1007"/>
      <c r="P54" s="1000"/>
      <c r="Q54" s="1054" t="str">
        <f>附表!AV15</f>
        <v/>
      </c>
      <c r="R54" s="1000"/>
      <c r="S54" s="1086" t="str">
        <f>IF(Q54="","",INT(Q54/2))</f>
        <v/>
      </c>
      <c r="T54" s="1000"/>
      <c r="U54" s="1086" t="str">
        <f>IF(Q54="","",INT(Q54/5))</f>
        <v/>
      </c>
      <c r="V54" s="1000"/>
      <c r="W54" s="1086" t="str">
        <f>IF($G54=0,"",VLOOKUP($G54,'武器列表 战斗'!$B$2:$I$105,3,FALSE))</f>
        <v/>
      </c>
      <c r="X54" s="1007"/>
      <c r="Y54" s="1007"/>
      <c r="Z54" s="1000"/>
      <c r="AA54" s="1086" t="str">
        <f>IF($G54=0,"",VLOOKUP($G54,'武器列表 战斗'!$B$2:$I$105,4,FALSE))</f>
        <v/>
      </c>
      <c r="AB54" s="1000"/>
      <c r="AC54" s="1086" t="str">
        <f>IF($G54=0,"",VLOOKUP($G54,'武器列表 战斗'!$B$2:$I$105,5,FALSE))</f>
        <v/>
      </c>
      <c r="AD54" s="1000"/>
      <c r="AE54" s="1086" t="str">
        <f>IF($G54=0,"",VLOOKUP($G54,'武器列表 战斗'!$B$2:$I$105,6,FALSE))</f>
        <v/>
      </c>
      <c r="AF54" s="1000"/>
      <c r="AG54" s="1086" t="str">
        <f>IF($G54=0,"",VLOOKUP($G54,'武器列表 战斗'!$B$2:$I$105,7,FALSE))</f>
        <v/>
      </c>
      <c r="AH54" s="1007"/>
      <c r="AI54" s="1000"/>
      <c r="AJ54" s="1086" t="str">
        <f>IF($G54=0,"",VLOOKUP($G54,'武器列表 战斗'!$B$2:$I$105,8,FALSE))</f>
        <v/>
      </c>
      <c r="AK54" s="1005"/>
      <c r="AM54" s="1129"/>
      <c r="AN54" s="1129"/>
      <c r="AO54" s="1129"/>
      <c r="AP54" s="1129"/>
      <c r="AQ54" s="1129"/>
      <c r="AR54" s="1129"/>
      <c r="AS54" s="1129"/>
      <c r="AU54" s="1034"/>
      <c r="AV54" s="996"/>
      <c r="AW54" s="996"/>
      <c r="AX54" s="996"/>
      <c r="AY54" s="996"/>
      <c r="AZ54" s="996"/>
      <c r="BA54" s="996"/>
      <c r="BB54" s="996"/>
      <c r="BC54" s="996"/>
      <c r="BD54" s="996"/>
      <c r="BE54" s="996"/>
      <c r="BF54" s="996"/>
      <c r="BG54" s="996"/>
      <c r="BH54" s="996"/>
      <c r="BI54" s="996"/>
      <c r="BJ54" s="996"/>
      <c r="BK54" s="996"/>
      <c r="BL54" s="996"/>
      <c r="BM54" s="996"/>
      <c r="BN54" s="996"/>
      <c r="BO54" s="996"/>
      <c r="BP54" s="996"/>
      <c r="BQ54" s="996"/>
      <c r="BR54" s="1013"/>
    </row>
    <row r="55" spans="1:70" ht="18" customHeight="1">
      <c r="B55" s="1200"/>
      <c r="C55" s="1007"/>
      <c r="D55" s="1007"/>
      <c r="E55" s="1007"/>
      <c r="F55" s="1000"/>
      <c r="G55" s="1056"/>
      <c r="H55" s="1007"/>
      <c r="I55" s="1007"/>
      <c r="J55" s="1007"/>
      <c r="K55" s="1007"/>
      <c r="L55" s="1000"/>
      <c r="M55" s="1056" t="str">
        <f>IF($G55=0,IF(M54="←请选择类型","","←请选择类型"),VLOOKUP($G55,'武器列表 战斗'!$B$2:$I$105,2,FALSE))</f>
        <v/>
      </c>
      <c r="N55" s="1007"/>
      <c r="O55" s="1007"/>
      <c r="P55" s="1000"/>
      <c r="Q55" s="1056" t="str">
        <f>附表!AV16</f>
        <v/>
      </c>
      <c r="R55" s="1000"/>
      <c r="S55" s="1056" t="str">
        <f>IF(Q55="","",INT(Q55/2))</f>
        <v/>
      </c>
      <c r="T55" s="1000"/>
      <c r="U55" s="1056" t="str">
        <f>IF(Q55="","",INT(Q55/5))</f>
        <v/>
      </c>
      <c r="V55" s="1000"/>
      <c r="W55" s="1056" t="str">
        <f>IF($G55=0,"",VLOOKUP($G55,'武器列表 战斗'!$B$2:$I$105,3,FALSE))</f>
        <v/>
      </c>
      <c r="X55" s="1007"/>
      <c r="Y55" s="1007"/>
      <c r="Z55" s="1000"/>
      <c r="AA55" s="1056" t="str">
        <f>IF($G55=0,"",VLOOKUP($G55,'武器列表 战斗'!$B$2:$I$105,4,FALSE))</f>
        <v/>
      </c>
      <c r="AB55" s="1000"/>
      <c r="AC55" s="1056" t="str">
        <f>IF($G55=0,"",VLOOKUP($G55,'武器列表 战斗'!$B$2:$I$105,5,FALSE))</f>
        <v/>
      </c>
      <c r="AD55" s="1000"/>
      <c r="AE55" s="1056" t="str">
        <f>IF($G55=0,"",VLOOKUP($G55,'武器列表 战斗'!$B$2:$I$105,6,FALSE))</f>
        <v/>
      </c>
      <c r="AF55" s="1000"/>
      <c r="AG55" s="1056" t="str">
        <f>IF($G55=0,"",VLOOKUP($G55,'武器列表 战斗'!$B$2:$I$105,7,FALSE))</f>
        <v/>
      </c>
      <c r="AH55" s="1007"/>
      <c r="AI55" s="1000"/>
      <c r="AJ55" s="1056" t="str">
        <f>IF($G55=0,"",VLOOKUP($G55,'武器列表 战斗'!$B$2:$I$105,8,FALSE))</f>
        <v/>
      </c>
      <c r="AK55" s="1005"/>
      <c r="AM55" s="1345" t="s">
        <v>176</v>
      </c>
      <c r="AN55" s="1129"/>
      <c r="AO55" s="1129"/>
      <c r="AP55" s="1128" t="str">
        <f>附表!P7</f>
        <v>0</v>
      </c>
      <c r="AQ55" s="1129"/>
      <c r="AR55" s="1129"/>
      <c r="AS55" s="1129"/>
      <c r="AU55" s="1034"/>
      <c r="AV55" s="996"/>
      <c r="AW55" s="996"/>
      <c r="AX55" s="996"/>
      <c r="AY55" s="996"/>
      <c r="AZ55" s="996"/>
      <c r="BA55" s="996"/>
      <c r="BB55" s="996"/>
      <c r="BC55" s="996"/>
      <c r="BD55" s="996"/>
      <c r="BE55" s="996"/>
      <c r="BF55" s="996"/>
      <c r="BG55" s="996"/>
      <c r="BH55" s="996"/>
      <c r="BI55" s="996"/>
      <c r="BJ55" s="996"/>
      <c r="BK55" s="996"/>
      <c r="BL55" s="996"/>
      <c r="BM55" s="996"/>
      <c r="BN55" s="996"/>
      <c r="BO55" s="996"/>
      <c r="BP55" s="996"/>
      <c r="BQ55" s="996"/>
      <c r="BR55" s="1013"/>
    </row>
    <row r="56" spans="1:70" ht="18" customHeight="1">
      <c r="B56" s="1067"/>
      <c r="C56" s="1007"/>
      <c r="D56" s="1007"/>
      <c r="E56" s="1007"/>
      <c r="F56" s="1000"/>
      <c r="G56" s="1086"/>
      <c r="H56" s="1007"/>
      <c r="I56" s="1007"/>
      <c r="J56" s="1007"/>
      <c r="K56" s="1007"/>
      <c r="L56" s="1000"/>
      <c r="M56" s="1054" t="str">
        <f>IF($G56=0,IF(OR(M54="←请选择类型",M55="←请选择类型"),"","←请选择类型"),VLOOKUP($G56,'武器列表 战斗'!$B$2:$I$105,2,FALSE))</f>
        <v/>
      </c>
      <c r="N56" s="1007"/>
      <c r="O56" s="1007"/>
      <c r="P56" s="1000"/>
      <c r="Q56" s="1086" t="str">
        <f>附表!AV17</f>
        <v/>
      </c>
      <c r="R56" s="1000"/>
      <c r="S56" s="1086" t="str">
        <f>IF(Q56="","",INT(Q56/2))</f>
        <v/>
      </c>
      <c r="T56" s="1000"/>
      <c r="U56" s="1086" t="str">
        <f>IF(Q56="","",INT(Q56/5))</f>
        <v/>
      </c>
      <c r="V56" s="1000"/>
      <c r="W56" s="1086" t="str">
        <f>IF($G56=0,"",VLOOKUP($G56,'武器列表 战斗'!$B$2:$I$105,3,FALSE))</f>
        <v/>
      </c>
      <c r="X56" s="1007"/>
      <c r="Y56" s="1007"/>
      <c r="Z56" s="1000"/>
      <c r="AA56" s="1086" t="str">
        <f>IF($G56=0,"",VLOOKUP($G56,'武器列表 战斗'!$B$2:$I$105,4,FALSE))</f>
        <v/>
      </c>
      <c r="AB56" s="1000"/>
      <c r="AC56" s="1086" t="str">
        <f>IF($G56=0,"",VLOOKUP($G56,'武器列表 战斗'!$B$2:$I$105,5,FALSE))</f>
        <v/>
      </c>
      <c r="AD56" s="1000"/>
      <c r="AE56" s="1086" t="str">
        <f>IF($G56=0,"",VLOOKUP($G56,'武器列表 战斗'!$B$2:$I$105,6,FALSE))</f>
        <v/>
      </c>
      <c r="AF56" s="1000"/>
      <c r="AG56" s="1086" t="str">
        <f>IF($G56=0,"",VLOOKUP($G56,'武器列表 战斗'!$B$2:$I$105,7,FALSE))</f>
        <v/>
      </c>
      <c r="AH56" s="1007"/>
      <c r="AI56" s="1000"/>
      <c r="AJ56" s="1086" t="str">
        <f>IF($G56=0,"",VLOOKUP($G56,'武器列表 战斗'!$B$2:$I$105,8,FALSE))</f>
        <v/>
      </c>
      <c r="AK56" s="1005"/>
      <c r="AM56" s="1129"/>
      <c r="AN56" s="1129"/>
      <c r="AO56" s="1129"/>
      <c r="AP56" s="1129"/>
      <c r="AQ56" s="1129"/>
      <c r="AR56" s="1129"/>
      <c r="AS56" s="1129"/>
      <c r="AU56" s="1034"/>
      <c r="AV56" s="996"/>
      <c r="AW56" s="996"/>
      <c r="AX56" s="996"/>
      <c r="AY56" s="996"/>
      <c r="AZ56" s="996"/>
      <c r="BA56" s="996"/>
      <c r="BB56" s="996"/>
      <c r="BC56" s="996"/>
      <c r="BD56" s="996"/>
      <c r="BE56" s="996"/>
      <c r="BF56" s="996"/>
      <c r="BG56" s="996"/>
      <c r="BH56" s="996"/>
      <c r="BI56" s="996"/>
      <c r="BJ56" s="996"/>
      <c r="BK56" s="996"/>
      <c r="BL56" s="996"/>
      <c r="BM56" s="996"/>
      <c r="BN56" s="996"/>
      <c r="BO56" s="996"/>
      <c r="BP56" s="996"/>
      <c r="BQ56" s="996"/>
      <c r="BR56" s="1013"/>
    </row>
    <row r="57" spans="1:70" ht="18" customHeight="1">
      <c r="B57" s="1200"/>
      <c r="C57" s="1007"/>
      <c r="D57" s="1007"/>
      <c r="E57" s="1007"/>
      <c r="F57" s="1000"/>
      <c r="G57" s="1056"/>
      <c r="H57" s="1007"/>
      <c r="I57" s="1007"/>
      <c r="J57" s="1007"/>
      <c r="K57" s="1007"/>
      <c r="L57" s="1000"/>
      <c r="M57" s="1056"/>
      <c r="N57" s="1007"/>
      <c r="O57" s="1007"/>
      <c r="P57" s="1000"/>
      <c r="Q57" s="1056"/>
      <c r="R57" s="1000"/>
      <c r="S57" s="1056"/>
      <c r="T57" s="1000"/>
      <c r="U57" s="1056"/>
      <c r="V57" s="1000"/>
      <c r="W57" s="1056"/>
      <c r="X57" s="1007"/>
      <c r="Y57" s="1007"/>
      <c r="Z57" s="1000"/>
      <c r="AA57" s="1056"/>
      <c r="AB57" s="1000"/>
      <c r="AC57" s="1056"/>
      <c r="AD57" s="1000"/>
      <c r="AE57" s="1056"/>
      <c r="AF57" s="1000"/>
      <c r="AG57" s="1056"/>
      <c r="AH57" s="1007"/>
      <c r="AI57" s="1000"/>
      <c r="AJ57" s="1056"/>
      <c r="AK57" s="1005"/>
      <c r="AM57" s="1242" t="s">
        <v>177</v>
      </c>
      <c r="AN57" s="1129"/>
      <c r="AO57" s="1129"/>
      <c r="AP57" s="1266" t="n">
        <f>R29</f>
        <v>0</v>
      </c>
      <c r="AQ57" s="1129"/>
      <c r="AR57" s="1266" t="n">
        <f>T29</f>
        <v>0</v>
      </c>
      <c r="AS57" s="1129"/>
      <c r="AU57" s="1034"/>
      <c r="AV57" s="996"/>
      <c r="AW57" s="996"/>
      <c r="AX57" s="996"/>
      <c r="AY57" s="996"/>
      <c r="AZ57" s="996"/>
      <c r="BA57" s="996"/>
      <c r="BB57" s="996"/>
      <c r="BC57" s="996"/>
      <c r="BD57" s="996"/>
      <c r="BE57" s="996"/>
      <c r="BF57" s="996"/>
      <c r="BG57" s="996"/>
      <c r="BH57" s="996"/>
      <c r="BI57" s="996"/>
      <c r="BJ57" s="996"/>
      <c r="BK57" s="996"/>
      <c r="BL57" s="996"/>
      <c r="BM57" s="996"/>
      <c r="BN57" s="996"/>
      <c r="BO57" s="996"/>
      <c r="BP57" s="996"/>
      <c r="BQ57" s="996"/>
      <c r="BR57" s="1013"/>
    </row>
    <row r="58" spans="1:70" ht="18" customHeight="1" thickBot="1">
      <c r="B58" s="1236"/>
      <c r="C58" s="1096"/>
      <c r="D58" s="1096"/>
      <c r="E58" s="1096"/>
      <c r="F58" s="1064"/>
      <c r="G58" s="1095"/>
      <c r="H58" s="1096"/>
      <c r="I58" s="1096"/>
      <c r="J58" s="1096"/>
      <c r="K58" s="1096"/>
      <c r="L58" s="1064"/>
      <c r="M58" s="1095"/>
      <c r="N58" s="1096"/>
      <c r="O58" s="1096"/>
      <c r="P58" s="1064"/>
      <c r="Q58" s="1095"/>
      <c r="R58" s="1064"/>
      <c r="S58" s="1095"/>
      <c r="T58" s="1064"/>
      <c r="U58" s="1095"/>
      <c r="V58" s="1064"/>
      <c r="W58" s="1095"/>
      <c r="X58" s="1096"/>
      <c r="Y58" s="1096"/>
      <c r="Z58" s="1064"/>
      <c r="AA58" s="1095"/>
      <c r="AB58" s="1064"/>
      <c r="AC58" s="1095"/>
      <c r="AD58" s="1064"/>
      <c r="AE58" s="1095"/>
      <c r="AF58" s="1064"/>
      <c r="AG58" s="1095"/>
      <c r="AH58" s="1096"/>
      <c r="AI58" s="1064"/>
      <c r="AJ58" s="1095"/>
      <c r="AK58" s="1170"/>
      <c r="AM58" s="1129"/>
      <c r="AN58" s="1129"/>
      <c r="AO58" s="1129"/>
      <c r="AP58" s="1129"/>
      <c r="AQ58" s="1129"/>
      <c r="AR58" s="1266" t="n">
        <f>V29</f>
        <v>0</v>
      </c>
      <c r="AS58" s="1129"/>
      <c r="AU58" s="1034"/>
      <c r="AV58" s="996"/>
      <c r="AW58" s="996"/>
      <c r="AX58" s="996"/>
      <c r="AY58" s="996"/>
      <c r="AZ58" s="996"/>
      <c r="BA58" s="996"/>
      <c r="BB58" s="996"/>
      <c r="BC58" s="996"/>
      <c r="BD58" s="996"/>
      <c r="BE58" s="996"/>
      <c r="BF58" s="996"/>
      <c r="BG58" s="996"/>
      <c r="BH58" s="996"/>
      <c r="BI58" s="996"/>
      <c r="BJ58" s="996"/>
      <c r="BK58" s="996"/>
      <c r="BL58" s="996"/>
      <c r="BM58" s="996"/>
      <c r="BN58" s="996"/>
      <c r="BO58" s="996"/>
      <c r="BP58" s="996"/>
      <c r="BQ58" s="996"/>
      <c r="BR58" s="1013"/>
    </row>
    <row r="59" spans="1:70" ht="18" customHeight="1" thickBot="1">
      <c r="B59" s="364"/>
      <c r="C59" s="364"/>
      <c r="D59" s="364"/>
      <c r="E59" s="364"/>
      <c r="F59" s="364"/>
      <c r="G59" s="364"/>
      <c r="H59" s="364"/>
      <c r="I59" s="364"/>
      <c r="J59" s="364"/>
      <c r="K59" s="364"/>
      <c r="L59" s="364"/>
      <c r="M59" s="364"/>
      <c r="N59" s="364"/>
      <c r="O59" s="364"/>
      <c r="P59" s="364"/>
      <c r="Q59" s="364"/>
      <c r="R59" s="364"/>
      <c r="AH59" s="616"/>
      <c r="AU59" s="1034"/>
      <c r="AV59" s="996"/>
      <c r="AW59" s="996"/>
      <c r="AX59" s="996"/>
      <c r="AY59" s="996"/>
      <c r="AZ59" s="996"/>
      <c r="BA59" s="996"/>
      <c r="BB59" s="996"/>
      <c r="BC59" s="996"/>
      <c r="BD59" s="996"/>
      <c r="BE59" s="996"/>
      <c r="BF59" s="996"/>
      <c r="BG59" s="996"/>
      <c r="BH59" s="996"/>
      <c r="BI59" s="996"/>
      <c r="BJ59" s="996"/>
      <c r="BK59" s="996"/>
      <c r="BL59" s="996"/>
      <c r="BM59" s="996"/>
      <c r="BN59" s="996"/>
      <c r="BO59" s="996"/>
      <c r="BP59" s="996"/>
      <c r="BQ59" s="996"/>
      <c r="BR59" s="1013"/>
    </row>
    <row r="60" spans="1:70" ht="18" customHeight="1">
      <c r="B60" s="1022" t="s">
        <v>178</v>
      </c>
      <c r="C60" s="1023"/>
      <c r="D60" s="1023"/>
      <c r="E60" s="1023"/>
      <c r="F60" s="1023"/>
      <c r="G60" s="1023"/>
      <c r="H60" s="1023"/>
      <c r="I60" s="1023"/>
      <c r="J60" s="1023"/>
      <c r="K60" s="1023"/>
      <c r="L60" s="1023"/>
      <c r="M60" s="1023"/>
      <c r="N60" s="1023"/>
      <c r="O60" s="1023"/>
      <c r="P60" s="1023"/>
      <c r="Q60" s="1023"/>
      <c r="R60" s="1023"/>
      <c r="S60" s="1023"/>
      <c r="T60" s="1023"/>
      <c r="U60" s="1024"/>
      <c r="W60" s="1022" t="s">
        <v>179</v>
      </c>
      <c r="X60" s="1023"/>
      <c r="Y60" s="1023"/>
      <c r="Z60" s="1023"/>
      <c r="AA60" s="1023"/>
      <c r="AB60" s="1023"/>
      <c r="AC60" s="1023"/>
      <c r="AD60" s="1023"/>
      <c r="AE60" s="1023"/>
      <c r="AF60" s="1023"/>
      <c r="AG60" s="1023"/>
      <c r="AH60" s="1023"/>
      <c r="AI60" s="1023"/>
      <c r="AJ60" s="1023"/>
      <c r="AK60" s="1023"/>
      <c r="AL60" s="1023"/>
      <c r="AM60" s="1023"/>
      <c r="AN60" s="1023"/>
      <c r="AO60" s="1023"/>
      <c r="AP60" s="1023"/>
      <c r="AQ60" s="1024"/>
      <c r="AR60" s="1318" t="s">
        <v>180</v>
      </c>
      <c r="AS60" s="1167"/>
      <c r="AU60" s="1034"/>
      <c r="AV60" s="996"/>
      <c r="AW60" s="996"/>
      <c r="AX60" s="996"/>
      <c r="AY60" s="996"/>
      <c r="AZ60" s="996"/>
      <c r="BA60" s="996"/>
      <c r="BB60" s="996"/>
      <c r="BC60" s="996"/>
      <c r="BD60" s="996"/>
      <c r="BE60" s="996"/>
      <c r="BF60" s="996"/>
      <c r="BG60" s="996"/>
      <c r="BH60" s="996"/>
      <c r="BI60" s="996"/>
      <c r="BJ60" s="996"/>
      <c r="BK60" s="996"/>
      <c r="BL60" s="996"/>
      <c r="BM60" s="996"/>
      <c r="BN60" s="996"/>
      <c r="BO60" s="996"/>
      <c r="BP60" s="996"/>
      <c r="BQ60" s="996"/>
      <c r="BR60" s="1013"/>
    </row>
    <row r="61" spans="1:70" ht="18" customHeight="1" thickBot="1">
      <c r="B61" s="1197" t="s">
        <v>94</v>
      </c>
      <c r="C61" s="1007"/>
      <c r="D61" s="1007"/>
      <c r="E61" s="1000"/>
      <c r="F61" s="1006" t="s">
        <v>181</v>
      </c>
      <c r="G61" s="1007"/>
      <c r="H61" s="1000"/>
      <c r="I61" s="1006" t="s">
        <v>182</v>
      </c>
      <c r="J61" s="1007"/>
      <c r="K61" s="1000"/>
      <c r="L61" s="1330" t="s">
        <v>183</v>
      </c>
      <c r="M61" s="1007"/>
      <c r="N61" s="1000"/>
      <c r="O61" s="1006" t="s">
        <v>6132</v>
      </c>
      <c r="P61" s="1007"/>
      <c r="Q61" s="1007"/>
      <c r="R61" s="1000"/>
      <c r="S61" s="1006" t="s">
        <v>185</v>
      </c>
      <c r="T61" s="1007"/>
      <c r="U61" s="1000"/>
      <c r="W61" s="1340" t="s">
        <v>186</v>
      </c>
      <c r="X61" s="1033"/>
      <c r="Y61" s="1033"/>
      <c r="Z61" s="1031"/>
      <c r="AA61" s="1314"/>
      <c r="AB61" s="1033"/>
      <c r="AC61" s="1033"/>
      <c r="AD61" s="1033"/>
      <c r="AE61" s="1033"/>
      <c r="AF61" s="1033"/>
      <c r="AG61" s="1033"/>
      <c r="AH61" s="1033"/>
      <c r="AI61" s="1033"/>
      <c r="AJ61" s="1033"/>
      <c r="AK61" s="1033"/>
      <c r="AL61" s="1033"/>
      <c r="AM61" s="1033"/>
      <c r="AN61" s="1033"/>
      <c r="AO61" s="1033"/>
      <c r="AP61" s="1033"/>
      <c r="AQ61" s="1031"/>
      <c r="AR61" s="1238" t="s">
        <v>59</v>
      </c>
      <c r="AS61" s="1038"/>
      <c r="AU61" s="1035"/>
      <c r="AV61" s="1036"/>
      <c r="AW61" s="1036"/>
      <c r="AX61" s="1036"/>
      <c r="AY61" s="1036"/>
      <c r="AZ61" s="1036"/>
      <c r="BA61" s="1036"/>
      <c r="BB61" s="1036"/>
      <c r="BC61" s="1036"/>
      <c r="BD61" s="1036"/>
      <c r="BE61" s="1036"/>
      <c r="BF61" s="1036"/>
      <c r="BG61" s="1036"/>
      <c r="BH61" s="1036"/>
      <c r="BI61" s="1036"/>
      <c r="BJ61" s="1036"/>
      <c r="BK61" s="1036"/>
      <c r="BL61" s="1036"/>
      <c r="BM61" s="1036"/>
      <c r="BN61" s="1036"/>
      <c r="BO61" s="1036"/>
      <c r="BP61" s="1036"/>
      <c r="BQ61" s="1036"/>
      <c r="BR61" s="1027"/>
    </row>
    <row r="62" spans="1:70" ht="18" customHeight="1">
      <c r="B62" s="1200" t="str">
        <f>附表!Z223</f>
        <v>0%/0%/0%</v>
      </c>
      <c r="C62" s="1007"/>
      <c r="D62" s="1007"/>
      <c r="E62" s="1000"/>
      <c r="F62" s="1056" t="str">
        <f>附表!Z225</f>
        <v>身无分文</v>
      </c>
      <c r="G62" s="1007"/>
      <c r="H62" s="1000"/>
      <c r="I62" s="2219" t="n">
        <f>IF(ISNUMBER('货币汇率'!$K$5),ROUND('货币汇率'!$K$9*'货币汇率'!$K$5,2),"")</f>
        <v>0.5</v>
      </c>
      <c r="J62" s="2220"/>
      <c r="K62" s="2221"/>
      <c r="L62" s="2222" t="n">
        <f>IF(ISNUMBER('货币汇率'!$K$5),ROUND('货币汇率'!$K$11*'货币汇率'!$K$5,2),"")</f>
        <v>0</v>
      </c>
      <c r="M62" s="2220"/>
      <c r="N62" s="2221"/>
      <c r="O62" s="2219" t="n">
        <f>IF(ISNUMBER('货币汇率'!$K$5),ROUND('货币汇率'!$K$10*'货币汇率'!$K$5,2),"")</f>
        <v>0.5</v>
      </c>
      <c r="P62" s="2220"/>
      <c r="Q62" s="2220"/>
      <c r="R62" s="2221"/>
      <c r="S62" s="2226" t="str">
        <f>BK37</f>
        <v>美元（USD）</v>
      </c>
      <c r="T62" s="2220"/>
      <c r="U62" s="2221"/>
      <c r="W62" s="1035"/>
      <c r="X62" s="1036"/>
      <c r="Y62" s="1036"/>
      <c r="Z62" s="1027"/>
      <c r="AA62" s="1026"/>
      <c r="AB62" s="1036"/>
      <c r="AC62" s="1036"/>
      <c r="AD62" s="1036"/>
      <c r="AE62" s="1036"/>
      <c r="AF62" s="1036"/>
      <c r="AG62" s="1036"/>
      <c r="AH62" s="1036"/>
      <c r="AI62" s="1036"/>
      <c r="AJ62" s="1036"/>
      <c r="AK62" s="1036"/>
      <c r="AL62" s="1036"/>
      <c r="AM62" s="1036"/>
      <c r="AN62" s="1036"/>
      <c r="AO62" s="1036"/>
      <c r="AP62" s="1036"/>
      <c r="AQ62" s="1027"/>
      <c r="AR62" s="1026"/>
      <c r="AS62" s="998"/>
      <c r="AU62" s="1124" t="str">
        <f>IF(附表!AE22="仅显示1890_2026","时代介绍仅显示1890_2026这段时间","时代介绍")</f>
        <v>时代介绍</v>
      </c>
      <c r="AV62" s="1023"/>
      <c r="AW62" s="1023"/>
      <c r="AX62" s="1023"/>
      <c r="AY62" s="1023"/>
      <c r="AZ62" s="1023"/>
      <c r="BA62" s="1023"/>
      <c r="BB62" s="1023"/>
      <c r="BC62" s="1023"/>
      <c r="BD62" s="1023"/>
      <c r="BE62" s="1023"/>
      <c r="BF62" s="1023"/>
      <c r="BG62" s="1023"/>
      <c r="BH62" s="1023"/>
      <c r="BI62" s="1023"/>
      <c r="BJ62" s="1023"/>
      <c r="BK62" s="1023"/>
      <c r="BL62" s="1023"/>
      <c r="BM62" s="1023"/>
      <c r="BN62" s="1023"/>
      <c r="BO62" s="1023"/>
      <c r="BP62" s="1023"/>
      <c r="BQ62" s="1023"/>
      <c r="BR62" s="1024"/>
    </row>
    <row r="63" spans="1:70" ht="18" customHeight="1">
      <c r="B63" s="1032"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连贫穷都够不上的人才能够叫做身无分文。住所：大概只有睡大街。旅行：步行，扒车或逃票上火车轮船。</v>
      </c>
      <c r="C63" s="1033"/>
      <c r="D63" s="1033"/>
      <c r="E63" s="1033"/>
      <c r="F63" s="1033"/>
      <c r="G63" s="1033"/>
      <c r="H63" s="1033"/>
      <c r="I63" s="1033"/>
      <c r="J63" s="1033"/>
      <c r="K63" s="1031"/>
      <c r="L63" s="1224" t="s">
        <v>188</v>
      </c>
      <c r="M63" s="1033"/>
      <c r="N63" s="1033"/>
      <c r="O63" s="1033"/>
      <c r="P63" s="1033"/>
      <c r="Q63" s="1033"/>
      <c r="R63" s="1033"/>
      <c r="S63" s="1033"/>
      <c r="T63" s="1033"/>
      <c r="U63" s="1031"/>
      <c r="W63" s="1108" t="s">
        <v>189</v>
      </c>
      <c r="X63" s="1033"/>
      <c r="Y63" s="1033"/>
      <c r="Z63" s="1031"/>
      <c r="AA63" s="1054"/>
      <c r="AB63" s="1033"/>
      <c r="AC63" s="1033"/>
      <c r="AD63" s="1033"/>
      <c r="AE63" s="1033"/>
      <c r="AF63" s="1033"/>
      <c r="AG63" s="1033"/>
      <c r="AH63" s="1033"/>
      <c r="AI63" s="1033"/>
      <c r="AJ63" s="1033"/>
      <c r="AK63" s="1033"/>
      <c r="AL63" s="1033"/>
      <c r="AM63" s="1033"/>
      <c r="AN63" s="1033"/>
      <c r="AO63" s="1033"/>
      <c r="AP63" s="1033"/>
      <c r="AQ63" s="1031"/>
      <c r="AR63" s="1294" t="s">
        <v>59</v>
      </c>
      <c r="AS63" s="1038"/>
      <c r="AU63" s="1336" t="s">
        <v>190</v>
      </c>
      <c r="AV63" s="1007"/>
      <c r="AW63" s="1007"/>
      <c r="AX63" s="1007"/>
      <c r="AY63" s="1000"/>
      <c r="AZ63" s="1137" t="s">
        <v>191</v>
      </c>
      <c r="BA63" s="1007"/>
      <c r="BB63" s="1007"/>
      <c r="BC63" s="1007"/>
      <c r="BD63" s="1007"/>
      <c r="BE63" s="1000"/>
      <c r="BF63" s="1137" t="s">
        <v>192</v>
      </c>
      <c r="BG63" s="1007"/>
      <c r="BH63" s="1007"/>
      <c r="BI63" s="1007"/>
      <c r="BJ63" s="1007"/>
      <c r="BK63" s="1000"/>
      <c r="BL63" s="1137" t="s">
        <v>190</v>
      </c>
      <c r="BM63" s="1007"/>
      <c r="BN63" s="1007"/>
      <c r="BO63" s="1007"/>
      <c r="BP63" s="1007"/>
      <c r="BQ63" s="1007"/>
      <c r="BR63" s="1000"/>
    </row>
    <row r="64" spans="1:70" ht="18" customHeight="1">
      <c r="B64" s="1034"/>
      <c r="C64" s="996"/>
      <c r="D64" s="996"/>
      <c r="E64" s="996"/>
      <c r="F64" s="996"/>
      <c r="G64" s="996"/>
      <c r="H64" s="996"/>
      <c r="I64" s="996"/>
      <c r="J64" s="996"/>
      <c r="K64" s="1013"/>
      <c r="L64" s="996"/>
      <c r="M64" s="996"/>
      <c r="N64" s="996"/>
      <c r="O64" s="996"/>
      <c r="P64" s="996"/>
      <c r="Q64" s="996"/>
      <c r="R64" s="996"/>
      <c r="S64" s="996"/>
      <c r="T64" s="996"/>
      <c r="U64" s="1013"/>
      <c r="W64" s="1035"/>
      <c r="X64" s="1036"/>
      <c r="Y64" s="1036"/>
      <c r="Z64" s="1027"/>
      <c r="AA64" s="1026"/>
      <c r="AB64" s="1036"/>
      <c r="AC64" s="1036"/>
      <c r="AD64" s="1036"/>
      <c r="AE64" s="1036"/>
      <c r="AF64" s="1036"/>
      <c r="AG64" s="1036"/>
      <c r="AH64" s="1036"/>
      <c r="AI64" s="1036"/>
      <c r="AJ64" s="1036"/>
      <c r="AK64" s="1036"/>
      <c r="AL64" s="1036"/>
      <c r="AM64" s="1036"/>
      <c r="AN64" s="1036"/>
      <c r="AO64" s="1036"/>
      <c r="AP64" s="1036"/>
      <c r="AQ64" s="1027"/>
      <c r="AR64" s="1026"/>
      <c r="AS64" s="998"/>
      <c r="AU64" s="1199" t="str">
        <f>IF($E$8="公元前","B.C.","A.C.")&amp;$G$8</f>
        <v>A.C.2026</v>
      </c>
      <c r="AV64" s="1033"/>
      <c r="AW64" s="1033"/>
      <c r="AX64" s="1033"/>
      <c r="AY64" s="1031"/>
      <c r="AZ64" s="1159" t="str">
        <f>附表!AF22</f>
        <v>俄乌战争持续</v>
      </c>
      <c r="BA64" s="1033"/>
      <c r="BB64" s="1033"/>
      <c r="BC64" s="1033"/>
      <c r="BD64" s="1033"/>
      <c r="BE64" s="1031"/>
      <c r="BF64" s="1161" t="str">
        <f>附表!AI22</f>
        <v>十五五规划开局</v>
      </c>
      <c r="BG64" s="1033"/>
      <c r="BH64" s="1033"/>
      <c r="BI64" s="1033"/>
      <c r="BJ64" s="1033"/>
      <c r="BK64" s="1031"/>
      <c r="BL64" s="1159" t="str">
        <f>附表!AL22</f>
        <v>二十一世 二十年代</v>
      </c>
      <c r="BM64" s="1033"/>
      <c r="BN64" s="1033"/>
      <c r="BO64" s="1033"/>
      <c r="BP64" s="1033"/>
      <c r="BQ64" s="1033"/>
      <c r="BR64" s="1031"/>
    </row>
    <row r="65" spans="1:70" ht="18" customHeight="1">
      <c r="B65" s="1034"/>
      <c r="C65" s="996"/>
      <c r="D65" s="996"/>
      <c r="E65" s="996"/>
      <c r="F65" s="996"/>
      <c r="G65" s="996"/>
      <c r="H65" s="996"/>
      <c r="I65" s="996"/>
      <c r="J65" s="996"/>
      <c r="K65" s="1013"/>
      <c r="L65" s="996"/>
      <c r="M65" s="996"/>
      <c r="N65" s="996"/>
      <c r="O65" s="996"/>
      <c r="P65" s="996"/>
      <c r="Q65" s="996"/>
      <c r="R65" s="996"/>
      <c r="S65" s="996"/>
      <c r="T65" s="996"/>
      <c r="U65" s="1013"/>
      <c r="W65" s="1073" t="s">
        <v>193</v>
      </c>
      <c r="X65" s="1033"/>
      <c r="Y65" s="1033"/>
      <c r="Z65" s="1031"/>
      <c r="AA65" s="1138"/>
      <c r="AB65" s="1033"/>
      <c r="AC65" s="1033"/>
      <c r="AD65" s="1033"/>
      <c r="AE65" s="1033"/>
      <c r="AF65" s="1033"/>
      <c r="AG65" s="1033"/>
      <c r="AH65" s="1033"/>
      <c r="AI65" s="1033"/>
      <c r="AJ65" s="1033"/>
      <c r="AK65" s="1033"/>
      <c r="AL65" s="1033"/>
      <c r="AM65" s="1033"/>
      <c r="AN65" s="1033"/>
      <c r="AO65" s="1033"/>
      <c r="AP65" s="1033"/>
      <c r="AQ65" s="1031"/>
      <c r="AR65" s="1082" t="s">
        <v>59</v>
      </c>
      <c r="AS65" s="1031"/>
      <c r="AU65" s="1034"/>
      <c r="AV65" s="996"/>
      <c r="AW65" s="996"/>
      <c r="AX65" s="996"/>
      <c r="AY65" s="1013"/>
      <c r="AZ65" s="1280" t="str">
        <f>附表!AG22</f>
        <v>美以对伊朗军事冲突</v>
      </c>
      <c r="BA65" s="996"/>
      <c r="BB65" s="996"/>
      <c r="BC65" s="996"/>
      <c r="BD65" s="996"/>
      <c r="BE65" s="1013"/>
      <c r="BF65" s="1280" t="str">
        <f>附表!AJ22</f>
        <v>——</v>
      </c>
      <c r="BG65" s="996"/>
      <c r="BH65" s="996"/>
      <c r="BI65" s="996"/>
      <c r="BJ65" s="996"/>
      <c r="BK65" s="1013"/>
      <c r="BL65" s="1280" t="str">
        <f>附表!AM22</f>
        <v>丙午马年</v>
      </c>
      <c r="BM65" s="996"/>
      <c r="BN65" s="996"/>
      <c r="BO65" s="996"/>
      <c r="BP65" s="996"/>
      <c r="BQ65" s="996"/>
      <c r="BR65" s="1013"/>
    </row>
    <row r="66" spans="1:70" ht="18" customHeight="1">
      <c r="B66" s="1034"/>
      <c r="C66" s="996"/>
      <c r="D66" s="996"/>
      <c r="E66" s="996"/>
      <c r="F66" s="996"/>
      <c r="G66" s="996"/>
      <c r="H66" s="996"/>
      <c r="I66" s="996"/>
      <c r="J66" s="996"/>
      <c r="K66" s="1013"/>
      <c r="L66" s="996"/>
      <c r="M66" s="996"/>
      <c r="N66" s="996"/>
      <c r="O66" s="996"/>
      <c r="P66" s="996"/>
      <c r="Q66" s="996"/>
      <c r="R66" s="996"/>
      <c r="S66" s="996"/>
      <c r="T66" s="996"/>
      <c r="U66" s="1013"/>
      <c r="W66" s="1035"/>
      <c r="X66" s="1036"/>
      <c r="Y66" s="1036"/>
      <c r="Z66" s="1027"/>
      <c r="AA66" s="1026"/>
      <c r="AB66" s="1036"/>
      <c r="AC66" s="1036"/>
      <c r="AD66" s="1036"/>
      <c r="AE66" s="1036"/>
      <c r="AF66" s="1036"/>
      <c r="AG66" s="1036"/>
      <c r="AH66" s="1036"/>
      <c r="AI66" s="1036"/>
      <c r="AJ66" s="1036"/>
      <c r="AK66" s="1036"/>
      <c r="AL66" s="1036"/>
      <c r="AM66" s="1036"/>
      <c r="AN66" s="1036"/>
      <c r="AO66" s="1036"/>
      <c r="AP66" s="1036"/>
      <c r="AQ66" s="1027"/>
      <c r="AR66" s="1026"/>
      <c r="AS66" s="1027"/>
      <c r="AU66" s="1035"/>
      <c r="AV66" s="1036"/>
      <c r="AW66" s="1036"/>
      <c r="AX66" s="1036"/>
      <c r="AY66" s="1027"/>
      <c r="AZ66" s="1155" t="str">
        <f>附表!AH22</f>
        <v>海湾与中东安全危机持续</v>
      </c>
      <c r="BA66" s="1036"/>
      <c r="BB66" s="1036"/>
      <c r="BC66" s="1036"/>
      <c r="BD66" s="1036"/>
      <c r="BE66" s="1027"/>
      <c r="BF66" s="1155" t="str">
        <f>附表!AK22</f>
        <v>——</v>
      </c>
      <c r="BG66" s="1036"/>
      <c r="BH66" s="1036"/>
      <c r="BI66" s="1036"/>
      <c r="BJ66" s="1036"/>
      <c r="BK66" s="1027"/>
      <c r="BL66" s="1155" t="str">
        <f>附表!AN22</f>
        <v>中华人民共和国77周年</v>
      </c>
      <c r="BM66" s="1036"/>
      <c r="BN66" s="1036"/>
      <c r="BO66" s="1036"/>
      <c r="BP66" s="1036"/>
      <c r="BQ66" s="1036"/>
      <c r="BR66" s="1027"/>
    </row>
    <row r="67" spans="1:70" ht="18" customHeight="1" thickBot="1">
      <c r="B67" s="1035"/>
      <c r="C67" s="1036"/>
      <c r="D67" s="1036"/>
      <c r="E67" s="1036"/>
      <c r="F67" s="1036"/>
      <c r="G67" s="1036"/>
      <c r="H67" s="1036"/>
      <c r="I67" s="1036"/>
      <c r="J67" s="1036"/>
      <c r="K67" s="1027"/>
      <c r="L67" s="1036"/>
      <c r="M67" s="1036"/>
      <c r="N67" s="1036"/>
      <c r="O67" s="1036"/>
      <c r="P67" s="1036"/>
      <c r="Q67" s="1036"/>
      <c r="R67" s="1036"/>
      <c r="S67" s="1036"/>
      <c r="T67" s="1036"/>
      <c r="U67" s="1027"/>
      <c r="W67" s="1130" t="s">
        <v>194</v>
      </c>
      <c r="X67" s="1033"/>
      <c r="Y67" s="1033"/>
      <c r="Z67" s="1031"/>
      <c r="AA67" s="1054"/>
      <c r="AB67" s="1033"/>
      <c r="AC67" s="1033"/>
      <c r="AD67" s="1033"/>
      <c r="AE67" s="1033"/>
      <c r="AF67" s="1033"/>
      <c r="AG67" s="1033"/>
      <c r="AH67" s="1033"/>
      <c r="AI67" s="1033"/>
      <c r="AJ67" s="1033"/>
      <c r="AK67" s="1033"/>
      <c r="AL67" s="1033"/>
      <c r="AM67" s="1033"/>
      <c r="AN67" s="1033"/>
      <c r="AO67" s="1033"/>
      <c r="AP67" s="1033"/>
      <c r="AQ67" s="1031"/>
      <c r="AR67" s="1227" t="s">
        <v>59</v>
      </c>
      <c r="AS67" s="1031"/>
      <c r="AU67" s="1083" t="s">
        <v>195</v>
      </c>
      <c r="AV67" s="1007"/>
      <c r="AW67" s="1007"/>
      <c r="AX67" s="1007"/>
      <c r="AY67" s="1007"/>
      <c r="AZ67" s="1007"/>
      <c r="BA67" s="1007"/>
      <c r="BB67" s="1007"/>
      <c r="BC67" s="1007"/>
      <c r="BD67" s="1007"/>
      <c r="BE67" s="1007"/>
      <c r="BF67" s="1007"/>
      <c r="BG67" s="1007"/>
      <c r="BH67" s="1007"/>
      <c r="BI67" s="1007"/>
      <c r="BJ67" s="1007"/>
      <c r="BK67" s="1007"/>
      <c r="BL67" s="1007"/>
      <c r="BM67" s="1007"/>
      <c r="BN67" s="1007"/>
      <c r="BO67" s="1007"/>
      <c r="BP67" s="1007"/>
      <c r="BQ67" s="1007"/>
      <c r="BR67" s="1084"/>
    </row>
    <row r="68" spans="1:70" ht="18" customHeight="1" thickBot="1">
      <c r="B68" s="1022" t="s">
        <v>196</v>
      </c>
      <c r="C68" s="1023"/>
      <c r="D68" s="1023"/>
      <c r="E68" s="1023"/>
      <c r="F68" s="1023"/>
      <c r="G68" s="1023"/>
      <c r="H68" s="1023"/>
      <c r="I68" s="1023"/>
      <c r="J68" s="1023"/>
      <c r="K68" s="1023"/>
      <c r="L68" s="1023"/>
      <c r="M68" s="1023"/>
      <c r="N68" s="1023"/>
      <c r="O68" s="1023"/>
      <c r="P68" s="1023"/>
      <c r="Q68" s="1023"/>
      <c r="R68" s="1023"/>
      <c r="S68" s="1023"/>
      <c r="T68" s="1023"/>
      <c r="U68" s="1024"/>
      <c r="W68" s="1035"/>
      <c r="X68" s="1036"/>
      <c r="Y68" s="1036"/>
      <c r="Z68" s="1027"/>
      <c r="AA68" s="1026"/>
      <c r="AB68" s="1036"/>
      <c r="AC68" s="1036"/>
      <c r="AD68" s="1036"/>
      <c r="AE68" s="1036"/>
      <c r="AF68" s="1036"/>
      <c r="AG68" s="1036"/>
      <c r="AH68" s="1036"/>
      <c r="AI68" s="1036"/>
      <c r="AJ68" s="1036"/>
      <c r="AK68" s="1036"/>
      <c r="AL68" s="1036"/>
      <c r="AM68" s="1036"/>
      <c r="AN68" s="1036"/>
      <c r="AO68" s="1036"/>
      <c r="AP68" s="1036"/>
      <c r="AQ68" s="1027"/>
      <c r="AR68" s="1026"/>
      <c r="AS68" s="1027"/>
      <c r="AU68" s="1287" t="str">
        <f>附表!AO22</f>
        <v>米兰-科尔蒂纳冬奥会
2026年世界杯
人工智能与自动化持续扩展</v>
      </c>
      <c r="AV68" s="1033"/>
      <c r="AW68" s="1033"/>
      <c r="AX68" s="1033"/>
      <c r="AY68" s="1033"/>
      <c r="AZ68" s="1033"/>
      <c r="BA68" s="1033"/>
      <c r="BB68" s="1033"/>
      <c r="BC68" s="1033"/>
      <c r="BD68" s="1033"/>
      <c r="BE68" s="1033"/>
      <c r="BF68" s="1033"/>
      <c r="BG68" s="1033"/>
      <c r="BH68" s="1033"/>
      <c r="BI68" s="1033"/>
      <c r="BJ68" s="1033"/>
      <c r="BK68" s="1033"/>
      <c r="BL68" s="1033"/>
      <c r="BM68" s="1033"/>
      <c r="BN68" s="1033"/>
      <c r="BO68" s="1033"/>
      <c r="BP68" s="1033"/>
      <c r="BQ68" s="1033"/>
      <c r="BR68" s="1038"/>
    </row>
    <row r="69" spans="1:70" ht="18" customHeight="1">
      <c r="B69" s="1171" t="s">
        <v>197</v>
      </c>
      <c r="C69" s="1007"/>
      <c r="D69" s="1007"/>
      <c r="E69" s="1000"/>
      <c r="F69" s="1098" t="s">
        <v>198</v>
      </c>
      <c r="G69" s="1007"/>
      <c r="H69" s="1007"/>
      <c r="I69" s="1000"/>
      <c r="J69" s="1098" t="s">
        <v>199</v>
      </c>
      <c r="K69" s="1007"/>
      <c r="L69" s="1007"/>
      <c r="M69" s="1000"/>
      <c r="N69" s="1098" t="s">
        <v>200</v>
      </c>
      <c r="O69" s="1007"/>
      <c r="P69" s="1007"/>
      <c r="Q69" s="1000"/>
      <c r="R69" s="1098" t="s">
        <v>201</v>
      </c>
      <c r="S69" s="1007"/>
      <c r="T69" s="1007"/>
      <c r="U69" s="1000"/>
      <c r="W69" s="1073" t="s">
        <v>202</v>
      </c>
      <c r="X69" s="1033"/>
      <c r="Y69" s="1033"/>
      <c r="Z69" s="1031"/>
      <c r="AA69" s="1138"/>
      <c r="AB69" s="1033"/>
      <c r="AC69" s="1033"/>
      <c r="AD69" s="1033"/>
      <c r="AE69" s="1033"/>
      <c r="AF69" s="1033"/>
      <c r="AG69" s="1033"/>
      <c r="AH69" s="1033"/>
      <c r="AI69" s="1033"/>
      <c r="AJ69" s="1033"/>
      <c r="AK69" s="1033"/>
      <c r="AL69" s="1033"/>
      <c r="AM69" s="1033"/>
      <c r="AN69" s="1033"/>
      <c r="AO69" s="1033"/>
      <c r="AP69" s="1033"/>
      <c r="AQ69" s="1031"/>
      <c r="AR69" s="1082" t="s">
        <v>59</v>
      </c>
      <c r="AS69" s="1031"/>
      <c r="AU69" s="1034"/>
      <c r="AV69" s="996"/>
      <c r="AW69" s="996"/>
      <c r="AX69" s="996"/>
      <c r="AY69" s="996"/>
      <c r="AZ69" s="996"/>
      <c r="BA69" s="996"/>
      <c r="BB69" s="996"/>
      <c r="BC69" s="996"/>
      <c r="BD69" s="996"/>
      <c r="BE69" s="996"/>
      <c r="BF69" s="996"/>
      <c r="BG69" s="996"/>
      <c r="BH69" s="996"/>
      <c r="BI69" s="996"/>
      <c r="BJ69" s="996"/>
      <c r="BK69" s="996"/>
      <c r="BL69" s="996"/>
      <c r="BM69" s="996"/>
      <c r="BN69" s="996"/>
      <c r="BO69" s="996"/>
      <c r="BP69" s="996"/>
      <c r="BQ69" s="996"/>
      <c r="BR69" s="1015"/>
    </row>
    <row r="70" spans="1:70" ht="18" customHeight="1">
      <c r="B70" s="1309"/>
      <c r="C70" s="1033"/>
      <c r="D70" s="1033"/>
      <c r="E70" s="1031"/>
      <c r="F70" s="1113"/>
      <c r="G70" s="1033"/>
      <c r="H70" s="1033"/>
      <c r="I70" s="1031"/>
      <c r="J70" s="1113"/>
      <c r="K70" s="1033"/>
      <c r="L70" s="1033"/>
      <c r="M70" s="1031"/>
      <c r="N70" s="1113"/>
      <c r="O70" s="1033"/>
      <c r="P70" s="1033"/>
      <c r="Q70" s="1031"/>
      <c r="R70" s="1002"/>
      <c r="S70" s="1033"/>
      <c r="T70" s="1033"/>
      <c r="U70" s="1031"/>
      <c r="W70" s="1035"/>
      <c r="X70" s="1036"/>
      <c r="Y70" s="1036"/>
      <c r="Z70" s="1027"/>
      <c r="AA70" s="1026"/>
      <c r="AB70" s="1036"/>
      <c r="AC70" s="1036"/>
      <c r="AD70" s="1036"/>
      <c r="AE70" s="1036"/>
      <c r="AF70" s="1036"/>
      <c r="AG70" s="1036"/>
      <c r="AH70" s="1036"/>
      <c r="AI70" s="1036"/>
      <c r="AJ70" s="1036"/>
      <c r="AK70" s="1036"/>
      <c r="AL70" s="1036"/>
      <c r="AM70" s="1036"/>
      <c r="AN70" s="1036"/>
      <c r="AO70" s="1036"/>
      <c r="AP70" s="1036"/>
      <c r="AQ70" s="1027"/>
      <c r="AR70" s="1026"/>
      <c r="AS70" s="1027"/>
      <c r="AU70" s="1034"/>
      <c r="AV70" s="996"/>
      <c r="AW70" s="996"/>
      <c r="AX70" s="996"/>
      <c r="AY70" s="996"/>
      <c r="AZ70" s="996"/>
      <c r="BA70" s="996"/>
      <c r="BB70" s="996"/>
      <c r="BC70" s="996"/>
      <c r="BD70" s="996"/>
      <c r="BE70" s="996"/>
      <c r="BF70" s="996"/>
      <c r="BG70" s="996"/>
      <c r="BH70" s="996"/>
      <c r="BI70" s="996"/>
      <c r="BJ70" s="996"/>
      <c r="BK70" s="996"/>
      <c r="BL70" s="996"/>
      <c r="BM70" s="996"/>
      <c r="BN70" s="996"/>
      <c r="BO70" s="996"/>
      <c r="BP70" s="996"/>
      <c r="BQ70" s="996"/>
      <c r="BR70" s="1015"/>
    </row>
    <row r="71" spans="1:70" ht="18" customHeight="1">
      <c r="B71" s="1034"/>
      <c r="C71" s="996"/>
      <c r="D71" s="996"/>
      <c r="E71" s="1013"/>
      <c r="F71" s="1114"/>
      <c r="G71" s="996"/>
      <c r="H71" s="996"/>
      <c r="I71" s="1013"/>
      <c r="J71" s="1114"/>
      <c r="K71" s="996"/>
      <c r="L71" s="996"/>
      <c r="M71" s="1013"/>
      <c r="N71" s="1114"/>
      <c r="O71" s="996"/>
      <c r="P71" s="996"/>
      <c r="Q71" s="1013"/>
      <c r="R71" s="1114"/>
      <c r="S71" s="996"/>
      <c r="T71" s="996"/>
      <c r="U71" s="1013"/>
      <c r="W71" s="1108" t="s">
        <v>203</v>
      </c>
      <c r="X71" s="1033"/>
      <c r="Y71" s="1033"/>
      <c r="Z71" s="1031"/>
      <c r="AA71" s="1054"/>
      <c r="AB71" s="1033"/>
      <c r="AC71" s="1033"/>
      <c r="AD71" s="1033"/>
      <c r="AE71" s="1033"/>
      <c r="AF71" s="1033"/>
      <c r="AG71" s="1033"/>
      <c r="AH71" s="1033"/>
      <c r="AI71" s="1033"/>
      <c r="AJ71" s="1033"/>
      <c r="AK71" s="1033"/>
      <c r="AL71" s="1033"/>
      <c r="AM71" s="1033"/>
      <c r="AN71" s="1033"/>
      <c r="AO71" s="1033"/>
      <c r="AP71" s="1033"/>
      <c r="AQ71" s="1031"/>
      <c r="AR71" s="1227" t="s">
        <v>59</v>
      </c>
      <c r="AS71" s="1031"/>
      <c r="AU71" s="1034"/>
      <c r="AV71" s="996"/>
      <c r="AW71" s="996"/>
      <c r="AX71" s="996"/>
      <c r="AY71" s="996"/>
      <c r="AZ71" s="996"/>
      <c r="BA71" s="996"/>
      <c r="BB71" s="996"/>
      <c r="BC71" s="996"/>
      <c r="BD71" s="996"/>
      <c r="BE71" s="996"/>
      <c r="BF71" s="996"/>
      <c r="BG71" s="996"/>
      <c r="BH71" s="996"/>
      <c r="BI71" s="996"/>
      <c r="BJ71" s="996"/>
      <c r="BK71" s="996"/>
      <c r="BL71" s="996"/>
      <c r="BM71" s="996"/>
      <c r="BN71" s="996"/>
      <c r="BO71" s="996"/>
      <c r="BP71" s="996"/>
      <c r="BQ71" s="996"/>
      <c r="BR71" s="1015"/>
    </row>
    <row r="72" spans="1:70" ht="18" customHeight="1">
      <c r="B72" s="1034"/>
      <c r="C72" s="996"/>
      <c r="D72" s="996"/>
      <c r="E72" s="1013"/>
      <c r="F72" s="1114"/>
      <c r="G72" s="996"/>
      <c r="H72" s="996"/>
      <c r="I72" s="1013"/>
      <c r="J72" s="1114"/>
      <c r="K72" s="996"/>
      <c r="L72" s="996"/>
      <c r="M72" s="1013"/>
      <c r="N72" s="1114"/>
      <c r="O72" s="996"/>
      <c r="P72" s="996"/>
      <c r="Q72" s="1013"/>
      <c r="R72" s="1114"/>
      <c r="S72" s="996"/>
      <c r="T72" s="996"/>
      <c r="U72" s="1013"/>
      <c r="W72" s="1035"/>
      <c r="X72" s="1036"/>
      <c r="Y72" s="1036"/>
      <c r="Z72" s="1027"/>
      <c r="AA72" s="1026"/>
      <c r="AB72" s="1036"/>
      <c r="AC72" s="1036"/>
      <c r="AD72" s="1036"/>
      <c r="AE72" s="1036"/>
      <c r="AF72" s="1036"/>
      <c r="AG72" s="1036"/>
      <c r="AH72" s="1036"/>
      <c r="AI72" s="1036"/>
      <c r="AJ72" s="1036"/>
      <c r="AK72" s="1036"/>
      <c r="AL72" s="1036"/>
      <c r="AM72" s="1036"/>
      <c r="AN72" s="1036"/>
      <c r="AO72" s="1036"/>
      <c r="AP72" s="1036"/>
      <c r="AQ72" s="1027"/>
      <c r="AR72" s="1026"/>
      <c r="AS72" s="1027"/>
      <c r="AU72" s="1034"/>
      <c r="AV72" s="996"/>
      <c r="AW72" s="996"/>
      <c r="AX72" s="996"/>
      <c r="AY72" s="996"/>
      <c r="AZ72" s="996"/>
      <c r="BA72" s="996"/>
      <c r="BB72" s="996"/>
      <c r="BC72" s="996"/>
      <c r="BD72" s="996"/>
      <c r="BE72" s="996"/>
      <c r="BF72" s="996"/>
      <c r="BG72" s="996"/>
      <c r="BH72" s="996"/>
      <c r="BI72" s="996"/>
      <c r="BJ72" s="996"/>
      <c r="BK72" s="996"/>
      <c r="BL72" s="996"/>
      <c r="BM72" s="996"/>
      <c r="BN72" s="996"/>
      <c r="BO72" s="996"/>
      <c r="BP72" s="996"/>
      <c r="BQ72" s="996"/>
      <c r="BR72" s="1015"/>
    </row>
    <row r="73" spans="1:70" ht="18" customHeight="1">
      <c r="B73" s="1034"/>
      <c r="C73" s="996"/>
      <c r="D73" s="996"/>
      <c r="E73" s="1013"/>
      <c r="F73" s="1114"/>
      <c r="G73" s="996"/>
      <c r="H73" s="996"/>
      <c r="I73" s="1013"/>
      <c r="J73" s="1114"/>
      <c r="K73" s="996"/>
      <c r="L73" s="996"/>
      <c r="M73" s="1013"/>
      <c r="N73" s="1114"/>
      <c r="O73" s="996"/>
      <c r="P73" s="996"/>
      <c r="Q73" s="1013"/>
      <c r="R73" s="1114"/>
      <c r="S73" s="996"/>
      <c r="T73" s="996"/>
      <c r="U73" s="1013"/>
      <c r="W73" s="1073" t="s">
        <v>204</v>
      </c>
      <c r="X73" s="1033"/>
      <c r="Y73" s="1033"/>
      <c r="Z73" s="1031"/>
      <c r="AA73" s="1138"/>
      <c r="AB73" s="1033"/>
      <c r="AC73" s="1033"/>
      <c r="AD73" s="1033"/>
      <c r="AE73" s="1033"/>
      <c r="AF73" s="1033"/>
      <c r="AG73" s="1033"/>
      <c r="AH73" s="1033"/>
      <c r="AI73" s="1033"/>
      <c r="AJ73" s="1033"/>
      <c r="AK73" s="1033"/>
      <c r="AL73" s="1033"/>
      <c r="AM73" s="1033"/>
      <c r="AN73" s="1033"/>
      <c r="AO73" s="1033"/>
      <c r="AP73" s="1033"/>
      <c r="AQ73" s="1031"/>
      <c r="AR73" s="1082" t="s">
        <v>59</v>
      </c>
      <c r="AS73" s="1031"/>
      <c r="AU73" s="1034"/>
      <c r="AV73" s="996"/>
      <c r="AW73" s="996"/>
      <c r="AX73" s="996"/>
      <c r="AY73" s="996"/>
      <c r="AZ73" s="996"/>
      <c r="BA73" s="996"/>
      <c r="BB73" s="996"/>
      <c r="BC73" s="996"/>
      <c r="BD73" s="996"/>
      <c r="BE73" s="996"/>
      <c r="BF73" s="996"/>
      <c r="BG73" s="996"/>
      <c r="BH73" s="996"/>
      <c r="BI73" s="996"/>
      <c r="BJ73" s="996"/>
      <c r="BK73" s="996"/>
      <c r="BL73" s="996"/>
      <c r="BM73" s="996"/>
      <c r="BN73" s="996"/>
      <c r="BO73" s="996"/>
      <c r="BP73" s="996"/>
      <c r="BQ73" s="996"/>
      <c r="BR73" s="1015"/>
    </row>
    <row r="74" spans="1:70" ht="18" customHeight="1">
      <c r="B74" s="1035"/>
      <c r="C74" s="1036"/>
      <c r="D74" s="1036"/>
      <c r="E74" s="1027"/>
      <c r="F74" s="1026"/>
      <c r="G74" s="1036"/>
      <c r="H74" s="1036"/>
      <c r="I74" s="1027"/>
      <c r="J74" s="1026"/>
      <c r="K74" s="1036"/>
      <c r="L74" s="1036"/>
      <c r="M74" s="1027"/>
      <c r="N74" s="1026"/>
      <c r="O74" s="1036"/>
      <c r="P74" s="1036"/>
      <c r="Q74" s="1027"/>
      <c r="R74" s="1026"/>
      <c r="S74" s="1036"/>
      <c r="T74" s="1036"/>
      <c r="U74" s="1027"/>
      <c r="W74" s="1035"/>
      <c r="X74" s="1036"/>
      <c r="Y74" s="1036"/>
      <c r="Z74" s="1027"/>
      <c r="AA74" s="1026"/>
      <c r="AB74" s="1036"/>
      <c r="AC74" s="1036"/>
      <c r="AD74" s="1036"/>
      <c r="AE74" s="1036"/>
      <c r="AF74" s="1036"/>
      <c r="AG74" s="1036"/>
      <c r="AH74" s="1036"/>
      <c r="AI74" s="1036"/>
      <c r="AJ74" s="1036"/>
      <c r="AK74" s="1036"/>
      <c r="AL74" s="1036"/>
      <c r="AM74" s="1036"/>
      <c r="AN74" s="1036"/>
      <c r="AO74" s="1036"/>
      <c r="AP74" s="1036"/>
      <c r="AQ74" s="1027"/>
      <c r="AR74" s="1026"/>
      <c r="AS74" s="1027"/>
      <c r="AU74" s="1034"/>
      <c r="AV74" s="996"/>
      <c r="AW74" s="996"/>
      <c r="AX74" s="996"/>
      <c r="AY74" s="996"/>
      <c r="AZ74" s="996"/>
      <c r="BA74" s="996"/>
      <c r="BB74" s="996"/>
      <c r="BC74" s="996"/>
      <c r="BD74" s="996"/>
      <c r="BE74" s="996"/>
      <c r="BF74" s="996"/>
      <c r="BG74" s="996"/>
      <c r="BH74" s="996"/>
      <c r="BI74" s="996"/>
      <c r="BJ74" s="996"/>
      <c r="BK74" s="996"/>
      <c r="BL74" s="996"/>
      <c r="BM74" s="996"/>
      <c r="BN74" s="996"/>
      <c r="BO74" s="996"/>
      <c r="BP74" s="996"/>
      <c r="BQ74" s="996"/>
      <c r="BR74" s="1015"/>
    </row>
    <row r="75" spans="1:70" ht="18" customHeight="1" thickBot="1">
      <c r="B75" s="2227" t="n">
        <f>IF(ISNUMBER('货币汇率'!$K$5),ROUND('货币汇率'!$K$13*'货币汇率'!$K$5,2),"")</f>
        <v>0</v>
      </c>
      <c r="C75" s="2228"/>
      <c r="D75" s="2228"/>
      <c r="E75" s="2229"/>
      <c r="F75" s="2230" t="n">
        <f>IF(ISNUMBER('货币汇率'!$K$5),ROUND('货币汇率'!$K$14*'货币汇率'!$K$5,2),"")</f>
        <v>0</v>
      </c>
      <c r="G75" s="2228"/>
      <c r="H75" s="2228"/>
      <c r="I75" s="2229"/>
      <c r="J75" s="2230" t="n">
        <f>IF(ISNUMBER('货币汇率'!$K$5),ROUND('货币汇率'!$K$15*'货币汇率'!$K$5,2),"")</f>
        <v>0</v>
      </c>
      <c r="K75" s="2228"/>
      <c r="L75" s="2228"/>
      <c r="M75" s="2229"/>
      <c r="N75" s="2230" t="n">
        <f>IF(ISNUMBER('货币汇率'!$K$5),ROUND('货币汇率'!$K$16*'货币汇率'!$K$5,2),"")</f>
        <v>0</v>
      </c>
      <c r="O75" s="2228"/>
      <c r="P75" s="2228"/>
      <c r="Q75" s="2229"/>
      <c r="R75" s="2230" t="n">
        <f>IF(ISNUMBER('货币汇率'!$K$5),ROUND('货币汇率'!$K$17*'货币汇率'!$K$5,2),"")</f>
        <v>0</v>
      </c>
      <c r="S75" s="2228"/>
      <c r="T75" s="2228"/>
      <c r="U75" s="2229"/>
      <c r="W75" s="1108" t="s">
        <v>205</v>
      </c>
      <c r="X75" s="1033"/>
      <c r="Y75" s="1033"/>
      <c r="Z75" s="1031"/>
      <c r="AA75" s="1054"/>
      <c r="AB75" s="1033"/>
      <c r="AC75" s="1033"/>
      <c r="AD75" s="1033"/>
      <c r="AE75" s="1033"/>
      <c r="AF75" s="1033"/>
      <c r="AG75" s="1033"/>
      <c r="AH75" s="1033"/>
      <c r="AI75" s="1033"/>
      <c r="AJ75" s="1033"/>
      <c r="AK75" s="1033"/>
      <c r="AL75" s="1033"/>
      <c r="AM75" s="1033"/>
      <c r="AN75" s="1033"/>
      <c r="AO75" s="1033"/>
      <c r="AP75" s="1033"/>
      <c r="AQ75" s="1031"/>
      <c r="AR75" s="1227" t="s">
        <v>59</v>
      </c>
      <c r="AS75" s="1031"/>
      <c r="AU75" s="1034"/>
      <c r="AV75" s="996"/>
      <c r="AW75" s="996"/>
      <c r="AX75" s="996"/>
      <c r="AY75" s="996"/>
      <c r="AZ75" s="996"/>
      <c r="BA75" s="996"/>
      <c r="BB75" s="996"/>
      <c r="BC75" s="996"/>
      <c r="BD75" s="996"/>
      <c r="BE75" s="996"/>
      <c r="BF75" s="996"/>
      <c r="BG75" s="996"/>
      <c r="BH75" s="996"/>
      <c r="BI75" s="996"/>
      <c r="BJ75" s="996"/>
      <c r="BK75" s="996"/>
      <c r="BL75" s="996"/>
      <c r="BM75" s="996"/>
      <c r="BN75" s="996"/>
      <c r="BO75" s="996"/>
      <c r="BP75" s="996"/>
      <c r="BQ75" s="996"/>
      <c r="BR75" s="1015"/>
    </row>
    <row r="76" spans="1:70" ht="18" customHeight="1" thickBot="1">
      <c r="B76" s="1029" t="str">
        <f>"资产总和："&amp;SUM(B75:U75)</f>
        <v>资产总和：0</v>
      </c>
      <c r="C76" s="996"/>
      <c r="D76" s="996"/>
      <c r="E76" s="996"/>
      <c r="F76" s="996"/>
      <c r="G76" s="996"/>
      <c r="H76" s="996"/>
      <c r="I76" s="996"/>
      <c r="J76" s="996"/>
      <c r="K76" s="996"/>
      <c r="L76" s="996"/>
      <c r="M76" s="996"/>
      <c r="N76" s="1029" t="str">
        <f>IF(ISNUMBER('货币汇率'!$K$5),"剩余资产值："&amp;(L62-SUM(B75:U75)),"剩余资产值：暂无汇率")</f>
        <v>剩余资产值：0</v>
      </c>
      <c r="O76" s="996"/>
      <c r="P76" s="996"/>
      <c r="Q76" s="996"/>
      <c r="R76" s="996"/>
      <c r="S76" s="996"/>
      <c r="T76" s="996"/>
      <c r="U76" s="996"/>
      <c r="W76" s="1035"/>
      <c r="X76" s="1036"/>
      <c r="Y76" s="1036"/>
      <c r="Z76" s="1027"/>
      <c r="AA76" s="1026"/>
      <c r="AB76" s="1036"/>
      <c r="AC76" s="1036"/>
      <c r="AD76" s="1036"/>
      <c r="AE76" s="1036"/>
      <c r="AF76" s="1036"/>
      <c r="AG76" s="1036"/>
      <c r="AH76" s="1036"/>
      <c r="AI76" s="1036"/>
      <c r="AJ76" s="1036"/>
      <c r="AK76" s="1036"/>
      <c r="AL76" s="1036"/>
      <c r="AM76" s="1036"/>
      <c r="AN76" s="1036"/>
      <c r="AO76" s="1036"/>
      <c r="AP76" s="1036"/>
      <c r="AQ76" s="1027"/>
      <c r="AR76" s="1026"/>
      <c r="AS76" s="1027"/>
      <c r="AU76" s="1034"/>
      <c r="AV76" s="996"/>
      <c r="AW76" s="996"/>
      <c r="AX76" s="996"/>
      <c r="AY76" s="996"/>
      <c r="AZ76" s="996"/>
      <c r="BA76" s="996"/>
      <c r="BB76" s="996"/>
      <c r="BC76" s="996"/>
      <c r="BD76" s="996"/>
      <c r="BE76" s="996"/>
      <c r="BF76" s="996"/>
      <c r="BG76" s="996"/>
      <c r="BH76" s="996"/>
      <c r="BI76" s="996"/>
      <c r="BJ76" s="996"/>
      <c r="BK76" s="996"/>
      <c r="BL76" s="996"/>
      <c r="BM76" s="996"/>
      <c r="BN76" s="996"/>
      <c r="BO76" s="996"/>
      <c r="BP76" s="996"/>
      <c r="BQ76" s="996"/>
      <c r="BR76" s="1015"/>
    </row>
    <row r="77" spans="1:70" ht="18" customHeight="1" thickBot="1">
      <c r="B77" s="1022" t="s">
        <v>206</v>
      </c>
      <c r="C77" s="1023"/>
      <c r="D77" s="1023"/>
      <c r="E77" s="1023"/>
      <c r="F77" s="1023"/>
      <c r="G77" s="1023"/>
      <c r="H77" s="1023"/>
      <c r="I77" s="1023"/>
      <c r="J77" s="1023"/>
      <c r="K77" s="1023"/>
      <c r="L77" s="1023"/>
      <c r="M77" s="1023"/>
      <c r="N77" s="1023"/>
      <c r="O77" s="1023"/>
      <c r="P77" s="1023"/>
      <c r="Q77" s="1023"/>
      <c r="R77" s="1023"/>
      <c r="S77" s="1023"/>
      <c r="T77" s="1023"/>
      <c r="U77" s="1024"/>
      <c r="W77" s="1195" t="s">
        <v>207</v>
      </c>
      <c r="X77" s="1088"/>
      <c r="Y77" s="1088"/>
      <c r="Z77" s="1088"/>
      <c r="AA77" s="1088"/>
      <c r="AB77" s="1088"/>
      <c r="AC77" s="1088"/>
      <c r="AD77" s="1088"/>
      <c r="AE77" s="1088"/>
      <c r="AF77" s="1088"/>
      <c r="AG77" s="1088"/>
      <c r="AH77" s="1088"/>
      <c r="AI77" s="1088"/>
      <c r="AJ77" s="1088"/>
      <c r="AK77" s="1088"/>
      <c r="AL77" s="1088"/>
      <c r="AM77" s="1088"/>
      <c r="AN77" s="1088"/>
      <c r="AO77" s="1088"/>
      <c r="AP77" s="1088"/>
      <c r="AQ77" s="1088"/>
      <c r="AR77" s="1088"/>
      <c r="AS77" s="1089"/>
      <c r="AT77" s="364"/>
      <c r="AU77" s="1034"/>
      <c r="AV77" s="996"/>
      <c r="AW77" s="996"/>
      <c r="AX77" s="996"/>
      <c r="AY77" s="996"/>
      <c r="AZ77" s="996"/>
      <c r="BA77" s="996"/>
      <c r="BB77" s="996"/>
      <c r="BC77" s="996"/>
      <c r="BD77" s="996"/>
      <c r="BE77" s="996"/>
      <c r="BF77" s="996"/>
      <c r="BG77" s="996"/>
      <c r="BH77" s="996"/>
      <c r="BI77" s="996"/>
      <c r="BJ77" s="996"/>
      <c r="BK77" s="996"/>
      <c r="BL77" s="996"/>
      <c r="BM77" s="996"/>
      <c r="BN77" s="996"/>
      <c r="BO77" s="996"/>
      <c r="BP77" s="996"/>
      <c r="BQ77" s="996"/>
      <c r="BR77" s="1015"/>
    </row>
    <row r="78" spans="1:70" ht="18" customHeight="1">
      <c r="A78" s="245"/>
      <c r="B78" s="1231" t="s">
        <v>208</v>
      </c>
      <c r="C78" s="1031"/>
      <c r="D78" s="1133" t="s">
        <v>209</v>
      </c>
      <c r="E78" s="1031"/>
      <c r="F78" s="1133" t="s">
        <v>210</v>
      </c>
      <c r="G78" s="1033"/>
      <c r="H78" s="1033"/>
      <c r="I78" s="1033"/>
      <c r="J78" s="1033"/>
      <c r="K78" s="1033"/>
      <c r="L78" s="1033"/>
      <c r="M78" s="1031"/>
      <c r="N78" s="1204" t="s">
        <v>211</v>
      </c>
      <c r="O78" s="1033"/>
      <c r="P78" s="1033"/>
      <c r="Q78" s="1033"/>
      <c r="R78" s="1033"/>
      <c r="S78" s="1033"/>
      <c r="T78" s="1033"/>
      <c r="U78" s="1031"/>
      <c r="W78" s="1034"/>
      <c r="X78" s="996"/>
      <c r="Y78" s="996"/>
      <c r="Z78" s="996"/>
      <c r="AA78" s="996"/>
      <c r="AB78" s="996"/>
      <c r="AC78" s="996"/>
      <c r="AD78" s="996"/>
      <c r="AE78" s="996"/>
      <c r="AF78" s="996"/>
      <c r="AG78" s="996"/>
      <c r="AH78" s="996"/>
      <c r="AI78" s="996"/>
      <c r="AJ78" s="996"/>
      <c r="AK78" s="996"/>
      <c r="AL78" s="996"/>
      <c r="AM78" s="996"/>
      <c r="AN78" s="996"/>
      <c r="AO78" s="996"/>
      <c r="AP78" s="996"/>
      <c r="AQ78" s="996"/>
      <c r="AR78" s="996"/>
      <c r="AS78" s="1015"/>
      <c r="AT78" s="364"/>
      <c r="AU78" s="1034"/>
      <c r="AV78" s="996"/>
      <c r="AW78" s="996"/>
      <c r="AX78" s="996"/>
      <c r="AY78" s="996"/>
      <c r="AZ78" s="996"/>
      <c r="BA78" s="996"/>
      <c r="BB78" s="996"/>
      <c r="BC78" s="996"/>
      <c r="BD78" s="996"/>
      <c r="BE78" s="996"/>
      <c r="BF78" s="996"/>
      <c r="BG78" s="996"/>
      <c r="BH78" s="996"/>
      <c r="BI78" s="996"/>
      <c r="BJ78" s="996"/>
      <c r="BK78" s="996"/>
      <c r="BL78" s="996"/>
      <c r="BM78" s="996"/>
      <c r="BN78" s="996"/>
      <c r="BO78" s="996"/>
      <c r="BP78" s="996"/>
      <c r="BQ78" s="996"/>
      <c r="BR78" s="1015"/>
    </row>
    <row r="79" spans="1:70" ht="18" customHeight="1">
      <c r="A79" s="245"/>
      <c r="B79" s="1103"/>
      <c r="C79" s="996"/>
      <c r="D79" s="1182"/>
      <c r="E79" s="1013"/>
      <c r="F79" s="1174"/>
      <c r="G79" s="996"/>
      <c r="H79" s="996"/>
      <c r="I79" s="996"/>
      <c r="J79" s="996"/>
      <c r="K79" s="996"/>
      <c r="L79" s="996"/>
      <c r="M79" s="1013"/>
      <c r="N79" s="1047"/>
      <c r="O79" s="996"/>
      <c r="P79" s="996"/>
      <c r="Q79" s="996"/>
      <c r="R79" s="996"/>
      <c r="S79" s="996"/>
      <c r="T79" s="996"/>
      <c r="U79" s="1015"/>
      <c r="W79" s="1034"/>
      <c r="X79" s="996"/>
      <c r="Y79" s="996"/>
      <c r="Z79" s="996"/>
      <c r="AA79" s="996"/>
      <c r="AB79" s="996"/>
      <c r="AC79" s="996"/>
      <c r="AD79" s="996"/>
      <c r="AE79" s="996"/>
      <c r="AF79" s="996"/>
      <c r="AG79" s="996"/>
      <c r="AH79" s="996"/>
      <c r="AI79" s="996"/>
      <c r="AJ79" s="996"/>
      <c r="AK79" s="996"/>
      <c r="AL79" s="996"/>
      <c r="AM79" s="996"/>
      <c r="AN79" s="996"/>
      <c r="AO79" s="996"/>
      <c r="AP79" s="996"/>
      <c r="AQ79" s="996"/>
      <c r="AR79" s="996"/>
      <c r="AS79" s="1015"/>
      <c r="AT79" s="364"/>
      <c r="AU79" s="1034"/>
      <c r="AV79" s="996"/>
      <c r="AW79" s="996"/>
      <c r="AX79" s="996"/>
      <c r="AY79" s="996"/>
      <c r="AZ79" s="996"/>
      <c r="BA79" s="996"/>
      <c r="BB79" s="996"/>
      <c r="BC79" s="996"/>
      <c r="BD79" s="996"/>
      <c r="BE79" s="996"/>
      <c r="BF79" s="996"/>
      <c r="BG79" s="996"/>
      <c r="BH79" s="996"/>
      <c r="BI79" s="996"/>
      <c r="BJ79" s="996"/>
      <c r="BK79" s="996"/>
      <c r="BL79" s="996"/>
      <c r="BM79" s="996"/>
      <c r="BN79" s="996"/>
      <c r="BO79" s="996"/>
      <c r="BP79" s="996"/>
      <c r="BQ79" s="996"/>
      <c r="BR79" s="1015"/>
    </row>
    <row r="80" spans="1:70" ht="18" customHeight="1">
      <c r="A80" s="245"/>
      <c r="B80" s="1102"/>
      <c r="C80" s="996"/>
      <c r="D80" s="1183"/>
      <c r="E80" s="1013"/>
      <c r="F80" s="1071"/>
      <c r="G80" s="996"/>
      <c r="H80" s="996"/>
      <c r="I80" s="996"/>
      <c r="J80" s="996"/>
      <c r="K80" s="996"/>
      <c r="L80" s="996"/>
      <c r="M80" s="1013"/>
      <c r="N80" s="1040"/>
      <c r="O80" s="996"/>
      <c r="P80" s="996"/>
      <c r="Q80" s="996"/>
      <c r="R80" s="996"/>
      <c r="S80" s="996"/>
      <c r="T80" s="996"/>
      <c r="U80" s="1015"/>
      <c r="W80" s="1034"/>
      <c r="X80" s="996"/>
      <c r="Y80" s="996"/>
      <c r="Z80" s="996"/>
      <c r="AA80" s="996"/>
      <c r="AB80" s="996"/>
      <c r="AC80" s="996"/>
      <c r="AD80" s="996"/>
      <c r="AE80" s="996"/>
      <c r="AF80" s="996"/>
      <c r="AG80" s="996"/>
      <c r="AH80" s="996"/>
      <c r="AI80" s="996"/>
      <c r="AJ80" s="996"/>
      <c r="AK80" s="996"/>
      <c r="AL80" s="996"/>
      <c r="AM80" s="996"/>
      <c r="AN80" s="996"/>
      <c r="AO80" s="996"/>
      <c r="AP80" s="996"/>
      <c r="AQ80" s="996"/>
      <c r="AR80" s="996"/>
      <c r="AS80" s="1015"/>
      <c r="AT80" s="364"/>
      <c r="AU80" s="1034"/>
      <c r="AV80" s="996"/>
      <c r="AW80" s="996"/>
      <c r="AX80" s="996"/>
      <c r="AY80" s="996"/>
      <c r="AZ80" s="996"/>
      <c r="BA80" s="996"/>
      <c r="BB80" s="996"/>
      <c r="BC80" s="996"/>
      <c r="BD80" s="996"/>
      <c r="BE80" s="996"/>
      <c r="BF80" s="996"/>
      <c r="BG80" s="996"/>
      <c r="BH80" s="996"/>
      <c r="BI80" s="996"/>
      <c r="BJ80" s="996"/>
      <c r="BK80" s="996"/>
      <c r="BL80" s="996"/>
      <c r="BM80" s="996"/>
      <c r="BN80" s="996"/>
      <c r="BO80" s="996"/>
      <c r="BP80" s="996"/>
      <c r="BQ80" s="996"/>
      <c r="BR80" s="1015"/>
    </row>
    <row r="81" spans="1:70" ht="18" customHeight="1">
      <c r="A81" s="245"/>
      <c r="B81" s="1103"/>
      <c r="C81" s="996"/>
      <c r="D81" s="1182"/>
      <c r="E81" s="1013"/>
      <c r="F81" s="1174"/>
      <c r="G81" s="996"/>
      <c r="H81" s="996"/>
      <c r="I81" s="996"/>
      <c r="J81" s="996"/>
      <c r="K81" s="996"/>
      <c r="L81" s="996"/>
      <c r="M81" s="1013"/>
      <c r="N81" s="1047"/>
      <c r="O81" s="996"/>
      <c r="P81" s="996"/>
      <c r="Q81" s="996"/>
      <c r="R81" s="996"/>
      <c r="S81" s="996"/>
      <c r="T81" s="996"/>
      <c r="U81" s="1015"/>
      <c r="W81" s="1034"/>
      <c r="X81" s="996"/>
      <c r="Y81" s="996"/>
      <c r="Z81" s="996"/>
      <c r="AA81" s="996"/>
      <c r="AB81" s="996"/>
      <c r="AC81" s="996"/>
      <c r="AD81" s="996"/>
      <c r="AE81" s="996"/>
      <c r="AF81" s="996"/>
      <c r="AG81" s="996"/>
      <c r="AH81" s="996"/>
      <c r="AI81" s="996"/>
      <c r="AJ81" s="996"/>
      <c r="AK81" s="996"/>
      <c r="AL81" s="996"/>
      <c r="AM81" s="996"/>
      <c r="AN81" s="996"/>
      <c r="AO81" s="996"/>
      <c r="AP81" s="996"/>
      <c r="AQ81" s="996"/>
      <c r="AR81" s="996"/>
      <c r="AS81" s="1015"/>
      <c r="AT81" s="364"/>
      <c r="AU81" s="1034"/>
      <c r="AV81" s="996"/>
      <c r="AW81" s="996"/>
      <c r="AX81" s="996"/>
      <c r="AY81" s="996"/>
      <c r="AZ81" s="996"/>
      <c r="BA81" s="996"/>
      <c r="BB81" s="996"/>
      <c r="BC81" s="996"/>
      <c r="BD81" s="996"/>
      <c r="BE81" s="996"/>
      <c r="BF81" s="996"/>
      <c r="BG81" s="996"/>
      <c r="BH81" s="996"/>
      <c r="BI81" s="996"/>
      <c r="BJ81" s="996"/>
      <c r="BK81" s="996"/>
      <c r="BL81" s="996"/>
      <c r="BM81" s="996"/>
      <c r="BN81" s="996"/>
      <c r="BO81" s="996"/>
      <c r="BP81" s="996"/>
      <c r="BQ81" s="996"/>
      <c r="BR81" s="1015"/>
    </row>
    <row r="82" spans="1:70" ht="18" customHeight="1">
      <c r="A82" s="245"/>
      <c r="B82" s="1102"/>
      <c r="C82" s="996"/>
      <c r="D82" s="1183"/>
      <c r="E82" s="1013"/>
      <c r="F82" s="1071"/>
      <c r="G82" s="996"/>
      <c r="H82" s="996"/>
      <c r="I82" s="996"/>
      <c r="J82" s="996"/>
      <c r="K82" s="996"/>
      <c r="L82" s="996"/>
      <c r="M82" s="1013"/>
      <c r="N82" s="1040"/>
      <c r="O82" s="996"/>
      <c r="P82" s="996"/>
      <c r="Q82" s="996"/>
      <c r="R82" s="996"/>
      <c r="S82" s="996"/>
      <c r="T82" s="996"/>
      <c r="U82" s="1015"/>
      <c r="W82" s="1034"/>
      <c r="X82" s="996"/>
      <c r="Y82" s="996"/>
      <c r="Z82" s="996"/>
      <c r="AA82" s="996"/>
      <c r="AB82" s="996"/>
      <c r="AC82" s="996"/>
      <c r="AD82" s="996"/>
      <c r="AE82" s="996"/>
      <c r="AF82" s="996"/>
      <c r="AG82" s="996"/>
      <c r="AH82" s="996"/>
      <c r="AI82" s="996"/>
      <c r="AJ82" s="996"/>
      <c r="AK82" s="996"/>
      <c r="AL82" s="996"/>
      <c r="AM82" s="996"/>
      <c r="AN82" s="996"/>
      <c r="AO82" s="996"/>
      <c r="AP82" s="996"/>
      <c r="AQ82" s="996"/>
      <c r="AR82" s="996"/>
      <c r="AS82" s="1015"/>
      <c r="AT82" s="364"/>
      <c r="AU82" s="1034"/>
      <c r="AV82" s="996"/>
      <c r="AW82" s="996"/>
      <c r="AX82" s="996"/>
      <c r="AY82" s="996"/>
      <c r="AZ82" s="996"/>
      <c r="BA82" s="996"/>
      <c r="BB82" s="996"/>
      <c r="BC82" s="996"/>
      <c r="BD82" s="996"/>
      <c r="BE82" s="996"/>
      <c r="BF82" s="996"/>
      <c r="BG82" s="996"/>
      <c r="BH82" s="996"/>
      <c r="BI82" s="996"/>
      <c r="BJ82" s="996"/>
      <c r="BK82" s="996"/>
      <c r="BL82" s="996"/>
      <c r="BM82" s="996"/>
      <c r="BN82" s="996"/>
      <c r="BO82" s="996"/>
      <c r="BP82" s="996"/>
      <c r="BQ82" s="996"/>
      <c r="BR82" s="1015"/>
    </row>
    <row r="83" spans="1:70" ht="18" customHeight="1">
      <c r="A83" s="245"/>
      <c r="B83" s="1103"/>
      <c r="C83" s="996"/>
      <c r="D83" s="1182"/>
      <c r="E83" s="1013"/>
      <c r="F83" s="1174"/>
      <c r="G83" s="996"/>
      <c r="H83" s="996"/>
      <c r="I83" s="996"/>
      <c r="J83" s="996"/>
      <c r="K83" s="996"/>
      <c r="L83" s="996"/>
      <c r="M83" s="1013"/>
      <c r="N83" s="1047"/>
      <c r="O83" s="996"/>
      <c r="P83" s="996"/>
      <c r="Q83" s="996"/>
      <c r="R83" s="996"/>
      <c r="S83" s="996"/>
      <c r="T83" s="996"/>
      <c r="U83" s="1015"/>
      <c r="W83" s="1034"/>
      <c r="X83" s="996"/>
      <c r="Y83" s="996"/>
      <c r="Z83" s="996"/>
      <c r="AA83" s="996"/>
      <c r="AB83" s="996"/>
      <c r="AC83" s="996"/>
      <c r="AD83" s="996"/>
      <c r="AE83" s="996"/>
      <c r="AF83" s="996"/>
      <c r="AG83" s="996"/>
      <c r="AH83" s="996"/>
      <c r="AI83" s="996"/>
      <c r="AJ83" s="996"/>
      <c r="AK83" s="996"/>
      <c r="AL83" s="996"/>
      <c r="AM83" s="996"/>
      <c r="AN83" s="996"/>
      <c r="AO83" s="996"/>
      <c r="AP83" s="996"/>
      <c r="AQ83" s="996"/>
      <c r="AR83" s="996"/>
      <c r="AS83" s="1015"/>
      <c r="AT83" s="364"/>
      <c r="AU83" s="1034"/>
      <c r="AV83" s="996"/>
      <c r="AW83" s="996"/>
      <c r="AX83" s="996"/>
      <c r="AY83" s="996"/>
      <c r="AZ83" s="996"/>
      <c r="BA83" s="996"/>
      <c r="BB83" s="996"/>
      <c r="BC83" s="996"/>
      <c r="BD83" s="996"/>
      <c r="BE83" s="996"/>
      <c r="BF83" s="996"/>
      <c r="BG83" s="996"/>
      <c r="BH83" s="996"/>
      <c r="BI83" s="996"/>
      <c r="BJ83" s="996"/>
      <c r="BK83" s="996"/>
      <c r="BL83" s="996"/>
      <c r="BM83" s="996"/>
      <c r="BN83" s="996"/>
      <c r="BO83" s="996"/>
      <c r="BP83" s="996"/>
      <c r="BQ83" s="996"/>
      <c r="BR83" s="1015"/>
    </row>
    <row r="84" spans="1:70" ht="18" customHeight="1">
      <c r="A84" s="245"/>
      <c r="B84" s="1102"/>
      <c r="C84" s="996"/>
      <c r="D84" s="1183"/>
      <c r="E84" s="1013"/>
      <c r="F84" s="1071"/>
      <c r="G84" s="996"/>
      <c r="H84" s="996"/>
      <c r="I84" s="996"/>
      <c r="J84" s="996"/>
      <c r="K84" s="996"/>
      <c r="L84" s="996"/>
      <c r="M84" s="1013"/>
      <c r="N84" s="1040"/>
      <c r="O84" s="996"/>
      <c r="P84" s="996"/>
      <c r="Q84" s="996"/>
      <c r="R84" s="996"/>
      <c r="S84" s="996"/>
      <c r="T84" s="996"/>
      <c r="U84" s="1015"/>
      <c r="W84" s="1034"/>
      <c r="X84" s="996"/>
      <c r="Y84" s="996"/>
      <c r="Z84" s="996"/>
      <c r="AA84" s="996"/>
      <c r="AB84" s="996"/>
      <c r="AC84" s="996"/>
      <c r="AD84" s="996"/>
      <c r="AE84" s="996"/>
      <c r="AF84" s="996"/>
      <c r="AG84" s="996"/>
      <c r="AH84" s="996"/>
      <c r="AI84" s="996"/>
      <c r="AJ84" s="996"/>
      <c r="AK84" s="996"/>
      <c r="AL84" s="996"/>
      <c r="AM84" s="996"/>
      <c r="AN84" s="996"/>
      <c r="AO84" s="996"/>
      <c r="AP84" s="996"/>
      <c r="AQ84" s="996"/>
      <c r="AR84" s="996"/>
      <c r="AS84" s="1015"/>
      <c r="AT84" s="364"/>
      <c r="AU84" s="1034"/>
      <c r="AV84" s="996"/>
      <c r="AW84" s="996"/>
      <c r="AX84" s="996"/>
      <c r="AY84" s="996"/>
      <c r="AZ84" s="996"/>
      <c r="BA84" s="996"/>
      <c r="BB84" s="996"/>
      <c r="BC84" s="996"/>
      <c r="BD84" s="996"/>
      <c r="BE84" s="996"/>
      <c r="BF84" s="996"/>
      <c r="BG84" s="996"/>
      <c r="BH84" s="996"/>
      <c r="BI84" s="996"/>
      <c r="BJ84" s="996"/>
      <c r="BK84" s="996"/>
      <c r="BL84" s="996"/>
      <c r="BM84" s="996"/>
      <c r="BN84" s="996"/>
      <c r="BO84" s="996"/>
      <c r="BP84" s="996"/>
      <c r="BQ84" s="996"/>
      <c r="BR84" s="1015"/>
    </row>
    <row r="85" spans="1:70" ht="18" customHeight="1">
      <c r="A85" s="245"/>
      <c r="B85" s="1103"/>
      <c r="C85" s="996"/>
      <c r="D85" s="1182"/>
      <c r="E85" s="1013"/>
      <c r="F85" s="1174"/>
      <c r="G85" s="996"/>
      <c r="H85" s="996"/>
      <c r="I85" s="996"/>
      <c r="J85" s="996"/>
      <c r="K85" s="996"/>
      <c r="L85" s="996"/>
      <c r="M85" s="1013"/>
      <c r="N85" s="1047"/>
      <c r="O85" s="996"/>
      <c r="P85" s="996"/>
      <c r="Q85" s="996"/>
      <c r="R85" s="996"/>
      <c r="S85" s="996"/>
      <c r="T85" s="996"/>
      <c r="U85" s="1015"/>
      <c r="W85" s="1034"/>
      <c r="X85" s="996"/>
      <c r="Y85" s="996"/>
      <c r="Z85" s="996"/>
      <c r="AA85" s="996"/>
      <c r="AB85" s="996"/>
      <c r="AC85" s="996"/>
      <c r="AD85" s="996"/>
      <c r="AE85" s="996"/>
      <c r="AF85" s="996"/>
      <c r="AG85" s="996"/>
      <c r="AH85" s="996"/>
      <c r="AI85" s="996"/>
      <c r="AJ85" s="996"/>
      <c r="AK85" s="996"/>
      <c r="AL85" s="996"/>
      <c r="AM85" s="996"/>
      <c r="AN85" s="996"/>
      <c r="AO85" s="996"/>
      <c r="AP85" s="996"/>
      <c r="AQ85" s="996"/>
      <c r="AR85" s="996"/>
      <c r="AS85" s="1015"/>
      <c r="AT85" s="364"/>
      <c r="AU85" s="1034"/>
      <c r="AV85" s="996"/>
      <c r="AW85" s="996"/>
      <c r="AX85" s="996"/>
      <c r="AY85" s="996"/>
      <c r="AZ85" s="996"/>
      <c r="BA85" s="996"/>
      <c r="BB85" s="996"/>
      <c r="BC85" s="996"/>
      <c r="BD85" s="996"/>
      <c r="BE85" s="996"/>
      <c r="BF85" s="996"/>
      <c r="BG85" s="996"/>
      <c r="BH85" s="996"/>
      <c r="BI85" s="996"/>
      <c r="BJ85" s="996"/>
      <c r="BK85" s="996"/>
      <c r="BL85" s="996"/>
      <c r="BM85" s="996"/>
      <c r="BN85" s="996"/>
      <c r="BO85" s="996"/>
      <c r="BP85" s="996"/>
      <c r="BQ85" s="996"/>
      <c r="BR85" s="1015"/>
    </row>
    <row r="86" spans="1:70" ht="18" customHeight="1">
      <c r="A86" s="245"/>
      <c r="B86" s="1102"/>
      <c r="C86" s="996"/>
      <c r="D86" s="1183"/>
      <c r="E86" s="1013"/>
      <c r="F86" s="1071"/>
      <c r="G86" s="996"/>
      <c r="H86" s="996"/>
      <c r="I86" s="996"/>
      <c r="J86" s="996"/>
      <c r="K86" s="996"/>
      <c r="L86" s="996"/>
      <c r="M86" s="1013"/>
      <c r="N86" s="1040"/>
      <c r="O86" s="996"/>
      <c r="P86" s="996"/>
      <c r="Q86" s="996"/>
      <c r="R86" s="996"/>
      <c r="S86" s="996"/>
      <c r="T86" s="996"/>
      <c r="U86" s="1015"/>
      <c r="W86" s="1034"/>
      <c r="X86" s="996"/>
      <c r="Y86" s="996"/>
      <c r="Z86" s="996"/>
      <c r="AA86" s="996"/>
      <c r="AB86" s="996"/>
      <c r="AC86" s="996"/>
      <c r="AD86" s="996"/>
      <c r="AE86" s="996"/>
      <c r="AF86" s="996"/>
      <c r="AG86" s="996"/>
      <c r="AH86" s="996"/>
      <c r="AI86" s="996"/>
      <c r="AJ86" s="996"/>
      <c r="AK86" s="996"/>
      <c r="AL86" s="996"/>
      <c r="AM86" s="996"/>
      <c r="AN86" s="996"/>
      <c r="AO86" s="996"/>
      <c r="AP86" s="996"/>
      <c r="AQ86" s="996"/>
      <c r="AR86" s="996"/>
      <c r="AS86" s="1015"/>
      <c r="AT86" s="364"/>
      <c r="AU86" s="1034"/>
      <c r="AV86" s="996"/>
      <c r="AW86" s="996"/>
      <c r="AX86" s="996"/>
      <c r="AY86" s="996"/>
      <c r="AZ86" s="996"/>
      <c r="BA86" s="996"/>
      <c r="BB86" s="996"/>
      <c r="BC86" s="996"/>
      <c r="BD86" s="996"/>
      <c r="BE86" s="996"/>
      <c r="BF86" s="996"/>
      <c r="BG86" s="996"/>
      <c r="BH86" s="996"/>
      <c r="BI86" s="996"/>
      <c r="BJ86" s="996"/>
      <c r="BK86" s="996"/>
      <c r="BL86" s="996"/>
      <c r="BM86" s="996"/>
      <c r="BN86" s="996"/>
      <c r="BO86" s="996"/>
      <c r="BP86" s="996"/>
      <c r="BQ86" s="996"/>
      <c r="BR86" s="1015"/>
    </row>
    <row r="87" spans="1:70" ht="18" customHeight="1">
      <c r="A87" s="245"/>
      <c r="B87" s="1103"/>
      <c r="C87" s="996"/>
      <c r="D87" s="1182"/>
      <c r="E87" s="1013"/>
      <c r="F87" s="1174"/>
      <c r="G87" s="996"/>
      <c r="H87" s="996"/>
      <c r="I87" s="996"/>
      <c r="J87" s="996"/>
      <c r="K87" s="996"/>
      <c r="L87" s="996"/>
      <c r="M87" s="1013"/>
      <c r="N87" s="1047"/>
      <c r="O87" s="996"/>
      <c r="P87" s="996"/>
      <c r="Q87" s="996"/>
      <c r="R87" s="996"/>
      <c r="S87" s="996"/>
      <c r="T87" s="996"/>
      <c r="U87" s="1015"/>
      <c r="W87" s="1034"/>
      <c r="X87" s="996"/>
      <c r="Y87" s="996"/>
      <c r="Z87" s="996"/>
      <c r="AA87" s="996"/>
      <c r="AB87" s="996"/>
      <c r="AC87" s="996"/>
      <c r="AD87" s="996"/>
      <c r="AE87" s="996"/>
      <c r="AF87" s="996"/>
      <c r="AG87" s="996"/>
      <c r="AH87" s="996"/>
      <c r="AI87" s="996"/>
      <c r="AJ87" s="996"/>
      <c r="AK87" s="996"/>
      <c r="AL87" s="996"/>
      <c r="AM87" s="996"/>
      <c r="AN87" s="996"/>
      <c r="AO87" s="996"/>
      <c r="AP87" s="996"/>
      <c r="AQ87" s="996"/>
      <c r="AR87" s="996"/>
      <c r="AS87" s="1015"/>
      <c r="AT87" s="364"/>
      <c r="AU87" s="1034"/>
      <c r="AV87" s="996"/>
      <c r="AW87" s="996"/>
      <c r="AX87" s="996"/>
      <c r="AY87" s="996"/>
      <c r="AZ87" s="996"/>
      <c r="BA87" s="996"/>
      <c r="BB87" s="996"/>
      <c r="BC87" s="996"/>
      <c r="BD87" s="996"/>
      <c r="BE87" s="996"/>
      <c r="BF87" s="996"/>
      <c r="BG87" s="996"/>
      <c r="BH87" s="996"/>
      <c r="BI87" s="996"/>
      <c r="BJ87" s="996"/>
      <c r="BK87" s="996"/>
      <c r="BL87" s="996"/>
      <c r="BM87" s="996"/>
      <c r="BN87" s="996"/>
      <c r="BO87" s="996"/>
      <c r="BP87" s="996"/>
      <c r="BQ87" s="996"/>
      <c r="BR87" s="1015"/>
    </row>
    <row r="88" spans="1:70" ht="18" customHeight="1">
      <c r="A88" s="245"/>
      <c r="B88" s="1102"/>
      <c r="C88" s="996"/>
      <c r="D88" s="1183" t="s">
        <v>212</v>
      </c>
      <c r="E88" s="1013"/>
      <c r="F88" s="1071"/>
      <c r="G88" s="996"/>
      <c r="H88" s="996"/>
      <c r="I88" s="996"/>
      <c r="J88" s="996"/>
      <c r="K88" s="996"/>
      <c r="L88" s="996"/>
      <c r="M88" s="1013"/>
      <c r="N88" s="1040"/>
      <c r="O88" s="996"/>
      <c r="P88" s="996"/>
      <c r="Q88" s="996"/>
      <c r="R88" s="996"/>
      <c r="S88" s="996"/>
      <c r="T88" s="996"/>
      <c r="U88" s="1015"/>
      <c r="W88" s="1034"/>
      <c r="X88" s="996"/>
      <c r="Y88" s="996"/>
      <c r="Z88" s="996"/>
      <c r="AA88" s="996"/>
      <c r="AB88" s="996"/>
      <c r="AC88" s="996"/>
      <c r="AD88" s="996"/>
      <c r="AE88" s="996"/>
      <c r="AF88" s="996"/>
      <c r="AG88" s="996"/>
      <c r="AH88" s="996"/>
      <c r="AI88" s="996"/>
      <c r="AJ88" s="996"/>
      <c r="AK88" s="996"/>
      <c r="AL88" s="996"/>
      <c r="AM88" s="996"/>
      <c r="AN88" s="996"/>
      <c r="AO88" s="996"/>
      <c r="AP88" s="996"/>
      <c r="AQ88" s="996"/>
      <c r="AR88" s="996"/>
      <c r="AS88" s="1015"/>
      <c r="AT88" s="364"/>
      <c r="AU88" s="1034"/>
      <c r="AV88" s="996"/>
      <c r="AW88" s="996"/>
      <c r="AX88" s="996"/>
      <c r="AY88" s="996"/>
      <c r="AZ88" s="996"/>
      <c r="BA88" s="996"/>
      <c r="BB88" s="996"/>
      <c r="BC88" s="996"/>
      <c r="BD88" s="996"/>
      <c r="BE88" s="996"/>
      <c r="BF88" s="996"/>
      <c r="BG88" s="996"/>
      <c r="BH88" s="996"/>
      <c r="BI88" s="996"/>
      <c r="BJ88" s="996"/>
      <c r="BK88" s="996"/>
      <c r="BL88" s="996"/>
      <c r="BM88" s="996"/>
      <c r="BN88" s="996"/>
      <c r="BO88" s="996"/>
      <c r="BP88" s="996"/>
      <c r="BQ88" s="996"/>
      <c r="BR88" s="1015"/>
    </row>
    <row r="89" spans="1:70" ht="18" customHeight="1">
      <c r="A89" s="245"/>
      <c r="B89" s="1103"/>
      <c r="C89" s="996"/>
      <c r="D89" s="1182"/>
      <c r="E89" s="1013"/>
      <c r="F89" s="1174"/>
      <c r="G89" s="996"/>
      <c r="H89" s="996"/>
      <c r="I89" s="996"/>
      <c r="J89" s="996"/>
      <c r="K89" s="996"/>
      <c r="L89" s="996"/>
      <c r="M89" s="1013"/>
      <c r="N89" s="1047"/>
      <c r="O89" s="996"/>
      <c r="P89" s="996"/>
      <c r="Q89" s="996"/>
      <c r="R89" s="996"/>
      <c r="S89" s="996"/>
      <c r="T89" s="996"/>
      <c r="U89" s="1015"/>
      <c r="W89" s="1034"/>
      <c r="X89" s="996"/>
      <c r="Y89" s="996"/>
      <c r="Z89" s="996"/>
      <c r="AA89" s="996"/>
      <c r="AB89" s="996"/>
      <c r="AC89" s="996"/>
      <c r="AD89" s="996"/>
      <c r="AE89" s="996"/>
      <c r="AF89" s="996"/>
      <c r="AG89" s="996"/>
      <c r="AH89" s="996"/>
      <c r="AI89" s="996"/>
      <c r="AJ89" s="996"/>
      <c r="AK89" s="996"/>
      <c r="AL89" s="996"/>
      <c r="AM89" s="996"/>
      <c r="AN89" s="996"/>
      <c r="AO89" s="996"/>
      <c r="AP89" s="996"/>
      <c r="AQ89" s="996"/>
      <c r="AR89" s="996"/>
      <c r="AS89" s="1015"/>
      <c r="AT89" s="364"/>
      <c r="AU89" s="1034"/>
      <c r="AV89" s="996"/>
      <c r="AW89" s="996"/>
      <c r="AX89" s="996"/>
      <c r="AY89" s="996"/>
      <c r="AZ89" s="996"/>
      <c r="BA89" s="996"/>
      <c r="BB89" s="996"/>
      <c r="BC89" s="996"/>
      <c r="BD89" s="996"/>
      <c r="BE89" s="996"/>
      <c r="BF89" s="996"/>
      <c r="BG89" s="996"/>
      <c r="BH89" s="996"/>
      <c r="BI89" s="996"/>
      <c r="BJ89" s="996"/>
      <c r="BK89" s="996"/>
      <c r="BL89" s="996"/>
      <c r="BM89" s="996"/>
      <c r="BN89" s="996"/>
      <c r="BO89" s="996"/>
      <c r="BP89" s="996"/>
      <c r="BQ89" s="996"/>
      <c r="BR89" s="1015"/>
    </row>
    <row r="90" spans="1:70" ht="18" customHeight="1">
      <c r="A90" s="245"/>
      <c r="B90" s="1102"/>
      <c r="C90" s="996"/>
      <c r="D90" s="1183"/>
      <c r="E90" s="1013"/>
      <c r="F90" s="1071"/>
      <c r="G90" s="996"/>
      <c r="H90" s="996"/>
      <c r="I90" s="996"/>
      <c r="J90" s="996"/>
      <c r="K90" s="996"/>
      <c r="L90" s="996"/>
      <c r="M90" s="1013"/>
      <c r="N90" s="1040"/>
      <c r="O90" s="996"/>
      <c r="P90" s="996"/>
      <c r="Q90" s="996"/>
      <c r="R90" s="996"/>
      <c r="S90" s="996"/>
      <c r="T90" s="996"/>
      <c r="U90" s="1015"/>
      <c r="W90" s="1034"/>
      <c r="X90" s="996"/>
      <c r="Y90" s="996"/>
      <c r="Z90" s="996"/>
      <c r="AA90" s="996"/>
      <c r="AB90" s="996"/>
      <c r="AC90" s="996"/>
      <c r="AD90" s="996"/>
      <c r="AE90" s="996"/>
      <c r="AF90" s="996"/>
      <c r="AG90" s="996"/>
      <c r="AH90" s="996"/>
      <c r="AI90" s="996"/>
      <c r="AJ90" s="996"/>
      <c r="AK90" s="996"/>
      <c r="AL90" s="996"/>
      <c r="AM90" s="996"/>
      <c r="AN90" s="996"/>
      <c r="AO90" s="996"/>
      <c r="AP90" s="996"/>
      <c r="AQ90" s="996"/>
      <c r="AR90" s="996"/>
      <c r="AS90" s="1015"/>
      <c r="AT90" s="364"/>
      <c r="AU90" s="1034"/>
      <c r="AV90" s="996"/>
      <c r="AW90" s="996"/>
      <c r="AX90" s="996"/>
      <c r="AY90" s="996"/>
      <c r="AZ90" s="996"/>
      <c r="BA90" s="996"/>
      <c r="BB90" s="996"/>
      <c r="BC90" s="996"/>
      <c r="BD90" s="996"/>
      <c r="BE90" s="996"/>
      <c r="BF90" s="996"/>
      <c r="BG90" s="996"/>
      <c r="BH90" s="996"/>
      <c r="BI90" s="996"/>
      <c r="BJ90" s="996"/>
      <c r="BK90" s="996"/>
      <c r="BL90" s="996"/>
      <c r="BM90" s="996"/>
      <c r="BN90" s="996"/>
      <c r="BO90" s="996"/>
      <c r="BP90" s="996"/>
      <c r="BQ90" s="996"/>
      <c r="BR90" s="1015"/>
    </row>
    <row r="91" spans="1:70" ht="18" customHeight="1">
      <c r="A91" s="245"/>
      <c r="B91" s="1186"/>
      <c r="C91" s="996"/>
      <c r="D91" s="1126"/>
      <c r="E91" s="1013"/>
      <c r="F91" s="1333"/>
      <c r="G91" s="996"/>
      <c r="H91" s="996"/>
      <c r="I91" s="996"/>
      <c r="J91" s="996"/>
      <c r="K91" s="996"/>
      <c r="L91" s="996"/>
      <c r="M91" s="1013"/>
      <c r="N91" s="1362"/>
      <c r="O91" s="996"/>
      <c r="P91" s="996"/>
      <c r="Q91" s="996"/>
      <c r="R91" s="996"/>
      <c r="S91" s="996"/>
      <c r="T91" s="996"/>
      <c r="U91" s="1015"/>
      <c r="W91" s="1034"/>
      <c r="X91" s="996"/>
      <c r="Y91" s="996"/>
      <c r="Z91" s="996"/>
      <c r="AA91" s="996"/>
      <c r="AB91" s="996"/>
      <c r="AC91" s="996"/>
      <c r="AD91" s="996"/>
      <c r="AE91" s="996"/>
      <c r="AF91" s="996"/>
      <c r="AG91" s="996"/>
      <c r="AH91" s="996"/>
      <c r="AI91" s="996"/>
      <c r="AJ91" s="996"/>
      <c r="AK91" s="996"/>
      <c r="AL91" s="996"/>
      <c r="AM91" s="996"/>
      <c r="AN91" s="996"/>
      <c r="AO91" s="996"/>
      <c r="AP91" s="996"/>
      <c r="AQ91" s="996"/>
      <c r="AR91" s="996"/>
      <c r="AS91" s="1015"/>
      <c r="AT91" s="364"/>
      <c r="AU91" s="1034"/>
      <c r="AV91" s="996"/>
      <c r="AW91" s="996"/>
      <c r="AX91" s="996"/>
      <c r="AY91" s="996"/>
      <c r="AZ91" s="996"/>
      <c r="BA91" s="996"/>
      <c r="BB91" s="996"/>
      <c r="BC91" s="996"/>
      <c r="BD91" s="996"/>
      <c r="BE91" s="996"/>
      <c r="BF91" s="996"/>
      <c r="BG91" s="996"/>
      <c r="BH91" s="996"/>
      <c r="BI91" s="996"/>
      <c r="BJ91" s="996"/>
      <c r="BK91" s="996"/>
      <c r="BL91" s="996"/>
      <c r="BM91" s="996"/>
      <c r="BN91" s="996"/>
      <c r="BO91" s="996"/>
      <c r="BP91" s="996"/>
      <c r="BQ91" s="996"/>
      <c r="BR91" s="1015"/>
    </row>
    <row r="92" spans="1:70" ht="18" customHeight="1">
      <c r="A92" s="245"/>
      <c r="B92" s="1102"/>
      <c r="C92" s="996"/>
      <c r="D92" s="1183"/>
      <c r="E92" s="1013"/>
      <c r="F92" s="1071"/>
      <c r="G92" s="996"/>
      <c r="H92" s="996"/>
      <c r="I92" s="996"/>
      <c r="J92" s="996"/>
      <c r="K92" s="996"/>
      <c r="L92" s="996"/>
      <c r="M92" s="1013"/>
      <c r="N92" s="1040"/>
      <c r="O92" s="996"/>
      <c r="P92" s="996"/>
      <c r="Q92" s="996"/>
      <c r="R92" s="996"/>
      <c r="S92" s="996"/>
      <c r="T92" s="996"/>
      <c r="U92" s="1015"/>
      <c r="W92" s="1034"/>
      <c r="X92" s="996"/>
      <c r="Y92" s="996"/>
      <c r="Z92" s="996"/>
      <c r="AA92" s="996"/>
      <c r="AB92" s="996"/>
      <c r="AC92" s="996"/>
      <c r="AD92" s="996"/>
      <c r="AE92" s="996"/>
      <c r="AF92" s="996"/>
      <c r="AG92" s="996"/>
      <c r="AH92" s="996"/>
      <c r="AI92" s="996"/>
      <c r="AJ92" s="996"/>
      <c r="AK92" s="996"/>
      <c r="AL92" s="996"/>
      <c r="AM92" s="996"/>
      <c r="AN92" s="996"/>
      <c r="AO92" s="996"/>
      <c r="AP92" s="996"/>
      <c r="AQ92" s="996"/>
      <c r="AR92" s="996"/>
      <c r="AS92" s="1015"/>
      <c r="AT92" s="364"/>
      <c r="AU92" s="1034"/>
      <c r="AV92" s="996"/>
      <c r="AW92" s="996"/>
      <c r="AX92" s="996"/>
      <c r="AY92" s="996"/>
      <c r="AZ92" s="996"/>
      <c r="BA92" s="996"/>
      <c r="BB92" s="996"/>
      <c r="BC92" s="996"/>
      <c r="BD92" s="996"/>
      <c r="BE92" s="996"/>
      <c r="BF92" s="996"/>
      <c r="BG92" s="996"/>
      <c r="BH92" s="996"/>
      <c r="BI92" s="996"/>
      <c r="BJ92" s="996"/>
      <c r="BK92" s="996"/>
      <c r="BL92" s="996"/>
      <c r="BM92" s="996"/>
      <c r="BN92" s="996"/>
      <c r="BO92" s="996"/>
      <c r="BP92" s="996"/>
      <c r="BQ92" s="996"/>
      <c r="BR92" s="1015"/>
    </row>
    <row r="93" spans="1:70" ht="18" customHeight="1" thickBot="1">
      <c r="A93" s="245"/>
      <c r="B93" s="1188"/>
      <c r="C93" s="1019"/>
      <c r="D93" s="1109"/>
      <c r="E93" s="1020"/>
      <c r="F93" s="1285"/>
      <c r="G93" s="1019"/>
      <c r="H93" s="1019"/>
      <c r="I93" s="1019"/>
      <c r="J93" s="1019"/>
      <c r="K93" s="1019"/>
      <c r="L93" s="1019"/>
      <c r="M93" s="1020"/>
      <c r="N93" s="1344"/>
      <c r="O93" s="1019"/>
      <c r="P93" s="1019"/>
      <c r="Q93" s="1019"/>
      <c r="R93" s="1019"/>
      <c r="S93" s="1019"/>
      <c r="T93" s="1019"/>
      <c r="U93" s="1091"/>
      <c r="W93" s="1090"/>
      <c r="X93" s="1019"/>
      <c r="Y93" s="1019"/>
      <c r="Z93" s="1019"/>
      <c r="AA93" s="1019"/>
      <c r="AB93" s="1019"/>
      <c r="AC93" s="1019"/>
      <c r="AD93" s="1019"/>
      <c r="AE93" s="1019"/>
      <c r="AF93" s="1019"/>
      <c r="AG93" s="1019"/>
      <c r="AH93" s="1019"/>
      <c r="AI93" s="1019"/>
      <c r="AJ93" s="1019"/>
      <c r="AK93" s="1019"/>
      <c r="AL93" s="1019"/>
      <c r="AM93" s="1019"/>
      <c r="AN93" s="1019"/>
      <c r="AO93" s="1019"/>
      <c r="AP93" s="1019"/>
      <c r="AQ93" s="1019"/>
      <c r="AR93" s="1019"/>
      <c r="AS93" s="1091"/>
      <c r="AT93" s="364"/>
      <c r="AU93" s="1034"/>
      <c r="AV93" s="996"/>
      <c r="AW93" s="996"/>
      <c r="AX93" s="996"/>
      <c r="AY93" s="996"/>
      <c r="AZ93" s="996"/>
      <c r="BA93" s="996"/>
      <c r="BB93" s="996"/>
      <c r="BC93" s="996"/>
      <c r="BD93" s="996"/>
      <c r="BE93" s="996"/>
      <c r="BF93" s="996"/>
      <c r="BG93" s="996"/>
      <c r="BH93" s="996"/>
      <c r="BI93" s="996"/>
      <c r="BJ93" s="996"/>
      <c r="BK93" s="996"/>
      <c r="BL93" s="996"/>
      <c r="BM93" s="996"/>
      <c r="BN93" s="996"/>
      <c r="BO93" s="996"/>
      <c r="BP93" s="996"/>
      <c r="BQ93" s="996"/>
      <c r="BR93" s="1015"/>
    </row>
    <row r="94" spans="1:70" ht="18" customHeight="1" thickBot="1">
      <c r="AH94" s="364"/>
      <c r="AS94" s="364"/>
      <c r="AT94" s="364"/>
      <c r="AU94" s="1034"/>
      <c r="AV94" s="996"/>
      <c r="AW94" s="996"/>
      <c r="AX94" s="996"/>
      <c r="AY94" s="996"/>
      <c r="AZ94" s="996"/>
      <c r="BA94" s="996"/>
      <c r="BB94" s="996"/>
      <c r="BC94" s="996"/>
      <c r="BD94" s="996"/>
      <c r="BE94" s="996"/>
      <c r="BF94" s="996"/>
      <c r="BG94" s="996"/>
      <c r="BH94" s="996"/>
      <c r="BI94" s="996"/>
      <c r="BJ94" s="996"/>
      <c r="BK94" s="996"/>
      <c r="BL94" s="996"/>
      <c r="BM94" s="996"/>
      <c r="BN94" s="996"/>
      <c r="BO94" s="996"/>
      <c r="BP94" s="996"/>
      <c r="BQ94" s="996"/>
      <c r="BR94" s="1015"/>
    </row>
    <row r="95" spans="1:70" ht="18" customHeight="1">
      <c r="B95" s="1022" t="s">
        <v>213</v>
      </c>
      <c r="C95" s="1023"/>
      <c r="D95" s="1023"/>
      <c r="E95" s="1023"/>
      <c r="F95" s="1023"/>
      <c r="G95" s="1023"/>
      <c r="H95" s="1023"/>
      <c r="I95" s="1023"/>
      <c r="J95" s="1023"/>
      <c r="K95" s="1023"/>
      <c r="L95" s="1023"/>
      <c r="M95" s="1023"/>
      <c r="N95" s="1023"/>
      <c r="O95" s="1023"/>
      <c r="P95" s="1023"/>
      <c r="Q95" s="1023"/>
      <c r="R95" s="1023"/>
      <c r="S95" s="1023"/>
      <c r="T95" s="1023"/>
      <c r="U95" s="1024"/>
      <c r="W95" s="1189" t="s">
        <v>214</v>
      </c>
      <c r="X95" s="1088"/>
      <c r="Y95" s="1088"/>
      <c r="Z95" s="1088"/>
      <c r="AA95" s="1088"/>
      <c r="AB95" s="1088"/>
      <c r="AC95" s="1088"/>
      <c r="AD95" s="1088"/>
      <c r="AE95" s="1088"/>
      <c r="AF95" s="1088"/>
      <c r="AG95" s="1088"/>
      <c r="AH95" s="1088"/>
      <c r="AI95" s="1088"/>
      <c r="AJ95" s="1088"/>
      <c r="AK95" s="1088"/>
      <c r="AL95" s="1088"/>
      <c r="AM95" s="1088"/>
      <c r="AN95" s="1088"/>
      <c r="AO95" s="1088"/>
      <c r="AP95" s="1088"/>
      <c r="AQ95" s="1088"/>
      <c r="AR95" s="1088"/>
      <c r="AS95" s="1089"/>
      <c r="AT95" s="364"/>
      <c r="AU95" s="1034"/>
      <c r="AV95" s="996"/>
      <c r="AW95" s="996"/>
      <c r="AX95" s="996"/>
      <c r="AY95" s="996"/>
      <c r="AZ95" s="996"/>
      <c r="BA95" s="996"/>
      <c r="BB95" s="996"/>
      <c r="BC95" s="996"/>
      <c r="BD95" s="996"/>
      <c r="BE95" s="996"/>
      <c r="BF95" s="996"/>
      <c r="BG95" s="996"/>
      <c r="BH95" s="996"/>
      <c r="BI95" s="996"/>
      <c r="BJ95" s="996"/>
      <c r="BK95" s="996"/>
      <c r="BL95" s="996"/>
      <c r="BM95" s="996"/>
      <c r="BN95" s="996"/>
      <c r="BO95" s="996"/>
      <c r="BP95" s="996"/>
      <c r="BQ95" s="996"/>
      <c r="BR95" s="1015"/>
    </row>
    <row r="96" spans="1:70" ht="18" customHeight="1">
      <c r="B96" s="1135" t="s">
        <v>215</v>
      </c>
      <c r="C96" s="1033"/>
      <c r="D96" s="1033"/>
      <c r="E96" s="1033"/>
      <c r="F96" s="1033"/>
      <c r="G96" s="1033"/>
      <c r="H96" s="1033"/>
      <c r="I96" s="1031"/>
      <c r="J96" s="1338" t="s">
        <v>216</v>
      </c>
      <c r="K96" s="1033"/>
      <c r="L96" s="1033"/>
      <c r="M96" s="1033"/>
      <c r="N96" s="1033"/>
      <c r="O96" s="1033"/>
      <c r="P96" s="1033"/>
      <c r="Q96" s="1033"/>
      <c r="R96" s="1033"/>
      <c r="S96" s="1033"/>
      <c r="T96" s="1033"/>
      <c r="U96" s="1031"/>
      <c r="W96" s="1191" t="s">
        <v>217</v>
      </c>
      <c r="X96" s="1007"/>
      <c r="Y96" s="1007"/>
      <c r="Z96" s="1007"/>
      <c r="AA96" s="1007"/>
      <c r="AB96" s="1007"/>
      <c r="AC96" s="1007"/>
      <c r="AD96" s="1007"/>
      <c r="AE96" s="1007"/>
      <c r="AF96" s="1007"/>
      <c r="AG96" s="1007"/>
      <c r="AH96" s="1007"/>
      <c r="AI96" s="1007"/>
      <c r="AJ96" s="1007"/>
      <c r="AK96" s="1007"/>
      <c r="AL96" s="1007"/>
      <c r="AM96" s="1007"/>
      <c r="AN96" s="1007"/>
      <c r="AO96" s="1007"/>
      <c r="AP96" s="1007"/>
      <c r="AQ96" s="1007"/>
      <c r="AR96" s="1007"/>
      <c r="AS96" s="1084"/>
      <c r="AT96" s="364"/>
      <c r="AU96" s="1034"/>
      <c r="AV96" s="996"/>
      <c r="AW96" s="996"/>
      <c r="AX96" s="996"/>
      <c r="AY96" s="996"/>
      <c r="AZ96" s="996"/>
      <c r="BA96" s="996"/>
      <c r="BB96" s="996"/>
      <c r="BC96" s="996"/>
      <c r="BD96" s="996"/>
      <c r="BE96" s="996"/>
      <c r="BF96" s="996"/>
      <c r="BG96" s="996"/>
      <c r="BH96" s="996"/>
      <c r="BI96" s="996"/>
      <c r="BJ96" s="996"/>
      <c r="BK96" s="996"/>
      <c r="BL96" s="996"/>
      <c r="BM96" s="996"/>
      <c r="BN96" s="996"/>
      <c r="BO96" s="996"/>
      <c r="BP96" s="996"/>
      <c r="BQ96" s="996"/>
      <c r="BR96" s="1015"/>
    </row>
    <row r="97" spans="2:70" ht="18" customHeight="1">
      <c r="B97" s="1048" t="s">
        <v>218</v>
      </c>
      <c r="C97" s="996"/>
      <c r="D97" s="996"/>
      <c r="E97" s="996"/>
      <c r="F97" s="996"/>
      <c r="G97" s="996"/>
      <c r="H97" s="996"/>
      <c r="I97" s="1013"/>
      <c r="J97" s="1043" t="s">
        <v>219</v>
      </c>
      <c r="K97" s="996"/>
      <c r="L97" s="996"/>
      <c r="M97" s="996"/>
      <c r="N97" s="996"/>
      <c r="O97" s="996"/>
      <c r="P97" s="996"/>
      <c r="Q97" s="996"/>
      <c r="R97" s="996"/>
      <c r="S97" s="996"/>
      <c r="T97" s="996"/>
      <c r="U97" s="1015"/>
      <c r="W97" s="1072" t="s">
        <v>220</v>
      </c>
      <c r="X97" s="1036"/>
      <c r="Y97" s="1036"/>
      <c r="Z97" s="1027"/>
      <c r="AA97" s="1209" t="s">
        <v>221</v>
      </c>
      <c r="AB97" s="1036"/>
      <c r="AC97" s="1036"/>
      <c r="AD97" s="1036"/>
      <c r="AE97" s="1036"/>
      <c r="AF97" s="1036"/>
      <c r="AG97" s="1036"/>
      <c r="AH97" s="1036"/>
      <c r="AI97" s="1036"/>
      <c r="AJ97" s="1036"/>
      <c r="AK97" s="1261" t="s">
        <v>108</v>
      </c>
      <c r="AL97" s="1036"/>
      <c r="AM97" s="1036"/>
      <c r="AN97" s="1036"/>
      <c r="AO97" s="1036"/>
      <c r="AP97" s="1036"/>
      <c r="AQ97" s="1027"/>
      <c r="AR97" s="997" t="s">
        <v>222</v>
      </c>
      <c r="AS97" s="998"/>
      <c r="AT97" s="364"/>
      <c r="AU97" s="1034"/>
      <c r="AV97" s="996"/>
      <c r="AW97" s="996"/>
      <c r="AX97" s="996"/>
      <c r="AY97" s="996"/>
      <c r="AZ97" s="996"/>
      <c r="BA97" s="996"/>
      <c r="BB97" s="996"/>
      <c r="BC97" s="996"/>
      <c r="BD97" s="996"/>
      <c r="BE97" s="996"/>
      <c r="BF97" s="996"/>
      <c r="BG97" s="996"/>
      <c r="BH97" s="996"/>
      <c r="BI97" s="996"/>
      <c r="BJ97" s="996"/>
      <c r="BK97" s="996"/>
      <c r="BL97" s="996"/>
      <c r="BM97" s="996"/>
      <c r="BN97" s="996"/>
      <c r="BO97" s="996"/>
      <c r="BP97" s="996"/>
      <c r="BQ97" s="996"/>
      <c r="BR97" s="1015"/>
    </row>
    <row r="98" spans="2:70" ht="18" customHeight="1">
      <c r="B98" s="1039" t="s">
        <v>223</v>
      </c>
      <c r="C98" s="996"/>
      <c r="D98" s="996"/>
      <c r="E98" s="996"/>
      <c r="F98" s="996"/>
      <c r="G98" s="996"/>
      <c r="H98" s="996"/>
      <c r="I98" s="1013"/>
      <c r="J98" s="1014" t="s">
        <v>224</v>
      </c>
      <c r="K98" s="996"/>
      <c r="L98" s="996"/>
      <c r="M98" s="996"/>
      <c r="N98" s="996"/>
      <c r="O98" s="996"/>
      <c r="P98" s="996"/>
      <c r="Q98" s="996"/>
      <c r="R98" s="996"/>
      <c r="S98" s="996"/>
      <c r="T98" s="996"/>
      <c r="U98" s="1015"/>
      <c r="W98" s="1039" t="s">
        <v>225</v>
      </c>
      <c r="X98" s="996"/>
      <c r="Y98" s="996"/>
      <c r="Z98" s="1013"/>
      <c r="AA98" s="1251" t="s">
        <v>226</v>
      </c>
      <c r="AB98" s="996"/>
      <c r="AC98" s="996"/>
      <c r="AD98" s="996"/>
      <c r="AE98" s="996"/>
      <c r="AF98" s="996"/>
      <c r="AG98" s="996"/>
      <c r="AH98" s="996"/>
      <c r="AI98" s="996"/>
      <c r="AJ98" s="996"/>
      <c r="AK98" s="1149" t="s">
        <v>227</v>
      </c>
      <c r="AL98" s="996"/>
      <c r="AM98" s="996"/>
      <c r="AN98" s="996"/>
      <c r="AO98" s="996"/>
      <c r="AP98" s="996"/>
      <c r="AQ98" s="1013"/>
      <c r="AR98" s="1014">
        <v>6</v>
      </c>
      <c r="AS98" s="1015"/>
      <c r="AT98" s="364"/>
      <c r="AU98" s="1034"/>
      <c r="AV98" s="996"/>
      <c r="AW98" s="996"/>
      <c r="AX98" s="996"/>
      <c r="AY98" s="996"/>
      <c r="AZ98" s="996"/>
      <c r="BA98" s="996"/>
      <c r="BB98" s="996"/>
      <c r="BC98" s="996"/>
      <c r="BD98" s="996"/>
      <c r="BE98" s="996"/>
      <c r="BF98" s="996"/>
      <c r="BG98" s="996"/>
      <c r="BH98" s="996"/>
      <c r="BI98" s="996"/>
      <c r="BJ98" s="996"/>
      <c r="BK98" s="996"/>
      <c r="BL98" s="996"/>
      <c r="BM98" s="996"/>
      <c r="BN98" s="996"/>
      <c r="BO98" s="996"/>
      <c r="BP98" s="996"/>
      <c r="BQ98" s="996"/>
      <c r="BR98" s="1015"/>
    </row>
    <row r="99" spans="2:70" ht="18" customHeight="1">
      <c r="B99" s="1048"/>
      <c r="C99" s="996"/>
      <c r="D99" s="996"/>
      <c r="E99" s="996"/>
      <c r="F99" s="996"/>
      <c r="G99" s="996"/>
      <c r="H99" s="996"/>
      <c r="I99" s="1013"/>
      <c r="J99" s="1043"/>
      <c r="K99" s="996"/>
      <c r="L99" s="996"/>
      <c r="M99" s="996"/>
      <c r="N99" s="996"/>
      <c r="O99" s="996"/>
      <c r="P99" s="996"/>
      <c r="Q99" s="996"/>
      <c r="R99" s="996"/>
      <c r="S99" s="996"/>
      <c r="T99" s="996"/>
      <c r="U99" s="1015"/>
      <c r="W99" s="1048" t="s">
        <v>228</v>
      </c>
      <c r="X99" s="996"/>
      <c r="Y99" s="996"/>
      <c r="Z99" s="1013"/>
      <c r="AA99" s="1317" t="s">
        <v>229</v>
      </c>
      <c r="AB99" s="996"/>
      <c r="AC99" s="996"/>
      <c r="AD99" s="996"/>
      <c r="AE99" s="996"/>
      <c r="AF99" s="996"/>
      <c r="AG99" s="996"/>
      <c r="AH99" s="996"/>
      <c r="AI99" s="996"/>
      <c r="AJ99" s="996"/>
      <c r="AK99" s="1360" t="s">
        <v>230</v>
      </c>
      <c r="AL99" s="996"/>
      <c r="AM99" s="996"/>
      <c r="AN99" s="996"/>
      <c r="AO99" s="996"/>
      <c r="AP99" s="996"/>
      <c r="AQ99" s="1013"/>
      <c r="AR99" s="1043">
        <v>5</v>
      </c>
      <c r="AS99" s="1015"/>
      <c r="AT99" s="364"/>
      <c r="AU99" s="1034"/>
      <c r="AV99" s="996"/>
      <c r="AW99" s="996"/>
      <c r="AX99" s="996"/>
      <c r="AY99" s="996"/>
      <c r="AZ99" s="996"/>
      <c r="BA99" s="996"/>
      <c r="BB99" s="996"/>
      <c r="BC99" s="996"/>
      <c r="BD99" s="996"/>
      <c r="BE99" s="996"/>
      <c r="BF99" s="996"/>
      <c r="BG99" s="996"/>
      <c r="BH99" s="996"/>
      <c r="BI99" s="996"/>
      <c r="BJ99" s="996"/>
      <c r="BK99" s="996"/>
      <c r="BL99" s="996"/>
      <c r="BM99" s="996"/>
      <c r="BN99" s="996"/>
      <c r="BO99" s="996"/>
      <c r="BP99" s="996"/>
      <c r="BQ99" s="996"/>
      <c r="BR99" s="1015"/>
    </row>
    <row r="100" spans="2:70" ht="18" customHeight="1">
      <c r="B100" s="1039"/>
      <c r="C100" s="996"/>
      <c r="D100" s="996"/>
      <c r="E100" s="996"/>
      <c r="F100" s="996"/>
      <c r="G100" s="996"/>
      <c r="H100" s="996"/>
      <c r="I100" s="1013"/>
      <c r="J100" s="1014"/>
      <c r="K100" s="996"/>
      <c r="L100" s="996"/>
      <c r="M100" s="996"/>
      <c r="N100" s="996"/>
      <c r="O100" s="996"/>
      <c r="P100" s="996"/>
      <c r="Q100" s="996"/>
      <c r="R100" s="996"/>
      <c r="S100" s="996"/>
      <c r="T100" s="996"/>
      <c r="U100" s="1015"/>
      <c r="W100" s="1039"/>
      <c r="X100" s="996"/>
      <c r="Y100" s="996"/>
      <c r="Z100" s="1013"/>
      <c r="AA100" s="1192"/>
      <c r="AB100" s="996"/>
      <c r="AC100" s="996"/>
      <c r="AD100" s="996"/>
      <c r="AE100" s="996"/>
      <c r="AF100" s="996"/>
      <c r="AG100" s="996"/>
      <c r="AH100" s="996"/>
      <c r="AI100" s="996"/>
      <c r="AJ100" s="996"/>
      <c r="AK100" s="1012"/>
      <c r="AL100" s="996"/>
      <c r="AM100" s="996"/>
      <c r="AN100" s="996"/>
      <c r="AO100" s="996"/>
      <c r="AP100" s="996"/>
      <c r="AQ100" s="1013"/>
      <c r="AR100" s="1014"/>
      <c r="AS100" s="1015"/>
      <c r="AT100" s="364"/>
      <c r="AU100" s="1034"/>
      <c r="AV100" s="996"/>
      <c r="AW100" s="996"/>
      <c r="AX100" s="996"/>
      <c r="AY100" s="996"/>
      <c r="AZ100" s="996"/>
      <c r="BA100" s="996"/>
      <c r="BB100" s="996"/>
      <c r="BC100" s="996"/>
      <c r="BD100" s="996"/>
      <c r="BE100" s="996"/>
      <c r="BF100" s="996"/>
      <c r="BG100" s="996"/>
      <c r="BH100" s="996"/>
      <c r="BI100" s="996"/>
      <c r="BJ100" s="996"/>
      <c r="BK100" s="996"/>
      <c r="BL100" s="996"/>
      <c r="BM100" s="996"/>
      <c r="BN100" s="996"/>
      <c r="BO100" s="996"/>
      <c r="BP100" s="996"/>
      <c r="BQ100" s="996"/>
      <c r="BR100" s="1015"/>
    </row>
    <row r="101" spans="2:70" ht="18" customHeight="1">
      <c r="B101" s="1048"/>
      <c r="C101" s="996"/>
      <c r="D101" s="996"/>
      <c r="E101" s="996"/>
      <c r="F101" s="996"/>
      <c r="G101" s="996"/>
      <c r="H101" s="996"/>
      <c r="I101" s="1013"/>
      <c r="J101" s="1043"/>
      <c r="K101" s="996"/>
      <c r="L101" s="996"/>
      <c r="M101" s="996"/>
      <c r="N101" s="996"/>
      <c r="O101" s="996"/>
      <c r="P101" s="996"/>
      <c r="Q101" s="996"/>
      <c r="R101" s="996"/>
      <c r="S101" s="996"/>
      <c r="T101" s="996"/>
      <c r="U101" s="1015"/>
      <c r="W101" s="1048"/>
      <c r="X101" s="996"/>
      <c r="Y101" s="996"/>
      <c r="Z101" s="1013"/>
      <c r="AA101" s="1194"/>
      <c r="AB101" s="996"/>
      <c r="AC101" s="996"/>
      <c r="AD101" s="996"/>
      <c r="AE101" s="996"/>
      <c r="AF101" s="996"/>
      <c r="AG101" s="996"/>
      <c r="AH101" s="996"/>
      <c r="AI101" s="996"/>
      <c r="AJ101" s="996"/>
      <c r="AK101" s="1105"/>
      <c r="AL101" s="996"/>
      <c r="AM101" s="996"/>
      <c r="AN101" s="996"/>
      <c r="AO101" s="996"/>
      <c r="AP101" s="996"/>
      <c r="AQ101" s="1013"/>
      <c r="AR101" s="1043"/>
      <c r="AS101" s="1015"/>
      <c r="AT101" s="364"/>
      <c r="AU101" s="1034"/>
      <c r="AV101" s="996"/>
      <c r="AW101" s="996"/>
      <c r="AX101" s="996"/>
      <c r="AY101" s="996"/>
      <c r="AZ101" s="996"/>
      <c r="BA101" s="996"/>
      <c r="BB101" s="996"/>
      <c r="BC101" s="996"/>
      <c r="BD101" s="996"/>
      <c r="BE101" s="996"/>
      <c r="BF101" s="996"/>
      <c r="BG101" s="996"/>
      <c r="BH101" s="996"/>
      <c r="BI101" s="996"/>
      <c r="BJ101" s="996"/>
      <c r="BK101" s="996"/>
      <c r="BL101" s="996"/>
      <c r="BM101" s="996"/>
      <c r="BN101" s="996"/>
      <c r="BO101" s="996"/>
      <c r="BP101" s="996"/>
      <c r="BQ101" s="996"/>
      <c r="BR101" s="1015"/>
    </row>
    <row r="102" spans="2:70" ht="18" customHeight="1">
      <c r="B102" s="1039"/>
      <c r="C102" s="996"/>
      <c r="D102" s="996"/>
      <c r="E102" s="996"/>
      <c r="F102" s="996"/>
      <c r="G102" s="996"/>
      <c r="H102" s="996"/>
      <c r="I102" s="1013"/>
      <c r="J102" s="1014"/>
      <c r="K102" s="996"/>
      <c r="L102" s="996"/>
      <c r="M102" s="996"/>
      <c r="N102" s="996"/>
      <c r="O102" s="996"/>
      <c r="P102" s="996"/>
      <c r="Q102" s="996"/>
      <c r="R102" s="996"/>
      <c r="S102" s="996"/>
      <c r="T102" s="996"/>
      <c r="U102" s="1015"/>
      <c r="W102" s="1039"/>
      <c r="X102" s="996"/>
      <c r="Y102" s="996"/>
      <c r="Z102" s="1013"/>
      <c r="AA102" s="1192"/>
      <c r="AB102" s="996"/>
      <c r="AC102" s="996"/>
      <c r="AD102" s="996"/>
      <c r="AE102" s="996"/>
      <c r="AF102" s="996"/>
      <c r="AG102" s="996"/>
      <c r="AH102" s="996"/>
      <c r="AI102" s="996"/>
      <c r="AJ102" s="996"/>
      <c r="AK102" s="1012"/>
      <c r="AL102" s="996"/>
      <c r="AM102" s="996"/>
      <c r="AN102" s="996"/>
      <c r="AO102" s="996"/>
      <c r="AP102" s="996"/>
      <c r="AQ102" s="1013"/>
      <c r="AR102" s="1014"/>
      <c r="AS102" s="1015"/>
      <c r="AT102" s="364"/>
      <c r="AU102" s="1034"/>
      <c r="AV102" s="996"/>
      <c r="AW102" s="996"/>
      <c r="AX102" s="996"/>
      <c r="AY102" s="996"/>
      <c r="AZ102" s="996"/>
      <c r="BA102" s="996"/>
      <c r="BB102" s="996"/>
      <c r="BC102" s="996"/>
      <c r="BD102" s="996"/>
      <c r="BE102" s="996"/>
      <c r="BF102" s="996"/>
      <c r="BG102" s="996"/>
      <c r="BH102" s="996"/>
      <c r="BI102" s="996"/>
      <c r="BJ102" s="996"/>
      <c r="BK102" s="996"/>
      <c r="BL102" s="996"/>
      <c r="BM102" s="996"/>
      <c r="BN102" s="996"/>
      <c r="BO102" s="996"/>
      <c r="BP102" s="996"/>
      <c r="BQ102" s="996"/>
      <c r="BR102" s="1015"/>
    </row>
    <row r="103" spans="2:70" ht="18" customHeight="1" thickBot="1">
      <c r="B103" s="1048"/>
      <c r="C103" s="996"/>
      <c r="D103" s="996"/>
      <c r="E103" s="996"/>
      <c r="F103" s="996"/>
      <c r="G103" s="996"/>
      <c r="H103" s="996"/>
      <c r="I103" s="1013"/>
      <c r="J103" s="1043"/>
      <c r="K103" s="996"/>
      <c r="L103" s="996"/>
      <c r="M103" s="996"/>
      <c r="N103" s="996"/>
      <c r="O103" s="996"/>
      <c r="P103" s="996"/>
      <c r="Q103" s="996"/>
      <c r="R103" s="996"/>
      <c r="S103" s="996"/>
      <c r="T103" s="996"/>
      <c r="U103" s="1015"/>
      <c r="W103" s="1048"/>
      <c r="X103" s="996"/>
      <c r="Y103" s="996"/>
      <c r="Z103" s="1013"/>
      <c r="AA103" s="1194"/>
      <c r="AB103" s="996"/>
      <c r="AC103" s="996"/>
      <c r="AD103" s="996"/>
      <c r="AE103" s="996"/>
      <c r="AF103" s="996"/>
      <c r="AG103" s="996"/>
      <c r="AH103" s="996"/>
      <c r="AI103" s="996"/>
      <c r="AJ103" s="996"/>
      <c r="AK103" s="1105"/>
      <c r="AL103" s="996"/>
      <c r="AM103" s="996"/>
      <c r="AN103" s="996"/>
      <c r="AO103" s="996"/>
      <c r="AP103" s="996"/>
      <c r="AQ103" s="1013"/>
      <c r="AR103" s="1043"/>
      <c r="AS103" s="1015"/>
      <c r="AU103" s="1090"/>
      <c r="AV103" s="1019"/>
      <c r="AW103" s="1019"/>
      <c r="AX103" s="1019"/>
      <c r="AY103" s="1019"/>
      <c r="AZ103" s="1019"/>
      <c r="BA103" s="1019"/>
      <c r="BB103" s="1019"/>
      <c r="BC103" s="1019"/>
      <c r="BD103" s="1019"/>
      <c r="BE103" s="1019"/>
      <c r="BF103" s="1019"/>
      <c r="BG103" s="1019"/>
      <c r="BH103" s="1019"/>
      <c r="BI103" s="1019"/>
      <c r="BJ103" s="1019"/>
      <c r="BK103" s="1019"/>
      <c r="BL103" s="1019"/>
      <c r="BM103" s="1019"/>
      <c r="BN103" s="1019"/>
      <c r="BO103" s="1019"/>
      <c r="BP103" s="1019"/>
      <c r="BQ103" s="1019"/>
      <c r="BR103" s="1091"/>
    </row>
    <row r="104" spans="2:70" ht="18" customHeight="1">
      <c r="B104" s="1039"/>
      <c r="C104" s="996"/>
      <c r="D104" s="996"/>
      <c r="E104" s="996"/>
      <c r="F104" s="996"/>
      <c r="G104" s="996"/>
      <c r="H104" s="996"/>
      <c r="I104" s="1013"/>
      <c r="J104" s="1014"/>
      <c r="K104" s="996"/>
      <c r="L104" s="996"/>
      <c r="M104" s="996"/>
      <c r="N104" s="996"/>
      <c r="O104" s="996"/>
      <c r="P104" s="996"/>
      <c r="Q104" s="996"/>
      <c r="R104" s="996"/>
      <c r="S104" s="996"/>
      <c r="T104" s="996"/>
      <c r="U104" s="1015"/>
      <c r="W104" s="1039"/>
      <c r="X104" s="996"/>
      <c r="Y104" s="996"/>
      <c r="Z104" s="1013"/>
      <c r="AA104" s="1192"/>
      <c r="AB104" s="996"/>
      <c r="AC104" s="996"/>
      <c r="AD104" s="996"/>
      <c r="AE104" s="996"/>
      <c r="AF104" s="996"/>
      <c r="AG104" s="996"/>
      <c r="AH104" s="996"/>
      <c r="AI104" s="996"/>
      <c r="AJ104" s="996"/>
      <c r="AK104" s="1012"/>
      <c r="AL104" s="996"/>
      <c r="AM104" s="996"/>
      <c r="AN104" s="996"/>
      <c r="AO104" s="996"/>
      <c r="AP104" s="996"/>
      <c r="AQ104" s="1013"/>
      <c r="AR104" s="1014"/>
      <c r="AS104" s="1015"/>
      <c r="AU104" s="1339" t="s">
        <v>231</v>
      </c>
      <c r="AV104" s="1023"/>
      <c r="AW104" s="1023"/>
      <c r="AX104" s="1023"/>
      <c r="AY104" s="1023"/>
      <c r="AZ104" s="1023"/>
      <c r="BA104" s="1023"/>
      <c r="BB104" s="1023"/>
      <c r="BC104" s="1023"/>
      <c r="BD104" s="1023"/>
      <c r="BE104" s="1023"/>
      <c r="BF104" s="1023"/>
      <c r="BG104" s="1023"/>
      <c r="BH104" s="1023"/>
      <c r="BI104" s="1023"/>
      <c r="BJ104" s="1023"/>
      <c r="BK104" s="1023"/>
      <c r="BL104" s="1023"/>
      <c r="BM104" s="1023"/>
      <c r="BN104" s="1023"/>
      <c r="BO104" s="1023"/>
      <c r="BP104" s="1023"/>
      <c r="BQ104" s="1023"/>
      <c r="BR104" s="1167"/>
    </row>
    <row r="105" spans="2:70" ht="18" customHeight="1">
      <c r="B105" s="1048"/>
      <c r="C105" s="996"/>
      <c r="D105" s="996"/>
      <c r="E105" s="996"/>
      <c r="F105" s="996"/>
      <c r="G105" s="996"/>
      <c r="H105" s="996"/>
      <c r="I105" s="1013"/>
      <c r="J105" s="1043"/>
      <c r="K105" s="996"/>
      <c r="L105" s="996"/>
      <c r="M105" s="996"/>
      <c r="N105" s="996"/>
      <c r="O105" s="996"/>
      <c r="P105" s="996"/>
      <c r="Q105" s="996"/>
      <c r="R105" s="996"/>
      <c r="S105" s="996"/>
      <c r="T105" s="996"/>
      <c r="U105" s="1015"/>
      <c r="W105" s="1048"/>
      <c r="X105" s="996"/>
      <c r="Y105" s="996"/>
      <c r="Z105" s="1013"/>
      <c r="AA105" s="1194"/>
      <c r="AB105" s="996"/>
      <c r="AC105" s="996"/>
      <c r="AD105" s="996"/>
      <c r="AE105" s="996"/>
      <c r="AF105" s="996"/>
      <c r="AG105" s="996"/>
      <c r="AH105" s="996"/>
      <c r="AI105" s="996"/>
      <c r="AJ105" s="996"/>
      <c r="AK105" s="1105"/>
      <c r="AL105" s="996"/>
      <c r="AM105" s="996"/>
      <c r="AN105" s="996"/>
      <c r="AO105" s="996"/>
      <c r="AP105" s="996"/>
      <c r="AQ105" s="1013"/>
      <c r="AR105" s="1043"/>
      <c r="AS105" s="1015"/>
      <c r="AU105" s="1281" t="str">
        <f>附表!AP22</f>
        <v>总统：
   唐纳德·特朗普（共和党）</v>
      </c>
      <c r="AV105" s="1033"/>
      <c r="AW105" s="1033"/>
      <c r="AX105" s="1033"/>
      <c r="AY105" s="1033"/>
      <c r="AZ105" s="1033"/>
      <c r="BA105" s="1033"/>
      <c r="BB105" s="1033"/>
      <c r="BC105" s="1033"/>
      <c r="BD105" s="1033"/>
      <c r="BE105" s="1033"/>
      <c r="BF105" s="1033"/>
      <c r="BG105" s="1033"/>
      <c r="BH105" s="1033"/>
      <c r="BI105" s="1033"/>
      <c r="BJ105" s="1033"/>
      <c r="BK105" s="1033"/>
      <c r="BL105" s="1033"/>
      <c r="BM105" s="1033"/>
      <c r="BN105" s="1033"/>
      <c r="BO105" s="1033"/>
      <c r="BP105" s="1033"/>
      <c r="BQ105" s="1033"/>
      <c r="BR105" s="1038"/>
    </row>
    <row r="106" spans="2:70" ht="18" customHeight="1">
      <c r="B106" s="1039"/>
      <c r="C106" s="996"/>
      <c r="D106" s="996"/>
      <c r="E106" s="996"/>
      <c r="F106" s="996"/>
      <c r="G106" s="996"/>
      <c r="H106" s="996"/>
      <c r="I106" s="1013"/>
      <c r="J106" s="1014"/>
      <c r="K106" s="996"/>
      <c r="L106" s="996"/>
      <c r="M106" s="996"/>
      <c r="N106" s="996"/>
      <c r="O106" s="996"/>
      <c r="P106" s="996"/>
      <c r="Q106" s="996"/>
      <c r="R106" s="996"/>
      <c r="S106" s="996"/>
      <c r="T106" s="996"/>
      <c r="U106" s="1015"/>
      <c r="W106" s="1039"/>
      <c r="X106" s="996"/>
      <c r="Y106" s="996"/>
      <c r="Z106" s="1013"/>
      <c r="AA106" s="1192"/>
      <c r="AB106" s="996"/>
      <c r="AC106" s="996"/>
      <c r="AD106" s="996"/>
      <c r="AE106" s="996"/>
      <c r="AF106" s="996"/>
      <c r="AG106" s="996"/>
      <c r="AH106" s="996"/>
      <c r="AI106" s="996"/>
      <c r="AJ106" s="996"/>
      <c r="AK106" s="1012"/>
      <c r="AL106" s="996"/>
      <c r="AM106" s="996"/>
      <c r="AN106" s="996"/>
      <c r="AO106" s="996"/>
      <c r="AP106" s="996"/>
      <c r="AQ106" s="1013"/>
      <c r="AR106" s="1014"/>
      <c r="AS106" s="1015"/>
      <c r="AU106" s="1034"/>
      <c r="AV106" s="996"/>
      <c r="AW106" s="996"/>
      <c r="AX106" s="996"/>
      <c r="AY106" s="996"/>
      <c r="AZ106" s="996"/>
      <c r="BA106" s="996"/>
      <c r="BB106" s="996"/>
      <c r="BC106" s="996"/>
      <c r="BD106" s="996"/>
      <c r="BE106" s="996"/>
      <c r="BF106" s="996"/>
      <c r="BG106" s="996"/>
      <c r="BH106" s="996"/>
      <c r="BI106" s="996"/>
      <c r="BJ106" s="996"/>
      <c r="BK106" s="996"/>
      <c r="BL106" s="996"/>
      <c r="BM106" s="996"/>
      <c r="BN106" s="996"/>
      <c r="BO106" s="996"/>
      <c r="BP106" s="996"/>
      <c r="BQ106" s="996"/>
      <c r="BR106" s="1015"/>
    </row>
    <row r="107" spans="2:70" ht="18" customHeight="1">
      <c r="B107" s="1048"/>
      <c r="C107" s="996"/>
      <c r="D107" s="996"/>
      <c r="E107" s="996"/>
      <c r="F107" s="996"/>
      <c r="G107" s="996"/>
      <c r="H107" s="996"/>
      <c r="I107" s="1013"/>
      <c r="J107" s="1043"/>
      <c r="K107" s="996"/>
      <c r="L107" s="996"/>
      <c r="M107" s="996"/>
      <c r="N107" s="996"/>
      <c r="O107" s="996"/>
      <c r="P107" s="996"/>
      <c r="Q107" s="996"/>
      <c r="R107" s="996"/>
      <c r="S107" s="996"/>
      <c r="T107" s="996"/>
      <c r="U107" s="1015"/>
      <c r="W107" s="1048"/>
      <c r="X107" s="996"/>
      <c r="Y107" s="996"/>
      <c r="Z107" s="1013"/>
      <c r="AA107" s="1194"/>
      <c r="AB107" s="996"/>
      <c r="AC107" s="996"/>
      <c r="AD107" s="996"/>
      <c r="AE107" s="996"/>
      <c r="AF107" s="996"/>
      <c r="AG107" s="996"/>
      <c r="AH107" s="996"/>
      <c r="AI107" s="996"/>
      <c r="AJ107" s="996"/>
      <c r="AK107" s="1105"/>
      <c r="AL107" s="996"/>
      <c r="AM107" s="996"/>
      <c r="AN107" s="996"/>
      <c r="AO107" s="996"/>
      <c r="AP107" s="996"/>
      <c r="AQ107" s="1013"/>
      <c r="AR107" s="1043"/>
      <c r="AS107" s="1015"/>
      <c r="AT107" s="364"/>
      <c r="AU107" s="1034"/>
      <c r="AV107" s="996"/>
      <c r="AW107" s="996"/>
      <c r="AX107" s="996"/>
      <c r="AY107" s="996"/>
      <c r="AZ107" s="996"/>
      <c r="BA107" s="996"/>
      <c r="BB107" s="996"/>
      <c r="BC107" s="996"/>
      <c r="BD107" s="996"/>
      <c r="BE107" s="996"/>
      <c r="BF107" s="996"/>
      <c r="BG107" s="996"/>
      <c r="BH107" s="996"/>
      <c r="BI107" s="996"/>
      <c r="BJ107" s="996"/>
      <c r="BK107" s="996"/>
      <c r="BL107" s="996"/>
      <c r="BM107" s="996"/>
      <c r="BN107" s="996"/>
      <c r="BO107" s="996"/>
      <c r="BP107" s="996"/>
      <c r="BQ107" s="996"/>
      <c r="BR107" s="1015"/>
    </row>
    <row r="108" spans="2:70" ht="18" customHeight="1">
      <c r="B108" s="1039"/>
      <c r="C108" s="996"/>
      <c r="D108" s="996"/>
      <c r="E108" s="996"/>
      <c r="F108" s="996"/>
      <c r="G108" s="996"/>
      <c r="H108" s="996"/>
      <c r="I108" s="1013"/>
      <c r="J108" s="1014"/>
      <c r="K108" s="996"/>
      <c r="L108" s="996"/>
      <c r="M108" s="996"/>
      <c r="N108" s="996"/>
      <c r="O108" s="996"/>
      <c r="P108" s="996"/>
      <c r="Q108" s="996"/>
      <c r="R108" s="996"/>
      <c r="S108" s="996"/>
      <c r="T108" s="996"/>
      <c r="U108" s="1015"/>
      <c r="W108" s="1039"/>
      <c r="X108" s="996"/>
      <c r="Y108" s="996"/>
      <c r="Z108" s="1013"/>
      <c r="AA108" s="1192"/>
      <c r="AB108" s="996"/>
      <c r="AC108" s="996"/>
      <c r="AD108" s="996"/>
      <c r="AE108" s="996"/>
      <c r="AF108" s="996"/>
      <c r="AG108" s="996"/>
      <c r="AH108" s="996"/>
      <c r="AI108" s="996"/>
      <c r="AJ108" s="996"/>
      <c r="AK108" s="1012"/>
      <c r="AL108" s="996"/>
      <c r="AM108" s="996"/>
      <c r="AN108" s="996"/>
      <c r="AO108" s="996"/>
      <c r="AP108" s="996"/>
      <c r="AQ108" s="1013"/>
      <c r="AR108" s="1014"/>
      <c r="AS108" s="1015"/>
      <c r="AT108" s="364"/>
      <c r="AU108" s="1034"/>
      <c r="AV108" s="996"/>
      <c r="AW108" s="996"/>
      <c r="AX108" s="996"/>
      <c r="AY108" s="996"/>
      <c r="AZ108" s="996"/>
      <c r="BA108" s="996"/>
      <c r="BB108" s="996"/>
      <c r="BC108" s="996"/>
      <c r="BD108" s="996"/>
      <c r="BE108" s="996"/>
      <c r="BF108" s="996"/>
      <c r="BG108" s="996"/>
      <c r="BH108" s="996"/>
      <c r="BI108" s="996"/>
      <c r="BJ108" s="996"/>
      <c r="BK108" s="996"/>
      <c r="BL108" s="996"/>
      <c r="BM108" s="996"/>
      <c r="BN108" s="996"/>
      <c r="BO108" s="996"/>
      <c r="BP108" s="996"/>
      <c r="BQ108" s="996"/>
      <c r="BR108" s="1015"/>
    </row>
    <row r="109" spans="2:70" ht="18" customHeight="1">
      <c r="B109" s="1048"/>
      <c r="C109" s="996"/>
      <c r="D109" s="996"/>
      <c r="E109" s="996"/>
      <c r="F109" s="996"/>
      <c r="G109" s="996"/>
      <c r="H109" s="996"/>
      <c r="I109" s="1013"/>
      <c r="J109" s="1043"/>
      <c r="K109" s="996"/>
      <c r="L109" s="996"/>
      <c r="M109" s="996"/>
      <c r="N109" s="996"/>
      <c r="O109" s="996"/>
      <c r="P109" s="996"/>
      <c r="Q109" s="996"/>
      <c r="R109" s="996"/>
      <c r="S109" s="996"/>
      <c r="T109" s="996"/>
      <c r="U109" s="1015"/>
      <c r="W109" s="1048"/>
      <c r="X109" s="996"/>
      <c r="Y109" s="996"/>
      <c r="Z109" s="1013"/>
      <c r="AA109" s="1194"/>
      <c r="AB109" s="996"/>
      <c r="AC109" s="996"/>
      <c r="AD109" s="996"/>
      <c r="AE109" s="996"/>
      <c r="AF109" s="996"/>
      <c r="AG109" s="996"/>
      <c r="AH109" s="996"/>
      <c r="AI109" s="996"/>
      <c r="AJ109" s="996"/>
      <c r="AK109" s="1105"/>
      <c r="AL109" s="996"/>
      <c r="AM109" s="996"/>
      <c r="AN109" s="996"/>
      <c r="AO109" s="996"/>
      <c r="AP109" s="996"/>
      <c r="AQ109" s="1013"/>
      <c r="AR109" s="1043"/>
      <c r="AS109" s="1015"/>
      <c r="AU109" s="1034"/>
      <c r="AV109" s="996"/>
      <c r="AW109" s="996"/>
      <c r="AX109" s="996"/>
      <c r="AY109" s="996"/>
      <c r="AZ109" s="996"/>
      <c r="BA109" s="996"/>
      <c r="BB109" s="996"/>
      <c r="BC109" s="996"/>
      <c r="BD109" s="996"/>
      <c r="BE109" s="996"/>
      <c r="BF109" s="996"/>
      <c r="BG109" s="996"/>
      <c r="BH109" s="996"/>
      <c r="BI109" s="996"/>
      <c r="BJ109" s="996"/>
      <c r="BK109" s="996"/>
      <c r="BL109" s="996"/>
      <c r="BM109" s="996"/>
      <c r="BN109" s="996"/>
      <c r="BO109" s="996"/>
      <c r="BP109" s="996"/>
      <c r="BQ109" s="996"/>
      <c r="BR109" s="1015"/>
    </row>
    <row r="110" spans="2:70" ht="18" customHeight="1" thickBot="1">
      <c r="B110" s="1039"/>
      <c r="C110" s="996"/>
      <c r="D110" s="996"/>
      <c r="E110" s="996"/>
      <c r="F110" s="996"/>
      <c r="G110" s="996"/>
      <c r="H110" s="996"/>
      <c r="I110" s="1013"/>
      <c r="J110" s="1014"/>
      <c r="K110" s="996"/>
      <c r="L110" s="996"/>
      <c r="M110" s="996"/>
      <c r="N110" s="996"/>
      <c r="O110" s="996"/>
      <c r="P110" s="996"/>
      <c r="Q110" s="996"/>
      <c r="R110" s="996"/>
      <c r="S110" s="996"/>
      <c r="T110" s="996"/>
      <c r="U110" s="1015"/>
      <c r="W110" s="1150"/>
      <c r="X110" s="1019"/>
      <c r="Y110" s="1019"/>
      <c r="Z110" s="1020"/>
      <c r="AA110" s="1246"/>
      <c r="AB110" s="1019"/>
      <c r="AC110" s="1019"/>
      <c r="AD110" s="1019"/>
      <c r="AE110" s="1019"/>
      <c r="AF110" s="1019"/>
      <c r="AG110" s="1019"/>
      <c r="AH110" s="1019"/>
      <c r="AI110" s="1019"/>
      <c r="AJ110" s="1019"/>
      <c r="AK110" s="1205"/>
      <c r="AL110" s="1019"/>
      <c r="AM110" s="1019"/>
      <c r="AN110" s="1019"/>
      <c r="AO110" s="1019"/>
      <c r="AP110" s="1019"/>
      <c r="AQ110" s="1020"/>
      <c r="AR110" s="1250"/>
      <c r="AS110" s="1091"/>
      <c r="AU110" s="1034"/>
      <c r="AV110" s="996"/>
      <c r="AW110" s="996"/>
      <c r="AX110" s="996"/>
      <c r="AY110" s="996"/>
      <c r="AZ110" s="996"/>
      <c r="BA110" s="996"/>
      <c r="BB110" s="996"/>
      <c r="BC110" s="996"/>
      <c r="BD110" s="996"/>
      <c r="BE110" s="996"/>
      <c r="BF110" s="996"/>
      <c r="BG110" s="996"/>
      <c r="BH110" s="996"/>
      <c r="BI110" s="996"/>
      <c r="BJ110" s="996"/>
      <c r="BK110" s="996"/>
      <c r="BL110" s="996"/>
      <c r="BM110" s="996"/>
      <c r="BN110" s="996"/>
      <c r="BO110" s="996"/>
      <c r="BP110" s="996"/>
      <c r="BQ110" s="996"/>
      <c r="BR110" s="1015"/>
    </row>
    <row r="111" spans="2:70" ht="18" customHeight="1" thickBot="1">
      <c r="B111" s="1048"/>
      <c r="C111" s="996"/>
      <c r="D111" s="996"/>
      <c r="E111" s="996"/>
      <c r="F111" s="996"/>
      <c r="G111" s="996"/>
      <c r="H111" s="996"/>
      <c r="I111" s="1013"/>
      <c r="J111" s="1043"/>
      <c r="K111" s="996"/>
      <c r="L111" s="996"/>
      <c r="M111" s="996"/>
      <c r="N111" s="996"/>
      <c r="O111" s="996"/>
      <c r="P111" s="996"/>
      <c r="Q111" s="996"/>
      <c r="R111" s="996"/>
      <c r="S111" s="996"/>
      <c r="T111" s="996"/>
      <c r="U111" s="1015"/>
      <c r="Y111" s="32"/>
      <c r="AU111" s="1034"/>
      <c r="AV111" s="996"/>
      <c r="AW111" s="996"/>
      <c r="AX111" s="996"/>
      <c r="AY111" s="996"/>
      <c r="AZ111" s="996"/>
      <c r="BA111" s="996"/>
      <c r="BB111" s="996"/>
      <c r="BC111" s="996"/>
      <c r="BD111" s="996"/>
      <c r="BE111" s="996"/>
      <c r="BF111" s="996"/>
      <c r="BG111" s="996"/>
      <c r="BH111" s="996"/>
      <c r="BI111" s="996"/>
      <c r="BJ111" s="996"/>
      <c r="BK111" s="996"/>
      <c r="BL111" s="996"/>
      <c r="BM111" s="996"/>
      <c r="BN111" s="996"/>
      <c r="BO111" s="996"/>
      <c r="BP111" s="996"/>
      <c r="BQ111" s="996"/>
      <c r="BR111" s="1015"/>
    </row>
    <row r="112" spans="2:70" ht="18" customHeight="1">
      <c r="B112" s="1203"/>
      <c r="C112" s="1036"/>
      <c r="D112" s="1036"/>
      <c r="E112" s="1036"/>
      <c r="F112" s="1036"/>
      <c r="G112" s="1036"/>
      <c r="H112" s="1036"/>
      <c r="I112" s="1027"/>
      <c r="J112" s="1298"/>
      <c r="K112" s="1036"/>
      <c r="L112" s="1036"/>
      <c r="M112" s="1036"/>
      <c r="N112" s="1036"/>
      <c r="O112" s="1036"/>
      <c r="P112" s="1036"/>
      <c r="Q112" s="1036"/>
      <c r="R112" s="1036"/>
      <c r="S112" s="1036"/>
      <c r="T112" s="1036"/>
      <c r="U112" s="998"/>
      <c r="W112" s="1239" t="s">
        <v>232</v>
      </c>
      <c r="X112" s="1088"/>
      <c r="Y112" s="1088"/>
      <c r="Z112" s="1088"/>
      <c r="AA112" s="1088"/>
      <c r="AB112" s="1088"/>
      <c r="AC112" s="1088"/>
      <c r="AD112" s="1088"/>
      <c r="AE112" s="1088"/>
      <c r="AF112" s="1088"/>
      <c r="AG112" s="1088"/>
      <c r="AH112" s="1088"/>
      <c r="AI112" s="1088"/>
      <c r="AJ112" s="1088"/>
      <c r="AK112" s="1088"/>
      <c r="AL112" s="1088"/>
      <c r="AM112" s="1088"/>
      <c r="AN112" s="1088"/>
      <c r="AO112" s="1088"/>
      <c r="AP112" s="1088"/>
      <c r="AQ112" s="1088"/>
      <c r="AR112" s="1088"/>
      <c r="AS112" s="1089"/>
      <c r="AU112" s="1034"/>
      <c r="AV112" s="996"/>
      <c r="AW112" s="996"/>
      <c r="AX112" s="996"/>
      <c r="AY112" s="996"/>
      <c r="AZ112" s="996"/>
      <c r="BA112" s="996"/>
      <c r="BB112" s="996"/>
      <c r="BC112" s="996"/>
      <c r="BD112" s="996"/>
      <c r="BE112" s="996"/>
      <c r="BF112" s="996"/>
      <c r="BG112" s="996"/>
      <c r="BH112" s="996"/>
      <c r="BI112" s="996"/>
      <c r="BJ112" s="996"/>
      <c r="BK112" s="996"/>
      <c r="BL112" s="996"/>
      <c r="BM112" s="996"/>
      <c r="BN112" s="996"/>
      <c r="BO112" s="996"/>
      <c r="BP112" s="996"/>
      <c r="BQ112" s="996"/>
      <c r="BR112" s="1015"/>
    </row>
    <row r="113" spans="2:70" ht="18" customHeight="1">
      <c r="B113" s="1196" t="s">
        <v>233</v>
      </c>
      <c r="C113" s="996"/>
      <c r="D113" s="996"/>
      <c r="E113" s="1013"/>
      <c r="F113" s="1282" t="s">
        <v>172</v>
      </c>
      <c r="G113" s="996"/>
      <c r="H113" s="996"/>
      <c r="I113" s="1013"/>
      <c r="J113" s="1296" t="str">
        <f>"SAN值减少"&amp;附表!C34&amp;"        备注："&amp;附表!E34</f>
        <v>SAN值减少        备注：</v>
      </c>
      <c r="K113" s="996"/>
      <c r="L113" s="996"/>
      <c r="M113" s="996"/>
      <c r="N113" s="996"/>
      <c r="O113" s="996"/>
      <c r="P113" s="996"/>
      <c r="Q113" s="996"/>
      <c r="R113" s="996"/>
      <c r="S113" s="996"/>
      <c r="T113" s="996"/>
      <c r="U113" s="1013"/>
      <c r="W113" s="1348" t="s">
        <v>234</v>
      </c>
      <c r="X113" s="1007"/>
      <c r="Y113" s="1254" t="s">
        <v>235</v>
      </c>
      <c r="Z113" s="1007"/>
      <c r="AA113" s="1007"/>
      <c r="AB113" s="1000"/>
      <c r="AC113" s="1069" t="s">
        <v>236</v>
      </c>
      <c r="AD113" s="1007"/>
      <c r="AE113" s="1007"/>
      <c r="AF113" s="1007"/>
      <c r="AG113" s="1007"/>
      <c r="AH113" s="1097" t="s">
        <v>237</v>
      </c>
      <c r="AI113" s="1007"/>
      <c r="AJ113" s="1007"/>
      <c r="AK113" s="1007"/>
      <c r="AL113" s="1007"/>
      <c r="AM113" s="1007"/>
      <c r="AN113" s="1007"/>
      <c r="AO113" s="1007"/>
      <c r="AP113" s="1007"/>
      <c r="AQ113" s="1007"/>
      <c r="AR113" s="1007"/>
      <c r="AS113" s="1084"/>
      <c r="AU113" s="1034"/>
      <c r="AV113" s="996"/>
      <c r="AW113" s="996"/>
      <c r="AX113" s="996"/>
      <c r="AY113" s="996"/>
      <c r="AZ113" s="996"/>
      <c r="BA113" s="996"/>
      <c r="BB113" s="996"/>
      <c r="BC113" s="996"/>
      <c r="BD113" s="996"/>
      <c r="BE113" s="996"/>
      <c r="BF113" s="996"/>
      <c r="BG113" s="996"/>
      <c r="BH113" s="996"/>
      <c r="BI113" s="996"/>
      <c r="BJ113" s="996"/>
      <c r="BK113" s="996"/>
      <c r="BL113" s="996"/>
      <c r="BM113" s="996"/>
      <c r="BN113" s="996"/>
      <c r="BO113" s="996"/>
      <c r="BP113" s="996"/>
      <c r="BQ113" s="996"/>
      <c r="BR113" s="1015"/>
    </row>
    <row r="114" spans="2:70" ht="18" customHeight="1">
      <c r="B114" s="1034"/>
      <c r="C114" s="996"/>
      <c r="D114" s="996"/>
      <c r="E114" s="1013"/>
      <c r="F114" s="996"/>
      <c r="G114" s="996"/>
      <c r="H114" s="996"/>
      <c r="I114" s="1013"/>
      <c r="J114" s="996"/>
      <c r="K114" s="996"/>
      <c r="L114" s="996"/>
      <c r="M114" s="996"/>
      <c r="N114" s="996"/>
      <c r="O114" s="996"/>
      <c r="P114" s="996"/>
      <c r="Q114" s="996"/>
      <c r="R114" s="996"/>
      <c r="S114" s="996"/>
      <c r="T114" s="996"/>
      <c r="U114" s="1013"/>
      <c r="W114" s="1075" t="s">
        <v>238</v>
      </c>
      <c r="X114" s="996"/>
      <c r="Y114" s="1065" t="s">
        <v>239</v>
      </c>
      <c r="Z114" s="996"/>
      <c r="AA114" s="996"/>
      <c r="AB114" s="996"/>
      <c r="AC114" s="1065" t="s">
        <v>240</v>
      </c>
      <c r="AD114" s="996"/>
      <c r="AE114" s="996"/>
      <c r="AF114" s="996"/>
      <c r="AG114" s="996"/>
      <c r="AH114" s="1185" t="s">
        <v>241</v>
      </c>
      <c r="AI114" s="996"/>
      <c r="AJ114" s="996"/>
      <c r="AK114" s="996"/>
      <c r="AL114" s="996"/>
      <c r="AM114" s="996"/>
      <c r="AN114" s="996"/>
      <c r="AO114" s="996"/>
      <c r="AP114" s="996"/>
      <c r="AQ114" s="996"/>
      <c r="AR114" s="996"/>
      <c r="AS114" s="1015"/>
      <c r="AU114" s="1034"/>
      <c r="AV114" s="996"/>
      <c r="AW114" s="996"/>
      <c r="AX114" s="996"/>
      <c r="AY114" s="996"/>
      <c r="AZ114" s="996"/>
      <c r="BA114" s="996"/>
      <c r="BB114" s="996"/>
      <c r="BC114" s="996"/>
      <c r="BD114" s="996"/>
      <c r="BE114" s="996"/>
      <c r="BF114" s="996"/>
      <c r="BG114" s="996"/>
      <c r="BH114" s="996"/>
      <c r="BI114" s="996"/>
      <c r="BJ114" s="996"/>
      <c r="BK114" s="996"/>
      <c r="BL114" s="996"/>
      <c r="BM114" s="996"/>
      <c r="BN114" s="996"/>
      <c r="BO114" s="996"/>
      <c r="BP114" s="996"/>
      <c r="BQ114" s="996"/>
      <c r="BR114" s="1015"/>
    </row>
    <row r="115" spans="2:70" ht="18" customHeight="1">
      <c r="B115" s="1034"/>
      <c r="C115" s="996"/>
      <c r="D115" s="996"/>
      <c r="E115" s="1013"/>
      <c r="F115" s="996"/>
      <c r="G115" s="996"/>
      <c r="H115" s="996"/>
      <c r="I115" s="1013"/>
      <c r="J115" s="996"/>
      <c r="K115" s="996"/>
      <c r="L115" s="996"/>
      <c r="M115" s="996"/>
      <c r="N115" s="996"/>
      <c r="O115" s="996"/>
      <c r="P115" s="996"/>
      <c r="Q115" s="996"/>
      <c r="R115" s="996"/>
      <c r="S115" s="996"/>
      <c r="T115" s="996"/>
      <c r="U115" s="1013"/>
      <c r="W115" s="1214"/>
      <c r="X115" s="996"/>
      <c r="Y115" s="1061"/>
      <c r="Z115" s="996"/>
      <c r="AA115" s="996"/>
      <c r="AB115" s="996"/>
      <c r="AC115" s="1061"/>
      <c r="AD115" s="996"/>
      <c r="AE115" s="996"/>
      <c r="AF115" s="996"/>
      <c r="AG115" s="996"/>
      <c r="AH115" s="1178"/>
      <c r="AI115" s="996"/>
      <c r="AJ115" s="996"/>
      <c r="AK115" s="996"/>
      <c r="AL115" s="996"/>
      <c r="AM115" s="996"/>
      <c r="AN115" s="996"/>
      <c r="AO115" s="996"/>
      <c r="AP115" s="996"/>
      <c r="AQ115" s="996"/>
      <c r="AR115" s="996"/>
      <c r="AS115" s="1015"/>
      <c r="AU115" s="1034"/>
      <c r="AV115" s="996"/>
      <c r="AW115" s="996"/>
      <c r="AX115" s="996"/>
      <c r="AY115" s="996"/>
      <c r="AZ115" s="996"/>
      <c r="BA115" s="996"/>
      <c r="BB115" s="996"/>
      <c r="BC115" s="996"/>
      <c r="BD115" s="996"/>
      <c r="BE115" s="996"/>
      <c r="BF115" s="996"/>
      <c r="BG115" s="996"/>
      <c r="BH115" s="996"/>
      <c r="BI115" s="996"/>
      <c r="BJ115" s="996"/>
      <c r="BK115" s="996"/>
      <c r="BL115" s="996"/>
      <c r="BM115" s="996"/>
      <c r="BN115" s="996"/>
      <c r="BO115" s="996"/>
      <c r="BP115" s="996"/>
      <c r="BQ115" s="996"/>
      <c r="BR115" s="1015"/>
    </row>
    <row r="116" spans="2:70" ht="18" customHeight="1">
      <c r="B116" s="1035"/>
      <c r="C116" s="1036"/>
      <c r="D116" s="1036"/>
      <c r="E116" s="1027"/>
      <c r="F116" s="1036"/>
      <c r="G116" s="1036"/>
      <c r="H116" s="1036"/>
      <c r="I116" s="1027"/>
      <c r="J116" s="1036"/>
      <c r="K116" s="1036"/>
      <c r="L116" s="1036"/>
      <c r="M116" s="1036"/>
      <c r="N116" s="1036"/>
      <c r="O116" s="1036"/>
      <c r="P116" s="1036"/>
      <c r="Q116" s="1036"/>
      <c r="R116" s="1036"/>
      <c r="S116" s="1036"/>
      <c r="T116" s="1036"/>
      <c r="U116" s="1027"/>
      <c r="W116" s="1075"/>
      <c r="X116" s="996"/>
      <c r="Y116" s="1065"/>
      <c r="Z116" s="996"/>
      <c r="AA116" s="996"/>
      <c r="AB116" s="996"/>
      <c r="AC116" s="1065"/>
      <c r="AD116" s="996"/>
      <c r="AE116" s="996"/>
      <c r="AF116" s="996"/>
      <c r="AG116" s="996"/>
      <c r="AH116" s="1185"/>
      <c r="AI116" s="996"/>
      <c r="AJ116" s="996"/>
      <c r="AK116" s="996"/>
      <c r="AL116" s="996"/>
      <c r="AM116" s="996"/>
      <c r="AN116" s="996"/>
      <c r="AO116" s="996"/>
      <c r="AP116" s="996"/>
      <c r="AQ116" s="996"/>
      <c r="AR116" s="996"/>
      <c r="AS116" s="1015"/>
      <c r="AU116" s="1034"/>
      <c r="AV116" s="996"/>
      <c r="AW116" s="996"/>
      <c r="AX116" s="996"/>
      <c r="AY116" s="996"/>
      <c r="AZ116" s="996"/>
      <c r="BA116" s="996"/>
      <c r="BB116" s="996"/>
      <c r="BC116" s="996"/>
      <c r="BD116" s="996"/>
      <c r="BE116" s="996"/>
      <c r="BF116" s="996"/>
      <c r="BG116" s="996"/>
      <c r="BH116" s="996"/>
      <c r="BI116" s="996"/>
      <c r="BJ116" s="996"/>
      <c r="BK116" s="996"/>
      <c r="BL116" s="996"/>
      <c r="BM116" s="996"/>
      <c r="BN116" s="996"/>
      <c r="BO116" s="996"/>
      <c r="BP116" s="996"/>
      <c r="BQ116" s="996"/>
      <c r="BR116" s="1015"/>
    </row>
    <row r="117" spans="2:70" ht="18" customHeight="1" thickBot="1">
      <c r="L117" s="32"/>
      <c r="W117" s="1214"/>
      <c r="X117" s="996"/>
      <c r="Y117" s="1061"/>
      <c r="Z117" s="996"/>
      <c r="AA117" s="996"/>
      <c r="AB117" s="996"/>
      <c r="AC117" s="1061"/>
      <c r="AD117" s="996"/>
      <c r="AE117" s="996"/>
      <c r="AF117" s="996"/>
      <c r="AG117" s="996"/>
      <c r="AH117" s="1178"/>
      <c r="AI117" s="996"/>
      <c r="AJ117" s="996"/>
      <c r="AK117" s="996"/>
      <c r="AL117" s="996"/>
      <c r="AM117" s="996"/>
      <c r="AN117" s="996"/>
      <c r="AO117" s="996"/>
      <c r="AP117" s="996"/>
      <c r="AQ117" s="996"/>
      <c r="AR117" s="996"/>
      <c r="AS117" s="1015"/>
      <c r="AU117" s="1034"/>
      <c r="AV117" s="996"/>
      <c r="AW117" s="996"/>
      <c r="AX117" s="996"/>
      <c r="AY117" s="996"/>
      <c r="AZ117" s="996"/>
      <c r="BA117" s="996"/>
      <c r="BB117" s="996"/>
      <c r="BC117" s="996"/>
      <c r="BD117" s="996"/>
      <c r="BE117" s="996"/>
      <c r="BF117" s="996"/>
      <c r="BG117" s="996"/>
      <c r="BH117" s="996"/>
      <c r="BI117" s="996"/>
      <c r="BJ117" s="996"/>
      <c r="BK117" s="996"/>
      <c r="BL117" s="996"/>
      <c r="BM117" s="996"/>
      <c r="BN117" s="996"/>
      <c r="BO117" s="996"/>
      <c r="BP117" s="996"/>
      <c r="BQ117" s="996"/>
      <c r="BR117" s="1015"/>
    </row>
    <row r="118" spans="2:70" ht="18" customHeight="1">
      <c r="B118" s="1022" t="s">
        <v>242</v>
      </c>
      <c r="C118" s="1023"/>
      <c r="D118" s="1023"/>
      <c r="E118" s="1023"/>
      <c r="F118" s="1023"/>
      <c r="G118" s="1023"/>
      <c r="H118" s="1023"/>
      <c r="I118" s="1023"/>
      <c r="J118" s="1023"/>
      <c r="K118" s="1023"/>
      <c r="L118" s="1023"/>
      <c r="M118" s="1023"/>
      <c r="N118" s="1023"/>
      <c r="O118" s="1023"/>
      <c r="P118" s="1023"/>
      <c r="Q118" s="1023"/>
      <c r="R118" s="1023"/>
      <c r="S118" s="1023"/>
      <c r="T118" s="1023"/>
      <c r="U118" s="1024"/>
      <c r="W118" s="1075"/>
      <c r="X118" s="996"/>
      <c r="Y118" s="1065"/>
      <c r="Z118" s="996"/>
      <c r="AA118" s="996"/>
      <c r="AB118" s="996"/>
      <c r="AC118" s="1065"/>
      <c r="AD118" s="996"/>
      <c r="AE118" s="996"/>
      <c r="AF118" s="996"/>
      <c r="AG118" s="996"/>
      <c r="AH118" s="1185"/>
      <c r="AI118" s="996"/>
      <c r="AJ118" s="996"/>
      <c r="AK118" s="996"/>
      <c r="AL118" s="996"/>
      <c r="AM118" s="996"/>
      <c r="AN118" s="996"/>
      <c r="AO118" s="996"/>
      <c r="AP118" s="996"/>
      <c r="AQ118" s="996"/>
      <c r="AR118" s="996"/>
      <c r="AS118" s="1015"/>
      <c r="AU118" s="1034"/>
      <c r="AV118" s="996"/>
      <c r="AW118" s="996"/>
      <c r="AX118" s="996"/>
      <c r="AY118" s="996"/>
      <c r="AZ118" s="996"/>
      <c r="BA118" s="996"/>
      <c r="BB118" s="996"/>
      <c r="BC118" s="996"/>
      <c r="BD118" s="996"/>
      <c r="BE118" s="996"/>
      <c r="BF118" s="996"/>
      <c r="BG118" s="996"/>
      <c r="BH118" s="996"/>
      <c r="BI118" s="996"/>
      <c r="BJ118" s="996"/>
      <c r="BK118" s="996"/>
      <c r="BL118" s="996"/>
      <c r="BM118" s="996"/>
      <c r="BN118" s="996"/>
      <c r="BO118" s="996"/>
      <c r="BP118" s="996"/>
      <c r="BQ118" s="996"/>
      <c r="BR118" s="1015"/>
    </row>
    <row r="119" spans="2:70" ht="18" customHeight="1">
      <c r="B119" s="1349" t="s">
        <v>243</v>
      </c>
      <c r="C119" s="1033"/>
      <c r="D119" s="1033"/>
      <c r="E119" s="1031"/>
      <c r="F119" s="1086" t="s">
        <v>244</v>
      </c>
      <c r="G119" s="1007"/>
      <c r="H119" s="1007"/>
      <c r="I119" s="1007"/>
      <c r="J119" s="1007"/>
      <c r="K119" s="1000"/>
      <c r="L119" s="1086" t="s">
        <v>245</v>
      </c>
      <c r="M119" s="1000"/>
      <c r="N119" s="1086" t="s">
        <v>246</v>
      </c>
      <c r="O119" s="1000"/>
      <c r="P119" s="1086" t="s">
        <v>247</v>
      </c>
      <c r="Q119" s="1000"/>
      <c r="R119" s="1086" t="s">
        <v>248</v>
      </c>
      <c r="S119" s="1000"/>
      <c r="T119" s="1086" t="s">
        <v>249</v>
      </c>
      <c r="U119" s="1000"/>
      <c r="W119" s="1214"/>
      <c r="X119" s="996"/>
      <c r="Y119" s="1061"/>
      <c r="Z119" s="996"/>
      <c r="AA119" s="996"/>
      <c r="AB119" s="996"/>
      <c r="AC119" s="1061"/>
      <c r="AD119" s="996"/>
      <c r="AE119" s="996"/>
      <c r="AF119" s="996"/>
      <c r="AG119" s="996"/>
      <c r="AH119" s="1178"/>
      <c r="AI119" s="996"/>
      <c r="AJ119" s="996"/>
      <c r="AK119" s="996"/>
      <c r="AL119" s="996"/>
      <c r="AM119" s="996"/>
      <c r="AN119" s="996"/>
      <c r="AO119" s="996"/>
      <c r="AP119" s="996"/>
      <c r="AQ119" s="996"/>
      <c r="AR119" s="996"/>
      <c r="AS119" s="1015"/>
      <c r="AU119" s="1034"/>
      <c r="AV119" s="996"/>
      <c r="AW119" s="996"/>
      <c r="AX119" s="996"/>
      <c r="AY119" s="996"/>
      <c r="AZ119" s="996"/>
      <c r="BA119" s="996"/>
      <c r="BB119" s="996"/>
      <c r="BC119" s="996"/>
      <c r="BD119" s="996"/>
      <c r="BE119" s="996"/>
      <c r="BF119" s="996"/>
      <c r="BG119" s="996"/>
      <c r="BH119" s="996"/>
      <c r="BI119" s="996"/>
      <c r="BJ119" s="996"/>
      <c r="BK119" s="996"/>
      <c r="BL119" s="996"/>
      <c r="BM119" s="996"/>
      <c r="BN119" s="996"/>
      <c r="BO119" s="996"/>
      <c r="BP119" s="996"/>
      <c r="BQ119" s="996"/>
      <c r="BR119" s="1015"/>
    </row>
    <row r="120" spans="2:70" ht="18" customHeight="1">
      <c r="B120" s="1034"/>
      <c r="C120" s="996"/>
      <c r="D120" s="996"/>
      <c r="E120" s="1013"/>
      <c r="F120" s="1054" t="s">
        <v>250</v>
      </c>
      <c r="G120" s="1033"/>
      <c r="H120" s="1033"/>
      <c r="I120" s="1033"/>
      <c r="J120" s="1033"/>
      <c r="K120" s="1031"/>
      <c r="L120" s="1002" t="s">
        <v>251</v>
      </c>
      <c r="M120" s="1031"/>
      <c r="N120" s="1002" t="s">
        <v>252</v>
      </c>
      <c r="O120" s="1031"/>
      <c r="P120" s="1002" t="s">
        <v>253</v>
      </c>
      <c r="Q120" s="1031"/>
      <c r="R120" s="1002" t="s">
        <v>254</v>
      </c>
      <c r="S120" s="1031"/>
      <c r="T120" s="1184">
        <v>1</v>
      </c>
      <c r="U120" s="1031"/>
      <c r="W120" s="1075"/>
      <c r="X120" s="996"/>
      <c r="Y120" s="1065"/>
      <c r="Z120" s="996"/>
      <c r="AA120" s="996"/>
      <c r="AB120" s="996"/>
      <c r="AC120" s="1065"/>
      <c r="AD120" s="996"/>
      <c r="AE120" s="996"/>
      <c r="AF120" s="996"/>
      <c r="AG120" s="996"/>
      <c r="AH120" s="1185"/>
      <c r="AI120" s="996"/>
      <c r="AJ120" s="996"/>
      <c r="AK120" s="996"/>
      <c r="AL120" s="996"/>
      <c r="AM120" s="996"/>
      <c r="AN120" s="996"/>
      <c r="AO120" s="996"/>
      <c r="AP120" s="996"/>
      <c r="AQ120" s="996"/>
      <c r="AR120" s="996"/>
      <c r="AS120" s="1015"/>
      <c r="AU120" s="1034"/>
      <c r="AV120" s="996"/>
      <c r="AW120" s="996"/>
      <c r="AX120" s="996"/>
      <c r="AY120" s="996"/>
      <c r="AZ120" s="996"/>
      <c r="BA120" s="996"/>
      <c r="BB120" s="996"/>
      <c r="BC120" s="996"/>
      <c r="BD120" s="996"/>
      <c r="BE120" s="996"/>
      <c r="BF120" s="996"/>
      <c r="BG120" s="996"/>
      <c r="BH120" s="996"/>
      <c r="BI120" s="996"/>
      <c r="BJ120" s="996"/>
      <c r="BK120" s="996"/>
      <c r="BL120" s="996"/>
      <c r="BM120" s="996"/>
      <c r="BN120" s="996"/>
      <c r="BO120" s="996"/>
      <c r="BP120" s="996"/>
      <c r="BQ120" s="996"/>
      <c r="BR120" s="1015"/>
    </row>
    <row r="121" spans="2:70" ht="18" customHeight="1">
      <c r="B121" s="1035"/>
      <c r="C121" s="1036"/>
      <c r="D121" s="1036"/>
      <c r="E121" s="1027"/>
      <c r="F121" s="1026"/>
      <c r="G121" s="1036"/>
      <c r="H121" s="1036"/>
      <c r="I121" s="1036"/>
      <c r="J121" s="1036"/>
      <c r="K121" s="1027"/>
      <c r="L121" s="1026"/>
      <c r="M121" s="1027"/>
      <c r="N121" s="1026"/>
      <c r="O121" s="1027"/>
      <c r="P121" s="1026"/>
      <c r="Q121" s="1027"/>
      <c r="R121" s="1026"/>
      <c r="S121" s="1027"/>
      <c r="T121" s="1026"/>
      <c r="U121" s="1027"/>
      <c r="W121" s="1214"/>
      <c r="X121" s="996"/>
      <c r="Y121" s="1061"/>
      <c r="Z121" s="996"/>
      <c r="AA121" s="996"/>
      <c r="AB121" s="996"/>
      <c r="AC121" s="1061"/>
      <c r="AD121" s="996"/>
      <c r="AE121" s="996"/>
      <c r="AF121" s="996"/>
      <c r="AG121" s="996"/>
      <c r="AH121" s="1178"/>
      <c r="AI121" s="996"/>
      <c r="AJ121" s="996"/>
      <c r="AK121" s="996"/>
      <c r="AL121" s="996"/>
      <c r="AM121" s="996"/>
      <c r="AN121" s="996"/>
      <c r="AO121" s="996"/>
      <c r="AP121" s="996"/>
      <c r="AQ121" s="996"/>
      <c r="AR121" s="996"/>
      <c r="AS121" s="1015"/>
      <c r="AT121" s="621"/>
      <c r="AU121" s="1034"/>
      <c r="AV121" s="996"/>
      <c r="AW121" s="996"/>
      <c r="AX121" s="996"/>
      <c r="AY121" s="996"/>
      <c r="AZ121" s="996"/>
      <c r="BA121" s="996"/>
      <c r="BB121" s="996"/>
      <c r="BC121" s="996"/>
      <c r="BD121" s="996"/>
      <c r="BE121" s="996"/>
      <c r="BF121" s="996"/>
      <c r="BG121" s="996"/>
      <c r="BH121" s="996"/>
      <c r="BI121" s="996"/>
      <c r="BJ121" s="996"/>
      <c r="BK121" s="996"/>
      <c r="BL121" s="996"/>
      <c r="BM121" s="996"/>
      <c r="BN121" s="996"/>
      <c r="BO121" s="996"/>
      <c r="BP121" s="996"/>
      <c r="BQ121" s="996"/>
      <c r="BR121" s="1015"/>
    </row>
    <row r="122" spans="2:70" ht="18" customHeight="1">
      <c r="B122" s="1349" t="s">
        <v>255</v>
      </c>
      <c r="C122" s="1033"/>
      <c r="D122" s="1033"/>
      <c r="E122" s="1033"/>
      <c r="F122" s="1033"/>
      <c r="G122" s="1033"/>
      <c r="H122" s="1033"/>
      <c r="I122" s="1033"/>
      <c r="J122" s="1033"/>
      <c r="K122" s="1033"/>
      <c r="L122" s="1033"/>
      <c r="M122" s="1033"/>
      <c r="N122" s="1033"/>
      <c r="O122" s="1033"/>
      <c r="P122" s="1033"/>
      <c r="Q122" s="1033"/>
      <c r="R122" s="1033"/>
      <c r="S122" s="1033"/>
      <c r="T122" s="1033"/>
      <c r="U122" s="1031"/>
      <c r="W122" s="1075"/>
      <c r="X122" s="996"/>
      <c r="Y122" s="1065"/>
      <c r="Z122" s="996"/>
      <c r="AA122" s="996"/>
      <c r="AB122" s="996"/>
      <c r="AC122" s="1065"/>
      <c r="AD122" s="996"/>
      <c r="AE122" s="996"/>
      <c r="AF122" s="996"/>
      <c r="AG122" s="996"/>
      <c r="AH122" s="1185"/>
      <c r="AI122" s="996"/>
      <c r="AJ122" s="996"/>
      <c r="AK122" s="996"/>
      <c r="AL122" s="996"/>
      <c r="AM122" s="996"/>
      <c r="AN122" s="996"/>
      <c r="AO122" s="996"/>
      <c r="AP122" s="996"/>
      <c r="AQ122" s="996"/>
      <c r="AR122" s="996"/>
      <c r="AS122" s="1015"/>
      <c r="AT122" s="621"/>
      <c r="AU122" s="1034"/>
      <c r="AV122" s="996"/>
      <c r="AW122" s="996"/>
      <c r="AX122" s="996"/>
      <c r="AY122" s="996"/>
      <c r="AZ122" s="996"/>
      <c r="BA122" s="996"/>
      <c r="BB122" s="996"/>
      <c r="BC122" s="996"/>
      <c r="BD122" s="996"/>
      <c r="BE122" s="996"/>
      <c r="BF122" s="996"/>
      <c r="BG122" s="996"/>
      <c r="BH122" s="996"/>
      <c r="BI122" s="996"/>
      <c r="BJ122" s="996"/>
      <c r="BK122" s="996"/>
      <c r="BL122" s="996"/>
      <c r="BM122" s="996"/>
      <c r="BN122" s="996"/>
      <c r="BO122" s="996"/>
      <c r="BP122" s="996"/>
      <c r="BQ122" s="996"/>
      <c r="BR122" s="1015"/>
    </row>
    <row r="123" spans="2:70" ht="18" customHeight="1">
      <c r="B123" s="1035"/>
      <c r="C123" s="1036"/>
      <c r="D123" s="1036"/>
      <c r="E123" s="1036"/>
      <c r="F123" s="1036"/>
      <c r="G123" s="1036"/>
      <c r="H123" s="1036"/>
      <c r="I123" s="1036"/>
      <c r="J123" s="1036"/>
      <c r="K123" s="1036"/>
      <c r="L123" s="1036"/>
      <c r="M123" s="1036"/>
      <c r="N123" s="1036"/>
      <c r="O123" s="1036"/>
      <c r="P123" s="1036"/>
      <c r="Q123" s="1036"/>
      <c r="R123" s="1036"/>
      <c r="S123" s="1036"/>
      <c r="T123" s="1036"/>
      <c r="U123" s="1027"/>
      <c r="W123" s="1214"/>
      <c r="X123" s="996"/>
      <c r="Y123" s="1061"/>
      <c r="Z123" s="996"/>
      <c r="AA123" s="996"/>
      <c r="AB123" s="996"/>
      <c r="AC123" s="1061"/>
      <c r="AD123" s="996"/>
      <c r="AE123" s="996"/>
      <c r="AF123" s="996"/>
      <c r="AG123" s="996"/>
      <c r="AH123" s="1178"/>
      <c r="AI123" s="996"/>
      <c r="AJ123" s="996"/>
      <c r="AK123" s="996"/>
      <c r="AL123" s="996"/>
      <c r="AM123" s="996"/>
      <c r="AN123" s="996"/>
      <c r="AO123" s="996"/>
      <c r="AP123" s="996"/>
      <c r="AQ123" s="996"/>
      <c r="AR123" s="996"/>
      <c r="AS123" s="1015"/>
      <c r="AU123" s="1034"/>
      <c r="AV123" s="996"/>
      <c r="AW123" s="996"/>
      <c r="AX123" s="996"/>
      <c r="AY123" s="996"/>
      <c r="AZ123" s="996"/>
      <c r="BA123" s="996"/>
      <c r="BB123" s="996"/>
      <c r="BC123" s="996"/>
      <c r="BD123" s="996"/>
      <c r="BE123" s="996"/>
      <c r="BF123" s="996"/>
      <c r="BG123" s="996"/>
      <c r="BH123" s="996"/>
      <c r="BI123" s="996"/>
      <c r="BJ123" s="996"/>
      <c r="BK123" s="996"/>
      <c r="BL123" s="996"/>
      <c r="BM123" s="996"/>
      <c r="BN123" s="996"/>
      <c r="BO123" s="996"/>
      <c r="BP123" s="996"/>
      <c r="BQ123" s="996"/>
      <c r="BR123" s="1015"/>
    </row>
    <row r="124" spans="2:70" ht="18" customHeight="1">
      <c r="B124" s="1067" t="s">
        <v>256</v>
      </c>
      <c r="C124" s="1007"/>
      <c r="D124" s="1007"/>
      <c r="E124" s="1007"/>
      <c r="F124" s="1007"/>
      <c r="G124" s="1007"/>
      <c r="H124" s="1007"/>
      <c r="I124" s="1007"/>
      <c r="J124" s="1007"/>
      <c r="K124" s="1000"/>
      <c r="L124" s="1086" t="s">
        <v>257</v>
      </c>
      <c r="M124" s="1007"/>
      <c r="N124" s="1007"/>
      <c r="O124" s="1007"/>
      <c r="P124" s="1007"/>
      <c r="Q124" s="1007"/>
      <c r="R124" s="1007"/>
      <c r="S124" s="1007"/>
      <c r="T124" s="1007"/>
      <c r="U124" s="1000"/>
      <c r="W124" s="1075"/>
      <c r="X124" s="996"/>
      <c r="Y124" s="1065"/>
      <c r="Z124" s="996"/>
      <c r="AA124" s="996"/>
      <c r="AB124" s="996"/>
      <c r="AC124" s="1065"/>
      <c r="AD124" s="996"/>
      <c r="AE124" s="996"/>
      <c r="AF124" s="996"/>
      <c r="AG124" s="996"/>
      <c r="AH124" s="1185"/>
      <c r="AI124" s="996"/>
      <c r="AJ124" s="996"/>
      <c r="AK124" s="996"/>
      <c r="AL124" s="996"/>
      <c r="AM124" s="996"/>
      <c r="AN124" s="996"/>
      <c r="AO124" s="996"/>
      <c r="AP124" s="996"/>
      <c r="AQ124" s="996"/>
      <c r="AR124" s="996"/>
      <c r="AS124" s="1015"/>
      <c r="AU124" s="1034"/>
      <c r="AV124" s="996"/>
      <c r="AW124" s="996"/>
      <c r="AX124" s="996"/>
      <c r="AY124" s="996"/>
      <c r="AZ124" s="996"/>
      <c r="BA124" s="996"/>
      <c r="BB124" s="996"/>
      <c r="BC124" s="996"/>
      <c r="BD124" s="996"/>
      <c r="BE124" s="996"/>
      <c r="BF124" s="996"/>
      <c r="BG124" s="996"/>
      <c r="BH124" s="996"/>
      <c r="BI124" s="996"/>
      <c r="BJ124" s="996"/>
      <c r="BK124" s="996"/>
      <c r="BL124" s="996"/>
      <c r="BM124" s="996"/>
      <c r="BN124" s="996"/>
      <c r="BO124" s="996"/>
      <c r="BP124" s="996"/>
      <c r="BQ124" s="996"/>
      <c r="BR124" s="1015"/>
    </row>
    <row r="125" spans="2:70" ht="18" customHeight="1">
      <c r="B125" s="1067" t="s">
        <v>258</v>
      </c>
      <c r="C125" s="1000"/>
      <c r="D125" s="1086" t="s">
        <v>259</v>
      </c>
      <c r="E125" s="1007"/>
      <c r="F125" s="1007"/>
      <c r="G125" s="1007"/>
      <c r="H125" s="1007"/>
      <c r="I125" s="1007"/>
      <c r="J125" s="1007"/>
      <c r="K125" s="1007"/>
      <c r="L125" s="1007"/>
      <c r="M125" s="1007"/>
      <c r="N125" s="1007"/>
      <c r="O125" s="1007"/>
      <c r="P125" s="1007"/>
      <c r="Q125" s="1007"/>
      <c r="R125" s="1007"/>
      <c r="S125" s="1007"/>
      <c r="T125" s="1007"/>
      <c r="U125" s="1000"/>
      <c r="W125" s="1214"/>
      <c r="X125" s="996"/>
      <c r="Y125" s="1061"/>
      <c r="Z125" s="996"/>
      <c r="AA125" s="996"/>
      <c r="AB125" s="996"/>
      <c r="AC125" s="1061"/>
      <c r="AD125" s="996"/>
      <c r="AE125" s="996"/>
      <c r="AF125" s="996"/>
      <c r="AG125" s="996"/>
      <c r="AH125" s="1178"/>
      <c r="AI125" s="996"/>
      <c r="AJ125" s="996"/>
      <c r="AK125" s="996"/>
      <c r="AL125" s="996"/>
      <c r="AM125" s="996"/>
      <c r="AN125" s="996"/>
      <c r="AO125" s="996"/>
      <c r="AP125" s="996"/>
      <c r="AQ125" s="996"/>
      <c r="AR125" s="996"/>
      <c r="AS125" s="1015"/>
      <c r="AU125" s="1034"/>
      <c r="AV125" s="996"/>
      <c r="AW125" s="996"/>
      <c r="AX125" s="996"/>
      <c r="AY125" s="996"/>
      <c r="AZ125" s="996"/>
      <c r="BA125" s="996"/>
      <c r="BB125" s="996"/>
      <c r="BC125" s="996"/>
      <c r="BD125" s="996"/>
      <c r="BE125" s="996"/>
      <c r="BF125" s="996"/>
      <c r="BG125" s="996"/>
      <c r="BH125" s="996"/>
      <c r="BI125" s="996"/>
      <c r="BJ125" s="996"/>
      <c r="BK125" s="996"/>
      <c r="BL125" s="996"/>
      <c r="BM125" s="996"/>
      <c r="BN125" s="996"/>
      <c r="BO125" s="996"/>
      <c r="BP125" s="996"/>
      <c r="BQ125" s="996"/>
      <c r="BR125" s="1015"/>
    </row>
    <row r="126" spans="2:70" ht="18" customHeight="1" thickBot="1">
      <c r="B126" s="1067" t="s">
        <v>260</v>
      </c>
      <c r="C126" s="1000"/>
      <c r="D126" s="1086" t="s">
        <v>261</v>
      </c>
      <c r="E126" s="1007"/>
      <c r="F126" s="1007"/>
      <c r="G126" s="1007"/>
      <c r="H126" s="1007"/>
      <c r="I126" s="1007"/>
      <c r="J126" s="1007"/>
      <c r="K126" s="1007"/>
      <c r="L126" s="1007"/>
      <c r="M126" s="1007"/>
      <c r="N126" s="1007"/>
      <c r="O126" s="1007"/>
      <c r="P126" s="1007"/>
      <c r="Q126" s="1007"/>
      <c r="R126" s="1007"/>
      <c r="S126" s="1007"/>
      <c r="T126" s="1007"/>
      <c r="U126" s="1000"/>
      <c r="W126" s="1213"/>
      <c r="X126" s="1019"/>
      <c r="Y126" s="1068"/>
      <c r="Z126" s="1019"/>
      <c r="AA126" s="1019"/>
      <c r="AB126" s="1019"/>
      <c r="AC126" s="1068"/>
      <c r="AD126" s="1019"/>
      <c r="AE126" s="1019"/>
      <c r="AF126" s="1019"/>
      <c r="AG126" s="1019"/>
      <c r="AH126" s="1316"/>
      <c r="AI126" s="1019"/>
      <c r="AJ126" s="1019"/>
      <c r="AK126" s="1019"/>
      <c r="AL126" s="1019"/>
      <c r="AM126" s="1019"/>
      <c r="AN126" s="1019"/>
      <c r="AO126" s="1019"/>
      <c r="AP126" s="1019"/>
      <c r="AQ126" s="1019"/>
      <c r="AR126" s="1019"/>
      <c r="AS126" s="1091"/>
      <c r="AU126" s="1034"/>
      <c r="AV126" s="996"/>
      <c r="AW126" s="996"/>
      <c r="AX126" s="996"/>
      <c r="AY126" s="996"/>
      <c r="AZ126" s="996"/>
      <c r="BA126" s="996"/>
      <c r="BB126" s="996"/>
      <c r="BC126" s="996"/>
      <c r="BD126" s="996"/>
      <c r="BE126" s="996"/>
      <c r="BF126" s="996"/>
      <c r="BG126" s="996"/>
      <c r="BH126" s="996"/>
      <c r="BI126" s="996"/>
      <c r="BJ126" s="996"/>
      <c r="BK126" s="996"/>
      <c r="BL126" s="996"/>
      <c r="BM126" s="996"/>
      <c r="BN126" s="996"/>
      <c r="BO126" s="996"/>
      <c r="BP126" s="996"/>
      <c r="BQ126" s="996"/>
      <c r="BR126" s="1015"/>
    </row>
    <row r="127" spans="2:70" ht="18" customHeight="1" thickBot="1">
      <c r="B127" s="1067" t="s">
        <v>262</v>
      </c>
      <c r="C127" s="1031"/>
      <c r="D127" s="1054" t="s">
        <v>263</v>
      </c>
      <c r="E127" s="1033"/>
      <c r="F127" s="1033"/>
      <c r="G127" s="1033"/>
      <c r="H127" s="1033"/>
      <c r="I127" s="1033"/>
      <c r="J127" s="1033"/>
      <c r="K127" s="1033"/>
      <c r="L127" s="1033"/>
      <c r="M127" s="1033"/>
      <c r="N127" s="1033"/>
      <c r="O127" s="1033"/>
      <c r="P127" s="1033"/>
      <c r="Q127" s="1033"/>
      <c r="R127" s="1033"/>
      <c r="S127" s="1033"/>
      <c r="T127" s="1033"/>
      <c r="U127" s="1031"/>
      <c r="Y127" s="32"/>
      <c r="AM127" s="364"/>
      <c r="AN127" s="364"/>
      <c r="AO127" s="364"/>
      <c r="AP127" s="364"/>
      <c r="AQ127" s="364"/>
      <c r="AR127" s="364"/>
      <c r="AS127" s="364"/>
      <c r="AU127" s="1035"/>
      <c r="AV127" s="1036"/>
      <c r="AW127" s="1036"/>
      <c r="AX127" s="1036"/>
      <c r="AY127" s="1036"/>
      <c r="AZ127" s="1036"/>
      <c r="BA127" s="1036"/>
      <c r="BB127" s="1036"/>
      <c r="BC127" s="1036"/>
      <c r="BD127" s="1036"/>
      <c r="BE127" s="1036"/>
      <c r="BF127" s="1036"/>
      <c r="BG127" s="1036"/>
      <c r="BH127" s="1036"/>
      <c r="BI127" s="1036"/>
      <c r="BJ127" s="1036"/>
      <c r="BK127" s="1036"/>
      <c r="BL127" s="1036"/>
      <c r="BM127" s="1036"/>
      <c r="BN127" s="1036"/>
      <c r="BO127" s="1036"/>
      <c r="BP127" s="1036"/>
      <c r="BQ127" s="1036"/>
      <c r="BR127" s="998"/>
    </row>
    <row r="128" spans="2:70" ht="18" customHeight="1">
      <c r="B128" s="1035"/>
      <c r="C128" s="1027"/>
      <c r="D128" s="1026"/>
      <c r="E128" s="1036"/>
      <c r="F128" s="1036"/>
      <c r="G128" s="1036"/>
      <c r="H128" s="1036"/>
      <c r="I128" s="1036"/>
      <c r="J128" s="1036"/>
      <c r="K128" s="1036"/>
      <c r="L128" s="1036"/>
      <c r="M128" s="1036"/>
      <c r="N128" s="1036"/>
      <c r="O128" s="1036"/>
      <c r="P128" s="1036"/>
      <c r="Q128" s="1036"/>
      <c r="R128" s="1036"/>
      <c r="S128" s="1036"/>
      <c r="T128" s="1036"/>
      <c r="U128" s="1027"/>
      <c r="W128" s="1022" t="s">
        <v>264</v>
      </c>
      <c r="X128" s="1023"/>
      <c r="Y128" s="1023"/>
      <c r="Z128" s="1023"/>
      <c r="AA128" s="1023"/>
      <c r="AB128" s="1023"/>
      <c r="AC128" s="1023"/>
      <c r="AD128" s="1023"/>
      <c r="AE128" s="1023"/>
      <c r="AF128" s="1023"/>
      <c r="AG128" s="1023"/>
      <c r="AH128" s="1023"/>
      <c r="AI128" s="1023"/>
      <c r="AJ128" s="1023"/>
      <c r="AK128" s="1023"/>
      <c r="AL128" s="1023"/>
      <c r="AM128" s="1023"/>
      <c r="AN128" s="1023"/>
      <c r="AO128" s="1023"/>
      <c r="AP128" s="1023"/>
      <c r="AQ128" s="1023"/>
      <c r="AR128" s="1023"/>
      <c r="AS128" s="1024"/>
      <c r="AU128" s="1083" t="s">
        <v>265</v>
      </c>
      <c r="AV128" s="1007"/>
      <c r="AW128" s="1007"/>
      <c r="AX128" s="1007"/>
      <c r="AY128" s="1007"/>
      <c r="AZ128" s="1007"/>
      <c r="BA128" s="1007"/>
      <c r="BB128" s="1007"/>
      <c r="BC128" s="1007"/>
      <c r="BD128" s="1007"/>
      <c r="BE128" s="1007"/>
      <c r="BF128" s="1007"/>
      <c r="BG128" s="1007"/>
      <c r="BH128" s="1007"/>
      <c r="BI128" s="1007"/>
      <c r="BJ128" s="1007"/>
      <c r="BK128" s="1007"/>
      <c r="BL128" s="1007"/>
      <c r="BM128" s="1007"/>
      <c r="BN128" s="1007"/>
      <c r="BO128" s="1007"/>
      <c r="BP128" s="1007"/>
      <c r="BQ128" s="1007"/>
      <c r="BR128" s="1084"/>
    </row>
    <row r="129" spans="1:70" ht="18" customHeight="1" thickBot="1">
      <c r="B129" s="1275" t="s">
        <v>266</v>
      </c>
      <c r="C129" s="1033"/>
      <c r="D129" s="1033"/>
      <c r="E129" s="1033"/>
      <c r="F129" s="1033"/>
      <c r="G129" s="1033"/>
      <c r="H129" s="1033"/>
      <c r="I129" s="1033"/>
      <c r="J129" s="1033"/>
      <c r="K129" s="1031"/>
      <c r="L129" s="1332" t="s">
        <v>267</v>
      </c>
      <c r="M129" s="1033"/>
      <c r="N129" s="1033"/>
      <c r="O129" s="1033"/>
      <c r="P129" s="1033"/>
      <c r="Q129" s="1033"/>
      <c r="R129" s="1033"/>
      <c r="S129" s="1033"/>
      <c r="T129" s="1033"/>
      <c r="U129" s="1031"/>
      <c r="W129" s="1264" t="s">
        <v>7</v>
      </c>
      <c r="X129" s="1007"/>
      <c r="Y129" s="1007"/>
      <c r="Z129" s="1000"/>
      <c r="AA129" s="1134" t="s">
        <v>11</v>
      </c>
      <c r="AB129" s="1007"/>
      <c r="AC129" s="1000"/>
      <c r="AD129" s="1190" t="s">
        <v>268</v>
      </c>
      <c r="AE129" s="1007"/>
      <c r="AF129" s="1007"/>
      <c r="AG129" s="1007"/>
      <c r="AH129" s="1007"/>
      <c r="AI129" s="1007"/>
      <c r="AJ129" s="1007"/>
      <c r="AK129" s="1000"/>
      <c r="AL129" s="1134" t="s">
        <v>269</v>
      </c>
      <c r="AM129" s="1007"/>
      <c r="AN129" s="1007"/>
      <c r="AO129" s="1000"/>
      <c r="AP129" s="1134" t="s">
        <v>270</v>
      </c>
      <c r="AQ129" s="1007"/>
      <c r="AR129" s="1007"/>
      <c r="AS129" s="1000"/>
      <c r="AU129" s="1008" t="s">
        <v>271</v>
      </c>
      <c r="AV129" s="1007"/>
      <c r="AW129" s="1007"/>
      <c r="AX129" s="1007"/>
      <c r="AY129" s="1000"/>
      <c r="AZ129" s="1058" t="s">
        <v>272</v>
      </c>
      <c r="BA129" s="1007"/>
      <c r="BB129" s="1007"/>
      <c r="BC129" s="1007"/>
      <c r="BD129" s="1007"/>
      <c r="BE129" s="1007"/>
      <c r="BF129" s="1000"/>
      <c r="BG129" s="1173" t="str">
        <f>IF(AZ129=附表!AT29,"要搜索的年份：","当前年份"&amp;G8&amp;"年")</f>
        <v>要搜索的年份：</v>
      </c>
      <c r="BH129" s="1007"/>
      <c r="BI129" s="1007"/>
      <c r="BJ129" s="1007"/>
      <c r="BK129" s="1000"/>
      <c r="BL129" s="1157" t="n">
        <f>G8</f>
        <v>2026</v>
      </c>
      <c r="BM129" s="1007"/>
      <c r="BN129" s="1007"/>
      <c r="BO129" s="1007"/>
      <c r="BP129" s="1007"/>
      <c r="BQ129" s="1007"/>
      <c r="BR129" s="1084"/>
    </row>
    <row r="130" spans="1:70" ht="18" customHeight="1">
      <c r="A130" s="364"/>
      <c r="B130" s="1239" t="s">
        <v>273</v>
      </c>
      <c r="C130" s="1088"/>
      <c r="D130" s="1088"/>
      <c r="E130" s="1088"/>
      <c r="F130" s="1088"/>
      <c r="G130" s="1088"/>
      <c r="H130" s="1088"/>
      <c r="I130" s="1088"/>
      <c r="J130" s="1088"/>
      <c r="K130" s="1088"/>
      <c r="L130" s="1088"/>
      <c r="M130" s="1088"/>
      <c r="N130" s="1088"/>
      <c r="O130" s="1088"/>
      <c r="P130" s="1088"/>
      <c r="Q130" s="1088"/>
      <c r="R130" s="1088"/>
      <c r="S130" s="1088"/>
      <c r="T130" s="1088"/>
      <c r="U130" s="1089"/>
      <c r="W130" s="1277" t="s">
        <v>274</v>
      </c>
      <c r="X130" s="1033"/>
      <c r="Y130" s="1033"/>
      <c r="Z130" s="1031"/>
      <c r="AA130" s="1335" t="s">
        <v>275</v>
      </c>
      <c r="AB130" s="1033"/>
      <c r="AC130" s="1031"/>
      <c r="AD130" s="1180" t="s">
        <v>276</v>
      </c>
      <c r="AE130" s="1033"/>
      <c r="AF130" s="1033"/>
      <c r="AG130" s="1033"/>
      <c r="AH130" s="1033"/>
      <c r="AI130" s="1033"/>
      <c r="AJ130" s="1033"/>
      <c r="AK130" s="1031"/>
      <c r="AL130" s="1335" t="s">
        <v>277</v>
      </c>
      <c r="AM130" s="1033"/>
      <c r="AN130" s="1033"/>
      <c r="AO130" s="1031"/>
      <c r="AP130" s="1180" t="s">
        <v>278</v>
      </c>
      <c r="AQ130" s="1033"/>
      <c r="AR130" s="1033"/>
      <c r="AS130" s="1031"/>
      <c r="AU130" s="1037" t="str">
        <f>附表!BA14</f>
        <v>发明仅可查询至2016年</v>
      </c>
      <c r="AV130" s="1033"/>
      <c r="AW130" s="1033"/>
      <c r="AX130" s="1033"/>
      <c r="AY130" s="1033"/>
      <c r="AZ130" s="1033"/>
      <c r="BA130" s="1033"/>
      <c r="BB130" s="1033"/>
      <c r="BC130" s="1033"/>
      <c r="BD130" s="1033"/>
      <c r="BE130" s="1033"/>
      <c r="BF130" s="1033"/>
      <c r="BG130" s="1033"/>
      <c r="BH130" s="1033"/>
      <c r="BI130" s="1033"/>
      <c r="BJ130" s="1033"/>
      <c r="BK130" s="1033"/>
      <c r="BL130" s="1033"/>
      <c r="BM130" s="1033"/>
      <c r="BN130" s="1033"/>
      <c r="BO130" s="1033"/>
      <c r="BP130" s="1033"/>
      <c r="BQ130" s="1033"/>
      <c r="BR130" s="1038"/>
    </row>
    <row r="131" spans="1:70" ht="18" customHeight="1">
      <c r="A131" s="364"/>
      <c r="B131" s="1130" t="s">
        <v>279</v>
      </c>
      <c r="C131" s="1033"/>
      <c r="D131" s="1033"/>
      <c r="E131" s="1033"/>
      <c r="F131" s="1031"/>
      <c r="G131" s="1086" t="s">
        <v>244</v>
      </c>
      <c r="H131" s="1007"/>
      <c r="I131" s="1007"/>
      <c r="J131" s="1007"/>
      <c r="K131" s="1007"/>
      <c r="L131" s="1007"/>
      <c r="M131" s="1000"/>
      <c r="N131" s="1002" t="s">
        <v>245</v>
      </c>
      <c r="O131" s="1007"/>
      <c r="P131" s="1007"/>
      <c r="Q131" s="1000"/>
      <c r="R131" s="1002" t="s">
        <v>246</v>
      </c>
      <c r="S131" s="1007"/>
      <c r="T131" s="1007"/>
      <c r="U131" s="1000"/>
      <c r="W131" s="1039"/>
      <c r="X131" s="996"/>
      <c r="Y131" s="996"/>
      <c r="Z131" s="1013"/>
      <c r="AA131" s="1055"/>
      <c r="AB131" s="996"/>
      <c r="AC131" s="1013"/>
      <c r="AD131" s="1136"/>
      <c r="AE131" s="996"/>
      <c r="AF131" s="996"/>
      <c r="AG131" s="996"/>
      <c r="AH131" s="996"/>
      <c r="AI131" s="996"/>
      <c r="AJ131" s="996"/>
      <c r="AK131" s="1013"/>
      <c r="AL131" s="1055"/>
      <c r="AM131" s="996"/>
      <c r="AN131" s="996"/>
      <c r="AO131" s="1013"/>
      <c r="AP131" s="1136"/>
      <c r="AQ131" s="996"/>
      <c r="AR131" s="996"/>
      <c r="AS131" s="1013"/>
      <c r="AU131" s="1034"/>
      <c r="AV131" s="996"/>
      <c r="AW131" s="996"/>
      <c r="AX131" s="996"/>
      <c r="AY131" s="996"/>
      <c r="AZ131" s="996"/>
      <c r="BA131" s="996"/>
      <c r="BB131" s="996"/>
      <c r="BC131" s="996"/>
      <c r="BD131" s="996"/>
      <c r="BE131" s="996"/>
      <c r="BF131" s="996"/>
      <c r="BG131" s="996"/>
      <c r="BH131" s="996"/>
      <c r="BI131" s="996"/>
      <c r="BJ131" s="996"/>
      <c r="BK131" s="996"/>
      <c r="BL131" s="996"/>
      <c r="BM131" s="996"/>
      <c r="BN131" s="996"/>
      <c r="BO131" s="996"/>
      <c r="BP131" s="996"/>
      <c r="BQ131" s="996"/>
      <c r="BR131" s="1015"/>
    </row>
    <row r="132" spans="1:70" ht="18" customHeight="1">
      <c r="A132" s="364"/>
      <c r="B132" s="1034"/>
      <c r="C132" s="996"/>
      <c r="D132" s="996"/>
      <c r="E132" s="996"/>
      <c r="F132" s="1013"/>
      <c r="G132" s="1054" t="s">
        <v>280</v>
      </c>
      <c r="H132" s="1033"/>
      <c r="I132" s="1033"/>
      <c r="J132" s="1033"/>
      <c r="K132" s="1033"/>
      <c r="L132" s="1033"/>
      <c r="M132" s="1031"/>
      <c r="N132" s="1002" t="s">
        <v>281</v>
      </c>
      <c r="O132" s="1033"/>
      <c r="P132" s="1033"/>
      <c r="Q132" s="1031"/>
      <c r="R132" s="1002" t="s">
        <v>282</v>
      </c>
      <c r="S132" s="1033"/>
      <c r="T132" s="1033"/>
      <c r="U132" s="1031"/>
      <c r="W132" s="1048"/>
      <c r="X132" s="996"/>
      <c r="Y132" s="996"/>
      <c r="Z132" s="1013"/>
      <c r="AA132" s="1115"/>
      <c r="AB132" s="996"/>
      <c r="AC132" s="1013"/>
      <c r="AD132" s="1158"/>
      <c r="AE132" s="996"/>
      <c r="AF132" s="996"/>
      <c r="AG132" s="996"/>
      <c r="AH132" s="996"/>
      <c r="AI132" s="996"/>
      <c r="AJ132" s="996"/>
      <c r="AK132" s="1013"/>
      <c r="AL132" s="1115"/>
      <c r="AM132" s="996"/>
      <c r="AN132" s="996"/>
      <c r="AO132" s="1013"/>
      <c r="AP132" s="1158"/>
      <c r="AQ132" s="996"/>
      <c r="AR132" s="996"/>
      <c r="AS132" s="1013"/>
      <c r="AU132" s="1034"/>
      <c r="AV132" s="996"/>
      <c r="AW132" s="996"/>
      <c r="AX132" s="996"/>
      <c r="AY132" s="996"/>
      <c r="AZ132" s="996"/>
      <c r="BA132" s="996"/>
      <c r="BB132" s="996"/>
      <c r="BC132" s="996"/>
      <c r="BD132" s="996"/>
      <c r="BE132" s="996"/>
      <c r="BF132" s="996"/>
      <c r="BG132" s="996"/>
      <c r="BH132" s="996"/>
      <c r="BI132" s="996"/>
      <c r="BJ132" s="996"/>
      <c r="BK132" s="996"/>
      <c r="BL132" s="996"/>
      <c r="BM132" s="996"/>
      <c r="BN132" s="996"/>
      <c r="BO132" s="996"/>
      <c r="BP132" s="996"/>
      <c r="BQ132" s="996"/>
      <c r="BR132" s="1015"/>
    </row>
    <row r="133" spans="1:70" ht="18" customHeight="1">
      <c r="A133" s="364"/>
      <c r="B133" s="1035"/>
      <c r="C133" s="1036"/>
      <c r="D133" s="1036"/>
      <c r="E133" s="1036"/>
      <c r="F133" s="1027"/>
      <c r="G133" s="1026"/>
      <c r="H133" s="1036"/>
      <c r="I133" s="1036"/>
      <c r="J133" s="1036"/>
      <c r="K133" s="1036"/>
      <c r="L133" s="1036"/>
      <c r="M133" s="1027"/>
      <c r="N133" s="1026"/>
      <c r="O133" s="1036"/>
      <c r="P133" s="1036"/>
      <c r="Q133" s="1027"/>
      <c r="R133" s="1026"/>
      <c r="S133" s="1036"/>
      <c r="T133" s="1036"/>
      <c r="U133" s="1027"/>
      <c r="W133" s="1039"/>
      <c r="X133" s="996"/>
      <c r="Y133" s="996"/>
      <c r="Z133" s="1013"/>
      <c r="AA133" s="1055"/>
      <c r="AB133" s="996"/>
      <c r="AC133" s="1013"/>
      <c r="AD133" s="1136"/>
      <c r="AE133" s="996"/>
      <c r="AF133" s="996"/>
      <c r="AG133" s="996"/>
      <c r="AH133" s="996"/>
      <c r="AI133" s="996"/>
      <c r="AJ133" s="996"/>
      <c r="AK133" s="1013"/>
      <c r="AL133" s="1055"/>
      <c r="AM133" s="996"/>
      <c r="AN133" s="996"/>
      <c r="AO133" s="1013"/>
      <c r="AP133" s="1136"/>
      <c r="AQ133" s="996"/>
      <c r="AR133" s="996"/>
      <c r="AS133" s="1013"/>
      <c r="AU133" s="1034"/>
      <c r="AV133" s="996"/>
      <c r="AW133" s="996"/>
      <c r="AX133" s="996"/>
      <c r="AY133" s="996"/>
      <c r="AZ133" s="996"/>
      <c r="BA133" s="996"/>
      <c r="BB133" s="996"/>
      <c r="BC133" s="996"/>
      <c r="BD133" s="996"/>
      <c r="BE133" s="996"/>
      <c r="BF133" s="996"/>
      <c r="BG133" s="996"/>
      <c r="BH133" s="996"/>
      <c r="BI133" s="996"/>
      <c r="BJ133" s="996"/>
      <c r="BK133" s="996"/>
      <c r="BL133" s="996"/>
      <c r="BM133" s="996"/>
      <c r="BN133" s="996"/>
      <c r="BO133" s="996"/>
      <c r="BP133" s="996"/>
      <c r="BQ133" s="996"/>
      <c r="BR133" s="1015"/>
    </row>
    <row r="134" spans="1:70" ht="18" customHeight="1">
      <c r="A134" s="364"/>
      <c r="B134" s="1108" t="s">
        <v>283</v>
      </c>
      <c r="C134" s="1033"/>
      <c r="D134" s="1033"/>
      <c r="E134" s="1033"/>
      <c r="F134" s="1031"/>
      <c r="G134" s="1030" t="s">
        <v>284</v>
      </c>
      <c r="H134" s="1033"/>
      <c r="I134" s="1033"/>
      <c r="J134" s="1033"/>
      <c r="K134" s="1033"/>
      <c r="L134" s="1033"/>
      <c r="M134" s="1031"/>
      <c r="N134" s="1030" t="s">
        <v>285</v>
      </c>
      <c r="O134" s="1033"/>
      <c r="P134" s="1033"/>
      <c r="Q134" s="1031"/>
      <c r="R134" s="1030" t="s">
        <v>286</v>
      </c>
      <c r="S134" s="1033"/>
      <c r="T134" s="1033"/>
      <c r="U134" s="1031"/>
      <c r="W134" s="1048"/>
      <c r="X134" s="996"/>
      <c r="Y134" s="996"/>
      <c r="Z134" s="1013"/>
      <c r="AA134" s="1115"/>
      <c r="AB134" s="996"/>
      <c r="AC134" s="1013"/>
      <c r="AD134" s="1158"/>
      <c r="AE134" s="996"/>
      <c r="AF134" s="996"/>
      <c r="AG134" s="996"/>
      <c r="AH134" s="996"/>
      <c r="AI134" s="996"/>
      <c r="AJ134" s="996"/>
      <c r="AK134" s="1013"/>
      <c r="AL134" s="1115"/>
      <c r="AM134" s="996"/>
      <c r="AN134" s="996"/>
      <c r="AO134" s="1013"/>
      <c r="AP134" s="1158"/>
      <c r="AQ134" s="996"/>
      <c r="AR134" s="996"/>
      <c r="AS134" s="1013"/>
      <c r="AU134" s="1034"/>
      <c r="AV134" s="996"/>
      <c r="AW134" s="996"/>
      <c r="AX134" s="996"/>
      <c r="AY134" s="996"/>
      <c r="AZ134" s="996"/>
      <c r="BA134" s="996"/>
      <c r="BB134" s="996"/>
      <c r="BC134" s="996"/>
      <c r="BD134" s="996"/>
      <c r="BE134" s="996"/>
      <c r="BF134" s="996"/>
      <c r="BG134" s="996"/>
      <c r="BH134" s="996"/>
      <c r="BI134" s="996"/>
      <c r="BJ134" s="996"/>
      <c r="BK134" s="996"/>
      <c r="BL134" s="996"/>
      <c r="BM134" s="996"/>
      <c r="BN134" s="996"/>
      <c r="BO134" s="996"/>
      <c r="BP134" s="996"/>
      <c r="BQ134" s="996"/>
      <c r="BR134" s="1015"/>
    </row>
    <row r="135" spans="1:70" ht="18" customHeight="1">
      <c r="A135" s="364"/>
      <c r="B135" s="1035"/>
      <c r="C135" s="1036"/>
      <c r="D135" s="1036"/>
      <c r="E135" s="1036"/>
      <c r="F135" s="1027"/>
      <c r="G135" s="1026"/>
      <c r="H135" s="1036"/>
      <c r="I135" s="1036"/>
      <c r="J135" s="1036"/>
      <c r="K135" s="1036"/>
      <c r="L135" s="1036"/>
      <c r="M135" s="1027"/>
      <c r="N135" s="1026"/>
      <c r="O135" s="1036"/>
      <c r="P135" s="1036"/>
      <c r="Q135" s="1027"/>
      <c r="R135" s="1026"/>
      <c r="S135" s="1036"/>
      <c r="T135" s="1036"/>
      <c r="U135" s="1027"/>
      <c r="W135" s="1039"/>
      <c r="X135" s="996"/>
      <c r="Y135" s="996"/>
      <c r="Z135" s="1013"/>
      <c r="AA135" s="1055"/>
      <c r="AB135" s="996"/>
      <c r="AC135" s="1013"/>
      <c r="AD135" s="1136"/>
      <c r="AE135" s="996"/>
      <c r="AF135" s="996"/>
      <c r="AG135" s="996"/>
      <c r="AH135" s="996"/>
      <c r="AI135" s="996"/>
      <c r="AJ135" s="996"/>
      <c r="AK135" s="1013"/>
      <c r="AL135" s="1055"/>
      <c r="AM135" s="996"/>
      <c r="AN135" s="996"/>
      <c r="AO135" s="1013"/>
      <c r="AP135" s="1136"/>
      <c r="AQ135" s="996"/>
      <c r="AR135" s="996"/>
      <c r="AS135" s="1013"/>
      <c r="AU135" s="1034"/>
      <c r="AV135" s="996"/>
      <c r="AW135" s="996"/>
      <c r="AX135" s="996"/>
      <c r="AY135" s="996"/>
      <c r="AZ135" s="996"/>
      <c r="BA135" s="996"/>
      <c r="BB135" s="996"/>
      <c r="BC135" s="996"/>
      <c r="BD135" s="996"/>
      <c r="BE135" s="996"/>
      <c r="BF135" s="996"/>
      <c r="BG135" s="996"/>
      <c r="BH135" s="996"/>
      <c r="BI135" s="996"/>
      <c r="BJ135" s="996"/>
      <c r="BK135" s="996"/>
      <c r="BL135" s="996"/>
      <c r="BM135" s="996"/>
      <c r="BN135" s="996"/>
      <c r="BO135" s="996"/>
      <c r="BP135" s="996"/>
      <c r="BQ135" s="996"/>
      <c r="BR135" s="1015"/>
    </row>
    <row r="136" spans="1:70" ht="18" customHeight="1">
      <c r="A136" s="364"/>
      <c r="B136" s="1151" t="s">
        <v>287</v>
      </c>
      <c r="C136" s="1007"/>
      <c r="D136" s="1000"/>
      <c r="E136" s="1175" t="s">
        <v>288</v>
      </c>
      <c r="F136" s="1007"/>
      <c r="G136" s="1007"/>
      <c r="H136" s="1007"/>
      <c r="I136" s="1007"/>
      <c r="J136" s="1007"/>
      <c r="K136" s="1007"/>
      <c r="L136" s="1007"/>
      <c r="M136" s="1007"/>
      <c r="N136" s="1007"/>
      <c r="O136" s="1007"/>
      <c r="P136" s="1007"/>
      <c r="Q136" s="1007"/>
      <c r="R136" s="1007"/>
      <c r="S136" s="1007"/>
      <c r="T136" s="1007"/>
      <c r="U136" s="1000"/>
      <c r="W136" s="1162"/>
      <c r="X136" s="996"/>
      <c r="Y136" s="996"/>
      <c r="Z136" s="996"/>
      <c r="AA136" s="1115"/>
      <c r="AB136" s="996"/>
      <c r="AC136" s="1013"/>
      <c r="AD136" s="1252"/>
      <c r="AE136" s="996"/>
      <c r="AF136" s="996"/>
      <c r="AG136" s="996"/>
      <c r="AH136" s="996"/>
      <c r="AI136" s="996"/>
      <c r="AJ136" s="996"/>
      <c r="AK136" s="996"/>
      <c r="AL136" s="1115"/>
      <c r="AM136" s="996"/>
      <c r="AN136" s="996"/>
      <c r="AO136" s="1013"/>
      <c r="AP136" s="1043"/>
      <c r="AQ136" s="996"/>
      <c r="AR136" s="996"/>
      <c r="AS136" s="1015"/>
      <c r="AU136" s="1034"/>
      <c r="AV136" s="996"/>
      <c r="AW136" s="996"/>
      <c r="AX136" s="996"/>
      <c r="AY136" s="996"/>
      <c r="AZ136" s="996"/>
      <c r="BA136" s="996"/>
      <c r="BB136" s="996"/>
      <c r="BC136" s="996"/>
      <c r="BD136" s="996"/>
      <c r="BE136" s="996"/>
      <c r="BF136" s="996"/>
      <c r="BG136" s="996"/>
      <c r="BH136" s="996"/>
      <c r="BI136" s="996"/>
      <c r="BJ136" s="996"/>
      <c r="BK136" s="996"/>
      <c r="BL136" s="996"/>
      <c r="BM136" s="996"/>
      <c r="BN136" s="996"/>
      <c r="BO136" s="996"/>
      <c r="BP136" s="996"/>
      <c r="BQ136" s="996"/>
      <c r="BR136" s="1015"/>
    </row>
    <row r="137" spans="1:70" ht="18" customHeight="1">
      <c r="A137" s="364"/>
      <c r="B137" s="1151" t="s">
        <v>289</v>
      </c>
      <c r="C137" s="1007"/>
      <c r="D137" s="1000"/>
      <c r="E137" s="1175" t="s">
        <v>290</v>
      </c>
      <c r="F137" s="1007"/>
      <c r="G137" s="1007"/>
      <c r="H137" s="1007"/>
      <c r="I137" s="1007"/>
      <c r="J137" s="1007"/>
      <c r="K137" s="1007"/>
      <c r="L137" s="1007"/>
      <c r="M137" s="1007"/>
      <c r="N137" s="1007"/>
      <c r="O137" s="1007"/>
      <c r="P137" s="1007"/>
      <c r="Q137" s="1007"/>
      <c r="R137" s="1007"/>
      <c r="S137" s="1007"/>
      <c r="T137" s="1007"/>
      <c r="U137" s="1000"/>
      <c r="W137" s="1145"/>
      <c r="X137" s="996"/>
      <c r="Y137" s="996"/>
      <c r="Z137" s="996"/>
      <c r="AA137" s="1055"/>
      <c r="AB137" s="996"/>
      <c r="AC137" s="1013"/>
      <c r="AD137" s="1323"/>
      <c r="AE137" s="996"/>
      <c r="AF137" s="996"/>
      <c r="AG137" s="996"/>
      <c r="AH137" s="996"/>
      <c r="AI137" s="996"/>
      <c r="AJ137" s="996"/>
      <c r="AK137" s="996"/>
      <c r="AL137" s="1055"/>
      <c r="AM137" s="996"/>
      <c r="AN137" s="996"/>
      <c r="AO137" s="1013"/>
      <c r="AP137" s="1014"/>
      <c r="AQ137" s="996"/>
      <c r="AR137" s="996"/>
      <c r="AS137" s="1015"/>
      <c r="AU137" s="1034"/>
      <c r="AV137" s="996"/>
      <c r="AW137" s="996"/>
      <c r="AX137" s="996"/>
      <c r="AY137" s="996"/>
      <c r="AZ137" s="996"/>
      <c r="BA137" s="996"/>
      <c r="BB137" s="996"/>
      <c r="BC137" s="996"/>
      <c r="BD137" s="996"/>
      <c r="BE137" s="996"/>
      <c r="BF137" s="996"/>
      <c r="BG137" s="996"/>
      <c r="BH137" s="996"/>
      <c r="BI137" s="996"/>
      <c r="BJ137" s="996"/>
      <c r="BK137" s="996"/>
      <c r="BL137" s="996"/>
      <c r="BM137" s="996"/>
      <c r="BN137" s="996"/>
      <c r="BO137" s="996"/>
      <c r="BP137" s="996"/>
      <c r="BQ137" s="996"/>
      <c r="BR137" s="1015"/>
    </row>
    <row r="138" spans="1:70" ht="18" customHeight="1">
      <c r="A138" s="364"/>
      <c r="B138" s="1151" t="s">
        <v>291</v>
      </c>
      <c r="C138" s="1007"/>
      <c r="D138" s="1000"/>
      <c r="E138" s="1175" t="s">
        <v>292</v>
      </c>
      <c r="F138" s="1007"/>
      <c r="G138" s="1007"/>
      <c r="H138" s="1007"/>
      <c r="I138" s="1007"/>
      <c r="J138" s="1007"/>
      <c r="K138" s="1007"/>
      <c r="L138" s="1007"/>
      <c r="M138" s="1007"/>
      <c r="N138" s="1007"/>
      <c r="O138" s="1007"/>
      <c r="P138" s="1007"/>
      <c r="Q138" s="1007"/>
      <c r="R138" s="1007"/>
      <c r="S138" s="1007"/>
      <c r="T138" s="1007"/>
      <c r="U138" s="1000"/>
      <c r="W138" s="1162"/>
      <c r="X138" s="996"/>
      <c r="Y138" s="996"/>
      <c r="Z138" s="996"/>
      <c r="AA138" s="1115"/>
      <c r="AB138" s="996"/>
      <c r="AC138" s="1013"/>
      <c r="AD138" s="1252"/>
      <c r="AE138" s="996"/>
      <c r="AF138" s="996"/>
      <c r="AG138" s="996"/>
      <c r="AH138" s="996"/>
      <c r="AI138" s="996"/>
      <c r="AJ138" s="996"/>
      <c r="AK138" s="996"/>
      <c r="AL138" s="1115"/>
      <c r="AM138" s="996"/>
      <c r="AN138" s="996"/>
      <c r="AO138" s="1013"/>
      <c r="AP138" s="1043"/>
      <c r="AQ138" s="996"/>
      <c r="AR138" s="996"/>
      <c r="AS138" s="1015"/>
      <c r="AU138" s="1034"/>
      <c r="AV138" s="996"/>
      <c r="AW138" s="996"/>
      <c r="AX138" s="996"/>
      <c r="AY138" s="996"/>
      <c r="AZ138" s="996"/>
      <c r="BA138" s="996"/>
      <c r="BB138" s="996"/>
      <c r="BC138" s="996"/>
      <c r="BD138" s="996"/>
      <c r="BE138" s="996"/>
      <c r="BF138" s="996"/>
      <c r="BG138" s="996"/>
      <c r="BH138" s="996"/>
      <c r="BI138" s="996"/>
      <c r="BJ138" s="996"/>
      <c r="BK138" s="996"/>
      <c r="BL138" s="996"/>
      <c r="BM138" s="996"/>
      <c r="BN138" s="996"/>
      <c r="BO138" s="996"/>
      <c r="BP138" s="996"/>
      <c r="BQ138" s="996"/>
      <c r="BR138" s="1015"/>
    </row>
    <row r="139" spans="1:70" ht="18" customHeight="1">
      <c r="A139" s="364"/>
      <c r="B139" s="1108" t="s">
        <v>293</v>
      </c>
      <c r="C139" s="1007"/>
      <c r="D139" s="1007"/>
      <c r="E139" s="1007"/>
      <c r="F139" s="1007"/>
      <c r="G139" s="1000"/>
      <c r="H139" s="1002" t="s">
        <v>289</v>
      </c>
      <c r="I139" s="1007"/>
      <c r="J139" s="1007"/>
      <c r="K139" s="1007"/>
      <c r="L139" s="1000"/>
      <c r="M139" s="1002" t="s">
        <v>291</v>
      </c>
      <c r="N139" s="1007"/>
      <c r="O139" s="1007"/>
      <c r="P139" s="1000"/>
      <c r="Q139" s="999" t="s">
        <v>294</v>
      </c>
      <c r="R139" s="1000"/>
      <c r="S139" s="1212">
        <v>1</v>
      </c>
      <c r="T139" s="1007"/>
      <c r="U139" s="1000"/>
      <c r="W139" s="1145"/>
      <c r="X139" s="996"/>
      <c r="Y139" s="996"/>
      <c r="Z139" s="996"/>
      <c r="AA139" s="1055"/>
      <c r="AB139" s="996"/>
      <c r="AC139" s="1013"/>
      <c r="AD139" s="1323"/>
      <c r="AE139" s="996"/>
      <c r="AF139" s="996"/>
      <c r="AG139" s="996"/>
      <c r="AH139" s="996"/>
      <c r="AI139" s="996"/>
      <c r="AJ139" s="996"/>
      <c r="AK139" s="996"/>
      <c r="AL139" s="1055"/>
      <c r="AM139" s="996"/>
      <c r="AN139" s="996"/>
      <c r="AO139" s="1013"/>
      <c r="AP139" s="1014"/>
      <c r="AQ139" s="996"/>
      <c r="AR139" s="996"/>
      <c r="AS139" s="1015"/>
      <c r="AU139" s="1034"/>
      <c r="AV139" s="996"/>
      <c r="AW139" s="996"/>
      <c r="AX139" s="996"/>
      <c r="AY139" s="996"/>
      <c r="AZ139" s="996"/>
      <c r="BA139" s="996"/>
      <c r="BB139" s="996"/>
      <c r="BC139" s="996"/>
      <c r="BD139" s="996"/>
      <c r="BE139" s="996"/>
      <c r="BF139" s="996"/>
      <c r="BG139" s="996"/>
      <c r="BH139" s="996"/>
      <c r="BI139" s="996"/>
      <c r="BJ139" s="996"/>
      <c r="BK139" s="996"/>
      <c r="BL139" s="996"/>
      <c r="BM139" s="996"/>
      <c r="BN139" s="996"/>
      <c r="BO139" s="996"/>
      <c r="BP139" s="996"/>
      <c r="BQ139" s="996"/>
      <c r="BR139" s="1015"/>
    </row>
    <row r="140" spans="1:70" ht="18" customHeight="1">
      <c r="A140" s="364"/>
      <c r="B140" s="1322" t="s">
        <v>295</v>
      </c>
      <c r="C140" s="1033"/>
      <c r="D140" s="1033"/>
      <c r="E140" s="1033"/>
      <c r="F140" s="1033"/>
      <c r="G140" s="1031"/>
      <c r="H140" s="1211" t="s">
        <v>296</v>
      </c>
      <c r="I140" s="1033"/>
      <c r="J140" s="1033"/>
      <c r="K140" s="1033"/>
      <c r="L140" s="1031"/>
      <c r="M140" s="1211" t="s">
        <v>297</v>
      </c>
      <c r="N140" s="1033"/>
      <c r="O140" s="1033"/>
      <c r="P140" s="1031"/>
      <c r="Q140" s="1269" t="s">
        <v>298</v>
      </c>
      <c r="R140" s="1007"/>
      <c r="S140" s="1007"/>
      <c r="T140" s="1007"/>
      <c r="U140" s="1000"/>
      <c r="W140" s="1162"/>
      <c r="X140" s="996"/>
      <c r="Y140" s="996"/>
      <c r="Z140" s="996"/>
      <c r="AA140" s="1115"/>
      <c r="AB140" s="996"/>
      <c r="AC140" s="1013"/>
      <c r="AD140" s="1252"/>
      <c r="AE140" s="996"/>
      <c r="AF140" s="996"/>
      <c r="AG140" s="996"/>
      <c r="AH140" s="996"/>
      <c r="AI140" s="996"/>
      <c r="AJ140" s="996"/>
      <c r="AK140" s="996"/>
      <c r="AL140" s="1115"/>
      <c r="AM140" s="996"/>
      <c r="AN140" s="996"/>
      <c r="AO140" s="1013"/>
      <c r="AP140" s="1043"/>
      <c r="AQ140" s="996"/>
      <c r="AR140" s="996"/>
      <c r="AS140" s="1015"/>
      <c r="AU140" s="1034"/>
      <c r="AV140" s="996"/>
      <c r="AW140" s="996"/>
      <c r="AX140" s="996"/>
      <c r="AY140" s="996"/>
      <c r="AZ140" s="996"/>
      <c r="BA140" s="996"/>
      <c r="BB140" s="996"/>
      <c r="BC140" s="996"/>
      <c r="BD140" s="996"/>
      <c r="BE140" s="996"/>
      <c r="BF140" s="996"/>
      <c r="BG140" s="996"/>
      <c r="BH140" s="996"/>
      <c r="BI140" s="996"/>
      <c r="BJ140" s="996"/>
      <c r="BK140" s="996"/>
      <c r="BL140" s="996"/>
      <c r="BM140" s="996"/>
      <c r="BN140" s="996"/>
      <c r="BO140" s="996"/>
      <c r="BP140" s="996"/>
      <c r="BQ140" s="996"/>
      <c r="BR140" s="1015"/>
    </row>
    <row r="141" spans="1:70" ht="18" customHeight="1">
      <c r="A141" s="364"/>
      <c r="B141" s="1034"/>
      <c r="C141" s="996"/>
      <c r="D141" s="996"/>
      <c r="E141" s="996"/>
      <c r="F141" s="996"/>
      <c r="G141" s="1013"/>
      <c r="H141" s="1114"/>
      <c r="I141" s="996"/>
      <c r="J141" s="996"/>
      <c r="K141" s="996"/>
      <c r="L141" s="1013"/>
      <c r="M141" s="1114"/>
      <c r="N141" s="996"/>
      <c r="O141" s="996"/>
      <c r="P141" s="1013"/>
      <c r="Q141" s="1343" t="str">
        <f>IF(S139=1,"失忆",IF(S139=2,"假性残疾",IF(S139=3,"暴力倾向",IF(S139=4,"偏执",IF(S139=5,"人际依赖",IF(S139=6,"昏厥",IF(S139=7,"逃避行为",IF(S139=8,"歇斯底里",IF(S139=9,"恐惧",IF(S139=10,"躁狂",))))))))))</f>
        <v>失忆</v>
      </c>
      <c r="R141" s="1033"/>
      <c r="S141" s="1033"/>
      <c r="T141" s="1033"/>
      <c r="U141" s="1031"/>
      <c r="W141" s="1145"/>
      <c r="X141" s="996"/>
      <c r="Y141" s="996"/>
      <c r="Z141" s="996"/>
      <c r="AA141" s="1055"/>
      <c r="AB141" s="996"/>
      <c r="AC141" s="1013"/>
      <c r="AD141" s="1323"/>
      <c r="AE141" s="996"/>
      <c r="AF141" s="996"/>
      <c r="AG141" s="996"/>
      <c r="AH141" s="996"/>
      <c r="AI141" s="996"/>
      <c r="AJ141" s="996"/>
      <c r="AK141" s="996"/>
      <c r="AL141" s="1055"/>
      <c r="AM141" s="996"/>
      <c r="AN141" s="996"/>
      <c r="AO141" s="1013"/>
      <c r="AP141" s="1014"/>
      <c r="AQ141" s="996"/>
      <c r="AR141" s="996"/>
      <c r="AS141" s="1015"/>
      <c r="AU141" s="1034"/>
      <c r="AV141" s="996"/>
      <c r="AW141" s="996"/>
      <c r="AX141" s="996"/>
      <c r="AY141" s="996"/>
      <c r="AZ141" s="996"/>
      <c r="BA141" s="996"/>
      <c r="BB141" s="996"/>
      <c r="BC141" s="996"/>
      <c r="BD141" s="996"/>
      <c r="BE141" s="996"/>
      <c r="BF141" s="996"/>
      <c r="BG141" s="996"/>
      <c r="BH141" s="996"/>
      <c r="BI141" s="996"/>
      <c r="BJ141" s="996"/>
      <c r="BK141" s="996"/>
      <c r="BL141" s="996"/>
      <c r="BM141" s="996"/>
      <c r="BN141" s="996"/>
      <c r="BO141" s="996"/>
      <c r="BP141" s="996"/>
      <c r="BQ141" s="996"/>
      <c r="BR141" s="1015"/>
    </row>
    <row r="142" spans="1:70" ht="18" customHeight="1">
      <c r="A142" s="364"/>
      <c r="B142" s="1034"/>
      <c r="C142" s="996"/>
      <c r="D142" s="996"/>
      <c r="E142" s="996"/>
      <c r="F142" s="996"/>
      <c r="G142" s="1013"/>
      <c r="H142" s="1114"/>
      <c r="I142" s="996"/>
      <c r="J142" s="996"/>
      <c r="K142" s="996"/>
      <c r="L142" s="1013"/>
      <c r="M142" s="1114"/>
      <c r="N142" s="996"/>
      <c r="O142" s="996"/>
      <c r="P142" s="1013"/>
      <c r="Q142" s="1114"/>
      <c r="R142" s="996"/>
      <c r="S142" s="996"/>
      <c r="T142" s="996"/>
      <c r="U142" s="1013"/>
      <c r="W142" s="1162"/>
      <c r="X142" s="996"/>
      <c r="Y142" s="996"/>
      <c r="Z142" s="996"/>
      <c r="AA142" s="1115"/>
      <c r="AB142" s="996"/>
      <c r="AC142" s="1013"/>
      <c r="AD142" s="1252"/>
      <c r="AE142" s="996"/>
      <c r="AF142" s="996"/>
      <c r="AG142" s="996"/>
      <c r="AH142" s="996"/>
      <c r="AI142" s="996"/>
      <c r="AJ142" s="996"/>
      <c r="AK142" s="996"/>
      <c r="AL142" s="1115"/>
      <c r="AM142" s="996"/>
      <c r="AN142" s="996"/>
      <c r="AO142" s="1013"/>
      <c r="AP142" s="1043"/>
      <c r="AQ142" s="996"/>
      <c r="AR142" s="996"/>
      <c r="AS142" s="1015"/>
      <c r="AU142" s="1035"/>
      <c r="AV142" s="1036"/>
      <c r="AW142" s="1036"/>
      <c r="AX142" s="1036"/>
      <c r="AY142" s="1036"/>
      <c r="AZ142" s="1036"/>
      <c r="BA142" s="1036"/>
      <c r="BB142" s="1036"/>
      <c r="BC142" s="1036"/>
      <c r="BD142" s="1036"/>
      <c r="BE142" s="1036"/>
      <c r="BF142" s="1036"/>
      <c r="BG142" s="1036"/>
      <c r="BH142" s="1036"/>
      <c r="BI142" s="1036"/>
      <c r="BJ142" s="1036"/>
      <c r="BK142" s="1036"/>
      <c r="BL142" s="1036"/>
      <c r="BM142" s="1036"/>
      <c r="BN142" s="1036"/>
      <c r="BO142" s="1036"/>
      <c r="BP142" s="1036"/>
      <c r="BQ142" s="1036"/>
      <c r="BR142" s="998"/>
    </row>
    <row r="143" spans="1:70" ht="18" customHeight="1">
      <c r="A143" s="364"/>
      <c r="B143" s="1035"/>
      <c r="C143" s="1036"/>
      <c r="D143" s="1036"/>
      <c r="E143" s="1036"/>
      <c r="F143" s="1036"/>
      <c r="G143" s="1027"/>
      <c r="H143" s="1026"/>
      <c r="I143" s="1036"/>
      <c r="J143" s="1036"/>
      <c r="K143" s="1036"/>
      <c r="L143" s="1027"/>
      <c r="M143" s="1026"/>
      <c r="N143" s="1036"/>
      <c r="O143" s="1036"/>
      <c r="P143" s="1027"/>
      <c r="Q143" s="1026"/>
      <c r="R143" s="1036"/>
      <c r="S143" s="1036"/>
      <c r="T143" s="1036"/>
      <c r="U143" s="1027"/>
      <c r="W143" s="1145"/>
      <c r="X143" s="996"/>
      <c r="Y143" s="996"/>
      <c r="Z143" s="996"/>
      <c r="AA143" s="1055"/>
      <c r="AB143" s="996"/>
      <c r="AC143" s="1013"/>
      <c r="AD143" s="1323"/>
      <c r="AE143" s="996"/>
      <c r="AF143" s="996"/>
      <c r="AG143" s="996"/>
      <c r="AH143" s="996"/>
      <c r="AI143" s="996"/>
      <c r="AJ143" s="996"/>
      <c r="AK143" s="996"/>
      <c r="AL143" s="1055"/>
      <c r="AM143" s="996"/>
      <c r="AN143" s="996"/>
      <c r="AO143" s="1013"/>
      <c r="AP143" s="1014"/>
      <c r="AQ143" s="996"/>
      <c r="AR143" s="996"/>
      <c r="AS143" s="1015"/>
      <c r="AU143" s="1171" t="s">
        <v>299</v>
      </c>
      <c r="AV143" s="1007"/>
      <c r="AW143" s="1007"/>
      <c r="AX143" s="1007"/>
      <c r="AY143" s="1007"/>
      <c r="AZ143" s="1007"/>
      <c r="BA143" s="1007"/>
      <c r="BB143" s="1000"/>
      <c r="BC143" s="1098" t="s">
        <v>300</v>
      </c>
      <c r="BD143" s="1007"/>
      <c r="BE143" s="1007"/>
      <c r="BF143" s="1007"/>
      <c r="BG143" s="1007"/>
      <c r="BH143" s="1007"/>
      <c r="BI143" s="1007"/>
      <c r="BJ143" s="1000"/>
      <c r="BK143" s="1284" t="s">
        <v>301</v>
      </c>
      <c r="BL143" s="1007"/>
      <c r="BM143" s="1007"/>
      <c r="BN143" s="1007"/>
      <c r="BO143" s="1007"/>
      <c r="BP143" s="1007"/>
      <c r="BQ143" s="1007"/>
      <c r="BR143" s="1084"/>
    </row>
    <row r="144" spans="1:70" ht="18" customHeight="1" thickBot="1">
      <c r="B144" s="1352" t="s">
        <v>302</v>
      </c>
      <c r="C144" s="1096"/>
      <c r="D144" s="1096"/>
      <c r="E144" s="1096"/>
      <c r="F144" s="1096"/>
      <c r="G144" s="1096"/>
      <c r="H144" s="1096"/>
      <c r="I144" s="1096"/>
      <c r="J144" s="1096"/>
      <c r="K144" s="1096"/>
      <c r="L144" s="1096"/>
      <c r="M144" s="1096"/>
      <c r="N144" s="1096"/>
      <c r="O144" s="1096"/>
      <c r="P144" s="1096"/>
      <c r="Q144" s="1096"/>
      <c r="R144" s="1096"/>
      <c r="S144" s="1096"/>
      <c r="T144" s="1096"/>
      <c r="U144" s="1064"/>
      <c r="W144" s="1329"/>
      <c r="X144" s="1019"/>
      <c r="Y144" s="1019"/>
      <c r="Z144" s="1019"/>
      <c r="AA144" s="1018"/>
      <c r="AB144" s="1019"/>
      <c r="AC144" s="1020"/>
      <c r="AD144" s="1237"/>
      <c r="AE144" s="1019"/>
      <c r="AF144" s="1019"/>
      <c r="AG144" s="1019"/>
      <c r="AH144" s="1019"/>
      <c r="AI144" s="1019"/>
      <c r="AJ144" s="1019"/>
      <c r="AK144" s="1019"/>
      <c r="AL144" s="1018"/>
      <c r="AM144" s="1019"/>
      <c r="AN144" s="1019"/>
      <c r="AO144" s="1020"/>
      <c r="AP144" s="1256"/>
      <c r="AQ144" s="1019"/>
      <c r="AR144" s="1019"/>
      <c r="AS144" s="1091"/>
      <c r="AU144" s="1291" t="s">
        <v>303</v>
      </c>
      <c r="AV144" s="1096"/>
      <c r="AW144" s="1096"/>
      <c r="AX144" s="1096"/>
      <c r="AY144" s="1096"/>
      <c r="AZ144" s="1096"/>
      <c r="BA144" s="1096"/>
      <c r="BB144" s="1132"/>
      <c r="BC144" s="1131" t="s">
        <v>303</v>
      </c>
      <c r="BD144" s="1096"/>
      <c r="BE144" s="1096"/>
      <c r="BF144" s="1096"/>
      <c r="BG144" s="1096"/>
      <c r="BH144" s="1096"/>
      <c r="BI144" s="1096"/>
      <c r="BJ144" s="1132"/>
      <c r="BK144" s="1131" t="s">
        <v>303</v>
      </c>
      <c r="BL144" s="1096"/>
      <c r="BM144" s="1096"/>
      <c r="BN144" s="1096"/>
      <c r="BO144" s="1096"/>
      <c r="BP144" s="1096"/>
      <c r="BQ144" s="1096"/>
      <c r="BR144" s="1132"/>
    </row>
    <row r="145" spans="2:70" ht="18" customHeight="1">
      <c r="B145" s="1327" t="s">
        <v>304</v>
      </c>
      <c r="C145" s="996"/>
      <c r="D145" s="996"/>
      <c r="E145" s="996"/>
      <c r="F145" s="996"/>
      <c r="G145" s="996"/>
      <c r="H145" s="996"/>
      <c r="I145" s="996"/>
      <c r="J145" s="996"/>
      <c r="K145" s="996"/>
      <c r="L145" s="1208" t="s">
        <v>305</v>
      </c>
      <c r="M145" s="996"/>
      <c r="N145" s="996"/>
      <c r="O145" s="996"/>
      <c r="P145" s="996"/>
      <c r="Q145" s="996"/>
      <c r="R145" s="996"/>
      <c r="S145" s="996"/>
      <c r="T145" s="996"/>
      <c r="U145" s="996"/>
      <c r="AI145" s="622"/>
      <c r="AJ145" s="622"/>
      <c r="AK145" s="622"/>
      <c r="AL145" s="622"/>
      <c r="AM145" s="622"/>
      <c r="AN145" s="622"/>
      <c r="AO145" s="622"/>
      <c r="AP145" s="622"/>
      <c r="AU145" s="1353" t="s">
        <v>306</v>
      </c>
      <c r="AV145" s="1088"/>
      <c r="AW145" s="1088"/>
      <c r="AX145" s="1088"/>
      <c r="AY145" s="1088"/>
      <c r="AZ145" s="1088"/>
      <c r="BA145" s="1088"/>
      <c r="BB145" s="1088"/>
      <c r="BC145" s="1088"/>
      <c r="BD145" s="1088"/>
      <c r="BE145" s="1088"/>
      <c r="BF145" s="1088"/>
      <c r="BG145" s="1088"/>
      <c r="BH145" s="1088"/>
      <c r="BI145" s="1088"/>
      <c r="BJ145" s="1088"/>
      <c r="BK145" s="1088"/>
      <c r="BL145" s="1088"/>
      <c r="BM145" s="1088"/>
      <c r="BN145" s="1088"/>
      <c r="BO145" s="1088"/>
      <c r="BP145" s="1088"/>
      <c r="BQ145" s="1088"/>
      <c r="BR145" s="1088"/>
    </row>
    <row r="146" spans="2:70" ht="18" customHeight="1">
      <c r="AN146" s="622"/>
      <c r="AO146" s="622"/>
      <c r="AP146" s="622"/>
    </row>
    <row r="147" spans="2:70" ht="18" customHeight="1">
      <c r="B147" s="1016" t="s">
        <v>307</v>
      </c>
      <c r="C147" s="996"/>
      <c r="D147" s="996"/>
      <c r="E147" s="996"/>
      <c r="F147" s="996"/>
      <c r="G147" s="996"/>
      <c r="H147" s="996"/>
      <c r="I147" s="996"/>
      <c r="J147" s="996"/>
      <c r="K147" s="996"/>
      <c r="L147" s="996"/>
      <c r="M147" s="996"/>
      <c r="O147" s="1267" t="s">
        <v>308</v>
      </c>
      <c r="P147" s="996"/>
      <c r="Q147" s="996"/>
      <c r="R147" s="996"/>
      <c r="S147" s="996"/>
      <c r="T147" s="996"/>
      <c r="U147" s="996"/>
      <c r="V147" s="996"/>
      <c r="W147" s="996"/>
      <c r="X147" s="996"/>
      <c r="Y147" s="996"/>
      <c r="AB147" s="995" t="s">
        <v>309</v>
      </c>
      <c r="AC147" s="996"/>
      <c r="AD147" s="996"/>
      <c r="AE147" s="996"/>
      <c r="AF147" s="996"/>
      <c r="AG147" s="996"/>
      <c r="AH147" s="996"/>
      <c r="AI147" s="996"/>
      <c r="AJ147" s="996"/>
      <c r="AK147" s="996"/>
      <c r="AL147" s="996"/>
      <c r="AP147" s="995" t="s">
        <v>310</v>
      </c>
      <c r="AQ147" s="996"/>
      <c r="AR147" s="996"/>
      <c r="AS147" s="996"/>
      <c r="AT147" s="996"/>
      <c r="AU147" s="996"/>
      <c r="AV147" s="996"/>
      <c r="AW147" s="996"/>
      <c r="AX147" s="996"/>
      <c r="AY147" s="996"/>
      <c r="AZ147" s="996"/>
      <c r="BA147" s="996"/>
      <c r="BB147" s="996"/>
      <c r="BC147" s="996"/>
      <c r="BD147" s="996"/>
    </row>
    <row r="148" spans="2:70" ht="18" customHeight="1">
      <c r="B148" s="996"/>
      <c r="C148" s="996"/>
      <c r="D148" s="996"/>
      <c r="E148" s="996"/>
      <c r="F148" s="996"/>
      <c r="G148" s="996"/>
      <c r="H148" s="996"/>
      <c r="I148" s="996"/>
      <c r="J148" s="996"/>
      <c r="K148" s="996"/>
      <c r="L148" s="996"/>
      <c r="M148" s="996"/>
      <c r="O148" s="996"/>
      <c r="P148" s="996"/>
      <c r="Q148" s="996"/>
      <c r="R148" s="996"/>
      <c r="S148" s="996"/>
      <c r="T148" s="996"/>
      <c r="U148" s="996"/>
      <c r="V148" s="996"/>
      <c r="W148" s="996"/>
      <c r="X148" s="996"/>
      <c r="Y148" s="996"/>
      <c r="AB148" s="996"/>
      <c r="AC148" s="996"/>
      <c r="AD148" s="996"/>
      <c r="AE148" s="996"/>
      <c r="AF148" s="996"/>
      <c r="AG148" s="996"/>
      <c r="AH148" s="996"/>
      <c r="AI148" s="996"/>
      <c r="AJ148" s="996"/>
      <c r="AK148" s="996"/>
      <c r="AL148" s="996"/>
      <c r="AP148" s="996"/>
      <c r="AQ148" s="996"/>
      <c r="AR148" s="996"/>
      <c r="AS148" s="996"/>
      <c r="AT148" s="996"/>
      <c r="AU148" s="996"/>
      <c r="AV148" s="996"/>
      <c r="AW148" s="996"/>
      <c r="AX148" s="996"/>
      <c r="AY148" s="996"/>
      <c r="AZ148" s="996"/>
      <c r="BA148" s="996"/>
      <c r="BB148" s="996"/>
      <c r="BC148" s="996"/>
      <c r="BD148" s="996"/>
    </row>
  </sheetData>
  <autoFilter ref="A1:BR145" xr:uid="{00000000-0001-0000-0000-00000000000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filterColumn colId="63" showButton="0"/>
    <filterColumn colId="64" showButton="0"/>
    <filterColumn colId="65" showButton="0"/>
    <filterColumn colId="66" showButton="0"/>
    <filterColumn colId="67" showButton="0"/>
    <filterColumn colId="68" showButton="0"/>
  </autoFilter>
  <mergeCells count="1385">
    <mergeCell ref="AU19:AZ21"/>
    <mergeCell ref="AA100:AJ100"/>
    <mergeCell ref="G55:L55"/>
    <mergeCell ref="AP130:AS130"/>
    <mergeCell ref="AA102:AJ102"/>
    <mergeCell ref="N29:O29"/>
    <mergeCell ref="AF15:AG15"/>
    <mergeCell ref="AP132:AS132"/>
    <mergeCell ref="M54:P54"/>
    <mergeCell ref="N31:O31"/>
    <mergeCell ref="E7:I7"/>
    <mergeCell ref="AA103:AJ103"/>
    <mergeCell ref="N24:O24"/>
    <mergeCell ref="AB39:AE39"/>
    <mergeCell ref="AA5:AB6"/>
    <mergeCell ref="N120:O121"/>
    <mergeCell ref="N26:O26"/>
    <mergeCell ref="N91:U91"/>
    <mergeCell ref="T33:U33"/>
    <mergeCell ref="N85:U85"/>
    <mergeCell ref="AU27:AZ27"/>
    <mergeCell ref="AR71:AS72"/>
    <mergeCell ref="AJ15:AK15"/>
    <mergeCell ref="AU34:AZ34"/>
    <mergeCell ref="P22:Q22"/>
    <mergeCell ref="F16:I16"/>
    <mergeCell ref="AJ28:AK28"/>
    <mergeCell ref="W10:X11"/>
    <mergeCell ref="AA130:AC130"/>
    <mergeCell ref="AC2:AF2"/>
    <mergeCell ref="AL27:AM27"/>
    <mergeCell ref="T35:U35"/>
    <mergeCell ref="BC28:BF28"/>
    <mergeCell ref="B137:D137"/>
    <mergeCell ref="N42:O42"/>
    <mergeCell ref="V39:W39"/>
    <mergeCell ref="W133:Z133"/>
    <mergeCell ref="D47:E47"/>
    <mergeCell ref="W7:X7"/>
    <mergeCell ref="N44:O44"/>
    <mergeCell ref="AF30:AG30"/>
    <mergeCell ref="AE57:AF57"/>
    <mergeCell ref="U58:V58"/>
    <mergeCell ref="W8:X8"/>
    <mergeCell ref="AF31:AG31"/>
    <mergeCell ref="B15:C15"/>
    <mergeCell ref="AL38:AM38"/>
    <mergeCell ref="D79:E79"/>
    <mergeCell ref="V21:W21"/>
    <mergeCell ref="B119:E121"/>
    <mergeCell ref="AL40:AM40"/>
    <mergeCell ref="AL136:AO136"/>
    <mergeCell ref="AP16:AQ16"/>
    <mergeCell ref="AC115:AG115"/>
    <mergeCell ref="J33:K33"/>
    <mergeCell ref="AF27:AG27"/>
    <mergeCell ref="AE55:AF55"/>
    <mergeCell ref="AP18:AQ18"/>
    <mergeCell ref="AK99:AQ99"/>
    <mergeCell ref="AL34:AM34"/>
    <mergeCell ref="J99:U99"/>
    <mergeCell ref="B144:U144"/>
    <mergeCell ref="AA132:AC132"/>
    <mergeCell ref="D81:E81"/>
    <mergeCell ref="V23:W23"/>
    <mergeCell ref="W5:X5"/>
    <mergeCell ref="AU145:BR145"/>
    <mergeCell ref="V24:W24"/>
    <mergeCell ref="B34:C34"/>
    <mergeCell ref="V49:W49"/>
    <mergeCell ref="B28:C28"/>
    <mergeCell ref="AG55:AI55"/>
    <mergeCell ref="B30:C30"/>
    <mergeCell ref="D92:E92"/>
    <mergeCell ref="AU67:BR67"/>
    <mergeCell ref="AN28:AO28"/>
    <mergeCell ref="B97:I97"/>
    <mergeCell ref="BA17:BR17"/>
    <mergeCell ref="AN30:AO30"/>
    <mergeCell ref="AJ46:AK46"/>
    <mergeCell ref="F62:H62"/>
    <mergeCell ref="AH118:AS118"/>
    <mergeCell ref="D21:E21"/>
    <mergeCell ref="J15:K15"/>
    <mergeCell ref="AC116:AG116"/>
    <mergeCell ref="D16:E16"/>
    <mergeCell ref="B108:I108"/>
    <mergeCell ref="D18:E18"/>
    <mergeCell ref="BK24:BR24"/>
    <mergeCell ref="AK104:AQ104"/>
    <mergeCell ref="AL134:AO134"/>
    <mergeCell ref="AC8:AD8"/>
    <mergeCell ref="U57:V57"/>
    <mergeCell ref="AP44:AQ44"/>
    <mergeCell ref="R12:S12"/>
    <mergeCell ref="W113:X113"/>
    <mergeCell ref="AA129:AC129"/>
    <mergeCell ref="AD139:AK139"/>
    <mergeCell ref="F15:I15"/>
    <mergeCell ref="W115:X115"/>
    <mergeCell ref="R41:S41"/>
    <mergeCell ref="AA131:AC131"/>
    <mergeCell ref="AF40:AG40"/>
    <mergeCell ref="B122:U123"/>
    <mergeCell ref="B24:C24"/>
    <mergeCell ref="R43:S43"/>
    <mergeCell ref="B32:C32"/>
    <mergeCell ref="V47:W47"/>
    <mergeCell ref="B26:C26"/>
    <mergeCell ref="D88:E88"/>
    <mergeCell ref="B54:F54"/>
    <mergeCell ref="AF37:AG37"/>
    <mergeCell ref="D90:E90"/>
    <mergeCell ref="H41:I41"/>
    <mergeCell ref="Z27:AA27"/>
    <mergeCell ref="V48:W48"/>
    <mergeCell ref="J8:K8"/>
    <mergeCell ref="AG7:AH8"/>
    <mergeCell ref="J103:U103"/>
    <mergeCell ref="B111:I111"/>
    <mergeCell ref="P46:Q46"/>
    <mergeCell ref="Q141:U143"/>
    <mergeCell ref="AJ19:AK19"/>
    <mergeCell ref="B57:F57"/>
    <mergeCell ref="B37:C37"/>
    <mergeCell ref="AC54:AD54"/>
    <mergeCell ref="F30:I30"/>
    <mergeCell ref="AM57:AO58"/>
    <mergeCell ref="T31:U31"/>
    <mergeCell ref="AC114:AG114"/>
    <mergeCell ref="AC56:AD56"/>
    <mergeCell ref="AD141:AK141"/>
    <mergeCell ref="AD135:AK135"/>
    <mergeCell ref="N93:U93"/>
    <mergeCell ref="R21:S21"/>
    <mergeCell ref="F24:I24"/>
    <mergeCell ref="F32:I32"/>
    <mergeCell ref="F26:I26"/>
    <mergeCell ref="B55:F55"/>
    <mergeCell ref="AC52:AD52"/>
    <mergeCell ref="AM55:AO56"/>
    <mergeCell ref="F27:I27"/>
    <mergeCell ref="P20:Q20"/>
    <mergeCell ref="AD142:AK142"/>
    <mergeCell ref="J28:K28"/>
    <mergeCell ref="AL36:AM36"/>
    <mergeCell ref="J101:U101"/>
    <mergeCell ref="AD137:AK137"/>
    <mergeCell ref="H35:I35"/>
    <mergeCell ref="AJ43:AK43"/>
    <mergeCell ref="AN49:AO49"/>
    <mergeCell ref="BA26:BB26"/>
    <mergeCell ref="AL130:AO130"/>
    <mergeCell ref="Z46:AA46"/>
    <mergeCell ref="AR32:AS32"/>
    <mergeCell ref="Z40:AA40"/>
    <mergeCell ref="J29:K29"/>
    <mergeCell ref="AL132:AO132"/>
    <mergeCell ref="AU63:AY63"/>
    <mergeCell ref="J24:K24"/>
    <mergeCell ref="AI6:AJ6"/>
    <mergeCell ref="J96:U96"/>
    <mergeCell ref="B60:U60"/>
    <mergeCell ref="J26:K26"/>
    <mergeCell ref="AU104:BR104"/>
    <mergeCell ref="AR16:AS16"/>
    <mergeCell ref="AD133:AK133"/>
    <mergeCell ref="W61:Z62"/>
    <mergeCell ref="H22:I22"/>
    <mergeCell ref="AR45:AS45"/>
    <mergeCell ref="U55:V55"/>
    <mergeCell ref="BK35:BR35"/>
    <mergeCell ref="J42:K42"/>
    <mergeCell ref="AR47:AS47"/>
    <mergeCell ref="B126:C126"/>
    <mergeCell ref="R39:S39"/>
    <mergeCell ref="J44:K44"/>
    <mergeCell ref="AC125:AG125"/>
    <mergeCell ref="J37:K37"/>
    <mergeCell ref="W128:AS128"/>
    <mergeCell ref="W107:Z107"/>
    <mergeCell ref="W3:X3"/>
    <mergeCell ref="Z39:AA39"/>
    <mergeCell ref="AJ30:AK30"/>
    <mergeCell ref="BA33:BB33"/>
    <mergeCell ref="L61:N61"/>
    <mergeCell ref="J97:U97"/>
    <mergeCell ref="Y123:AB123"/>
    <mergeCell ref="AA101:AJ101"/>
    <mergeCell ref="AA2:AB2"/>
    <mergeCell ref="AJ54:AK54"/>
    <mergeCell ref="P33:Q33"/>
    <mergeCell ref="AR41:AS41"/>
    <mergeCell ref="L129:U129"/>
    <mergeCell ref="AJ56:AK56"/>
    <mergeCell ref="P35:Q35"/>
    <mergeCell ref="R15:W15"/>
    <mergeCell ref="AR43:AS43"/>
    <mergeCell ref="M5:Q5"/>
    <mergeCell ref="N23:O23"/>
    <mergeCell ref="AB29:AE29"/>
    <mergeCell ref="AL35:AM35"/>
    <mergeCell ref="AN15:AS15"/>
    <mergeCell ref="Z37:AA37"/>
    <mergeCell ref="S57:T57"/>
    <mergeCell ref="AN44:AO44"/>
    <mergeCell ref="P48:Q48"/>
    <mergeCell ref="AA67:AQ68"/>
    <mergeCell ref="AC122:AG122"/>
    <mergeCell ref="F91:M91"/>
    <mergeCell ref="W105:Z105"/>
    <mergeCell ref="S2:U2"/>
    <mergeCell ref="E6:I6"/>
    <mergeCell ref="AE7:AF8"/>
    <mergeCell ref="AR67:AS68"/>
    <mergeCell ref="B145:K145"/>
    <mergeCell ref="AR69:AS70"/>
    <mergeCell ref="B95:U95"/>
    <mergeCell ref="Q57:R57"/>
    <mergeCell ref="R23:S23"/>
    <mergeCell ref="AL44:AM44"/>
    <mergeCell ref="B136:D136"/>
    <mergeCell ref="N41:O41"/>
    <mergeCell ref="AP24:AQ24"/>
    <mergeCell ref="H21:I21"/>
    <mergeCell ref="N43:O43"/>
    <mergeCell ref="AA65:AQ66"/>
    <mergeCell ref="AP26:AQ26"/>
    <mergeCell ref="V27:W27"/>
    <mergeCell ref="AF17:AG17"/>
    <mergeCell ref="W144:Z144"/>
    <mergeCell ref="AF47:AG47"/>
    <mergeCell ref="AA7:AB8"/>
    <mergeCell ref="X47:Y47"/>
    <mergeCell ref="B27:C27"/>
    <mergeCell ref="B56:F56"/>
    <mergeCell ref="H34:I34"/>
    <mergeCell ref="AJ17:AK17"/>
    <mergeCell ref="R25:S25"/>
    <mergeCell ref="AA142:AC142"/>
    <mergeCell ref="H36:I36"/>
    <mergeCell ref="Z22:AA22"/>
    <mergeCell ref="BX9:BY10"/>
    <mergeCell ref="V22:W22"/>
    <mergeCell ref="Y119:AB119"/>
    <mergeCell ref="AF19:AG19"/>
    <mergeCell ref="AF46:AG46"/>
    <mergeCell ref="AP37:AQ37"/>
    <mergeCell ref="O61:R61"/>
    <mergeCell ref="P29:Q29"/>
    <mergeCell ref="AJ52:AK52"/>
    <mergeCell ref="P31:Q31"/>
    <mergeCell ref="Y122:AB122"/>
    <mergeCell ref="F69:I69"/>
    <mergeCell ref="B140:G143"/>
    <mergeCell ref="AN32:AO32"/>
    <mergeCell ref="V40:W40"/>
    <mergeCell ref="M52:P52"/>
    <mergeCell ref="V41:W41"/>
    <mergeCell ref="AA55:AB55"/>
    <mergeCell ref="F92:M92"/>
    <mergeCell ref="P42:Q42"/>
    <mergeCell ref="AD143:AK143"/>
    <mergeCell ref="AP35:AQ35"/>
    <mergeCell ref="B130:U130"/>
    <mergeCell ref="W143:Z143"/>
    <mergeCell ref="W65:Z66"/>
    <mergeCell ref="T20:U20"/>
    <mergeCell ref="AB34:AE34"/>
    <mergeCell ref="AB28:AE28"/>
    <mergeCell ref="N21:O21"/>
    <mergeCell ref="AB30:AE30"/>
    <mergeCell ref="D32:E32"/>
    <mergeCell ref="E3:Q3"/>
    <mergeCell ref="AD27:AE27"/>
    <mergeCell ref="AN43:AO43"/>
    <mergeCell ref="B103:I103"/>
    <mergeCell ref="BC24:BJ24"/>
    <mergeCell ref="T17:U17"/>
    <mergeCell ref="F18:I18"/>
    <mergeCell ref="H139:L139"/>
    <mergeCell ref="AH124:AS124"/>
    <mergeCell ref="T19:U19"/>
    <mergeCell ref="T46:U46"/>
    <mergeCell ref="AD37:AE37"/>
    <mergeCell ref="AH126:AS126"/>
    <mergeCell ref="AR44:AS44"/>
    <mergeCell ref="AA99:AJ99"/>
    <mergeCell ref="T48:U48"/>
    <mergeCell ref="BC7:BJ8"/>
    <mergeCell ref="S61:U61"/>
    <mergeCell ref="AR60:AS60"/>
    <mergeCell ref="D20:E20"/>
    <mergeCell ref="W4:X4"/>
    <mergeCell ref="AA63:AQ64"/>
    <mergeCell ref="AB17:AE17"/>
    <mergeCell ref="F87:M87"/>
    <mergeCell ref="D22:E22"/>
    <mergeCell ref="AB19:AE19"/>
    <mergeCell ref="AN45:AO45"/>
    <mergeCell ref="F89:M89"/>
    <mergeCell ref="Q55:R55"/>
    <mergeCell ref="B105:I105"/>
    <mergeCell ref="N12:O12"/>
    <mergeCell ref="B12:C12"/>
    <mergeCell ref="AE56:AF56"/>
    <mergeCell ref="AB42:AE42"/>
    <mergeCell ref="BK7:BR8"/>
    <mergeCell ref="AP30:AQ30"/>
    <mergeCell ref="AU38:AU42"/>
    <mergeCell ref="AF28:AG28"/>
    <mergeCell ref="M139:P139"/>
    <mergeCell ref="S5:T6"/>
    <mergeCell ref="B43:C43"/>
    <mergeCell ref="F83:M83"/>
    <mergeCell ref="AA61:AQ62"/>
    <mergeCell ref="AN41:AO41"/>
    <mergeCell ref="F85:M85"/>
    <mergeCell ref="AN16:AO16"/>
    <mergeCell ref="X34:Y34"/>
    <mergeCell ref="AP20:AQ20"/>
    <mergeCell ref="X28:Y28"/>
    <mergeCell ref="N39:O39"/>
    <mergeCell ref="AP22:AQ22"/>
    <mergeCell ref="AB20:AE20"/>
    <mergeCell ref="AK103:AQ103"/>
    <mergeCell ref="X30:Y30"/>
    <mergeCell ref="X29:Y29"/>
    <mergeCell ref="D33:E33"/>
    <mergeCell ref="R70:U74"/>
    <mergeCell ref="D35:E35"/>
    <mergeCell ref="AF43:AG43"/>
    <mergeCell ref="AB38:AE38"/>
    <mergeCell ref="I12:J12"/>
    <mergeCell ref="D87:E87"/>
    <mergeCell ref="AP52:AS54"/>
    <mergeCell ref="V45:W45"/>
    <mergeCell ref="BK3:BR4"/>
    <mergeCell ref="B79:C79"/>
    <mergeCell ref="AL22:AM22"/>
    <mergeCell ref="F28:I28"/>
    <mergeCell ref="B81:C81"/>
    <mergeCell ref="T29:U29"/>
    <mergeCell ref="AL15:AM15"/>
    <mergeCell ref="J107:U107"/>
    <mergeCell ref="AR58:AS58"/>
    <mergeCell ref="AA109:AJ109"/>
    <mergeCell ref="AE52:AF52"/>
    <mergeCell ref="N70:Q74"/>
    <mergeCell ref="R27:S27"/>
    <mergeCell ref="AK106:AQ106"/>
    <mergeCell ref="R20:S20"/>
    <mergeCell ref="J25:K25"/>
    <mergeCell ref="AL33:AM33"/>
    <mergeCell ref="AE53:AF53"/>
    <mergeCell ref="AL43:AM43"/>
    <mergeCell ref="BK27:BN27"/>
    <mergeCell ref="J41:K41"/>
    <mergeCell ref="AL24:AM24"/>
    <mergeCell ref="J43:K43"/>
    <mergeCell ref="D42:E42"/>
    <mergeCell ref="N49:O49"/>
    <mergeCell ref="B70:E74"/>
    <mergeCell ref="D44:E44"/>
    <mergeCell ref="AE54:AF54"/>
    <mergeCell ref="AR22:AS22"/>
    <mergeCell ref="Z30:AA30"/>
    <mergeCell ref="AU43:BR43"/>
    <mergeCell ref="M140:P143"/>
    <mergeCell ref="AN25:AO25"/>
    <mergeCell ref="AB147:AL148"/>
    <mergeCell ref="Y114:AB114"/>
    <mergeCell ref="B84:C84"/>
    <mergeCell ref="F33:I33"/>
    <mergeCell ref="AJ45:AK45"/>
    <mergeCell ref="AV38:BR42"/>
    <mergeCell ref="AL20:AM20"/>
    <mergeCell ref="B80:C80"/>
    <mergeCell ref="J112:U112"/>
    <mergeCell ref="G10:H11"/>
    <mergeCell ref="F120:K121"/>
    <mergeCell ref="AB47:AC47"/>
    <mergeCell ref="W123:X123"/>
    <mergeCell ref="AL37:AM37"/>
    <mergeCell ref="AU36:BB36"/>
    <mergeCell ref="D78:E78"/>
    <mergeCell ref="B69:E69"/>
    <mergeCell ref="F70:I74"/>
    <mergeCell ref="AJ32:AK32"/>
    <mergeCell ref="AZ63:BE63"/>
    <mergeCell ref="R40:S40"/>
    <mergeCell ref="B23:C23"/>
    <mergeCell ref="X49:Y49"/>
    <mergeCell ref="I10:J10"/>
    <mergeCell ref="N90:U90"/>
    <mergeCell ref="E136:U136"/>
    <mergeCell ref="X46:Y46"/>
    <mergeCell ref="AP32:AQ32"/>
    <mergeCell ref="AU144:BB144"/>
    <mergeCell ref="N119:O119"/>
    <mergeCell ref="AU18:AZ18"/>
    <mergeCell ref="AU17:AZ17"/>
    <mergeCell ref="D82:E82"/>
    <mergeCell ref="Z19:AA19"/>
    <mergeCell ref="AJ41:AK41"/>
    <mergeCell ref="AJ16:AK16"/>
    <mergeCell ref="AR63:AS64"/>
    <mergeCell ref="B76:I76"/>
    <mergeCell ref="F12:H12"/>
    <mergeCell ref="B25:C25"/>
    <mergeCell ref="F43:I43"/>
    <mergeCell ref="AG52:AI52"/>
    <mergeCell ref="AJ27:AK27"/>
    <mergeCell ref="R22:S22"/>
    <mergeCell ref="B92:C92"/>
    <mergeCell ref="AP136:AS136"/>
    <mergeCell ref="X17:Y17"/>
    <mergeCell ref="AC121:AG121"/>
    <mergeCell ref="X19:Y19"/>
    <mergeCell ref="B77:U77"/>
    <mergeCell ref="AR25:AS25"/>
    <mergeCell ref="AU28:AZ28"/>
    <mergeCell ref="AR109:AS109"/>
    <mergeCell ref="J113:U116"/>
    <mergeCell ref="N131:Q131"/>
    <mergeCell ref="F113:I116"/>
    <mergeCell ref="AN21:AO21"/>
    <mergeCell ref="BL65:BR65"/>
    <mergeCell ref="H20:I20"/>
    <mergeCell ref="AL30:AM30"/>
    <mergeCell ref="BK143:BR143"/>
    <mergeCell ref="Z38:AA38"/>
    <mergeCell ref="AR24:AS24"/>
    <mergeCell ref="F93:M93"/>
    <mergeCell ref="J21:K21"/>
    <mergeCell ref="P43:Q43"/>
    <mergeCell ref="AI3:AJ3"/>
    <mergeCell ref="AU68:BR103"/>
    <mergeCell ref="J23:K23"/>
    <mergeCell ref="AI5:AJ5"/>
    <mergeCell ref="BG27:BJ27"/>
    <mergeCell ref="N10:O11"/>
    <mergeCell ref="R34:S34"/>
    <mergeCell ref="AH117:AS117"/>
    <mergeCell ref="J49:K49"/>
    <mergeCell ref="R36:S36"/>
    <mergeCell ref="AA54:AB54"/>
    <mergeCell ref="X45:Y45"/>
    <mergeCell ref="W104:Z104"/>
    <mergeCell ref="N88:U88"/>
    <mergeCell ref="AA56:AB56"/>
    <mergeCell ref="W106:Z106"/>
    <mergeCell ref="B129:K129"/>
    <mergeCell ref="F41:G41"/>
    <mergeCell ref="Y121:AB121"/>
    <mergeCell ref="F35:G35"/>
    <mergeCell ref="Y115:AB115"/>
    <mergeCell ref="AR40:AS40"/>
    <mergeCell ref="BK25:BR25"/>
    <mergeCell ref="W130:Z130"/>
    <mergeCell ref="AR98:AS98"/>
    <mergeCell ref="R49:S49"/>
    <mergeCell ref="W132:Z132"/>
    <mergeCell ref="AB49:AE49"/>
    <mergeCell ref="AP57:AQ58"/>
    <mergeCell ref="P17:Q17"/>
    <mergeCell ref="BO27:BR27"/>
    <mergeCell ref="S53:T53"/>
    <mergeCell ref="AU33:AZ33"/>
    <mergeCell ref="W121:X121"/>
    <mergeCell ref="AR108:AS108"/>
    <mergeCell ref="F22:G22"/>
    <mergeCell ref="P19:Q19"/>
    <mergeCell ref="AP45:AQ45"/>
    <mergeCell ref="S55:T55"/>
    <mergeCell ref="BO37:BR37"/>
    <mergeCell ref="AN26:AO26"/>
    <mergeCell ref="AZ65:BE65"/>
    <mergeCell ref="AU105:BR127"/>
    <mergeCell ref="BJ20:BR20"/>
    <mergeCell ref="BF65:BK65"/>
    <mergeCell ref="BJ22:BR22"/>
    <mergeCell ref="N82:U82"/>
    <mergeCell ref="X38:Y38"/>
    <mergeCell ref="AR57:AS57"/>
    <mergeCell ref="D17:E17"/>
    <mergeCell ref="J20:K20"/>
    <mergeCell ref="J22:K22"/>
    <mergeCell ref="D29:E29"/>
    <mergeCell ref="D23:E23"/>
    <mergeCell ref="M4:Q4"/>
    <mergeCell ref="O147:Y148"/>
    <mergeCell ref="AU30:AZ30"/>
    <mergeCell ref="F40:G40"/>
    <mergeCell ref="Y120:AB120"/>
    <mergeCell ref="T47:U47"/>
    <mergeCell ref="W57:Z57"/>
    <mergeCell ref="M58:P58"/>
    <mergeCell ref="E5:I5"/>
    <mergeCell ref="K9:R9"/>
    <mergeCell ref="Q140:U140"/>
    <mergeCell ref="W142:Z142"/>
    <mergeCell ref="AC10:AE11"/>
    <mergeCell ref="G8:I8"/>
    <mergeCell ref="V38:W38"/>
    <mergeCell ref="AN24:AO24"/>
    <mergeCell ref="J4:L4"/>
    <mergeCell ref="F21:G21"/>
    <mergeCell ref="N83:U83"/>
    <mergeCell ref="X48:Y48"/>
    <mergeCell ref="AD134:AK134"/>
    <mergeCell ref="Y10:Z11"/>
    <mergeCell ref="AC7:AD7"/>
    <mergeCell ref="R11:S11"/>
    <mergeCell ref="N20:O20"/>
    <mergeCell ref="N22:O22"/>
    <mergeCell ref="W103:Z103"/>
    <mergeCell ref="AJ49:AK49"/>
    <mergeCell ref="P28:Q28"/>
    <mergeCell ref="F39:G39"/>
    <mergeCell ref="P30:Q30"/>
    <mergeCell ref="D89:E89"/>
    <mergeCell ref="V37:W37"/>
    <mergeCell ref="AJ44:AK44"/>
    <mergeCell ref="B29:C29"/>
    <mergeCell ref="W55:Z55"/>
    <mergeCell ref="B42:C42"/>
    <mergeCell ref="P49:Q49"/>
    <mergeCell ref="B90:C90"/>
    <mergeCell ref="Z36:AA36"/>
    <mergeCell ref="D45:E45"/>
    <mergeCell ref="D34:E34"/>
    <mergeCell ref="N25:O25"/>
    <mergeCell ref="X27:Y27"/>
    <mergeCell ref="BC30:BJ37"/>
    <mergeCell ref="P12:Q12"/>
    <mergeCell ref="BK5:BR6"/>
    <mergeCell ref="N81:U81"/>
    <mergeCell ref="D48:E48"/>
    <mergeCell ref="B139:G139"/>
    <mergeCell ref="AB45:AE45"/>
    <mergeCell ref="J69:M69"/>
    <mergeCell ref="N38:O38"/>
    <mergeCell ref="B4:D4"/>
    <mergeCell ref="T119:U119"/>
    <mergeCell ref="F119:K119"/>
    <mergeCell ref="W129:Z129"/>
    <mergeCell ref="AF32:AG32"/>
    <mergeCell ref="N40:O40"/>
    <mergeCell ref="AF26:AG26"/>
    <mergeCell ref="AB46:AE46"/>
    <mergeCell ref="P15:Q15"/>
    <mergeCell ref="W131:Z131"/>
    <mergeCell ref="AP41:AQ41"/>
    <mergeCell ref="AB48:AE48"/>
    <mergeCell ref="W119:X119"/>
    <mergeCell ref="N35:O35"/>
    <mergeCell ref="AP43:AQ43"/>
    <mergeCell ref="AR105:AS105"/>
    <mergeCell ref="W6:X6"/>
    <mergeCell ref="AU7:BB8"/>
    <mergeCell ref="AR107:AS107"/>
    <mergeCell ref="V19:W19"/>
    <mergeCell ref="AF16:AG16"/>
    <mergeCell ref="E137:U137"/>
    <mergeCell ref="AF45:AG45"/>
    <mergeCell ref="BJ18:BR18"/>
    <mergeCell ref="B44:C44"/>
    <mergeCell ref="AP144:AS144"/>
    <mergeCell ref="AB16:AE16"/>
    <mergeCell ref="AN42:AO42"/>
    <mergeCell ref="D12:E12"/>
    <mergeCell ref="AA107:AJ107"/>
    <mergeCell ref="AP17:AQ17"/>
    <mergeCell ref="AP137:AS137"/>
    <mergeCell ref="B104:I104"/>
    <mergeCell ref="F49:G49"/>
    <mergeCell ref="AF22:AG22"/>
    <mergeCell ref="Q52:V52"/>
    <mergeCell ref="AP139:AS139"/>
    <mergeCell ref="AK100:AQ100"/>
    <mergeCell ref="AN37:AO37"/>
    <mergeCell ref="B106:I106"/>
    <mergeCell ref="AZ64:BE64"/>
    <mergeCell ref="B22:C22"/>
    <mergeCell ref="D84:E84"/>
    <mergeCell ref="D86:E86"/>
    <mergeCell ref="AL143:AO143"/>
    <mergeCell ref="F29:I29"/>
    <mergeCell ref="B38:C38"/>
    <mergeCell ref="B40:C40"/>
    <mergeCell ref="AU23:BR23"/>
    <mergeCell ref="AU37:BB37"/>
    <mergeCell ref="B33:C33"/>
    <mergeCell ref="AD138:AK138"/>
    <mergeCell ref="AK97:AQ97"/>
    <mergeCell ref="AL32:AM32"/>
    <mergeCell ref="R134:U135"/>
    <mergeCell ref="AD140:AK140"/>
    <mergeCell ref="W138:Z138"/>
    <mergeCell ref="AF41:AG41"/>
    <mergeCell ref="AF35:AG35"/>
    <mergeCell ref="AC6:AD6"/>
    <mergeCell ref="W140:Z140"/>
    <mergeCell ref="AP25:AQ25"/>
    <mergeCell ref="AF36:AG36"/>
    <mergeCell ref="V34:W34"/>
    <mergeCell ref="AN20:AO20"/>
    <mergeCell ref="V28:W28"/>
    <mergeCell ref="AF25:AG25"/>
    <mergeCell ref="AA139:AC139"/>
    <mergeCell ref="AN22:AO22"/>
    <mergeCell ref="V30:W30"/>
    <mergeCell ref="AA138:AC138"/>
    <mergeCell ref="AA140:AC140"/>
    <mergeCell ref="P47:Q47"/>
    <mergeCell ref="AD136:AK136"/>
    <mergeCell ref="R132:U133"/>
    <mergeCell ref="AD131:AK131"/>
    <mergeCell ref="N8:Q8"/>
    <mergeCell ref="Z34:AA34"/>
    <mergeCell ref="Z28:AA28"/>
    <mergeCell ref="AJ25:AK25"/>
    <mergeCell ref="Y113:AB113"/>
    <mergeCell ref="X44:Y44"/>
    <mergeCell ref="R131:U131"/>
    <mergeCell ref="D126:U126"/>
    <mergeCell ref="K10:M11"/>
    <mergeCell ref="AH125:AS125"/>
    <mergeCell ref="T45:U45"/>
    <mergeCell ref="AA110:AJ110"/>
    <mergeCell ref="B62:E62"/>
    <mergeCell ref="AR20:AS20"/>
    <mergeCell ref="R38:S38"/>
    <mergeCell ref="R10:S10"/>
    <mergeCell ref="AJ42:AK42"/>
    <mergeCell ref="J76:M76"/>
    <mergeCell ref="AR39:AS39"/>
    <mergeCell ref="W125:X125"/>
    <mergeCell ref="AH121:AS121"/>
    <mergeCell ref="AH123:AS123"/>
    <mergeCell ref="B52:F52"/>
    <mergeCell ref="B21:C21"/>
    <mergeCell ref="V44:W44"/>
    <mergeCell ref="AA104:AJ104"/>
    <mergeCell ref="AR110:AS110"/>
    <mergeCell ref="V29:W29"/>
    <mergeCell ref="V31:W31"/>
    <mergeCell ref="T41:U41"/>
    <mergeCell ref="AR33:AS33"/>
    <mergeCell ref="J47:K47"/>
    <mergeCell ref="J111:U111"/>
    <mergeCell ref="AA98:AJ98"/>
    <mergeCell ref="AI12:AJ12"/>
    <mergeCell ref="AR35:AS35"/>
    <mergeCell ref="B68:U68"/>
    <mergeCell ref="N27:O27"/>
    <mergeCell ref="N86:U86"/>
    <mergeCell ref="AD144:AK144"/>
    <mergeCell ref="AR61:AS62"/>
    <mergeCell ref="W120:X120"/>
    <mergeCell ref="R46:S46"/>
    <mergeCell ref="AA136:AC136"/>
    <mergeCell ref="AB37:AC37"/>
    <mergeCell ref="R48:S48"/>
    <mergeCell ref="W112:AS112"/>
    <mergeCell ref="Y7:Z8"/>
    <mergeCell ref="R75:U75"/>
    <mergeCell ref="AL137:AO137"/>
    <mergeCell ref="AL139:AO139"/>
    <mergeCell ref="V36:W36"/>
    <mergeCell ref="AC118:AG118"/>
    <mergeCell ref="AJ35:AK35"/>
    <mergeCell ref="S62:U62"/>
    <mergeCell ref="S54:T54"/>
    <mergeCell ref="J102:U102"/>
    <mergeCell ref="P45:Q45"/>
    <mergeCell ref="AC119:AG119"/>
    <mergeCell ref="F88:M88"/>
    <mergeCell ref="S56:T56"/>
    <mergeCell ref="P38:Q38"/>
    <mergeCell ref="N75:Q75"/>
    <mergeCell ref="T27:U27"/>
    <mergeCell ref="AM52:AO54"/>
    <mergeCell ref="AN40:AO40"/>
    <mergeCell ref="B100:I100"/>
    <mergeCell ref="AL9:AS9"/>
    <mergeCell ref="AN33:AO33"/>
    <mergeCell ref="AJ58:AK58"/>
    <mergeCell ref="B102:I102"/>
    <mergeCell ref="BC25:BJ25"/>
    <mergeCell ref="F25:I25"/>
    <mergeCell ref="F61:H61"/>
    <mergeCell ref="B78:C78"/>
    <mergeCell ref="X15:Y15"/>
    <mergeCell ref="W60:AQ60"/>
    <mergeCell ref="B51:AK51"/>
    <mergeCell ref="W73:Z74"/>
    <mergeCell ref="J31:K31"/>
    <mergeCell ref="AB44:AE44"/>
    <mergeCell ref="AR21:AS21"/>
    <mergeCell ref="AJ33:AK33"/>
    <mergeCell ref="L8:M8"/>
    <mergeCell ref="AB27:AC27"/>
    <mergeCell ref="J105:U105"/>
    <mergeCell ref="J35:K35"/>
    <mergeCell ref="AL18:AM18"/>
    <mergeCell ref="AP49:AQ49"/>
    <mergeCell ref="R17:S17"/>
    <mergeCell ref="B41:C41"/>
    <mergeCell ref="B35:C35"/>
    <mergeCell ref="AG53:AI53"/>
    <mergeCell ref="AE12:AF12"/>
    <mergeCell ref="AN35:AO35"/>
    <mergeCell ref="F44:I44"/>
    <mergeCell ref="F81:M81"/>
    <mergeCell ref="AF42:AG42"/>
    <mergeCell ref="W54:Z54"/>
    <mergeCell ref="V17:W17"/>
    <mergeCell ref="AF33:AG33"/>
    <mergeCell ref="B58:F58"/>
    <mergeCell ref="BK144:BR144"/>
    <mergeCell ref="R18:S18"/>
    <mergeCell ref="N134:Q135"/>
    <mergeCell ref="L63:U67"/>
    <mergeCell ref="AR65:AS66"/>
    <mergeCell ref="B8:D8"/>
    <mergeCell ref="G53:L53"/>
    <mergeCell ref="W124:X124"/>
    <mergeCell ref="W118:X118"/>
    <mergeCell ref="R19:S19"/>
    <mergeCell ref="BG28:BJ28"/>
    <mergeCell ref="AL25:AM25"/>
    <mergeCell ref="AR75:AS76"/>
    <mergeCell ref="AC4:AD4"/>
    <mergeCell ref="B5:D5"/>
    <mergeCell ref="AJ20:AK20"/>
    <mergeCell ref="H48:I48"/>
    <mergeCell ref="E10:F11"/>
    <mergeCell ref="BC143:BJ143"/>
    <mergeCell ref="AJ22:AK22"/>
    <mergeCell ref="O62:R62"/>
    <mergeCell ref="I11:J11"/>
    <mergeCell ref="Z16:AA16"/>
    <mergeCell ref="AC58:AD58"/>
    <mergeCell ref="AJ48:AK48"/>
    <mergeCell ref="P27:Q27"/>
    <mergeCell ref="Z18:AA18"/>
    <mergeCell ref="Z17:AA17"/>
    <mergeCell ref="B127:C128"/>
    <mergeCell ref="B39:C39"/>
    <mergeCell ref="H46:I46"/>
    <mergeCell ref="D31:E31"/>
    <mergeCell ref="H39:I39"/>
    <mergeCell ref="R30:S30"/>
    <mergeCell ref="N46:O46"/>
    <mergeCell ref="AP29:AQ29"/>
    <mergeCell ref="X37:Y37"/>
    <mergeCell ref="N48:O48"/>
    <mergeCell ref="AP31:AQ31"/>
    <mergeCell ref="R37:S37"/>
    <mergeCell ref="AF44:AG44"/>
    <mergeCell ref="AJ24:AK24"/>
    <mergeCell ref="AJ26:AK26"/>
    <mergeCell ref="J38:K38"/>
    <mergeCell ref="AB32:AC32"/>
    <mergeCell ref="J40:K40"/>
    <mergeCell ref="D49:E49"/>
    <mergeCell ref="AL41:AM41"/>
    <mergeCell ref="AP33:AQ33"/>
    <mergeCell ref="D39:E39"/>
    <mergeCell ref="AN23:AO23"/>
    <mergeCell ref="D19:E19"/>
    <mergeCell ref="BC3:BJ4"/>
    <mergeCell ref="AR46:AS46"/>
    <mergeCell ref="P40:Q40"/>
    <mergeCell ref="BC5:BJ6"/>
    <mergeCell ref="AR48:AS48"/>
    <mergeCell ref="E4:I4"/>
    <mergeCell ref="BA27:BB27"/>
    <mergeCell ref="AE3:AF4"/>
    <mergeCell ref="AA11:AB11"/>
    <mergeCell ref="AU32:AZ32"/>
    <mergeCell ref="BK37:BN37"/>
    <mergeCell ref="BA34:BB34"/>
    <mergeCell ref="P10:Q11"/>
    <mergeCell ref="BA29:BB29"/>
    <mergeCell ref="T36:U36"/>
    <mergeCell ref="BA31:BB31"/>
    <mergeCell ref="J27:K27"/>
    <mergeCell ref="AA3:AB4"/>
    <mergeCell ref="N16:O16"/>
    <mergeCell ref="T24:U24"/>
    <mergeCell ref="AC9:AJ9"/>
    <mergeCell ref="Z44:AA44"/>
    <mergeCell ref="AR29:AS29"/>
    <mergeCell ref="AL46:AM46"/>
    <mergeCell ref="AP23:AQ23"/>
    <mergeCell ref="AR23:AS23"/>
    <mergeCell ref="AB15:AE15"/>
    <mergeCell ref="F38:G38"/>
    <mergeCell ref="X24:Y24"/>
    <mergeCell ref="X26:Y26"/>
    <mergeCell ref="B9:E9"/>
    <mergeCell ref="AA108:AJ108"/>
    <mergeCell ref="T30:U30"/>
    <mergeCell ref="V2:Z2"/>
    <mergeCell ref="D46:E46"/>
    <mergeCell ref="BA18:BI18"/>
    <mergeCell ref="D40:E40"/>
    <mergeCell ref="N37:O37"/>
    <mergeCell ref="AP38:AQ38"/>
    <mergeCell ref="D41:E41"/>
    <mergeCell ref="U53:V53"/>
    <mergeCell ref="AP40:AQ40"/>
    <mergeCell ref="B110:I110"/>
    <mergeCell ref="F23:I23"/>
    <mergeCell ref="L145:U145"/>
    <mergeCell ref="D27:E27"/>
    <mergeCell ref="AA97:AJ97"/>
    <mergeCell ref="AI11:AJ11"/>
    <mergeCell ref="N18:O18"/>
    <mergeCell ref="AB24:AE24"/>
    <mergeCell ref="J109:U109"/>
    <mergeCell ref="H140:L143"/>
    <mergeCell ref="S139:U139"/>
    <mergeCell ref="W126:X126"/>
    <mergeCell ref="W117:X117"/>
    <mergeCell ref="AR104:AS104"/>
    <mergeCell ref="H47:I47"/>
    <mergeCell ref="AG12:AH12"/>
    <mergeCell ref="B10:D11"/>
    <mergeCell ref="B3:D3"/>
    <mergeCell ref="V16:W16"/>
    <mergeCell ref="B89:C89"/>
    <mergeCell ref="T37:U37"/>
    <mergeCell ref="AD31:AE31"/>
    <mergeCell ref="B53:F53"/>
    <mergeCell ref="G57:L57"/>
    <mergeCell ref="AE58:AF58"/>
    <mergeCell ref="AK101:AQ101"/>
    <mergeCell ref="B87:C87"/>
    <mergeCell ref="L119:M119"/>
    <mergeCell ref="AH116:AS116"/>
    <mergeCell ref="P119:Q119"/>
    <mergeCell ref="J104:U104"/>
    <mergeCell ref="W75:Z76"/>
    <mergeCell ref="AU62:BR62"/>
    <mergeCell ref="B1:BR1"/>
    <mergeCell ref="N17:O17"/>
    <mergeCell ref="AI4:AJ4"/>
    <mergeCell ref="AB26:AE26"/>
    <mergeCell ref="B112:I112"/>
    <mergeCell ref="N19:O19"/>
    <mergeCell ref="AP27:AQ27"/>
    <mergeCell ref="N84:U84"/>
    <mergeCell ref="N78:U78"/>
    <mergeCell ref="AK110:AQ110"/>
    <mergeCell ref="T34:U34"/>
    <mergeCell ref="U7:V8"/>
    <mergeCell ref="T28:U28"/>
    <mergeCell ref="N80:U80"/>
    <mergeCell ref="X36:Y36"/>
    <mergeCell ref="AC3:AD3"/>
    <mergeCell ref="AL26:AM26"/>
    <mergeCell ref="AC5:AD5"/>
    <mergeCell ref="B17:C17"/>
    <mergeCell ref="B19:C19"/>
    <mergeCell ref="AL42:AM42"/>
    <mergeCell ref="B93:C93"/>
    <mergeCell ref="AA58:AB58"/>
    <mergeCell ref="B86:C86"/>
    <mergeCell ref="W95:AS95"/>
    <mergeCell ref="AA53:AB53"/>
    <mergeCell ref="X42:Y42"/>
    <mergeCell ref="R32:S32"/>
    <mergeCell ref="AD129:AK129"/>
    <mergeCell ref="W96:AS96"/>
    <mergeCell ref="AJ18:AK18"/>
    <mergeCell ref="Y118:AB118"/>
    <mergeCell ref="AR34:AS34"/>
    <mergeCell ref="Z42:AA42"/>
    <mergeCell ref="AC117:AG117"/>
    <mergeCell ref="J110:U110"/>
    <mergeCell ref="AR36:AS36"/>
    <mergeCell ref="G58:L58"/>
    <mergeCell ref="AA106:AJ106"/>
    <mergeCell ref="AM51:AS51"/>
    <mergeCell ref="AA105:AJ105"/>
    <mergeCell ref="AF20:AG20"/>
    <mergeCell ref="W77:AS93"/>
    <mergeCell ref="N28:O28"/>
    <mergeCell ref="W122:X122"/>
    <mergeCell ref="AU2:BR2"/>
    <mergeCell ref="AA134:AC134"/>
    <mergeCell ref="D83:E83"/>
    <mergeCell ref="AN17:AO17"/>
    <mergeCell ref="Z20:AA20"/>
    <mergeCell ref="B20:C20"/>
    <mergeCell ref="D85:E85"/>
    <mergeCell ref="AN19:AO19"/>
    <mergeCell ref="Q139:R139"/>
    <mergeCell ref="AL141:AO141"/>
    <mergeCell ref="AA137:AC137"/>
    <mergeCell ref="P44:Q44"/>
    <mergeCell ref="D80:E80"/>
    <mergeCell ref="AJ39:AK39"/>
    <mergeCell ref="AG3:AH4"/>
    <mergeCell ref="AG57:AI57"/>
    <mergeCell ref="AG5:AH6"/>
    <mergeCell ref="T120:U121"/>
    <mergeCell ref="AN47:AO47"/>
    <mergeCell ref="T26:U26"/>
    <mergeCell ref="AG58:AI58"/>
    <mergeCell ref="Z33:AA33"/>
    <mergeCell ref="B99:I99"/>
    <mergeCell ref="F37:G37"/>
    <mergeCell ref="Z35:AA35"/>
    <mergeCell ref="AH120:AS120"/>
    <mergeCell ref="J18:K18"/>
    <mergeCell ref="J17:K17"/>
    <mergeCell ref="B91:C91"/>
    <mergeCell ref="M57:P57"/>
    <mergeCell ref="AH115:AS115"/>
    <mergeCell ref="J19:K19"/>
    <mergeCell ref="AP129:AS129"/>
    <mergeCell ref="B131:F133"/>
    <mergeCell ref="AH119:AS119"/>
    <mergeCell ref="B49:C49"/>
    <mergeCell ref="D24:E24"/>
    <mergeCell ref="D26:E26"/>
    <mergeCell ref="B109:I109"/>
    <mergeCell ref="X40:Y40"/>
    <mergeCell ref="J48:K48"/>
    <mergeCell ref="AL31:AM31"/>
    <mergeCell ref="J75:M75"/>
    <mergeCell ref="AD130:AK130"/>
    <mergeCell ref="T38:U38"/>
    <mergeCell ref="AZ66:BE66"/>
    <mergeCell ref="AD132:AK132"/>
    <mergeCell ref="BA30:BB30"/>
    <mergeCell ref="BC26:BJ26"/>
    <mergeCell ref="B113:E116"/>
    <mergeCell ref="D30:E30"/>
    <mergeCell ref="D43:E43"/>
    <mergeCell ref="AB40:AE40"/>
    <mergeCell ref="B61:E61"/>
    <mergeCell ref="AN39:AO39"/>
    <mergeCell ref="V46:W46"/>
    <mergeCell ref="W56:Z56"/>
    <mergeCell ref="AA75:AQ76"/>
    <mergeCell ref="AD33:AE33"/>
    <mergeCell ref="AH122:AS122"/>
    <mergeCell ref="AH114:AS114"/>
    <mergeCell ref="AU64:AY66"/>
    <mergeCell ref="N30:O30"/>
    <mergeCell ref="AB36:AE36"/>
    <mergeCell ref="AU143:BB143"/>
    <mergeCell ref="W100:Z100"/>
    <mergeCell ref="AL48:AM48"/>
    <mergeCell ref="AC120:AG120"/>
    <mergeCell ref="Q53:R53"/>
    <mergeCell ref="X43:Y43"/>
    <mergeCell ref="W102:Z102"/>
    <mergeCell ref="M53:P53"/>
    <mergeCell ref="BA28:BB28"/>
    <mergeCell ref="M55:P55"/>
    <mergeCell ref="BG129:BK129"/>
    <mergeCell ref="AJ57:AK57"/>
    <mergeCell ref="P36:Q36"/>
    <mergeCell ref="AR19:AS19"/>
    <mergeCell ref="F79:M79"/>
    <mergeCell ref="E138:U138"/>
    <mergeCell ref="Q58:R58"/>
    <mergeCell ref="D38:E38"/>
    <mergeCell ref="AP47:AQ47"/>
    <mergeCell ref="AF48:AG48"/>
    <mergeCell ref="AA133:AC133"/>
    <mergeCell ref="F19:I19"/>
    <mergeCell ref="R45:S45"/>
    <mergeCell ref="U56:V56"/>
    <mergeCell ref="R47:S47"/>
    <mergeCell ref="AP46:AQ46"/>
    <mergeCell ref="T22:U22"/>
    <mergeCell ref="AP48:AQ48"/>
    <mergeCell ref="AU29:AZ29"/>
    <mergeCell ref="Z31:AA31"/>
    <mergeCell ref="AU31:AZ31"/>
    <mergeCell ref="AR106:AS106"/>
    <mergeCell ref="AL142:AO142"/>
    <mergeCell ref="BL129:BR129"/>
    <mergeCell ref="AP134:AS134"/>
    <mergeCell ref="F42:I42"/>
    <mergeCell ref="AL29:AM29"/>
    <mergeCell ref="BL64:BR64"/>
    <mergeCell ref="AP141:AS141"/>
    <mergeCell ref="N132:Q133"/>
    <mergeCell ref="AP143:AS143"/>
    <mergeCell ref="AP142:AS142"/>
    <mergeCell ref="BC27:BF27"/>
    <mergeCell ref="W139:Z139"/>
    <mergeCell ref="BJ19:BR19"/>
    <mergeCell ref="BF64:BK64"/>
    <mergeCell ref="AP140:AS140"/>
    <mergeCell ref="W141:Z141"/>
    <mergeCell ref="W135:Z135"/>
    <mergeCell ref="N45:O45"/>
    <mergeCell ref="AP28:AQ28"/>
    <mergeCell ref="AK109:AQ109"/>
    <mergeCell ref="Q56:R56"/>
    <mergeCell ref="W136:Z136"/>
    <mergeCell ref="AF39:AG39"/>
    <mergeCell ref="AP21:AQ21"/>
    <mergeCell ref="N47:O47"/>
    <mergeCell ref="AA69:AQ70"/>
    <mergeCell ref="AJ21:AK21"/>
    <mergeCell ref="Z32:AA32"/>
    <mergeCell ref="Z26:AA26"/>
    <mergeCell ref="AJ23:AK23"/>
    <mergeCell ref="AU26:AZ26"/>
    <mergeCell ref="BC29:BJ29"/>
    <mergeCell ref="W137:Z137"/>
    <mergeCell ref="AU5:BB6"/>
    <mergeCell ref="AP138:AS138"/>
    <mergeCell ref="BA22:BI22"/>
    <mergeCell ref="AP133:AS133"/>
    <mergeCell ref="AP135:AS135"/>
    <mergeCell ref="AU44:BR61"/>
    <mergeCell ref="AR37:AS37"/>
    <mergeCell ref="X16:Y16"/>
    <mergeCell ref="AK98:AQ98"/>
    <mergeCell ref="X18:Y18"/>
    <mergeCell ref="W110:Z110"/>
    <mergeCell ref="D28:E28"/>
    <mergeCell ref="B138:D138"/>
    <mergeCell ref="AB25:AE25"/>
    <mergeCell ref="AI8:AJ8"/>
    <mergeCell ref="AR31:AS31"/>
    <mergeCell ref="Z45:AA45"/>
    <mergeCell ref="R119:S119"/>
    <mergeCell ref="BJ21:BR21"/>
    <mergeCell ref="AI10:AJ10"/>
    <mergeCell ref="W98:Z98"/>
    <mergeCell ref="BF66:BK66"/>
    <mergeCell ref="W63:Z64"/>
    <mergeCell ref="J100:U100"/>
    <mergeCell ref="J30:K30"/>
    <mergeCell ref="G134:M135"/>
    <mergeCell ref="N15:O15"/>
    <mergeCell ref="BO36:BR36"/>
    <mergeCell ref="BL63:BR63"/>
    <mergeCell ref="B2:Q2"/>
    <mergeCell ref="P24:Q24"/>
    <mergeCell ref="P120:Q121"/>
    <mergeCell ref="AA73:AQ74"/>
    <mergeCell ref="AK12:AM12"/>
    <mergeCell ref="X12:AB12"/>
    <mergeCell ref="AJ47:AK47"/>
    <mergeCell ref="P26:Q26"/>
    <mergeCell ref="V33:W33"/>
    <mergeCell ref="AJ40:AK40"/>
    <mergeCell ref="Z41:AA41"/>
    <mergeCell ref="AR27:AS27"/>
    <mergeCell ref="J7:L7"/>
    <mergeCell ref="V35:W35"/>
    <mergeCell ref="I62:K62"/>
    <mergeCell ref="Z43:AA43"/>
    <mergeCell ref="Y125:AB125"/>
    <mergeCell ref="F47:G47"/>
    <mergeCell ref="F46:G46"/>
    <mergeCell ref="P37:Q37"/>
    <mergeCell ref="AR17:AS17"/>
    <mergeCell ref="F48:G48"/>
    <mergeCell ref="D15:E15"/>
    <mergeCell ref="F75:I75"/>
    <mergeCell ref="AN38:AO38"/>
    <mergeCell ref="F82:M82"/>
    <mergeCell ref="AR42:AS42"/>
    <mergeCell ref="X21:Y21"/>
    <mergeCell ref="AP11:AS11"/>
    <mergeCell ref="N32:O32"/>
    <mergeCell ref="X23:Y23"/>
    <mergeCell ref="BC144:BJ144"/>
    <mergeCell ref="B134:F135"/>
    <mergeCell ref="AA141:AC141"/>
    <mergeCell ref="AA135:AC135"/>
    <mergeCell ref="V32:W32"/>
    <mergeCell ref="V26:W26"/>
    <mergeCell ref="AF23:AG23"/>
    <mergeCell ref="U54:V54"/>
    <mergeCell ref="B36:C36"/>
    <mergeCell ref="Y124:AB124"/>
    <mergeCell ref="AF18:AG18"/>
    <mergeCell ref="AR18:AS18"/>
    <mergeCell ref="AN34:AO34"/>
    <mergeCell ref="F78:M78"/>
    <mergeCell ref="V42:W42"/>
    <mergeCell ref="B31:C31"/>
    <mergeCell ref="AF49:AG49"/>
    <mergeCell ref="L124:U124"/>
    <mergeCell ref="AN36:AO36"/>
    <mergeCell ref="AL129:AO129"/>
    <mergeCell ref="B96:I96"/>
    <mergeCell ref="AP131:AS131"/>
    <mergeCell ref="M56:P56"/>
    <mergeCell ref="AN29:AO29"/>
    <mergeCell ref="B98:I98"/>
    <mergeCell ref="AA57:AB57"/>
    <mergeCell ref="AN31:AO31"/>
    <mergeCell ref="X20:Y20"/>
    <mergeCell ref="F36:G36"/>
    <mergeCell ref="AJ38:AK38"/>
    <mergeCell ref="BF63:BK63"/>
    <mergeCell ref="AL133:AO133"/>
    <mergeCell ref="G54:L54"/>
    <mergeCell ref="T21:U21"/>
    <mergeCell ref="J32:K32"/>
    <mergeCell ref="AL135:AO135"/>
    <mergeCell ref="G56:L56"/>
    <mergeCell ref="T23:U23"/>
    <mergeCell ref="W67:Z68"/>
    <mergeCell ref="T16:U16"/>
    <mergeCell ref="M7:Q7"/>
    <mergeCell ref="AF21:AG21"/>
    <mergeCell ref="N34:O34"/>
    <mergeCell ref="X25:Y25"/>
    <mergeCell ref="W109:Z109"/>
    <mergeCell ref="AB43:AE43"/>
    <mergeCell ref="AB33:AC33"/>
    <mergeCell ref="N36:O36"/>
    <mergeCell ref="AL45:AM45"/>
    <mergeCell ref="R24:S24"/>
    <mergeCell ref="AC12:AD12"/>
    <mergeCell ref="R16:S16"/>
    <mergeCell ref="H38:I38"/>
    <mergeCell ref="J46:K46"/>
    <mergeCell ref="J39:K39"/>
    <mergeCell ref="N79:U79"/>
    <mergeCell ref="V18:W18"/>
    <mergeCell ref="W52:Z52"/>
    <mergeCell ref="Z15:AA15"/>
    <mergeCell ref="AF24:AG24"/>
    <mergeCell ref="AA144:AC144"/>
    <mergeCell ref="D93:E93"/>
    <mergeCell ref="AN27:AO27"/>
    <mergeCell ref="S7:T8"/>
    <mergeCell ref="B45:C45"/>
    <mergeCell ref="BA32:BB32"/>
    <mergeCell ref="T39:U39"/>
    <mergeCell ref="B47:C47"/>
    <mergeCell ref="F31:I31"/>
    <mergeCell ref="J70:M74"/>
    <mergeCell ref="G132:M133"/>
    <mergeCell ref="B46:C46"/>
    <mergeCell ref="T32:U32"/>
    <mergeCell ref="AC57:AD57"/>
    <mergeCell ref="S58:T58"/>
    <mergeCell ref="AL138:AO138"/>
    <mergeCell ref="B48:C48"/>
    <mergeCell ref="B75:E75"/>
    <mergeCell ref="AL140:AO140"/>
    <mergeCell ref="B107:I107"/>
    <mergeCell ref="B7:D7"/>
    <mergeCell ref="B125:C125"/>
    <mergeCell ref="N69:Q69"/>
    <mergeCell ref="E8:F8"/>
    <mergeCell ref="AP39:AQ39"/>
    <mergeCell ref="V20:W20"/>
    <mergeCell ref="F9:I9"/>
    <mergeCell ref="H40:I40"/>
    <mergeCell ref="T43:U43"/>
    <mergeCell ref="AB21:AE21"/>
    <mergeCell ref="B88:C88"/>
    <mergeCell ref="B101:I101"/>
    <mergeCell ref="B82:C82"/>
    <mergeCell ref="Y117:AB117"/>
    <mergeCell ref="T40:U40"/>
    <mergeCell ref="J16:K16"/>
    <mergeCell ref="B83:C83"/>
    <mergeCell ref="AL17:AM17"/>
    <mergeCell ref="AP10:AS10"/>
    <mergeCell ref="B85:C85"/>
    <mergeCell ref="AK105:AQ105"/>
    <mergeCell ref="W101:Z101"/>
    <mergeCell ref="J34:K34"/>
    <mergeCell ref="AB18:AE18"/>
    <mergeCell ref="AK107:AQ107"/>
    <mergeCell ref="D125:U125"/>
    <mergeCell ref="T25:U25"/>
    <mergeCell ref="T10:V11"/>
    <mergeCell ref="AP19:AQ19"/>
    <mergeCell ref="AF10:AH11"/>
    <mergeCell ref="J36:K36"/>
    <mergeCell ref="W71:Z72"/>
    <mergeCell ref="AN12:AS12"/>
    <mergeCell ref="L120:M121"/>
    <mergeCell ref="D91:E91"/>
    <mergeCell ref="W116:X116"/>
    <mergeCell ref="AP55:AS56"/>
    <mergeCell ref="AR102:AS102"/>
    <mergeCell ref="AR103:AS103"/>
    <mergeCell ref="B16:C16"/>
    <mergeCell ref="B18:C18"/>
    <mergeCell ref="AA143:AC143"/>
    <mergeCell ref="Q54:R54"/>
    <mergeCell ref="G131:M131"/>
    <mergeCell ref="AC53:AD53"/>
    <mergeCell ref="AL2:AS8"/>
    <mergeCell ref="AC55:AD55"/>
    <mergeCell ref="AJ34:AK34"/>
    <mergeCell ref="R42:S42"/>
    <mergeCell ref="AJ36:AK36"/>
    <mergeCell ref="F45:I45"/>
    <mergeCell ref="J5:L5"/>
    <mergeCell ref="AG54:AI54"/>
    <mergeCell ref="AK10:AM11"/>
    <mergeCell ref="F17:I17"/>
    <mergeCell ref="AJ29:AK29"/>
    <mergeCell ref="AG56:AI56"/>
    <mergeCell ref="AD47:AE47"/>
    <mergeCell ref="AJ31:AK31"/>
    <mergeCell ref="J6:L6"/>
    <mergeCell ref="W58:Z58"/>
    <mergeCell ref="L62:N62"/>
    <mergeCell ref="J98:U98"/>
    <mergeCell ref="B6:D6"/>
    <mergeCell ref="AH113:AS113"/>
    <mergeCell ref="R69:U69"/>
    <mergeCell ref="AL21:AM21"/>
    <mergeCell ref="AA10:AB10"/>
    <mergeCell ref="P41:Q41"/>
    <mergeCell ref="Y116:AB116"/>
    <mergeCell ref="Y126:AB126"/>
    <mergeCell ref="W114:X114"/>
    <mergeCell ref="AR101:AS101"/>
    <mergeCell ref="T44:U44"/>
    <mergeCell ref="J45:K45"/>
    <mergeCell ref="AB31:AC31"/>
    <mergeCell ref="AN10:AO11"/>
    <mergeCell ref="G52:L52"/>
    <mergeCell ref="AB23:AE23"/>
    <mergeCell ref="AD32:AE32"/>
    <mergeCell ref="Y3:Z4"/>
    <mergeCell ref="AL23:AM23"/>
    <mergeCell ref="Y5:Z6"/>
    <mergeCell ref="AR73:AS74"/>
    <mergeCell ref="R33:S33"/>
    <mergeCell ref="AU128:BR128"/>
    <mergeCell ref="BK26:BN26"/>
    <mergeCell ref="W53:Z53"/>
    <mergeCell ref="BO28:BR34"/>
    <mergeCell ref="BK36:BN36"/>
    <mergeCell ref="AU24:BB24"/>
    <mergeCell ref="T9:AA9"/>
    <mergeCell ref="BK28:BN34"/>
    <mergeCell ref="AU3:BB4"/>
    <mergeCell ref="AU22:AZ22"/>
    <mergeCell ref="S3:T4"/>
    <mergeCell ref="BL66:BR66"/>
    <mergeCell ref="BO26:BR26"/>
    <mergeCell ref="AU35:BB35"/>
    <mergeCell ref="AU25:AZ25"/>
    <mergeCell ref="BA20:BI20"/>
    <mergeCell ref="R26:S26"/>
    <mergeCell ref="X33:Y33"/>
    <mergeCell ref="AC113:AG113"/>
    <mergeCell ref="J106:U106"/>
    <mergeCell ref="AI7:AJ7"/>
    <mergeCell ref="AR30:AS30"/>
    <mergeCell ref="AN46:AO46"/>
    <mergeCell ref="F90:M90"/>
    <mergeCell ref="AB22:AE22"/>
    <mergeCell ref="W97:Z97"/>
    <mergeCell ref="AN48:AO48"/>
    <mergeCell ref="X31:Y31"/>
    <mergeCell ref="X39:Y39"/>
    <mergeCell ref="W69:Z70"/>
    <mergeCell ref="T18:U18"/>
    <mergeCell ref="T49:U49"/>
    <mergeCell ref="T42:U42"/>
    <mergeCell ref="AR49:AS49"/>
    <mergeCell ref="F84:M84"/>
    <mergeCell ref="AP42:AQ42"/>
    <mergeCell ref="P34:Q34"/>
    <mergeCell ref="Z25:AA25"/>
    <mergeCell ref="F86:M86"/>
    <mergeCell ref="F80:M80"/>
    <mergeCell ref="F20:G20"/>
    <mergeCell ref="H49:I49"/>
    <mergeCell ref="AR38:AS38"/>
    <mergeCell ref="AL49:AM49"/>
    <mergeCell ref="R28:S28"/>
    <mergeCell ref="AL16:AM16"/>
    <mergeCell ref="AG2:AJ2"/>
    <mergeCell ref="X41:Y41"/>
    <mergeCell ref="X35:Y35"/>
    <mergeCell ref="BA21:BI21"/>
    <mergeCell ref="D127:U128"/>
    <mergeCell ref="R44:S44"/>
    <mergeCell ref="AL131:AO131"/>
    <mergeCell ref="P39:Q39"/>
    <mergeCell ref="Z21:AA21"/>
    <mergeCell ref="AJ53:AK53"/>
    <mergeCell ref="P32:Q32"/>
    <mergeCell ref="Z29:AA29"/>
    <mergeCell ref="H37:I37"/>
    <mergeCell ref="Z23:AA23"/>
    <mergeCell ref="AZ129:BF129"/>
    <mergeCell ref="AJ55:AK55"/>
    <mergeCell ref="T12:W12"/>
    <mergeCell ref="AF38:AG38"/>
    <mergeCell ref="BA25:BB25"/>
    <mergeCell ref="AC123:AG123"/>
    <mergeCell ref="Z24:AA24"/>
    <mergeCell ref="V43:W43"/>
    <mergeCell ref="F34:G34"/>
    <mergeCell ref="Z49:AA49"/>
    <mergeCell ref="P25:Q25"/>
    <mergeCell ref="AC124:AG124"/>
    <mergeCell ref="K12:M12"/>
    <mergeCell ref="B124:K124"/>
    <mergeCell ref="AA71:AQ72"/>
    <mergeCell ref="AC126:AG126"/>
    <mergeCell ref="AR28:AS28"/>
    <mergeCell ref="AL19:AM19"/>
    <mergeCell ref="U3:V4"/>
    <mergeCell ref="BA19:BI19"/>
    <mergeCell ref="N76:U76"/>
    <mergeCell ref="X32:Y32"/>
    <mergeCell ref="U5:V6"/>
    <mergeCell ref="B63:K67"/>
    <mergeCell ref="AU130:BR142"/>
    <mergeCell ref="N33:O33"/>
    <mergeCell ref="W108:Z108"/>
    <mergeCell ref="R35:S35"/>
    <mergeCell ref="N92:U92"/>
    <mergeCell ref="AP34:AQ34"/>
    <mergeCell ref="AB41:AE41"/>
    <mergeCell ref="M6:Q6"/>
    <mergeCell ref="AB35:AE35"/>
    <mergeCell ref="AR99:AS99"/>
    <mergeCell ref="J50:AS50"/>
    <mergeCell ref="B14:AS14"/>
    <mergeCell ref="AP36:AQ36"/>
    <mergeCell ref="B13:AS13"/>
    <mergeCell ref="D25:E25"/>
    <mergeCell ref="N87:U87"/>
    <mergeCell ref="AR100:AS100"/>
    <mergeCell ref="W134:Z134"/>
    <mergeCell ref="N89:U89"/>
    <mergeCell ref="AF34:AG34"/>
    <mergeCell ref="B50:H50"/>
    <mergeCell ref="AE5:AF6"/>
    <mergeCell ref="R120:S121"/>
    <mergeCell ref="W99:Z99"/>
    <mergeCell ref="AL47:AM47"/>
    <mergeCell ref="AP147:BD148"/>
    <mergeCell ref="AR97:AS97"/>
    <mergeCell ref="AF29:AG29"/>
    <mergeCell ref="P21:Q21"/>
    <mergeCell ref="Z47:AA47"/>
    <mergeCell ref="P23:Q23"/>
    <mergeCell ref="AJ37:AK37"/>
    <mergeCell ref="P16:Q16"/>
    <mergeCell ref="Z48:AA48"/>
    <mergeCell ref="AN18:AO18"/>
    <mergeCell ref="P18:Q18"/>
    <mergeCell ref="AR26:AS26"/>
    <mergeCell ref="V25:W25"/>
    <mergeCell ref="I61:K61"/>
    <mergeCell ref="AU129:AY129"/>
    <mergeCell ref="X22:Y22"/>
    <mergeCell ref="R29:S29"/>
    <mergeCell ref="AA52:AB52"/>
    <mergeCell ref="AK108:AQ108"/>
    <mergeCell ref="J108:U108"/>
    <mergeCell ref="R31:S31"/>
    <mergeCell ref="B147:M148"/>
    <mergeCell ref="D36:E36"/>
    <mergeCell ref="AL28:AM28"/>
    <mergeCell ref="AL144:AO144"/>
    <mergeCell ref="AK102:AQ102"/>
    <mergeCell ref="D37:E37"/>
    <mergeCell ref="AL39:AM39"/>
    <mergeCell ref="B118:U118"/>
  </mergeCells>
  <phoneticPr fontId="165" type="noConversion"/>
  <conditionalFormatting sqref="D16:D49">
    <cfRule type="cellIs" dxfId="19" priority="19" operator="equal">
      <formula>"×"</formula>
    </cfRule>
    <cfRule type="cellIs" dxfId="18" priority="20" operator="equal">
      <formula>"※"</formula>
    </cfRule>
    <cfRule type="cellIs" dxfId="17" priority="21" operator="equal">
      <formula>"⊙"</formula>
    </cfRule>
    <cfRule type="cellIs" dxfId="16" priority="22" operator="equal">
      <formula>"☆"</formula>
    </cfRule>
    <cfRule type="cellIs" dxfId="15" priority="23" operator="equal">
      <formula>"★"</formula>
    </cfRule>
  </conditionalFormatting>
  <conditionalFormatting sqref="Z16:Z49">
    <cfRule type="cellIs" dxfId="14" priority="4" operator="equal">
      <formula>"×"</formula>
    </cfRule>
    <cfRule type="cellIs" dxfId="13" priority="5" operator="equal">
      <formula>"※"</formula>
    </cfRule>
    <cfRule type="cellIs" dxfId="12" priority="6" operator="equal">
      <formula>"⊙"</formula>
    </cfRule>
    <cfRule type="cellIs" dxfId="11" priority="7" operator="equal">
      <formula>"☆"</formula>
    </cfRule>
    <cfRule type="cellIs" dxfId="10" priority="8" operator="equal">
      <formula>"★"</formula>
    </cfRule>
  </conditionalFormatting>
  <conditionalFormatting sqref="AU22">
    <cfRule type="cellIs" dxfId="9" priority="1" operator="equal">
      <formula>"无"</formula>
    </cfRule>
    <cfRule type="cellIs" dxfId="8" priority="2" operator="equal">
      <formula>"过多！"</formula>
    </cfRule>
    <cfRule type="cellIs" dxfId="7" priority="3" operator="greaterThan">
      <formula>0</formula>
    </cfRule>
  </conditionalFormatting>
  <dataValidations count="93">
    <dataValidation type="list" allowBlank="1" showInputMessage="1" showErrorMessage="1" sqref="M4:N4" xr:uid="{00000000-0002-0000-0000-000000000000}">
      <formula1>"1920s,现代,其他"</formula1>
    </dataValidation>
    <dataValidation type="list" allowBlank="1" showInputMessage="1" showErrorMessage="1" sqref="E8" xr:uid="{00000000-0002-0000-0000-000001000000}">
      <formula1>"公元,公元前"</formula1>
    </dataValidation>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000-000002000000}"/>
    <dataValidation allowBlank="1" showInputMessage="1" showErrorMessage="1" sqref="B26:B27 B90:B93 D90:D93 H37 H41 BQ117:BR117 L8 N8 Q8 Q140 T140:U140 Z48:Z49 AD33 AD37 AD47 AG12 AU25 AU27 AU29 AU31 AU33 AU122:AW122 BC25 BC27 BK25" xr:uid="{00000000-0002-0000-0000-000003000000}"/>
    <dataValidation type="list" allowBlank="1" showInputMessage="1" showErrorMessage="1" promptTitle="可成长标记" prompt="如果是短团，技能成功后可以选择勾号标记，在结束时KP宣布幕间成长，则成功技能可进行成长鉴定；_x000a_如果是长团，技能成功后可以选择勾号标记，在每一章结束时KP宣布幕间成长，则成功技能可进行成长鉴定。" sqref="B16:B25 B28:B49 X16:X49" xr:uid="{00000000-0002-0000-0000-000004000000}">
      <formula1>"☐,☑"</formula1>
    </dataValidation>
    <dataValidation type="whole" errorStyle="warning" allowBlank="1" showInputMessage="1" showErrorMessage="1" errorTitle="提示" error="人类年龄最高记录为122岁_x000a__x000a_请输入整数" promptTitle="一般来说，年龄应在15-90之间" prompt="15-19:STR,SIZ共-5，EDU-5,幸运骰2选高_x000a_20-39:EDU进步检定*1_x000a_40+:进步检定*2,STR CON DEX中共-5 APP-5_x000a_50+:进步检定*3, S C D中共-10 APP-10_x000a_60+:进步检定*4, S C D中共-20 APP-15_x000a_70+:进步检定*4, S C D中共-40 APP-20_x000a_80+:进步检定*4, S C D中共-80 APP-25" sqref="E6:I6" xr:uid="{00000000-0002-0000-0000-000005000000}">
      <formula1>1</formula1>
      <formula2>120</formula2>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000-000006000000}">
      <formula1>32767</formula1>
    </dataValidation>
    <dataValidation allowBlank="1" showErrorMessage="1" sqref="B68:K68 H49 L61 N61:O61 R61:S61 AI10" xr:uid="{00000000-0002-0000-0000-000007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F18:H18" xr:uid="{00000000-0002-0000-0000-000008000000}"/>
    <dataValidation type="list" allowBlank="1" showInputMessage="1" showErrorMessage="1" sqref="CH8" xr:uid="{00000000-0002-0000-0000-000009000000}">
      <formula1>"未启用,启用"</formula1>
    </dataValidation>
    <dataValidation allowBlank="1" showInputMessage="1" showErrorMessage="1" promptTitle="提示" prompt="MP是每小时恢复一次的_x000a_人类一般来说都会一小时恢复1点_x000a_但是有极少数人可以达到一小时恢复2点" sqref="AA10" xr:uid="{00000000-0002-0000-0000-00000A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AB42:AC42" xr:uid="{00000000-0002-0000-0000-00000B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AB30:AC30" xr:uid="{00000000-0002-0000-0000-00000C000000}"/>
    <dataValidation type="list" allowBlank="1" showInputMessage="1" sqref="AD27:AE27" xr:uid="{00000000-0002-0000-0000-00000D000000}">
      <formula1>"飞行器,船,"</formula1>
    </dataValidation>
    <dataValidation type="list" allowBlank="1" showInputMessage="1" showErrorMessage="1" sqref="R11:S11" xr:uid="{00000000-0002-0000-0000-00000E000000}">
      <formula1>"清醒,临时性疯狂,不定性疯狂,永久疯狂"</formula1>
    </dataValidation>
    <dataValidation allowBlank="1" showInputMessage="1" showErrorMessage="1" promptTitle="提示" prompt="你可以在下方“法术一览”内输入法术并且在这里输入成功使用过的法术的编号" sqref="U12 X12 AB12" xr:uid="{00000000-0002-0000-0000-00000F000000}"/>
    <dataValidation type="list" allowBlank="1" showInputMessage="1" showErrorMessage="1" sqref="AE12" xr:uid="{00000000-0002-0000-0000-000010000000}">
      <formula1>"步式,轮式,履带,滑行,飞行,游泳,潜水,其他"</formula1>
    </dataValidation>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AB37" xr:uid="{00000000-0002-0000-0000-000011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F20:G20" xr:uid="{00000000-0002-0000-0000-000012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AB20:AC20" xr:uid="{00000000-0002-0000-0000-000013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AB16:AC16" xr:uid="{00000000-0002-0000-0000-000014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F17:H17" xr:uid="{00000000-0002-0000-0000-000015000000}"/>
    <dataValidation type="list" allowBlank="1" showInputMessage="1" showErrorMessage="1" sqref="AI12" xr:uid="{00000000-0002-0000-0000-000016000000}">
      <formula1>"开,关"</formula1>
    </dataValidation>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AB27" xr:uid="{00000000-0002-0000-0000-000017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F16:H16" xr:uid="{00000000-0002-0000-0000-000018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AB17:AC17" xr:uid="{00000000-0002-0000-0000-000019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AB19:AC19" xr:uid="{00000000-0002-0000-0000-00001A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AB18:AC18" xr:uid="{00000000-0002-0000-0000-00001B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F19:H19" xr:uid="{00000000-0002-0000-0000-00001C000000}"/>
    <dataValidation type="list" allowBlank="1" showInputMessage="1" sqref="H20:I20" xr:uid="{00000000-0002-0000-0000-00001D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F30:H30" xr:uid="{00000000-0002-0000-0000-00001E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000-00001F000000}"/>
    <dataValidation type="list" allowBlank="1" showInputMessage="1" sqref="AD31:AE32" xr:uid="{00000000-0002-0000-0000-000020000000}">
      <formula1>"地质学,化学,生物学,数学,天文学,物理学,药学,植物学,动物学,密码学,工程学,气象学,司法科学,"</formula1>
    </dataValidation>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F27" xr:uid="{00000000-0002-0000-0000-000021000000}"/>
    <dataValidation type="list" allowBlank="1" showInputMessage="1" sqref="H21:I21" xr:uid="{00000000-0002-0000-0000-000022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AB21:AC21" xr:uid="{00000000-0002-0000-0000-000023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AB22:AC22" xr:uid="{00000000-0002-0000-0000-000024000000}"/>
    <dataValidation allowBlank="1" showInputMessage="1" showErrorMessage="1" promptTitle="Charm (15%)" prompt="- 取悦允许通过许多形式来使用，包括肉体魅力、诱惑、奉承或是单纯令人感到温暖的人格魅力。_x000a_- 取悦可能可以被用于迫使某人进行特定的行动，但是不会是与个人日常举止完全相反的行为。_x000a_- 取悦或是心理学技能可以用于对抗取悦技能。_x000a_- 取悦技能可以被用于讨价还价来使一件物品或者服务的价格降低。_x000a_- 如果成功，使用者得到了卖家的赞同，并且他们可能乐意降低一点价格。" sqref="F23:I23" xr:uid="{00000000-0002-0000-0000-000025000000}"/>
    <dataValidation allowBlank="1" showInputMessage="1" showErrorMessage="1" promptTitle="Swim (20%)" prompt="- 有能力在水或者其他液体中漂浮以及移动。_x000a_- 只有在遭遇危险的时候需要进行游泳技能检定，或者当 KP认为合适的时候。" sqref="AB38:AC38" xr:uid="{00000000-0002-0000-0000-000026000000}"/>
    <dataValidation allowBlank="1" showInputMessage="1" showErrorMessage="1" promptTitle="Navigate (10%) "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AB23:AE23" xr:uid="{00000000-0002-0000-0000-000027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F24:H24" xr:uid="{00000000-0002-0000-0000-000028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AB24:AC24" xr:uid="{00000000-0002-0000-0000-000029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F25:H25" xr:uid="{00000000-0002-0000-0000-00002A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AB25:AC25" xr:uid="{00000000-0002-0000-0000-00002B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F26:H26" xr:uid="{00000000-0002-0000-0000-00002C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F28:H28" xr:uid="{00000000-0002-0000-0000-00002D000000}"/>
    <dataValidation allowBlank="1" showInputMessage="1" showErrorMessage="1" promptTitle="提示" prompt="信用评级至少要用职业点点至信用范围最低值才能使用兴趣点增加信用评级" sqref="P26" xr:uid="{00000000-0002-0000-0000-00002E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AB26:AC26" xr:uid="{00000000-0002-0000-0000-00002F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000-000030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AB35:AC35" xr:uid="{00000000-0002-0000-0000-000031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F29:H29" xr:uid="{00000000-0002-0000-0000-000032000000}"/>
    <dataValidation allowBlank="1" showInputMessage="1" showErrorMessage="1" promptTitle="Psychology (10%)" prompt="对所有人来说都很通用的察觉方面的技能，允许使用者研究个人并且形成对于其他某人动机和人格的了解。" sqref="AB29:AC29" xr:uid="{00000000-0002-0000-0000-000033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AB36:AC36" xr:uid="{00000000-0002-0000-0000-000034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F31:H31" xr:uid="{00000000-0002-0000-0000-000035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F32:H32" xr:uid="{00000000-0002-0000-0000-000036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F42:H42" xr:uid="{00000000-0002-0000-0000-000037000000}"/>
    <dataValidation type="list" allowBlank="1" showInputMessage="1" sqref="H35:I36" xr:uid="{00000000-0002-0000-0000-000038000000}">
      <formula1>"鞭子,电锯,链枷,绞具,斧,剑,矛,"</formula1>
    </dataValidation>
    <dataValidation type="list" allowBlank="1" showInputMessage="1" sqref="H39:I40" xr:uid="{00000000-0002-0000-0000-000039000000}">
      <formula1>"步枪/霰弹枪,冲锋枪,弓术,喷射器,机枪,重武器,"</formula1>
    </dataValidation>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AB39:AC39" xr:uid="{00000000-0002-0000-0000-00003A000000}"/>
    <dataValidation allowBlank="1" showInputMessage="1" showErrorMessage="1" promptTitle="编号" prompt="编号用于属性栏内的“使用过的魔法”。" sqref="W113" xr:uid="{00000000-0002-0000-0000-00003B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AB40:AC40" xr:uid="{00000000-0002-0000-0000-00003C000000}"/>
    <dataValidation type="whole" errorStyle="warning" allowBlank="1" showInputMessage="1" showErrorMessage="1" errorTitle="警告" error="人类教育范围为0~99" sqref="AG5:AG6" xr:uid="{00000000-0002-0000-0000-00003D000000}">
      <formula1>0</formula1>
      <formula2>99</formula2>
    </dataValidation>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AB41:AC41" xr:uid="{00000000-0002-0000-0000-00003E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F43:H43" xr:uid="{00000000-0002-0000-0000-00003F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AB43:AC43" xr:uid="{00000000-0002-0000-0000-000040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F44:H44" xr:uid="{00000000-0002-0000-0000-000041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AB44:AC44" xr:uid="{00000000-0002-0000-0000-000042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F45:H45" xr:uid="{00000000-0002-0000-0000-000043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AB45:AC45" xr:uid="{00000000-0002-0000-0000-000044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AB46:AC46" xr:uid="{00000000-0002-0000-0000-000045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AB47" xr:uid="{00000000-0002-0000-0000-000046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F49" xr:uid="{00000000-0002-0000-0000-000047000000}"/>
    <dataValidation type="list" allowBlank="1" showErrorMessage="1" sqref="AR61" xr:uid="{00000000-0002-0000-0000-000048000000}">
      <formula1>"☐,☑"</formula1>
    </dataValidation>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F38:F41" xr:uid="{00000000-0002-0000-0000-000049000000}"/>
    <dataValidation type="list" allowBlank="1" showInputMessage="1" showErrorMessage="1" sqref="AR63 AR65:AR67 AR69:AR71 AR73:AR76" xr:uid="{00000000-0002-0000-0000-00004A000000}">
      <formula1>"☐,☑"</formula1>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H46:H48" xr:uid="{00000000-0002-0000-0000-00004B000000}"/>
    <dataValidation allowBlank="1" showInputMessage="1" showErrorMessage="1" promptTitle="提示" prompt="物品状态分为两种：_x000a_显露：显露的物品可以一眼被看见，这包括衣服、背包、手里的东西、背后的枪等。_x000a_隐藏：隐藏的物品不代表无法被看见，只是比较难以被看见而已，这里包括被头发掩盖的耳机、兜里的钥匙、藏在衣服里被锯短的枪。" sqref="B78" xr:uid="{00000000-0002-0000-0000-00004C000000}"/>
    <dataValidation type="list" allowBlank="1" showInputMessage="1" showErrorMessage="1" sqref="S139 U139" xr:uid="{00000000-0002-0000-0000-00004D000000}">
      <formula1>"1,2,3,4,5,6,7,8,9,10"</formula1>
    </dataValidation>
    <dataValidation type="whole" allowBlank="1" showInputMessage="1" showErrorMessage="1" sqref="BL129:BR129" xr:uid="{00000000-0002-0000-0000-00004E000000}">
      <formula1>1890</formula1>
      <formula2>2023</formula2>
    </dataValidation>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F34:F37" xr:uid="{00000000-0002-0000-0000-00004F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F46:F48" xr:uid="{00000000-0002-0000-0000-000050000000}"/>
    <dataValidation type="whole" errorStyle="warning" allowBlank="1" showErrorMessage="1" errorTitle="警告" error="人类力量范围为0~99" sqref="U3:U4" xr:uid="{00000000-0002-0000-0000-000051000000}">
      <formula1>1</formula1>
      <formula2>99</formula2>
    </dataValidation>
    <dataValidation type="whole" errorStyle="warning" allowBlank="1" showInputMessage="1" showErrorMessage="1" errorTitle="警告" error="人类体质范围为0~99" sqref="U5:U6" xr:uid="{00000000-0002-0000-0000-000052000000}">
      <formula1>0</formula1>
      <formula2>99</formula2>
    </dataValidation>
    <dataValidation type="whole" errorStyle="warning" operator="greaterThanOrEqual" allowBlank="1" showInputMessage="1" promptTitle="提示" prompt="部分人类体型可以超99" sqref="U7:U8" xr:uid="{00000000-0002-0000-0000-000053000000}">
      <formula1>9</formula1>
    </dataValidation>
    <dataValidation type="whole" errorStyle="warning" allowBlank="1" showInputMessage="1" showErrorMessage="1" errorTitle="警告" error="人类敏捷范围为0~99" sqref="AA3:AA4" xr:uid="{00000000-0002-0000-0000-000054000000}">
      <formula1>0</formula1>
      <formula2>99</formula2>
    </dataValidation>
    <dataValidation type="whole" errorStyle="warning" allowBlank="1" showInputMessage="1" showErrorMessage="1" errorTitle="警告" error="人类外貌范围为0~99" sqref="AA5:AA6" xr:uid="{00000000-0002-0000-0000-000055000000}">
      <formula1>0</formula1>
      <formula2>99</formula2>
    </dataValidation>
    <dataValidation type="whole" errorStyle="warning" allowBlank="1" showInputMessage="1" showErrorMessage="1" errorTitle="警告" error="人类智力范围为0~99" sqref="AA7:AA8" xr:uid="{00000000-0002-0000-0000-000056000000}">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AB31:AB33" xr:uid="{00000000-0002-0000-0000-000057000000}"/>
    <dataValidation type="whole" operator="greaterThanOrEqual" allowBlank="1" showInputMessage="1" showErrorMessage="1" promptTitle="提示" prompt="人类意志可以超越100，但这是特例" sqref="AG3:AG4" xr:uid="{00000000-0002-0000-0000-000058000000}">
      <formula1>0</formula1>
    </dataValidation>
    <dataValidation type="list" allowBlank="1" showInputMessage="1" showErrorMessage="1" sqref="AU22" xr:uid="{00000000-0002-0000-0000-000059000000}">
      <formula1>"提示当前职业,停用提示(用于更改职业的角色)"</formula1>
    </dataValidation>
    <dataValidation allowBlank="1" showInputMessage="1" showErrorMessage="1" promptTitle="关键连接" prompt="在背景故事中，选出你认为最重要的一个描述作为关键连接。_x000a_关键连接不会被KP更改和设计、在你面对关键连接的危机时如果没有掷骰子的机会，那他就不能被KP摧毁、杀害、移除。玩家必须至少有一次掷骰子的机会来拯救该关键连接。_x000a__x000a_·关键连接可以帮助调查员恢复san值，但是如果失去关键连接则会进行一个1/1D6的SC。_x000a__x000a_·如果选择使用关键连接，会在SC的时候增加一个奖励骰，除了恢复1D6san还可以从不定性疯狂中恢复；但如果sc失败就会失去这个连接。_x000a__x000a_·关键连接仅能在幕间成长时由玩家更改、替换。" sqref="AR60:AS60" xr:uid="{00000000-0002-0000-0000-00005A000000}"/>
    <dataValidation allowBlank="1" showInputMessage="1" showErrorMessage="1" promptTitle="Sleight of Hand (10%)" prompt="- 使技能使用者能够利用杂物、布、其他遮蔽物或是使人产生错觉的道具如使用暗板或隔层来对某件或某些物体进行视觉上的遮挡、藏匿或掩盖。_x000a_- 任何种类的巨大物件应当增加藏匿的难度。_x000a_- 妙手包括偷窃，卡牌魔术，以及秘密使用手机。" sqref="AB34:AE34" xr:uid="{00000000-0002-0000-0000-00005B000000}"/>
    <dataValidation type="date" allowBlank="1" showInputMessage="1" showErrorMessage="1" sqref="J8:K8" xr:uid="{C2EED7CC-D6BD-445B-84A6-A27BEBA7324C}">
      <formula1>1</formula1>
      <formula2>12</formula2>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606F2A52-290D-48DB-80C7-B6C59884D401}">
          <x14:formula1>
            <xm:f>'武器列表 战斗'!$B$2:$B$105</xm:f>
          </x14:formula1>
          <xm:sqref>G54:L58</xm:sqref>
        </x14:dataValidation>
        <x14:dataValidation type="list" allowBlank="1" showInputMessage="1" showErrorMessage="1" xr:uid="{3222DF2D-982E-428E-A544-C0923B378594}">
          <x14:formula1>
            <xm:f>附表!$X$25:$X$92</xm:f>
          </x14:formula1>
          <xm:sqref>BA18:BR22</xm:sqref>
        </x14:dataValidation>
        <x14:dataValidation type="list" allowBlank="1" showInputMessage="1" showErrorMessage="1" xr:uid="{BDCB6183-FA0F-4D0B-8170-D41F257F33E6}">
          <x14:formula1>
            <xm:f>'防具表 载具表'!$B$2:$B$82</xm:f>
          </x14:formula1>
          <xm:sqref>AN10:AO11</xm:sqref>
        </x14:dataValidation>
        <x14:dataValidation type="list" allowBlank="1" showInputMessage="1" showErrorMessage="1" xr:uid="{E12FC4F8-443D-41C6-B4FC-1397C956E0B1}">
          <x14:formula1>
            <xm:f>附表!$B$20:$B$34</xm:f>
          </x14:formula1>
          <xm:sqref>F113:I116</xm:sqref>
        </x14:dataValidation>
        <x14:dataValidation type="list" allowBlank="1" showInputMessage="1" showErrorMessage="1" xr:uid="{30A1128E-45FF-4E8D-9300-0E92CB86002F}">
          <x14:formula1>
            <xm:f>职业列表!$A$3:$A$232</xm:f>
          </x14:formula1>
          <xm:sqref>M5:Q5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O91"/>
  <sheetViews>
    <sheetView showGridLines="0" topLeftCell="A61" workbookViewId="0">
      <selection activeCell="R22" sqref="R22"/>
    </sheetView>
  </sheetViews>
  <sheetFormatPr defaultColWidth="5.6640625" defaultRowHeight="15"/>
  <cols>
    <col min="1" max="19" width="5.6640625" style="364" customWidth="1"/>
    <col min="20" max="20" width="59.88671875" style="364" customWidth="1"/>
    <col min="21" max="22" width="5.6640625" style="364" customWidth="1"/>
    <col min="23" max="16384" width="5.6640625" style="364"/>
  </cols>
  <sheetData>
    <row r="2" spans="2:31" ht="16.95" customHeight="1">
      <c r="B2" s="1431" t="str">
        <f>人物卡!E3&amp;"，"&amp;人物卡!M6&amp;"，"&amp;人物卡!E6&amp;"岁"&amp;"，"&amp;人物卡!E5&amp;"，"&amp;人物卡!M4&amp;"，"&amp;"现居："&amp;人物卡!E7&amp;"，"&amp;人物卡!M7&amp;"人"</f>
        <v>，，岁，，1920s，现居：，人</v>
      </c>
      <c r="C2" s="1088"/>
      <c r="D2" s="1088"/>
      <c r="E2" s="1088"/>
      <c r="F2" s="1088"/>
      <c r="G2" s="1088"/>
      <c r="H2" s="1088"/>
      <c r="I2" s="1088"/>
      <c r="J2" s="1088"/>
      <c r="K2" s="1088"/>
      <c r="L2" s="1088"/>
      <c r="M2" s="1089"/>
      <c r="N2" s="1431" t="s">
        <v>311</v>
      </c>
      <c r="O2" s="1088"/>
      <c r="P2" s="1088"/>
      <c r="Q2" s="1088"/>
      <c r="R2" s="1088"/>
      <c r="S2" s="1088"/>
      <c r="T2" s="1088"/>
      <c r="U2" s="1088"/>
      <c r="V2" s="1088"/>
      <c r="W2" s="1088"/>
      <c r="X2" s="1088"/>
      <c r="Y2" s="1089"/>
      <c r="Z2" s="1420" t="s">
        <v>312</v>
      </c>
      <c r="AA2" s="1023"/>
      <c r="AB2" s="1023"/>
      <c r="AC2" s="1023"/>
      <c r="AD2" s="1023"/>
      <c r="AE2" s="1167"/>
    </row>
    <row r="3" spans="2:31" ht="16.95" customHeight="1">
      <c r="B3" s="1501" t="s">
        <v>313</v>
      </c>
      <c r="C3" s="1404" t="n">
        <f>STR</f>
        <v>0</v>
      </c>
      <c r="D3" s="569" t="n">
        <f>INT(C3/2)</f>
        <v>0</v>
      </c>
      <c r="E3" s="1412" t="s">
        <v>314</v>
      </c>
      <c r="F3" s="1366" t="n">
        <f>DEX</f>
        <v>0</v>
      </c>
      <c r="G3" s="570" t="n">
        <f>INT(F3/2)</f>
        <v>0</v>
      </c>
      <c r="H3" s="1471" t="s">
        <v>315</v>
      </c>
      <c r="I3" s="1404" t="n">
        <f>POW</f>
        <v>0</v>
      </c>
      <c r="J3" s="569" t="n">
        <f>INT(I3/2)</f>
        <v>0</v>
      </c>
      <c r="K3" s="1412" t="s">
        <v>316</v>
      </c>
      <c r="L3" s="1366" t="n">
        <f>INT</f>
        <v>0</v>
      </c>
      <c r="M3" s="581" t="n">
        <f>INT(L3/2)</f>
        <v>0</v>
      </c>
      <c r="N3" s="1373" t="str">
        <f>IF(Q3=0,"",人物卡!F16)</f>
        <v/>
      </c>
      <c r="O3" s="1365"/>
      <c r="P3" s="1365"/>
      <c r="Q3" s="591" t="n">
        <f>IF(人物卡!R16-人物卡!J16=0,0,人物卡!R16)</f>
        <v>0</v>
      </c>
      <c r="R3" s="592" t="n">
        <f>INT(Q3/2)</f>
        <v>0</v>
      </c>
      <c r="S3" s="593" t="n">
        <f>INT(Q3/5)</f>
        <v>0</v>
      </c>
      <c r="T3" s="1366" t="str">
        <f>IF(W3=0,"",人物卡!AB16)</f>
        <v/>
      </c>
      <c r="U3" s="1365"/>
      <c r="V3" s="1365"/>
      <c r="W3" s="594" t="n">
        <f>IF(人物卡!AN16-人物卡!AF16=0,0,人物卡!AN16)</f>
        <v>0</v>
      </c>
      <c r="X3" s="595" t="n">
        <f>INT(W3/2)</f>
        <v>0</v>
      </c>
      <c r="Y3" s="605" t="n">
        <f>INT(W3/5)</f>
        <v>0</v>
      </c>
      <c r="Z3" s="1464" t="str">
        <f>人物卡!E8</f>
        <v>公元</v>
      </c>
      <c r="AA3" s="1468" t="n">
        <f>人物卡!G8</f>
        <v>2026</v>
      </c>
      <c r="AB3" s="1365"/>
      <c r="AC3" s="606" t="str">
        <f>人物卡!J8</f>
        <v>1月</v>
      </c>
      <c r="AD3" s="1489" t="str">
        <f>人物卡!N8</f>
        <v>0：00</v>
      </c>
      <c r="AE3" s="1013"/>
    </row>
    <row r="4" spans="2:31" ht="16.95" customHeight="1">
      <c r="B4" s="1034"/>
      <c r="C4" s="1365"/>
      <c r="D4" s="571" t="n">
        <f>INT(C3/5)</f>
        <v>0</v>
      </c>
      <c r="E4" s="1365"/>
      <c r="F4" s="1365"/>
      <c r="G4" s="571" t="n">
        <f>INT(F3/5)</f>
        <v>0</v>
      </c>
      <c r="H4" s="1365"/>
      <c r="I4" s="1365"/>
      <c r="J4" s="571" t="n">
        <f>INT(I3/5)</f>
        <v>0</v>
      </c>
      <c r="K4" s="1365"/>
      <c r="L4" s="1365"/>
      <c r="M4" s="582" t="n">
        <f>INT(L3/5)</f>
        <v>0</v>
      </c>
      <c r="N4" s="1373" t="str">
        <f>IF(Q4=0,"",人物卡!F17)</f>
        <v/>
      </c>
      <c r="O4" s="1365"/>
      <c r="P4" s="1365"/>
      <c r="Q4" s="591" t="n">
        <f>IF(人物卡!R17-人物卡!J17=0,0,人物卡!R17)</f>
        <v>0</v>
      </c>
      <c r="R4" s="592" t="n">
        <f>INT(Q4/2)</f>
        <v>0</v>
      </c>
      <c r="S4" s="593" t="n">
        <f>INT(Q4/5)</f>
        <v>0</v>
      </c>
      <c r="T4" s="1366" t="str">
        <f>IF(W4=0,"",人物卡!AB17)</f>
        <v/>
      </c>
      <c r="U4" s="1365"/>
      <c r="V4" s="1365"/>
      <c r="W4" s="594" t="n">
        <f>IF(人物卡!AN17-人物卡!AF17=0,0,人物卡!AN17)</f>
        <v>0</v>
      </c>
      <c r="X4" s="595" t="n">
        <f>INT(W4/2)</f>
        <v>0</v>
      </c>
      <c r="Y4" s="605" t="n">
        <f>INT(W4/5)</f>
        <v>0</v>
      </c>
      <c r="Z4" s="1090"/>
      <c r="AA4" s="1019"/>
      <c r="AB4" s="1019"/>
      <c r="AC4" s="608" t="str">
        <f>人物卡!L8</f>
        <v>1日</v>
      </c>
      <c r="AD4" s="1026"/>
      <c r="AE4" s="1027"/>
    </row>
    <row r="5" spans="2:31" ht="16.95" customHeight="1">
      <c r="B5" s="1367" t="s">
        <v>317</v>
      </c>
      <c r="C5" s="1386" t="n">
        <f>CON</f>
        <v>0</v>
      </c>
      <c r="D5" s="570" t="n">
        <f>INT(C5/2)</f>
        <v>0</v>
      </c>
      <c r="E5" s="1416" t="s">
        <v>318</v>
      </c>
      <c r="F5" s="1433" t="n">
        <f>APP</f>
        <v>0</v>
      </c>
      <c r="G5" s="569" t="n">
        <f>INT(F5/2)</f>
        <v>0</v>
      </c>
      <c r="H5" s="1475" t="s">
        <v>319</v>
      </c>
      <c r="I5" s="1386" t="n">
        <f>EDU</f>
        <v>0</v>
      </c>
      <c r="J5" s="570" t="n">
        <f>INT(I5/2)</f>
        <v>0</v>
      </c>
      <c r="K5" s="1416" t="s">
        <v>320</v>
      </c>
      <c r="L5" s="1433" t="n">
        <f>SIZ</f>
        <v>0</v>
      </c>
      <c r="M5" s="583" t="n">
        <f>INT(L5/2)</f>
        <v>0</v>
      </c>
      <c r="N5" s="1373" t="str">
        <f>IF(Q5=0,"",人物卡!F18)</f>
        <v/>
      </c>
      <c r="O5" s="1365"/>
      <c r="P5" s="1365"/>
      <c r="Q5" s="591" t="n">
        <f>IF(人物卡!R18-人物卡!J18=0,0,人物卡!R18)</f>
        <v>0</v>
      </c>
      <c r="R5" s="592" t="n">
        <f>INT(Q5/2)</f>
        <v>0</v>
      </c>
      <c r="S5" s="593" t="n">
        <f>INT(Q5/5)</f>
        <v>0</v>
      </c>
      <c r="T5" s="1366" t="str">
        <f>IF(W5=0,"",人物卡!AB18)</f>
        <v/>
      </c>
      <c r="U5" s="1365"/>
      <c r="V5" s="1365"/>
      <c r="W5" s="594" t="n">
        <f>IF(人物卡!AN18-人物卡!AF18=0,0,人物卡!AN18)</f>
        <v>0</v>
      </c>
      <c r="X5" s="595" t="n">
        <f>INT(W5/2)</f>
        <v>0</v>
      </c>
      <c r="Y5" s="605" t="n">
        <f>INT(W5/5)</f>
        <v>0</v>
      </c>
      <c r="Z5" s="1443" t="s">
        <v>264</v>
      </c>
      <c r="AA5" s="1088"/>
      <c r="AB5" s="1088"/>
      <c r="AC5" s="1088"/>
      <c r="AD5" s="1088"/>
      <c r="AE5" s="1089"/>
    </row>
    <row r="6" spans="2:31" ht="16.95" customHeight="1">
      <c r="B6" s="1090"/>
      <c r="C6" s="1019"/>
      <c r="D6" s="572" t="n">
        <f>INT(C5/5)</f>
        <v>0</v>
      </c>
      <c r="E6" s="1019"/>
      <c r="F6" s="1019"/>
      <c r="G6" s="572" t="n">
        <f>INT(F5/5)</f>
        <v>0</v>
      </c>
      <c r="H6" s="1019"/>
      <c r="I6" s="1019"/>
      <c r="J6" s="572" t="n">
        <f>INT(I5/5)</f>
        <v>0</v>
      </c>
      <c r="K6" s="1019"/>
      <c r="L6" s="1019"/>
      <c r="M6" s="584" t="n">
        <f>INT(L5/5)</f>
        <v>0</v>
      </c>
      <c r="N6" s="1373" t="str">
        <f>IF(Q6=0,"",人物卡!F19)</f>
        <v/>
      </c>
      <c r="O6" s="1365"/>
      <c r="P6" s="1365"/>
      <c r="Q6" s="591" t="n">
        <f>IF(人物卡!R19-人物卡!J19=0,0,人物卡!R19)</f>
        <v>0</v>
      </c>
      <c r="R6" s="592" t="n">
        <f>INT(Q6/2)</f>
        <v>0</v>
      </c>
      <c r="S6" s="593" t="n">
        <f>INT(Q6/5)</f>
        <v>0</v>
      </c>
      <c r="T6" s="1366" t="str">
        <f>IF(W6=0,"",人物卡!AB19)</f>
        <v/>
      </c>
      <c r="U6" s="1365"/>
      <c r="V6" s="1365"/>
      <c r="W6" s="594" t="n">
        <f>IF(人物卡!AN19-人物卡!AF19=0,0,人物卡!AN19)</f>
        <v>0</v>
      </c>
      <c r="X6" s="595" t="n">
        <f>INT(W6/2)</f>
        <v>0</v>
      </c>
      <c r="Y6" s="605" t="n">
        <f>INT(W6/5)</f>
        <v>0</v>
      </c>
      <c r="Z6" s="1487" t="s">
        <v>7</v>
      </c>
      <c r="AA6" s="1365"/>
      <c r="AB6" s="1423" t="s">
        <v>268</v>
      </c>
      <c r="AC6" s="1365"/>
      <c r="AD6" s="1365"/>
      <c r="AE6" s="1015"/>
    </row>
    <row r="7" spans="2:31" ht="16.95" customHeight="1">
      <c r="B7" s="1413" t="s">
        <v>321</v>
      </c>
      <c r="C7" s="1472" t="n">
        <f>人物卡!E10</f>
        <v>0</v>
      </c>
      <c r="D7" s="1374" t="n">
        <f>人物卡!G10</f>
        <v>0</v>
      </c>
      <c r="E7" s="1473" t="s">
        <v>322</v>
      </c>
      <c r="F7" s="1488" t="n">
        <f>人物卡!N10</f>
        <v>0</v>
      </c>
      <c r="G7" s="1500" t="n">
        <f>人物卡!P10</f>
        <v>0</v>
      </c>
      <c r="H7" s="1372" t="s">
        <v>323</v>
      </c>
      <c r="I7" s="1472" t="n">
        <f>人物卡!W10</f>
        <v>0</v>
      </c>
      <c r="J7" s="1374" t="n">
        <f>MP</f>
        <v>0</v>
      </c>
      <c r="K7" s="1426" t="s">
        <v>324</v>
      </c>
      <c r="L7" s="1491" t="str">
        <f>人物卡!AN10</f>
        <v>无</v>
      </c>
      <c r="M7" s="1089"/>
      <c r="N7" s="585" t="n">
        <f>IF(Q7=0,0,"技艺：")</f>
        <v>0</v>
      </c>
      <c r="O7" s="1404" t="str">
        <f>IF(N7=0,"",人物卡!H20)</f>
        <v/>
      </c>
      <c r="P7" s="1365"/>
      <c r="Q7" s="591" t="n">
        <f>IF(人物卡!R20-人物卡!J20=0,0,人物卡!R20)</f>
        <v>0</v>
      </c>
      <c r="R7" s="592" t="n">
        <f>INT(Q7/2)</f>
        <v>0</v>
      </c>
      <c r="S7" s="593" t="n">
        <f>INT(Q7/5)</f>
        <v>0</v>
      </c>
      <c r="T7" s="1366" t="str">
        <f>IF(W7=0,"",人物卡!AB20)</f>
        <v/>
      </c>
      <c r="U7" s="1365"/>
      <c r="V7" s="1365"/>
      <c r="W7" s="594" t="n">
        <f>IF(人物卡!AN20-人物卡!AF20=0,0,人物卡!AN20)</f>
        <v>0</v>
      </c>
      <c r="X7" s="595" t="n">
        <f>INT(W7/2)</f>
        <v>0</v>
      </c>
      <c r="Y7" s="605" t="n">
        <f>INT(W7/5)</f>
        <v>0</v>
      </c>
      <c r="Z7" s="1427" t="str">
        <f>人物卡!W130</f>
        <v>例：丛雨</v>
      </c>
      <c r="AA7" s="1365"/>
      <c r="AB7" s="1439" t="str">
        <f>人物卡!AD130</f>
        <v>一起出生入死的医生小姐</v>
      </c>
      <c r="AC7" s="1365"/>
      <c r="AD7" s="1365"/>
      <c r="AE7" s="1015"/>
    </row>
    <row r="8" spans="2:31" ht="16.95" customHeight="1">
      <c r="B8" s="1034"/>
      <c r="C8" s="1365"/>
      <c r="D8" s="1365"/>
      <c r="E8" s="1365"/>
      <c r="F8" s="1365"/>
      <c r="G8" s="1365"/>
      <c r="H8" s="1365"/>
      <c r="I8" s="1365"/>
      <c r="J8" s="1365"/>
      <c r="K8" s="1365"/>
      <c r="L8" s="1365"/>
      <c r="M8" s="1015"/>
      <c r="N8" s="585" t="n">
        <f>IF(Q8=0,0,"技艺：")</f>
        <v>0</v>
      </c>
      <c r="O8" s="1404" t="str">
        <f>IF(N8=0,"",人物卡!H21)</f>
        <v/>
      </c>
      <c r="P8" s="1365"/>
      <c r="Q8" s="591" t="n">
        <f>IF(人物卡!R21-人物卡!J21=0,0,人物卡!R21)</f>
        <v>0</v>
      </c>
      <c r="R8" s="592" t="n">
        <f>INT(Q8/2)</f>
        <v>0</v>
      </c>
      <c r="S8" s="593" t="n">
        <f>INT(Q8/5)</f>
        <v>0</v>
      </c>
      <c r="T8" s="1366" t="str">
        <f>IF(W8=0,"",人物卡!AB21)</f>
        <v/>
      </c>
      <c r="U8" s="1365"/>
      <c r="V8" s="1365"/>
      <c r="W8" s="594" t="n">
        <f>IF(人物卡!AN21-人物卡!AF21=0,0,人物卡!AN21)</f>
        <v>0</v>
      </c>
      <c r="X8" s="595" t="n">
        <f>INT(W8/2)</f>
        <v>0</v>
      </c>
      <c r="Y8" s="605" t="n">
        <f>INT(W8/5)</f>
        <v>0</v>
      </c>
      <c r="Z8" s="1427" t="n">
        <f>人物卡!W131</f>
        <v>0</v>
      </c>
      <c r="AA8" s="1365"/>
      <c r="AB8" s="1439" t="n">
        <f>人物卡!AD131</f>
        <v>0</v>
      </c>
      <c r="AC8" s="1365"/>
      <c r="AD8" s="1365"/>
      <c r="AE8" s="1015"/>
    </row>
    <row r="9" spans="2:31" ht="16.95" customHeight="1">
      <c r="B9" s="1470" t="s">
        <v>325</v>
      </c>
      <c r="C9" s="1415" t="str">
        <f>人物卡!AP52</f>
        <v>0</v>
      </c>
      <c r="D9" s="1365"/>
      <c r="E9" s="1416" t="s">
        <v>326</v>
      </c>
      <c r="F9" s="1416" t="str">
        <f>人物卡!AP55</f>
        <v>0</v>
      </c>
      <c r="G9" s="1365"/>
      <c r="H9" s="1415" t="s">
        <v>327</v>
      </c>
      <c r="I9" s="1415" t="n">
        <f>Luck</f>
        <v>0</v>
      </c>
      <c r="J9" s="1365"/>
      <c r="K9" s="1416" t="s">
        <v>328</v>
      </c>
      <c r="L9" s="1496" t="n">
        <f>人物卡!AF10</f>
        <v>8</v>
      </c>
      <c r="M9" s="1015"/>
      <c r="N9" s="585" t="n">
        <f>IF(Q9=0,0,"技艺：")</f>
        <v>0</v>
      </c>
      <c r="O9" s="1404" t="str">
        <f>IF(N9=0,"",人物卡!H22)</f>
        <v/>
      </c>
      <c r="P9" s="1365"/>
      <c r="Q9" s="591" t="n">
        <f>IF(人物卡!R22-人物卡!J22=0,0,人物卡!R22)</f>
        <v>0</v>
      </c>
      <c r="R9" s="592" t="n">
        <f>INT(Q9/2)</f>
        <v>0</v>
      </c>
      <c r="S9" s="593" t="n">
        <f>INT(Q9/5)</f>
        <v>0</v>
      </c>
      <c r="T9" s="1366" t="str">
        <f>IF(W9=0,"",人物卡!AB22)</f>
        <v/>
      </c>
      <c r="U9" s="1365"/>
      <c r="V9" s="1365"/>
      <c r="W9" s="594" t="n">
        <f>IF(人物卡!AN22-人物卡!AF22=0,0,人物卡!AN22)</f>
        <v>0</v>
      </c>
      <c r="X9" s="595" t="n">
        <f>INT(W9/2)</f>
        <v>0</v>
      </c>
      <c r="Y9" s="605" t="n">
        <f>INT(W9/5)</f>
        <v>0</v>
      </c>
      <c r="Z9" s="1427" t="n">
        <f>人物卡!W132</f>
        <v>0</v>
      </c>
      <c r="AA9" s="1365"/>
      <c r="AB9" s="1439" t="n">
        <f>人物卡!AD132</f>
        <v>0</v>
      </c>
      <c r="AC9" s="1365"/>
      <c r="AD9" s="1365"/>
      <c r="AE9" s="1015"/>
    </row>
    <row r="10" spans="2:31" ht="16.95" customHeight="1">
      <c r="B10" s="1090"/>
      <c r="C10" s="1019"/>
      <c r="D10" s="1019"/>
      <c r="E10" s="1019"/>
      <c r="F10" s="1019"/>
      <c r="G10" s="1019"/>
      <c r="H10" s="1019"/>
      <c r="I10" s="1019"/>
      <c r="J10" s="1019"/>
      <c r="K10" s="1019"/>
      <c r="L10" s="1019"/>
      <c r="M10" s="1091"/>
      <c r="N10" s="1373" t="str">
        <f>IF(Q10=0,"",人物卡!F23)</f>
        <v/>
      </c>
      <c r="O10" s="1365"/>
      <c r="P10" s="1365"/>
      <c r="Q10" s="591" t="n">
        <f>IF(人物卡!R23-人物卡!J23=0,0,人物卡!R23)</f>
        <v>0</v>
      </c>
      <c r="R10" s="592" t="n">
        <f>INT(Q10/2)</f>
        <v>0</v>
      </c>
      <c r="S10" s="593" t="n">
        <f>INT(Q10/5)</f>
        <v>0</v>
      </c>
      <c r="T10" s="1366" t="str">
        <f>IF(W10=0,"",人物卡!AB23)</f>
        <v/>
      </c>
      <c r="U10" s="1365"/>
      <c r="V10" s="1365"/>
      <c r="W10" s="594" t="n">
        <f>IF(人物卡!AN23-人物卡!AF23=0,0,人物卡!AN23)</f>
        <v>0</v>
      </c>
      <c r="X10" s="595" t="n">
        <f>INT(W10/2)</f>
        <v>0</v>
      </c>
      <c r="Y10" s="605" t="n">
        <f>INT(W10/5)</f>
        <v>0</v>
      </c>
      <c r="Z10" s="1427" t="n">
        <f>人物卡!W133</f>
        <v>0</v>
      </c>
      <c r="AA10" s="1365"/>
      <c r="AB10" s="1439" t="n">
        <f>人物卡!AD133</f>
        <v>0</v>
      </c>
      <c r="AC10" s="1365"/>
      <c r="AD10" s="1365"/>
      <c r="AE10" s="1015"/>
    </row>
    <row r="11" spans="2:31" ht="16.95" customHeight="1">
      <c r="B11" s="1431" t="s">
        <v>159</v>
      </c>
      <c r="C11" s="1088"/>
      <c r="D11" s="1088"/>
      <c r="E11" s="1088"/>
      <c r="F11" s="1088"/>
      <c r="G11" s="1088"/>
      <c r="H11" s="1088"/>
      <c r="I11" s="1088"/>
      <c r="J11" s="1088"/>
      <c r="K11" s="1088"/>
      <c r="L11" s="1088"/>
      <c r="M11" s="1089"/>
      <c r="N11" s="1373" t="str">
        <f>IF(Q11=0,"",人物卡!F24)</f>
        <v/>
      </c>
      <c r="O11" s="1365"/>
      <c r="P11" s="1365"/>
      <c r="Q11" s="591" t="n">
        <f>IF(人物卡!R24-人物卡!J24=0,0,人物卡!R24)</f>
        <v>0</v>
      </c>
      <c r="R11" s="592" t="n">
        <f>INT(Q11/2)</f>
        <v>0</v>
      </c>
      <c r="S11" s="593" t="n">
        <f>INT(Q11/5)</f>
        <v>0</v>
      </c>
      <c r="T11" s="1366" t="str">
        <f>IF(W11=0,"",人物卡!AB24)</f>
        <v/>
      </c>
      <c r="U11" s="1365"/>
      <c r="V11" s="1365"/>
      <c r="W11" s="594" t="n">
        <f>IF(人物卡!AN24-人物卡!AF24=0,0,人物卡!AN24)</f>
        <v>0</v>
      </c>
      <c r="X11" s="595" t="n">
        <f>INT(W11/2)</f>
        <v>0</v>
      </c>
      <c r="Y11" s="605" t="n">
        <f>INT(W11/5)</f>
        <v>0</v>
      </c>
      <c r="Z11" s="1427" t="n">
        <f>人物卡!W134</f>
        <v>0</v>
      </c>
      <c r="AA11" s="1365"/>
      <c r="AB11" s="1439" t="n">
        <f>人物卡!AD134</f>
        <v>0</v>
      </c>
      <c r="AC11" s="1365"/>
      <c r="AD11" s="1365"/>
      <c r="AE11" s="1015"/>
    </row>
    <row r="12" spans="2:31" ht="16.95" customHeight="1">
      <c r="B12" s="573" t="str">
        <f>人物卡!B53</f>
        <v>无</v>
      </c>
      <c r="C12" s="574" t="str">
        <f>人物卡!G53</f>
        <v>肉搏</v>
      </c>
      <c r="D12" s="574" t="str">
        <f>人物卡!M53</f>
        <v>斗殴</v>
      </c>
      <c r="E12" s="574" t="n">
        <f>人物卡!Q53</f>
        <v>25</v>
      </c>
      <c r="F12" s="574" t="n">
        <f>人物卡!S53</f>
        <v>12</v>
      </c>
      <c r="G12" s="574" t="n">
        <f>人物卡!U53</f>
        <v>5</v>
      </c>
      <c r="H12" s="574" t="str">
        <f>人物卡!W53</f>
        <v>1D3+DB</v>
      </c>
      <c r="I12" s="574" t="str">
        <f>人物卡!AA53</f>
        <v>——</v>
      </c>
      <c r="J12" s="574" t="str">
        <f>人物卡!AC53</f>
        <v>×</v>
      </c>
      <c r="K12" s="574" t="n">
        <f>人物卡!AE53</f>
        <v>1</v>
      </c>
      <c r="L12" s="574" t="str">
        <f>人物卡!AG53</f>
        <v>——</v>
      </c>
      <c r="M12" s="586" t="str">
        <f>人物卡!AJ53</f>
        <v>——</v>
      </c>
      <c r="N12" s="1373" t="str">
        <f>IF(Q12=0,"",人物卡!F25)</f>
        <v/>
      </c>
      <c r="O12" s="1365"/>
      <c r="P12" s="1365"/>
      <c r="Q12" s="591" t="n">
        <f>IF(人物卡!R25-人物卡!J25=0,0,人物卡!R25)</f>
        <v>0</v>
      </c>
      <c r="R12" s="592" t="n">
        <f>INT(Q12/2)</f>
        <v>0</v>
      </c>
      <c r="S12" s="593" t="n">
        <f>INT(Q12/5)</f>
        <v>0</v>
      </c>
      <c r="T12" s="1366" t="str">
        <f>IF(W12=0,"",人物卡!AB25)</f>
        <v/>
      </c>
      <c r="U12" s="1365"/>
      <c r="V12" s="1365"/>
      <c r="W12" s="594" t="n">
        <f>IF(人物卡!AN25-人物卡!AF25=0,0,人物卡!AN25)</f>
        <v>0</v>
      </c>
      <c r="X12" s="595" t="n">
        <f>INT(W12/2)</f>
        <v>0</v>
      </c>
      <c r="Y12" s="605" t="n">
        <f>INT(W12/5)</f>
        <v>0</v>
      </c>
      <c r="Z12" s="1427" t="n">
        <f>人物卡!W135</f>
        <v>0</v>
      </c>
      <c r="AA12" s="1365"/>
      <c r="AB12" s="1439" t="n">
        <f>人物卡!AD135</f>
        <v>0</v>
      </c>
      <c r="AC12" s="1365"/>
      <c r="AD12" s="1365"/>
      <c r="AE12" s="1015"/>
    </row>
    <row r="13" spans="2:31" ht="16.95" customHeight="1">
      <c r="B13" s="575" t="n">
        <f>人物卡!B54</f>
        <v>0</v>
      </c>
      <c r="C13" s="576" t="n">
        <f>人物卡!G54</f>
        <v>0</v>
      </c>
      <c r="D13" s="576" t="str">
        <f>IF(人物卡!M54="请选择类型","",人物卡!M54)</f>
        <v>←请选择类型</v>
      </c>
      <c r="E13" s="576" t="str">
        <f>人物卡!Q54</f>
        <v/>
      </c>
      <c r="F13" s="576" t="str">
        <f>人物卡!S54</f>
        <v/>
      </c>
      <c r="G13" s="576" t="str">
        <f>人物卡!U54</f>
        <v/>
      </c>
      <c r="H13" s="576" t="str">
        <f>人物卡!W54</f>
        <v/>
      </c>
      <c r="I13" s="576" t="str">
        <f>人物卡!AA54</f>
        <v/>
      </c>
      <c r="J13" s="576" t="str">
        <f>人物卡!AC54</f>
        <v/>
      </c>
      <c r="K13" s="576" t="str">
        <f>人物卡!AE54</f>
        <v/>
      </c>
      <c r="L13" s="576" t="str">
        <f>人物卡!AG54</f>
        <v/>
      </c>
      <c r="M13" s="587" t="str">
        <f>人物卡!AJ54</f>
        <v/>
      </c>
      <c r="N13" s="1373" t="str">
        <f>人物卡!F26</f>
        <v>信用评级</v>
      </c>
      <c r="O13" s="1365"/>
      <c r="P13" s="1365"/>
      <c r="Q13" s="596" t="n">
        <f>人物卡!R26</f>
        <v>0</v>
      </c>
      <c r="R13" s="597" t="n">
        <f>IF(Q13=0,32767,INT(Q13/2))</f>
        <v>32767</v>
      </c>
      <c r="S13" s="598" t="n">
        <f>IF(Q13=0,32767,INT(Q13/5))</f>
        <v>32767</v>
      </c>
      <c r="T13" s="1366" t="str">
        <f>IF(W13=0,"",人物卡!AB26)</f>
        <v/>
      </c>
      <c r="U13" s="1365"/>
      <c r="V13" s="1365"/>
      <c r="W13" s="594" t="n">
        <f>IF(人物卡!AN26-人物卡!AF26=0,0,人物卡!AN26)</f>
        <v>0</v>
      </c>
      <c r="X13" s="595" t="n">
        <f>INT(W13/2)</f>
        <v>0</v>
      </c>
      <c r="Y13" s="605" t="n">
        <f>INT(W13/5)</f>
        <v>0</v>
      </c>
      <c r="Z13" s="1427" t="n">
        <f>人物卡!W136</f>
        <v>0</v>
      </c>
      <c r="AA13" s="1365"/>
      <c r="AB13" s="1439" t="n">
        <f>人物卡!AD136</f>
        <v>0</v>
      </c>
      <c r="AC13" s="1365"/>
      <c r="AD13" s="1365"/>
      <c r="AE13" s="1015"/>
    </row>
    <row r="14" spans="2:31" ht="16.95" customHeight="1">
      <c r="B14" s="577" t="n">
        <f>人物卡!B55</f>
        <v>0</v>
      </c>
      <c r="C14" s="578" t="n">
        <f>人物卡!G55</f>
        <v>0</v>
      </c>
      <c r="D14" s="578" t="str">
        <f>IF(人物卡!M55="请选择类型","",人物卡!M55)</f>
        <v/>
      </c>
      <c r="E14" s="578" t="str">
        <f>人物卡!Q55</f>
        <v/>
      </c>
      <c r="F14" s="578" t="str">
        <f>人物卡!S55</f>
        <v/>
      </c>
      <c r="G14" s="578" t="str">
        <f>人物卡!U55</f>
        <v/>
      </c>
      <c r="H14" s="578" t="str">
        <f>人物卡!W55</f>
        <v/>
      </c>
      <c r="I14" s="578" t="str">
        <f>人物卡!AA55</f>
        <v/>
      </c>
      <c r="J14" s="578" t="str">
        <f>人物卡!AC55</f>
        <v/>
      </c>
      <c r="K14" s="578" t="str">
        <f>人物卡!AE55</f>
        <v/>
      </c>
      <c r="L14" s="578" t="str">
        <f>人物卡!AG55</f>
        <v/>
      </c>
      <c r="M14" s="588" t="str">
        <f>人物卡!AJ55</f>
        <v/>
      </c>
      <c r="N14" s="1373" t="str">
        <f>IF(Q14=0,"",人物卡!F27)</f>
        <v/>
      </c>
      <c r="O14" s="1365"/>
      <c r="P14" s="1365"/>
      <c r="Q14" s="591" t="n">
        <f>IF(人物卡!R27-人物卡!J27=0,0,人物卡!R27)</f>
        <v>0</v>
      </c>
      <c r="R14" s="592" t="n">
        <f>INT(Q14/2)</f>
        <v>0</v>
      </c>
      <c r="S14" s="593" t="n">
        <f>INT(Q14/5)</f>
        <v>0</v>
      </c>
      <c r="T14" s="599" t="n">
        <f>IF(W14=0,0,人物卡!AB27)</f>
        <v>0</v>
      </c>
      <c r="U14" s="1366" t="str">
        <f>IF(T14=0,"",人物卡!AD27)</f>
        <v/>
      </c>
      <c r="V14" s="1365"/>
      <c r="W14" s="594" t="n">
        <f>IF(人物卡!AN27-人物卡!AF27=0,0,人物卡!AN27)</f>
        <v>0</v>
      </c>
      <c r="X14" s="595" t="n">
        <f>INT(W14/2)</f>
        <v>0</v>
      </c>
      <c r="Y14" s="605" t="n">
        <f>INT(W14/5)</f>
        <v>0</v>
      </c>
      <c r="Z14" s="1427" t="n">
        <f>人物卡!W137</f>
        <v>0</v>
      </c>
      <c r="AA14" s="1365"/>
      <c r="AB14" s="1439" t="n">
        <f>人物卡!AD137</f>
        <v>0</v>
      </c>
      <c r="AC14" s="1365"/>
      <c r="AD14" s="1365"/>
      <c r="AE14" s="1015"/>
    </row>
    <row r="15" spans="2:31" ht="16.95" customHeight="1">
      <c r="B15" s="575" t="n">
        <f>人物卡!B56</f>
        <v>0</v>
      </c>
      <c r="C15" s="576" t="n">
        <f>人物卡!G56</f>
        <v>0</v>
      </c>
      <c r="D15" s="576" t="str">
        <f>IF(人物卡!M56="请选择类型","",人物卡!M56)</f>
        <v/>
      </c>
      <c r="E15" s="576" t="str">
        <f>人物卡!Q56</f>
        <v/>
      </c>
      <c r="F15" s="576" t="str">
        <f>人物卡!S56</f>
        <v/>
      </c>
      <c r="G15" s="576" t="str">
        <f>人物卡!U56</f>
        <v/>
      </c>
      <c r="H15" s="576" t="str">
        <f>人物卡!W56</f>
        <v/>
      </c>
      <c r="I15" s="576" t="str">
        <f>人物卡!AA56</f>
        <v/>
      </c>
      <c r="J15" s="576" t="str">
        <f>人物卡!AC56</f>
        <v/>
      </c>
      <c r="K15" s="576" t="str">
        <f>人物卡!AE56</f>
        <v/>
      </c>
      <c r="L15" s="576" t="str">
        <f>人物卡!AG56</f>
        <v/>
      </c>
      <c r="M15" s="587" t="str">
        <f>人物卡!AJ56</f>
        <v/>
      </c>
      <c r="N15" s="1373" t="str">
        <f>IF(Q15=0,"",人物卡!F28)</f>
        <v/>
      </c>
      <c r="O15" s="1365"/>
      <c r="P15" s="1365"/>
      <c r="Q15" s="591" t="n">
        <f>IF(人物卡!R28-人物卡!J28=0,0,人物卡!R28)</f>
        <v>0</v>
      </c>
      <c r="R15" s="592" t="n">
        <f>INT(Q15/2)</f>
        <v>0</v>
      </c>
      <c r="S15" s="593" t="n">
        <f>INT(Q15/5)</f>
        <v>0</v>
      </c>
      <c r="T15" s="1366" t="str">
        <f>IF(W15=0,"",人物卡!AB28)</f>
        <v/>
      </c>
      <c r="U15" s="1365"/>
      <c r="V15" s="1365"/>
      <c r="W15" s="594" t="n">
        <f>IF(人物卡!AN28-人物卡!AF28=0,0,人物卡!AN28)</f>
        <v>0</v>
      </c>
      <c r="X15" s="595" t="n">
        <f>INT(W15/2)</f>
        <v>0</v>
      </c>
      <c r="Y15" s="605" t="n">
        <f>INT(W15/5)</f>
        <v>0</v>
      </c>
      <c r="Z15" s="1427" t="n">
        <f>人物卡!W138</f>
        <v>0</v>
      </c>
      <c r="AA15" s="1365"/>
      <c r="AB15" s="1439" t="n">
        <f>人物卡!AD138</f>
        <v>0</v>
      </c>
      <c r="AC15" s="1365"/>
      <c r="AD15" s="1365"/>
      <c r="AE15" s="1015"/>
    </row>
    <row r="16" spans="2:31" ht="16.95" customHeight="1">
      <c r="B16" s="577" t="n">
        <f>人物卡!B57</f>
        <v>0</v>
      </c>
      <c r="C16" s="578" t="n">
        <f>人物卡!G57</f>
        <v>0</v>
      </c>
      <c r="D16" s="578" t="n">
        <f>IF(人物卡!M57="请选择类型","",人物卡!M57)</f>
        <v>0</v>
      </c>
      <c r="E16" s="578" t="n">
        <f>人物卡!Q57</f>
        <v>0</v>
      </c>
      <c r="F16" s="578" t="n">
        <f>人物卡!S57</f>
        <v>0</v>
      </c>
      <c r="G16" s="578" t="n">
        <f>人物卡!U57</f>
        <v>0</v>
      </c>
      <c r="H16" s="578" t="n">
        <f>人物卡!W57</f>
        <v>0</v>
      </c>
      <c r="I16" s="578" t="n">
        <f>人物卡!AA57</f>
        <v>0</v>
      </c>
      <c r="J16" s="578" t="n">
        <f>人物卡!AC57</f>
        <v>0</v>
      </c>
      <c r="K16" s="578" t="n">
        <f>人物卡!AE57</f>
        <v>0</v>
      </c>
      <c r="L16" s="578" t="n">
        <f>人物卡!AG57</f>
        <v>0</v>
      </c>
      <c r="M16" s="588" t="n">
        <f>人物卡!AJ57</f>
        <v>0</v>
      </c>
      <c r="N16" s="1373" t="str">
        <f>人物卡!F29</f>
        <v>闪避</v>
      </c>
      <c r="O16" s="1365"/>
      <c r="P16" s="1365"/>
      <c r="Q16" s="596" t="n">
        <f>人物卡!R29</f>
        <v>0</v>
      </c>
      <c r="R16" s="597" t="n">
        <f>IF(Q16=0,32767,INT(Q16/2))</f>
        <v>32767</v>
      </c>
      <c r="S16" s="598" t="n">
        <f>IF(Q16=0,32767,INT(Q16/5))</f>
        <v>32767</v>
      </c>
      <c r="T16" s="1366" t="str">
        <f>IF(W16=0,"",人物卡!AB29)</f>
        <v/>
      </c>
      <c r="U16" s="1365"/>
      <c r="V16" s="1365"/>
      <c r="W16" s="594" t="n">
        <f>IF(人物卡!AN29-人物卡!AF29=0,0,人物卡!AN29)</f>
        <v>0</v>
      </c>
      <c r="X16" s="595" t="n">
        <f>INT(W16/2)</f>
        <v>0</v>
      </c>
      <c r="Y16" s="605" t="n">
        <f>INT(W16/5)</f>
        <v>0</v>
      </c>
      <c r="Z16" s="1427" t="n">
        <f>人物卡!W139</f>
        <v>0</v>
      </c>
      <c r="AA16" s="1365"/>
      <c r="AB16" s="1439" t="n">
        <f>人物卡!AD139</f>
        <v>0</v>
      </c>
      <c r="AC16" s="1365"/>
      <c r="AD16" s="1365"/>
      <c r="AE16" s="1015"/>
    </row>
    <row r="17" spans="2:31" ht="16.95" customHeight="1">
      <c r="B17" s="1431" t="s">
        <v>178</v>
      </c>
      <c r="C17" s="1088"/>
      <c r="D17" s="1088"/>
      <c r="E17" s="1088"/>
      <c r="F17" s="1088"/>
      <c r="G17" s="1088"/>
      <c r="H17" s="1088"/>
      <c r="I17" s="1088"/>
      <c r="J17" s="1088"/>
      <c r="K17" s="1088"/>
      <c r="L17" s="1088"/>
      <c r="M17" s="1089"/>
      <c r="N17" s="1373" t="str">
        <f>IF(Q17=0,"",人物卡!F30)</f>
        <v/>
      </c>
      <c r="O17" s="1365"/>
      <c r="P17" s="1365"/>
      <c r="Q17" s="591" t="n">
        <f>IF(人物卡!R30-人物卡!J30=0,0,人物卡!R30)</f>
        <v>0</v>
      </c>
      <c r="R17" s="592" t="n">
        <f>INT(Q17/2)</f>
        <v>0</v>
      </c>
      <c r="S17" s="593" t="n">
        <f>INT(Q17/5)</f>
        <v>0</v>
      </c>
      <c r="T17" s="1366" t="str">
        <f>IF(W17=0,"",人物卡!AB30)</f>
        <v/>
      </c>
      <c r="U17" s="1365"/>
      <c r="V17" s="1365"/>
      <c r="W17" s="594" t="n">
        <f>IF(人物卡!AN30-人物卡!AF30=0,0,人物卡!AN30)</f>
        <v>0</v>
      </c>
      <c r="X17" s="595" t="n">
        <f>INT(W17/2)</f>
        <v>0</v>
      </c>
      <c r="Y17" s="605" t="n">
        <f>INT(W17/5)</f>
        <v>0</v>
      </c>
      <c r="Z17" s="1479" t="n">
        <f>人物卡!W140</f>
        <v>0</v>
      </c>
      <c r="AA17" s="1036"/>
      <c r="AB17" s="1430" t="n">
        <f>人物卡!AD140</f>
        <v>0</v>
      </c>
      <c r="AC17" s="1036"/>
      <c r="AD17" s="1036"/>
      <c r="AE17" s="998"/>
    </row>
    <row r="18" spans="2:31" ht="16.95" customHeight="1">
      <c r="B18" s="1478" t="s">
        <v>94</v>
      </c>
      <c r="C18" s="1365"/>
      <c r="D18" s="1365"/>
      <c r="E18" s="1403" t="s">
        <v>181</v>
      </c>
      <c r="F18" s="1365"/>
      <c r="G18" s="1403" t="s">
        <v>182</v>
      </c>
      <c r="H18" s="1365"/>
      <c r="I18" s="1403" t="s">
        <v>183</v>
      </c>
      <c r="J18" s="1365"/>
      <c r="K18" s="1403" t="s">
        <v>184</v>
      </c>
      <c r="L18" s="1365"/>
      <c r="M18" s="589" t="s">
        <v>185</v>
      </c>
      <c r="N18" s="1373" t="str">
        <f>IF(Q18=0,"",人物卡!F31)</f>
        <v/>
      </c>
      <c r="O18" s="1365"/>
      <c r="P18" s="1365"/>
      <c r="Q18" s="591" t="n">
        <f>IF(人物卡!R31-人物卡!J31=0,0,人物卡!R31)</f>
        <v>0</v>
      </c>
      <c r="R18" s="592" t="n">
        <f>INT(Q18/2)</f>
        <v>0</v>
      </c>
      <c r="S18" s="593" t="n">
        <f>INT(Q18/5)</f>
        <v>0</v>
      </c>
      <c r="T18" s="599" t="n">
        <f>IF(W18=0,0,"科学：")</f>
        <v>0</v>
      </c>
      <c r="U18" s="1366" t="str">
        <f>IF(T18=0,"",人物卡!AD31)</f>
        <v/>
      </c>
      <c r="V18" s="1365"/>
      <c r="W18" s="594" t="n">
        <f>IF(人物卡!AN31-人物卡!AF31=0,0,人物卡!AN31)</f>
        <v>0</v>
      </c>
      <c r="X18" s="595" t="n">
        <f>INT(W18/2)</f>
        <v>0</v>
      </c>
      <c r="Y18" s="605" t="n">
        <f>INT(W18/5)</f>
        <v>0</v>
      </c>
      <c r="Z18" s="1370"/>
      <c r="AA18" s="1365"/>
      <c r="AB18" s="1365"/>
      <c r="AC18" s="1365"/>
      <c r="AD18" s="1365"/>
      <c r="AE18" s="1015"/>
    </row>
    <row r="19" spans="2:31" ht="16.95" customHeight="1">
      <c r="B19" s="1452" t="str">
        <f>人物卡!B62</f>
        <v>0%/0%/0%</v>
      </c>
      <c r="C19" s="1365"/>
      <c r="D19" s="1365"/>
      <c r="E19" s="1401" t="str">
        <f>人物卡!F62</f>
        <v>身无分文</v>
      </c>
      <c r="F19" s="1365"/>
      <c r="G19" s="1401" t="n">
        <f>人物卡!I62</f>
        <v>0.5</v>
      </c>
      <c r="H19" s="1365"/>
      <c r="I19" s="1401" t="n">
        <f>人物卡!L62</f>
        <v>0</v>
      </c>
      <c r="J19" s="1365"/>
      <c r="K19" s="1401" t="n">
        <f>人物卡!O62</f>
        <v>0.5</v>
      </c>
      <c r="L19" s="1365"/>
      <c r="M19" s="365" t="str">
        <f>人物卡!S62</f>
        <v>美元（USD）</v>
      </c>
      <c r="N19" s="1373" t="str">
        <f>IF(Q19=0,"",人物卡!F32)</f>
        <v/>
      </c>
      <c r="O19" s="1365"/>
      <c r="P19" s="1365"/>
      <c r="Q19" s="591" t="n">
        <f>IF(人物卡!R32-人物卡!J32=0,0,人物卡!R32)</f>
        <v>0</v>
      </c>
      <c r="R19" s="592" t="n">
        <f>INT(Q19/2)</f>
        <v>0</v>
      </c>
      <c r="S19" s="593" t="n">
        <f>INT(Q19/5)</f>
        <v>0</v>
      </c>
      <c r="T19" s="599" t="n">
        <f>IF(W19=0,0,"科学：")</f>
        <v>0</v>
      </c>
      <c r="U19" s="1366" t="str">
        <f>IF(T19=0,"",人物卡!AD32)</f>
        <v/>
      </c>
      <c r="V19" s="1365"/>
      <c r="W19" s="594" t="n">
        <f>IF(人物卡!AN32-人物卡!AF32=0,0,人物卡!AN32)</f>
        <v>0</v>
      </c>
      <c r="X19" s="595" t="n">
        <f>INT(W19/2)</f>
        <v>0</v>
      </c>
      <c r="Y19" s="605" t="n">
        <f>INT(W19/5)</f>
        <v>0</v>
      </c>
      <c r="Z19" s="1034"/>
      <c r="AA19" s="1365"/>
      <c r="AB19" s="1365"/>
      <c r="AC19" s="1365"/>
      <c r="AD19" s="1365"/>
      <c r="AE19" s="1015"/>
    </row>
    <row r="20" spans="2:31" ht="16.95" customHeight="1">
      <c r="B20" s="1485" t="str">
        <f>人物卡!L63</f>
        <v>请在这里详述你的资产</v>
      </c>
      <c r="C20" s="1019"/>
      <c r="D20" s="1019"/>
      <c r="E20" s="1019"/>
      <c r="F20" s="1019"/>
      <c r="G20" s="1019"/>
      <c r="H20" s="1019"/>
      <c r="I20" s="1019"/>
      <c r="J20" s="1019"/>
      <c r="K20" s="1019"/>
      <c r="L20" s="1019"/>
      <c r="M20" s="1091"/>
      <c r="N20" s="1373" t="str">
        <f>IF(Q20=0,"",人物卡!F33)</f>
        <v/>
      </c>
      <c r="O20" s="1365"/>
      <c r="P20" s="1365"/>
      <c r="Q20" s="591" t="n">
        <f>IF(人物卡!R33-人物卡!J33=0,0,人物卡!R33)</f>
        <v>0</v>
      </c>
      <c r="R20" s="592" t="n">
        <f>INT(Q20/2)</f>
        <v>0</v>
      </c>
      <c r="S20" s="593" t="n">
        <f>INT(Q20/5)</f>
        <v>0</v>
      </c>
      <c r="T20" s="599" t="n">
        <f>IF(W20=0,0,"科学：")</f>
        <v>0</v>
      </c>
      <c r="U20" s="1366" t="str">
        <f>IF(T20=0,"",人物卡!AD33)</f>
        <v/>
      </c>
      <c r="V20" s="1365"/>
      <c r="W20" s="594" t="n">
        <f>IF(人物卡!AN33-人物卡!AF33=0,0,人物卡!AN33)</f>
        <v>0</v>
      </c>
      <c r="X20" s="595" t="n">
        <f>INT(W20/2)</f>
        <v>0</v>
      </c>
      <c r="Y20" s="605" t="n">
        <f>INT(W20/5)</f>
        <v>0</v>
      </c>
      <c r="Z20" s="1090"/>
      <c r="AA20" s="1019"/>
      <c r="AB20" s="1019"/>
      <c r="AC20" s="1019"/>
      <c r="AD20" s="1019"/>
      <c r="AE20" s="1091"/>
    </row>
    <row r="21" spans="2:31" ht="16.95" customHeight="1">
      <c r="B21" s="1431" t="s">
        <v>329</v>
      </c>
      <c r="C21" s="1088"/>
      <c r="D21" s="1088"/>
      <c r="E21" s="1088"/>
      <c r="F21" s="1088"/>
      <c r="G21" s="1088"/>
      <c r="H21" s="1088"/>
      <c r="I21" s="1088"/>
      <c r="J21" s="1088"/>
      <c r="K21" s="1088"/>
      <c r="L21" s="1088"/>
      <c r="M21" s="1089"/>
      <c r="N21" s="585" t="n">
        <f>IF(Q21=0,0,"格斗：")</f>
        <v>0</v>
      </c>
      <c r="O21" s="1404" t="str">
        <f>IF(N21=0,"",人物卡!H34)</f>
        <v/>
      </c>
      <c r="P21" s="1365"/>
      <c r="Q21" s="591" t="n">
        <f>IF(人物卡!R34-人物卡!J34=0,0,人物卡!R34)</f>
        <v>0</v>
      </c>
      <c r="R21" s="592" t="n">
        <f>INT(Q21/2)</f>
        <v>0</v>
      </c>
      <c r="S21" s="593" t="n">
        <f>INT(Q21/5)</f>
        <v>0</v>
      </c>
      <c r="T21" s="1366" t="str">
        <f>IF(W21=0,"",人物卡!AB34)</f>
        <v/>
      </c>
      <c r="U21" s="1365"/>
      <c r="V21" s="1365"/>
      <c r="W21" s="594" t="n">
        <f>IF(人物卡!AN34-人物卡!AF34=0,0,人物卡!AN34)</f>
        <v>0</v>
      </c>
      <c r="X21" s="595" t="n">
        <f>INT(W21/2)</f>
        <v>0</v>
      </c>
      <c r="Y21" s="605" t="n">
        <f>INT(W21/5)</f>
        <v>0</v>
      </c>
      <c r="Z21" s="1443" t="s">
        <v>214</v>
      </c>
      <c r="AA21" s="1088"/>
      <c r="AB21" s="1088"/>
      <c r="AC21" s="1088"/>
      <c r="AD21" s="1088"/>
      <c r="AE21" s="1089"/>
    </row>
    <row r="22" spans="2:31" ht="16.95" customHeight="1">
      <c r="B22" s="1441" t="n">
        <f>人物卡!F79</f>
        <v>0</v>
      </c>
      <c r="C22" s="1365"/>
      <c r="D22" s="1365"/>
      <c r="E22" s="1382" t="n">
        <f>人物卡!F80</f>
        <v>0</v>
      </c>
      <c r="F22" s="1365"/>
      <c r="G22" s="1365"/>
      <c r="H22" s="1382" t="n">
        <f>人物卡!F81</f>
        <v>0</v>
      </c>
      <c r="I22" s="1365"/>
      <c r="J22" s="1365"/>
      <c r="K22" s="1474" t="n">
        <f>人物卡!F82</f>
        <v>0</v>
      </c>
      <c r="L22" s="1365"/>
      <c r="M22" s="1015"/>
      <c r="N22" s="585" t="n">
        <f>IF(Q22=0,0,"格斗：")</f>
        <v>0</v>
      </c>
      <c r="O22" s="1404" t="str">
        <f>IF(N22=0,"",人物卡!H35)</f>
        <v/>
      </c>
      <c r="P22" s="1365"/>
      <c r="Q22" s="591" t="n">
        <f>IF(人物卡!R35-人物卡!J35=0,0,人物卡!R35)</f>
        <v>0</v>
      </c>
      <c r="R22" s="592" t="n">
        <f>INT(Q22/2)</f>
        <v>0</v>
      </c>
      <c r="S22" s="593" t="n">
        <f>INT(Q22/5)</f>
        <v>0</v>
      </c>
      <c r="T22" s="1366" t="str">
        <f>IF(W22=0,"",人物卡!AB35)</f>
        <v/>
      </c>
      <c r="U22" s="1365"/>
      <c r="V22" s="1365"/>
      <c r="W22" s="594" t="n">
        <f>IF(人物卡!AN35-人物卡!AF35=0,0,人物卡!AN35)</f>
        <v>0</v>
      </c>
      <c r="X22" s="595" t="n">
        <f>INT(W22/2)</f>
        <v>0</v>
      </c>
      <c r="Y22" s="605" t="n">
        <f>INT(W22/5)</f>
        <v>0</v>
      </c>
      <c r="Z22" s="1186" t="s">
        <v>220</v>
      </c>
      <c r="AA22" s="1365"/>
      <c r="AB22" s="1365"/>
      <c r="AC22" s="1365"/>
      <c r="AD22" s="1460" t="s">
        <v>330</v>
      </c>
      <c r="AE22" s="1015"/>
    </row>
    <row r="23" spans="2:31" ht="16.95" customHeight="1">
      <c r="B23" s="1371" t="n">
        <f>人物卡!F83</f>
        <v>0</v>
      </c>
      <c r="C23" s="1365"/>
      <c r="D23" s="1365"/>
      <c r="E23" s="1440" t="n">
        <f>人物卡!F84</f>
        <v>0</v>
      </c>
      <c r="F23" s="1365"/>
      <c r="G23" s="1365"/>
      <c r="H23" s="1440" t="n">
        <f>人物卡!F85</f>
        <v>0</v>
      </c>
      <c r="I23" s="1365"/>
      <c r="J23" s="1365"/>
      <c r="K23" s="1380" t="n">
        <f>人物卡!F90</f>
        <v>0</v>
      </c>
      <c r="L23" s="1365"/>
      <c r="M23" s="1015"/>
      <c r="N23" s="585" t="n">
        <f>IF(Q23=0,0,"格斗：")</f>
        <v>0</v>
      </c>
      <c r="O23" s="1404" t="str">
        <f>IF(N23=0,"",人物卡!H36)</f>
        <v/>
      </c>
      <c r="P23" s="1365"/>
      <c r="Q23" s="591" t="n">
        <f>IF(人物卡!R36-人物卡!J36=0,0,人物卡!R36)</f>
        <v>0</v>
      </c>
      <c r="R23" s="592" t="n">
        <f>INT(Q23/2)</f>
        <v>0</v>
      </c>
      <c r="S23" s="593" t="n">
        <f>INT(Q23/5)</f>
        <v>0</v>
      </c>
      <c r="T23" s="1366" t="str">
        <f>IF(W23=0,"",人物卡!AB36)</f>
        <v/>
      </c>
      <c r="U23" s="1365"/>
      <c r="V23" s="1365"/>
      <c r="W23" s="594" t="n">
        <f>IF(人物卡!AN36-人物卡!AF36=0,0,人物卡!AN36)</f>
        <v>0</v>
      </c>
      <c r="X23" s="595" t="n">
        <f>INT(W23/2)</f>
        <v>0</v>
      </c>
      <c r="Y23" s="605" t="n">
        <f>INT(W23/5)</f>
        <v>0</v>
      </c>
      <c r="Z23" s="1371" t="str">
        <f>人物卡!W98</f>
        <v>例：米-戈</v>
      </c>
      <c r="AA23" s="1365"/>
      <c r="AB23" s="1365"/>
      <c r="AC23" s="1365"/>
      <c r="AD23" s="1380" t="n">
        <f>人物卡!AR98</f>
        <v>6</v>
      </c>
      <c r="AE23" s="1015"/>
    </row>
    <row r="24" spans="2:31" ht="16.95" customHeight="1">
      <c r="B24" s="1441" t="n">
        <f>人物卡!F91</f>
        <v>0</v>
      </c>
      <c r="C24" s="1365"/>
      <c r="D24" s="1365"/>
      <c r="E24" s="1382" t="n">
        <f>人物卡!F92</f>
        <v>0</v>
      </c>
      <c r="F24" s="1365"/>
      <c r="G24" s="1365"/>
      <c r="H24" s="1382" t="n">
        <f>人物卡!N79</f>
        <v>0</v>
      </c>
      <c r="I24" s="1365"/>
      <c r="J24" s="1365"/>
      <c r="K24" s="1474" t="n">
        <f>人物卡!N80</f>
        <v>0</v>
      </c>
      <c r="L24" s="1365"/>
      <c r="M24" s="1015"/>
      <c r="N24" s="585" t="n">
        <f>IF(Q24=0,0,"格斗：")</f>
        <v>0</v>
      </c>
      <c r="O24" s="1404" t="str">
        <f>IF(N24=0,"",人物卡!H37)</f>
        <v/>
      </c>
      <c r="P24" s="1365"/>
      <c r="Q24" s="591" t="n">
        <f>IF(人物卡!R37-人物卡!J37=0,0,人物卡!R37)</f>
        <v>0</v>
      </c>
      <c r="R24" s="592" t="n">
        <f>INT(Q24/2)</f>
        <v>0</v>
      </c>
      <c r="S24" s="593" t="n">
        <f>INT(Q24/5)</f>
        <v>0</v>
      </c>
      <c r="T24" s="599" t="n">
        <f>IF(W24=0,0,人物卡!AB37)</f>
        <v>0</v>
      </c>
      <c r="U24" s="1366" t="str">
        <f>IF(T24=0,"",人物卡!AD37)</f>
        <v/>
      </c>
      <c r="V24" s="1365"/>
      <c r="W24" s="594" t="n">
        <f>IF(人物卡!AN37-人物卡!AF37=0,0,人物卡!AN37)</f>
        <v>0</v>
      </c>
      <c r="X24" s="595" t="n">
        <f>INT(W24/2)</f>
        <v>0</v>
      </c>
      <c r="Y24" s="605" t="n">
        <f>INT(W24/5)</f>
        <v>0</v>
      </c>
      <c r="Z24" s="1371" t="str">
        <f>人物卡!W99</f>
        <v>例：修格斯</v>
      </c>
      <c r="AA24" s="1365"/>
      <c r="AB24" s="1365"/>
      <c r="AC24" s="1365"/>
      <c r="AD24" s="1380" t="n">
        <f>人物卡!AR99</f>
        <v>5</v>
      </c>
      <c r="AE24" s="1015"/>
    </row>
    <row r="25" spans="2:31" ht="16.95" customHeight="1">
      <c r="B25" s="1371" t="n">
        <f>人物卡!N81</f>
        <v>0</v>
      </c>
      <c r="C25" s="1365"/>
      <c r="D25" s="1365"/>
      <c r="E25" s="1440" t="n">
        <f>人物卡!N82</f>
        <v>0</v>
      </c>
      <c r="F25" s="1365"/>
      <c r="G25" s="1365"/>
      <c r="H25" s="1440" t="n">
        <f>人物卡!N83</f>
        <v>0</v>
      </c>
      <c r="I25" s="1365"/>
      <c r="J25" s="1365"/>
      <c r="K25" s="1380" t="n">
        <f>人物卡!N84</f>
        <v>0</v>
      </c>
      <c r="L25" s="1365"/>
      <c r="M25" s="1015"/>
      <c r="N25" s="585" t="n">
        <f>IF(Q25=0,0,"射击：")</f>
        <v>0</v>
      </c>
      <c r="O25" s="1404" t="str">
        <f>IF(N25=0,"",人物卡!H38)</f>
        <v/>
      </c>
      <c r="P25" s="1365"/>
      <c r="Q25" s="591" t="n">
        <f>IF(人物卡!R38-人物卡!J38=0,0,人物卡!R38)</f>
        <v>0</v>
      </c>
      <c r="R25" s="592" t="n">
        <f>INT(Q25/2)</f>
        <v>0</v>
      </c>
      <c r="S25" s="593" t="n">
        <f>INT(Q25/5)</f>
        <v>0</v>
      </c>
      <c r="T25" s="1366" t="str">
        <f>IF(W25=0,"",人物卡!AB38)</f>
        <v/>
      </c>
      <c r="U25" s="1365"/>
      <c r="V25" s="1365"/>
      <c r="W25" s="594" t="n">
        <f>IF(人物卡!AN38-人物卡!AF38=0,0,人物卡!AN38)</f>
        <v>0</v>
      </c>
      <c r="X25" s="595" t="n">
        <f>INT(W25/2)</f>
        <v>0</v>
      </c>
      <c r="Y25" s="605" t="n">
        <f>INT(W25/5)</f>
        <v>0</v>
      </c>
      <c r="Z25" s="1371" t="n">
        <f>人物卡!W100</f>
        <v>0</v>
      </c>
      <c r="AA25" s="1365"/>
      <c r="AB25" s="1365"/>
      <c r="AC25" s="1365"/>
      <c r="AD25" s="1380" t="n">
        <f>人物卡!AR100</f>
        <v>0</v>
      </c>
      <c r="AE25" s="1015"/>
    </row>
    <row r="26" spans="2:31" ht="16.95" customHeight="1">
      <c r="B26" s="1492" t="n">
        <f>人物卡!N85</f>
        <v>0</v>
      </c>
      <c r="C26" s="1019"/>
      <c r="D26" s="1019"/>
      <c r="E26" s="1434" t="n">
        <f>人物卡!N90</f>
        <v>0</v>
      </c>
      <c r="F26" s="1019"/>
      <c r="G26" s="1019"/>
      <c r="H26" s="1434" t="n">
        <f>人物卡!N91</f>
        <v>0</v>
      </c>
      <c r="I26" s="1019"/>
      <c r="J26" s="1019"/>
      <c r="K26" s="1448" t="n">
        <f>人物卡!N92</f>
        <v>0</v>
      </c>
      <c r="L26" s="1019"/>
      <c r="M26" s="1091"/>
      <c r="N26" s="585" t="n">
        <f>IF(Q26=0,0,"射击：")</f>
        <v>0</v>
      </c>
      <c r="O26" s="1404" t="str">
        <f>IF(N26=0,"",人物卡!H39)</f>
        <v/>
      </c>
      <c r="P26" s="1365"/>
      <c r="Q26" s="591" t="n">
        <f>IF(人物卡!R39-人物卡!J39=0,0,人物卡!R39)</f>
        <v>0</v>
      </c>
      <c r="R26" s="592" t="n">
        <f>INT(Q26/2)</f>
        <v>0</v>
      </c>
      <c r="S26" s="593" t="n">
        <f>INT(Q26/5)</f>
        <v>0</v>
      </c>
      <c r="T26" s="1366" t="str">
        <f>IF(W26=0,"",人物卡!AB39)</f>
        <v/>
      </c>
      <c r="U26" s="1365"/>
      <c r="V26" s="1365"/>
      <c r="W26" s="594" t="n">
        <f>IF(人物卡!AN39-人物卡!AF39=0,0,人物卡!AN39)</f>
        <v>0</v>
      </c>
      <c r="X26" s="595" t="n">
        <f>INT(W26/2)</f>
        <v>0</v>
      </c>
      <c r="Y26" s="605" t="n">
        <f>INT(W26/5)</f>
        <v>0</v>
      </c>
      <c r="Z26" s="1371" t="n">
        <f>人物卡!W101</f>
        <v>0</v>
      </c>
      <c r="AA26" s="1365"/>
      <c r="AB26" s="1365"/>
      <c r="AC26" s="1365"/>
      <c r="AD26" s="1380" t="n">
        <f>人物卡!AR101</f>
        <v>0</v>
      </c>
      <c r="AE26" s="1015"/>
    </row>
    <row r="27" spans="2:31" ht="16.95" customHeight="1">
      <c r="B27" s="1494" t="s">
        <v>179</v>
      </c>
      <c r="C27" s="1023"/>
      <c r="D27" s="1023"/>
      <c r="E27" s="1023"/>
      <c r="F27" s="1023"/>
      <c r="G27" s="1023"/>
      <c r="H27" s="1023"/>
      <c r="I27" s="1023"/>
      <c r="J27" s="1023"/>
      <c r="K27" s="1023"/>
      <c r="L27" s="1023"/>
      <c r="M27" s="1167"/>
      <c r="N27" s="585" t="n">
        <f>IF(Q27=0,0,"射击：")</f>
        <v>0</v>
      </c>
      <c r="O27" s="1404" t="str">
        <f>IF(N27=0,"",人物卡!H40)</f>
        <v/>
      </c>
      <c r="P27" s="1365"/>
      <c r="Q27" s="591" t="n">
        <f>IF(人物卡!R40-人物卡!J40=0,0,人物卡!R40)</f>
        <v>0</v>
      </c>
      <c r="R27" s="592" t="n">
        <f>INT(Q27/2)</f>
        <v>0</v>
      </c>
      <c r="S27" s="593" t="n">
        <f>INT(Q27/5)</f>
        <v>0</v>
      </c>
      <c r="T27" s="1366" t="str">
        <f>IF(W27=0,"",人物卡!AB40)</f>
        <v/>
      </c>
      <c r="U27" s="1365"/>
      <c r="V27" s="1365"/>
      <c r="W27" s="594" t="n">
        <f>IF(人物卡!AN40-人物卡!AF40=0,0,人物卡!AN40)</f>
        <v>0</v>
      </c>
      <c r="X27" s="595" t="n">
        <f>INT(W27/2)</f>
        <v>0</v>
      </c>
      <c r="Y27" s="605" t="n">
        <f>INT(W27/5)</f>
        <v>0</v>
      </c>
      <c r="Z27" s="1371" t="n">
        <f>人物卡!W102</f>
        <v>0</v>
      </c>
      <c r="AA27" s="1365"/>
      <c r="AB27" s="1365"/>
      <c r="AC27" s="1365"/>
      <c r="AD27" s="1380" t="n">
        <f>人物卡!AR102</f>
        <v>0</v>
      </c>
      <c r="AE27" s="1015"/>
    </row>
    <row r="28" spans="2:31" ht="16.95" customHeight="1">
      <c r="B28" s="852" t="s">
        <v>331</v>
      </c>
      <c r="C28" s="1451" t="n">
        <f>人物卡!AA61</f>
        <v>0</v>
      </c>
      <c r="D28" s="1033"/>
      <c r="E28" s="1033"/>
      <c r="F28" s="1033"/>
      <c r="G28" s="579" t="s">
        <v>180</v>
      </c>
      <c r="H28" s="1467" t="str">
        <f>人物卡!W77</f>
        <v>请务必在此填写背景故事！
使用Alt+Enter换行</v>
      </c>
      <c r="I28" s="1033"/>
      <c r="J28" s="1033"/>
      <c r="K28" s="1033"/>
      <c r="L28" s="1033"/>
      <c r="M28" s="1038"/>
      <c r="N28" s="585" t="n">
        <f>IF(Q28=0,0,"射击：")</f>
        <v>0</v>
      </c>
      <c r="O28" s="1404" t="str">
        <f>IF(N28=0,"",人物卡!H41)</f>
        <v/>
      </c>
      <c r="P28" s="1365"/>
      <c r="Q28" s="591" t="n">
        <f>IF(人物卡!R41-人物卡!J41=0,0,人物卡!R41)</f>
        <v>0</v>
      </c>
      <c r="R28" s="592" t="n">
        <f>INT(Q28/2)</f>
        <v>0</v>
      </c>
      <c r="S28" s="593" t="n">
        <f>INT(Q28/5)</f>
        <v>0</v>
      </c>
      <c r="T28" s="1366" t="str">
        <f>IF(W28=0,"",人物卡!AB41)</f>
        <v/>
      </c>
      <c r="U28" s="1365"/>
      <c r="V28" s="1365"/>
      <c r="W28" s="594" t="n">
        <f>IF(人物卡!AN41-人物卡!AF41=0,0,人物卡!AN41)</f>
        <v>0</v>
      </c>
      <c r="X28" s="595" t="n">
        <f>INT(W28/2)</f>
        <v>0</v>
      </c>
      <c r="Y28" s="605" t="n">
        <f>INT(W28/5)</f>
        <v>0</v>
      </c>
      <c r="Z28" s="1371" t="n">
        <f>人物卡!W103</f>
        <v>0</v>
      </c>
      <c r="AA28" s="1365"/>
      <c r="AB28" s="1365"/>
      <c r="AC28" s="1365"/>
      <c r="AD28" s="1380" t="n">
        <f>人物卡!AR103</f>
        <v>0</v>
      </c>
      <c r="AE28" s="1015"/>
    </row>
    <row r="29" spans="2:31" ht="16.95" customHeight="1">
      <c r="B29" s="229" t="s">
        <v>332</v>
      </c>
      <c r="C29" s="1438" t="n">
        <f>人物卡!AA63</f>
        <v>0</v>
      </c>
      <c r="D29" s="1365"/>
      <c r="E29" s="1365"/>
      <c r="F29" s="1365"/>
      <c r="G29" s="580" t="str">
        <f>人物卡!AR63</f>
        <v>☐</v>
      </c>
      <c r="H29" s="1114"/>
      <c r="I29" s="1365"/>
      <c r="J29" s="1365"/>
      <c r="K29" s="1365"/>
      <c r="L29" s="1365"/>
      <c r="M29" s="1015"/>
      <c r="N29" s="1373" t="str">
        <f>IF(Q29=0,"",人物卡!F42)</f>
        <v/>
      </c>
      <c r="O29" s="1365"/>
      <c r="P29" s="1365"/>
      <c r="Q29" s="591" t="n">
        <f>IF(人物卡!R42-人物卡!J42=0,0,人物卡!R42)</f>
        <v>0</v>
      </c>
      <c r="R29" s="592" t="n">
        <f>INT(Q29/2)</f>
        <v>0</v>
      </c>
      <c r="S29" s="593" t="n">
        <f>INT(Q29/5)</f>
        <v>0</v>
      </c>
      <c r="T29" s="1366" t="str">
        <f>IF(W29=0,"",人物卡!AB42)</f>
        <v/>
      </c>
      <c r="U29" s="1365"/>
      <c r="V29" s="1365"/>
      <c r="W29" s="594" t="n">
        <f>IF(人物卡!AN42-人物卡!AF42=0,0,人物卡!AN42)</f>
        <v>0</v>
      </c>
      <c r="X29" s="595" t="n">
        <f>INT(W29/2)</f>
        <v>0</v>
      </c>
      <c r="Y29" s="605" t="n">
        <f>INT(W29/5)</f>
        <v>0</v>
      </c>
      <c r="Z29" s="1371" t="n">
        <f>人物卡!W104</f>
        <v>0</v>
      </c>
      <c r="AA29" s="1365"/>
      <c r="AB29" s="1365"/>
      <c r="AC29" s="1365"/>
      <c r="AD29" s="1380" t="n">
        <f>人物卡!AR104</f>
        <v>0</v>
      </c>
      <c r="AE29" s="1015"/>
    </row>
    <row r="30" spans="2:31" ht="16.95" customHeight="1">
      <c r="B30" s="852" t="s">
        <v>333</v>
      </c>
      <c r="C30" s="1432" t="n">
        <f>人物卡!AA65</f>
        <v>0</v>
      </c>
      <c r="D30" s="1365"/>
      <c r="E30" s="1365"/>
      <c r="F30" s="1365"/>
      <c r="G30" s="579" t="str">
        <f>人物卡!AR65</f>
        <v>☐</v>
      </c>
      <c r="H30" s="1114"/>
      <c r="I30" s="1365"/>
      <c r="J30" s="1365"/>
      <c r="K30" s="1365"/>
      <c r="L30" s="1365"/>
      <c r="M30" s="1015"/>
      <c r="N30" s="1373" t="str">
        <f>IF(Q30=0,"",人物卡!F43)</f>
        <v/>
      </c>
      <c r="O30" s="1365"/>
      <c r="P30" s="1365"/>
      <c r="Q30" s="591" t="n">
        <f>IF(人物卡!R43-人物卡!J43=0,0,人物卡!R43)</f>
        <v>0</v>
      </c>
      <c r="R30" s="592" t="n">
        <f>INT(Q30/2)</f>
        <v>0</v>
      </c>
      <c r="S30" s="593" t="n">
        <f>INT(Q30/5)</f>
        <v>0</v>
      </c>
      <c r="T30" s="1366" t="str">
        <f>IF(W30=0,"",人物卡!AB43)</f>
        <v/>
      </c>
      <c r="U30" s="1365"/>
      <c r="V30" s="1365"/>
      <c r="W30" s="594" t="n">
        <f>IF(人物卡!AN43-人物卡!AF43=0,0,人物卡!AN43)</f>
        <v>0</v>
      </c>
      <c r="X30" s="595" t="n">
        <f>INT(W30/2)</f>
        <v>0</v>
      </c>
      <c r="Y30" s="605" t="n">
        <f>INT(W30/5)</f>
        <v>0</v>
      </c>
      <c r="Z30" s="1371" t="n">
        <f>人物卡!W105</f>
        <v>0</v>
      </c>
      <c r="AA30" s="1365"/>
      <c r="AB30" s="1365"/>
      <c r="AC30" s="1365"/>
      <c r="AD30" s="1380" t="n">
        <f>人物卡!AR105</f>
        <v>0</v>
      </c>
      <c r="AE30" s="1015"/>
    </row>
    <row r="31" spans="2:31" ht="16.95" customHeight="1">
      <c r="B31" s="229" t="s">
        <v>334</v>
      </c>
      <c r="C31" s="1438" t="n">
        <f>人物卡!AA67</f>
        <v>0</v>
      </c>
      <c r="D31" s="1365"/>
      <c r="E31" s="1365"/>
      <c r="F31" s="1365"/>
      <c r="G31" s="580" t="str">
        <f>人物卡!AR67</f>
        <v>☐</v>
      </c>
      <c r="H31" s="1114"/>
      <c r="I31" s="1365"/>
      <c r="J31" s="1365"/>
      <c r="K31" s="1365"/>
      <c r="L31" s="1365"/>
      <c r="M31" s="1015"/>
      <c r="N31" s="1373" t="str">
        <f>IF(Q31=0,"",人物卡!F44)</f>
        <v/>
      </c>
      <c r="O31" s="1365"/>
      <c r="P31" s="1365"/>
      <c r="Q31" s="591" t="n">
        <f>IF(人物卡!R44-人物卡!J44=0,0,人物卡!R44)</f>
        <v>0</v>
      </c>
      <c r="R31" s="592" t="n">
        <f>INT(Q31/2)</f>
        <v>0</v>
      </c>
      <c r="S31" s="593" t="n">
        <f>INT(Q31/5)</f>
        <v>0</v>
      </c>
      <c r="T31" s="1366" t="str">
        <f>IF(W31=0,"",人物卡!AB44)</f>
        <v/>
      </c>
      <c r="U31" s="1365"/>
      <c r="V31" s="1365"/>
      <c r="W31" s="594" t="n">
        <f>IF(人物卡!AN44-人物卡!AF44=0,0,人物卡!AN44)</f>
        <v>0</v>
      </c>
      <c r="X31" s="595" t="n">
        <f>INT(W31/2)</f>
        <v>0</v>
      </c>
      <c r="Y31" s="605" t="n">
        <f>INT(W31/5)</f>
        <v>0</v>
      </c>
      <c r="Z31" s="1371" t="n">
        <f>人物卡!W106</f>
        <v>0</v>
      </c>
      <c r="AA31" s="1365"/>
      <c r="AB31" s="1365"/>
      <c r="AC31" s="1365"/>
      <c r="AD31" s="1380" t="n">
        <f>人物卡!AR106</f>
        <v>0</v>
      </c>
      <c r="AE31" s="1015"/>
    </row>
    <row r="32" spans="2:31" ht="16.95" customHeight="1">
      <c r="B32" s="852" t="s">
        <v>335</v>
      </c>
      <c r="C32" s="1432" t="n">
        <f>人物卡!AA69</f>
        <v>0</v>
      </c>
      <c r="D32" s="1365"/>
      <c r="E32" s="1365"/>
      <c r="F32" s="1365"/>
      <c r="G32" s="579" t="str">
        <f>人物卡!AR69</f>
        <v>☐</v>
      </c>
      <c r="H32" s="1114"/>
      <c r="I32" s="1365"/>
      <c r="J32" s="1365"/>
      <c r="K32" s="1365"/>
      <c r="L32" s="1365"/>
      <c r="M32" s="1015"/>
      <c r="N32" s="1373" t="str">
        <f>IF(Q32=0,"",人物卡!F45)</f>
        <v/>
      </c>
      <c r="O32" s="1365"/>
      <c r="P32" s="1365"/>
      <c r="Q32" s="591" t="n">
        <f>IF(人物卡!R45-人物卡!J45=0,0,人物卡!R45)</f>
        <v>0</v>
      </c>
      <c r="R32" s="592" t="n">
        <f>INT(Q32/2)</f>
        <v>0</v>
      </c>
      <c r="S32" s="593" t="n">
        <f>INT(Q32/5)</f>
        <v>0</v>
      </c>
      <c r="T32" s="1366" t="str">
        <f>IF(W32=0,"",人物卡!AB45)</f>
        <v/>
      </c>
      <c r="U32" s="1365"/>
      <c r="V32" s="1365"/>
      <c r="W32" s="594" t="n">
        <f>IF(人物卡!AN45-人物卡!AF45=0,0,人物卡!AN45)</f>
        <v>0</v>
      </c>
      <c r="X32" s="595" t="n">
        <f>INT(W32/2)</f>
        <v>0</v>
      </c>
      <c r="Y32" s="605" t="n">
        <f>INT(W32/5)</f>
        <v>0</v>
      </c>
      <c r="Z32" s="1371" t="n">
        <f>人物卡!W107</f>
        <v>0</v>
      </c>
      <c r="AA32" s="1365"/>
      <c r="AB32" s="1365"/>
      <c r="AC32" s="1365"/>
      <c r="AD32" s="1380" t="n">
        <f>人物卡!AR107</f>
        <v>0</v>
      </c>
      <c r="AE32" s="1015"/>
    </row>
    <row r="33" spans="2:41" ht="16.95" customHeight="1">
      <c r="B33" s="229" t="s">
        <v>203</v>
      </c>
      <c r="C33" s="1438" t="n">
        <f>人物卡!AA71</f>
        <v>0</v>
      </c>
      <c r="D33" s="1365"/>
      <c r="E33" s="1365"/>
      <c r="F33" s="1365"/>
      <c r="G33" s="580" t="str">
        <f>人物卡!AR71</f>
        <v>☐</v>
      </c>
      <c r="H33" s="1114"/>
      <c r="I33" s="1365"/>
      <c r="J33" s="1365"/>
      <c r="K33" s="1365"/>
      <c r="L33" s="1365"/>
      <c r="M33" s="1015"/>
      <c r="N33" s="585" t="n">
        <f>IF(Q33=0,0,"外语：")</f>
        <v>0</v>
      </c>
      <c r="O33" s="1404" t="str">
        <f>IF(N33=0,"",人物卡!H46)</f>
        <v/>
      </c>
      <c r="P33" s="1365"/>
      <c r="Q33" s="591" t="n">
        <f>IF(人物卡!R46-人物卡!J46=0,0,人物卡!R46)</f>
        <v>0</v>
      </c>
      <c r="R33" s="592" t="n">
        <f>INT(Q33/2)</f>
        <v>0</v>
      </c>
      <c r="S33" s="593" t="n">
        <f>INT(Q33/5)</f>
        <v>0</v>
      </c>
      <c r="T33" s="1366" t="str">
        <f>IF(W33=0,"",人物卡!AB46)</f>
        <v/>
      </c>
      <c r="U33" s="1365"/>
      <c r="V33" s="1365"/>
      <c r="W33" s="594" t="n">
        <f>IF(人物卡!AN46-人物卡!AF46=0,0,人物卡!AN46)</f>
        <v>0</v>
      </c>
      <c r="X33" s="595" t="n">
        <f>INT(W33/2)</f>
        <v>0</v>
      </c>
      <c r="Y33" s="605" t="n">
        <f>INT(W33/5)</f>
        <v>0</v>
      </c>
      <c r="Z33" s="1495" t="n">
        <f>人物卡!W108</f>
        <v>0</v>
      </c>
      <c r="AA33" s="1036"/>
      <c r="AB33" s="1036"/>
      <c r="AC33" s="1036"/>
      <c r="AD33" s="1481" t="n">
        <f>人物卡!AR108</f>
        <v>0</v>
      </c>
      <c r="AE33" s="998"/>
    </row>
    <row r="34" spans="2:41" ht="16.95" customHeight="1">
      <c r="B34" s="852" t="s">
        <v>336</v>
      </c>
      <c r="C34" s="1432" t="n">
        <f>人物卡!AA73</f>
        <v>0</v>
      </c>
      <c r="D34" s="1365"/>
      <c r="E34" s="1365"/>
      <c r="F34" s="1365"/>
      <c r="G34" s="579" t="str">
        <f>人物卡!AR73</f>
        <v>☐</v>
      </c>
      <c r="H34" s="1114"/>
      <c r="I34" s="1365"/>
      <c r="J34" s="1365"/>
      <c r="K34" s="1365"/>
      <c r="L34" s="1365"/>
      <c r="M34" s="1015"/>
      <c r="N34" s="585" t="n">
        <f>IF(Q34=0,0,"外语：")</f>
        <v>0</v>
      </c>
      <c r="O34" s="1404" t="str">
        <f>IF(N34=0,"",人物卡!H47)</f>
        <v/>
      </c>
      <c r="P34" s="1365"/>
      <c r="Q34" s="591" t="n">
        <f>IF(人物卡!R47-人物卡!J47=0,0,人物卡!R47)</f>
        <v>0</v>
      </c>
      <c r="R34" s="592" t="n">
        <f>INT(Q34/2)</f>
        <v>0</v>
      </c>
      <c r="S34" s="593" t="n">
        <f>INT(Q34/5)</f>
        <v>0</v>
      </c>
      <c r="T34" s="1366" t="str">
        <f>IF(W34=0,"",人物卡!AB47)</f>
        <v/>
      </c>
      <c r="U34" s="1365"/>
      <c r="V34" s="1365"/>
      <c r="W34" s="594" t="n">
        <f>IF(人物卡!AN47-人物卡!AF47=0,0,人物卡!AN47)</f>
        <v>0</v>
      </c>
      <c r="X34" s="595" t="n">
        <f>INT(W34/2)</f>
        <v>0</v>
      </c>
      <c r="Y34" s="605" t="n">
        <f>INT(W34/5)</f>
        <v>0</v>
      </c>
      <c r="Z34" s="1370"/>
      <c r="AA34" s="1365"/>
      <c r="AB34" s="1365"/>
      <c r="AC34" s="1365"/>
      <c r="AD34" s="1365"/>
      <c r="AE34" s="1015"/>
    </row>
    <row r="35" spans="2:41" ht="16.95" customHeight="1">
      <c r="B35" s="229" t="s">
        <v>337</v>
      </c>
      <c r="C35" s="1438" t="n">
        <f>人物卡!AA75</f>
        <v>0</v>
      </c>
      <c r="D35" s="1365"/>
      <c r="E35" s="1365"/>
      <c r="F35" s="1365"/>
      <c r="G35" s="580" t="str">
        <f>人物卡!AR75</f>
        <v>☐</v>
      </c>
      <c r="H35" s="1114"/>
      <c r="I35" s="1365"/>
      <c r="J35" s="1365"/>
      <c r="K35" s="1365"/>
      <c r="L35" s="1365"/>
      <c r="M35" s="1015"/>
      <c r="N35" s="585" t="n">
        <f>IF(Q35=0,0,"外语：")</f>
        <v>0</v>
      </c>
      <c r="O35" s="1404" t="str">
        <f>IF(N35=0,"",人物卡!H48)</f>
        <v/>
      </c>
      <c r="P35" s="1365"/>
      <c r="Q35" s="591" t="n">
        <f>IF(人物卡!R48-人物卡!J48=0,0,人物卡!R48)</f>
        <v>0</v>
      </c>
      <c r="R35" s="592" t="n">
        <f>INT(Q35/2)</f>
        <v>0</v>
      </c>
      <c r="S35" s="593" t="n">
        <f>INT(Q35/5)</f>
        <v>0</v>
      </c>
      <c r="T35" s="1366" t="str">
        <f>IF(W35=0,"",人物卡!AB48)</f>
        <v/>
      </c>
      <c r="U35" s="1365"/>
      <c r="V35" s="1365"/>
      <c r="W35" s="594" t="n">
        <f>IF(人物卡!AN48-人物卡!AF48=0,0,人物卡!AN48)</f>
        <v>0</v>
      </c>
      <c r="X35" s="595" t="n">
        <f>INT(W35/2)</f>
        <v>0</v>
      </c>
      <c r="Y35" s="605" t="n">
        <f>INT(W35/5)</f>
        <v>0</v>
      </c>
      <c r="Z35" s="1034"/>
      <c r="AA35" s="1365"/>
      <c r="AB35" s="1365"/>
      <c r="AC35" s="1365"/>
      <c r="AD35" s="1365"/>
      <c r="AE35" s="1015"/>
    </row>
    <row r="36" spans="2:41" ht="16.95" customHeight="1">
      <c r="B36" s="851"/>
      <c r="C36" s="1493"/>
      <c r="D36" s="1019"/>
      <c r="E36" s="1019"/>
      <c r="F36" s="1019"/>
      <c r="G36" s="1020"/>
      <c r="H36" s="1326"/>
      <c r="I36" s="1019"/>
      <c r="J36" s="1019"/>
      <c r="K36" s="1019"/>
      <c r="L36" s="1019"/>
      <c r="M36" s="1091"/>
      <c r="N36" s="590" t="s">
        <v>338</v>
      </c>
      <c r="O36" s="1433" t="n">
        <f>人物卡!H49</f>
        <v>0</v>
      </c>
      <c r="P36" s="1019"/>
      <c r="Q36" s="600" t="n">
        <f>人物卡!R49</f>
        <v>0</v>
      </c>
      <c r="R36" s="601" t="n">
        <f>IF(Q36=0,32767,INT(Q36/2))</f>
        <v>32767</v>
      </c>
      <c r="S36" s="602" t="n">
        <f>IF(Q36=0,32767,INT(Q36/5))</f>
        <v>32767</v>
      </c>
      <c r="T36" s="1386" t="str">
        <f>IF(W36=0,"",人物卡!AB49)</f>
        <v/>
      </c>
      <c r="U36" s="1019"/>
      <c r="V36" s="1019"/>
      <c r="W36" s="603" t="n">
        <f>IF(人物卡!AN49-人物卡!AF49=0,0,人物卡!AN49)</f>
        <v>0</v>
      </c>
      <c r="X36" s="604" t="n">
        <f>INT(W36/2)</f>
        <v>0</v>
      </c>
      <c r="Y36" s="609" t="n">
        <f>INT(W36/5)</f>
        <v>0</v>
      </c>
      <c r="Z36" s="1090"/>
      <c r="AA36" s="1019"/>
      <c r="AB36" s="1019"/>
      <c r="AC36" s="1019"/>
      <c r="AD36" s="1019"/>
      <c r="AE36" s="1091"/>
      <c r="AF36" s="1419" t="s">
        <v>339</v>
      </c>
      <c r="AG36" s="1365"/>
      <c r="AH36" s="1365"/>
      <c r="AI36" s="1365"/>
      <c r="AJ36" s="1365"/>
      <c r="AK36" s="1365"/>
      <c r="AL36" s="1365"/>
      <c r="AM36" s="1365"/>
      <c r="AN36" s="1365"/>
      <c r="AO36" s="1365"/>
    </row>
    <row r="37" spans="2:41" ht="16.95" customHeight="1">
      <c r="B37" s="1419" t="s">
        <v>340</v>
      </c>
      <c r="C37" s="1365"/>
      <c r="D37" s="1365"/>
      <c r="E37" s="1365"/>
      <c r="F37" s="1365"/>
      <c r="G37" s="1365"/>
      <c r="H37" s="1365"/>
      <c r="I37" s="1365"/>
      <c r="J37" s="1365"/>
      <c r="K37" s="1365"/>
      <c r="L37" s="1365"/>
      <c r="M37" s="1365"/>
      <c r="N37" s="1365"/>
      <c r="O37" s="1365"/>
      <c r="P37" s="1483" t="s">
        <v>341</v>
      </c>
      <c r="Q37" s="1365"/>
      <c r="R37" s="1365"/>
      <c r="S37" s="1365"/>
      <c r="T37" s="1365"/>
      <c r="U37" s="1365"/>
      <c r="V37" s="1365"/>
      <c r="W37" s="1365"/>
      <c r="X37" s="1365"/>
      <c r="Y37" s="1365"/>
      <c r="AF37" s="1442" t="s">
        <v>342</v>
      </c>
      <c r="AG37" s="1365"/>
      <c r="AH37" s="1365"/>
      <c r="AI37" s="1365"/>
      <c r="AJ37" s="1365"/>
      <c r="AK37" s="1365"/>
      <c r="AL37" s="1365"/>
    </row>
    <row r="38" spans="2:41" ht="16.95" customHeight="1">
      <c r="B38" s="1421" t="s">
        <v>343</v>
      </c>
      <c r="C38" s="1388"/>
      <c r="D38" s="1388"/>
      <c r="E38" s="1388"/>
      <c r="F38" s="1388"/>
      <c r="G38" s="1388"/>
      <c r="H38" s="1388"/>
      <c r="I38" s="1388"/>
      <c r="J38" s="1388"/>
      <c r="K38" s="1388"/>
      <c r="L38" s="1388"/>
      <c r="M38" s="1388"/>
      <c r="N38" s="1388"/>
      <c r="O38" s="1388"/>
      <c r="P38" s="1388"/>
      <c r="Q38" s="1388"/>
      <c r="R38" s="1388"/>
      <c r="S38" s="1388"/>
      <c r="T38" s="1388"/>
      <c r="U38" s="1388"/>
      <c r="V38" s="1388"/>
      <c r="W38" s="1388"/>
      <c r="X38" s="1388"/>
      <c r="Y38" s="1389"/>
      <c r="Z38" s="32"/>
      <c r="AA38" s="610"/>
      <c r="AB38" s="610"/>
      <c r="AC38" s="610"/>
      <c r="AD38" s="610"/>
      <c r="AE38" s="610"/>
      <c r="AF38" s="1365"/>
      <c r="AG38" s="1365"/>
      <c r="AH38" s="1365"/>
      <c r="AI38" s="1365"/>
      <c r="AJ38" s="1365"/>
      <c r="AK38" s="1365"/>
      <c r="AL38" s="1365"/>
    </row>
    <row r="39" spans="2:41" ht="16.95" customHeight="1">
      <c r="B39" s="1387" t="s">
        <v>344</v>
      </c>
      <c r="C39" s="1388"/>
      <c r="D39" s="1388"/>
      <c r="E39" s="1388"/>
      <c r="F39" s="1388"/>
      <c r="G39" s="1388"/>
      <c r="H39" s="1388"/>
      <c r="I39" s="1388"/>
      <c r="J39" s="1388"/>
      <c r="K39" s="1388"/>
      <c r="L39" s="1388"/>
      <c r="M39" s="1388"/>
      <c r="N39" s="1388"/>
      <c r="O39" s="1388"/>
      <c r="P39" s="1388"/>
      <c r="Q39" s="1388"/>
      <c r="R39" s="1388"/>
      <c r="S39" s="1388"/>
      <c r="T39" s="1388"/>
      <c r="U39" s="1388"/>
      <c r="V39" s="1388"/>
      <c r="W39" s="1388"/>
      <c r="X39" s="1388"/>
      <c r="Y39" s="1389"/>
      <c r="Z39" s="32" t="s">
        <v>345</v>
      </c>
      <c r="AA39" s="1444" t="s">
        <v>346</v>
      </c>
      <c r="AB39" s="1088"/>
      <c r="AC39" s="1088"/>
      <c r="AD39" s="1088"/>
      <c r="AE39" s="1089"/>
      <c r="AF39" s="1437" t="s">
        <v>347</v>
      </c>
      <c r="AG39" s="1365"/>
      <c r="AH39" s="1365"/>
      <c r="AI39" s="1365"/>
      <c r="AJ39" s="1365"/>
      <c r="AK39" s="1365"/>
      <c r="AL39" s="1365"/>
      <c r="AM39" s="1365"/>
      <c r="AN39" s="1365"/>
    </row>
    <row r="40" spans="2:41" ht="16.95" customHeight="1">
      <c r="B40" s="1405" t="str">
        <f>附表!S24</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v>
      </c>
      <c r="C40" s="1406"/>
      <c r="D40" s="1406"/>
      <c r="E40" s="1406"/>
      <c r="F40" s="1406"/>
      <c r="G40" s="1406"/>
      <c r="H40" s="1406"/>
      <c r="I40" s="1406"/>
      <c r="J40" s="1406"/>
      <c r="K40" s="1406"/>
      <c r="L40" s="1406"/>
      <c r="M40" s="1406"/>
      <c r="N40" s="1406"/>
      <c r="O40" s="1406"/>
      <c r="P40" s="1406"/>
      <c r="Q40" s="1406"/>
      <c r="R40" s="1406"/>
      <c r="S40" s="1406"/>
      <c r="T40" s="1406"/>
      <c r="U40" s="1406"/>
      <c r="V40" s="1406"/>
      <c r="W40" s="1406"/>
      <c r="X40" s="1406"/>
      <c r="Y40" s="1407"/>
      <c r="Z40" s="32"/>
      <c r="AA40" s="1034"/>
      <c r="AB40" s="1365"/>
      <c r="AC40" s="1365"/>
      <c r="AD40" s="1365"/>
      <c r="AE40" s="1015"/>
      <c r="AF40" s="32"/>
      <c r="AG40" s="32"/>
    </row>
    <row r="41" spans="2:41" ht="14.1" customHeight="1">
      <c r="B41" s="1408"/>
      <c r="C41" s="1365"/>
      <c r="D41" s="1365"/>
      <c r="E41" s="1365"/>
      <c r="F41" s="1365"/>
      <c r="G41" s="1365"/>
      <c r="H41" s="1365"/>
      <c r="I41" s="1365"/>
      <c r="J41" s="1365"/>
      <c r="K41" s="1365"/>
      <c r="L41" s="1365"/>
      <c r="M41" s="1365"/>
      <c r="N41" s="1365"/>
      <c r="O41" s="1365"/>
      <c r="P41" s="1365"/>
      <c r="Q41" s="1365"/>
      <c r="R41" s="1365"/>
      <c r="S41" s="1365"/>
      <c r="T41" s="1365"/>
      <c r="U41" s="1365"/>
      <c r="V41" s="1365"/>
      <c r="W41" s="1365"/>
      <c r="X41" s="1365"/>
      <c r="Y41" s="1378"/>
      <c r="Z41" s="32"/>
      <c r="AA41" s="1034"/>
      <c r="AB41" s="1365"/>
      <c r="AC41" s="1365"/>
      <c r="AD41" s="1365"/>
      <c r="AE41" s="1015"/>
      <c r="AF41" s="32"/>
      <c r="AG41" s="32"/>
    </row>
    <row r="42" spans="2:41" ht="14.1" customHeight="1">
      <c r="B42" s="1408"/>
      <c r="C42" s="1365"/>
      <c r="D42" s="1365"/>
      <c r="E42" s="1365"/>
      <c r="F42" s="1365"/>
      <c r="G42" s="1365"/>
      <c r="H42" s="1365"/>
      <c r="I42" s="1365"/>
      <c r="J42" s="1365"/>
      <c r="K42" s="1365"/>
      <c r="L42" s="1365"/>
      <c r="M42" s="1365"/>
      <c r="N42" s="1365"/>
      <c r="O42" s="1365"/>
      <c r="P42" s="1365"/>
      <c r="Q42" s="1365"/>
      <c r="R42" s="1365"/>
      <c r="S42" s="1365"/>
      <c r="T42" s="1365"/>
      <c r="U42" s="1365"/>
      <c r="V42" s="1365"/>
      <c r="W42" s="1365"/>
      <c r="X42" s="1365"/>
      <c r="Y42" s="1378"/>
      <c r="Z42" s="32"/>
      <c r="AA42" s="1034"/>
      <c r="AB42" s="1365"/>
      <c r="AC42" s="1365"/>
      <c r="AD42" s="1365"/>
      <c r="AE42" s="1015"/>
      <c r="AF42" s="32"/>
      <c r="AG42" s="32"/>
    </row>
    <row r="43" spans="2:41" ht="14.1" customHeight="1">
      <c r="B43" s="1409"/>
      <c r="C43" s="1410"/>
      <c r="D43" s="1410"/>
      <c r="E43" s="1410"/>
      <c r="F43" s="1410"/>
      <c r="G43" s="1410"/>
      <c r="H43" s="1410"/>
      <c r="I43" s="1410"/>
      <c r="J43" s="1410"/>
      <c r="K43" s="1410"/>
      <c r="L43" s="1410"/>
      <c r="M43" s="1410"/>
      <c r="N43" s="1410"/>
      <c r="O43" s="1410"/>
      <c r="P43" s="1410"/>
      <c r="Q43" s="1410"/>
      <c r="R43" s="1410"/>
      <c r="S43" s="1410"/>
      <c r="T43" s="1410"/>
      <c r="U43" s="1410"/>
      <c r="V43" s="1410"/>
      <c r="W43" s="1410"/>
      <c r="X43" s="1410"/>
      <c r="Y43" s="1411"/>
      <c r="Z43" s="32"/>
      <c r="AA43" s="1090"/>
      <c r="AB43" s="1019"/>
      <c r="AC43" s="1019"/>
      <c r="AD43" s="1019"/>
      <c r="AE43" s="1091"/>
      <c r="AF43" s="32"/>
      <c r="AG43" s="32"/>
    </row>
    <row r="44" spans="2:41" ht="14.1" customHeight="1">
      <c r="B44" s="1421" t="s">
        <v>348</v>
      </c>
      <c r="C44" s="1388"/>
      <c r="D44" s="1388"/>
      <c r="E44" s="1388"/>
      <c r="F44" s="1388"/>
      <c r="G44" s="1388"/>
      <c r="H44" s="1388"/>
      <c r="I44" s="1388"/>
      <c r="J44" s="1388"/>
      <c r="K44" s="1388"/>
      <c r="L44" s="1388"/>
      <c r="M44" s="1388"/>
      <c r="N44" s="1388"/>
      <c r="O44" s="1388"/>
      <c r="P44" s="1388"/>
      <c r="Q44" s="1388"/>
      <c r="R44" s="1388"/>
      <c r="S44" s="1388"/>
      <c r="T44" s="1388"/>
      <c r="U44" s="1388"/>
      <c r="V44" s="1388"/>
      <c r="W44" s="1388"/>
      <c r="X44" s="1388"/>
      <c r="Y44" s="1389"/>
      <c r="Z44" s="32"/>
      <c r="AA44" s="32"/>
      <c r="AB44" s="32"/>
      <c r="AC44" s="32"/>
      <c r="AD44" s="32"/>
      <c r="AE44" s="32"/>
      <c r="AF44" s="32"/>
      <c r="AG44" s="32"/>
    </row>
    <row r="45" spans="2:41" ht="15.15" customHeight="1">
      <c r="B45" s="1387" t="s">
        <v>344</v>
      </c>
      <c r="C45" s="1388"/>
      <c r="D45" s="1388"/>
      <c r="E45" s="1388"/>
      <c r="F45" s="1388"/>
      <c r="G45" s="1388"/>
      <c r="H45" s="1388"/>
      <c r="I45" s="1388"/>
      <c r="J45" s="1388"/>
      <c r="K45" s="1388"/>
      <c r="L45" s="1388"/>
      <c r="M45" s="1388"/>
      <c r="N45" s="1388"/>
      <c r="O45" s="1388"/>
      <c r="P45" s="1388"/>
      <c r="Q45" s="1388"/>
      <c r="R45" s="1388"/>
      <c r="S45" s="1388"/>
      <c r="T45" s="1388"/>
      <c r="U45" s="1388"/>
      <c r="V45" s="1388"/>
      <c r="W45" s="1388"/>
      <c r="X45" s="1388"/>
      <c r="Y45" s="1389"/>
      <c r="Z45" s="32" t="s">
        <v>345</v>
      </c>
      <c r="AA45" s="1447" t="s">
        <v>349</v>
      </c>
      <c r="AB45" s="1088"/>
      <c r="AC45" s="1088"/>
      <c r="AD45" s="1088"/>
      <c r="AE45" s="1089"/>
      <c r="AF45" s="282"/>
      <c r="AG45" s="32"/>
    </row>
    <row r="46" spans="2:41" ht="14.55" customHeight="1">
      <c r="B46" s="1405" t="str">
        <f>附表!S63</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v>
      </c>
      <c r="C46" s="1406"/>
      <c r="D46" s="1406"/>
      <c r="E46" s="1406"/>
      <c r="F46" s="1406"/>
      <c r="G46" s="1406"/>
      <c r="H46" s="1406"/>
      <c r="I46" s="1406"/>
      <c r="J46" s="1406"/>
      <c r="K46" s="1406"/>
      <c r="L46" s="1406"/>
      <c r="M46" s="1406"/>
      <c r="N46" s="1406"/>
      <c r="O46" s="1406"/>
      <c r="P46" s="1406"/>
      <c r="Q46" s="1406"/>
      <c r="R46" s="1406"/>
      <c r="S46" s="1406"/>
      <c r="T46" s="1406"/>
      <c r="U46" s="1406"/>
      <c r="V46" s="1406"/>
      <c r="W46" s="1406"/>
      <c r="X46" s="1406"/>
      <c r="Y46" s="1407"/>
      <c r="Z46" s="32"/>
      <c r="AA46" s="1034"/>
      <c r="AB46" s="1365"/>
      <c r="AC46" s="1365"/>
      <c r="AD46" s="1365"/>
      <c r="AE46" s="1015"/>
      <c r="AF46" s="282"/>
      <c r="AG46" s="32"/>
    </row>
    <row r="47" spans="2:41" ht="14.55" customHeight="1">
      <c r="B47" s="1408"/>
      <c r="C47" s="1365"/>
      <c r="D47" s="1365"/>
      <c r="E47" s="1365"/>
      <c r="F47" s="1365"/>
      <c r="G47" s="1365"/>
      <c r="H47" s="1365"/>
      <c r="I47" s="1365"/>
      <c r="J47" s="1365"/>
      <c r="K47" s="1365"/>
      <c r="L47" s="1365"/>
      <c r="M47" s="1365"/>
      <c r="N47" s="1365"/>
      <c r="O47" s="1365"/>
      <c r="P47" s="1365"/>
      <c r="Q47" s="1365"/>
      <c r="R47" s="1365"/>
      <c r="S47" s="1365"/>
      <c r="T47" s="1365"/>
      <c r="U47" s="1365"/>
      <c r="V47" s="1365"/>
      <c r="W47" s="1365"/>
      <c r="X47" s="1365"/>
      <c r="Y47" s="1378"/>
      <c r="Z47" s="32"/>
      <c r="AA47" s="1034"/>
      <c r="AB47" s="1365"/>
      <c r="AC47" s="1365"/>
      <c r="AD47" s="1365"/>
      <c r="AE47" s="1015"/>
      <c r="AF47" s="282"/>
      <c r="AG47" s="32"/>
    </row>
    <row r="48" spans="2:41" ht="14.55" customHeight="1">
      <c r="B48" s="1408"/>
      <c r="C48" s="1365"/>
      <c r="D48" s="1365"/>
      <c r="E48" s="1365"/>
      <c r="F48" s="1365"/>
      <c r="G48" s="1365"/>
      <c r="H48" s="1365"/>
      <c r="I48" s="1365"/>
      <c r="J48" s="1365"/>
      <c r="K48" s="1365"/>
      <c r="L48" s="1365"/>
      <c r="M48" s="1365"/>
      <c r="N48" s="1365"/>
      <c r="O48" s="1365"/>
      <c r="P48" s="1365"/>
      <c r="Q48" s="1365"/>
      <c r="R48" s="1365"/>
      <c r="S48" s="1365"/>
      <c r="T48" s="1365"/>
      <c r="U48" s="1365"/>
      <c r="V48" s="1365"/>
      <c r="W48" s="1365"/>
      <c r="X48" s="1365"/>
      <c r="Y48" s="1378"/>
      <c r="Z48" s="32"/>
      <c r="AA48" s="1034"/>
      <c r="AB48" s="1365"/>
      <c r="AC48" s="1365"/>
      <c r="AD48" s="1365"/>
      <c r="AE48" s="1015"/>
      <c r="AF48" s="282"/>
      <c r="AG48" s="32"/>
    </row>
    <row r="49" spans="2:33" ht="14.55" customHeight="1">
      <c r="B49" s="1409"/>
      <c r="C49" s="1410"/>
      <c r="D49" s="1410"/>
      <c r="E49" s="1410"/>
      <c r="F49" s="1410"/>
      <c r="G49" s="1410"/>
      <c r="H49" s="1410"/>
      <c r="I49" s="1410"/>
      <c r="J49" s="1410"/>
      <c r="K49" s="1410"/>
      <c r="L49" s="1410"/>
      <c r="M49" s="1410"/>
      <c r="N49" s="1410"/>
      <c r="O49" s="1410"/>
      <c r="P49" s="1410"/>
      <c r="Q49" s="1410"/>
      <c r="R49" s="1410"/>
      <c r="S49" s="1410"/>
      <c r="T49" s="1410"/>
      <c r="U49" s="1410"/>
      <c r="V49" s="1410"/>
      <c r="W49" s="1410"/>
      <c r="X49" s="1410"/>
      <c r="Y49" s="1411"/>
      <c r="Z49" s="32"/>
      <c r="AA49" s="1090"/>
      <c r="AB49" s="1019"/>
      <c r="AC49" s="1019"/>
      <c r="AD49" s="1019"/>
      <c r="AE49" s="1091"/>
      <c r="AF49" s="282"/>
      <c r="AG49" s="32"/>
    </row>
    <row r="50" spans="2:33" ht="16.95" customHeight="1">
      <c r="B50" s="1497" t="s">
        <v>350</v>
      </c>
      <c r="C50" s="1388"/>
      <c r="D50" s="1388"/>
      <c r="E50" s="1388"/>
      <c r="F50" s="1388"/>
      <c r="G50" s="1388"/>
      <c r="H50" s="1388"/>
      <c r="I50" s="1388"/>
      <c r="J50" s="1388"/>
      <c r="K50" s="1388"/>
      <c r="L50" s="1388"/>
      <c r="M50" s="1388"/>
      <c r="N50" s="1388"/>
      <c r="O50" s="1388"/>
      <c r="P50" s="1388"/>
      <c r="Q50" s="1388"/>
      <c r="R50" s="1388"/>
      <c r="S50" s="1388"/>
      <c r="T50" s="1388"/>
      <c r="U50" s="1388"/>
      <c r="V50" s="1388"/>
      <c r="W50" s="1388"/>
      <c r="X50" s="1388"/>
      <c r="Y50" s="1389"/>
      <c r="Z50" s="1418"/>
      <c r="AA50" s="1365"/>
      <c r="AB50" s="1365"/>
      <c r="AC50" s="1365"/>
      <c r="AD50" s="1365"/>
      <c r="AE50" s="1365"/>
      <c r="AF50" s="282"/>
      <c r="AG50" s="32"/>
    </row>
    <row r="51" spans="2:33" ht="16.95" customHeight="1">
      <c r="B51" s="1387" t="s">
        <v>344</v>
      </c>
      <c r="C51" s="1388"/>
      <c r="D51" s="1388"/>
      <c r="E51" s="1388"/>
      <c r="F51" s="1388"/>
      <c r="G51" s="1388"/>
      <c r="H51" s="1388"/>
      <c r="I51" s="1388"/>
      <c r="J51" s="1388"/>
      <c r="K51" s="1388"/>
      <c r="L51" s="1388"/>
      <c r="M51" s="1388"/>
      <c r="N51" s="1388"/>
      <c r="O51" s="1388"/>
      <c r="P51" s="1388"/>
      <c r="Q51" s="1388"/>
      <c r="R51" s="1388"/>
      <c r="S51" s="1388"/>
      <c r="T51" s="1388"/>
      <c r="U51" s="1388"/>
      <c r="V51" s="1388"/>
      <c r="W51" s="1388"/>
      <c r="X51" s="1388"/>
      <c r="Y51" s="1389"/>
      <c r="Z51" s="364" t="s">
        <v>345</v>
      </c>
      <c r="AA51" s="1444" t="s">
        <v>351</v>
      </c>
      <c r="AB51" s="1088"/>
      <c r="AC51" s="1088"/>
      <c r="AD51" s="1088"/>
      <c r="AE51" s="1089"/>
      <c r="AF51" s="32"/>
      <c r="AG51" s="32"/>
    </row>
    <row r="52" spans="2:33" ht="16.95" customHeight="1">
      <c r="B52" s="1405" t="str">
        <f>附表!S76</f>
        <v>.st -力量0敏捷0意志0体质0外貌0教育0体型0智力0灵感0理智0幸运0魔法0hp0体力0会计5人类学1估价5考古学1取悦15攀爬20计算机5信用0克苏鲁0乔装5闪避0汽车20驾驶20汽车驾驶20电气维修10电子学1话术5斗殴25手枪20急救30历史5恐吓15跳跃20母语0法律5图书馆20聆听20开锁1锁匠1机械维修10医学1博物学10导航10神秘学5操作重型机械1重型1说服10精神分析1心理学10骑术5妙手10侦查25潜行20生存10游泳20投掷20追踪10动物驯养5潜水1爆破1读唇1催眠1炮术1</v>
      </c>
      <c r="C52" s="1406"/>
      <c r="D52" s="1406"/>
      <c r="E52" s="1406"/>
      <c r="F52" s="1406"/>
      <c r="G52" s="1406"/>
      <c r="H52" s="1406"/>
      <c r="I52" s="1406"/>
      <c r="J52" s="1406"/>
      <c r="K52" s="1406"/>
      <c r="L52" s="1406"/>
      <c r="M52" s="1406"/>
      <c r="N52" s="1406"/>
      <c r="O52" s="1406"/>
      <c r="P52" s="1406"/>
      <c r="Q52" s="1406"/>
      <c r="R52" s="1406"/>
      <c r="S52" s="1406"/>
      <c r="T52" s="1406"/>
      <c r="U52" s="1406"/>
      <c r="V52" s="1406"/>
      <c r="W52" s="1406"/>
      <c r="X52" s="1406"/>
      <c r="Y52" s="1407"/>
      <c r="AA52" s="1034"/>
      <c r="AB52" s="1365"/>
      <c r="AC52" s="1365"/>
      <c r="AD52" s="1365"/>
      <c r="AE52" s="1015"/>
      <c r="AF52" s="32"/>
      <c r="AG52" s="32"/>
    </row>
    <row r="53" spans="2:33" ht="16.95" customHeight="1">
      <c r="B53" s="1408"/>
      <c r="C53" s="1365"/>
      <c r="D53" s="1365"/>
      <c r="E53" s="1365"/>
      <c r="F53" s="1365"/>
      <c r="G53" s="1365"/>
      <c r="H53" s="1365"/>
      <c r="I53" s="1365"/>
      <c r="J53" s="1365"/>
      <c r="K53" s="1365"/>
      <c r="L53" s="1365"/>
      <c r="M53" s="1365"/>
      <c r="N53" s="1365"/>
      <c r="O53" s="1365"/>
      <c r="P53" s="1365"/>
      <c r="Q53" s="1365"/>
      <c r="R53" s="1365"/>
      <c r="S53" s="1365"/>
      <c r="T53" s="1365"/>
      <c r="U53" s="1365"/>
      <c r="V53" s="1365"/>
      <c r="W53" s="1365"/>
      <c r="X53" s="1365"/>
      <c r="Y53" s="1378"/>
      <c r="AA53" s="1034"/>
      <c r="AB53" s="1365"/>
      <c r="AC53" s="1365"/>
      <c r="AD53" s="1365"/>
      <c r="AE53" s="1015"/>
      <c r="AF53" s="32"/>
      <c r="AG53" s="32"/>
    </row>
    <row r="54" spans="2:33" ht="16.95" customHeight="1">
      <c r="B54" s="1408"/>
      <c r="C54" s="1365"/>
      <c r="D54" s="1365"/>
      <c r="E54" s="1365"/>
      <c r="F54" s="1365"/>
      <c r="G54" s="1365"/>
      <c r="H54" s="1365"/>
      <c r="I54" s="1365"/>
      <c r="J54" s="1365"/>
      <c r="K54" s="1365"/>
      <c r="L54" s="1365"/>
      <c r="M54" s="1365"/>
      <c r="N54" s="1365"/>
      <c r="O54" s="1365"/>
      <c r="P54" s="1365"/>
      <c r="Q54" s="1365"/>
      <c r="R54" s="1365"/>
      <c r="S54" s="1365"/>
      <c r="T54" s="1365"/>
      <c r="U54" s="1365"/>
      <c r="V54" s="1365"/>
      <c r="W54" s="1365"/>
      <c r="X54" s="1365"/>
      <c r="Y54" s="1378"/>
      <c r="AA54" s="1034"/>
      <c r="AB54" s="1365"/>
      <c r="AC54" s="1365"/>
      <c r="AD54" s="1365"/>
      <c r="AE54" s="1015"/>
      <c r="AF54" s="32"/>
      <c r="AG54" s="32"/>
    </row>
    <row r="55" spans="2:33" ht="16.95" customHeight="1">
      <c r="B55" s="1409"/>
      <c r="C55" s="1410"/>
      <c r="D55" s="1410"/>
      <c r="E55" s="1410"/>
      <c r="F55" s="1410"/>
      <c r="G55" s="1410"/>
      <c r="H55" s="1410"/>
      <c r="I55" s="1410"/>
      <c r="J55" s="1410"/>
      <c r="K55" s="1410"/>
      <c r="L55" s="1410"/>
      <c r="M55" s="1410"/>
      <c r="N55" s="1410"/>
      <c r="O55" s="1410"/>
      <c r="P55" s="1410"/>
      <c r="Q55" s="1410"/>
      <c r="R55" s="1410"/>
      <c r="S55" s="1410"/>
      <c r="T55" s="1410"/>
      <c r="U55" s="1410"/>
      <c r="V55" s="1410"/>
      <c r="W55" s="1410"/>
      <c r="X55" s="1410"/>
      <c r="Y55" s="1411"/>
      <c r="AA55" s="1090"/>
      <c r="AB55" s="1019"/>
      <c r="AC55" s="1019"/>
      <c r="AD55" s="1019"/>
      <c r="AE55" s="1091"/>
      <c r="AF55" s="32"/>
      <c r="AG55" s="32"/>
    </row>
    <row r="56" spans="2:33" ht="16.95" customHeight="1">
      <c r="B56" s="380"/>
      <c r="C56" s="380"/>
      <c r="D56" s="380"/>
      <c r="E56" s="380"/>
      <c r="F56" s="380"/>
      <c r="G56" s="380"/>
      <c r="H56" s="380"/>
      <c r="I56" s="380"/>
      <c r="J56" s="380"/>
      <c r="K56" s="380"/>
      <c r="L56" s="380"/>
      <c r="M56" s="380"/>
      <c r="N56" s="380"/>
      <c r="O56" s="380"/>
      <c r="P56" s="380"/>
      <c r="Q56" s="380"/>
      <c r="R56" s="380"/>
      <c r="S56" s="380"/>
      <c r="T56" s="380"/>
      <c r="U56" s="380"/>
      <c r="V56" s="380"/>
      <c r="W56" s="380"/>
      <c r="X56" s="380"/>
      <c r="Y56" s="380"/>
      <c r="AA56" s="1419"/>
      <c r="AB56" s="1365"/>
      <c r="AC56" s="1365"/>
      <c r="AD56" s="1365"/>
      <c r="AE56" s="1365"/>
      <c r="AF56" s="32"/>
      <c r="AG56" s="32"/>
    </row>
    <row r="57" spans="2:33" ht="16.95" customHeight="1">
      <c r="AA57" s="1424"/>
      <c r="AB57" s="1365"/>
      <c r="AC57" s="1365"/>
      <c r="AD57" s="1365"/>
      <c r="AE57" s="1365"/>
      <c r="AF57" s="32"/>
      <c r="AG57" s="32"/>
    </row>
    <row r="58" spans="2:33" ht="16.95" customHeight="1">
      <c r="AF58" s="32"/>
      <c r="AG58" s="32"/>
    </row>
    <row r="59" spans="2:33" ht="16.95" customHeight="1">
      <c r="AF59" s="32"/>
      <c r="AG59" s="32"/>
    </row>
    <row r="60" spans="2:33" ht="16.95" customHeight="1">
      <c r="AF60" s="32"/>
      <c r="AG60" s="32"/>
    </row>
    <row r="61" spans="2:33" ht="16.95" customHeight="1">
      <c r="AF61" s="32"/>
      <c r="AG61" s="32"/>
    </row>
    <row r="63" spans="2:33" ht="16.95" customHeight="1"/>
    <row r="64" spans="2:33" ht="16.95" customHeight="1">
      <c r="B64" s="1383" t="s">
        <v>352</v>
      </c>
      <c r="C64" s="1384"/>
      <c r="D64" s="1384"/>
      <c r="E64" s="1384"/>
      <c r="F64" s="1384"/>
      <c r="G64" s="1384"/>
      <c r="H64" s="1384"/>
      <c r="I64" s="1384"/>
      <c r="J64" s="1384"/>
      <c r="K64" s="1384"/>
      <c r="L64" s="1384"/>
      <c r="M64" s="1384"/>
      <c r="N64" s="1384"/>
      <c r="O64" s="1384"/>
      <c r="P64" s="1384"/>
      <c r="Q64" s="1384"/>
      <c r="R64" s="1384"/>
      <c r="S64" s="1384"/>
      <c r="T64" s="1384"/>
      <c r="U64" s="1384"/>
      <c r="V64" s="1384"/>
      <c r="W64" s="1384"/>
      <c r="X64" s="1384"/>
      <c r="Y64" s="1385"/>
      <c r="Z64" s="32"/>
      <c r="AA64" s="32"/>
      <c r="AB64" s="32"/>
      <c r="AC64" s="32"/>
      <c r="AD64" s="32"/>
      <c r="AE64" s="32"/>
    </row>
    <row r="65" spans="2:31" ht="16.95" customHeight="1">
      <c r="B65" s="1368" t="s">
        <v>353</v>
      </c>
      <c r="C65" s="1365"/>
      <c r="D65" s="1436" t="s">
        <v>354</v>
      </c>
      <c r="E65" s="1365"/>
      <c r="F65" s="1436" t="s">
        <v>355</v>
      </c>
      <c r="G65" s="1365"/>
      <c r="H65" s="1365"/>
      <c r="I65" s="1365"/>
      <c r="J65" s="1449" t="s">
        <v>353</v>
      </c>
      <c r="K65" s="1365"/>
      <c r="L65" s="1436" t="s">
        <v>354</v>
      </c>
      <c r="M65" s="1365"/>
      <c r="N65" s="1436" t="s">
        <v>355</v>
      </c>
      <c r="O65" s="1365"/>
      <c r="P65" s="1365"/>
      <c r="Q65" s="1365"/>
      <c r="R65" s="1449" t="s">
        <v>353</v>
      </c>
      <c r="S65" s="1365"/>
      <c r="T65" s="1436" t="s">
        <v>354</v>
      </c>
      <c r="U65" s="1365"/>
      <c r="V65" s="1453" t="s">
        <v>355</v>
      </c>
      <c r="W65" s="1365"/>
      <c r="X65" s="1365"/>
      <c r="Y65" s="1376"/>
      <c r="Z65" s="32"/>
      <c r="AA65" s="32"/>
      <c r="AB65" s="32"/>
      <c r="AC65" s="32"/>
      <c r="AD65" s="32"/>
      <c r="AE65" s="32"/>
    </row>
    <row r="66" spans="2:31" ht="16.95" customHeight="1">
      <c r="B66" s="1445" t="s">
        <v>356</v>
      </c>
      <c r="C66" s="1365"/>
      <c r="D66" s="996" t="s">
        <v>313</v>
      </c>
      <c r="E66" s="1365"/>
      <c r="F66" s="1400"/>
      <c r="G66" s="1365"/>
      <c r="H66" s="1365"/>
      <c r="I66" s="1378"/>
      <c r="J66" s="996" t="s">
        <v>357</v>
      </c>
      <c r="K66" s="1365"/>
      <c r="L66" s="996" t="s">
        <v>358</v>
      </c>
      <c r="M66" s="1365"/>
      <c r="N66" s="1490"/>
      <c r="O66" s="1365"/>
      <c r="P66" s="1365"/>
      <c r="Q66" s="1378"/>
      <c r="R66" s="1390" t="s">
        <v>109</v>
      </c>
      <c r="S66" s="1365"/>
      <c r="T66" s="1390" t="s">
        <v>359</v>
      </c>
      <c r="U66" s="1365"/>
      <c r="V66" s="1417" t="s">
        <v>360</v>
      </c>
      <c r="W66" s="1365"/>
      <c r="X66" s="1365"/>
      <c r="Y66" s="1376"/>
      <c r="Z66" s="32"/>
      <c r="AA66" s="32"/>
      <c r="AB66" s="32"/>
      <c r="AC66" s="32"/>
      <c r="AD66" s="32"/>
      <c r="AE66" s="32"/>
    </row>
    <row r="67" spans="2:31" ht="16.95" customHeight="1">
      <c r="B67" s="1465" t="s">
        <v>361</v>
      </c>
      <c r="C67" s="1365"/>
      <c r="D67" s="1401" t="s">
        <v>314</v>
      </c>
      <c r="E67" s="1365"/>
      <c r="F67" s="1422"/>
      <c r="G67" s="1365"/>
      <c r="H67" s="1365"/>
      <c r="I67" s="1378"/>
      <c r="J67" s="1401" t="s">
        <v>362</v>
      </c>
      <c r="K67" s="1365"/>
      <c r="L67" s="1401" t="s">
        <v>363</v>
      </c>
      <c r="M67" s="1365"/>
      <c r="N67" s="1414" t="s">
        <v>364</v>
      </c>
      <c r="O67" s="1365"/>
      <c r="P67" s="1365"/>
      <c r="Q67" s="1378"/>
      <c r="R67" s="1499" t="s">
        <v>114</v>
      </c>
      <c r="S67" s="1365"/>
      <c r="T67" s="1401" t="s">
        <v>365</v>
      </c>
      <c r="U67" s="1365"/>
      <c r="V67" s="1375"/>
      <c r="W67" s="1365"/>
      <c r="X67" s="1365"/>
      <c r="Y67" s="1376"/>
      <c r="Z67" s="32"/>
      <c r="AA67" s="32"/>
      <c r="AB67" s="32"/>
      <c r="AC67" s="32"/>
      <c r="AD67" s="32"/>
      <c r="AE67" s="32"/>
    </row>
    <row r="68" spans="2:31" ht="16.95" customHeight="1">
      <c r="B68" s="1445" t="s">
        <v>366</v>
      </c>
      <c r="C68" s="1365"/>
      <c r="D68" s="996" t="s">
        <v>317</v>
      </c>
      <c r="E68" s="1365"/>
      <c r="F68" s="1400"/>
      <c r="G68" s="1365"/>
      <c r="H68" s="1365"/>
      <c r="I68" s="1378"/>
      <c r="J68" s="996" t="s">
        <v>367</v>
      </c>
      <c r="K68" s="1365"/>
      <c r="L68" s="996" t="s">
        <v>368</v>
      </c>
      <c r="M68" s="1365"/>
      <c r="N68" s="1490"/>
      <c r="O68" s="1365"/>
      <c r="P68" s="1365"/>
      <c r="Q68" s="1378"/>
      <c r="R68" s="996" t="s">
        <v>369</v>
      </c>
      <c r="S68" s="1365"/>
      <c r="T68" s="996" t="s">
        <v>370</v>
      </c>
      <c r="U68" s="1365"/>
      <c r="V68" s="1399" t="s">
        <v>371</v>
      </c>
      <c r="W68" s="1365"/>
      <c r="X68" s="1365"/>
      <c r="Y68" s="1376"/>
      <c r="Z68" s="32"/>
      <c r="AA68" s="32"/>
      <c r="AB68" s="32"/>
      <c r="AC68" s="32"/>
      <c r="AD68" s="32"/>
      <c r="AE68" s="32"/>
    </row>
    <row r="69" spans="2:31" ht="16.95" customHeight="1">
      <c r="B69" s="1465" t="s">
        <v>372</v>
      </c>
      <c r="C69" s="1365"/>
      <c r="D69" s="1401" t="s">
        <v>320</v>
      </c>
      <c r="E69" s="1365"/>
      <c r="F69" s="1422"/>
      <c r="G69" s="1365"/>
      <c r="H69" s="1365"/>
      <c r="I69" s="1378"/>
      <c r="J69" s="611"/>
      <c r="K69" s="611"/>
      <c r="L69" s="611"/>
      <c r="M69" s="611"/>
      <c r="N69" s="611"/>
      <c r="O69" s="611"/>
      <c r="P69" s="611"/>
      <c r="Q69" s="612"/>
      <c r="R69" s="1402" t="s">
        <v>63</v>
      </c>
      <c r="S69" s="1365"/>
      <c r="T69" s="1402" t="s">
        <v>373</v>
      </c>
      <c r="U69" s="1365"/>
      <c r="V69" s="1379"/>
      <c r="W69" s="1365"/>
      <c r="X69" s="1365"/>
      <c r="Y69" s="1376"/>
      <c r="Z69" s="32"/>
      <c r="AA69" s="32"/>
      <c r="AB69" s="32"/>
      <c r="AC69" s="32"/>
      <c r="AD69" s="32"/>
      <c r="AE69" s="32"/>
    </row>
    <row r="70" spans="2:31" ht="16.95" customHeight="1">
      <c r="B70" s="1445" t="s">
        <v>374</v>
      </c>
      <c r="C70" s="1365"/>
      <c r="D70" s="996" t="s">
        <v>318</v>
      </c>
      <c r="E70" s="1365"/>
      <c r="F70" s="1400"/>
      <c r="G70" s="1365"/>
      <c r="H70" s="1365"/>
      <c r="I70" s="1378"/>
      <c r="Q70" s="375"/>
      <c r="R70" s="996" t="s">
        <v>70</v>
      </c>
      <c r="S70" s="1365"/>
      <c r="T70" s="996" t="s">
        <v>375</v>
      </c>
      <c r="U70" s="1365"/>
      <c r="V70" s="1459"/>
      <c r="W70" s="1365"/>
      <c r="X70" s="1365"/>
      <c r="Y70" s="1376"/>
      <c r="Z70" s="32"/>
      <c r="AA70" s="32"/>
      <c r="AB70" s="32"/>
      <c r="AC70" s="32"/>
      <c r="AD70" s="32"/>
      <c r="AE70" s="32"/>
    </row>
    <row r="71" spans="2:31" ht="16.95" customHeight="1">
      <c r="B71" s="1450" t="s">
        <v>376</v>
      </c>
      <c r="C71" s="1365"/>
      <c r="D71" s="1402" t="s">
        <v>316</v>
      </c>
      <c r="E71" s="1365"/>
      <c r="F71" s="1454" t="s">
        <v>377</v>
      </c>
      <c r="G71" s="1365"/>
      <c r="H71" s="1365"/>
      <c r="I71" s="1378"/>
      <c r="J71" s="611"/>
      <c r="K71" s="611"/>
      <c r="L71" s="611"/>
      <c r="M71" s="611"/>
      <c r="N71" s="611"/>
      <c r="O71" s="611"/>
      <c r="P71" s="611"/>
      <c r="Q71" s="612"/>
      <c r="R71" s="1402" t="s">
        <v>76</v>
      </c>
      <c r="S71" s="1365"/>
      <c r="T71" s="1402"/>
      <c r="U71" s="1365"/>
      <c r="V71" s="1395" t="s">
        <v>378</v>
      </c>
      <c r="W71" s="1365"/>
      <c r="X71" s="1365"/>
      <c r="Y71" s="1376"/>
      <c r="Z71" s="32"/>
      <c r="AA71" s="32"/>
      <c r="AB71" s="32"/>
      <c r="AC71" s="32"/>
      <c r="AD71" s="32"/>
      <c r="AE71" s="32"/>
    </row>
    <row r="72" spans="2:31" ht="16.95" customHeight="1">
      <c r="B72" s="1435" t="s">
        <v>379</v>
      </c>
      <c r="C72" s="1365"/>
      <c r="D72" s="1390" t="s">
        <v>315</v>
      </c>
      <c r="E72" s="1365"/>
      <c r="F72" s="1458"/>
      <c r="G72" s="1365"/>
      <c r="H72" s="1365"/>
      <c r="I72" s="1378"/>
      <c r="J72" s="1327" t="s">
        <v>86</v>
      </c>
      <c r="K72" s="1365"/>
      <c r="L72" s="1390" t="s">
        <v>380</v>
      </c>
      <c r="M72" s="1365"/>
      <c r="N72" s="1377" t="s">
        <v>381</v>
      </c>
      <c r="O72" s="1365"/>
      <c r="P72" s="1365"/>
      <c r="Q72" s="1378"/>
      <c r="R72" s="1390" t="s">
        <v>79</v>
      </c>
      <c r="S72" s="1365"/>
      <c r="T72" s="996"/>
      <c r="U72" s="1365"/>
      <c r="V72" s="1498" t="s">
        <v>382</v>
      </c>
      <c r="W72" s="1365"/>
      <c r="X72" s="1365"/>
      <c r="Y72" s="1376"/>
      <c r="Z72" s="32"/>
      <c r="AA72" s="32"/>
      <c r="AB72" s="32"/>
      <c r="AC72" s="32"/>
      <c r="AD72" s="32"/>
      <c r="AE72" s="32"/>
    </row>
    <row r="73" spans="2:31" ht="16.95" customHeight="1">
      <c r="B73" s="1450" t="s">
        <v>383</v>
      </c>
      <c r="C73" s="1365"/>
      <c r="D73" s="1402" t="s">
        <v>319</v>
      </c>
      <c r="E73" s="1365"/>
      <c r="F73" s="1454"/>
      <c r="G73" s="1365"/>
      <c r="H73" s="1365"/>
      <c r="I73" s="1378"/>
      <c r="J73" s="1402" t="s">
        <v>94</v>
      </c>
      <c r="K73" s="1365"/>
      <c r="L73" s="1402" t="s">
        <v>384</v>
      </c>
      <c r="M73" s="1365"/>
      <c r="N73" s="1428" t="s">
        <v>385</v>
      </c>
      <c r="O73" s="1365"/>
      <c r="P73" s="1365"/>
      <c r="Q73" s="1378"/>
      <c r="R73" s="1402" t="s">
        <v>87</v>
      </c>
      <c r="S73" s="1365"/>
      <c r="T73" s="1402" t="s">
        <v>386</v>
      </c>
      <c r="U73" s="1365"/>
      <c r="V73" s="1395" t="s">
        <v>387</v>
      </c>
      <c r="W73" s="1365"/>
      <c r="X73" s="1365"/>
      <c r="Y73" s="1376"/>
      <c r="Z73" s="32"/>
      <c r="AA73" s="32"/>
      <c r="AB73" s="32"/>
      <c r="AC73" s="32"/>
      <c r="AD73" s="32"/>
      <c r="AE73" s="32"/>
    </row>
    <row r="74" spans="2:31" ht="16.95" customHeight="1">
      <c r="B74" s="1476" t="s">
        <v>388</v>
      </c>
      <c r="C74" s="1397"/>
      <c r="D74" s="1477"/>
      <c r="E74" s="1397"/>
      <c r="F74" s="1457" t="s">
        <v>389</v>
      </c>
      <c r="G74" s="1397"/>
      <c r="H74" s="1397"/>
      <c r="I74" s="1398"/>
      <c r="J74" s="1456" t="s">
        <v>96</v>
      </c>
      <c r="K74" s="1397"/>
      <c r="L74" s="1456" t="s">
        <v>390</v>
      </c>
      <c r="M74" s="1397"/>
      <c r="N74" s="1396" t="s">
        <v>391</v>
      </c>
      <c r="O74" s="1397"/>
      <c r="P74" s="1397"/>
      <c r="Q74" s="1398"/>
      <c r="R74" s="1455" t="s">
        <v>132</v>
      </c>
      <c r="S74" s="1397"/>
      <c r="T74" s="1456" t="s">
        <v>392</v>
      </c>
      <c r="U74" s="1397"/>
      <c r="V74" s="1462"/>
      <c r="W74" s="1397"/>
      <c r="X74" s="1397"/>
      <c r="Y74" s="1463"/>
      <c r="Z74" s="32"/>
      <c r="AA74" s="32"/>
      <c r="AB74" s="32"/>
      <c r="AC74" s="32"/>
      <c r="AD74" s="32"/>
      <c r="AE74" s="32"/>
    </row>
    <row r="75" spans="2:31" ht="16.95" customHeight="1">
      <c r="B75" s="1482" t="s">
        <v>393</v>
      </c>
      <c r="C75" s="1365"/>
      <c r="D75" s="1365"/>
      <c r="E75" s="1365"/>
      <c r="F75" s="1365"/>
      <c r="G75" s="1365"/>
      <c r="Z75" s="32"/>
      <c r="AA75" s="32"/>
      <c r="AB75" s="32"/>
      <c r="AC75" s="32"/>
      <c r="AD75" s="32"/>
      <c r="AE75" s="32"/>
    </row>
    <row r="76" spans="2:31" ht="16.95" customHeight="1">
      <c r="B76" s="1365"/>
      <c r="C76" s="1365"/>
      <c r="D76" s="1365"/>
      <c r="E76" s="1365"/>
      <c r="F76" s="1365"/>
      <c r="G76" s="1365"/>
      <c r="H76" s="32"/>
      <c r="I76" s="32"/>
      <c r="J76" s="32"/>
      <c r="K76" s="32"/>
      <c r="L76" s="32"/>
      <c r="M76" s="32"/>
      <c r="N76" s="32"/>
      <c r="O76" s="32"/>
      <c r="P76" s="32"/>
      <c r="Q76" s="32"/>
      <c r="R76" s="32"/>
      <c r="S76" s="32"/>
      <c r="T76" s="32"/>
      <c r="U76" s="32"/>
      <c r="V76" s="32"/>
      <c r="W76" s="32"/>
      <c r="X76" s="32"/>
      <c r="Y76" s="32"/>
    </row>
    <row r="77" spans="2:31" ht="16.95" customHeight="1">
      <c r="B77" s="1486" t="s">
        <v>394</v>
      </c>
      <c r="C77" s="1088"/>
      <c r="D77" s="1088"/>
      <c r="E77" s="1088"/>
      <c r="F77" s="1088"/>
      <c r="G77" s="1088"/>
      <c r="H77" s="1088"/>
      <c r="I77" s="1088"/>
      <c r="J77" s="1088"/>
      <c r="K77" s="1088"/>
      <c r="L77" s="1088"/>
      <c r="M77" s="1088"/>
      <c r="N77" s="1088"/>
      <c r="O77" s="1088"/>
      <c r="P77" s="1088"/>
      <c r="Q77" s="1088"/>
      <c r="R77" s="1088"/>
      <c r="S77" s="1088"/>
      <c r="T77" s="1088"/>
      <c r="U77" s="1088"/>
      <c r="V77" s="1088"/>
      <c r="W77" s="1088"/>
      <c r="X77" s="1088"/>
      <c r="Y77" s="1088"/>
      <c r="Z77" s="1088"/>
      <c r="AA77" s="1088"/>
      <c r="AB77" s="1088"/>
      <c r="AC77" s="1088"/>
      <c r="AD77" s="1088"/>
      <c r="AE77" s="1089"/>
    </row>
    <row r="78" spans="2:31">
      <c r="B78" s="1090"/>
      <c r="C78" s="1019"/>
      <c r="D78" s="1019"/>
      <c r="E78" s="1019"/>
      <c r="F78" s="1019"/>
      <c r="G78" s="1019"/>
      <c r="H78" s="1019"/>
      <c r="I78" s="1019"/>
      <c r="J78" s="1019"/>
      <c r="K78" s="1019"/>
      <c r="L78" s="1019"/>
      <c r="M78" s="1019"/>
      <c r="N78" s="1019"/>
      <c r="O78" s="1019"/>
      <c r="P78" s="1019"/>
      <c r="Q78" s="1019"/>
      <c r="R78" s="1019"/>
      <c r="S78" s="1019"/>
      <c r="T78" s="1019"/>
      <c r="U78" s="1019"/>
      <c r="V78" s="1019"/>
      <c r="W78" s="1019"/>
      <c r="X78" s="1019"/>
      <c r="Y78" s="1019"/>
      <c r="Z78" s="1019"/>
      <c r="AA78" s="1019"/>
      <c r="AB78" s="1019"/>
      <c r="AC78" s="1019"/>
      <c r="AD78" s="1019"/>
      <c r="AE78" s="1091"/>
    </row>
    <row r="79" spans="2:31" ht="16.95" customHeight="1">
      <c r="B79" s="1425" t="s">
        <v>90</v>
      </c>
      <c r="C79" s="1365"/>
      <c r="D79" s="1365"/>
      <c r="E79" s="1446" t="s">
        <v>395</v>
      </c>
      <c r="F79" s="1365"/>
      <c r="G79" s="1365"/>
      <c r="H79" s="1446" t="s">
        <v>100</v>
      </c>
      <c r="I79" s="1365"/>
      <c r="J79" s="1429" t="s">
        <v>108</v>
      </c>
      <c r="K79" s="1365"/>
      <c r="L79" s="1365"/>
      <c r="M79" s="1365"/>
      <c r="N79" s="1365"/>
      <c r="O79" s="1365"/>
      <c r="P79" s="1365"/>
      <c r="Q79" s="1365"/>
      <c r="R79" s="1365"/>
      <c r="S79" s="1365"/>
      <c r="T79" s="1365"/>
      <c r="U79" s="1365"/>
      <c r="V79" s="1365"/>
      <c r="W79" s="1365"/>
      <c r="X79" s="1365"/>
      <c r="Y79" s="1365"/>
      <c r="Z79" s="1365"/>
      <c r="AA79" s="1365"/>
      <c r="AB79" s="1365"/>
      <c r="AC79" s="1365"/>
      <c r="AD79" s="1365"/>
      <c r="AE79" s="1015"/>
    </row>
    <row r="80" spans="2:31">
      <c r="B80" s="1364" t="s">
        <v>396</v>
      </c>
      <c r="C80" s="1365"/>
      <c r="D80" s="1365"/>
      <c r="E80" s="1392" t="s">
        <v>397</v>
      </c>
      <c r="F80" s="1365"/>
      <c r="G80" s="1365"/>
      <c r="H80" s="1392">
        <v>70</v>
      </c>
      <c r="I80" s="1365"/>
      <c r="J80" s="1469" t="s">
        <v>398</v>
      </c>
      <c r="K80" s="1365"/>
      <c r="L80" s="1365"/>
      <c r="M80" s="1365"/>
      <c r="N80" s="1365"/>
      <c r="O80" s="1365"/>
      <c r="P80" s="1365"/>
      <c r="Q80" s="1365"/>
      <c r="R80" s="1365"/>
      <c r="S80" s="1365"/>
      <c r="T80" s="1365"/>
      <c r="U80" s="1365"/>
      <c r="V80" s="1365"/>
      <c r="W80" s="1365"/>
      <c r="X80" s="1365"/>
      <c r="Y80" s="1365"/>
      <c r="Z80" s="1365"/>
      <c r="AA80" s="1365"/>
      <c r="AB80" s="1365"/>
      <c r="AC80" s="1365"/>
      <c r="AD80" s="1365"/>
      <c r="AE80" s="1015"/>
    </row>
    <row r="81" spans="2:31">
      <c r="B81" s="1034"/>
      <c r="C81" s="1365"/>
      <c r="D81" s="1365"/>
      <c r="E81" s="1365"/>
      <c r="F81" s="1365"/>
      <c r="G81" s="1365"/>
      <c r="H81" s="1365"/>
      <c r="I81" s="1365"/>
      <c r="J81" s="1365"/>
      <c r="K81" s="1365"/>
      <c r="L81" s="1365"/>
      <c r="M81" s="1365"/>
      <c r="N81" s="1365"/>
      <c r="O81" s="1365"/>
      <c r="P81" s="1365"/>
      <c r="Q81" s="1365"/>
      <c r="R81" s="1365"/>
      <c r="S81" s="1365"/>
      <c r="T81" s="1365"/>
      <c r="U81" s="1365"/>
      <c r="V81" s="1365"/>
      <c r="W81" s="1365"/>
      <c r="X81" s="1365"/>
      <c r="Y81" s="1365"/>
      <c r="Z81" s="1365"/>
      <c r="AA81" s="1365"/>
      <c r="AB81" s="1365"/>
      <c r="AC81" s="1365"/>
      <c r="AD81" s="1365"/>
      <c r="AE81" s="1015"/>
    </row>
    <row r="82" spans="2:31">
      <c r="B82" s="1381" t="s">
        <v>399</v>
      </c>
      <c r="C82" s="1365"/>
      <c r="D82" s="1365"/>
      <c r="E82" s="1393" t="s">
        <v>400</v>
      </c>
      <c r="F82" s="1365"/>
      <c r="G82" s="1365"/>
      <c r="H82" s="1393">
        <v>60</v>
      </c>
      <c r="I82" s="1365"/>
      <c r="J82" s="1391" t="s">
        <v>401</v>
      </c>
      <c r="K82" s="1365"/>
      <c r="L82" s="1365"/>
      <c r="M82" s="1365"/>
      <c r="N82" s="1365"/>
      <c r="O82" s="1365"/>
      <c r="P82" s="1365"/>
      <c r="Q82" s="1365"/>
      <c r="R82" s="1365"/>
      <c r="S82" s="1365"/>
      <c r="T82" s="1365"/>
      <c r="U82" s="1365"/>
      <c r="V82" s="1365"/>
      <c r="W82" s="1365"/>
      <c r="X82" s="1365"/>
      <c r="Y82" s="1365"/>
      <c r="Z82" s="1365"/>
      <c r="AA82" s="1365"/>
      <c r="AB82" s="1365"/>
      <c r="AC82" s="1365"/>
      <c r="AD82" s="1365"/>
      <c r="AE82" s="1015"/>
    </row>
    <row r="83" spans="2:31">
      <c r="B83" s="1034"/>
      <c r="C83" s="1365"/>
      <c r="D83" s="1365"/>
      <c r="E83" s="1365"/>
      <c r="F83" s="1365"/>
      <c r="G83" s="1365"/>
      <c r="H83" s="1365"/>
      <c r="I83" s="1365"/>
      <c r="J83" s="1365"/>
      <c r="K83" s="1365"/>
      <c r="L83" s="1365"/>
      <c r="M83" s="1365"/>
      <c r="N83" s="1365"/>
      <c r="O83" s="1365"/>
      <c r="P83" s="1365"/>
      <c r="Q83" s="1365"/>
      <c r="R83" s="1365"/>
      <c r="S83" s="1365"/>
      <c r="T83" s="1365"/>
      <c r="U83" s="1365"/>
      <c r="V83" s="1365"/>
      <c r="W83" s="1365"/>
      <c r="X83" s="1365"/>
      <c r="Y83" s="1365"/>
      <c r="Z83" s="1365"/>
      <c r="AA83" s="1365"/>
      <c r="AB83" s="1365"/>
      <c r="AC83" s="1365"/>
      <c r="AD83" s="1365"/>
      <c r="AE83" s="1015"/>
    </row>
    <row r="84" spans="2:31">
      <c r="B84" s="1364" t="s">
        <v>402</v>
      </c>
      <c r="C84" s="1365"/>
      <c r="D84" s="1365"/>
      <c r="E84" s="1392" t="s">
        <v>400</v>
      </c>
      <c r="F84" s="1365"/>
      <c r="G84" s="1365"/>
      <c r="H84" s="1394">
        <v>60</v>
      </c>
      <c r="I84" s="1365"/>
      <c r="J84" s="1369" t="s">
        <v>403</v>
      </c>
      <c r="K84" s="1365"/>
      <c r="L84" s="1365"/>
      <c r="M84" s="1365"/>
      <c r="N84" s="1365"/>
      <c r="O84" s="1365"/>
      <c r="P84" s="1365"/>
      <c r="Q84" s="1365"/>
      <c r="R84" s="1365"/>
      <c r="S84" s="1365"/>
      <c r="T84" s="1365"/>
      <c r="U84" s="1365"/>
      <c r="V84" s="1365"/>
      <c r="W84" s="1365"/>
      <c r="X84" s="1365"/>
      <c r="Y84" s="1365"/>
      <c r="Z84" s="1365"/>
      <c r="AA84" s="1365"/>
      <c r="AB84" s="1365"/>
      <c r="AC84" s="1365"/>
      <c r="AD84" s="1365"/>
      <c r="AE84" s="1015"/>
    </row>
    <row r="85" spans="2:31">
      <c r="B85" s="1034"/>
      <c r="C85" s="1365"/>
      <c r="D85" s="1365"/>
      <c r="E85" s="1365"/>
      <c r="F85" s="1365"/>
      <c r="G85" s="1365"/>
      <c r="H85" s="1365"/>
      <c r="I85" s="1365"/>
      <c r="J85" s="1365"/>
      <c r="K85" s="1365"/>
      <c r="L85" s="1365"/>
      <c r="M85" s="1365"/>
      <c r="N85" s="1365"/>
      <c r="O85" s="1365"/>
      <c r="P85" s="1365"/>
      <c r="Q85" s="1365"/>
      <c r="R85" s="1365"/>
      <c r="S85" s="1365"/>
      <c r="T85" s="1365"/>
      <c r="U85" s="1365"/>
      <c r="V85" s="1365"/>
      <c r="W85" s="1365"/>
      <c r="X85" s="1365"/>
      <c r="Y85" s="1365"/>
      <c r="Z85" s="1365"/>
      <c r="AA85" s="1365"/>
      <c r="AB85" s="1365"/>
      <c r="AC85" s="1365"/>
      <c r="AD85" s="1365"/>
      <c r="AE85" s="1015"/>
    </row>
    <row r="86" spans="2:31">
      <c r="B86" s="1381" t="s">
        <v>404</v>
      </c>
      <c r="C86" s="1365"/>
      <c r="D86" s="1365"/>
      <c r="E86" s="1393" t="s">
        <v>400</v>
      </c>
      <c r="F86" s="1365"/>
      <c r="G86" s="1365"/>
      <c r="H86" s="1393">
        <v>60</v>
      </c>
      <c r="I86" s="1365"/>
      <c r="J86" s="1391" t="s">
        <v>405</v>
      </c>
      <c r="K86" s="1365"/>
      <c r="L86" s="1365"/>
      <c r="M86" s="1365"/>
      <c r="N86" s="1365"/>
      <c r="O86" s="1365"/>
      <c r="P86" s="1365"/>
      <c r="Q86" s="1365"/>
      <c r="R86" s="1365"/>
      <c r="S86" s="1365"/>
      <c r="T86" s="1365"/>
      <c r="U86" s="1365"/>
      <c r="V86" s="1365"/>
      <c r="W86" s="1365"/>
      <c r="X86" s="1365"/>
      <c r="Y86" s="1365"/>
      <c r="Z86" s="1365"/>
      <c r="AA86" s="1365"/>
      <c r="AB86" s="1365"/>
      <c r="AC86" s="1365"/>
      <c r="AD86" s="1365"/>
      <c r="AE86" s="1015"/>
    </row>
    <row r="87" spans="2:31">
      <c r="B87" s="1034"/>
      <c r="C87" s="1365"/>
      <c r="D87" s="1365"/>
      <c r="E87" s="1365"/>
      <c r="F87" s="1365"/>
      <c r="G87" s="1365"/>
      <c r="H87" s="1365"/>
      <c r="I87" s="1365"/>
      <c r="J87" s="1365"/>
      <c r="K87" s="1365"/>
      <c r="L87" s="1365"/>
      <c r="M87" s="1365"/>
      <c r="N87" s="1365"/>
      <c r="O87" s="1365"/>
      <c r="P87" s="1365"/>
      <c r="Q87" s="1365"/>
      <c r="R87" s="1365"/>
      <c r="S87" s="1365"/>
      <c r="T87" s="1365"/>
      <c r="U87" s="1365"/>
      <c r="V87" s="1365"/>
      <c r="W87" s="1365"/>
      <c r="X87" s="1365"/>
      <c r="Y87" s="1365"/>
      <c r="Z87" s="1365"/>
      <c r="AA87" s="1365"/>
      <c r="AB87" s="1365"/>
      <c r="AC87" s="1365"/>
      <c r="AD87" s="1365"/>
      <c r="AE87" s="1015"/>
    </row>
    <row r="88" spans="2:31">
      <c r="B88" s="1364" t="s">
        <v>406</v>
      </c>
      <c r="C88" s="1365"/>
      <c r="D88" s="1365"/>
      <c r="E88" s="1466" t="s">
        <v>407</v>
      </c>
      <c r="F88" s="1365"/>
      <c r="G88" s="1365"/>
      <c r="H88" s="1394">
        <v>0</v>
      </c>
      <c r="I88" s="1365"/>
      <c r="J88" s="1369" t="s">
        <v>408</v>
      </c>
      <c r="K88" s="1365"/>
      <c r="L88" s="1365"/>
      <c r="M88" s="1365"/>
      <c r="N88" s="1365"/>
      <c r="O88" s="1365"/>
      <c r="P88" s="1365"/>
      <c r="Q88" s="1365"/>
      <c r="R88" s="1365"/>
      <c r="S88" s="1365"/>
      <c r="T88" s="1365"/>
      <c r="U88" s="1365"/>
      <c r="V88" s="1365"/>
      <c r="W88" s="1365"/>
      <c r="X88" s="1365"/>
      <c r="Y88" s="1365"/>
      <c r="Z88" s="1365"/>
      <c r="AA88" s="1365"/>
      <c r="AB88" s="1365"/>
      <c r="AC88" s="1365"/>
      <c r="AD88" s="1365"/>
      <c r="AE88" s="1015"/>
    </row>
    <row r="89" spans="2:31">
      <c r="B89" s="1034"/>
      <c r="C89" s="1365"/>
      <c r="D89" s="1365"/>
      <c r="E89" s="1365"/>
      <c r="F89" s="1365"/>
      <c r="G89" s="1365"/>
      <c r="H89" s="1365"/>
      <c r="I89" s="1365"/>
      <c r="J89" s="1365"/>
      <c r="K89" s="1365"/>
      <c r="L89" s="1365"/>
      <c r="M89" s="1365"/>
      <c r="N89" s="1365"/>
      <c r="O89" s="1365"/>
      <c r="P89" s="1365"/>
      <c r="Q89" s="1365"/>
      <c r="R89" s="1365"/>
      <c r="S89" s="1365"/>
      <c r="T89" s="1365"/>
      <c r="U89" s="1365"/>
      <c r="V89" s="1365"/>
      <c r="W89" s="1365"/>
      <c r="X89" s="1365"/>
      <c r="Y89" s="1365"/>
      <c r="Z89" s="1365"/>
      <c r="AA89" s="1365"/>
      <c r="AB89" s="1365"/>
      <c r="AC89" s="1365"/>
      <c r="AD89" s="1365"/>
      <c r="AE89" s="1015"/>
    </row>
    <row r="90" spans="2:31">
      <c r="B90" s="1484" t="str">
        <f>IF(ISBLANK(人物卡!BC26),"",人物卡!BC26)</f>
        <v/>
      </c>
      <c r="C90" s="1365"/>
      <c r="D90" s="1365"/>
      <c r="E90" s="1480" t="str">
        <f>IF(ISBLANK(人物卡!BC28),"",人物卡!BC28)</f>
        <v/>
      </c>
      <c r="F90" s="1365"/>
      <c r="G90" s="1365"/>
      <c r="H90" s="1480" t="str">
        <f>IF(ISBLANK(人物卡!BG28),"",人物卡!BG28)</f>
        <v/>
      </c>
      <c r="I90" s="1365"/>
      <c r="J90" s="1461" t="str">
        <f>IF(ISBLANK(人物卡!BC30),"",人物卡!BC30)</f>
        <v/>
      </c>
      <c r="K90" s="1365"/>
      <c r="L90" s="1365"/>
      <c r="M90" s="1365"/>
      <c r="N90" s="1365"/>
      <c r="O90" s="1365"/>
      <c r="P90" s="1365"/>
      <c r="Q90" s="1365"/>
      <c r="R90" s="1365"/>
      <c r="S90" s="1365"/>
      <c r="T90" s="1365"/>
      <c r="U90" s="1365"/>
      <c r="V90" s="1365"/>
      <c r="W90" s="1365"/>
      <c r="X90" s="1365"/>
      <c r="Y90" s="1365"/>
      <c r="Z90" s="1365"/>
      <c r="AA90" s="1365"/>
      <c r="AB90" s="1365"/>
      <c r="AC90" s="1365"/>
      <c r="AD90" s="1365"/>
      <c r="AE90" s="1015"/>
    </row>
    <row r="91" spans="2:31">
      <c r="B91" s="1090"/>
      <c r="C91" s="1019"/>
      <c r="D91" s="1019"/>
      <c r="E91" s="1019"/>
      <c r="F91" s="1019"/>
      <c r="G91" s="1019"/>
      <c r="H91" s="1019"/>
      <c r="I91" s="1019"/>
      <c r="J91" s="1019"/>
      <c r="K91" s="1019"/>
      <c r="L91" s="1019"/>
      <c r="M91" s="1019"/>
      <c r="N91" s="1019"/>
      <c r="O91" s="1019"/>
      <c r="P91" s="1019"/>
      <c r="Q91" s="1019"/>
      <c r="R91" s="1019"/>
      <c r="S91" s="1019"/>
      <c r="T91" s="1019"/>
      <c r="U91" s="1019"/>
      <c r="V91" s="1019"/>
      <c r="W91" s="1019"/>
      <c r="X91" s="1019"/>
      <c r="Y91" s="1019"/>
      <c r="Z91" s="1019"/>
      <c r="AA91" s="1019"/>
      <c r="AB91" s="1019"/>
      <c r="AC91" s="1019"/>
      <c r="AD91" s="1019"/>
      <c r="AE91" s="1091"/>
    </row>
  </sheetData>
  <mergeCells count="338">
    <mergeCell ref="T8:V8"/>
    <mergeCell ref="U18:V18"/>
    <mergeCell ref="K22:M22"/>
    <mergeCell ref="D72:E72"/>
    <mergeCell ref="V72:Y72"/>
    <mergeCell ref="T70:U70"/>
    <mergeCell ref="K23:M23"/>
    <mergeCell ref="B2:M2"/>
    <mergeCell ref="R67:S67"/>
    <mergeCell ref="N17:P17"/>
    <mergeCell ref="R69:S69"/>
    <mergeCell ref="N19:P19"/>
    <mergeCell ref="H22:J22"/>
    <mergeCell ref="O26:P26"/>
    <mergeCell ref="D70:E70"/>
    <mergeCell ref="T34:V34"/>
    <mergeCell ref="T28:V28"/>
    <mergeCell ref="O27:P27"/>
    <mergeCell ref="G7:G8"/>
    <mergeCell ref="I7:I8"/>
    <mergeCell ref="N4:P4"/>
    <mergeCell ref="B3:B4"/>
    <mergeCell ref="T3:V3"/>
    <mergeCell ref="T5:V5"/>
    <mergeCell ref="T4:V4"/>
    <mergeCell ref="T7:V7"/>
    <mergeCell ref="K9:K10"/>
    <mergeCell ref="AD3:AE4"/>
    <mergeCell ref="D66:E66"/>
    <mergeCell ref="AD30:AE30"/>
    <mergeCell ref="N66:Q66"/>
    <mergeCell ref="N20:P20"/>
    <mergeCell ref="N68:Q68"/>
    <mergeCell ref="E24:G24"/>
    <mergeCell ref="R72:S72"/>
    <mergeCell ref="T72:U72"/>
    <mergeCell ref="AB12:AE12"/>
    <mergeCell ref="E18:F18"/>
    <mergeCell ref="B21:M21"/>
    <mergeCell ref="B23:D23"/>
    <mergeCell ref="N3:P3"/>
    <mergeCell ref="C35:F35"/>
    <mergeCell ref="L7:M8"/>
    <mergeCell ref="H23:J23"/>
    <mergeCell ref="B26:D26"/>
    <mergeCell ref="C36:G36"/>
    <mergeCell ref="N16:P16"/>
    <mergeCell ref="B27:M27"/>
    <mergeCell ref="Z33:AC33"/>
    <mergeCell ref="AB8:AE8"/>
    <mergeCell ref="D71:E71"/>
    <mergeCell ref="N5:P5"/>
    <mergeCell ref="T65:U65"/>
    <mergeCell ref="E19:F19"/>
    <mergeCell ref="G19:H19"/>
    <mergeCell ref="C33:F33"/>
    <mergeCell ref="F65:I65"/>
    <mergeCell ref="AB15:AE15"/>
    <mergeCell ref="E25:G25"/>
    <mergeCell ref="B24:D24"/>
    <mergeCell ref="I5:I6"/>
    <mergeCell ref="T6:V6"/>
    <mergeCell ref="Z13:AA13"/>
    <mergeCell ref="Z15:AA15"/>
    <mergeCell ref="F7:F8"/>
    <mergeCell ref="T10:V10"/>
    <mergeCell ref="Z29:AC29"/>
    <mergeCell ref="Z23:AC23"/>
    <mergeCell ref="B39:Y39"/>
    <mergeCell ref="N18:P18"/>
    <mergeCell ref="F5:F6"/>
    <mergeCell ref="T26:V26"/>
    <mergeCell ref="Z24:AC24"/>
    <mergeCell ref="N65:Q65"/>
    <mergeCell ref="U20:V20"/>
    <mergeCell ref="Z5:AE5"/>
    <mergeCell ref="B38:Y38"/>
    <mergeCell ref="J65:K65"/>
    <mergeCell ref="Z17:AA17"/>
    <mergeCell ref="Z25:AC25"/>
    <mergeCell ref="H88:I89"/>
    <mergeCell ref="N14:P14"/>
    <mergeCell ref="H90:I91"/>
    <mergeCell ref="AD33:AE33"/>
    <mergeCell ref="B75:G76"/>
    <mergeCell ref="T21:V21"/>
    <mergeCell ref="B71:C71"/>
    <mergeCell ref="Z31:AC31"/>
    <mergeCell ref="E90:G91"/>
    <mergeCell ref="B11:M11"/>
    <mergeCell ref="P37:Y37"/>
    <mergeCell ref="Z11:AA11"/>
    <mergeCell ref="C30:F30"/>
    <mergeCell ref="B90:D91"/>
    <mergeCell ref="Z12:AA12"/>
    <mergeCell ref="B20:M20"/>
    <mergeCell ref="B77:AE78"/>
    <mergeCell ref="U24:V24"/>
    <mergeCell ref="Z6:AA6"/>
    <mergeCell ref="B74:C74"/>
    <mergeCell ref="D74:E74"/>
    <mergeCell ref="B68:C68"/>
    <mergeCell ref="D68:E68"/>
    <mergeCell ref="B18:D18"/>
    <mergeCell ref="H25:J25"/>
    <mergeCell ref="Z9:AA9"/>
    <mergeCell ref="H9:H10"/>
    <mergeCell ref="Z16:AA16"/>
    <mergeCell ref="U14:V14"/>
    <mergeCell ref="T67:U67"/>
    <mergeCell ref="L9:M10"/>
    <mergeCell ref="B40:Y43"/>
    <mergeCell ref="L66:M66"/>
    <mergeCell ref="T66:U66"/>
    <mergeCell ref="B50:Y50"/>
    <mergeCell ref="T32:V32"/>
    <mergeCell ref="N12:P12"/>
    <mergeCell ref="O36:P36"/>
    <mergeCell ref="T13:V13"/>
    <mergeCell ref="E9:E10"/>
    <mergeCell ref="B70:C70"/>
    <mergeCell ref="O23:P23"/>
    <mergeCell ref="T25:V25"/>
    <mergeCell ref="J90:AE91"/>
    <mergeCell ref="V74:Y74"/>
    <mergeCell ref="E79:G79"/>
    <mergeCell ref="Z3:Z4"/>
    <mergeCell ref="B67:C67"/>
    <mergeCell ref="D7:D8"/>
    <mergeCell ref="I3:I4"/>
    <mergeCell ref="E88:G89"/>
    <mergeCell ref="O35:P35"/>
    <mergeCell ref="AD31:AE31"/>
    <mergeCell ref="N30:P30"/>
    <mergeCell ref="I9:J10"/>
    <mergeCell ref="B69:C69"/>
    <mergeCell ref="AA39:AE43"/>
    <mergeCell ref="AD32:AE32"/>
    <mergeCell ref="Z34:AE36"/>
    <mergeCell ref="AD26:AE26"/>
    <mergeCell ref="F70:I70"/>
    <mergeCell ref="H28:M36"/>
    <mergeCell ref="R73:S73"/>
    <mergeCell ref="F71:I71"/>
    <mergeCell ref="J73:K73"/>
    <mergeCell ref="AA3:AB4"/>
    <mergeCell ref="T23:V23"/>
    <mergeCell ref="Z7:AA7"/>
    <mergeCell ref="V65:Y65"/>
    <mergeCell ref="F73:I73"/>
    <mergeCell ref="C34:F34"/>
    <mergeCell ref="R74:S74"/>
    <mergeCell ref="T74:U74"/>
    <mergeCell ref="J74:K74"/>
    <mergeCell ref="T71:U71"/>
    <mergeCell ref="L74:M74"/>
    <mergeCell ref="H24:J24"/>
    <mergeCell ref="Z8:AA8"/>
    <mergeCell ref="F74:I74"/>
    <mergeCell ref="C29:F29"/>
    <mergeCell ref="H26:J26"/>
    <mergeCell ref="B25:D25"/>
    <mergeCell ref="T33:V33"/>
    <mergeCell ref="T69:U69"/>
    <mergeCell ref="O8:P8"/>
    <mergeCell ref="F72:I72"/>
    <mergeCell ref="V70:Y70"/>
    <mergeCell ref="Z14:AA14"/>
    <mergeCell ref="T16:V16"/>
    <mergeCell ref="O22:P22"/>
    <mergeCell ref="B9:B10"/>
    <mergeCell ref="AB7:AE7"/>
    <mergeCell ref="B66:C66"/>
    <mergeCell ref="B86:D87"/>
    <mergeCell ref="H79:I79"/>
    <mergeCell ref="AB14:AE14"/>
    <mergeCell ref="R70:S70"/>
    <mergeCell ref="O25:P25"/>
    <mergeCell ref="B37:O37"/>
    <mergeCell ref="AA45:AE49"/>
    <mergeCell ref="B45:Y45"/>
    <mergeCell ref="AA56:AE56"/>
    <mergeCell ref="L72:M72"/>
    <mergeCell ref="L65:M65"/>
    <mergeCell ref="B84:D85"/>
    <mergeCell ref="K26:M26"/>
    <mergeCell ref="K18:L18"/>
    <mergeCell ref="O33:P33"/>
    <mergeCell ref="AD29:AE29"/>
    <mergeCell ref="AD23:AE23"/>
    <mergeCell ref="R65:S65"/>
    <mergeCell ref="B73:C73"/>
    <mergeCell ref="N15:P15"/>
    <mergeCell ref="B17:M17"/>
    <mergeCell ref="C28:F28"/>
    <mergeCell ref="B72:C72"/>
    <mergeCell ref="D65:E65"/>
    <mergeCell ref="AF39:AN39"/>
    <mergeCell ref="C31:F31"/>
    <mergeCell ref="AB9:AE9"/>
    <mergeCell ref="E23:G23"/>
    <mergeCell ref="B22:D22"/>
    <mergeCell ref="T35:V35"/>
    <mergeCell ref="AB11:AE11"/>
    <mergeCell ref="AF37:AL38"/>
    <mergeCell ref="J67:K67"/>
    <mergeCell ref="L67:M67"/>
    <mergeCell ref="T9:V9"/>
    <mergeCell ref="T11:V11"/>
    <mergeCell ref="N13:P13"/>
    <mergeCell ref="O9:P9"/>
    <mergeCell ref="AB16:AE16"/>
    <mergeCell ref="Z21:AE21"/>
    <mergeCell ref="N10:P10"/>
    <mergeCell ref="T12:V12"/>
    <mergeCell ref="AB10:AE10"/>
    <mergeCell ref="T31:V31"/>
    <mergeCell ref="AA51:AE55"/>
    <mergeCell ref="AB13:AE13"/>
    <mergeCell ref="AF36:AO36"/>
    <mergeCell ref="D67:E67"/>
    <mergeCell ref="Z2:AE2"/>
    <mergeCell ref="B44:Y44"/>
    <mergeCell ref="F69:I69"/>
    <mergeCell ref="AB6:AE6"/>
    <mergeCell ref="AA57:AE57"/>
    <mergeCell ref="B79:D79"/>
    <mergeCell ref="K7:K8"/>
    <mergeCell ref="Z10:AA10"/>
    <mergeCell ref="N73:Q73"/>
    <mergeCell ref="J79:AE79"/>
    <mergeCell ref="O7:P7"/>
    <mergeCell ref="F67:I67"/>
    <mergeCell ref="AB17:AE17"/>
    <mergeCell ref="L3:L4"/>
    <mergeCell ref="N2:Y2"/>
    <mergeCell ref="F3:F4"/>
    <mergeCell ref="C32:F32"/>
    <mergeCell ref="L5:L6"/>
    <mergeCell ref="F9:G10"/>
    <mergeCell ref="AD25:AE25"/>
    <mergeCell ref="E26:G26"/>
    <mergeCell ref="T22:V22"/>
    <mergeCell ref="K3:K4"/>
    <mergeCell ref="C3:C4"/>
    <mergeCell ref="E3:E4"/>
    <mergeCell ref="I19:J19"/>
    <mergeCell ref="B7:B8"/>
    <mergeCell ref="K19:L19"/>
    <mergeCell ref="N67:Q67"/>
    <mergeCell ref="R71:S71"/>
    <mergeCell ref="C9:D10"/>
    <mergeCell ref="K5:K6"/>
    <mergeCell ref="C5:C6"/>
    <mergeCell ref="E5:E6"/>
    <mergeCell ref="O34:P34"/>
    <mergeCell ref="O28:P28"/>
    <mergeCell ref="B52:Y55"/>
    <mergeCell ref="U19:V19"/>
    <mergeCell ref="B19:D19"/>
    <mergeCell ref="T68:U68"/>
    <mergeCell ref="T27:V27"/>
    <mergeCell ref="H3:H4"/>
    <mergeCell ref="C7:C8"/>
    <mergeCell ref="E7:E8"/>
    <mergeCell ref="K24:M24"/>
    <mergeCell ref="H5:H6"/>
    <mergeCell ref="F66:I66"/>
    <mergeCell ref="N11:P11"/>
    <mergeCell ref="Z28:AC28"/>
    <mergeCell ref="N29:P29"/>
    <mergeCell ref="AD24:AE24"/>
    <mergeCell ref="AD28:AE28"/>
    <mergeCell ref="T30:V30"/>
    <mergeCell ref="K25:M25"/>
    <mergeCell ref="T29:V29"/>
    <mergeCell ref="G18:H18"/>
    <mergeCell ref="I18:J18"/>
    <mergeCell ref="T17:V17"/>
    <mergeCell ref="Z27:AC27"/>
    <mergeCell ref="O21:P21"/>
    <mergeCell ref="B46:Y49"/>
    <mergeCell ref="Z22:AC22"/>
    <mergeCell ref="V66:Y66"/>
    <mergeCell ref="Z50:AE50"/>
    <mergeCell ref="AD22:AE22"/>
    <mergeCell ref="Z32:AC32"/>
    <mergeCell ref="Z26:AC26"/>
    <mergeCell ref="O24:P24"/>
    <mergeCell ref="N32:P32"/>
    <mergeCell ref="E84:G85"/>
    <mergeCell ref="H86:I87"/>
    <mergeCell ref="E86:G87"/>
    <mergeCell ref="H80:I81"/>
    <mergeCell ref="H84:I85"/>
    <mergeCell ref="V71:Y71"/>
    <mergeCell ref="N74:Q74"/>
    <mergeCell ref="J68:K68"/>
    <mergeCell ref="L68:M68"/>
    <mergeCell ref="V68:Y68"/>
    <mergeCell ref="F68:I68"/>
    <mergeCell ref="J84:AE85"/>
    <mergeCell ref="J86:AE87"/>
    <mergeCell ref="D69:E69"/>
    <mergeCell ref="T73:U73"/>
    <mergeCell ref="L73:M73"/>
    <mergeCell ref="D73:E73"/>
    <mergeCell ref="V73:Y73"/>
    <mergeCell ref="E82:G83"/>
    <mergeCell ref="J80:AE81"/>
    <mergeCell ref="H82:I83"/>
    <mergeCell ref="B80:D81"/>
    <mergeCell ref="E80:G81"/>
    <mergeCell ref="J72:K72"/>
    <mergeCell ref="B88:D89"/>
    <mergeCell ref="T15:V15"/>
    <mergeCell ref="B5:B6"/>
    <mergeCell ref="B65:C65"/>
    <mergeCell ref="J88:AE89"/>
    <mergeCell ref="Z18:AE20"/>
    <mergeCell ref="Z30:AC30"/>
    <mergeCell ref="H7:H8"/>
    <mergeCell ref="N31:P31"/>
    <mergeCell ref="J7:J8"/>
    <mergeCell ref="V67:Y67"/>
    <mergeCell ref="N6:P6"/>
    <mergeCell ref="N72:Q72"/>
    <mergeCell ref="V69:Y69"/>
    <mergeCell ref="AD27:AE27"/>
    <mergeCell ref="B82:D83"/>
    <mergeCell ref="E22:G22"/>
    <mergeCell ref="B64:Y64"/>
    <mergeCell ref="T36:V36"/>
    <mergeCell ref="B51:Y51"/>
    <mergeCell ref="R66:S66"/>
    <mergeCell ref="J66:K66"/>
    <mergeCell ref="R68:S68"/>
    <mergeCell ref="J82:AE83"/>
  </mergeCells>
  <phoneticPr fontId="165" type="noConversion"/>
  <dataValidations count="4">
    <dataValidation allowBlank="1" showInputMessage="1" showErrorMessage="1" sqref="B3:D3 B4:D4 B5:C5 B6:C6 D5 D6 E3:F3 E4:F4 E5:F5 E6:F6 G3 G4 G5 G6 H3:I3 H4:I4 H5:I5 H6:I6 J3 J4 J5 J6 K3:L3 K4:L4 K5:L5 K6:L6 M3 M4 M5 M6" xr:uid="{00000000-0002-0000-0100-000000000000}"/>
    <dataValidation type="list" allowBlank="1" showInputMessage="1" showErrorMessage="1" sqref="Z3" xr:uid="{00000000-0002-0000-0100-000001000000}">
      <formula1>"公元,公元前"</formula1>
    </dataValidation>
    <dataValidation type="list" allowBlank="1" showInputMessage="1" showErrorMessage="1" sqref="AA3 AC3 AC4" xr:uid="{00000000-0002-0000-0100-000002000000}">
      <formula1>#REF!</formula1>
    </dataValidation>
    <dataValidation allowBlank="1" showErrorMessage="1" sqref="I18:J18 K18:L18 M18" xr:uid="{00000000-0002-0000-0100-000003000000}"/>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37"/>
  <sheetViews>
    <sheetView showGridLines="0" topLeftCell="A199" workbookViewId="0">
      <selection activeCell="G27" sqref="G27"/>
    </sheetView>
  </sheetViews>
  <sheetFormatPr defaultColWidth="9" defaultRowHeight="15.6"/>
  <cols>
    <col min="1" max="1" width="4.77734375" style="462" customWidth="1"/>
    <col min="2" max="3" width="12.6640625" style="463" customWidth="1"/>
    <col min="4" max="4" width="6.109375" style="464" customWidth="1"/>
    <col min="5" max="5" width="26.5546875" style="462" customWidth="1"/>
    <col min="6" max="6" width="7.6640625" style="462" customWidth="1"/>
    <col min="7" max="7" width="138" style="462" customWidth="1"/>
    <col min="8" max="8" width="12.88671875" style="463" customWidth="1"/>
    <col min="9" max="9" width="9.88671875" style="462" customWidth="1"/>
    <col min="10" max="10" width="9.44140625" style="462" customWidth="1"/>
    <col min="11" max="11" width="13.109375" style="462" hidden="1" customWidth="1"/>
    <col min="12" max="12" width="13.77734375" style="366" hidden="1" customWidth="1"/>
    <col min="13" max="13" width="17.6640625" style="366" hidden="1" customWidth="1"/>
    <col min="14" max="14" width="17.109375" style="366" hidden="1" customWidth="1"/>
    <col min="15" max="15" width="10.77734375" style="366" customWidth="1"/>
    <col min="16" max="16" width="8.5546875" style="366" customWidth="1"/>
    <col min="17" max="17" width="23.6640625" style="465" customWidth="1"/>
    <col min="18" max="18" width="8.109375" style="366" customWidth="1"/>
    <col min="19" max="20" width="9" style="366" customWidth="1"/>
    <col min="21" max="21" width="11.33203125" style="366" customWidth="1"/>
    <col min="22" max="23" width="9" style="366" customWidth="1"/>
    <col min="24" max="16384" width="9" style="366"/>
  </cols>
  <sheetData>
    <row r="1" spans="1:17" ht="32.549999999999997" customHeight="1">
      <c r="A1" s="466" t="s">
        <v>409</v>
      </c>
      <c r="B1" s="1539" t="s">
        <v>14</v>
      </c>
      <c r="C1" s="1088"/>
      <c r="D1" s="468" t="s">
        <v>94</v>
      </c>
      <c r="E1" s="467" t="s">
        <v>410</v>
      </c>
      <c r="F1" s="467" t="s">
        <v>411</v>
      </c>
      <c r="G1" s="469" t="s">
        <v>412</v>
      </c>
      <c r="H1" s="462"/>
      <c r="K1" s="1520" t="s">
        <v>413</v>
      </c>
      <c r="L1" s="1506"/>
      <c r="M1" s="1520" t="s">
        <v>147</v>
      </c>
      <c r="N1" s="1506"/>
    </row>
    <row r="2" spans="1:17">
      <c r="A2" s="470">
        <v>0</v>
      </c>
      <c r="B2" s="1531" t="s">
        <v>414</v>
      </c>
      <c r="C2" s="1503"/>
      <c r="D2" s="1532"/>
      <c r="E2" s="1516"/>
      <c r="F2" s="1516"/>
      <c r="G2" s="1015"/>
      <c r="H2" s="1508" t="s">
        <v>415</v>
      </c>
      <c r="I2" s="1525" t="s">
        <v>416</v>
      </c>
      <c r="J2" s="1526"/>
      <c r="K2" s="487"/>
      <c r="L2" s="488"/>
      <c r="M2" s="488"/>
      <c r="N2" s="488"/>
      <c r="O2" s="465"/>
      <c r="P2" s="465"/>
      <c r="Q2" s="32"/>
    </row>
    <row r="3" spans="1:17" ht="17.25" customHeight="1">
      <c r="A3" s="471">
        <v>1</v>
      </c>
      <c r="B3" s="472" t="str">
        <f>IF(C3="","自定义职业",C3)</f>
        <v>自定义职业</v>
      </c>
      <c r="C3" s="473"/>
      <c r="D3" s="474"/>
      <c r="E3" s="475" t="str">
        <f>附表!AA9</f>
        <v>教育×4</v>
      </c>
      <c r="F3" s="476" t="n">
        <f>SUM(附表!AF10:AF12)</f>
        <v>0</v>
      </c>
      <c r="G3" s="477" t="str">
        <f>IF(I3&lt;&gt;"",I3&amp;"，"&amp;I4&amp;"，"&amp;I5&amp;"，"&amp;I6&amp;"，"&amp;I7&amp;"，"&amp;I8&amp;"，"&amp;I9&amp;"，"&amp;I10,"不多于8个本职技能。在右侧职业属性中输入第二职业属性的数值（留空则视为EDU）并自行设置起始信誉。使用自定义职业前，请先咨询你的守秘人。")</f>
        <v>不多于8个本职技能。在右侧职业属性中输入第二职业属性的数值（留空则视为EDU）并自行设置起始信誉。使用自定义职业前，请先咨询你的守秘人。</v>
      </c>
      <c r="H3" s="1034"/>
      <c r="I3" s="1519"/>
      <c r="J3" s="1389"/>
      <c r="K3" s="1505" t="s">
        <v>417</v>
      </c>
      <c r="L3" s="1506"/>
      <c r="M3" s="489" t="s">
        <v>418</v>
      </c>
      <c r="N3" s="490"/>
      <c r="O3" s="465"/>
      <c r="P3" s="465"/>
      <c r="Q3" s="32"/>
    </row>
    <row r="4" spans="1:17">
      <c r="A4" s="470">
        <v>2</v>
      </c>
      <c r="B4" s="1503" t="s">
        <v>419</v>
      </c>
      <c r="C4" s="1503"/>
      <c r="D4" s="462" t="s">
        <v>420</v>
      </c>
      <c r="E4" s="462" t="s">
        <v>421</v>
      </c>
      <c r="F4" s="462" t="n">
        <f>EDU*4</f>
        <v>0</v>
      </c>
      <c r="G4" s="478" t="s">
        <v>422</v>
      </c>
      <c r="H4" s="1034"/>
      <c r="I4" s="1519"/>
      <c r="J4" s="1389"/>
      <c r="K4" s="1505" t="s">
        <v>423</v>
      </c>
      <c r="L4" s="1506"/>
      <c r="M4" s="489" t="s">
        <v>424</v>
      </c>
      <c r="N4" s="490"/>
      <c r="O4" s="465"/>
      <c r="P4" s="465"/>
      <c r="Q4" s="32"/>
    </row>
    <row r="5" spans="1:17">
      <c r="A5" s="479">
        <v>3</v>
      </c>
      <c r="B5" s="1509" t="s">
        <v>425</v>
      </c>
      <c r="C5" s="1503"/>
      <c r="D5" s="481" t="s">
        <v>426</v>
      </c>
      <c r="E5" s="482" t="s">
        <v>427</v>
      </c>
      <c r="F5" s="482" t="n">
        <f>EDU*2+DEX*2</f>
        <v>0</v>
      </c>
      <c r="G5" s="483" t="s">
        <v>428</v>
      </c>
      <c r="H5" s="1034"/>
      <c r="I5" s="1519"/>
      <c r="J5" s="1389"/>
      <c r="K5" s="1505" t="s">
        <v>429</v>
      </c>
      <c r="L5" s="1506"/>
      <c r="M5" s="489" t="s">
        <v>430</v>
      </c>
      <c r="N5" s="490"/>
      <c r="O5" s="465"/>
      <c r="P5" s="465"/>
      <c r="Q5" s="32"/>
    </row>
    <row r="6" spans="1:17">
      <c r="A6" s="470">
        <v>4</v>
      </c>
      <c r="B6" s="1503" t="s">
        <v>431</v>
      </c>
      <c r="C6" s="1503"/>
      <c r="D6" s="462" t="s">
        <v>432</v>
      </c>
      <c r="E6" s="462" t="s">
        <v>433</v>
      </c>
      <c r="F6" s="462" t="n">
        <f>EDU*2+APP*2</f>
        <v>0</v>
      </c>
      <c r="G6" s="478" t="s">
        <v>434</v>
      </c>
      <c r="H6" s="1034"/>
      <c r="I6" s="1519"/>
      <c r="J6" s="1389"/>
      <c r="K6" s="1505" t="s">
        <v>435</v>
      </c>
      <c r="L6" s="1506"/>
      <c r="M6" s="489" t="s">
        <v>436</v>
      </c>
      <c r="N6" s="490"/>
      <c r="O6" s="465"/>
      <c r="P6" s="465"/>
      <c r="Q6" s="32"/>
    </row>
    <row r="7" spans="1:17" ht="16.5" customHeight="1">
      <c r="A7" s="479">
        <v>5</v>
      </c>
      <c r="B7" s="1509" t="s">
        <v>437</v>
      </c>
      <c r="C7" s="1503"/>
      <c r="D7" s="481" t="s">
        <v>438</v>
      </c>
      <c r="E7" s="482" t="s">
        <v>433</v>
      </c>
      <c r="F7" s="482" t="n">
        <f>EDU*2+APP*2</f>
        <v>0</v>
      </c>
      <c r="G7" s="483" t="s">
        <v>439</v>
      </c>
      <c r="H7" s="1034"/>
      <c r="I7" s="1519"/>
      <c r="J7" s="1389"/>
      <c r="K7" s="1505" t="s">
        <v>440</v>
      </c>
      <c r="L7" s="1506"/>
      <c r="M7" s="489" t="s">
        <v>436</v>
      </c>
      <c r="N7" s="490"/>
      <c r="O7" s="465"/>
      <c r="P7" s="465"/>
      <c r="Q7" s="32"/>
    </row>
    <row r="8" spans="1:17">
      <c r="A8" s="470">
        <v>6</v>
      </c>
      <c r="B8" s="1503" t="s">
        <v>441</v>
      </c>
      <c r="C8" s="1503"/>
      <c r="D8" s="462" t="s">
        <v>442</v>
      </c>
      <c r="E8" s="462" t="s">
        <v>443</v>
      </c>
      <c r="F8" s="462" t="n">
        <f>EDU*2+MAX(STR*2,DEX*2)</f>
        <v>0</v>
      </c>
      <c r="G8" s="478" t="s">
        <v>444</v>
      </c>
      <c r="H8" s="1034"/>
      <c r="I8" s="1519"/>
      <c r="J8" s="1389"/>
      <c r="K8" s="1505" t="s">
        <v>445</v>
      </c>
      <c r="L8" s="1506"/>
      <c r="M8" s="489" t="s">
        <v>446</v>
      </c>
      <c r="N8" s="490"/>
      <c r="O8" s="465"/>
      <c r="P8" s="465"/>
      <c r="Q8" s="32"/>
    </row>
    <row r="9" spans="1:17">
      <c r="A9" s="479">
        <v>7</v>
      </c>
      <c r="B9" s="1509" t="s">
        <v>447</v>
      </c>
      <c r="C9" s="1503"/>
      <c r="D9" s="481" t="s">
        <v>448</v>
      </c>
      <c r="E9" s="482" t="s">
        <v>421</v>
      </c>
      <c r="F9" s="482" t="n">
        <f>EDU*4</f>
        <v>0</v>
      </c>
      <c r="G9" s="483" t="s">
        <v>449</v>
      </c>
      <c r="H9" s="1034"/>
      <c r="I9" s="1519" t="s">
        <v>212</v>
      </c>
      <c r="J9" s="1389"/>
      <c r="K9" s="1505" t="s">
        <v>450</v>
      </c>
      <c r="L9" s="1506"/>
      <c r="M9" s="489" t="s">
        <v>451</v>
      </c>
      <c r="N9" s="490"/>
      <c r="O9" s="465"/>
      <c r="P9" s="465"/>
      <c r="Q9" s="32"/>
    </row>
    <row r="10" spans="1:17">
      <c r="A10" s="470">
        <v>8</v>
      </c>
      <c r="B10" s="1503" t="s">
        <v>452</v>
      </c>
      <c r="C10" s="1503"/>
      <c r="D10" s="462" t="s">
        <v>453</v>
      </c>
      <c r="E10" s="462" t="s">
        <v>454</v>
      </c>
      <c r="F10" s="462" t="n">
        <f>EDU*2+MAX(APP*2,POW*2)</f>
        <v>0</v>
      </c>
      <c r="G10" s="478" t="s">
        <v>455</v>
      </c>
      <c r="H10" s="1034"/>
      <c r="I10" s="1519" t="s">
        <v>212</v>
      </c>
      <c r="J10" s="1389"/>
      <c r="K10" s="1505" t="s">
        <v>456</v>
      </c>
      <c r="L10" s="1506"/>
      <c r="M10" s="489" t="s">
        <v>457</v>
      </c>
      <c r="N10" s="490"/>
      <c r="O10" s="465"/>
      <c r="P10" s="465"/>
      <c r="Q10" s="32"/>
    </row>
    <row r="11" spans="1:17" ht="17.25" customHeight="1">
      <c r="A11" s="479">
        <v>9</v>
      </c>
      <c r="B11" s="1509" t="s">
        <v>458</v>
      </c>
      <c r="C11" s="1503"/>
      <c r="D11" s="481" t="s">
        <v>420</v>
      </c>
      <c r="E11" s="482" t="s">
        <v>421</v>
      </c>
      <c r="F11" s="482" t="n">
        <f>EDU*4</f>
        <v>0</v>
      </c>
      <c r="G11" s="483" t="s">
        <v>459</v>
      </c>
      <c r="I11" s="491" t="s">
        <v>460</v>
      </c>
      <c r="J11" s="492"/>
      <c r="K11" s="1505" t="s">
        <v>461</v>
      </c>
      <c r="L11" s="1506"/>
      <c r="M11" s="489" t="s">
        <v>462</v>
      </c>
      <c r="N11" s="490"/>
      <c r="O11" s="465"/>
      <c r="P11" s="465"/>
      <c r="Q11" s="32"/>
    </row>
    <row r="12" spans="1:17">
      <c r="A12" s="470">
        <v>10</v>
      </c>
      <c r="B12" s="1503" t="s">
        <v>463</v>
      </c>
      <c r="C12" s="1503"/>
      <c r="D12" s="462" t="s">
        <v>464</v>
      </c>
      <c r="E12" s="462" t="s">
        <v>421</v>
      </c>
      <c r="F12" s="462" t="n">
        <f>EDU*4</f>
        <v>0</v>
      </c>
      <c r="G12" s="478" t="s">
        <v>465</v>
      </c>
      <c r="H12" s="366"/>
      <c r="I12" s="366"/>
      <c r="J12" s="366"/>
      <c r="K12" s="1505" t="s">
        <v>466</v>
      </c>
      <c r="L12" s="1506"/>
      <c r="M12" s="489" t="s">
        <v>467</v>
      </c>
      <c r="N12" s="490"/>
      <c r="O12" s="465"/>
      <c r="P12" s="465"/>
      <c r="Q12" s="32"/>
    </row>
    <row r="13" spans="1:17">
      <c r="A13" s="479">
        <v>11</v>
      </c>
      <c r="B13" s="1509" t="s">
        <v>468</v>
      </c>
      <c r="C13" s="1503"/>
      <c r="D13" s="481" t="s">
        <v>453</v>
      </c>
      <c r="E13" s="482" t="s">
        <v>421</v>
      </c>
      <c r="F13" s="482" t="n">
        <f>EDU*4</f>
        <v>0</v>
      </c>
      <c r="G13" s="480" t="s">
        <v>469</v>
      </c>
      <c r="H13" s="1537" t="s">
        <v>470</v>
      </c>
      <c r="I13" s="1088"/>
      <c r="J13" s="1089"/>
      <c r="K13" s="1505" t="s">
        <v>471</v>
      </c>
      <c r="L13" s="1506"/>
      <c r="M13" s="489" t="s">
        <v>472</v>
      </c>
      <c r="N13" s="490"/>
      <c r="O13" s="465"/>
      <c r="P13" s="465"/>
      <c r="Q13" s="32"/>
    </row>
    <row r="14" spans="1:17">
      <c r="A14" s="470">
        <v>12</v>
      </c>
      <c r="B14" s="1503" t="s">
        <v>473</v>
      </c>
      <c r="C14" s="1503"/>
      <c r="D14" s="462" t="s">
        <v>420</v>
      </c>
      <c r="E14" s="462" t="s">
        <v>421</v>
      </c>
      <c r="F14" s="462" t="n">
        <f>EDU*4</f>
        <v>0</v>
      </c>
      <c r="G14" s="463" t="s">
        <v>474</v>
      </c>
      <c r="H14" s="484" t="s">
        <v>475</v>
      </c>
      <c r="I14" s="493" t="s">
        <v>476</v>
      </c>
      <c r="J14" s="494" t="s">
        <v>477</v>
      </c>
      <c r="K14" s="1505" t="s">
        <v>478</v>
      </c>
      <c r="L14" s="1506"/>
      <c r="M14" s="489" t="s">
        <v>479</v>
      </c>
      <c r="N14" s="490"/>
      <c r="O14" s="465"/>
      <c r="P14" s="465"/>
      <c r="Q14" s="32"/>
    </row>
    <row r="15" spans="1:17" ht="17.25" customHeight="1">
      <c r="A15" s="479">
        <v>13</v>
      </c>
      <c r="B15" s="1509" t="s">
        <v>480</v>
      </c>
      <c r="C15" s="1503"/>
      <c r="D15" s="481" t="s">
        <v>481</v>
      </c>
      <c r="E15" s="482" t="s">
        <v>482</v>
      </c>
      <c r="F15" s="482" t="n">
        <f>EDU*2+MAX(DEX*2,POW*2)</f>
        <v>0</v>
      </c>
      <c r="G15" s="480" t="s">
        <v>483</v>
      </c>
      <c r="H15" s="485" t="s">
        <v>356</v>
      </c>
      <c r="I15" s="495" t="s">
        <v>175</v>
      </c>
      <c r="J15" s="496" t="n">
        <f>IF(I15="√",2,0)</f>
        <v>0</v>
      </c>
      <c r="K15" s="1505" t="s">
        <v>484</v>
      </c>
      <c r="L15" s="1506"/>
      <c r="M15" s="489" t="s">
        <v>485</v>
      </c>
      <c r="N15" s="490"/>
      <c r="O15" s="465"/>
      <c r="P15" s="465"/>
      <c r="Q15" s="32"/>
    </row>
    <row r="16" spans="1:17" ht="17.25" customHeight="1">
      <c r="A16" s="470">
        <v>14</v>
      </c>
      <c r="B16" s="1503" t="s">
        <v>486</v>
      </c>
      <c r="C16" s="1503"/>
      <c r="D16" s="462" t="s">
        <v>487</v>
      </c>
      <c r="E16" s="462" t="s">
        <v>443</v>
      </c>
      <c r="F16" s="462" t="n">
        <f>EDU*2+MAX(STR*2,DEX*2)</f>
        <v>0</v>
      </c>
      <c r="G16" s="463" t="s">
        <v>488</v>
      </c>
      <c r="H16" s="486" t="s">
        <v>361</v>
      </c>
      <c r="I16" s="497" t="s">
        <v>175</v>
      </c>
      <c r="J16" s="498" t="n">
        <f>IF(I16="√",2,0)</f>
        <v>0</v>
      </c>
      <c r="K16" s="1505" t="s">
        <v>489</v>
      </c>
      <c r="L16" s="1506"/>
      <c r="M16" s="489" t="s">
        <v>490</v>
      </c>
      <c r="N16" s="490"/>
      <c r="O16" s="465"/>
      <c r="P16" s="465"/>
      <c r="Q16" s="32"/>
    </row>
    <row r="17" spans="1:17" ht="16.5" customHeight="1">
      <c r="A17" s="479">
        <v>15</v>
      </c>
      <c r="B17" s="1509" t="s">
        <v>491</v>
      </c>
      <c r="C17" s="1503"/>
      <c r="D17" s="481" t="s">
        <v>492</v>
      </c>
      <c r="E17" s="482" t="s">
        <v>443</v>
      </c>
      <c r="F17" s="482" t="n">
        <f>EDU*2+MAX(STR*2,DEX*2)</f>
        <v>0</v>
      </c>
      <c r="G17" s="480" t="s">
        <v>493</v>
      </c>
      <c r="H17" s="485" t="s">
        <v>366</v>
      </c>
      <c r="I17" s="495" t="s">
        <v>175</v>
      </c>
      <c r="J17" s="496" t="n">
        <f>IF(I17="√",2,0)</f>
        <v>0</v>
      </c>
      <c r="K17" s="1505" t="s">
        <v>494</v>
      </c>
      <c r="L17" s="1506"/>
      <c r="M17" s="489" t="s">
        <v>495</v>
      </c>
      <c r="N17" s="490"/>
      <c r="O17" s="465"/>
      <c r="P17" s="465"/>
      <c r="Q17" s="32"/>
    </row>
    <row r="18" spans="1:17">
      <c r="A18" s="470">
        <v>16</v>
      </c>
      <c r="B18" s="1503" t="s">
        <v>496</v>
      </c>
      <c r="C18" s="1503"/>
      <c r="D18" s="462" t="s">
        <v>497</v>
      </c>
      <c r="E18" s="462" t="s">
        <v>421</v>
      </c>
      <c r="F18" s="462" t="n">
        <f>EDU*4</f>
        <v>0</v>
      </c>
      <c r="G18" s="463" t="s">
        <v>498</v>
      </c>
      <c r="H18" s="486" t="s">
        <v>372</v>
      </c>
      <c r="I18" s="497" t="s">
        <v>175</v>
      </c>
      <c r="J18" s="498" t="n">
        <f>IF(I18="√",2,0)</f>
        <v>0</v>
      </c>
      <c r="K18" s="1505" t="s">
        <v>499</v>
      </c>
      <c r="L18" s="1506"/>
      <c r="M18" s="489" t="s">
        <v>500</v>
      </c>
      <c r="N18" s="490"/>
      <c r="O18" s="465"/>
      <c r="P18" s="465"/>
      <c r="Q18" s="32"/>
    </row>
    <row r="19" spans="1:17" ht="16.5" customHeight="1">
      <c r="A19" s="479">
        <v>17</v>
      </c>
      <c r="B19" s="1509" t="s">
        <v>501</v>
      </c>
      <c r="C19" s="1503"/>
      <c r="D19" s="481" t="s">
        <v>502</v>
      </c>
      <c r="E19" s="482" t="s">
        <v>433</v>
      </c>
      <c r="F19" s="482" t="n">
        <f>EDU*2+APP*2</f>
        <v>0</v>
      </c>
      <c r="G19" s="480" t="s">
        <v>503</v>
      </c>
      <c r="H19" s="485" t="s">
        <v>374</v>
      </c>
      <c r="I19" s="495" t="s">
        <v>175</v>
      </c>
      <c r="J19" s="496" t="n">
        <f>IF(I19="√",2,0)</f>
        <v>0</v>
      </c>
      <c r="K19" s="1505" t="s">
        <v>504</v>
      </c>
      <c r="L19" s="1506"/>
      <c r="M19" s="489" t="s">
        <v>505</v>
      </c>
      <c r="N19" s="490"/>
      <c r="O19" s="465"/>
      <c r="P19" s="465"/>
      <c r="Q19" s="32"/>
    </row>
    <row r="20" spans="1:17" ht="16.5" customHeight="1">
      <c r="A20" s="470">
        <v>18</v>
      </c>
      <c r="B20" s="1503" t="s">
        <v>506</v>
      </c>
      <c r="C20" s="1503"/>
      <c r="D20" s="462" t="s">
        <v>507</v>
      </c>
      <c r="E20" s="462" t="s">
        <v>443</v>
      </c>
      <c r="F20" s="462" t="n">
        <f>EDU*2+MAX(STR*2,DEX*2)</f>
        <v>0</v>
      </c>
      <c r="G20" s="463" t="s">
        <v>508</v>
      </c>
      <c r="H20" s="486" t="s">
        <v>376</v>
      </c>
      <c r="I20" s="497" t="s">
        <v>175</v>
      </c>
      <c r="J20" s="498" t="n">
        <f>IF(I20="√",2,0)</f>
        <v>0</v>
      </c>
      <c r="K20" s="1505" t="s">
        <v>509</v>
      </c>
      <c r="L20" s="1506"/>
      <c r="M20" s="489" t="s">
        <v>510</v>
      </c>
      <c r="N20" s="490"/>
      <c r="O20" s="465"/>
      <c r="P20" s="465"/>
      <c r="Q20" s="32"/>
    </row>
    <row r="21" spans="1:17">
      <c r="A21" s="479">
        <v>19</v>
      </c>
      <c r="B21" s="1509" t="s">
        <v>511</v>
      </c>
      <c r="C21" s="1503"/>
      <c r="D21" s="481" t="s">
        <v>512</v>
      </c>
      <c r="E21" s="482" t="s">
        <v>421</v>
      </c>
      <c r="F21" s="482" t="n">
        <f>EDU*4</f>
        <v>0</v>
      </c>
      <c r="G21" s="480" t="s">
        <v>513</v>
      </c>
      <c r="H21" s="485" t="s">
        <v>383</v>
      </c>
      <c r="I21" s="495" t="s">
        <v>514</v>
      </c>
      <c r="J21" s="496" t="n">
        <f>IF(I21="√",IF(SUM(J15:J20,J22:J23)&gt;0,2,4),0)</f>
        <v>4</v>
      </c>
      <c r="K21" s="1505" t="s">
        <v>515</v>
      </c>
      <c r="L21" s="1506"/>
      <c r="M21" s="489" t="s">
        <v>516</v>
      </c>
      <c r="N21" s="490"/>
      <c r="O21" s="465"/>
      <c r="P21" s="465"/>
      <c r="Q21" s="32"/>
    </row>
    <row r="22" spans="1:17" ht="16.5" customHeight="1">
      <c r="A22" s="470">
        <v>20</v>
      </c>
      <c r="B22" s="1503" t="s">
        <v>517</v>
      </c>
      <c r="C22" s="1503"/>
      <c r="D22" s="462" t="s">
        <v>497</v>
      </c>
      <c r="E22" s="462" t="s">
        <v>443</v>
      </c>
      <c r="F22" s="462" t="n">
        <f>EDU*2+MAX(STR*2,DEX*2)</f>
        <v>0</v>
      </c>
      <c r="G22" s="463" t="s">
        <v>518</v>
      </c>
      <c r="H22" s="486" t="s">
        <v>379</v>
      </c>
      <c r="I22" s="497" t="s">
        <v>175</v>
      </c>
      <c r="J22" s="498" t="n">
        <f>IF(I22="√",2,0)</f>
        <v>0</v>
      </c>
      <c r="K22" s="1505" t="s">
        <v>519</v>
      </c>
      <c r="L22" s="1506"/>
      <c r="M22" s="489" t="s">
        <v>520</v>
      </c>
      <c r="N22" s="490"/>
      <c r="O22" s="465"/>
      <c r="P22" s="465"/>
      <c r="Q22" s="32"/>
    </row>
    <row r="23" spans="1:17" ht="16.5" customHeight="1">
      <c r="A23" s="479">
        <v>21</v>
      </c>
      <c r="B23" s="1509" t="s">
        <v>521</v>
      </c>
      <c r="C23" s="1503"/>
      <c r="D23" s="481" t="s">
        <v>522</v>
      </c>
      <c r="E23" s="482" t="s">
        <v>523</v>
      </c>
      <c r="F23" s="482" t="n">
        <f>EDU*2+STR*2</f>
        <v>0</v>
      </c>
      <c r="G23" s="480" t="s">
        <v>524</v>
      </c>
      <c r="H23" s="485" t="s">
        <v>388</v>
      </c>
      <c r="I23" s="495" t="s">
        <v>175</v>
      </c>
      <c r="J23" s="496" t="n">
        <f>IF(I23="√",2,0)</f>
        <v>0</v>
      </c>
      <c r="K23" s="1505" t="s">
        <v>525</v>
      </c>
      <c r="L23" s="1506"/>
      <c r="M23" s="489" t="s">
        <v>526</v>
      </c>
      <c r="N23" s="490"/>
      <c r="O23" s="465"/>
      <c r="P23" s="465"/>
      <c r="Q23" s="32"/>
    </row>
    <row r="24" spans="1:17">
      <c r="A24" s="470">
        <v>22</v>
      </c>
      <c r="B24" s="1503" t="s">
        <v>527</v>
      </c>
      <c r="C24" s="1503"/>
      <c r="D24" s="462" t="s">
        <v>432</v>
      </c>
      <c r="E24" s="462" t="s">
        <v>421</v>
      </c>
      <c r="F24" s="462" t="n">
        <f>EDU*4</f>
        <v>0</v>
      </c>
      <c r="G24" s="478" t="s">
        <v>528</v>
      </c>
      <c r="H24" s="1527" t="s">
        <v>529</v>
      </c>
      <c r="I24" s="1088"/>
      <c r="J24" s="1089"/>
      <c r="K24" s="499"/>
      <c r="L24" s="499"/>
      <c r="M24" s="499"/>
      <c r="N24" s="499"/>
      <c r="O24" s="499"/>
      <c r="P24" s="499"/>
      <c r="Q24" s="32"/>
    </row>
    <row r="25" spans="1:17">
      <c r="A25" s="479">
        <v>23</v>
      </c>
      <c r="B25" s="1509" t="s">
        <v>530</v>
      </c>
      <c r="C25" s="1503"/>
      <c r="D25" s="481" t="s">
        <v>522</v>
      </c>
      <c r="E25" s="482" t="s">
        <v>421</v>
      </c>
      <c r="F25" s="482" t="n">
        <f>EDU*4</f>
        <v>0</v>
      </c>
      <c r="G25" s="483" t="s">
        <v>531</v>
      </c>
      <c r="H25" s="1528" t="s">
        <v>532</v>
      </c>
      <c r="I25" s="1019"/>
      <c r="J25" s="1091"/>
      <c r="K25" s="1505" t="s">
        <v>533</v>
      </c>
      <c r="L25" s="1506"/>
      <c r="M25" s="489" t="s">
        <v>534</v>
      </c>
      <c r="N25" s="490"/>
      <c r="O25" s="465"/>
      <c r="P25" s="465"/>
      <c r="Q25" s="32"/>
    </row>
    <row r="26" spans="1:17">
      <c r="A26" s="470">
        <v>24</v>
      </c>
      <c r="B26" s="1503" t="s">
        <v>535</v>
      </c>
      <c r="C26" s="1503"/>
      <c r="D26" s="462" t="s">
        <v>536</v>
      </c>
      <c r="E26" s="462" t="s">
        <v>421</v>
      </c>
      <c r="F26" s="462" t="n">
        <f>EDU*4</f>
        <v>0</v>
      </c>
      <c r="G26" s="478" t="s">
        <v>537</v>
      </c>
      <c r="J26" s="366"/>
      <c r="K26" s="1505" t="s">
        <v>538</v>
      </c>
      <c r="L26" s="1506"/>
      <c r="M26" s="489" t="s">
        <v>539</v>
      </c>
      <c r="N26" s="490"/>
      <c r="O26" s="465"/>
      <c r="P26" s="465"/>
      <c r="Q26" s="32"/>
    </row>
    <row r="27" spans="1:17">
      <c r="A27" s="479">
        <v>25</v>
      </c>
      <c r="B27" s="1509" t="s">
        <v>540</v>
      </c>
      <c r="C27" s="1503"/>
      <c r="D27" s="481" t="s">
        <v>536</v>
      </c>
      <c r="E27" s="482" t="s">
        <v>421</v>
      </c>
      <c r="F27" s="482" t="n">
        <f>EDU*4</f>
        <v>0</v>
      </c>
      <c r="G27" s="483" t="s">
        <v>541</v>
      </c>
      <c r="J27" s="366"/>
      <c r="K27" s="1505" t="s">
        <v>542</v>
      </c>
      <c r="L27" s="1506"/>
      <c r="M27" s="489" t="s">
        <v>543</v>
      </c>
      <c r="N27" s="490"/>
      <c r="O27" s="465"/>
      <c r="P27" s="465"/>
      <c r="Q27" s="32"/>
    </row>
    <row r="28" spans="1:17" ht="17.25" customHeight="1">
      <c r="A28" s="470">
        <v>26</v>
      </c>
      <c r="B28" s="1503" t="s">
        <v>544</v>
      </c>
      <c r="C28" s="1503"/>
      <c r="D28" s="462" t="s">
        <v>426</v>
      </c>
      <c r="E28" s="462" t="s">
        <v>443</v>
      </c>
      <c r="F28" s="462" t="n">
        <f>EDU*2+MAX(STR*2,DEX*2)</f>
        <v>0</v>
      </c>
      <c r="G28" s="478" t="s">
        <v>545</v>
      </c>
      <c r="J28" s="366"/>
      <c r="K28" s="1505" t="s">
        <v>546</v>
      </c>
      <c r="L28" s="1506"/>
      <c r="M28" s="489" t="s">
        <v>547</v>
      </c>
      <c r="N28" s="490"/>
      <c r="O28" s="465"/>
      <c r="P28" s="465"/>
      <c r="Q28" s="32"/>
    </row>
    <row r="29" spans="1:17" ht="16.5" customHeight="1">
      <c r="A29" s="479">
        <v>27</v>
      </c>
      <c r="B29" s="1509" t="s">
        <v>548</v>
      </c>
      <c r="C29" s="1503"/>
      <c r="D29" s="481" t="s">
        <v>453</v>
      </c>
      <c r="E29" s="482" t="s">
        <v>427</v>
      </c>
      <c r="F29" s="482" t="n">
        <f>EDU*2+DEX*2</f>
        <v>0</v>
      </c>
      <c r="G29" s="483" t="s">
        <v>549</v>
      </c>
      <c r="J29" s="366"/>
      <c r="K29" s="1505" t="s">
        <v>550</v>
      </c>
      <c r="L29" s="1506"/>
      <c r="M29" s="489" t="s">
        <v>551</v>
      </c>
      <c r="N29" s="490"/>
      <c r="O29" s="465"/>
      <c r="P29" s="465"/>
      <c r="Q29" s="32"/>
    </row>
    <row r="30" spans="1:17" ht="17.25" customHeight="1">
      <c r="A30" s="470">
        <v>28</v>
      </c>
      <c r="B30" s="1503" t="s">
        <v>552</v>
      </c>
      <c r="C30" s="1503"/>
      <c r="D30" s="462" t="s">
        <v>553</v>
      </c>
      <c r="E30" s="462" t="s">
        <v>443</v>
      </c>
      <c r="F30" s="462" t="n">
        <f>EDU*2+MAX(STR*2,DEX*2)</f>
        <v>0</v>
      </c>
      <c r="G30" s="478" t="s">
        <v>554</v>
      </c>
      <c r="J30" s="366"/>
      <c r="K30" s="1505" t="s">
        <v>555</v>
      </c>
      <c r="L30" s="1506"/>
      <c r="M30" s="489" t="s">
        <v>556</v>
      </c>
      <c r="N30" s="490"/>
      <c r="O30" s="465"/>
      <c r="P30" s="465"/>
      <c r="Q30" s="32"/>
    </row>
    <row r="31" spans="1:17" ht="17.25" customHeight="1">
      <c r="A31" s="479">
        <v>29</v>
      </c>
      <c r="B31" s="1509" t="s">
        <v>557</v>
      </c>
      <c r="C31" s="1503"/>
      <c r="D31" s="481" t="s">
        <v>558</v>
      </c>
      <c r="E31" s="482" t="s">
        <v>443</v>
      </c>
      <c r="F31" s="482" t="n">
        <f>EDU*2+MAX(STR*2,DEX*2)</f>
        <v>0</v>
      </c>
      <c r="G31" s="483" t="s">
        <v>559</v>
      </c>
      <c r="K31" s="1505" t="s">
        <v>560</v>
      </c>
      <c r="L31" s="1506"/>
      <c r="M31" s="489" t="s">
        <v>561</v>
      </c>
      <c r="N31" s="490"/>
      <c r="O31" s="465"/>
      <c r="P31" s="465"/>
      <c r="Q31" s="32"/>
    </row>
    <row r="32" spans="1:17" ht="17.25" customHeight="1">
      <c r="A32" s="470">
        <v>30</v>
      </c>
      <c r="B32" s="1503" t="s">
        <v>562</v>
      </c>
      <c r="C32" s="1503"/>
      <c r="D32" s="462" t="s">
        <v>563</v>
      </c>
      <c r="E32" s="462" t="s">
        <v>523</v>
      </c>
      <c r="F32" s="462" t="n">
        <f>EDU*2+STR*2</f>
        <v>0</v>
      </c>
      <c r="G32" s="478" t="s">
        <v>564</v>
      </c>
      <c r="K32" s="1505" t="s">
        <v>565</v>
      </c>
      <c r="L32" s="1506"/>
      <c r="M32" s="489" t="s">
        <v>566</v>
      </c>
      <c r="N32" s="490"/>
      <c r="O32" s="465"/>
      <c r="P32" s="465"/>
      <c r="Q32" s="32"/>
    </row>
    <row r="33" spans="1:17" ht="17.25" customHeight="1">
      <c r="A33" s="479">
        <v>31</v>
      </c>
      <c r="B33" s="1509" t="s">
        <v>567</v>
      </c>
      <c r="C33" s="1503"/>
      <c r="D33" s="481" t="s">
        <v>568</v>
      </c>
      <c r="E33" s="482" t="s">
        <v>427</v>
      </c>
      <c r="F33" s="482" t="n">
        <f>EDU*2+DEX*2</f>
        <v>0</v>
      </c>
      <c r="G33" s="483" t="s">
        <v>569</v>
      </c>
      <c r="K33" s="1505" t="s">
        <v>570</v>
      </c>
      <c r="L33" s="1506"/>
      <c r="M33" s="489" t="s">
        <v>561</v>
      </c>
      <c r="N33" s="490"/>
      <c r="O33" s="465"/>
      <c r="P33" s="465"/>
      <c r="Q33" s="32"/>
    </row>
    <row r="34" spans="1:17" ht="17.25" customHeight="1">
      <c r="A34" s="470">
        <v>32</v>
      </c>
      <c r="B34" s="1503" t="s">
        <v>571</v>
      </c>
      <c r="C34" s="1503"/>
      <c r="D34" s="462" t="s">
        <v>572</v>
      </c>
      <c r="E34" s="462" t="s">
        <v>433</v>
      </c>
      <c r="F34" s="462" t="n">
        <f>EDU*2+APP*2</f>
        <v>0</v>
      </c>
      <c r="G34" s="478" t="s">
        <v>573</v>
      </c>
      <c r="K34" s="1505" t="s">
        <v>574</v>
      </c>
      <c r="L34" s="1506"/>
      <c r="M34" s="489" t="s">
        <v>575</v>
      </c>
      <c r="N34" s="490"/>
      <c r="O34" s="465"/>
      <c r="P34" s="465"/>
      <c r="Q34" s="32"/>
    </row>
    <row r="35" spans="1:17" ht="17.25" customHeight="1">
      <c r="A35" s="479">
        <v>33</v>
      </c>
      <c r="B35" s="1509" t="s">
        <v>576</v>
      </c>
      <c r="C35" s="1503"/>
      <c r="D35" s="481" t="s">
        <v>577</v>
      </c>
      <c r="E35" s="482" t="s">
        <v>578</v>
      </c>
      <c r="F35" s="482" t="n">
        <f>EDU*2+MAX(DEX*2,APP*2)</f>
        <v>0</v>
      </c>
      <c r="G35" s="483" t="s">
        <v>579</v>
      </c>
      <c r="K35" s="1505" t="s">
        <v>580</v>
      </c>
      <c r="L35" s="1506"/>
      <c r="M35" s="489" t="s">
        <v>561</v>
      </c>
      <c r="N35" s="490"/>
      <c r="O35" s="465"/>
      <c r="P35" s="465"/>
      <c r="Q35" s="32"/>
    </row>
    <row r="36" spans="1:17" ht="17.25" customHeight="1">
      <c r="A36" s="470">
        <v>34</v>
      </c>
      <c r="B36" s="1503" t="s">
        <v>581</v>
      </c>
      <c r="C36" s="1503"/>
      <c r="D36" s="462" t="s">
        <v>582</v>
      </c>
      <c r="E36" s="462" t="s">
        <v>433</v>
      </c>
      <c r="F36" s="462" t="n">
        <f>EDU*2+APP*2</f>
        <v>0</v>
      </c>
      <c r="G36" s="478" t="s">
        <v>583</v>
      </c>
      <c r="K36" s="1505" t="s">
        <v>584</v>
      </c>
      <c r="L36" s="1506"/>
      <c r="M36" s="489" t="s">
        <v>585</v>
      </c>
      <c r="N36" s="490"/>
      <c r="O36" s="465"/>
      <c r="P36" s="465"/>
      <c r="Q36" s="32"/>
    </row>
    <row r="37" spans="1:17" ht="17.25" customHeight="1">
      <c r="A37" s="479">
        <v>35</v>
      </c>
      <c r="B37" s="1509" t="s">
        <v>586</v>
      </c>
      <c r="C37" s="1503"/>
      <c r="D37" s="481" t="s">
        <v>512</v>
      </c>
      <c r="E37" s="482" t="s">
        <v>433</v>
      </c>
      <c r="F37" s="482" t="n">
        <f>EDU*2+APP*2</f>
        <v>0</v>
      </c>
      <c r="G37" s="483" t="s">
        <v>587</v>
      </c>
      <c r="K37" s="1505" t="s">
        <v>588</v>
      </c>
      <c r="L37" s="1506"/>
      <c r="M37" s="489" t="s">
        <v>589</v>
      </c>
      <c r="N37" s="490"/>
      <c r="O37" s="465"/>
      <c r="P37" s="465"/>
      <c r="Q37" s="32"/>
    </row>
    <row r="38" spans="1:17">
      <c r="A38" s="470">
        <v>36</v>
      </c>
      <c r="B38" s="1503" t="s">
        <v>590</v>
      </c>
      <c r="C38" s="1503"/>
      <c r="D38" s="462" t="s">
        <v>591</v>
      </c>
      <c r="E38" s="462" t="s">
        <v>421</v>
      </c>
      <c r="F38" s="462" t="n">
        <f>EDU*4</f>
        <v>0</v>
      </c>
      <c r="G38" s="478" t="s">
        <v>592</v>
      </c>
      <c r="K38" s="1505" t="s">
        <v>593</v>
      </c>
      <c r="L38" s="1506"/>
      <c r="M38" s="489" t="s">
        <v>594</v>
      </c>
      <c r="N38" s="490"/>
      <c r="O38" s="465"/>
      <c r="P38" s="465"/>
      <c r="Q38" s="32"/>
    </row>
    <row r="39" spans="1:17" ht="17.25" customHeight="1">
      <c r="A39" s="479">
        <v>37</v>
      </c>
      <c r="B39" s="1509" t="s">
        <v>595</v>
      </c>
      <c r="C39" s="1503"/>
      <c r="D39" s="481" t="s">
        <v>591</v>
      </c>
      <c r="E39" s="482" t="s">
        <v>596</v>
      </c>
      <c r="F39" s="482" t="n">
        <f>EDU*2+MAX(DEX*2,APP*2)</f>
        <v>0</v>
      </c>
      <c r="G39" s="483" t="s">
        <v>597</v>
      </c>
      <c r="K39" s="1505" t="s">
        <v>598</v>
      </c>
      <c r="L39" s="1506"/>
      <c r="M39" s="489" t="s">
        <v>599</v>
      </c>
      <c r="N39" s="490"/>
      <c r="O39" s="465"/>
      <c r="P39" s="465"/>
      <c r="Q39" s="32"/>
    </row>
    <row r="40" spans="1:17" ht="17.25" customHeight="1">
      <c r="A40" s="470">
        <v>38</v>
      </c>
      <c r="B40" s="1503" t="s">
        <v>600</v>
      </c>
      <c r="C40" s="1503"/>
      <c r="D40" s="462" t="s">
        <v>601</v>
      </c>
      <c r="E40" s="462" t="s">
        <v>443</v>
      </c>
      <c r="F40" s="462" t="n">
        <f>EDU*2+MAX(STR*2,DEX*2)</f>
        <v>0</v>
      </c>
      <c r="G40" s="478" t="s">
        <v>602</v>
      </c>
      <c r="K40" s="1505" t="s">
        <v>603</v>
      </c>
      <c r="L40" s="1506"/>
      <c r="M40" s="489" t="s">
        <v>604</v>
      </c>
      <c r="N40" s="490"/>
      <c r="O40" s="465"/>
      <c r="P40" s="465"/>
      <c r="Q40" s="32"/>
    </row>
    <row r="41" spans="1:17">
      <c r="A41" s="479">
        <v>39</v>
      </c>
      <c r="B41" s="1509" t="s">
        <v>605</v>
      </c>
      <c r="C41" s="1503"/>
      <c r="D41" s="481" t="s">
        <v>553</v>
      </c>
      <c r="E41" s="482" t="s">
        <v>421</v>
      </c>
      <c r="F41" s="482" t="n">
        <f>EDU*4</f>
        <v>0</v>
      </c>
      <c r="G41" s="483" t="s">
        <v>606</v>
      </c>
      <c r="K41" s="1505" t="s">
        <v>607</v>
      </c>
      <c r="L41" s="1506"/>
      <c r="M41" s="489" t="s">
        <v>608</v>
      </c>
      <c r="N41" s="490"/>
      <c r="O41" s="465"/>
      <c r="P41" s="465"/>
      <c r="Q41" s="32"/>
    </row>
    <row r="42" spans="1:17">
      <c r="A42" s="470">
        <v>40</v>
      </c>
      <c r="B42" s="1503" t="s">
        <v>609</v>
      </c>
      <c r="C42" s="1503"/>
      <c r="D42" s="462" t="s">
        <v>507</v>
      </c>
      <c r="E42" s="462" t="s">
        <v>421</v>
      </c>
      <c r="F42" s="462" t="n">
        <f>EDU*4</f>
        <v>0</v>
      </c>
      <c r="G42" s="478" t="s">
        <v>610</v>
      </c>
      <c r="K42" s="1505" t="s">
        <v>611</v>
      </c>
      <c r="L42" s="1506"/>
      <c r="M42" s="489" t="s">
        <v>612</v>
      </c>
      <c r="N42" s="490"/>
      <c r="O42" s="465"/>
      <c r="P42" s="465"/>
      <c r="Q42" s="32"/>
    </row>
    <row r="43" spans="1:17">
      <c r="A43" s="479">
        <v>41</v>
      </c>
      <c r="B43" s="1509" t="s">
        <v>613</v>
      </c>
      <c r="C43" s="1503"/>
      <c r="D43" s="481" t="s">
        <v>591</v>
      </c>
      <c r="E43" s="482" t="s">
        <v>421</v>
      </c>
      <c r="F43" s="482" t="n">
        <f>EDU*4</f>
        <v>0</v>
      </c>
      <c r="G43" s="483" t="s">
        <v>614</v>
      </c>
      <c r="K43" s="1505" t="s">
        <v>615</v>
      </c>
      <c r="L43" s="1506"/>
      <c r="M43" s="489" t="s">
        <v>616</v>
      </c>
      <c r="N43" s="490"/>
      <c r="O43" s="465"/>
      <c r="P43" s="465"/>
      <c r="Q43" s="32"/>
    </row>
    <row r="44" spans="1:17" ht="17.25" customHeight="1">
      <c r="A44" s="470">
        <v>42</v>
      </c>
      <c r="B44" s="1503" t="s">
        <v>617</v>
      </c>
      <c r="C44" s="1503"/>
      <c r="D44" s="462" t="s">
        <v>618</v>
      </c>
      <c r="E44" s="462" t="s">
        <v>433</v>
      </c>
      <c r="F44" s="462" t="n">
        <f>EDU*2+APP*2</f>
        <v>0</v>
      </c>
      <c r="G44" s="478" t="s">
        <v>619</v>
      </c>
      <c r="K44" s="1505" t="s">
        <v>620</v>
      </c>
      <c r="L44" s="1506"/>
      <c r="M44" s="489" t="s">
        <v>621</v>
      </c>
      <c r="N44" s="490"/>
      <c r="O44" s="465"/>
      <c r="P44" s="465"/>
      <c r="Q44" s="32"/>
    </row>
    <row r="45" spans="1:17" ht="17.25" customHeight="1">
      <c r="A45" s="479">
        <v>43</v>
      </c>
      <c r="B45" s="1509" t="s">
        <v>622</v>
      </c>
      <c r="C45" s="1503"/>
      <c r="D45" s="481" t="s">
        <v>497</v>
      </c>
      <c r="E45" s="482" t="s">
        <v>427</v>
      </c>
      <c r="F45" s="482" t="n">
        <f>EDU*2+DEX*2</f>
        <v>0</v>
      </c>
      <c r="G45" s="483" t="s">
        <v>623</v>
      </c>
      <c r="K45" s="1505" t="s">
        <v>624</v>
      </c>
      <c r="L45" s="1506"/>
      <c r="M45" s="489" t="s">
        <v>625</v>
      </c>
      <c r="N45" s="490"/>
      <c r="O45" s="465"/>
      <c r="P45" s="465"/>
      <c r="Q45" s="32"/>
    </row>
    <row r="46" spans="1:17">
      <c r="A46" s="470">
        <v>44</v>
      </c>
      <c r="B46" s="1503" t="s">
        <v>626</v>
      </c>
      <c r="C46" s="1503"/>
      <c r="D46" s="462" t="s">
        <v>627</v>
      </c>
      <c r="E46" s="462" t="s">
        <v>421</v>
      </c>
      <c r="F46" s="462" t="n">
        <f>EDU*4</f>
        <v>0</v>
      </c>
      <c r="G46" s="478" t="s">
        <v>628</v>
      </c>
      <c r="K46" s="1505" t="s">
        <v>629</v>
      </c>
      <c r="L46" s="1506"/>
      <c r="M46" s="489" t="s">
        <v>630</v>
      </c>
      <c r="N46" s="490"/>
      <c r="O46" s="465"/>
      <c r="P46" s="465"/>
      <c r="Q46" s="32"/>
    </row>
    <row r="47" spans="1:17" ht="17.25" customHeight="1">
      <c r="A47" s="479">
        <v>45</v>
      </c>
      <c r="B47" s="1509" t="s">
        <v>631</v>
      </c>
      <c r="C47" s="1503"/>
      <c r="D47" s="481" t="s">
        <v>632</v>
      </c>
      <c r="E47" s="482" t="s">
        <v>633</v>
      </c>
      <c r="F47" s="482" t="n">
        <f>EDU*2+MAX(DEX*2,APP*2,STR*2)</f>
        <v>0</v>
      </c>
      <c r="G47" s="483" t="s">
        <v>634</v>
      </c>
      <c r="K47" s="1505" t="s">
        <v>635</v>
      </c>
      <c r="L47" s="1506"/>
      <c r="M47" s="489" t="s">
        <v>636</v>
      </c>
      <c r="N47" s="490"/>
      <c r="O47" s="465"/>
      <c r="P47" s="465"/>
      <c r="Q47" s="32"/>
    </row>
    <row r="48" spans="1:17" ht="17.25" customHeight="1">
      <c r="A48" s="470">
        <v>46</v>
      </c>
      <c r="B48" s="1503" t="s">
        <v>637</v>
      </c>
      <c r="C48" s="1503"/>
      <c r="D48" s="462" t="s">
        <v>453</v>
      </c>
      <c r="E48" s="462" t="s">
        <v>427</v>
      </c>
      <c r="F48" s="462" t="n">
        <f>EDU*2+DEX*2</f>
        <v>0</v>
      </c>
      <c r="G48" s="478" t="s">
        <v>638</v>
      </c>
      <c r="K48" s="1505" t="s">
        <v>639</v>
      </c>
      <c r="L48" s="1506"/>
      <c r="M48" s="489" t="s">
        <v>640</v>
      </c>
      <c r="N48" s="490"/>
      <c r="O48" s="465"/>
      <c r="P48" s="465"/>
      <c r="Q48" s="32"/>
    </row>
    <row r="49" spans="1:17" ht="17.25" customHeight="1">
      <c r="A49" s="479">
        <v>47</v>
      </c>
      <c r="B49" s="1509" t="s">
        <v>641</v>
      </c>
      <c r="C49" s="1503"/>
      <c r="D49" s="481" t="s">
        <v>426</v>
      </c>
      <c r="E49" s="482" t="s">
        <v>443</v>
      </c>
      <c r="F49" s="482" t="n">
        <f>EDU*2+MAX(STR*2,DEX*2)</f>
        <v>0</v>
      </c>
      <c r="G49" s="483" t="s">
        <v>642</v>
      </c>
      <c r="K49" s="1505" t="s">
        <v>643</v>
      </c>
      <c r="L49" s="1506"/>
      <c r="M49" s="489" t="s">
        <v>644</v>
      </c>
      <c r="N49" s="490"/>
      <c r="O49" s="465"/>
      <c r="P49" s="465"/>
      <c r="Q49" s="32"/>
    </row>
    <row r="50" spans="1:17" ht="17.25" customHeight="1">
      <c r="A50" s="470">
        <v>48</v>
      </c>
      <c r="B50" s="1503" t="s">
        <v>645</v>
      </c>
      <c r="C50" s="1503"/>
      <c r="D50" s="462" t="s">
        <v>497</v>
      </c>
      <c r="E50" s="462" t="s">
        <v>427</v>
      </c>
      <c r="F50" s="462" t="n">
        <f>EDU*2+DEX*2</f>
        <v>0</v>
      </c>
      <c r="G50" s="478" t="s">
        <v>646</v>
      </c>
      <c r="K50" s="1505" t="s">
        <v>647</v>
      </c>
      <c r="L50" s="1506"/>
      <c r="M50" s="489" t="s">
        <v>648</v>
      </c>
      <c r="N50" s="490"/>
      <c r="O50" s="465"/>
      <c r="P50" s="465"/>
      <c r="Q50" s="32"/>
    </row>
    <row r="51" spans="1:17">
      <c r="A51" s="479">
        <v>49</v>
      </c>
      <c r="B51" s="1509" t="s">
        <v>649</v>
      </c>
      <c r="C51" s="1503"/>
      <c r="D51" s="481" t="s">
        <v>650</v>
      </c>
      <c r="E51" s="482" t="s">
        <v>421</v>
      </c>
      <c r="F51" s="482" t="n">
        <f>EDU*4</f>
        <v>0</v>
      </c>
      <c r="G51" s="483" t="s">
        <v>651</v>
      </c>
      <c r="K51" s="1505" t="s">
        <v>652</v>
      </c>
      <c r="L51" s="1506"/>
      <c r="M51" s="489" t="s">
        <v>653</v>
      </c>
      <c r="N51" s="490"/>
      <c r="O51" s="465"/>
      <c r="P51" s="465"/>
      <c r="Q51" s="32"/>
    </row>
    <row r="52" spans="1:17" ht="17.25" customHeight="1">
      <c r="A52" s="470">
        <v>50</v>
      </c>
      <c r="B52" s="1503" t="s">
        <v>654</v>
      </c>
      <c r="C52" s="1503"/>
      <c r="D52" s="462" t="s">
        <v>655</v>
      </c>
      <c r="E52" s="462" t="s">
        <v>433</v>
      </c>
      <c r="F52" s="462" t="n">
        <f>EDU*2+APP*2</f>
        <v>0</v>
      </c>
      <c r="G52" s="478" t="s">
        <v>656</v>
      </c>
      <c r="K52" s="1505" t="s">
        <v>657</v>
      </c>
      <c r="L52" s="1506"/>
      <c r="M52" s="489" t="s">
        <v>658</v>
      </c>
      <c r="N52" s="490"/>
      <c r="O52" s="465"/>
      <c r="P52" s="465"/>
      <c r="Q52" s="32"/>
    </row>
    <row r="53" spans="1:17">
      <c r="A53" s="479">
        <v>51</v>
      </c>
      <c r="B53" s="1509" t="s">
        <v>659</v>
      </c>
      <c r="C53" s="1503"/>
      <c r="D53" s="481" t="s">
        <v>553</v>
      </c>
      <c r="E53" s="482" t="s">
        <v>421</v>
      </c>
      <c r="F53" s="482" t="n">
        <f>EDU*4</f>
        <v>0</v>
      </c>
      <c r="G53" s="483" t="s">
        <v>660</v>
      </c>
      <c r="K53" s="1505" t="s">
        <v>661</v>
      </c>
      <c r="L53" s="1506"/>
      <c r="M53" s="489" t="s">
        <v>662</v>
      </c>
      <c r="N53" s="490"/>
      <c r="O53" s="465"/>
      <c r="P53" s="465"/>
      <c r="Q53" s="32"/>
    </row>
    <row r="54" spans="1:17" ht="16.5" customHeight="1">
      <c r="A54" s="470">
        <v>52</v>
      </c>
      <c r="B54" s="1503" t="s">
        <v>663</v>
      </c>
      <c r="C54" s="1503"/>
      <c r="D54" s="462" t="s">
        <v>492</v>
      </c>
      <c r="E54" s="462" t="s">
        <v>433</v>
      </c>
      <c r="F54" s="462" t="n">
        <f>EDU*2+APP*2</f>
        <v>0</v>
      </c>
      <c r="G54" s="478" t="s">
        <v>664</v>
      </c>
      <c r="K54" s="1505" t="s">
        <v>665</v>
      </c>
      <c r="L54" s="1506"/>
      <c r="M54" s="489" t="s">
        <v>666</v>
      </c>
      <c r="N54" s="490"/>
      <c r="O54" s="465"/>
      <c r="P54" s="465"/>
      <c r="Q54" s="32"/>
    </row>
    <row r="55" spans="1:17" ht="17.25" customHeight="1">
      <c r="A55" s="479">
        <v>53</v>
      </c>
      <c r="B55" s="1509" t="s">
        <v>667</v>
      </c>
      <c r="C55" s="1503"/>
      <c r="D55" s="481" t="s">
        <v>668</v>
      </c>
      <c r="E55" s="482" t="s">
        <v>633</v>
      </c>
      <c r="F55" s="482" t="n">
        <f>EDU*2+MAX(DEX*2,APP*2,STR*2)</f>
        <v>0</v>
      </c>
      <c r="G55" s="483" t="s">
        <v>669</v>
      </c>
      <c r="K55" s="1505" t="s">
        <v>670</v>
      </c>
      <c r="L55" s="1506"/>
      <c r="M55" s="489" t="s">
        <v>671</v>
      </c>
      <c r="N55" s="490"/>
      <c r="O55" s="465"/>
      <c r="P55" s="465"/>
      <c r="Q55" s="32"/>
    </row>
    <row r="56" spans="1:17" ht="16.5" customHeight="1">
      <c r="A56" s="470">
        <v>54</v>
      </c>
      <c r="B56" s="1503" t="s">
        <v>672</v>
      </c>
      <c r="C56" s="1503"/>
      <c r="D56" s="462" t="s">
        <v>497</v>
      </c>
      <c r="E56" s="462" t="s">
        <v>443</v>
      </c>
      <c r="F56" s="462" t="n">
        <f>EDU*2+MAX(STR*2,DEX*2)</f>
        <v>0</v>
      </c>
      <c r="G56" s="478" t="s">
        <v>673</v>
      </c>
      <c r="K56" s="1505" t="s">
        <v>674</v>
      </c>
      <c r="L56" s="1506"/>
      <c r="M56" s="489" t="s">
        <v>675</v>
      </c>
      <c r="N56" s="490"/>
      <c r="O56" s="465"/>
      <c r="P56" s="465"/>
      <c r="Q56" s="32"/>
    </row>
    <row r="57" spans="1:17">
      <c r="A57" s="479">
        <v>55</v>
      </c>
      <c r="B57" s="1509" t="s">
        <v>676</v>
      </c>
      <c r="C57" s="1503"/>
      <c r="D57" s="481" t="s">
        <v>512</v>
      </c>
      <c r="E57" s="482" t="s">
        <v>421</v>
      </c>
      <c r="F57" s="482" t="n">
        <f>EDU*4</f>
        <v>0</v>
      </c>
      <c r="G57" s="483" t="s">
        <v>677</v>
      </c>
      <c r="H57" s="462"/>
      <c r="K57" s="1505" t="s">
        <v>678</v>
      </c>
      <c r="L57" s="1506"/>
      <c r="M57" s="489" t="s">
        <v>679</v>
      </c>
      <c r="N57" s="490"/>
      <c r="O57" s="465"/>
      <c r="P57" s="465"/>
      <c r="Q57" s="32"/>
    </row>
    <row r="58" spans="1:17" ht="15" customHeight="1">
      <c r="A58" s="470">
        <v>56</v>
      </c>
      <c r="B58" s="1503" t="s">
        <v>680</v>
      </c>
      <c r="C58" s="1503"/>
      <c r="D58" s="462" t="s">
        <v>497</v>
      </c>
      <c r="E58" s="462" t="s">
        <v>443</v>
      </c>
      <c r="F58" s="462" t="n">
        <f>EDU*2+MAX(STR*2,DEX*2)</f>
        <v>0</v>
      </c>
      <c r="G58" s="478" t="s">
        <v>681</v>
      </c>
      <c r="H58" s="462"/>
      <c r="K58" s="1505" t="s">
        <v>682</v>
      </c>
      <c r="L58" s="1506"/>
      <c r="M58" s="489" t="s">
        <v>683</v>
      </c>
      <c r="N58" s="490"/>
      <c r="O58" s="465"/>
      <c r="P58" s="465"/>
      <c r="Q58" s="32"/>
    </row>
    <row r="59" spans="1:17" ht="16.05" customHeight="1">
      <c r="A59" s="479">
        <v>57</v>
      </c>
      <c r="B59" s="1509" t="s">
        <v>684</v>
      </c>
      <c r="C59" s="1503"/>
      <c r="D59" s="481" t="s">
        <v>453</v>
      </c>
      <c r="E59" s="482" t="s">
        <v>421</v>
      </c>
      <c r="F59" s="482" t="n">
        <f>EDU*4</f>
        <v>0</v>
      </c>
      <c r="G59" s="483" t="s">
        <v>685</v>
      </c>
      <c r="H59" s="462"/>
      <c r="K59" s="1505" t="s">
        <v>686</v>
      </c>
      <c r="L59" s="1506"/>
      <c r="M59" s="500" t="s">
        <v>687</v>
      </c>
      <c r="N59" s="490"/>
      <c r="O59" s="465"/>
      <c r="P59" s="465"/>
      <c r="Q59" s="32"/>
    </row>
    <row r="60" spans="1:17">
      <c r="A60" s="470">
        <v>58</v>
      </c>
      <c r="B60" s="1503" t="s">
        <v>688</v>
      </c>
      <c r="C60" s="1503"/>
      <c r="D60" s="462" t="s">
        <v>689</v>
      </c>
      <c r="E60" s="462" t="s">
        <v>421</v>
      </c>
      <c r="F60" s="462" t="n">
        <f>EDU*4</f>
        <v>0</v>
      </c>
      <c r="G60" s="478" t="s">
        <v>690</v>
      </c>
      <c r="H60" s="462"/>
      <c r="K60" s="1505" t="s">
        <v>691</v>
      </c>
      <c r="L60" s="1506"/>
      <c r="M60" s="489" t="s">
        <v>692</v>
      </c>
      <c r="N60" s="490"/>
      <c r="O60" s="465"/>
      <c r="P60" s="465"/>
      <c r="Q60" s="32"/>
    </row>
    <row r="61" spans="1:17">
      <c r="A61" s="479">
        <v>59</v>
      </c>
      <c r="B61" s="1509" t="s">
        <v>693</v>
      </c>
      <c r="C61" s="1503"/>
      <c r="D61" s="481" t="s">
        <v>694</v>
      </c>
      <c r="E61" s="482" t="s">
        <v>596</v>
      </c>
      <c r="F61" s="482" t="n">
        <f>EDU*2+MAX(DEX*2,APP*2)</f>
        <v>0</v>
      </c>
      <c r="G61" s="483" t="s">
        <v>695</v>
      </c>
      <c r="H61" s="462"/>
      <c r="K61" s="1505" t="s">
        <v>696</v>
      </c>
      <c r="L61" s="1506"/>
      <c r="M61" s="489" t="s">
        <v>697</v>
      </c>
      <c r="N61" s="490"/>
      <c r="O61" s="465"/>
      <c r="P61" s="465"/>
      <c r="Q61" s="32"/>
    </row>
    <row r="62" spans="1:17">
      <c r="A62" s="470">
        <v>60</v>
      </c>
      <c r="B62" s="1503" t="s">
        <v>698</v>
      </c>
      <c r="C62" s="1503"/>
      <c r="D62" s="462" t="s">
        <v>699</v>
      </c>
      <c r="E62" s="462" t="s">
        <v>433</v>
      </c>
      <c r="F62" s="462" t="n">
        <f>EDU*2+APP*2</f>
        <v>0</v>
      </c>
      <c r="G62" s="478" t="s">
        <v>700</v>
      </c>
      <c r="H62" s="462"/>
      <c r="K62" s="1505" t="s">
        <v>701</v>
      </c>
      <c r="L62" s="1506"/>
      <c r="M62" s="489" t="s">
        <v>702</v>
      </c>
      <c r="N62" s="490"/>
      <c r="O62" s="465"/>
      <c r="P62" s="465"/>
      <c r="Q62" s="32"/>
    </row>
    <row r="63" spans="1:17">
      <c r="A63" s="479">
        <v>61</v>
      </c>
      <c r="B63" s="1509" t="s">
        <v>703</v>
      </c>
      <c r="C63" s="1503"/>
      <c r="D63" s="481" t="s">
        <v>426</v>
      </c>
      <c r="E63" s="482" t="s">
        <v>443</v>
      </c>
      <c r="F63" s="482" t="n">
        <f>EDU*2+MAX(STR*2,DEX*2)</f>
        <v>0</v>
      </c>
      <c r="G63" s="483" t="s">
        <v>704</v>
      </c>
      <c r="H63" s="462"/>
      <c r="K63" s="1505" t="s">
        <v>705</v>
      </c>
      <c r="L63" s="1506"/>
      <c r="M63" s="489" t="s">
        <v>702</v>
      </c>
      <c r="N63" s="490"/>
      <c r="O63" s="465"/>
      <c r="P63" s="465"/>
      <c r="Q63" s="32"/>
    </row>
    <row r="64" spans="1:17">
      <c r="A64" s="470">
        <v>62</v>
      </c>
      <c r="B64" s="1503" t="s">
        <v>706</v>
      </c>
      <c r="C64" s="1503"/>
      <c r="D64" s="462" t="s">
        <v>707</v>
      </c>
      <c r="E64" s="462" t="s">
        <v>433</v>
      </c>
      <c r="F64" s="462" t="n">
        <f>EDU*2+APP*2</f>
        <v>0</v>
      </c>
      <c r="G64" s="478" t="s">
        <v>708</v>
      </c>
      <c r="H64" s="462"/>
      <c r="K64" s="1505" t="s">
        <v>709</v>
      </c>
      <c r="L64" s="1506"/>
      <c r="M64" s="489" t="s">
        <v>710</v>
      </c>
      <c r="N64" s="490"/>
      <c r="O64" s="465"/>
      <c r="P64" s="465"/>
      <c r="Q64" s="32"/>
    </row>
    <row r="65" spans="1:17">
      <c r="A65" s="479">
        <v>63</v>
      </c>
      <c r="B65" s="1509" t="s">
        <v>711</v>
      </c>
      <c r="C65" s="1503"/>
      <c r="D65" s="481" t="s">
        <v>632</v>
      </c>
      <c r="E65" s="482" t="s">
        <v>596</v>
      </c>
      <c r="F65" s="482" t="n">
        <f>EDU*2+MAX(DEX*2,APP*2)</f>
        <v>0</v>
      </c>
      <c r="G65" s="483" t="s">
        <v>712</v>
      </c>
      <c r="H65" s="462"/>
      <c r="K65" s="1505" t="s">
        <v>713</v>
      </c>
      <c r="L65" s="1506"/>
      <c r="M65" s="489" t="s">
        <v>714</v>
      </c>
      <c r="N65" s="490"/>
      <c r="O65" s="465"/>
      <c r="P65" s="465"/>
      <c r="Q65" s="32"/>
    </row>
    <row r="66" spans="1:17">
      <c r="A66" s="470">
        <v>64</v>
      </c>
      <c r="B66" s="1503" t="s">
        <v>715</v>
      </c>
      <c r="C66" s="1503"/>
      <c r="D66" s="462" t="s">
        <v>716</v>
      </c>
      <c r="E66" s="462" t="s">
        <v>523</v>
      </c>
      <c r="F66" s="462" t="n">
        <f>EDU*2+STR*2</f>
        <v>0</v>
      </c>
      <c r="G66" s="478" t="s">
        <v>717</v>
      </c>
      <c r="H66" s="462"/>
      <c r="K66" s="1505" t="s">
        <v>718</v>
      </c>
      <c r="L66" s="1506"/>
      <c r="M66" s="489" t="s">
        <v>719</v>
      </c>
      <c r="N66" s="490"/>
      <c r="O66" s="465"/>
      <c r="P66" s="465"/>
      <c r="Q66" s="32"/>
    </row>
    <row r="67" spans="1:17">
      <c r="A67" s="479">
        <v>65</v>
      </c>
      <c r="B67" s="1509" t="s">
        <v>720</v>
      </c>
      <c r="C67" s="1503"/>
      <c r="D67" s="481" t="s">
        <v>497</v>
      </c>
      <c r="E67" s="482" t="s">
        <v>421</v>
      </c>
      <c r="F67" s="482" t="n">
        <f>EDU*4</f>
        <v>0</v>
      </c>
      <c r="G67" s="483" t="s">
        <v>721</v>
      </c>
      <c r="H67" s="462"/>
      <c r="K67" s="1505" t="s">
        <v>722</v>
      </c>
      <c r="L67" s="1506"/>
      <c r="M67" s="489" t="s">
        <v>723</v>
      </c>
      <c r="N67" s="490"/>
      <c r="O67" s="465"/>
      <c r="P67" s="465"/>
      <c r="Q67" s="32"/>
    </row>
    <row r="68" spans="1:17">
      <c r="A68" s="470">
        <v>66</v>
      </c>
      <c r="B68" s="1503" t="s">
        <v>724</v>
      </c>
      <c r="C68" s="1503"/>
      <c r="D68" s="462" t="s">
        <v>497</v>
      </c>
      <c r="E68" s="462" t="s">
        <v>421</v>
      </c>
      <c r="F68" s="462" t="n">
        <f>EDU*4</f>
        <v>0</v>
      </c>
      <c r="G68" s="478" t="s">
        <v>725</v>
      </c>
      <c r="H68" s="462"/>
      <c r="K68" s="1505" t="s">
        <v>726</v>
      </c>
      <c r="L68" s="1506"/>
      <c r="M68" s="489" t="s">
        <v>727</v>
      </c>
      <c r="N68" s="490"/>
      <c r="O68" s="465"/>
      <c r="P68" s="465"/>
    </row>
    <row r="69" spans="1:17">
      <c r="A69" s="479">
        <v>67</v>
      </c>
      <c r="B69" s="1509" t="s">
        <v>728</v>
      </c>
      <c r="C69" s="1503"/>
      <c r="D69" s="481" t="s">
        <v>729</v>
      </c>
      <c r="E69" s="482" t="s">
        <v>421</v>
      </c>
      <c r="F69" s="482" t="n">
        <f>EDU*4</f>
        <v>0</v>
      </c>
      <c r="G69" s="483" t="s">
        <v>730</v>
      </c>
      <c r="H69" s="462"/>
      <c r="K69" s="1505" t="s">
        <v>731</v>
      </c>
      <c r="L69" s="1506"/>
      <c r="M69" s="489" t="s">
        <v>732</v>
      </c>
      <c r="N69" s="490"/>
      <c r="O69" s="465"/>
      <c r="P69" s="465"/>
    </row>
    <row r="70" spans="1:17">
      <c r="A70" s="470">
        <v>68</v>
      </c>
      <c r="B70" s="1503" t="s">
        <v>733</v>
      </c>
      <c r="C70" s="1503"/>
      <c r="D70" s="462" t="s">
        <v>650</v>
      </c>
      <c r="E70" s="462" t="s">
        <v>421</v>
      </c>
      <c r="F70" s="462" t="n">
        <f>EDU*4</f>
        <v>0</v>
      </c>
      <c r="G70" s="478" t="s">
        <v>734</v>
      </c>
      <c r="H70" s="462"/>
      <c r="K70" s="1505" t="s">
        <v>735</v>
      </c>
      <c r="L70" s="1506"/>
      <c r="M70" s="489" t="s">
        <v>736</v>
      </c>
      <c r="N70" s="490"/>
      <c r="O70" s="465"/>
      <c r="P70" s="465"/>
    </row>
    <row r="71" spans="1:17">
      <c r="A71" s="479">
        <v>69</v>
      </c>
      <c r="B71" s="1509" t="s">
        <v>737</v>
      </c>
      <c r="C71" s="1503"/>
      <c r="D71" s="481" t="s">
        <v>497</v>
      </c>
      <c r="E71" s="482" t="s">
        <v>443</v>
      </c>
      <c r="F71" s="482" t="n">
        <f>EDU*2+MAX(STR*2,DEX*2)</f>
        <v>0</v>
      </c>
      <c r="G71" s="483" t="s">
        <v>738</v>
      </c>
      <c r="H71" s="462"/>
      <c r="K71" s="1505" t="s">
        <v>739</v>
      </c>
      <c r="L71" s="1506"/>
      <c r="M71" s="489" t="s">
        <v>740</v>
      </c>
      <c r="N71" s="490"/>
      <c r="O71" s="465"/>
      <c r="P71" s="465"/>
    </row>
    <row r="72" spans="1:17" ht="16.5" customHeight="1">
      <c r="A72" s="470">
        <v>70</v>
      </c>
      <c r="B72" s="1503" t="s">
        <v>741</v>
      </c>
      <c r="C72" s="1503"/>
      <c r="D72" s="462" t="s">
        <v>497</v>
      </c>
      <c r="E72" s="462" t="s">
        <v>443</v>
      </c>
      <c r="F72" s="462" t="n">
        <f>EDU*2+MAX(STR*2,DEX*2)</f>
        <v>0</v>
      </c>
      <c r="G72" s="478" t="s">
        <v>742</v>
      </c>
      <c r="H72" s="462"/>
      <c r="K72" s="1505" t="s">
        <v>743</v>
      </c>
      <c r="L72" s="1506"/>
      <c r="M72" s="489" t="s">
        <v>740</v>
      </c>
      <c r="N72" s="490"/>
      <c r="O72" s="465"/>
      <c r="P72" s="465"/>
    </row>
    <row r="73" spans="1:17" ht="16.5" customHeight="1">
      <c r="A73" s="479">
        <v>71</v>
      </c>
      <c r="B73" s="1509" t="s">
        <v>744</v>
      </c>
      <c r="C73" s="1503"/>
      <c r="D73" s="481" t="s">
        <v>497</v>
      </c>
      <c r="E73" s="482" t="s">
        <v>443</v>
      </c>
      <c r="F73" s="482" t="n">
        <f>EDU*2+MAX(STR*2,DEX*2)</f>
        <v>0</v>
      </c>
      <c r="G73" s="483" t="s">
        <v>745</v>
      </c>
      <c r="H73" s="462"/>
      <c r="K73" s="1505" t="s">
        <v>746</v>
      </c>
      <c r="L73" s="1506"/>
      <c r="M73" s="489" t="s">
        <v>740</v>
      </c>
      <c r="N73" s="490"/>
      <c r="O73" s="465"/>
      <c r="P73" s="465"/>
    </row>
    <row r="74" spans="1:17">
      <c r="A74" s="470">
        <v>72</v>
      </c>
      <c r="B74" s="1503" t="s">
        <v>747</v>
      </c>
      <c r="C74" s="1503"/>
      <c r="D74" s="462" t="s">
        <v>627</v>
      </c>
      <c r="E74" s="462" t="s">
        <v>421</v>
      </c>
      <c r="F74" s="462" t="n">
        <f>EDU*4</f>
        <v>0</v>
      </c>
      <c r="G74" s="478" t="s">
        <v>748</v>
      </c>
      <c r="H74" s="462"/>
      <c r="K74" s="1505" t="s">
        <v>749</v>
      </c>
      <c r="L74" s="1506"/>
      <c r="M74" s="489" t="s">
        <v>750</v>
      </c>
      <c r="N74" s="490"/>
      <c r="O74" s="465"/>
      <c r="P74" s="465"/>
    </row>
    <row r="75" spans="1:17">
      <c r="A75" s="479">
        <v>73</v>
      </c>
      <c r="B75" s="1509" t="s">
        <v>751</v>
      </c>
      <c r="C75" s="1503"/>
      <c r="D75" s="481" t="s">
        <v>752</v>
      </c>
      <c r="E75" s="482" t="s">
        <v>421</v>
      </c>
      <c r="F75" s="482" t="n">
        <f>EDU*4</f>
        <v>0</v>
      </c>
      <c r="G75" s="483" t="s">
        <v>753</v>
      </c>
      <c r="H75" s="462"/>
      <c r="K75" s="1505" t="s">
        <v>754</v>
      </c>
      <c r="L75" s="1506"/>
      <c r="M75" s="489" t="s">
        <v>755</v>
      </c>
      <c r="N75" s="490"/>
      <c r="O75" s="465"/>
      <c r="P75" s="465"/>
    </row>
    <row r="76" spans="1:17">
      <c r="A76" s="470">
        <v>74</v>
      </c>
      <c r="B76" s="1503" t="s">
        <v>756</v>
      </c>
      <c r="C76" s="1503"/>
      <c r="D76" s="462" t="s">
        <v>432</v>
      </c>
      <c r="E76" s="462" t="s">
        <v>421</v>
      </c>
      <c r="F76" s="462" t="n">
        <f>EDU*4</f>
        <v>0</v>
      </c>
      <c r="G76" s="478" t="s">
        <v>757</v>
      </c>
      <c r="H76" s="462"/>
      <c r="K76" s="1505" t="s">
        <v>758</v>
      </c>
      <c r="L76" s="1506"/>
      <c r="M76" s="489" t="s">
        <v>759</v>
      </c>
      <c r="N76" s="490"/>
      <c r="O76" s="465"/>
      <c r="P76" s="465"/>
    </row>
    <row r="77" spans="1:17" ht="16.5" customHeight="1">
      <c r="A77" s="479">
        <v>75</v>
      </c>
      <c r="B77" s="1509" t="s">
        <v>760</v>
      </c>
      <c r="C77" s="1503"/>
      <c r="D77" s="481" t="s">
        <v>761</v>
      </c>
      <c r="E77" s="482" t="s">
        <v>443</v>
      </c>
      <c r="F77" s="482" t="n">
        <f>EDU*2+MAX(STR*2,DEX*2)</f>
        <v>0</v>
      </c>
      <c r="G77" s="483" t="s">
        <v>762</v>
      </c>
      <c r="H77" s="462"/>
      <c r="K77" s="1505" t="s">
        <v>763</v>
      </c>
      <c r="L77" s="1506"/>
      <c r="M77" s="489" t="s">
        <v>764</v>
      </c>
      <c r="N77" s="490"/>
      <c r="O77" s="465"/>
      <c r="P77" s="465"/>
    </row>
    <row r="78" spans="1:17" ht="17.25" customHeight="1">
      <c r="A78" s="470">
        <v>76</v>
      </c>
      <c r="B78" s="1503" t="s">
        <v>765</v>
      </c>
      <c r="C78" s="1503"/>
      <c r="D78" s="462" t="s">
        <v>766</v>
      </c>
      <c r="E78" s="462" t="s">
        <v>433</v>
      </c>
      <c r="F78" s="462" t="n">
        <f>EDU*2+APP*2</f>
        <v>0</v>
      </c>
      <c r="G78" s="478" t="s">
        <v>767</v>
      </c>
      <c r="H78" s="462"/>
      <c r="K78" s="1505" t="s">
        <v>768</v>
      </c>
      <c r="L78" s="1506"/>
      <c r="M78" s="489" t="s">
        <v>769</v>
      </c>
      <c r="N78" s="490"/>
      <c r="O78" s="465"/>
      <c r="P78" s="465"/>
    </row>
    <row r="79" spans="1:17" ht="17.25" customHeight="1">
      <c r="A79" s="479">
        <v>77</v>
      </c>
      <c r="B79" s="1509" t="s">
        <v>770</v>
      </c>
      <c r="C79" s="1503"/>
      <c r="D79" s="481" t="s">
        <v>553</v>
      </c>
      <c r="E79" s="482" t="s">
        <v>443</v>
      </c>
      <c r="F79" s="482" t="n">
        <f>EDU*2+MAX(STR*2,DEX*2)</f>
        <v>0</v>
      </c>
      <c r="G79" s="483" t="s">
        <v>771</v>
      </c>
      <c r="H79" s="462"/>
      <c r="K79" s="1505" t="s">
        <v>772</v>
      </c>
      <c r="L79" s="1506"/>
      <c r="M79" s="489" t="s">
        <v>773</v>
      </c>
      <c r="N79" s="490"/>
      <c r="O79" s="465"/>
      <c r="P79" s="465"/>
    </row>
    <row r="80" spans="1:17">
      <c r="A80" s="470">
        <v>78</v>
      </c>
      <c r="B80" s="1503" t="s">
        <v>774</v>
      </c>
      <c r="C80" s="1503"/>
      <c r="D80" s="462" t="s">
        <v>650</v>
      </c>
      <c r="E80" s="462" t="s">
        <v>421</v>
      </c>
      <c r="F80" s="462" t="n">
        <f>EDU*4</f>
        <v>0</v>
      </c>
      <c r="G80" s="478" t="s">
        <v>775</v>
      </c>
      <c r="H80" s="462"/>
      <c r="K80" s="1505" t="s">
        <v>776</v>
      </c>
      <c r="L80" s="1506"/>
      <c r="M80" s="489" t="s">
        <v>777</v>
      </c>
      <c r="N80" s="490"/>
      <c r="O80" s="465"/>
      <c r="P80" s="465"/>
    </row>
    <row r="81" spans="1:16" ht="16.5" customHeight="1">
      <c r="A81" s="479">
        <v>79</v>
      </c>
      <c r="B81" s="1509" t="s">
        <v>778</v>
      </c>
      <c r="C81" s="1503"/>
      <c r="D81" s="481" t="s">
        <v>497</v>
      </c>
      <c r="E81" s="482" t="s">
        <v>779</v>
      </c>
      <c r="F81" s="482" t="n">
        <f>EDU*2+MAX(POW*2,DEX*2)</f>
        <v>0</v>
      </c>
      <c r="G81" s="483" t="s">
        <v>780</v>
      </c>
      <c r="H81" s="462"/>
      <c r="K81" s="1505" t="s">
        <v>781</v>
      </c>
      <c r="L81" s="1506"/>
      <c r="M81" s="489" t="s">
        <v>782</v>
      </c>
      <c r="N81" s="490"/>
      <c r="O81" s="465"/>
      <c r="P81" s="465"/>
    </row>
    <row r="82" spans="1:16">
      <c r="A82" s="470">
        <v>80</v>
      </c>
      <c r="B82" s="1503" t="s">
        <v>783</v>
      </c>
      <c r="C82" s="1503"/>
      <c r="D82" s="462" t="s">
        <v>497</v>
      </c>
      <c r="E82" s="462" t="s">
        <v>421</v>
      </c>
      <c r="F82" s="462" t="n">
        <f>EDU*4</f>
        <v>0</v>
      </c>
      <c r="G82" s="478" t="s">
        <v>784</v>
      </c>
      <c r="H82" s="462"/>
      <c r="K82" s="1505" t="s">
        <v>785</v>
      </c>
      <c r="L82" s="1506"/>
      <c r="M82" s="489" t="s">
        <v>786</v>
      </c>
      <c r="N82" s="490"/>
      <c r="O82" s="465"/>
      <c r="P82" s="465"/>
    </row>
    <row r="83" spans="1:16" ht="16.05" customHeight="1">
      <c r="A83" s="479">
        <v>81</v>
      </c>
      <c r="B83" s="1509" t="s">
        <v>787</v>
      </c>
      <c r="C83" s="1503"/>
      <c r="D83" s="481" t="s">
        <v>788</v>
      </c>
      <c r="E83" s="482" t="s">
        <v>421</v>
      </c>
      <c r="F83" s="482" t="n">
        <f>EDU*4</f>
        <v>0</v>
      </c>
      <c r="G83" s="483" t="s">
        <v>789</v>
      </c>
      <c r="H83" s="462"/>
      <c r="K83" s="1505" t="s">
        <v>790</v>
      </c>
      <c r="L83" s="1506"/>
      <c r="M83" s="500" t="s">
        <v>791</v>
      </c>
      <c r="N83" s="490"/>
      <c r="O83" s="465"/>
      <c r="P83" s="465"/>
    </row>
    <row r="84" spans="1:16" ht="16.5" customHeight="1">
      <c r="A84" s="470">
        <v>82</v>
      </c>
      <c r="B84" s="1503" t="s">
        <v>792</v>
      </c>
      <c r="C84" s="1503"/>
      <c r="D84" s="462" t="s">
        <v>793</v>
      </c>
      <c r="E84" s="462" t="s">
        <v>443</v>
      </c>
      <c r="F84" s="462" t="n">
        <f>EDU*2+MAX(STR*2,DEX*2)</f>
        <v>0</v>
      </c>
      <c r="G84" s="478" t="s">
        <v>794</v>
      </c>
      <c r="K84" s="1505" t="s">
        <v>795</v>
      </c>
      <c r="L84" s="1506"/>
      <c r="M84" s="489" t="s">
        <v>796</v>
      </c>
      <c r="N84" s="490"/>
      <c r="O84" s="465"/>
      <c r="P84" s="465"/>
    </row>
    <row r="85" spans="1:16" ht="15" customHeight="1">
      <c r="A85" s="479">
        <v>83</v>
      </c>
      <c r="B85" s="1509" t="s">
        <v>797</v>
      </c>
      <c r="C85" s="1503"/>
      <c r="D85" s="481" t="s">
        <v>497</v>
      </c>
      <c r="E85" s="482" t="s">
        <v>421</v>
      </c>
      <c r="F85" s="482" t="n">
        <f>EDU*4</f>
        <v>0</v>
      </c>
      <c r="G85" s="483" t="s">
        <v>798</v>
      </c>
      <c r="K85" s="1505" t="s">
        <v>799</v>
      </c>
      <c r="L85" s="1506"/>
      <c r="M85" s="500" t="s">
        <v>800</v>
      </c>
      <c r="N85" s="490"/>
      <c r="O85" s="465"/>
      <c r="P85" s="465"/>
    </row>
    <row r="86" spans="1:16">
      <c r="A86" s="470">
        <v>84</v>
      </c>
      <c r="B86" s="1503" t="s">
        <v>801</v>
      </c>
      <c r="C86" s="1503"/>
      <c r="D86" s="462" t="s">
        <v>802</v>
      </c>
      <c r="E86" s="462" t="s">
        <v>421</v>
      </c>
      <c r="F86" s="462" t="n">
        <f>EDU*4</f>
        <v>0</v>
      </c>
      <c r="G86" s="478" t="s">
        <v>803</v>
      </c>
      <c r="K86" s="1505" t="s">
        <v>804</v>
      </c>
      <c r="L86" s="1506"/>
      <c r="M86" s="489" t="s">
        <v>805</v>
      </c>
      <c r="N86" s="490"/>
      <c r="O86" s="465"/>
      <c r="P86" s="465"/>
    </row>
    <row r="87" spans="1:16">
      <c r="A87" s="479">
        <v>85</v>
      </c>
      <c r="B87" s="1509" t="s">
        <v>806</v>
      </c>
      <c r="C87" s="1503"/>
      <c r="D87" s="481" t="s">
        <v>497</v>
      </c>
      <c r="E87" s="482" t="s">
        <v>421</v>
      </c>
      <c r="F87" s="482" t="n">
        <f>EDU*4</f>
        <v>0</v>
      </c>
      <c r="G87" s="483" t="s">
        <v>807</v>
      </c>
      <c r="K87" s="1505" t="s">
        <v>808</v>
      </c>
      <c r="L87" s="1506"/>
      <c r="M87" s="489" t="s">
        <v>809</v>
      </c>
      <c r="N87" s="490"/>
      <c r="O87" s="465"/>
      <c r="P87" s="465"/>
    </row>
    <row r="88" spans="1:16">
      <c r="A88" s="470">
        <v>86</v>
      </c>
      <c r="B88" s="1503" t="s">
        <v>810</v>
      </c>
      <c r="C88" s="1503"/>
      <c r="D88" s="462" t="s">
        <v>650</v>
      </c>
      <c r="E88" s="462" t="s">
        <v>421</v>
      </c>
      <c r="F88" s="462" t="n">
        <f>EDU*4</f>
        <v>0</v>
      </c>
      <c r="G88" s="478" t="s">
        <v>811</v>
      </c>
      <c r="K88" s="1505" t="s">
        <v>812</v>
      </c>
      <c r="L88" s="1506"/>
      <c r="M88" s="489" t="s">
        <v>809</v>
      </c>
      <c r="N88" s="490"/>
      <c r="O88" s="465"/>
      <c r="P88" s="465"/>
    </row>
    <row r="89" spans="1:16" ht="16.5" customHeight="1">
      <c r="A89" s="479">
        <v>87</v>
      </c>
      <c r="B89" s="1509" t="s">
        <v>813</v>
      </c>
      <c r="C89" s="1503"/>
      <c r="D89" s="481" t="s">
        <v>761</v>
      </c>
      <c r="E89" s="482" t="s">
        <v>427</v>
      </c>
      <c r="F89" s="482" t="n">
        <f>EDU*2+DEX*2</f>
        <v>0</v>
      </c>
      <c r="G89" s="483" t="s">
        <v>814</v>
      </c>
      <c r="K89" s="1505" t="s">
        <v>815</v>
      </c>
      <c r="L89" s="1506"/>
      <c r="M89" s="489" t="s">
        <v>816</v>
      </c>
      <c r="N89" s="490"/>
      <c r="O89" s="465"/>
      <c r="P89" s="465"/>
    </row>
    <row r="90" spans="1:16">
      <c r="A90" s="470">
        <v>88</v>
      </c>
      <c r="B90" s="1503" t="s">
        <v>817</v>
      </c>
      <c r="C90" s="1503"/>
      <c r="D90" s="462" t="s">
        <v>553</v>
      </c>
      <c r="E90" s="462" t="s">
        <v>421</v>
      </c>
      <c r="F90" s="462" t="n">
        <f>EDU*4</f>
        <v>0</v>
      </c>
      <c r="G90" s="478" t="s">
        <v>818</v>
      </c>
      <c r="K90" s="1505" t="s">
        <v>819</v>
      </c>
      <c r="L90" s="1506"/>
      <c r="M90" s="489" t="s">
        <v>820</v>
      </c>
      <c r="N90" s="490"/>
      <c r="O90" s="465"/>
      <c r="P90" s="465"/>
    </row>
    <row r="91" spans="1:16" ht="16.5" customHeight="1">
      <c r="A91" s="479">
        <v>89</v>
      </c>
      <c r="B91" s="1509" t="s">
        <v>821</v>
      </c>
      <c r="C91" s="1503"/>
      <c r="D91" s="481" t="s">
        <v>507</v>
      </c>
      <c r="E91" s="482" t="s">
        <v>443</v>
      </c>
      <c r="F91" s="482" t="n">
        <f>EDU*2+MAX(STR*2,DEX*2)</f>
        <v>0</v>
      </c>
      <c r="G91" s="483" t="s">
        <v>822</v>
      </c>
      <c r="K91" s="1505" t="s">
        <v>823</v>
      </c>
      <c r="L91" s="1506"/>
      <c r="M91" s="489" t="s">
        <v>824</v>
      </c>
      <c r="N91" s="490"/>
      <c r="O91" s="465"/>
      <c r="P91" s="465"/>
    </row>
    <row r="92" spans="1:16" ht="16.5" customHeight="1">
      <c r="A92" s="470">
        <v>90</v>
      </c>
      <c r="B92" s="1503" t="s">
        <v>825</v>
      </c>
      <c r="C92" s="1503"/>
      <c r="D92" s="462" t="s">
        <v>497</v>
      </c>
      <c r="E92" s="462" t="s">
        <v>443</v>
      </c>
      <c r="F92" s="462" t="n">
        <f>EDU*2+MAX(STR*2,DEX*2)</f>
        <v>0</v>
      </c>
      <c r="G92" s="478" t="s">
        <v>826</v>
      </c>
      <c r="K92" s="1505" t="s">
        <v>827</v>
      </c>
      <c r="L92" s="1506"/>
      <c r="M92" s="489" t="s">
        <v>828</v>
      </c>
      <c r="N92" s="490"/>
      <c r="O92" s="465"/>
      <c r="P92" s="465"/>
    </row>
    <row r="93" spans="1:16" ht="16.5" customHeight="1">
      <c r="A93" s="479">
        <v>91</v>
      </c>
      <c r="B93" s="1509" t="s">
        <v>829</v>
      </c>
      <c r="C93" s="1503"/>
      <c r="D93" s="481" t="s">
        <v>497</v>
      </c>
      <c r="E93" s="482" t="s">
        <v>443</v>
      </c>
      <c r="F93" s="482" t="n">
        <f>EDU*2+MAX(STR*2,DEX*2)</f>
        <v>0</v>
      </c>
      <c r="G93" s="483" t="s">
        <v>830</v>
      </c>
      <c r="K93" s="1505" t="s">
        <v>831</v>
      </c>
      <c r="L93" s="1506"/>
      <c r="M93" s="489" t="s">
        <v>832</v>
      </c>
      <c r="N93" s="490"/>
      <c r="O93" s="465"/>
      <c r="P93" s="465"/>
    </row>
    <row r="94" spans="1:16">
      <c r="A94" s="470">
        <v>92</v>
      </c>
      <c r="B94" s="1503" t="s">
        <v>833</v>
      </c>
      <c r="C94" s="1503"/>
      <c r="D94" s="462" t="s">
        <v>761</v>
      </c>
      <c r="E94" s="462" t="s">
        <v>421</v>
      </c>
      <c r="F94" s="462" t="n">
        <f>EDU*4</f>
        <v>0</v>
      </c>
      <c r="G94" s="478" t="s">
        <v>834</v>
      </c>
      <c r="K94" s="1505" t="s">
        <v>835</v>
      </c>
      <c r="L94" s="1506"/>
      <c r="M94" s="489" t="s">
        <v>836</v>
      </c>
      <c r="N94" s="490"/>
      <c r="O94" s="465"/>
      <c r="P94" s="465"/>
    </row>
    <row r="95" spans="1:16" ht="16.5" customHeight="1">
      <c r="A95" s="479">
        <v>93</v>
      </c>
      <c r="B95" s="1509" t="s">
        <v>837</v>
      </c>
      <c r="C95" s="1503"/>
      <c r="D95" s="481" t="s">
        <v>838</v>
      </c>
      <c r="E95" s="482" t="s">
        <v>443</v>
      </c>
      <c r="F95" s="482" t="n">
        <f>EDU*2+MAX(STR*2,DEX*2)</f>
        <v>0</v>
      </c>
      <c r="G95" s="483" t="s">
        <v>839</v>
      </c>
      <c r="K95" s="1505" t="s">
        <v>840</v>
      </c>
      <c r="L95" s="1506"/>
      <c r="M95" s="489" t="s">
        <v>841</v>
      </c>
      <c r="N95" s="490"/>
      <c r="O95" s="465"/>
      <c r="P95" s="465"/>
    </row>
    <row r="96" spans="1:16" ht="17.25" customHeight="1">
      <c r="A96" s="470">
        <v>94</v>
      </c>
      <c r="B96" s="1503" t="s">
        <v>842</v>
      </c>
      <c r="C96" s="1503"/>
      <c r="D96" s="462" t="s">
        <v>843</v>
      </c>
      <c r="E96" s="462" t="s">
        <v>433</v>
      </c>
      <c r="F96" s="462" t="n">
        <f>EDU*2+APP*2</f>
        <v>0</v>
      </c>
      <c r="G96" s="478" t="s">
        <v>844</v>
      </c>
      <c r="K96" s="1505" t="s">
        <v>845</v>
      </c>
      <c r="L96" s="1506"/>
      <c r="M96" s="489" t="s">
        <v>846</v>
      </c>
      <c r="N96" s="490"/>
      <c r="O96" s="465"/>
      <c r="P96" s="465"/>
    </row>
    <row r="97" spans="1:16">
      <c r="A97" s="479">
        <v>95</v>
      </c>
      <c r="B97" s="1509" t="s">
        <v>847</v>
      </c>
      <c r="C97" s="1503"/>
      <c r="D97" s="481" t="s">
        <v>627</v>
      </c>
      <c r="E97" s="482" t="s">
        <v>421</v>
      </c>
      <c r="F97" s="482" t="n">
        <f>EDU*4</f>
        <v>0</v>
      </c>
      <c r="G97" s="483" t="s">
        <v>848</v>
      </c>
      <c r="K97" s="1505" t="s">
        <v>849</v>
      </c>
      <c r="L97" s="1506"/>
      <c r="M97" s="489" t="s">
        <v>850</v>
      </c>
      <c r="N97" s="490"/>
      <c r="O97" s="465"/>
      <c r="P97" s="465"/>
    </row>
    <row r="98" spans="1:16">
      <c r="A98" s="470">
        <v>96</v>
      </c>
      <c r="B98" s="1503" t="s">
        <v>851</v>
      </c>
      <c r="C98" s="1503"/>
      <c r="D98" s="462" t="s">
        <v>453</v>
      </c>
      <c r="E98" s="462" t="s">
        <v>421</v>
      </c>
      <c r="F98" s="462" t="n">
        <f>EDU*4</f>
        <v>0</v>
      </c>
      <c r="G98" s="478" t="s">
        <v>852</v>
      </c>
      <c r="K98" s="1505" t="s">
        <v>853</v>
      </c>
      <c r="L98" s="1506"/>
      <c r="M98" s="489" t="s">
        <v>854</v>
      </c>
      <c r="N98" s="490"/>
      <c r="O98" s="465"/>
      <c r="P98" s="465"/>
    </row>
    <row r="99" spans="1:16">
      <c r="A99" s="479">
        <v>97</v>
      </c>
      <c r="B99" s="1509" t="s">
        <v>855</v>
      </c>
      <c r="C99" s="1503"/>
      <c r="D99" s="481" t="s">
        <v>497</v>
      </c>
      <c r="E99" s="482" t="s">
        <v>421</v>
      </c>
      <c r="F99" s="482" t="n">
        <f>EDU*4</f>
        <v>0</v>
      </c>
      <c r="G99" s="483" t="s">
        <v>856</v>
      </c>
      <c r="K99" s="1505" t="s">
        <v>857</v>
      </c>
      <c r="L99" s="1506"/>
      <c r="M99" s="489" t="s">
        <v>858</v>
      </c>
      <c r="N99" s="490"/>
      <c r="O99" s="465"/>
      <c r="P99" s="465"/>
    </row>
    <row r="100" spans="1:16">
      <c r="A100" s="470">
        <v>98</v>
      </c>
      <c r="B100" s="1503" t="s">
        <v>859</v>
      </c>
      <c r="C100" s="1503"/>
      <c r="D100" s="462" t="s">
        <v>497</v>
      </c>
      <c r="E100" s="462" t="s">
        <v>860</v>
      </c>
      <c r="F100" s="462" t="n">
        <f>EDU*2+MAX(STR*2,DEX*2)</f>
        <v>0</v>
      </c>
      <c r="G100" s="478" t="s">
        <v>861</v>
      </c>
      <c r="K100" s="1505" t="s">
        <v>862</v>
      </c>
      <c r="L100" s="1506"/>
      <c r="M100" s="489" t="s">
        <v>863</v>
      </c>
      <c r="N100" s="490"/>
      <c r="O100" s="465"/>
      <c r="P100" s="465"/>
    </row>
    <row r="101" spans="1:16">
      <c r="A101" s="479">
        <v>99</v>
      </c>
      <c r="B101" s="1509" t="s">
        <v>864</v>
      </c>
      <c r="C101" s="1503"/>
      <c r="D101" s="481" t="s">
        <v>512</v>
      </c>
      <c r="E101" s="482" t="s">
        <v>860</v>
      </c>
      <c r="F101" s="482" t="n">
        <f>EDU*2+MAX(STR*2,DEX*2)</f>
        <v>0</v>
      </c>
      <c r="G101" s="483" t="s">
        <v>865</v>
      </c>
      <c r="K101" s="1505" t="s">
        <v>866</v>
      </c>
      <c r="L101" s="1506"/>
      <c r="M101" s="489" t="s">
        <v>867</v>
      </c>
      <c r="N101" s="490"/>
      <c r="O101" s="465"/>
      <c r="P101" s="465"/>
    </row>
    <row r="102" spans="1:16" ht="17.25" customHeight="1">
      <c r="A102" s="470">
        <v>100</v>
      </c>
      <c r="B102" s="1503" t="s">
        <v>868</v>
      </c>
      <c r="C102" s="1503"/>
      <c r="D102" s="462" t="s">
        <v>432</v>
      </c>
      <c r="E102" s="462" t="s">
        <v>433</v>
      </c>
      <c r="F102" s="462" t="n">
        <f>EDU*2+APP*2</f>
        <v>0</v>
      </c>
      <c r="G102" s="478" t="s">
        <v>869</v>
      </c>
      <c r="K102" s="1505" t="s">
        <v>870</v>
      </c>
      <c r="L102" s="1506"/>
      <c r="M102" s="489" t="s">
        <v>871</v>
      </c>
      <c r="N102" s="490"/>
      <c r="O102" s="465"/>
      <c r="P102" s="465"/>
    </row>
    <row r="103" spans="1:16">
      <c r="A103" s="479">
        <v>101</v>
      </c>
      <c r="B103" s="1509" t="s">
        <v>872</v>
      </c>
      <c r="C103" s="1503"/>
      <c r="D103" s="481" t="s">
        <v>481</v>
      </c>
      <c r="E103" s="482" t="s">
        <v>421</v>
      </c>
      <c r="F103" s="482" t="n">
        <f>EDU*4</f>
        <v>0</v>
      </c>
      <c r="G103" s="483" t="s">
        <v>873</v>
      </c>
      <c r="K103" s="1505" t="s">
        <v>874</v>
      </c>
      <c r="L103" s="1506"/>
      <c r="M103" s="489" t="s">
        <v>875</v>
      </c>
      <c r="N103" s="490"/>
      <c r="O103" s="465"/>
      <c r="P103" s="465"/>
    </row>
    <row r="104" spans="1:16" ht="17.25" customHeight="1">
      <c r="A104" s="470">
        <v>102</v>
      </c>
      <c r="B104" s="1503" t="s">
        <v>876</v>
      </c>
      <c r="C104" s="1503"/>
      <c r="D104" s="462" t="s">
        <v>497</v>
      </c>
      <c r="E104" s="462" t="s">
        <v>578</v>
      </c>
      <c r="F104" s="462" t="n">
        <f>EDU*2+MAX(DEX*2,APP*2)</f>
        <v>0</v>
      </c>
      <c r="G104" s="478" t="s">
        <v>877</v>
      </c>
      <c r="K104" s="1505" t="s">
        <v>878</v>
      </c>
      <c r="L104" s="1506"/>
      <c r="M104" s="489" t="s">
        <v>879</v>
      </c>
      <c r="N104" s="490"/>
      <c r="O104" s="465"/>
      <c r="P104" s="465"/>
    </row>
    <row r="105" spans="1:16" ht="17.25" customHeight="1">
      <c r="A105" s="479">
        <v>103</v>
      </c>
      <c r="B105" s="1509" t="s">
        <v>880</v>
      </c>
      <c r="C105" s="1503"/>
      <c r="D105" s="481" t="s">
        <v>512</v>
      </c>
      <c r="E105" s="482" t="s">
        <v>596</v>
      </c>
      <c r="F105" s="482" t="n">
        <f>EDU*2+MAX(DEX*2,APP*2)</f>
        <v>0</v>
      </c>
      <c r="G105" s="483" t="s">
        <v>881</v>
      </c>
      <c r="K105" s="1505" t="s">
        <v>882</v>
      </c>
      <c r="L105" s="1506"/>
      <c r="M105" s="489" t="s">
        <v>883</v>
      </c>
      <c r="N105" s="490"/>
      <c r="O105" s="465"/>
      <c r="P105" s="465"/>
    </row>
    <row r="106" spans="1:16" ht="16.5" customHeight="1">
      <c r="A106" s="470">
        <v>104</v>
      </c>
      <c r="B106" s="1503" t="s">
        <v>884</v>
      </c>
      <c r="C106" s="1503"/>
      <c r="D106" s="462" t="s">
        <v>497</v>
      </c>
      <c r="E106" s="462" t="s">
        <v>443</v>
      </c>
      <c r="F106" s="462" t="n">
        <f>EDU*2+MAX(STR*2,DEX*2)</f>
        <v>0</v>
      </c>
      <c r="G106" s="478" t="s">
        <v>885</v>
      </c>
      <c r="K106" s="1505" t="s">
        <v>862</v>
      </c>
      <c r="L106" s="1506"/>
      <c r="M106" s="489" t="s">
        <v>886</v>
      </c>
      <c r="N106" s="490"/>
      <c r="O106" s="465"/>
      <c r="P106" s="465"/>
    </row>
    <row r="107" spans="1:16" ht="17.25" customHeight="1">
      <c r="A107" s="479">
        <v>105</v>
      </c>
      <c r="B107" s="1509" t="s">
        <v>887</v>
      </c>
      <c r="C107" s="1503"/>
      <c r="D107" s="481" t="s">
        <v>591</v>
      </c>
      <c r="E107" s="482" t="s">
        <v>596</v>
      </c>
      <c r="F107" s="482" t="n">
        <f>EDU*2+MAX(DEX*2,APP*2)</f>
        <v>0</v>
      </c>
      <c r="G107" s="483" t="s">
        <v>888</v>
      </c>
      <c r="K107" s="1505" t="s">
        <v>889</v>
      </c>
      <c r="L107" s="1506"/>
      <c r="M107" s="489" t="s">
        <v>890</v>
      </c>
      <c r="N107" s="490"/>
      <c r="O107" s="465"/>
      <c r="P107" s="465"/>
    </row>
    <row r="108" spans="1:16">
      <c r="A108" s="470">
        <v>106</v>
      </c>
      <c r="B108" s="1503" t="s">
        <v>891</v>
      </c>
      <c r="C108" s="1503"/>
      <c r="D108" s="462" t="s">
        <v>892</v>
      </c>
      <c r="E108" s="462" t="s">
        <v>421</v>
      </c>
      <c r="F108" s="462" t="n">
        <f>EDU*4</f>
        <v>0</v>
      </c>
      <c r="G108" s="478" t="s">
        <v>893</v>
      </c>
      <c r="K108" s="1505" t="s">
        <v>894</v>
      </c>
      <c r="L108" s="1506"/>
      <c r="M108" s="489" t="s">
        <v>895</v>
      </c>
      <c r="N108" s="490"/>
      <c r="O108" s="465"/>
      <c r="P108" s="465"/>
    </row>
    <row r="109" spans="1:16" ht="16.5" customHeight="1">
      <c r="A109" s="479">
        <v>107</v>
      </c>
      <c r="B109" s="1509" t="s">
        <v>896</v>
      </c>
      <c r="C109" s="1503"/>
      <c r="D109" s="481" t="s">
        <v>897</v>
      </c>
      <c r="E109" s="482" t="s">
        <v>443</v>
      </c>
      <c r="F109" s="482" t="n">
        <f>EDU*2+MAX(STR*2,DEX*2)</f>
        <v>0</v>
      </c>
      <c r="G109" s="483" t="s">
        <v>898</v>
      </c>
      <c r="K109" s="1505" t="s">
        <v>899</v>
      </c>
      <c r="L109" s="1506"/>
      <c r="M109" s="489" t="s">
        <v>900</v>
      </c>
      <c r="N109" s="490"/>
      <c r="O109" s="465"/>
      <c r="P109" s="465"/>
    </row>
    <row r="110" spans="1:16" ht="16.5" customHeight="1">
      <c r="A110" s="470">
        <v>108</v>
      </c>
      <c r="B110" s="1503" t="s">
        <v>901</v>
      </c>
      <c r="C110" s="1503"/>
      <c r="D110" s="462" t="s">
        <v>902</v>
      </c>
      <c r="E110" s="462" t="s">
        <v>443</v>
      </c>
      <c r="F110" s="462" t="n">
        <f>EDU*2+MAX(STR*2,DEX*2)</f>
        <v>0</v>
      </c>
      <c r="G110" s="478" t="s">
        <v>903</v>
      </c>
      <c r="K110" s="1505" t="s">
        <v>904</v>
      </c>
      <c r="L110" s="1506"/>
      <c r="M110" s="489" t="s">
        <v>905</v>
      </c>
      <c r="N110" s="490"/>
      <c r="O110" s="465"/>
      <c r="P110" s="465"/>
    </row>
    <row r="111" spans="1:16">
      <c r="A111" s="479">
        <v>109</v>
      </c>
      <c r="B111" s="1509" t="s">
        <v>906</v>
      </c>
      <c r="C111" s="1503"/>
      <c r="D111" s="481" t="s">
        <v>512</v>
      </c>
      <c r="E111" s="482" t="s">
        <v>421</v>
      </c>
      <c r="F111" s="482" t="n">
        <f>EDU*4</f>
        <v>0</v>
      </c>
      <c r="G111" s="483" t="s">
        <v>907</v>
      </c>
      <c r="K111" s="1505" t="s">
        <v>908</v>
      </c>
      <c r="L111" s="1506"/>
      <c r="M111" s="489" t="s">
        <v>909</v>
      </c>
      <c r="N111" s="490"/>
      <c r="O111" s="465"/>
      <c r="P111" s="465"/>
    </row>
    <row r="112" spans="1:16">
      <c r="A112" s="470">
        <v>110</v>
      </c>
      <c r="B112" s="1503" t="s">
        <v>910</v>
      </c>
      <c r="C112" s="1503"/>
      <c r="D112" s="462" t="s">
        <v>843</v>
      </c>
      <c r="E112" s="462" t="s">
        <v>421</v>
      </c>
      <c r="F112" s="462" t="n">
        <f>EDU*4</f>
        <v>0</v>
      </c>
      <c r="G112" s="478" t="s">
        <v>911</v>
      </c>
      <c r="K112" s="1505" t="s">
        <v>912</v>
      </c>
      <c r="L112" s="1506"/>
      <c r="M112" s="489" t="s">
        <v>913</v>
      </c>
      <c r="N112" s="490"/>
      <c r="O112" s="465"/>
      <c r="P112" s="465"/>
    </row>
    <row r="113" spans="1:16" ht="17.25" customHeight="1">
      <c r="A113" s="479">
        <v>111</v>
      </c>
      <c r="B113" s="1509" t="s">
        <v>914</v>
      </c>
      <c r="C113" s="1503"/>
      <c r="D113" s="481" t="s">
        <v>426</v>
      </c>
      <c r="E113" s="482" t="s">
        <v>596</v>
      </c>
      <c r="F113" s="482" t="n">
        <f>EDU*2+MAX(DEX*2,APP*2)</f>
        <v>0</v>
      </c>
      <c r="G113" s="483" t="s">
        <v>915</v>
      </c>
      <c r="K113" s="1505" t="s">
        <v>916</v>
      </c>
      <c r="L113" s="1506"/>
      <c r="M113" s="489" t="s">
        <v>917</v>
      </c>
      <c r="N113" s="490"/>
      <c r="O113" s="465"/>
      <c r="P113" s="465"/>
    </row>
    <row r="114" spans="1:16">
      <c r="A114" s="470">
        <v>112</v>
      </c>
      <c r="B114" s="1503" t="s">
        <v>918</v>
      </c>
      <c r="C114" s="1503"/>
      <c r="D114" s="462" t="s">
        <v>426</v>
      </c>
      <c r="E114" s="462" t="s">
        <v>421</v>
      </c>
      <c r="F114" s="462" t="n">
        <f>EDU*4</f>
        <v>0</v>
      </c>
      <c r="G114" s="478" t="s">
        <v>919</v>
      </c>
      <c r="K114" s="1505" t="s">
        <v>920</v>
      </c>
      <c r="L114" s="1506"/>
      <c r="M114" s="489" t="s">
        <v>921</v>
      </c>
      <c r="N114" s="490"/>
      <c r="O114" s="465"/>
      <c r="P114" s="465"/>
    </row>
    <row r="115" spans="1:16">
      <c r="A115" s="479">
        <v>113</v>
      </c>
      <c r="B115" s="1509" t="s">
        <v>922</v>
      </c>
      <c r="C115" s="1503"/>
      <c r="D115" s="481" t="s">
        <v>923</v>
      </c>
      <c r="E115" s="482" t="s">
        <v>421</v>
      </c>
      <c r="F115" s="482" t="n">
        <f>EDU*4</f>
        <v>0</v>
      </c>
      <c r="G115" s="483" t="s">
        <v>924</v>
      </c>
      <c r="K115" s="1505" t="s">
        <v>925</v>
      </c>
      <c r="L115" s="1506"/>
      <c r="M115" s="489" t="s">
        <v>926</v>
      </c>
      <c r="N115" s="490"/>
      <c r="O115" s="465"/>
      <c r="P115" s="465"/>
    </row>
    <row r="116" spans="1:16" ht="16.5" customHeight="1">
      <c r="A116" s="470">
        <v>114</v>
      </c>
      <c r="B116" s="1503" t="s">
        <v>927</v>
      </c>
      <c r="C116" s="1503"/>
      <c r="D116" s="462" t="s">
        <v>766</v>
      </c>
      <c r="E116" s="462" t="s">
        <v>454</v>
      </c>
      <c r="F116" s="462" t="n">
        <f>EDU*2+MAX(APP*2,POW*2)</f>
        <v>0</v>
      </c>
      <c r="G116" s="478" t="s">
        <v>928</v>
      </c>
      <c r="K116" s="1505" t="s">
        <v>929</v>
      </c>
      <c r="L116" s="1506"/>
      <c r="M116" s="489" t="s">
        <v>930</v>
      </c>
      <c r="N116" s="490"/>
      <c r="O116" s="465"/>
      <c r="P116" s="465"/>
    </row>
    <row r="117" spans="1:16">
      <c r="A117" s="501">
        <v>115</v>
      </c>
      <c r="B117" s="1541" t="s">
        <v>931</v>
      </c>
      <c r="C117" s="1019"/>
      <c r="D117" s="502" t="s">
        <v>432</v>
      </c>
      <c r="E117" s="503" t="s">
        <v>421</v>
      </c>
      <c r="F117" s="503" t="n">
        <f>EDU*4</f>
        <v>0</v>
      </c>
      <c r="G117" s="504" t="s">
        <v>932</v>
      </c>
      <c r="K117" s="1505" t="s">
        <v>933</v>
      </c>
      <c r="L117" s="1506"/>
      <c r="M117" s="489" t="s">
        <v>934</v>
      </c>
      <c r="N117" s="490"/>
      <c r="O117" s="465"/>
      <c r="P117" s="465"/>
    </row>
    <row r="118" spans="1:16">
      <c r="A118" s="505">
        <v>116</v>
      </c>
      <c r="B118" s="1533" t="s">
        <v>935</v>
      </c>
      <c r="C118" s="1088"/>
      <c r="D118" s="506" t="s">
        <v>655</v>
      </c>
      <c r="E118" s="507" t="s">
        <v>433</v>
      </c>
      <c r="F118" s="506" t="n">
        <f>EDU*2+APP*2</f>
        <v>0</v>
      </c>
      <c r="G118" s="508" t="s">
        <v>936</v>
      </c>
      <c r="H118" s="1517" t="s">
        <v>937</v>
      </c>
      <c r="I118" s="1516"/>
      <c r="K118" s="518" t="s">
        <v>938</v>
      </c>
      <c r="L118" s="465"/>
      <c r="M118" s="367" t="s">
        <v>939</v>
      </c>
      <c r="N118" s="465"/>
      <c r="O118" s="465"/>
      <c r="P118" s="465"/>
    </row>
    <row r="119" spans="1:16">
      <c r="A119" s="509">
        <v>117</v>
      </c>
      <c r="B119" s="1511" t="s">
        <v>940</v>
      </c>
      <c r="C119" s="1503"/>
      <c r="D119" s="510" t="s">
        <v>426</v>
      </c>
      <c r="E119" s="511" t="s">
        <v>443</v>
      </c>
      <c r="F119" s="512" t="n">
        <f>EDU*2+MAX(STR*2,DEX*2)</f>
        <v>0</v>
      </c>
      <c r="G119" s="513" t="s">
        <v>941</v>
      </c>
      <c r="H119" s="1503"/>
      <c r="I119" s="1516"/>
      <c r="K119" s="518" t="s">
        <v>494</v>
      </c>
      <c r="L119" s="465"/>
      <c r="M119" s="367" t="s">
        <v>939</v>
      </c>
      <c r="N119" s="465"/>
      <c r="O119" s="465"/>
      <c r="P119" s="465"/>
    </row>
    <row r="120" spans="1:16">
      <c r="A120" s="514">
        <v>118</v>
      </c>
      <c r="B120" s="1507" t="s">
        <v>942</v>
      </c>
      <c r="C120" s="1503"/>
      <c r="D120" s="515" t="s">
        <v>943</v>
      </c>
      <c r="E120" s="516" t="s">
        <v>443</v>
      </c>
      <c r="F120" s="515" t="n">
        <f>EDU*2+MAX(STR*2,DEX*2)</f>
        <v>0</v>
      </c>
      <c r="G120" s="517" t="s">
        <v>944</v>
      </c>
      <c r="H120" s="1503"/>
      <c r="I120" s="1516"/>
      <c r="K120" s="518" t="s">
        <v>945</v>
      </c>
      <c r="L120" s="465"/>
      <c r="M120" s="518" t="s">
        <v>939</v>
      </c>
      <c r="N120" s="465"/>
      <c r="O120" s="465"/>
      <c r="P120" s="465"/>
    </row>
    <row r="121" spans="1:16">
      <c r="A121" s="509">
        <v>119</v>
      </c>
      <c r="B121" s="1511" t="s">
        <v>946</v>
      </c>
      <c r="C121" s="1503"/>
      <c r="D121" s="510" t="s">
        <v>420</v>
      </c>
      <c r="E121" s="511" t="s">
        <v>443</v>
      </c>
      <c r="F121" s="512" t="n">
        <f>EDU*2+MAX(STR*2,DEX*2)</f>
        <v>0</v>
      </c>
      <c r="G121" s="513" t="s">
        <v>947</v>
      </c>
      <c r="H121" s="1503"/>
      <c r="I121" s="1516"/>
      <c r="K121" s="518" t="s">
        <v>948</v>
      </c>
      <c r="L121" s="465"/>
      <c r="M121" s="367" t="s">
        <v>939</v>
      </c>
      <c r="N121" s="465"/>
      <c r="O121" s="465"/>
      <c r="P121" s="465"/>
    </row>
    <row r="122" spans="1:16">
      <c r="A122" s="514">
        <v>120</v>
      </c>
      <c r="B122" s="1507" t="s">
        <v>949</v>
      </c>
      <c r="C122" s="1503"/>
      <c r="D122" s="515" t="s">
        <v>426</v>
      </c>
      <c r="E122" s="516" t="s">
        <v>443</v>
      </c>
      <c r="F122" s="515" t="n">
        <f>EDU*2+MAX(STR*2,DEX*2)</f>
        <v>0</v>
      </c>
      <c r="G122" s="517" t="s">
        <v>950</v>
      </c>
      <c r="H122" s="1503"/>
      <c r="I122" s="1516"/>
      <c r="K122" s="518" t="s">
        <v>951</v>
      </c>
      <c r="L122" s="465"/>
      <c r="M122" s="518" t="s">
        <v>939</v>
      </c>
      <c r="N122" s="465"/>
      <c r="O122" s="465"/>
      <c r="P122" s="465"/>
    </row>
    <row r="123" spans="1:16">
      <c r="A123" s="509">
        <v>121</v>
      </c>
      <c r="B123" s="1511" t="s">
        <v>952</v>
      </c>
      <c r="C123" s="1503"/>
      <c r="D123" s="510" t="s">
        <v>729</v>
      </c>
      <c r="E123" s="511" t="s">
        <v>421</v>
      </c>
      <c r="F123" s="512" t="n">
        <f>EDU*4</f>
        <v>0</v>
      </c>
      <c r="G123" s="513" t="s">
        <v>953</v>
      </c>
      <c r="H123" s="1503"/>
      <c r="I123" s="1516"/>
      <c r="K123" s="518" t="s">
        <v>954</v>
      </c>
      <c r="L123" s="465"/>
      <c r="M123" s="518" t="s">
        <v>939</v>
      </c>
      <c r="N123" s="465"/>
      <c r="O123" s="465"/>
      <c r="P123" s="465"/>
    </row>
    <row r="124" spans="1:16">
      <c r="A124" s="514">
        <v>122</v>
      </c>
      <c r="B124" s="1507" t="s">
        <v>955</v>
      </c>
      <c r="C124" s="1503"/>
      <c r="D124" s="515" t="s">
        <v>729</v>
      </c>
      <c r="E124" s="516" t="s">
        <v>421</v>
      </c>
      <c r="F124" s="515" t="n">
        <f>EDU*4</f>
        <v>0</v>
      </c>
      <c r="G124" s="517" t="s">
        <v>956</v>
      </c>
      <c r="H124" s="1515" t="s">
        <v>957</v>
      </c>
      <c r="I124" s="1516"/>
      <c r="K124" s="518" t="s">
        <v>958</v>
      </c>
      <c r="L124" s="465"/>
      <c r="M124" s="518" t="s">
        <v>939</v>
      </c>
      <c r="N124" s="465"/>
      <c r="O124" s="465"/>
      <c r="P124" s="465"/>
    </row>
    <row r="125" spans="1:16">
      <c r="A125" s="509">
        <v>123</v>
      </c>
      <c r="B125" s="1511" t="s">
        <v>959</v>
      </c>
      <c r="C125" s="1503"/>
      <c r="D125" s="510" t="s">
        <v>761</v>
      </c>
      <c r="E125" s="511" t="s">
        <v>421</v>
      </c>
      <c r="F125" s="512" t="n">
        <f>EDU*4</f>
        <v>0</v>
      </c>
      <c r="G125" s="513" t="s">
        <v>960</v>
      </c>
      <c r="H125" s="1515" t="s">
        <v>961</v>
      </c>
      <c r="I125" s="1516"/>
      <c r="K125" s="518" t="s">
        <v>533</v>
      </c>
      <c r="L125" s="465"/>
      <c r="M125" s="518" t="s">
        <v>939</v>
      </c>
      <c r="N125" s="465"/>
      <c r="O125" s="465"/>
      <c r="P125" s="465"/>
    </row>
    <row r="126" spans="1:16">
      <c r="A126" s="514">
        <v>124</v>
      </c>
      <c r="B126" s="1507" t="s">
        <v>962</v>
      </c>
      <c r="C126" s="1503"/>
      <c r="D126" s="515" t="s">
        <v>522</v>
      </c>
      <c r="E126" s="516" t="s">
        <v>421</v>
      </c>
      <c r="F126" s="515" t="n">
        <f>EDU*4</f>
        <v>0</v>
      </c>
      <c r="G126" s="517" t="s">
        <v>531</v>
      </c>
      <c r="K126" s="518" t="s">
        <v>533</v>
      </c>
      <c r="L126" s="465"/>
      <c r="M126" s="518" t="s">
        <v>939</v>
      </c>
      <c r="N126" s="465"/>
      <c r="O126" s="465"/>
      <c r="P126" s="465"/>
    </row>
    <row r="127" spans="1:16">
      <c r="A127" s="509">
        <v>125</v>
      </c>
      <c r="B127" s="1511" t="s">
        <v>963</v>
      </c>
      <c r="C127" s="1503"/>
      <c r="D127" s="510" t="s">
        <v>522</v>
      </c>
      <c r="E127" s="511" t="s">
        <v>421</v>
      </c>
      <c r="F127" s="512" t="n">
        <f>EDU*4</f>
        <v>0</v>
      </c>
      <c r="G127" s="513" t="s">
        <v>964</v>
      </c>
      <c r="K127" s="518" t="s">
        <v>965</v>
      </c>
      <c r="L127" s="465"/>
      <c r="M127" s="518" t="s">
        <v>939</v>
      </c>
      <c r="N127" s="465"/>
      <c r="O127" s="465"/>
      <c r="P127" s="465"/>
    </row>
    <row r="128" spans="1:16">
      <c r="A128" s="514">
        <v>126</v>
      </c>
      <c r="B128" s="1507" t="s">
        <v>966</v>
      </c>
      <c r="C128" s="1503"/>
      <c r="D128" s="515" t="s">
        <v>420</v>
      </c>
      <c r="E128" s="516" t="s">
        <v>421</v>
      </c>
      <c r="F128" s="515" t="n">
        <f>EDU*4</f>
        <v>0</v>
      </c>
      <c r="G128" s="517" t="s">
        <v>967</v>
      </c>
      <c r="K128" s="518" t="s">
        <v>968</v>
      </c>
      <c r="L128" s="465"/>
      <c r="M128" s="518" t="s">
        <v>939</v>
      </c>
      <c r="N128" s="465"/>
      <c r="O128" s="465"/>
      <c r="P128" s="465"/>
    </row>
    <row r="129" spans="1:16">
      <c r="A129" s="509">
        <v>127</v>
      </c>
      <c r="B129" s="1511" t="s">
        <v>969</v>
      </c>
      <c r="C129" s="1503"/>
      <c r="D129" s="510" t="s">
        <v>766</v>
      </c>
      <c r="E129" s="511" t="s">
        <v>454</v>
      </c>
      <c r="F129" s="512" t="n">
        <f>EDU*2+MAX(APP*2,POW*2)</f>
        <v>0</v>
      </c>
      <c r="G129" s="513" t="s">
        <v>970</v>
      </c>
      <c r="K129" s="518" t="s">
        <v>971</v>
      </c>
      <c r="L129" s="465"/>
      <c r="M129" s="518" t="s">
        <v>939</v>
      </c>
      <c r="N129" s="465"/>
      <c r="O129" s="465"/>
      <c r="P129" s="465"/>
    </row>
    <row r="130" spans="1:16">
      <c r="A130" s="514">
        <v>128</v>
      </c>
      <c r="B130" s="1507" t="s">
        <v>972</v>
      </c>
      <c r="C130" s="1503"/>
      <c r="D130" s="515" t="s">
        <v>591</v>
      </c>
      <c r="E130" s="516" t="s">
        <v>421</v>
      </c>
      <c r="F130" s="515" t="n">
        <f>EDU*4</f>
        <v>0</v>
      </c>
      <c r="G130" s="517" t="s">
        <v>973</v>
      </c>
      <c r="K130" s="518" t="s">
        <v>974</v>
      </c>
      <c r="L130" s="465"/>
      <c r="M130" s="518" t="s">
        <v>939</v>
      </c>
      <c r="N130" s="465"/>
      <c r="O130" s="465"/>
      <c r="P130" s="465"/>
    </row>
    <row r="131" spans="1:16">
      <c r="A131" s="509">
        <v>129</v>
      </c>
      <c r="B131" s="1511" t="s">
        <v>975</v>
      </c>
      <c r="C131" s="1503"/>
      <c r="D131" s="510" t="s">
        <v>729</v>
      </c>
      <c r="E131" s="519" t="s">
        <v>578</v>
      </c>
      <c r="F131" s="512" t="n">
        <f>EDU*2+MAX(DEX*2,APP*2)</f>
        <v>0</v>
      </c>
      <c r="G131" s="513" t="s">
        <v>976</v>
      </c>
      <c r="K131" s="518" t="s">
        <v>977</v>
      </c>
      <c r="L131" s="465"/>
      <c r="M131" s="518" t="s">
        <v>939</v>
      </c>
      <c r="N131" s="465"/>
      <c r="O131" s="465"/>
      <c r="P131" s="465"/>
    </row>
    <row r="132" spans="1:16">
      <c r="A132" s="514">
        <v>130</v>
      </c>
      <c r="B132" s="1507" t="s">
        <v>978</v>
      </c>
      <c r="C132" s="1503"/>
      <c r="D132" s="515" t="s">
        <v>729</v>
      </c>
      <c r="E132" s="462" t="s">
        <v>578</v>
      </c>
      <c r="F132" s="515" t="n">
        <f>EDU*2+MAX(DEX*2,APP*2)</f>
        <v>0</v>
      </c>
      <c r="G132" s="517" t="s">
        <v>979</v>
      </c>
      <c r="K132" s="518" t="s">
        <v>980</v>
      </c>
      <c r="L132" s="465"/>
      <c r="M132" s="518" t="s">
        <v>939</v>
      </c>
      <c r="N132" s="465"/>
      <c r="O132" s="465"/>
      <c r="P132" s="465"/>
    </row>
    <row r="133" spans="1:16">
      <c r="A133" s="509">
        <v>131</v>
      </c>
      <c r="B133" s="1511" t="s">
        <v>981</v>
      </c>
      <c r="C133" s="1503"/>
      <c r="D133" s="510" t="s">
        <v>497</v>
      </c>
      <c r="E133" s="511" t="s">
        <v>427</v>
      </c>
      <c r="F133" s="512" t="n">
        <f>EDU*2+DEX*2</f>
        <v>0</v>
      </c>
      <c r="G133" s="513" t="s">
        <v>982</v>
      </c>
      <c r="K133" s="518" t="s">
        <v>983</v>
      </c>
      <c r="L133" s="465"/>
      <c r="M133" s="518" t="s">
        <v>939</v>
      </c>
      <c r="N133" s="465"/>
      <c r="O133" s="465"/>
      <c r="P133" s="465"/>
    </row>
    <row r="134" spans="1:16">
      <c r="A134" s="514">
        <v>132</v>
      </c>
      <c r="B134" s="1507" t="s">
        <v>984</v>
      </c>
      <c r="C134" s="1503"/>
      <c r="D134" s="515" t="s">
        <v>420</v>
      </c>
      <c r="E134" s="462" t="s">
        <v>421</v>
      </c>
      <c r="F134" s="515" t="n">
        <f>EDU*4</f>
        <v>0</v>
      </c>
      <c r="G134" s="517" t="s">
        <v>985</v>
      </c>
      <c r="K134" s="518" t="s">
        <v>986</v>
      </c>
      <c r="L134" s="465"/>
      <c r="M134" s="518" t="s">
        <v>939</v>
      </c>
      <c r="N134" s="465"/>
      <c r="O134" s="465"/>
      <c r="P134" s="465"/>
    </row>
    <row r="135" spans="1:16">
      <c r="A135" s="509">
        <v>133</v>
      </c>
      <c r="B135" s="1511" t="s">
        <v>987</v>
      </c>
      <c r="C135" s="1503"/>
      <c r="D135" s="510" t="s">
        <v>627</v>
      </c>
      <c r="E135" s="511" t="s">
        <v>421</v>
      </c>
      <c r="F135" s="512" t="n">
        <f>EDU*4</f>
        <v>0</v>
      </c>
      <c r="G135" s="513" t="s">
        <v>748</v>
      </c>
      <c r="K135" s="518" t="s">
        <v>986</v>
      </c>
      <c r="L135" s="465"/>
      <c r="M135" s="518" t="s">
        <v>939</v>
      </c>
      <c r="N135" s="465"/>
      <c r="O135" s="465"/>
      <c r="P135" s="465"/>
    </row>
    <row r="136" spans="1:16">
      <c r="A136" s="514">
        <v>134</v>
      </c>
      <c r="B136" s="1507" t="s">
        <v>988</v>
      </c>
      <c r="C136" s="1503"/>
      <c r="D136" s="515" t="s">
        <v>420</v>
      </c>
      <c r="E136" s="516" t="s">
        <v>421</v>
      </c>
      <c r="F136" s="515" t="n">
        <f>EDU*4</f>
        <v>0</v>
      </c>
      <c r="G136" s="517" t="s">
        <v>628</v>
      </c>
      <c r="K136" s="518" t="s">
        <v>629</v>
      </c>
      <c r="L136" s="465"/>
      <c r="M136" s="518" t="s">
        <v>939</v>
      </c>
      <c r="N136" s="465"/>
      <c r="O136" s="465"/>
      <c r="P136" s="465"/>
    </row>
    <row r="137" spans="1:16">
      <c r="A137" s="509">
        <v>135</v>
      </c>
      <c r="B137" s="1511" t="s">
        <v>989</v>
      </c>
      <c r="C137" s="1503"/>
      <c r="D137" s="510" t="s">
        <v>729</v>
      </c>
      <c r="E137" s="511" t="s">
        <v>421</v>
      </c>
      <c r="F137" s="512" t="n">
        <f>EDU*4</f>
        <v>0</v>
      </c>
      <c r="G137" s="513" t="s">
        <v>628</v>
      </c>
      <c r="K137" s="518" t="s">
        <v>629</v>
      </c>
      <c r="L137" s="465"/>
      <c r="M137" s="518" t="s">
        <v>939</v>
      </c>
      <c r="N137" s="465"/>
      <c r="O137" s="465"/>
      <c r="P137" s="465"/>
    </row>
    <row r="138" spans="1:16">
      <c r="A138" s="514">
        <v>136</v>
      </c>
      <c r="B138" s="1507" t="s">
        <v>990</v>
      </c>
      <c r="C138" s="1503"/>
      <c r="D138" s="515" t="s">
        <v>627</v>
      </c>
      <c r="E138" s="516" t="s">
        <v>421</v>
      </c>
      <c r="F138" s="515" t="n">
        <f>EDU*4</f>
        <v>0</v>
      </c>
      <c r="G138" s="517" t="s">
        <v>628</v>
      </c>
      <c r="K138" s="518" t="s">
        <v>991</v>
      </c>
      <c r="L138" s="465"/>
      <c r="M138" s="518" t="s">
        <v>939</v>
      </c>
      <c r="N138" s="465"/>
      <c r="O138" s="465"/>
      <c r="P138" s="465"/>
    </row>
    <row r="139" spans="1:16">
      <c r="A139" s="509">
        <v>137</v>
      </c>
      <c r="B139" s="1511" t="s">
        <v>992</v>
      </c>
      <c r="C139" s="1503"/>
      <c r="D139" s="510" t="s">
        <v>464</v>
      </c>
      <c r="E139" s="519" t="s">
        <v>427</v>
      </c>
      <c r="F139" s="512" t="n">
        <f>EDU*2+DEX*2</f>
        <v>0</v>
      </c>
      <c r="G139" s="513" t="s">
        <v>993</v>
      </c>
      <c r="K139" s="518" t="s">
        <v>994</v>
      </c>
      <c r="L139" s="465"/>
      <c r="M139" s="518" t="s">
        <v>939</v>
      </c>
      <c r="N139" s="465"/>
      <c r="O139" s="465"/>
      <c r="P139" s="465"/>
    </row>
    <row r="140" spans="1:16">
      <c r="A140" s="514">
        <v>138</v>
      </c>
      <c r="B140" s="1507" t="s">
        <v>995</v>
      </c>
      <c r="C140" s="1503"/>
      <c r="D140" s="515" t="s">
        <v>497</v>
      </c>
      <c r="E140" s="516" t="s">
        <v>421</v>
      </c>
      <c r="F140" s="515" t="n">
        <f>EDU*4</f>
        <v>0</v>
      </c>
      <c r="G140" s="517" t="s">
        <v>996</v>
      </c>
      <c r="K140" s="518" t="s">
        <v>997</v>
      </c>
      <c r="L140" s="465"/>
      <c r="M140" s="518" t="s">
        <v>939</v>
      </c>
      <c r="N140" s="465"/>
      <c r="O140" s="465"/>
      <c r="P140" s="465"/>
    </row>
    <row r="141" spans="1:16">
      <c r="A141" s="509">
        <v>139</v>
      </c>
      <c r="B141" s="1511" t="s">
        <v>998</v>
      </c>
      <c r="C141" s="1503"/>
      <c r="D141" s="510" t="s">
        <v>497</v>
      </c>
      <c r="E141" s="511" t="s">
        <v>779</v>
      </c>
      <c r="F141" s="512" t="n">
        <f>EDU*2+MAX(DEX*2,POW*2)</f>
        <v>0</v>
      </c>
      <c r="G141" s="513" t="s">
        <v>999</v>
      </c>
      <c r="K141" s="518" t="s">
        <v>1000</v>
      </c>
      <c r="L141" s="465"/>
      <c r="M141" s="518" t="s">
        <v>939</v>
      </c>
      <c r="N141" s="465"/>
      <c r="O141" s="465"/>
      <c r="P141" s="465"/>
    </row>
    <row r="142" spans="1:16">
      <c r="A142" s="514">
        <v>140</v>
      </c>
      <c r="B142" s="1507" t="s">
        <v>1001</v>
      </c>
      <c r="C142" s="1503"/>
      <c r="D142" s="515" t="s">
        <v>464</v>
      </c>
      <c r="E142" s="516" t="s">
        <v>421</v>
      </c>
      <c r="F142" s="515" t="n">
        <f>EDU*4</f>
        <v>0</v>
      </c>
      <c r="G142" s="517" t="s">
        <v>1002</v>
      </c>
      <c r="K142" s="518" t="s">
        <v>1003</v>
      </c>
      <c r="L142" s="465"/>
      <c r="M142" s="518" t="s">
        <v>939</v>
      </c>
      <c r="N142" s="465"/>
      <c r="O142" s="465"/>
      <c r="P142" s="465"/>
    </row>
    <row r="143" spans="1:16">
      <c r="A143" s="509">
        <v>141</v>
      </c>
      <c r="B143" s="1511" t="s">
        <v>1004</v>
      </c>
      <c r="C143" s="1503"/>
      <c r="D143" s="510" t="s">
        <v>761</v>
      </c>
      <c r="E143" s="511" t="s">
        <v>443</v>
      </c>
      <c r="F143" s="512" t="n">
        <f>EDU*2+MAX(STR*2,DEX*2)</f>
        <v>0</v>
      </c>
      <c r="G143" s="513" t="s">
        <v>1005</v>
      </c>
      <c r="K143" s="518" t="s">
        <v>1006</v>
      </c>
      <c r="L143" s="465"/>
      <c r="M143" s="518" t="s">
        <v>939</v>
      </c>
      <c r="N143" s="465"/>
      <c r="O143" s="465"/>
      <c r="P143" s="465"/>
    </row>
    <row r="144" spans="1:16">
      <c r="A144" s="514">
        <v>142</v>
      </c>
      <c r="B144" s="1507" t="s">
        <v>1007</v>
      </c>
      <c r="C144" s="1503"/>
      <c r="D144" s="515" t="s">
        <v>1008</v>
      </c>
      <c r="E144" s="516" t="s">
        <v>443</v>
      </c>
      <c r="F144" s="515" t="n">
        <f>EDU*2+MAX(STR*2,DEX*2)</f>
        <v>0</v>
      </c>
      <c r="G144" s="517" t="s">
        <v>1009</v>
      </c>
      <c r="K144" s="518" t="s">
        <v>1010</v>
      </c>
      <c r="L144" s="465"/>
      <c r="M144" s="518" t="s">
        <v>939</v>
      </c>
      <c r="N144" s="465"/>
      <c r="O144" s="465"/>
      <c r="P144" s="465"/>
    </row>
    <row r="145" spans="1:17">
      <c r="A145" s="509">
        <v>143</v>
      </c>
      <c r="B145" s="1511" t="s">
        <v>1011</v>
      </c>
      <c r="C145" s="1503"/>
      <c r="D145" s="510" t="s">
        <v>497</v>
      </c>
      <c r="E145" s="511" t="s">
        <v>779</v>
      </c>
      <c r="F145" s="512" t="n">
        <f>EDU*2+MAX(POW*2,DEX*2)</f>
        <v>0</v>
      </c>
      <c r="G145" s="513" t="s">
        <v>1012</v>
      </c>
      <c r="K145" s="518" t="s">
        <v>1013</v>
      </c>
      <c r="L145" s="465"/>
      <c r="M145" s="518" t="s">
        <v>939</v>
      </c>
      <c r="N145" s="465"/>
      <c r="O145" s="465"/>
      <c r="P145" s="465"/>
    </row>
    <row r="146" spans="1:17">
      <c r="A146" s="514">
        <v>144</v>
      </c>
      <c r="B146" s="1507" t="s">
        <v>1014</v>
      </c>
      <c r="C146" s="1503"/>
      <c r="D146" s="515" t="s">
        <v>420</v>
      </c>
      <c r="E146" s="462" t="s">
        <v>427</v>
      </c>
      <c r="F146" s="515" t="n">
        <f>EDU*2+DEX*2</f>
        <v>0</v>
      </c>
      <c r="G146" s="517" t="s">
        <v>1015</v>
      </c>
      <c r="K146" s="518" t="s">
        <v>1016</v>
      </c>
      <c r="L146" s="465"/>
      <c r="M146" s="518" t="s">
        <v>939</v>
      </c>
      <c r="N146" s="465"/>
      <c r="O146" s="465"/>
      <c r="P146" s="465"/>
    </row>
    <row r="147" spans="1:17">
      <c r="A147" s="509">
        <v>145</v>
      </c>
      <c r="B147" s="1511" t="s">
        <v>1017</v>
      </c>
      <c r="C147" s="1503"/>
      <c r="D147" s="510" t="s">
        <v>729</v>
      </c>
      <c r="E147" s="511" t="s">
        <v>421</v>
      </c>
      <c r="F147" s="512" t="n">
        <f>EDU*4</f>
        <v>0</v>
      </c>
      <c r="G147" s="513" t="s">
        <v>1018</v>
      </c>
      <c r="K147" s="518" t="s">
        <v>1019</v>
      </c>
      <c r="L147" s="465"/>
      <c r="M147" s="518" t="s">
        <v>939</v>
      </c>
      <c r="N147" s="465"/>
      <c r="O147" s="465"/>
      <c r="P147" s="465"/>
    </row>
    <row r="148" spans="1:17">
      <c r="A148" s="514">
        <v>146</v>
      </c>
      <c r="B148" s="1507" t="s">
        <v>1020</v>
      </c>
      <c r="C148" s="1503"/>
      <c r="D148" s="515" t="s">
        <v>432</v>
      </c>
      <c r="E148" s="462" t="s">
        <v>433</v>
      </c>
      <c r="F148" s="515" t="n">
        <f>EDU*2+APP*2</f>
        <v>0</v>
      </c>
      <c r="G148" s="517" t="s">
        <v>869</v>
      </c>
      <c r="K148" s="518" t="s">
        <v>1021</v>
      </c>
      <c r="L148" s="465"/>
      <c r="M148" s="518" t="s">
        <v>939</v>
      </c>
      <c r="N148" s="465"/>
      <c r="O148" s="465"/>
      <c r="P148" s="465"/>
    </row>
    <row r="149" spans="1:17">
      <c r="A149" s="509">
        <v>147</v>
      </c>
      <c r="B149" s="1511" t="s">
        <v>1022</v>
      </c>
      <c r="C149" s="1503"/>
      <c r="D149" s="510" t="s">
        <v>497</v>
      </c>
      <c r="E149" s="519" t="s">
        <v>433</v>
      </c>
      <c r="F149" s="512" t="n">
        <f>EDU*2+APP*2</f>
        <v>0</v>
      </c>
      <c r="G149" s="513" t="s">
        <v>1023</v>
      </c>
      <c r="K149" s="518" t="s">
        <v>994</v>
      </c>
      <c r="L149" s="465"/>
      <c r="M149" s="518" t="s">
        <v>939</v>
      </c>
      <c r="N149" s="465"/>
      <c r="O149" s="465"/>
      <c r="P149" s="465"/>
    </row>
    <row r="150" spans="1:17">
      <c r="A150" s="514">
        <v>148</v>
      </c>
      <c r="B150" s="1507" t="s">
        <v>1024</v>
      </c>
      <c r="C150" s="1503"/>
      <c r="D150" s="515" t="s">
        <v>943</v>
      </c>
      <c r="E150" s="516" t="s">
        <v>421</v>
      </c>
      <c r="F150" s="515" t="n">
        <f>EDU*4</f>
        <v>0</v>
      </c>
      <c r="G150" s="517" t="s">
        <v>1025</v>
      </c>
      <c r="K150" s="518" t="s">
        <v>1026</v>
      </c>
      <c r="L150" s="465"/>
      <c r="M150" s="518" t="s">
        <v>939</v>
      </c>
      <c r="N150" s="465"/>
      <c r="O150" s="465"/>
      <c r="P150" s="465"/>
    </row>
    <row r="151" spans="1:17">
      <c r="A151" s="509">
        <v>149</v>
      </c>
      <c r="B151" s="1511" t="s">
        <v>1027</v>
      </c>
      <c r="C151" s="1503"/>
      <c r="D151" s="510" t="s">
        <v>426</v>
      </c>
      <c r="E151" s="511" t="s">
        <v>443</v>
      </c>
      <c r="F151" s="512" t="n">
        <f>EDU*2+MAX(STR*2,DEX*2)</f>
        <v>0</v>
      </c>
      <c r="G151" s="513" t="s">
        <v>1028</v>
      </c>
      <c r="K151" s="518" t="s">
        <v>1029</v>
      </c>
      <c r="L151" s="465"/>
      <c r="M151" s="518" t="s">
        <v>939</v>
      </c>
      <c r="N151" s="465"/>
      <c r="O151" s="465"/>
      <c r="P151" s="465"/>
    </row>
    <row r="152" spans="1:17">
      <c r="A152" s="514">
        <v>150</v>
      </c>
      <c r="B152" s="1507" t="s">
        <v>1030</v>
      </c>
      <c r="C152" s="1503"/>
      <c r="D152" s="515" t="s">
        <v>1031</v>
      </c>
      <c r="E152" s="516" t="s">
        <v>421</v>
      </c>
      <c r="F152" s="515" t="n">
        <f>EDU*4</f>
        <v>0</v>
      </c>
      <c r="G152" s="517" t="s">
        <v>1032</v>
      </c>
      <c r="K152" s="518" t="s">
        <v>1033</v>
      </c>
      <c r="L152" s="465"/>
      <c r="M152" s="518" t="s">
        <v>939</v>
      </c>
      <c r="N152" s="465"/>
      <c r="O152" s="465"/>
      <c r="P152" s="465"/>
    </row>
    <row r="153" spans="1:17">
      <c r="A153" s="509">
        <v>151</v>
      </c>
      <c r="B153" s="1511" t="s">
        <v>1034</v>
      </c>
      <c r="C153" s="1503"/>
      <c r="D153" s="510" t="s">
        <v>591</v>
      </c>
      <c r="E153" s="511" t="s">
        <v>421</v>
      </c>
      <c r="F153" s="512" t="n">
        <f>EDU*4</f>
        <v>0</v>
      </c>
      <c r="G153" s="513" t="s">
        <v>1035</v>
      </c>
      <c r="K153" s="518" t="s">
        <v>1036</v>
      </c>
      <c r="L153" s="465"/>
      <c r="M153" s="518" t="s">
        <v>939</v>
      </c>
      <c r="N153" s="465"/>
      <c r="O153" s="465"/>
      <c r="P153" s="465"/>
    </row>
    <row r="154" spans="1:17">
      <c r="A154" s="514">
        <v>152</v>
      </c>
      <c r="B154" s="1507" t="s">
        <v>1037</v>
      </c>
      <c r="C154" s="1503"/>
      <c r="D154" s="515" t="s">
        <v>507</v>
      </c>
      <c r="E154" s="516" t="s">
        <v>421</v>
      </c>
      <c r="F154" s="515" t="n">
        <f>EDU*4</f>
        <v>0</v>
      </c>
      <c r="G154" s="517" t="s">
        <v>1038</v>
      </c>
      <c r="K154" s="518" t="s">
        <v>1039</v>
      </c>
      <c r="L154" s="465"/>
      <c r="M154" s="518" t="s">
        <v>939</v>
      </c>
      <c r="N154" s="465"/>
      <c r="O154" s="465"/>
      <c r="P154" s="465"/>
    </row>
    <row r="155" spans="1:17">
      <c r="A155" s="509">
        <v>153</v>
      </c>
      <c r="B155" s="1511" t="s">
        <v>1040</v>
      </c>
      <c r="C155" s="1503"/>
      <c r="D155" s="510" t="s">
        <v>497</v>
      </c>
      <c r="E155" s="511" t="s">
        <v>421</v>
      </c>
      <c r="F155" s="512" t="n">
        <f>EDU*4</f>
        <v>0</v>
      </c>
      <c r="G155" s="513" t="s">
        <v>1041</v>
      </c>
      <c r="K155" s="518" t="s">
        <v>1042</v>
      </c>
      <c r="L155" s="465"/>
      <c r="M155" s="518" t="s">
        <v>939</v>
      </c>
      <c r="N155" s="465"/>
      <c r="O155" s="465"/>
      <c r="P155" s="465"/>
    </row>
    <row r="156" spans="1:17" ht="14.1" customHeight="1">
      <c r="A156" s="514">
        <v>154</v>
      </c>
      <c r="B156" s="1507" t="s">
        <v>1043</v>
      </c>
      <c r="C156" s="1503"/>
      <c r="D156" s="515" t="s">
        <v>553</v>
      </c>
      <c r="E156" s="516" t="s">
        <v>421</v>
      </c>
      <c r="F156" s="515" t="n">
        <f>EDU*4</f>
        <v>0</v>
      </c>
      <c r="G156" s="517" t="s">
        <v>1044</v>
      </c>
      <c r="K156" s="535" t="s">
        <v>1045</v>
      </c>
      <c r="L156" s="465"/>
      <c r="M156" s="518" t="s">
        <v>939</v>
      </c>
      <c r="N156" s="465"/>
      <c r="O156" s="465"/>
      <c r="P156" s="465"/>
    </row>
    <row r="157" spans="1:17">
      <c r="A157" s="509">
        <v>155</v>
      </c>
      <c r="B157" s="1511" t="s">
        <v>1046</v>
      </c>
      <c r="C157" s="1503"/>
      <c r="D157" s="510" t="s">
        <v>497</v>
      </c>
      <c r="E157" s="511" t="s">
        <v>421</v>
      </c>
      <c r="F157" s="512" t="n">
        <f>EDU*4</f>
        <v>0</v>
      </c>
      <c r="G157" s="513" t="s">
        <v>1047</v>
      </c>
      <c r="K157" s="518" t="s">
        <v>1048</v>
      </c>
      <c r="L157" s="465"/>
      <c r="M157" s="518" t="s">
        <v>939</v>
      </c>
      <c r="N157" s="465"/>
      <c r="O157" s="1522" t="s">
        <v>1049</v>
      </c>
      <c r="P157" s="1024"/>
      <c r="Q157" s="541" t="s">
        <v>1050</v>
      </c>
    </row>
    <row r="158" spans="1:17">
      <c r="A158" s="520">
        <v>156</v>
      </c>
      <c r="B158" s="1530" t="s">
        <v>1051</v>
      </c>
      <c r="C158" s="1019"/>
      <c r="D158" s="521" t="s">
        <v>497</v>
      </c>
      <c r="E158" s="522" t="s">
        <v>443</v>
      </c>
      <c r="F158" s="521" t="n">
        <f>EDU*2+MAX(STR*2,DEX*2)</f>
        <v>0</v>
      </c>
      <c r="G158" s="523" t="s">
        <v>1052</v>
      </c>
      <c r="K158" s="518" t="s">
        <v>1053</v>
      </c>
      <c r="L158" s="465"/>
      <c r="M158" s="518" t="s">
        <v>939</v>
      </c>
      <c r="N158" s="465"/>
      <c r="O158" s="1523" t="s">
        <v>1054</v>
      </c>
      <c r="P158" s="1000"/>
      <c r="Q158" s="542" t="s">
        <v>1055</v>
      </c>
    </row>
    <row r="159" spans="1:17">
      <c r="A159" s="524">
        <v>157</v>
      </c>
      <c r="B159" s="1521" t="s">
        <v>1056</v>
      </c>
      <c r="C159" s="1088"/>
      <c r="D159" s="525" t="s">
        <v>507</v>
      </c>
      <c r="E159" s="526" t="s">
        <v>443</v>
      </c>
      <c r="F159" s="527" t="n">
        <f>EDU*2+MAX(STR*2,DEX*2)</f>
        <v>0</v>
      </c>
      <c r="G159" s="528" t="s">
        <v>1057</v>
      </c>
      <c r="H159" s="1517" t="s">
        <v>1058</v>
      </c>
      <c r="I159" s="1516"/>
      <c r="J159" s="366"/>
      <c r="K159" s="536" t="s">
        <v>1059</v>
      </c>
      <c r="L159" s="537"/>
      <c r="M159" s="536" t="s">
        <v>1060</v>
      </c>
      <c r="N159" s="538"/>
      <c r="O159" s="1534" t="s">
        <v>1061</v>
      </c>
      <c r="P159" s="1000"/>
      <c r="Q159" s="543" t="s">
        <v>1062</v>
      </c>
    </row>
    <row r="160" spans="1:17">
      <c r="A160" s="514">
        <v>158</v>
      </c>
      <c r="B160" s="1507" t="s">
        <v>1063</v>
      </c>
      <c r="C160" s="1503"/>
      <c r="D160" s="515" t="s">
        <v>892</v>
      </c>
      <c r="E160" s="516" t="s">
        <v>443</v>
      </c>
      <c r="F160" s="515" t="n">
        <f>EDU*2+MAX(STR*2,DEX*2)</f>
        <v>0</v>
      </c>
      <c r="G160" s="517" t="s">
        <v>1064</v>
      </c>
      <c r="H160" s="1503"/>
      <c r="I160" s="1516"/>
      <c r="J160" s="366"/>
      <c r="K160" s="536" t="s">
        <v>1065</v>
      </c>
      <c r="L160" s="537"/>
      <c r="M160" s="536" t="s">
        <v>1060</v>
      </c>
      <c r="N160" s="538"/>
      <c r="O160" s="1523" t="s">
        <v>1066</v>
      </c>
      <c r="P160" s="1000"/>
      <c r="Q160" s="542" t="s">
        <v>1055</v>
      </c>
    </row>
    <row r="161" spans="1:17" ht="32.549999999999997" customHeight="1">
      <c r="A161" s="509">
        <v>159</v>
      </c>
      <c r="B161" s="1511" t="s">
        <v>1067</v>
      </c>
      <c r="C161" s="1503"/>
      <c r="D161" s="510" t="s">
        <v>1068</v>
      </c>
      <c r="E161" s="511" t="s">
        <v>421</v>
      </c>
      <c r="F161" s="512" t="n">
        <f>EDU*4</f>
        <v>0</v>
      </c>
      <c r="G161" s="513" t="s">
        <v>1069</v>
      </c>
      <c r="H161" s="1503"/>
      <c r="I161" s="1516"/>
      <c r="J161" s="366"/>
      <c r="K161" s="536" t="s">
        <v>1070</v>
      </c>
      <c r="L161" s="537"/>
      <c r="M161" s="536" t="s">
        <v>1060</v>
      </c>
      <c r="N161" s="538"/>
      <c r="O161" s="1534" t="s">
        <v>1071</v>
      </c>
      <c r="P161" s="1000"/>
      <c r="Q161" s="543" t="s">
        <v>1055</v>
      </c>
    </row>
    <row r="162" spans="1:17">
      <c r="A162" s="514">
        <v>160</v>
      </c>
      <c r="B162" s="1507" t="s">
        <v>1072</v>
      </c>
      <c r="C162" s="1503"/>
      <c r="D162" s="515" t="s">
        <v>591</v>
      </c>
      <c r="E162" s="516" t="s">
        <v>421</v>
      </c>
      <c r="F162" s="515" t="n">
        <f>EDU*4</f>
        <v>0</v>
      </c>
      <c r="G162" s="517" t="s">
        <v>1073</v>
      </c>
      <c r="H162" s="1503"/>
      <c r="I162" s="1516"/>
      <c r="J162" s="366"/>
      <c r="K162" s="536" t="s">
        <v>533</v>
      </c>
      <c r="L162" s="537"/>
      <c r="M162" s="536" t="s">
        <v>1060</v>
      </c>
      <c r="N162" s="538"/>
      <c r="O162" s="1523" t="s">
        <v>1074</v>
      </c>
      <c r="P162" s="1000"/>
      <c r="Q162" s="542" t="s">
        <v>1075</v>
      </c>
    </row>
    <row r="163" spans="1:17">
      <c r="A163" s="509">
        <v>161</v>
      </c>
      <c r="B163" s="1511" t="s">
        <v>1076</v>
      </c>
      <c r="C163" s="1503"/>
      <c r="D163" s="510" t="s">
        <v>507</v>
      </c>
      <c r="E163" s="511" t="s">
        <v>421</v>
      </c>
      <c r="F163" s="512" t="n">
        <f>EDU*4</f>
        <v>0</v>
      </c>
      <c r="G163" s="513" t="s">
        <v>1077</v>
      </c>
      <c r="H163" s="1503"/>
      <c r="I163" s="1516"/>
      <c r="J163" s="366"/>
      <c r="K163" s="536"/>
      <c r="L163" s="537"/>
      <c r="M163" s="536" t="s">
        <v>1060</v>
      </c>
      <c r="N163" s="538"/>
      <c r="O163" s="1534" t="s">
        <v>1078</v>
      </c>
      <c r="P163" s="1000"/>
      <c r="Q163" s="543" t="s">
        <v>1062</v>
      </c>
    </row>
    <row r="164" spans="1:17">
      <c r="A164" s="514">
        <v>162</v>
      </c>
      <c r="B164" s="1507" t="s">
        <v>1079</v>
      </c>
      <c r="C164" s="1503"/>
      <c r="D164" s="515" t="s">
        <v>426</v>
      </c>
      <c r="E164" s="516" t="s">
        <v>443</v>
      </c>
      <c r="F164" s="515" t="n">
        <f>EDU*2+MAX(STR*2,DEX*2)</f>
        <v>0</v>
      </c>
      <c r="G164" s="517" t="s">
        <v>1080</v>
      </c>
      <c r="H164" s="1503"/>
      <c r="I164" s="1516"/>
      <c r="J164" s="366"/>
      <c r="K164" s="536"/>
      <c r="L164" s="537"/>
      <c r="M164" s="536" t="s">
        <v>1060</v>
      </c>
      <c r="N164" s="538"/>
      <c r="O164" s="1523" t="s">
        <v>1081</v>
      </c>
      <c r="P164" s="1000"/>
      <c r="Q164" s="542" t="s">
        <v>1082</v>
      </c>
    </row>
    <row r="165" spans="1:17">
      <c r="A165" s="509">
        <v>163</v>
      </c>
      <c r="B165" s="1511" t="s">
        <v>1083</v>
      </c>
      <c r="C165" s="1503"/>
      <c r="D165" s="510" t="s">
        <v>892</v>
      </c>
      <c r="E165" s="511" t="s">
        <v>421</v>
      </c>
      <c r="F165" s="512" t="n">
        <f>EDU*4</f>
        <v>0</v>
      </c>
      <c r="G165" s="513" t="s">
        <v>1084</v>
      </c>
      <c r="H165" s="1515" t="s">
        <v>957</v>
      </c>
      <c r="I165" s="1516"/>
      <c r="J165" s="366"/>
      <c r="K165" s="536" t="s">
        <v>1085</v>
      </c>
      <c r="L165" s="537"/>
      <c r="M165" s="536" t="s">
        <v>1060</v>
      </c>
      <c r="N165" s="538"/>
      <c r="O165" s="1536" t="s">
        <v>1086</v>
      </c>
      <c r="P165" s="1064"/>
      <c r="Q165" s="544" t="s">
        <v>1055</v>
      </c>
    </row>
    <row r="166" spans="1:17" ht="18" customHeight="1">
      <c r="A166" s="514">
        <v>164</v>
      </c>
      <c r="B166" s="1507" t="s">
        <v>1087</v>
      </c>
      <c r="C166" s="1503"/>
      <c r="D166" s="515" t="s">
        <v>563</v>
      </c>
      <c r="E166" s="516" t="s">
        <v>421</v>
      </c>
      <c r="F166" s="515" t="n">
        <f>EDU*4</f>
        <v>0</v>
      </c>
      <c r="G166" s="529" t="s">
        <v>1088</v>
      </c>
      <c r="J166" s="366"/>
      <c r="K166" s="536"/>
      <c r="L166" s="537"/>
      <c r="M166" s="536" t="s">
        <v>1060</v>
      </c>
      <c r="N166" s="537"/>
      <c r="O166" s="1524" t="s">
        <v>1089</v>
      </c>
      <c r="P166" s="1506"/>
      <c r="Q166" s="1513"/>
    </row>
    <row r="167" spans="1:17">
      <c r="A167" s="509">
        <v>165</v>
      </c>
      <c r="B167" s="1511" t="s">
        <v>1090</v>
      </c>
      <c r="C167" s="1503"/>
      <c r="D167" s="510" t="s">
        <v>426</v>
      </c>
      <c r="E167" s="511" t="s">
        <v>421</v>
      </c>
      <c r="F167" s="512" t="n">
        <f>EDU*4</f>
        <v>0</v>
      </c>
      <c r="G167" s="513" t="s">
        <v>1091</v>
      </c>
      <c r="J167" s="366"/>
      <c r="K167" s="539"/>
      <c r="L167" s="540"/>
      <c r="M167" s="539" t="s">
        <v>1060</v>
      </c>
      <c r="N167" s="540"/>
      <c r="O167" s="1506"/>
      <c r="P167" s="1506"/>
      <c r="Q167" s="1513"/>
    </row>
    <row r="168" spans="1:17">
      <c r="A168" s="514">
        <v>166</v>
      </c>
      <c r="B168" s="1507" t="s">
        <v>1092</v>
      </c>
      <c r="C168" s="1503"/>
      <c r="D168" s="515" t="s">
        <v>464</v>
      </c>
      <c r="E168" s="516" t="s">
        <v>421</v>
      </c>
      <c r="F168" s="515" t="n">
        <f>EDU*4</f>
        <v>0</v>
      </c>
      <c r="G168" s="517" t="s">
        <v>1093</v>
      </c>
      <c r="K168" s="518"/>
      <c r="L168" s="465"/>
      <c r="M168" s="518" t="s">
        <v>1060</v>
      </c>
      <c r="N168" s="465"/>
      <c r="O168" s="1506"/>
      <c r="P168" s="1506"/>
      <c r="Q168" s="1513"/>
    </row>
    <row r="169" spans="1:17">
      <c r="A169" s="509">
        <v>167</v>
      </c>
      <c r="B169" s="1511" t="s">
        <v>1094</v>
      </c>
      <c r="C169" s="1503"/>
      <c r="D169" s="510" t="s">
        <v>553</v>
      </c>
      <c r="E169" s="511" t="s">
        <v>421</v>
      </c>
      <c r="F169" s="512" t="n">
        <f>EDU*4</f>
        <v>0</v>
      </c>
      <c r="G169" s="513" t="s">
        <v>1095</v>
      </c>
      <c r="K169" s="518" t="s">
        <v>1096</v>
      </c>
      <c r="L169" s="465"/>
      <c r="M169" s="518" t="s">
        <v>1060</v>
      </c>
      <c r="N169" s="465"/>
      <c r="O169" s="1514" t="s">
        <v>1097</v>
      </c>
      <c r="P169" s="1506"/>
      <c r="Q169" s="1513"/>
    </row>
    <row r="170" spans="1:17">
      <c r="A170" s="514">
        <v>168</v>
      </c>
      <c r="B170" s="1507" t="s">
        <v>1098</v>
      </c>
      <c r="C170" s="1503"/>
      <c r="D170" s="515" t="s">
        <v>632</v>
      </c>
      <c r="E170" s="516" t="s">
        <v>443</v>
      </c>
      <c r="F170" s="515" t="n">
        <f>EDU*2+MAX(STR*2,DEX*2)</f>
        <v>0</v>
      </c>
      <c r="G170" s="517" t="s">
        <v>1099</v>
      </c>
      <c r="K170" s="518" t="s">
        <v>1100</v>
      </c>
      <c r="L170" s="465"/>
      <c r="M170" s="518" t="s">
        <v>1060</v>
      </c>
      <c r="N170" s="465"/>
      <c r="O170" s="1506"/>
      <c r="P170" s="1506"/>
      <c r="Q170" s="1513"/>
    </row>
    <row r="171" spans="1:17">
      <c r="A171" s="530">
        <v>169</v>
      </c>
      <c r="B171" s="1518" t="s">
        <v>1101</v>
      </c>
      <c r="C171" s="1019"/>
      <c r="D171" s="531" t="s">
        <v>522</v>
      </c>
      <c r="E171" s="532" t="s">
        <v>523</v>
      </c>
      <c r="F171" s="533" t="n">
        <f>EDU*2+STR*2</f>
        <v>0</v>
      </c>
      <c r="G171" s="534" t="s">
        <v>1102</v>
      </c>
      <c r="K171" s="518"/>
      <c r="L171" s="465"/>
      <c r="M171" s="518" t="s">
        <v>1060</v>
      </c>
      <c r="N171" s="465"/>
      <c r="O171" s="1514" t="s">
        <v>1103</v>
      </c>
      <c r="P171" s="1506"/>
      <c r="Q171" s="1513"/>
    </row>
    <row r="172" spans="1:17">
      <c r="A172" s="514">
        <v>170</v>
      </c>
      <c r="B172" s="1507" t="s">
        <v>1104</v>
      </c>
      <c r="C172" s="1503"/>
      <c r="D172" s="515" t="s">
        <v>497</v>
      </c>
      <c r="E172" s="516" t="s">
        <v>443</v>
      </c>
      <c r="F172" s="515" t="n">
        <f>EDU*2+MAX(STR*2,DEX*2)</f>
        <v>0</v>
      </c>
      <c r="G172" s="517" t="s">
        <v>1105</v>
      </c>
      <c r="H172" s="1517" t="s">
        <v>1106</v>
      </c>
      <c r="I172" s="1516"/>
      <c r="K172" s="518" t="s">
        <v>1107</v>
      </c>
      <c r="L172" s="465"/>
      <c r="M172" s="518" t="s">
        <v>1108</v>
      </c>
      <c r="N172" s="465"/>
      <c r="O172" s="1506"/>
      <c r="P172" s="1506"/>
      <c r="Q172" s="1513"/>
    </row>
    <row r="173" spans="1:17">
      <c r="A173" s="509">
        <v>171</v>
      </c>
      <c r="B173" s="1511" t="s">
        <v>1109</v>
      </c>
      <c r="C173" s="1503"/>
      <c r="D173" s="510" t="s">
        <v>464</v>
      </c>
      <c r="E173" s="511" t="s">
        <v>421</v>
      </c>
      <c r="F173" s="512" t="n">
        <f>EDU*4</f>
        <v>0</v>
      </c>
      <c r="G173" s="513" t="s">
        <v>1110</v>
      </c>
      <c r="H173" s="1503"/>
      <c r="I173" s="1516"/>
      <c r="K173" s="518" t="s">
        <v>1111</v>
      </c>
      <c r="L173" s="465"/>
      <c r="M173" s="518" t="s">
        <v>1108</v>
      </c>
      <c r="N173" s="465"/>
      <c r="Q173" s="366"/>
    </row>
    <row r="174" spans="1:17">
      <c r="A174" s="514">
        <v>172</v>
      </c>
      <c r="B174" s="1507" t="s">
        <v>1112</v>
      </c>
      <c r="C174" s="1503"/>
      <c r="D174" s="515" t="s">
        <v>892</v>
      </c>
      <c r="E174" s="516" t="s">
        <v>421</v>
      </c>
      <c r="F174" s="515" t="n">
        <f>EDU*4</f>
        <v>0</v>
      </c>
      <c r="G174" s="517" t="s">
        <v>1113</v>
      </c>
      <c r="H174" s="1503"/>
      <c r="I174" s="1516"/>
      <c r="K174" s="518"/>
      <c r="L174" s="465"/>
      <c r="M174" s="518" t="s">
        <v>1114</v>
      </c>
      <c r="N174" s="465"/>
      <c r="Q174" s="366"/>
    </row>
    <row r="175" spans="1:17">
      <c r="A175" s="509">
        <v>173</v>
      </c>
      <c r="B175" s="1511" t="s">
        <v>1115</v>
      </c>
      <c r="C175" s="1503"/>
      <c r="D175" s="510" t="s">
        <v>892</v>
      </c>
      <c r="E175" s="511" t="s">
        <v>421</v>
      </c>
      <c r="F175" s="512" t="n">
        <f>EDU*4</f>
        <v>0</v>
      </c>
      <c r="G175" s="513" t="s">
        <v>1116</v>
      </c>
      <c r="H175" s="1503"/>
      <c r="I175" s="1516"/>
      <c r="K175" s="518" t="s">
        <v>1117</v>
      </c>
      <c r="L175" s="465"/>
      <c r="M175" s="518" t="s">
        <v>1114</v>
      </c>
      <c r="N175" s="465"/>
      <c r="O175" s="465"/>
      <c r="P175" s="465"/>
    </row>
    <row r="176" spans="1:17">
      <c r="A176" s="514">
        <v>174</v>
      </c>
      <c r="B176" s="1507" t="s">
        <v>1118</v>
      </c>
      <c r="C176" s="1503"/>
      <c r="D176" s="515" t="s">
        <v>464</v>
      </c>
      <c r="E176" s="516" t="s">
        <v>454</v>
      </c>
      <c r="F176" s="515" t="n">
        <f>EDU*2+MAX(APP*2,POW*2)</f>
        <v>0</v>
      </c>
      <c r="G176" s="517" t="s">
        <v>1119</v>
      </c>
      <c r="H176" s="1503"/>
      <c r="I176" s="1516"/>
      <c r="K176" s="518"/>
      <c r="L176" s="465"/>
      <c r="M176" s="518" t="s">
        <v>1120</v>
      </c>
      <c r="N176" s="465"/>
      <c r="O176" s="1535" t="s">
        <v>1121</v>
      </c>
      <c r="P176" s="1506"/>
      <c r="Q176" s="1513"/>
    </row>
    <row r="177" spans="1:17">
      <c r="A177" s="509">
        <v>175</v>
      </c>
      <c r="B177" s="1511" t="s">
        <v>1122</v>
      </c>
      <c r="C177" s="1503"/>
      <c r="D177" s="510" t="s">
        <v>897</v>
      </c>
      <c r="E177" s="511" t="s">
        <v>421</v>
      </c>
      <c r="F177" s="512" t="n">
        <f>EDU*4</f>
        <v>0</v>
      </c>
      <c r="G177" s="513" t="s">
        <v>1123</v>
      </c>
      <c r="H177" s="1503"/>
      <c r="I177" s="1516"/>
      <c r="K177" s="518"/>
      <c r="L177" s="465"/>
      <c r="M177" s="518" t="s">
        <v>1120</v>
      </c>
      <c r="N177" s="465"/>
      <c r="O177" s="1506"/>
      <c r="P177" s="1506"/>
      <c r="Q177" s="1513"/>
    </row>
    <row r="178" spans="1:17">
      <c r="A178" s="514">
        <v>176</v>
      </c>
      <c r="B178" s="1507" t="s">
        <v>1124</v>
      </c>
      <c r="C178" s="1503"/>
      <c r="D178" s="515" t="s">
        <v>536</v>
      </c>
      <c r="E178" s="516" t="s">
        <v>421</v>
      </c>
      <c r="F178" s="515" t="n">
        <f>EDU*4</f>
        <v>0</v>
      </c>
      <c r="G178" s="517" t="s">
        <v>1125</v>
      </c>
      <c r="H178" s="1515" t="s">
        <v>957</v>
      </c>
      <c r="I178" s="1516"/>
      <c r="K178" s="518"/>
      <c r="L178" s="465"/>
      <c r="M178" s="518" t="s">
        <v>1120</v>
      </c>
      <c r="N178" s="465"/>
      <c r="O178" s="1506"/>
      <c r="P178" s="1506"/>
      <c r="Q178" s="1513"/>
    </row>
    <row r="179" spans="1:17">
      <c r="A179" s="509">
        <v>177</v>
      </c>
      <c r="B179" s="1511" t="s">
        <v>1126</v>
      </c>
      <c r="C179" s="1503"/>
      <c r="D179" s="510" t="s">
        <v>464</v>
      </c>
      <c r="E179" s="512" t="s">
        <v>421</v>
      </c>
      <c r="F179" s="512" t="n">
        <f>EDU*4</f>
        <v>0</v>
      </c>
      <c r="G179" s="513" t="s">
        <v>1002</v>
      </c>
      <c r="H179" s="366"/>
      <c r="I179" s="366"/>
      <c r="K179" s="518" t="s">
        <v>1003</v>
      </c>
      <c r="L179" s="465"/>
      <c r="M179" s="518" t="s">
        <v>1120</v>
      </c>
      <c r="N179" s="465"/>
      <c r="O179" s="1506"/>
      <c r="P179" s="1506"/>
      <c r="Q179" s="1513"/>
    </row>
    <row r="180" spans="1:17">
      <c r="A180" s="514">
        <v>178</v>
      </c>
      <c r="B180" s="1507" t="s">
        <v>1127</v>
      </c>
      <c r="C180" s="1503"/>
      <c r="D180" s="515" t="s">
        <v>897</v>
      </c>
      <c r="E180" s="516" t="s">
        <v>443</v>
      </c>
      <c r="F180" s="515" t="n">
        <f>EDU*2+MAX(STR*2,DEX*2)</f>
        <v>0</v>
      </c>
      <c r="G180" s="517" t="s">
        <v>1128</v>
      </c>
      <c r="H180" s="1515" t="s">
        <v>1129</v>
      </c>
      <c r="I180" s="1516"/>
      <c r="K180" s="518"/>
      <c r="L180" s="465"/>
      <c r="M180" s="518" t="s">
        <v>1120</v>
      </c>
      <c r="N180" s="465"/>
      <c r="O180" s="465"/>
      <c r="P180" s="465"/>
    </row>
    <row r="181" spans="1:17">
      <c r="A181" s="509">
        <v>179</v>
      </c>
      <c r="B181" s="1511" t="s">
        <v>1130</v>
      </c>
      <c r="C181" s="1503"/>
      <c r="D181" s="510" t="s">
        <v>492</v>
      </c>
      <c r="E181" s="511" t="s">
        <v>433</v>
      </c>
      <c r="F181" s="512" t="n">
        <f>EDU*2+APP*2</f>
        <v>0</v>
      </c>
      <c r="G181" s="513" t="s">
        <v>664</v>
      </c>
      <c r="H181" s="1503"/>
      <c r="I181" s="1516"/>
      <c r="K181" s="518"/>
      <c r="L181" s="465"/>
      <c r="M181" s="518" t="s">
        <v>1120</v>
      </c>
      <c r="N181" s="465"/>
      <c r="O181" s="465"/>
      <c r="P181" s="465"/>
    </row>
    <row r="182" spans="1:17" ht="15" customHeight="1">
      <c r="A182" s="514">
        <v>180</v>
      </c>
      <c r="B182" s="1507" t="s">
        <v>1131</v>
      </c>
      <c r="C182" s="1503"/>
      <c r="D182" s="515" t="s">
        <v>591</v>
      </c>
      <c r="E182" s="516" t="s">
        <v>421</v>
      </c>
      <c r="F182" s="515" t="n">
        <f>EDU*4</f>
        <v>0</v>
      </c>
      <c r="G182" s="529" t="s">
        <v>1132</v>
      </c>
      <c r="H182" s="1503"/>
      <c r="I182" s="1516"/>
      <c r="K182" s="518"/>
      <c r="L182" s="465"/>
      <c r="M182" s="518" t="s">
        <v>1120</v>
      </c>
      <c r="N182" s="465"/>
      <c r="O182" s="465"/>
      <c r="P182" s="465"/>
    </row>
    <row r="183" spans="1:17">
      <c r="A183" s="509">
        <v>181</v>
      </c>
      <c r="B183" s="1511" t="s">
        <v>1133</v>
      </c>
      <c r="C183" s="1503"/>
      <c r="D183" s="510" t="s">
        <v>497</v>
      </c>
      <c r="E183" s="511" t="s">
        <v>421</v>
      </c>
      <c r="F183" s="512" t="n">
        <f>EDU*4</f>
        <v>0</v>
      </c>
      <c r="G183" s="513" t="s">
        <v>1134</v>
      </c>
      <c r="H183" s="1503"/>
      <c r="I183" s="1516"/>
      <c r="K183" s="518"/>
      <c r="L183" s="465"/>
      <c r="M183" s="518" t="s">
        <v>1120</v>
      </c>
      <c r="N183" s="465"/>
      <c r="O183" s="465"/>
      <c r="P183" s="465"/>
    </row>
    <row r="184" spans="1:17">
      <c r="A184" s="514">
        <v>182</v>
      </c>
      <c r="B184" s="1507" t="s">
        <v>1135</v>
      </c>
      <c r="C184" s="1503"/>
      <c r="D184" s="515" t="s">
        <v>512</v>
      </c>
      <c r="E184" s="516" t="s">
        <v>421</v>
      </c>
      <c r="F184" s="515" t="n">
        <f>EDU*4</f>
        <v>0</v>
      </c>
      <c r="G184" s="517" t="s">
        <v>1136</v>
      </c>
      <c r="K184" s="518"/>
      <c r="L184" s="465"/>
      <c r="M184" s="518" t="s">
        <v>1120</v>
      </c>
      <c r="N184" s="465"/>
      <c r="O184" s="465"/>
      <c r="P184" s="465"/>
    </row>
    <row r="185" spans="1:17">
      <c r="A185" s="509">
        <v>183</v>
      </c>
      <c r="B185" s="1511" t="s">
        <v>1137</v>
      </c>
      <c r="C185" s="1503"/>
      <c r="D185" s="510" t="s">
        <v>497</v>
      </c>
      <c r="E185" s="511" t="s">
        <v>443</v>
      </c>
      <c r="F185" s="512" t="n">
        <f>EDU*2+MAX(STR*2,DEX*2)</f>
        <v>0</v>
      </c>
      <c r="G185" s="513" t="s">
        <v>885</v>
      </c>
      <c r="K185" s="518"/>
      <c r="L185" s="465"/>
      <c r="M185" s="518" t="s">
        <v>1120</v>
      </c>
      <c r="N185" s="465"/>
    </row>
    <row r="186" spans="1:17">
      <c r="A186" s="514">
        <v>184</v>
      </c>
      <c r="B186" s="1507" t="s">
        <v>1138</v>
      </c>
      <c r="C186" s="1503"/>
      <c r="D186" s="515" t="s">
        <v>497</v>
      </c>
      <c r="E186" s="516" t="s">
        <v>443</v>
      </c>
      <c r="F186" s="515" t="n">
        <f>EDU*2+MAX(STR*2,DEX*2)</f>
        <v>0</v>
      </c>
      <c r="G186" s="517" t="s">
        <v>885</v>
      </c>
      <c r="K186" s="518"/>
      <c r="L186" s="465"/>
      <c r="M186" s="518" t="s">
        <v>1120</v>
      </c>
      <c r="N186" s="465"/>
    </row>
    <row r="187" spans="1:17" ht="13.05" customHeight="1">
      <c r="A187" s="509">
        <v>185</v>
      </c>
      <c r="B187" s="1511" t="s">
        <v>1139</v>
      </c>
      <c r="C187" s="1503"/>
      <c r="D187" s="510" t="s">
        <v>668</v>
      </c>
      <c r="E187" s="511" t="s">
        <v>633</v>
      </c>
      <c r="F187" s="512" t="n">
        <f>EDU*2+MAX(DEX*2,APP*2,STR*2)</f>
        <v>0</v>
      </c>
      <c r="G187" s="513" t="s">
        <v>1140</v>
      </c>
      <c r="K187" s="518"/>
      <c r="L187" s="465"/>
      <c r="M187" s="518" t="s">
        <v>1120</v>
      </c>
      <c r="N187" s="465"/>
    </row>
    <row r="188" spans="1:17">
      <c r="A188" s="514">
        <v>186</v>
      </c>
      <c r="B188" s="1507" t="s">
        <v>1141</v>
      </c>
      <c r="C188" s="1503"/>
      <c r="D188" s="515" t="s">
        <v>420</v>
      </c>
      <c r="E188" s="516" t="s">
        <v>421</v>
      </c>
      <c r="F188" s="515" t="n">
        <f>EDU*4</f>
        <v>0</v>
      </c>
      <c r="G188" s="517" t="s">
        <v>967</v>
      </c>
      <c r="K188" s="518"/>
      <c r="L188" s="465"/>
      <c r="M188" s="518" t="s">
        <v>1120</v>
      </c>
      <c r="N188" s="465"/>
      <c r="O188" s="465"/>
      <c r="P188" s="465"/>
    </row>
    <row r="189" spans="1:17">
      <c r="A189" s="509">
        <v>187</v>
      </c>
      <c r="B189" s="1511" t="s">
        <v>1142</v>
      </c>
      <c r="C189" s="1503"/>
      <c r="D189" s="510" t="s">
        <v>492</v>
      </c>
      <c r="E189" s="511" t="s">
        <v>433</v>
      </c>
      <c r="F189" s="512" t="n">
        <f>EDU*2+APP*2</f>
        <v>0</v>
      </c>
      <c r="G189" s="513" t="s">
        <v>1143</v>
      </c>
      <c r="K189" s="518"/>
      <c r="L189" s="465"/>
      <c r="M189" s="518" t="s">
        <v>1120</v>
      </c>
      <c r="N189" s="465"/>
      <c r="O189" s="465"/>
      <c r="P189" s="465"/>
    </row>
    <row r="190" spans="1:17">
      <c r="A190" s="514">
        <v>188</v>
      </c>
      <c r="B190" s="1507" t="s">
        <v>1144</v>
      </c>
      <c r="C190" s="1503"/>
      <c r="D190" s="515" t="s">
        <v>492</v>
      </c>
      <c r="E190" s="516" t="s">
        <v>433</v>
      </c>
      <c r="F190" s="515" t="n">
        <f>EDU*2+APP*2</f>
        <v>0</v>
      </c>
      <c r="G190" s="517" t="s">
        <v>1145</v>
      </c>
      <c r="K190" s="518"/>
      <c r="L190" s="465"/>
      <c r="M190" s="518" t="s">
        <v>1120</v>
      </c>
      <c r="N190" s="465"/>
      <c r="O190" s="465"/>
      <c r="P190" s="465"/>
    </row>
    <row r="191" spans="1:17">
      <c r="A191" s="509">
        <v>189</v>
      </c>
      <c r="B191" s="1511" t="s">
        <v>1146</v>
      </c>
      <c r="C191" s="1503"/>
      <c r="D191" s="510" t="s">
        <v>492</v>
      </c>
      <c r="E191" s="511" t="s">
        <v>433</v>
      </c>
      <c r="F191" s="512" t="n">
        <f>EDU*2+APP*2</f>
        <v>0</v>
      </c>
      <c r="G191" s="513" t="s">
        <v>1147</v>
      </c>
      <c r="K191" s="518"/>
      <c r="L191" s="465"/>
      <c r="M191" s="518" t="s">
        <v>1120</v>
      </c>
      <c r="N191" s="465"/>
      <c r="O191" s="465"/>
      <c r="P191" s="465"/>
    </row>
    <row r="192" spans="1:17">
      <c r="A192" s="514">
        <v>190</v>
      </c>
      <c r="B192" s="1507" t="s">
        <v>1148</v>
      </c>
      <c r="C192" s="1503"/>
      <c r="D192" s="515" t="s">
        <v>426</v>
      </c>
      <c r="E192" s="462" t="s">
        <v>427</v>
      </c>
      <c r="F192" s="515" t="n">
        <f>EDU*2+DEX*2</f>
        <v>0</v>
      </c>
      <c r="G192" s="517" t="s">
        <v>1149</v>
      </c>
      <c r="K192" s="518"/>
      <c r="L192" s="465"/>
      <c r="M192" s="518" t="s">
        <v>1120</v>
      </c>
      <c r="N192" s="465"/>
      <c r="O192" s="465"/>
      <c r="P192" s="465"/>
    </row>
    <row r="193" spans="1:16">
      <c r="A193" s="509">
        <v>191</v>
      </c>
      <c r="B193" s="1511" t="s">
        <v>1150</v>
      </c>
      <c r="C193" s="1503"/>
      <c r="D193" s="510" t="s">
        <v>729</v>
      </c>
      <c r="E193" s="511" t="s">
        <v>421</v>
      </c>
      <c r="F193" s="512" t="n">
        <f>EDU*4</f>
        <v>0</v>
      </c>
      <c r="G193" s="513" t="s">
        <v>1018</v>
      </c>
      <c r="K193" s="518"/>
      <c r="L193" s="465"/>
      <c r="M193" s="518" t="s">
        <v>1120</v>
      </c>
      <c r="N193" s="465"/>
      <c r="O193" s="465"/>
      <c r="P193" s="465"/>
    </row>
    <row r="194" spans="1:16">
      <c r="A194" s="514">
        <v>192</v>
      </c>
      <c r="B194" s="1507" t="s">
        <v>1151</v>
      </c>
      <c r="C194" s="1503"/>
      <c r="D194" s="515" t="s">
        <v>729</v>
      </c>
      <c r="E194" s="516" t="s">
        <v>421</v>
      </c>
      <c r="F194" s="515" t="n">
        <f>EDU*4</f>
        <v>0</v>
      </c>
      <c r="G194" s="517" t="s">
        <v>1018</v>
      </c>
      <c r="K194" s="518"/>
      <c r="L194" s="465"/>
      <c r="M194" s="518" t="s">
        <v>1120</v>
      </c>
      <c r="N194" s="465"/>
      <c r="O194" s="465"/>
      <c r="P194" s="465"/>
    </row>
    <row r="195" spans="1:16">
      <c r="A195" s="509">
        <v>193</v>
      </c>
      <c r="B195" s="1511" t="s">
        <v>1152</v>
      </c>
      <c r="C195" s="1503"/>
      <c r="D195" s="510" t="s">
        <v>729</v>
      </c>
      <c r="E195" s="511" t="s">
        <v>421</v>
      </c>
      <c r="F195" s="512" t="n">
        <f>EDU*4</f>
        <v>0</v>
      </c>
      <c r="G195" s="513" t="s">
        <v>1018</v>
      </c>
      <c r="K195" s="518"/>
      <c r="L195" s="465"/>
      <c r="M195" s="518" t="s">
        <v>1120</v>
      </c>
      <c r="N195" s="465"/>
      <c r="O195" s="465"/>
      <c r="P195" s="465"/>
    </row>
    <row r="196" spans="1:16">
      <c r="A196" s="514">
        <v>194</v>
      </c>
      <c r="B196" s="1507" t="s">
        <v>1153</v>
      </c>
      <c r="C196" s="1503"/>
      <c r="D196" s="515" t="s">
        <v>492</v>
      </c>
      <c r="E196" s="516" t="s">
        <v>433</v>
      </c>
      <c r="F196" s="515" t="n">
        <f>EDU*2+APP*2</f>
        <v>0</v>
      </c>
      <c r="G196" s="517" t="s">
        <v>1154</v>
      </c>
      <c r="K196" s="518"/>
      <c r="L196" s="465"/>
      <c r="M196" s="518" t="s">
        <v>1120</v>
      </c>
      <c r="N196" s="465"/>
      <c r="O196" s="465"/>
      <c r="P196" s="465"/>
    </row>
    <row r="197" spans="1:16">
      <c r="A197" s="509">
        <v>195</v>
      </c>
      <c r="B197" s="1511" t="s">
        <v>1155</v>
      </c>
      <c r="C197" s="1503"/>
      <c r="D197" s="510" t="s">
        <v>420</v>
      </c>
      <c r="E197" s="511" t="s">
        <v>421</v>
      </c>
      <c r="F197" s="512" t="n">
        <f>EDU*4</f>
        <v>0</v>
      </c>
      <c r="G197" s="513" t="s">
        <v>1156</v>
      </c>
      <c r="K197" s="518"/>
      <c r="L197" s="465"/>
      <c r="M197" s="518" t="s">
        <v>1120</v>
      </c>
      <c r="N197" s="465"/>
      <c r="O197" s="465"/>
      <c r="P197" s="465"/>
    </row>
    <row r="198" spans="1:16">
      <c r="A198" s="514">
        <v>196</v>
      </c>
      <c r="B198" s="1507" t="s">
        <v>1157</v>
      </c>
      <c r="C198" s="1503"/>
      <c r="D198" s="515" t="s">
        <v>497</v>
      </c>
      <c r="E198" s="462" t="s">
        <v>427</v>
      </c>
      <c r="F198" s="515" t="n">
        <f>EDU*2+DEX*2</f>
        <v>0</v>
      </c>
      <c r="G198" s="517" t="s">
        <v>1158</v>
      </c>
      <c r="K198" s="518"/>
      <c r="L198" s="465"/>
      <c r="M198" s="518" t="s">
        <v>1120</v>
      </c>
      <c r="N198" s="465"/>
      <c r="O198" s="465"/>
      <c r="P198" s="465"/>
    </row>
    <row r="199" spans="1:16">
      <c r="A199" s="509">
        <v>197</v>
      </c>
      <c r="B199" s="1511" t="s">
        <v>1159</v>
      </c>
      <c r="C199" s="1503"/>
      <c r="D199" s="510" t="s">
        <v>497</v>
      </c>
      <c r="E199" s="519" t="s">
        <v>1160</v>
      </c>
      <c r="F199" s="512" t="n">
        <f>EDU*2+MAX(EDU*2,APP*2)</f>
        <v>0</v>
      </c>
      <c r="G199" s="513" t="s">
        <v>1161</v>
      </c>
      <c r="K199" s="518"/>
      <c r="L199" s="465"/>
      <c r="M199" s="518" t="s">
        <v>1120</v>
      </c>
      <c r="N199" s="465"/>
      <c r="O199" s="465"/>
      <c r="P199" s="465"/>
    </row>
    <row r="200" spans="1:16">
      <c r="A200" s="514">
        <v>198</v>
      </c>
      <c r="B200" s="1507" t="s">
        <v>1162</v>
      </c>
      <c r="C200" s="1503"/>
      <c r="D200" s="515" t="s">
        <v>432</v>
      </c>
      <c r="E200" s="516" t="s">
        <v>421</v>
      </c>
      <c r="F200" s="515" t="n">
        <f>EDU*4</f>
        <v>0</v>
      </c>
      <c r="G200" s="517" t="s">
        <v>757</v>
      </c>
      <c r="K200" s="518"/>
      <c r="L200" s="465"/>
      <c r="M200" s="518" t="s">
        <v>1120</v>
      </c>
      <c r="N200" s="465"/>
      <c r="O200" s="465"/>
      <c r="P200" s="465"/>
    </row>
    <row r="201" spans="1:16">
      <c r="A201" s="509">
        <v>199</v>
      </c>
      <c r="B201" s="1511" t="s">
        <v>1163</v>
      </c>
      <c r="C201" s="1503"/>
      <c r="D201" s="510" t="s">
        <v>497</v>
      </c>
      <c r="E201" s="519" t="s">
        <v>427</v>
      </c>
      <c r="F201" s="512" t="n">
        <f>EDU*2+DEX*2</f>
        <v>0</v>
      </c>
      <c r="G201" s="513" t="s">
        <v>1164</v>
      </c>
      <c r="K201" s="518"/>
      <c r="L201" s="465"/>
      <c r="M201" s="518" t="s">
        <v>1120</v>
      </c>
      <c r="N201" s="465"/>
      <c r="O201" s="465"/>
      <c r="P201" s="465"/>
    </row>
    <row r="202" spans="1:16">
      <c r="A202" s="514">
        <v>200</v>
      </c>
      <c r="B202" s="1507" t="s">
        <v>1165</v>
      </c>
      <c r="C202" s="1503"/>
      <c r="D202" s="515" t="s">
        <v>536</v>
      </c>
      <c r="E202" s="516" t="s">
        <v>421</v>
      </c>
      <c r="F202" s="515" t="n">
        <f>EDU*4</f>
        <v>0</v>
      </c>
      <c r="G202" s="517" t="s">
        <v>1166</v>
      </c>
      <c r="K202" s="518"/>
      <c r="L202" s="465"/>
      <c r="M202" s="518" t="s">
        <v>1120</v>
      </c>
      <c r="N202" s="465"/>
      <c r="O202" s="465"/>
      <c r="P202" s="465"/>
    </row>
    <row r="203" spans="1:16">
      <c r="A203" s="509">
        <v>201</v>
      </c>
      <c r="B203" s="1511" t="s">
        <v>1167</v>
      </c>
      <c r="C203" s="1503"/>
      <c r="D203" s="510" t="s">
        <v>497</v>
      </c>
      <c r="E203" s="511" t="s">
        <v>443</v>
      </c>
      <c r="F203" s="512" t="n">
        <f>EDU*2+MAX(STR*2,DEX*2)</f>
        <v>0</v>
      </c>
      <c r="G203" s="513" t="s">
        <v>885</v>
      </c>
      <c r="K203" s="518"/>
      <c r="L203" s="465"/>
      <c r="M203" s="518" t="s">
        <v>1120</v>
      </c>
      <c r="N203" s="465"/>
      <c r="O203" s="465"/>
      <c r="P203" s="465"/>
    </row>
    <row r="204" spans="1:16">
      <c r="A204" s="514">
        <v>202</v>
      </c>
      <c r="B204" s="1507" t="s">
        <v>1168</v>
      </c>
      <c r="C204" s="1503"/>
      <c r="D204" s="515" t="s">
        <v>1169</v>
      </c>
      <c r="E204" s="516" t="s">
        <v>421</v>
      </c>
      <c r="F204" s="515" t="n">
        <f>EDU*4</f>
        <v>0</v>
      </c>
      <c r="G204" s="517" t="s">
        <v>1170</v>
      </c>
      <c r="K204" s="518"/>
      <c r="L204" s="465"/>
      <c r="M204" s="518" t="s">
        <v>1120</v>
      </c>
      <c r="N204" s="465"/>
      <c r="O204" s="465"/>
      <c r="P204" s="465"/>
    </row>
    <row r="205" spans="1:16">
      <c r="A205" s="509">
        <v>203</v>
      </c>
      <c r="B205" s="1511" t="s">
        <v>1171</v>
      </c>
      <c r="C205" s="1503"/>
      <c r="D205" s="510" t="s">
        <v>497</v>
      </c>
      <c r="E205" s="511" t="s">
        <v>443</v>
      </c>
      <c r="F205" s="512" t="n">
        <f>EDU*2+MAX(STR*2,DEX*2)</f>
        <v>0</v>
      </c>
      <c r="G205" s="513" t="s">
        <v>1172</v>
      </c>
      <c r="K205" s="518"/>
      <c r="L205" s="465"/>
      <c r="M205" s="518" t="s">
        <v>1120</v>
      </c>
      <c r="N205" s="465"/>
      <c r="O205" s="465"/>
      <c r="P205" s="465"/>
    </row>
    <row r="206" spans="1:16">
      <c r="A206" s="520">
        <v>204</v>
      </c>
      <c r="B206" s="1530" t="s">
        <v>1173</v>
      </c>
      <c r="C206" s="1019"/>
      <c r="D206" s="521" t="s">
        <v>426</v>
      </c>
      <c r="E206" s="522" t="s">
        <v>421</v>
      </c>
      <c r="F206" s="521" t="n">
        <f>EDU*4</f>
        <v>0</v>
      </c>
      <c r="G206" s="523" t="s">
        <v>1174</v>
      </c>
      <c r="K206" s="518"/>
      <c r="L206" s="465"/>
      <c r="M206" s="518" t="s">
        <v>1120</v>
      </c>
      <c r="N206" s="465"/>
      <c r="O206" s="465"/>
      <c r="P206" s="465"/>
    </row>
    <row r="207" spans="1:16" ht="32.549999999999997" customHeight="1">
      <c r="A207" s="545">
        <v>205</v>
      </c>
      <c r="B207" s="1538" t="s">
        <v>1175</v>
      </c>
      <c r="C207" s="1088"/>
      <c r="D207" s="546" t="s">
        <v>497</v>
      </c>
      <c r="E207" s="547" t="s">
        <v>433</v>
      </c>
      <c r="F207" s="506" t="n">
        <f>EDU*2+APP*2</f>
        <v>0</v>
      </c>
      <c r="G207" s="548" t="s">
        <v>1176</v>
      </c>
      <c r="H207" s="1517" t="s">
        <v>1177</v>
      </c>
      <c r="I207" s="1516"/>
      <c r="K207" s="518"/>
      <c r="L207" s="465"/>
      <c r="M207" s="367" t="s">
        <v>1178</v>
      </c>
      <c r="N207" s="465"/>
      <c r="O207" s="465"/>
      <c r="P207" s="465"/>
    </row>
    <row r="208" spans="1:16" ht="32.549999999999997" customHeight="1">
      <c r="A208" s="549">
        <v>206</v>
      </c>
      <c r="B208" s="1510" t="s">
        <v>1179</v>
      </c>
      <c r="C208" s="1503"/>
      <c r="D208" s="510" t="s">
        <v>553</v>
      </c>
      <c r="E208" s="550" t="s">
        <v>421</v>
      </c>
      <c r="F208" s="512" t="n">
        <f>EDU*4</f>
        <v>0</v>
      </c>
      <c r="G208" s="551" t="s">
        <v>1180</v>
      </c>
      <c r="H208" s="1503"/>
      <c r="I208" s="1516"/>
      <c r="K208" s="518"/>
      <c r="L208" s="465"/>
      <c r="M208" s="367" t="s">
        <v>1178</v>
      </c>
      <c r="N208" s="465"/>
      <c r="O208" s="465"/>
      <c r="P208" s="465"/>
    </row>
    <row r="209" spans="1:17">
      <c r="A209" s="552">
        <v>207</v>
      </c>
      <c r="B209" s="1504" t="s">
        <v>1181</v>
      </c>
      <c r="C209" s="1503"/>
      <c r="D209" s="553" t="s">
        <v>1182</v>
      </c>
      <c r="E209" s="554" t="s">
        <v>1160</v>
      </c>
      <c r="F209" s="515" t="n">
        <f>EDU*2+MAX(EDU*2,APP*2)</f>
        <v>0</v>
      </c>
      <c r="G209" s="555" t="s">
        <v>1183</v>
      </c>
      <c r="H209" s="1503"/>
      <c r="I209" s="1516"/>
      <c r="K209" s="518"/>
      <c r="L209" s="465"/>
      <c r="M209" s="367" t="s">
        <v>1178</v>
      </c>
      <c r="N209" s="465"/>
      <c r="O209" s="465"/>
      <c r="P209" s="465"/>
    </row>
    <row r="210" spans="1:17">
      <c r="A210" s="549">
        <v>208</v>
      </c>
      <c r="B210" s="1510" t="s">
        <v>480</v>
      </c>
      <c r="C210" s="1503"/>
      <c r="D210" s="510" t="s">
        <v>453</v>
      </c>
      <c r="E210" s="550" t="s">
        <v>482</v>
      </c>
      <c r="F210" s="512" t="n">
        <f>EDU*2+MAX(DEX*2,POW*2)</f>
        <v>0</v>
      </c>
      <c r="G210" s="551" t="s">
        <v>1184</v>
      </c>
      <c r="H210" s="1503"/>
      <c r="I210" s="1516"/>
      <c r="K210" s="518"/>
      <c r="L210" s="465"/>
      <c r="M210" s="367" t="s">
        <v>1178</v>
      </c>
      <c r="N210" s="465"/>
      <c r="O210" s="465"/>
      <c r="P210" s="465"/>
    </row>
    <row r="211" spans="1:17">
      <c r="A211" s="552">
        <v>209</v>
      </c>
      <c r="B211" s="1504" t="s">
        <v>1185</v>
      </c>
      <c r="C211" s="1503"/>
      <c r="D211" s="553" t="s">
        <v>453</v>
      </c>
      <c r="E211" s="554" t="s">
        <v>421</v>
      </c>
      <c r="F211" s="515" t="n">
        <f>EDU*4</f>
        <v>0</v>
      </c>
      <c r="G211" s="555" t="s">
        <v>1186</v>
      </c>
      <c r="H211" s="1503"/>
      <c r="I211" s="1516"/>
      <c r="K211" s="518"/>
      <c r="L211" s="465"/>
      <c r="M211" s="367" t="s">
        <v>1178</v>
      </c>
      <c r="N211" s="465"/>
      <c r="O211" s="465"/>
      <c r="P211" s="465"/>
    </row>
    <row r="212" spans="1:17">
      <c r="A212" s="549">
        <v>210</v>
      </c>
      <c r="B212" s="1510" t="s">
        <v>1187</v>
      </c>
      <c r="C212" s="1503"/>
      <c r="D212" s="510" t="s">
        <v>601</v>
      </c>
      <c r="E212" s="550" t="s">
        <v>427</v>
      </c>
      <c r="F212" s="512" t="n">
        <f>EDU*2+DEX*2</f>
        <v>0</v>
      </c>
      <c r="G212" s="551" t="s">
        <v>1188</v>
      </c>
      <c r="H212" s="1503"/>
      <c r="I212" s="1516"/>
      <c r="K212" s="518"/>
      <c r="L212" s="465"/>
      <c r="M212" s="367" t="s">
        <v>1178</v>
      </c>
      <c r="N212" s="465"/>
      <c r="O212" s="465"/>
      <c r="P212" s="465"/>
    </row>
    <row r="213" spans="1:17">
      <c r="A213" s="552">
        <v>211</v>
      </c>
      <c r="B213" s="1504" t="s">
        <v>1189</v>
      </c>
      <c r="C213" s="1503"/>
      <c r="D213" s="553" t="s">
        <v>1190</v>
      </c>
      <c r="E213" s="554" t="s">
        <v>454</v>
      </c>
      <c r="F213" s="515" t="n">
        <f>EDU*2+MAX(APP*2,POW*2)</f>
        <v>0</v>
      </c>
      <c r="G213" s="555" t="s">
        <v>1191</v>
      </c>
      <c r="H213" s="1515" t="s">
        <v>957</v>
      </c>
      <c r="I213" s="1516"/>
      <c r="K213" s="518"/>
      <c r="L213" s="465"/>
      <c r="M213" s="367" t="s">
        <v>1178</v>
      </c>
      <c r="N213" s="465"/>
      <c r="O213" s="465"/>
      <c r="P213" s="465"/>
    </row>
    <row r="214" spans="1:17">
      <c r="A214" s="549">
        <v>212</v>
      </c>
      <c r="B214" s="1510" t="s">
        <v>1192</v>
      </c>
      <c r="C214" s="1503"/>
      <c r="D214" s="510" t="s">
        <v>448</v>
      </c>
      <c r="E214" s="550" t="s">
        <v>421</v>
      </c>
      <c r="F214" s="512" t="n">
        <f>EDU*4</f>
        <v>0</v>
      </c>
      <c r="G214" s="551" t="s">
        <v>1193</v>
      </c>
      <c r="H214" s="1515" t="s">
        <v>1194</v>
      </c>
      <c r="I214" s="1516"/>
      <c r="K214" s="518"/>
      <c r="L214" s="465"/>
      <c r="M214" s="367" t="s">
        <v>1178</v>
      </c>
      <c r="N214" s="465"/>
      <c r="O214" s="465"/>
      <c r="P214" s="465"/>
    </row>
    <row r="215" spans="1:17">
      <c r="A215" s="552">
        <v>213</v>
      </c>
      <c r="B215" s="1504" t="s">
        <v>548</v>
      </c>
      <c r="C215" s="1503"/>
      <c r="D215" s="553" t="s">
        <v>752</v>
      </c>
      <c r="E215" s="554" t="s">
        <v>443</v>
      </c>
      <c r="F215" s="515" t="n">
        <f>EDU*2+MAX(STR*2,DEX*2)</f>
        <v>0</v>
      </c>
      <c r="G215" s="555" t="s">
        <v>1195</v>
      </c>
      <c r="K215" s="518"/>
      <c r="L215" s="465"/>
      <c r="M215" s="367" t="s">
        <v>1178</v>
      </c>
      <c r="N215" s="465"/>
      <c r="O215" s="465"/>
      <c r="P215" s="465"/>
    </row>
    <row r="216" spans="1:17" ht="32.549999999999997" customHeight="1">
      <c r="A216" s="549">
        <v>214</v>
      </c>
      <c r="B216" s="1510" t="s">
        <v>1196</v>
      </c>
      <c r="C216" s="1503"/>
      <c r="D216" s="510" t="s">
        <v>497</v>
      </c>
      <c r="E216" s="550" t="s">
        <v>633</v>
      </c>
      <c r="F216" s="512" t="n">
        <f>EDU*2+MAX(DEX*2,APP*2,STR*2)</f>
        <v>0</v>
      </c>
      <c r="G216" s="551" t="s">
        <v>1197</v>
      </c>
      <c r="K216" s="518"/>
      <c r="L216" s="465"/>
      <c r="M216" s="367" t="s">
        <v>1178</v>
      </c>
      <c r="N216" s="465"/>
      <c r="O216" s="465"/>
      <c r="P216" s="465"/>
    </row>
    <row r="217" spans="1:17">
      <c r="A217" s="552">
        <v>215</v>
      </c>
      <c r="B217" s="1504" t="s">
        <v>1198</v>
      </c>
      <c r="C217" s="1503"/>
      <c r="D217" s="553" t="s">
        <v>536</v>
      </c>
      <c r="E217" s="554" t="s">
        <v>433</v>
      </c>
      <c r="F217" s="515" t="n">
        <f>EDU*2+APP*2</f>
        <v>0</v>
      </c>
      <c r="G217" s="555" t="s">
        <v>1199</v>
      </c>
      <c r="K217" s="518"/>
      <c r="L217" s="465"/>
      <c r="M217" s="367" t="s">
        <v>1178</v>
      </c>
      <c r="N217" s="465"/>
      <c r="O217" s="465"/>
      <c r="P217" s="465"/>
    </row>
    <row r="218" spans="1:17">
      <c r="A218" s="549">
        <v>216</v>
      </c>
      <c r="B218" s="1510" t="s">
        <v>663</v>
      </c>
      <c r="C218" s="1503"/>
      <c r="D218" s="510" t="s">
        <v>453</v>
      </c>
      <c r="E218" s="550" t="s">
        <v>454</v>
      </c>
      <c r="F218" s="512" t="n">
        <f>EDU*2+MAX(APP*2,POW*2)</f>
        <v>0</v>
      </c>
      <c r="G218" s="551" t="s">
        <v>1200</v>
      </c>
      <c r="K218" s="518"/>
      <c r="L218" s="465"/>
      <c r="M218" s="367" t="s">
        <v>1178</v>
      </c>
      <c r="N218" s="465"/>
      <c r="O218" s="465"/>
      <c r="P218" s="465"/>
    </row>
    <row r="219" spans="1:17">
      <c r="A219" s="552">
        <v>217</v>
      </c>
      <c r="B219" s="1504" t="s">
        <v>1201</v>
      </c>
      <c r="C219" s="1503"/>
      <c r="D219" s="553" t="s">
        <v>1202</v>
      </c>
      <c r="E219" s="554" t="s">
        <v>421</v>
      </c>
      <c r="F219" s="515" t="n">
        <f>EDU*4</f>
        <v>0</v>
      </c>
      <c r="G219" s="555" t="s">
        <v>1203</v>
      </c>
      <c r="K219" s="518"/>
      <c r="L219" s="465"/>
      <c r="M219" s="367" t="s">
        <v>1178</v>
      </c>
      <c r="N219" s="465"/>
      <c r="O219" s="465"/>
      <c r="P219" s="465"/>
    </row>
    <row r="220" spans="1:17" ht="32.549999999999997" customHeight="1">
      <c r="A220" s="549">
        <v>218</v>
      </c>
      <c r="B220" s="1510" t="s">
        <v>1204</v>
      </c>
      <c r="C220" s="1503"/>
      <c r="D220" s="510" t="s">
        <v>1205</v>
      </c>
      <c r="E220" s="550" t="s">
        <v>633</v>
      </c>
      <c r="F220" s="512" t="n">
        <f>EDU*2+MAX(DEX*2,APP*2,STR*2)</f>
        <v>0</v>
      </c>
      <c r="G220" s="551" t="s">
        <v>1206</v>
      </c>
      <c r="K220" s="518"/>
      <c r="L220" s="465"/>
      <c r="M220" s="367" t="s">
        <v>1178</v>
      </c>
      <c r="N220" s="465"/>
      <c r="O220" s="465"/>
      <c r="P220" s="465"/>
    </row>
    <row r="221" spans="1:17">
      <c r="A221" s="552">
        <v>219</v>
      </c>
      <c r="B221" s="1504" t="s">
        <v>829</v>
      </c>
      <c r="C221" s="1503"/>
      <c r="D221" s="553" t="s">
        <v>432</v>
      </c>
      <c r="E221" s="464" t="s">
        <v>596</v>
      </c>
      <c r="F221" s="515" t="n">
        <f>EDU*2+MAX(DEX*2,APP*2)</f>
        <v>0</v>
      </c>
      <c r="G221" s="555" t="s">
        <v>1207</v>
      </c>
      <c r="K221" s="518"/>
      <c r="L221" s="465"/>
      <c r="M221" s="367" t="s">
        <v>1178</v>
      </c>
      <c r="N221" s="465"/>
      <c r="O221" s="465"/>
      <c r="P221" s="465"/>
    </row>
    <row r="222" spans="1:17">
      <c r="A222" s="549">
        <v>220</v>
      </c>
      <c r="B222" s="1510" t="s">
        <v>1208</v>
      </c>
      <c r="C222" s="1503"/>
      <c r="D222" s="510" t="s">
        <v>497</v>
      </c>
      <c r="E222" s="550" t="s">
        <v>596</v>
      </c>
      <c r="F222" s="512" t="n">
        <f>EDU*2+MAX(DEX*2,APP*2)</f>
        <v>0</v>
      </c>
      <c r="G222" s="551" t="s">
        <v>1209</v>
      </c>
      <c r="K222" s="518"/>
      <c r="L222" s="465"/>
      <c r="M222" s="367" t="s">
        <v>1178</v>
      </c>
      <c r="N222" s="465"/>
      <c r="O222" s="465"/>
      <c r="P222" s="465"/>
    </row>
    <row r="223" spans="1:17" ht="32.549999999999997" customHeight="1">
      <c r="A223" s="552">
        <v>221</v>
      </c>
      <c r="B223" s="1504" t="s">
        <v>1210</v>
      </c>
      <c r="C223" s="1503"/>
      <c r="D223" s="553" t="s">
        <v>838</v>
      </c>
      <c r="E223" s="554" t="s">
        <v>523</v>
      </c>
      <c r="F223" s="515" t="n">
        <f>EDU*2+STR*2</f>
        <v>0</v>
      </c>
      <c r="G223" s="556" t="s">
        <v>1211</v>
      </c>
      <c r="K223" s="518"/>
      <c r="L223" s="465"/>
      <c r="M223" s="367" t="s">
        <v>1178</v>
      </c>
      <c r="N223" s="465"/>
      <c r="O223" s="1512"/>
      <c r="P223" s="1506"/>
      <c r="Q223" s="1513"/>
    </row>
    <row r="224" spans="1:17">
      <c r="A224" s="549">
        <v>222</v>
      </c>
      <c r="B224" s="1510" t="s">
        <v>747</v>
      </c>
      <c r="C224" s="1503"/>
      <c r="D224" s="510" t="s">
        <v>923</v>
      </c>
      <c r="E224" s="550" t="s">
        <v>421</v>
      </c>
      <c r="F224" s="512" t="n">
        <f>EDU*4</f>
        <v>0</v>
      </c>
      <c r="G224" s="551" t="s">
        <v>1212</v>
      </c>
      <c r="K224" s="518"/>
      <c r="L224" s="465"/>
      <c r="M224" s="367" t="s">
        <v>1178</v>
      </c>
      <c r="N224" s="465"/>
      <c r="O224" s="1506"/>
      <c r="P224" s="1506"/>
      <c r="Q224" s="1513"/>
    </row>
    <row r="225" spans="1:16">
      <c r="A225" s="552">
        <v>223</v>
      </c>
      <c r="B225" s="1504" t="s">
        <v>1213</v>
      </c>
      <c r="C225" s="1503"/>
      <c r="D225" s="553" t="s">
        <v>420</v>
      </c>
      <c r="E225" s="554" t="s">
        <v>421</v>
      </c>
      <c r="F225" s="515" t="n">
        <f>EDU*4</f>
        <v>0</v>
      </c>
      <c r="G225" s="555" t="s">
        <v>1214</v>
      </c>
      <c r="K225" s="518"/>
      <c r="L225" s="465"/>
      <c r="M225" s="367" t="s">
        <v>1178</v>
      </c>
      <c r="N225" s="465"/>
      <c r="O225" s="465"/>
      <c r="P225" s="465"/>
    </row>
    <row r="226" spans="1:16">
      <c r="A226" s="549">
        <v>224</v>
      </c>
      <c r="B226" s="1510" t="s">
        <v>1215</v>
      </c>
      <c r="C226" s="1503"/>
      <c r="D226" s="510" t="s">
        <v>497</v>
      </c>
      <c r="E226" s="550" t="s">
        <v>443</v>
      </c>
      <c r="F226" s="512" t="n">
        <f>EDU*2+MAX(STR*2,DEX*2)</f>
        <v>0</v>
      </c>
      <c r="G226" s="551" t="s">
        <v>1216</v>
      </c>
      <c r="K226" s="518"/>
      <c r="L226" s="465"/>
      <c r="M226" s="367" t="s">
        <v>1178</v>
      </c>
      <c r="N226" s="465"/>
      <c r="O226" s="465"/>
      <c r="P226" s="465"/>
    </row>
    <row r="227" spans="1:16">
      <c r="A227" s="552">
        <v>225</v>
      </c>
      <c r="B227" s="1504" t="s">
        <v>1217</v>
      </c>
      <c r="C227" s="1503"/>
      <c r="D227" s="553" t="s">
        <v>507</v>
      </c>
      <c r="E227" s="554" t="s">
        <v>421</v>
      </c>
      <c r="F227" s="515" t="n">
        <f>EDU*4</f>
        <v>0</v>
      </c>
      <c r="G227" s="555" t="s">
        <v>1218</v>
      </c>
      <c r="K227" s="518"/>
      <c r="L227" s="465"/>
      <c r="M227" s="367" t="s">
        <v>1178</v>
      </c>
      <c r="N227" s="465"/>
      <c r="O227" s="465"/>
      <c r="P227" s="465"/>
    </row>
    <row r="228" spans="1:16">
      <c r="A228" s="549">
        <v>226</v>
      </c>
      <c r="B228" s="1510" t="s">
        <v>872</v>
      </c>
      <c r="C228" s="1503"/>
      <c r="D228" s="510" t="s">
        <v>448</v>
      </c>
      <c r="E228" s="550" t="s">
        <v>421</v>
      </c>
      <c r="F228" s="512" t="n">
        <f>EDU*4</f>
        <v>0</v>
      </c>
      <c r="G228" s="551" t="s">
        <v>1219</v>
      </c>
      <c r="K228" s="518"/>
      <c r="L228" s="465"/>
      <c r="M228" s="367" t="s">
        <v>1178</v>
      </c>
      <c r="N228" s="465"/>
      <c r="O228" s="465"/>
      <c r="P228" s="465"/>
    </row>
    <row r="229" spans="1:16">
      <c r="A229" s="552">
        <v>227</v>
      </c>
      <c r="B229" s="1504" t="s">
        <v>1220</v>
      </c>
      <c r="C229" s="1503"/>
      <c r="D229" s="553" t="s">
        <v>838</v>
      </c>
      <c r="E229" s="554" t="s">
        <v>596</v>
      </c>
      <c r="F229" s="515" t="n">
        <f>EDU*2+MAX(APP*2,DEX*2)</f>
        <v>0</v>
      </c>
      <c r="G229" s="555" t="s">
        <v>1221</v>
      </c>
      <c r="K229" s="518"/>
      <c r="L229" s="465"/>
      <c r="M229" s="367" t="s">
        <v>1178</v>
      </c>
      <c r="N229" s="465"/>
      <c r="O229" s="465"/>
      <c r="P229" s="465"/>
    </row>
    <row r="230" spans="1:16">
      <c r="A230" s="549">
        <v>228</v>
      </c>
      <c r="B230" s="1510" t="s">
        <v>1222</v>
      </c>
      <c r="C230" s="1503"/>
      <c r="D230" s="510" t="s">
        <v>497</v>
      </c>
      <c r="E230" s="550" t="s">
        <v>596</v>
      </c>
      <c r="F230" s="512" t="n">
        <f>EDU*2+MAX(APP*2,DEX*2)</f>
        <v>0</v>
      </c>
      <c r="G230" s="551" t="s">
        <v>1223</v>
      </c>
      <c r="K230" s="518"/>
      <c r="L230" s="465"/>
      <c r="M230" s="367" t="s">
        <v>1178</v>
      </c>
      <c r="N230" s="465"/>
      <c r="O230" s="465"/>
      <c r="P230" s="465"/>
    </row>
    <row r="231" spans="1:16">
      <c r="A231" s="552">
        <v>229</v>
      </c>
      <c r="B231" s="1504" t="s">
        <v>1224</v>
      </c>
      <c r="C231" s="1503"/>
      <c r="D231" s="553" t="s">
        <v>497</v>
      </c>
      <c r="E231" s="554" t="s">
        <v>443</v>
      </c>
      <c r="F231" s="515" t="n">
        <f>EDU*2+MAX(STR*2,DEX*2)</f>
        <v>0</v>
      </c>
      <c r="G231" s="555" t="s">
        <v>1225</v>
      </c>
      <c r="K231" s="518"/>
      <c r="L231" s="465"/>
      <c r="M231" s="367" t="s">
        <v>1178</v>
      </c>
      <c r="N231" s="465"/>
      <c r="O231" s="465"/>
      <c r="P231" s="465"/>
    </row>
    <row r="232" spans="1:16">
      <c r="A232" s="557">
        <v>230</v>
      </c>
      <c r="B232" s="1540" t="s">
        <v>1226</v>
      </c>
      <c r="C232" s="1019"/>
      <c r="D232" s="531" t="s">
        <v>420</v>
      </c>
      <c r="E232" s="502" t="s">
        <v>596</v>
      </c>
      <c r="F232" s="503" t="n">
        <f>EDU*2+MAX(APP*2,DEX*2)</f>
        <v>0</v>
      </c>
      <c r="G232" s="558" t="s">
        <v>1227</v>
      </c>
      <c r="K232" s="518"/>
      <c r="L232" s="465"/>
      <c r="M232" s="367" t="s">
        <v>1178</v>
      </c>
      <c r="N232" s="465"/>
      <c r="O232" s="465"/>
      <c r="P232" s="465"/>
    </row>
    <row r="233" spans="1:16">
      <c r="A233" s="559"/>
      <c r="B233" s="1502"/>
      <c r="C233" s="1503"/>
      <c r="D233" s="559"/>
      <c r="E233" s="561"/>
      <c r="F233" s="559"/>
      <c r="G233" s="560"/>
      <c r="H233" s="562"/>
      <c r="I233" s="567"/>
      <c r="J233" s="567"/>
      <c r="K233" s="568"/>
      <c r="L233" s="465"/>
      <c r="M233" s="367"/>
      <c r="N233" s="465"/>
      <c r="O233" s="465"/>
      <c r="P233" s="465"/>
    </row>
    <row r="234" spans="1:16">
      <c r="A234" s="563"/>
      <c r="B234" s="1529"/>
      <c r="C234" s="1503"/>
      <c r="D234" s="559"/>
      <c r="E234" s="565"/>
      <c r="F234" s="563"/>
      <c r="G234" s="566"/>
      <c r="H234" s="562"/>
      <c r="I234" s="567"/>
      <c r="J234" s="567"/>
      <c r="K234" s="568"/>
      <c r="L234" s="465"/>
      <c r="M234" s="367"/>
      <c r="N234" s="465"/>
      <c r="O234" s="465"/>
      <c r="P234" s="465"/>
    </row>
    <row r="235" spans="1:16">
      <c r="A235" s="563"/>
      <c r="B235" s="1529"/>
      <c r="C235" s="1503"/>
      <c r="D235" s="563"/>
      <c r="E235" s="565"/>
      <c r="F235" s="563"/>
      <c r="G235" s="564"/>
      <c r="H235" s="562"/>
      <c r="I235" s="567"/>
      <c r="J235" s="567"/>
      <c r="K235" s="568"/>
      <c r="L235" s="465"/>
      <c r="M235" s="367"/>
      <c r="N235" s="465"/>
      <c r="O235" s="465"/>
      <c r="P235" s="465"/>
    </row>
    <row r="236" spans="1:16">
      <c r="A236" s="563"/>
      <c r="B236" s="1529"/>
      <c r="C236" s="1503"/>
      <c r="D236" s="559"/>
      <c r="E236" s="565"/>
      <c r="F236" s="563"/>
      <c r="G236" s="566"/>
      <c r="H236" s="562"/>
      <c r="I236" s="567"/>
      <c r="J236" s="567"/>
      <c r="K236" s="568"/>
      <c r="L236" s="465"/>
      <c r="M236" s="367"/>
      <c r="N236" s="465"/>
      <c r="O236" s="465"/>
      <c r="P236" s="465"/>
    </row>
    <row r="237" spans="1:16">
      <c r="A237" s="563"/>
      <c r="B237" s="1529"/>
      <c r="C237" s="1503"/>
      <c r="D237" s="563"/>
      <c r="E237" s="565"/>
      <c r="F237" s="563"/>
      <c r="G237" s="564"/>
      <c r="H237" s="562"/>
      <c r="I237" s="567"/>
      <c r="J237" s="567"/>
      <c r="K237" s="568"/>
      <c r="L237" s="465"/>
      <c r="M237" s="367"/>
      <c r="N237" s="465"/>
      <c r="O237" s="465"/>
      <c r="P237" s="465"/>
    </row>
  </sheetData>
  <mergeCells count="390">
    <mergeCell ref="K51:L51"/>
    <mergeCell ref="B130:C130"/>
    <mergeCell ref="B117:C117"/>
    <mergeCell ref="B15:C15"/>
    <mergeCell ref="B142:C142"/>
    <mergeCell ref="B36:C36"/>
    <mergeCell ref="B163:C163"/>
    <mergeCell ref="B64:C64"/>
    <mergeCell ref="B126:C126"/>
    <mergeCell ref="B109:C109"/>
    <mergeCell ref="K66:L66"/>
    <mergeCell ref="B169:C169"/>
    <mergeCell ref="K74:L74"/>
    <mergeCell ref="K68:L68"/>
    <mergeCell ref="B134:C134"/>
    <mergeCell ref="B121:C121"/>
    <mergeCell ref="K64:L64"/>
    <mergeCell ref="B235:C235"/>
    <mergeCell ref="K81:L81"/>
    <mergeCell ref="B14:C14"/>
    <mergeCell ref="K99:L99"/>
    <mergeCell ref="K53:L53"/>
    <mergeCell ref="B24:C24"/>
    <mergeCell ref="B32:C32"/>
    <mergeCell ref="B63:C63"/>
    <mergeCell ref="B197:C197"/>
    <mergeCell ref="B26:C26"/>
    <mergeCell ref="B232:C232"/>
    <mergeCell ref="K89:L89"/>
    <mergeCell ref="K113:L113"/>
    <mergeCell ref="B215:C215"/>
    <mergeCell ref="K88:L88"/>
    <mergeCell ref="K26:L26"/>
    <mergeCell ref="B21:C21"/>
    <mergeCell ref="B67:C67"/>
    <mergeCell ref="K90:L90"/>
    <mergeCell ref="B61:C61"/>
    <mergeCell ref="B69:C69"/>
    <mergeCell ref="B112:C112"/>
    <mergeCell ref="K115:L115"/>
    <mergeCell ref="K42:L42"/>
    <mergeCell ref="B1:C1"/>
    <mergeCell ref="B13:C13"/>
    <mergeCell ref="B78:C78"/>
    <mergeCell ref="B205:C205"/>
    <mergeCell ref="B55:C55"/>
    <mergeCell ref="K101:L101"/>
    <mergeCell ref="K28:L28"/>
    <mergeCell ref="B154:C154"/>
    <mergeCell ref="B129:C129"/>
    <mergeCell ref="K92:L92"/>
    <mergeCell ref="B200:C200"/>
    <mergeCell ref="K30:L30"/>
    <mergeCell ref="B25:C25"/>
    <mergeCell ref="B156:C156"/>
    <mergeCell ref="B131:C131"/>
    <mergeCell ref="B30:C30"/>
    <mergeCell ref="B5:C5"/>
    <mergeCell ref="K12:L12"/>
    <mergeCell ref="K14:L14"/>
    <mergeCell ref="B31:C31"/>
    <mergeCell ref="K52:L52"/>
    <mergeCell ref="B191:C191"/>
    <mergeCell ref="B178:C178"/>
    <mergeCell ref="B49:C49"/>
    <mergeCell ref="B236:C236"/>
    <mergeCell ref="B223:C223"/>
    <mergeCell ref="B220:C220"/>
    <mergeCell ref="B195:C195"/>
    <mergeCell ref="B231:C231"/>
    <mergeCell ref="K41:L41"/>
    <mergeCell ref="K106:L106"/>
    <mergeCell ref="B53:C53"/>
    <mergeCell ref="K56:L56"/>
    <mergeCell ref="K105:L105"/>
    <mergeCell ref="K43:L43"/>
    <mergeCell ref="B84:C84"/>
    <mergeCell ref="K107:L107"/>
    <mergeCell ref="B234:C234"/>
    <mergeCell ref="B92:C92"/>
    <mergeCell ref="B76:C76"/>
    <mergeCell ref="K57:L57"/>
    <mergeCell ref="B94:C94"/>
    <mergeCell ref="H180:I183"/>
    <mergeCell ref="B115:C115"/>
    <mergeCell ref="B102:C102"/>
    <mergeCell ref="B77:C77"/>
    <mergeCell ref="K50:L50"/>
    <mergeCell ref="K58:L58"/>
    <mergeCell ref="I9:J9"/>
    <mergeCell ref="B144:C144"/>
    <mergeCell ref="K25:L25"/>
    <mergeCell ref="B81:C81"/>
    <mergeCell ref="B208:C208"/>
    <mergeCell ref="K54:L54"/>
    <mergeCell ref="K29:L29"/>
    <mergeCell ref="B210:C210"/>
    <mergeCell ref="H13:J13"/>
    <mergeCell ref="K44:L44"/>
    <mergeCell ref="K31:L31"/>
    <mergeCell ref="B170:C170"/>
    <mergeCell ref="B34:C34"/>
    <mergeCell ref="B172:C172"/>
    <mergeCell ref="B28:C28"/>
    <mergeCell ref="B99:C99"/>
    <mergeCell ref="K97:L97"/>
    <mergeCell ref="K13:L13"/>
    <mergeCell ref="B207:C207"/>
    <mergeCell ref="K15:L15"/>
    <mergeCell ref="K80:L80"/>
    <mergeCell ref="B27:C27"/>
    <mergeCell ref="K55:L55"/>
    <mergeCell ref="K79:L79"/>
    <mergeCell ref="B230:C230"/>
    <mergeCell ref="O164:P164"/>
    <mergeCell ref="B168:C168"/>
    <mergeCell ref="B194:C194"/>
    <mergeCell ref="B187:C187"/>
    <mergeCell ref="H213:I213"/>
    <mergeCell ref="B189:C189"/>
    <mergeCell ref="B216:C216"/>
    <mergeCell ref="B229:C229"/>
    <mergeCell ref="B225:C225"/>
    <mergeCell ref="B175:C175"/>
    <mergeCell ref="B211:C211"/>
    <mergeCell ref="B183:C183"/>
    <mergeCell ref="B177:C177"/>
    <mergeCell ref="B193:C193"/>
    <mergeCell ref="O176:Q179"/>
    <mergeCell ref="B196:C196"/>
    <mergeCell ref="B213:C213"/>
    <mergeCell ref="O165:P165"/>
    <mergeCell ref="B179:C179"/>
    <mergeCell ref="B143:C143"/>
    <mergeCell ref="K73:L73"/>
    <mergeCell ref="H178:I178"/>
    <mergeCell ref="B181:C181"/>
    <mergeCell ref="B212:C212"/>
    <mergeCell ref="B206:C206"/>
    <mergeCell ref="B113:C113"/>
    <mergeCell ref="B100:C100"/>
    <mergeCell ref="O161:P161"/>
    <mergeCell ref="B165:C165"/>
    <mergeCell ref="O163:P163"/>
    <mergeCell ref="K78:L78"/>
    <mergeCell ref="B90:C90"/>
    <mergeCell ref="B80:C80"/>
    <mergeCell ref="B79:C79"/>
    <mergeCell ref="O159:P159"/>
    <mergeCell ref="B127:C127"/>
    <mergeCell ref="B2:G2"/>
    <mergeCell ref="B218:C218"/>
    <mergeCell ref="B47:C47"/>
    <mergeCell ref="K34:L34"/>
    <mergeCell ref="B59:C59"/>
    <mergeCell ref="B190:C190"/>
    <mergeCell ref="B46:C46"/>
    <mergeCell ref="K36:L36"/>
    <mergeCell ref="B48:C48"/>
    <mergeCell ref="K100:L100"/>
    <mergeCell ref="K94:L94"/>
    <mergeCell ref="B8:C8"/>
    <mergeCell ref="K102:L102"/>
    <mergeCell ref="B73:C73"/>
    <mergeCell ref="K77:L77"/>
    <mergeCell ref="B10:C10"/>
    <mergeCell ref="B137:C137"/>
    <mergeCell ref="B74:C74"/>
    <mergeCell ref="B201:C201"/>
    <mergeCell ref="B68:C68"/>
    <mergeCell ref="B139:C139"/>
    <mergeCell ref="I8:J8"/>
    <mergeCell ref="B118:C118"/>
    <mergeCell ref="H172:I177"/>
    <mergeCell ref="B237:C237"/>
    <mergeCell ref="B138:C138"/>
    <mergeCell ref="B16:C16"/>
    <mergeCell ref="B209:C209"/>
    <mergeCell ref="H165:I165"/>
    <mergeCell ref="B140:C140"/>
    <mergeCell ref="B18:C18"/>
    <mergeCell ref="M1:N1"/>
    <mergeCell ref="K21:L21"/>
    <mergeCell ref="B11:C11"/>
    <mergeCell ref="I7:J7"/>
    <mergeCell ref="K32:L32"/>
    <mergeCell ref="K63:L63"/>
    <mergeCell ref="K96:L96"/>
    <mergeCell ref="B29:C29"/>
    <mergeCell ref="K27:L27"/>
    <mergeCell ref="K98:L98"/>
    <mergeCell ref="B158:C158"/>
    <mergeCell ref="B6:C6"/>
    <mergeCell ref="B95:C95"/>
    <mergeCell ref="B89:C89"/>
    <mergeCell ref="B160:C160"/>
    <mergeCell ref="K93:L93"/>
    <mergeCell ref="B97:C97"/>
    <mergeCell ref="I2:J2"/>
    <mergeCell ref="K9:L9"/>
    <mergeCell ref="K45:L45"/>
    <mergeCell ref="B184:C184"/>
    <mergeCell ref="B228:C228"/>
    <mergeCell ref="K11:L11"/>
    <mergeCell ref="K109:L109"/>
    <mergeCell ref="K47:L47"/>
    <mergeCell ref="B42:C42"/>
    <mergeCell ref="K46:L46"/>
    <mergeCell ref="B17:C17"/>
    <mergeCell ref="B88:C88"/>
    <mergeCell ref="K40:L40"/>
    <mergeCell ref="B148:C148"/>
    <mergeCell ref="K111:L111"/>
    <mergeCell ref="B82:C82"/>
    <mergeCell ref="B44:C44"/>
    <mergeCell ref="H24:J24"/>
    <mergeCell ref="B19:C19"/>
    <mergeCell ref="B146:C146"/>
    <mergeCell ref="I4:J4"/>
    <mergeCell ref="B114:C114"/>
    <mergeCell ref="B203:C203"/>
    <mergeCell ref="H25:J25"/>
    <mergeCell ref="K18:L18"/>
    <mergeCell ref="B96:C96"/>
    <mergeCell ref="B71:C71"/>
    <mergeCell ref="B58:C58"/>
    <mergeCell ref="B52:C52"/>
    <mergeCell ref="B98:C98"/>
    <mergeCell ref="B60:C60"/>
    <mergeCell ref="B162:C162"/>
    <mergeCell ref="K23:L23"/>
    <mergeCell ref="B124:C124"/>
    <mergeCell ref="B116:C116"/>
    <mergeCell ref="B103:C103"/>
    <mergeCell ref="B37:C37"/>
    <mergeCell ref="B45:C45"/>
    <mergeCell ref="B51:C51"/>
    <mergeCell ref="K116:L116"/>
    <mergeCell ref="B153:C153"/>
    <mergeCell ref="K71:L71"/>
    <mergeCell ref="B108:C108"/>
    <mergeCell ref="H125:I125"/>
    <mergeCell ref="B150:C150"/>
    <mergeCell ref="K110:L110"/>
    <mergeCell ref="B152:C152"/>
    <mergeCell ref="B145:C145"/>
    <mergeCell ref="K3:L3"/>
    <mergeCell ref="B7:C7"/>
    <mergeCell ref="K5:L5"/>
    <mergeCell ref="K8:L8"/>
    <mergeCell ref="K33:L33"/>
    <mergeCell ref="B141:C141"/>
    <mergeCell ref="K104:L104"/>
    <mergeCell ref="B12:C12"/>
    <mergeCell ref="K35:L35"/>
    <mergeCell ref="B40:C40"/>
    <mergeCell ref="B33:C33"/>
    <mergeCell ref="B104:C104"/>
    <mergeCell ref="B20:C20"/>
    <mergeCell ref="B85:C85"/>
    <mergeCell ref="B136:C136"/>
    <mergeCell ref="B111:C111"/>
    <mergeCell ref="B38:C38"/>
    <mergeCell ref="K69:L69"/>
    <mergeCell ref="K37:L37"/>
    <mergeCell ref="B23:C23"/>
    <mergeCell ref="K75:L75"/>
    <mergeCell ref="B87:C87"/>
    <mergeCell ref="K39:L39"/>
    <mergeCell ref="K70:L70"/>
    <mergeCell ref="K1:L1"/>
    <mergeCell ref="K72:L72"/>
    <mergeCell ref="B157:C157"/>
    <mergeCell ref="B132:C132"/>
    <mergeCell ref="B4:C4"/>
    <mergeCell ref="I5:J5"/>
    <mergeCell ref="K61:L61"/>
    <mergeCell ref="K48:L48"/>
    <mergeCell ref="H124:I124"/>
    <mergeCell ref="K112:L112"/>
    <mergeCell ref="K62:L62"/>
    <mergeCell ref="B91:C91"/>
    <mergeCell ref="B155:C155"/>
    <mergeCell ref="B93:C93"/>
    <mergeCell ref="B149:C149"/>
    <mergeCell ref="B22:C22"/>
    <mergeCell ref="B119:C119"/>
    <mergeCell ref="K4:L4"/>
    <mergeCell ref="I3:J3"/>
    <mergeCell ref="K59:L59"/>
    <mergeCell ref="K117:L117"/>
    <mergeCell ref="K114:L114"/>
    <mergeCell ref="I10:J10"/>
    <mergeCell ref="K10:L10"/>
    <mergeCell ref="K17:L17"/>
    <mergeCell ref="K82:L82"/>
    <mergeCell ref="K19:L19"/>
    <mergeCell ref="K6:L6"/>
    <mergeCell ref="H118:I123"/>
    <mergeCell ref="K83:L83"/>
    <mergeCell ref="B54:C54"/>
    <mergeCell ref="B125:C125"/>
    <mergeCell ref="B185:C185"/>
    <mergeCell ref="B9:C9"/>
    <mergeCell ref="K7:L7"/>
    <mergeCell ref="I6:J6"/>
    <mergeCell ref="B66:C66"/>
    <mergeCell ref="H159:I164"/>
    <mergeCell ref="B159:C159"/>
    <mergeCell ref="B167:C167"/>
    <mergeCell ref="B164:C164"/>
    <mergeCell ref="B161:C161"/>
    <mergeCell ref="B147:C147"/>
    <mergeCell ref="K103:L103"/>
    <mergeCell ref="B41:C41"/>
    <mergeCell ref="B35:C35"/>
    <mergeCell ref="B106:C106"/>
    <mergeCell ref="K16:L16"/>
    <mergeCell ref="K38:L38"/>
    <mergeCell ref="B123:C123"/>
    <mergeCell ref="H207:I212"/>
    <mergeCell ref="B122:C122"/>
    <mergeCell ref="B56:C56"/>
    <mergeCell ref="B105:C105"/>
    <mergeCell ref="B214:C214"/>
    <mergeCell ref="B176:C176"/>
    <mergeCell ref="K60:L60"/>
    <mergeCell ref="B43:C43"/>
    <mergeCell ref="B120:C120"/>
    <mergeCell ref="B107:C107"/>
    <mergeCell ref="B57:C57"/>
    <mergeCell ref="B171:C171"/>
    <mergeCell ref="K65:L65"/>
    <mergeCell ref="B133:C133"/>
    <mergeCell ref="B204:C204"/>
    <mergeCell ref="B186:C186"/>
    <mergeCell ref="B72:C72"/>
    <mergeCell ref="B199:C199"/>
    <mergeCell ref="K87:L87"/>
    <mergeCell ref="K49:L49"/>
    <mergeCell ref="K95:L95"/>
    <mergeCell ref="B166:C166"/>
    <mergeCell ref="O223:Q224"/>
    <mergeCell ref="B221:C221"/>
    <mergeCell ref="B50:C50"/>
    <mergeCell ref="B110:C110"/>
    <mergeCell ref="O171:Q172"/>
    <mergeCell ref="B86:C86"/>
    <mergeCell ref="B151:C151"/>
    <mergeCell ref="K76:L76"/>
    <mergeCell ref="B101:C101"/>
    <mergeCell ref="H214:I214"/>
    <mergeCell ref="B222:C222"/>
    <mergeCell ref="O157:P157"/>
    <mergeCell ref="O160:P160"/>
    <mergeCell ref="B224:C224"/>
    <mergeCell ref="O166:Q168"/>
    <mergeCell ref="O162:P162"/>
    <mergeCell ref="B174:C174"/>
    <mergeCell ref="B188:C188"/>
    <mergeCell ref="B219:C219"/>
    <mergeCell ref="O158:P158"/>
    <mergeCell ref="O169:Q170"/>
    <mergeCell ref="B182:C182"/>
    <mergeCell ref="K67:L67"/>
    <mergeCell ref="B83:C83"/>
    <mergeCell ref="B233:C233"/>
    <mergeCell ref="B62:C62"/>
    <mergeCell ref="B227:C227"/>
    <mergeCell ref="K108:L108"/>
    <mergeCell ref="B202:C202"/>
    <mergeCell ref="H2:H10"/>
    <mergeCell ref="B39:C39"/>
    <mergeCell ref="B70:C70"/>
    <mergeCell ref="K20:L20"/>
    <mergeCell ref="K91:L91"/>
    <mergeCell ref="K85:L85"/>
    <mergeCell ref="K84:L84"/>
    <mergeCell ref="K22:L22"/>
    <mergeCell ref="K86:L86"/>
    <mergeCell ref="B128:C128"/>
    <mergeCell ref="B226:C226"/>
    <mergeCell ref="B217:C217"/>
    <mergeCell ref="B65:C65"/>
    <mergeCell ref="B192:C192"/>
    <mergeCell ref="B198:C198"/>
    <mergeCell ref="B173:C173"/>
    <mergeCell ref="B75:C75"/>
    <mergeCell ref="B135:C135"/>
    <mergeCell ref="B180:C180"/>
  </mergeCells>
  <phoneticPr fontId="165" type="noConversion"/>
  <conditionalFormatting sqref="H13">
    <cfRule type="expression" dxfId="6" priority="15">
      <formula>"人物卡!$F$5=1"</formula>
    </cfRule>
  </conditionalFormatting>
  <conditionalFormatting sqref="H15:J23">
    <cfRule type="expression" dxfId="5" priority="1">
      <formula>"人物卡!$F$5=1"</formula>
    </cfRule>
  </conditionalFormatting>
  <conditionalFormatting sqref="I2:J11">
    <cfRule type="expression" dxfId="4" priority="14">
      <formula>"人物卡!$F$5=1"</formula>
    </cfRule>
  </conditionalFormatting>
  <dataValidations count="143">
    <dataValidation allowBlank="1" showInputMessage="1" promptTitle="介绍" prompt="罪犯的体格和相貌形形色色，有些是纯粹碰运气伺机行事，比如扒手." sqref="B33:C33" xr:uid="{00000000-0002-0000-0200-000000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R28" xr:uid="{00000000-0002-0000-0200-000001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200-000002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R3" xr:uid="{00000000-0002-0000-0200-000003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R2" xr:uid="{00000000-0002-0000-0200-000004000000}"/>
    <dataValidation allowBlank="1" showInputMessage="1" promptTitle="介绍" prompt="勤杂护工在医院的工作包括倒垃圾、打扫房间、运送病人，还有一些其他乱七八糟的工作。总之对他们的要求不比对看门人多多少。" sqref="B66:C66" xr:uid="{00000000-0002-0000-0200-000005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200-000006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200-000007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200-000008000000}"/>
    <dataValidation allowBlank="1" showInputMessage="1" promptTitle="介绍" prompt="有些则组成分工明确，会详细调查并制定计划的犯罪组织。" sqref="B31:C31" xr:uid="{00000000-0002-0000-0200-000009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200-00000A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R4" xr:uid="{00000000-0002-0000-0200-00000B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R5" xr:uid="{00000000-0002-0000-0200-00000C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_x000a_译注：原文这八项技能没有动物驯养，KP可以依自己喜好用动物驯养取代其中一项。这里在人物卡中和本职技能一样给予了星标标注" sqref="B10:C10" xr:uid="{00000000-0002-0000-0200-00000D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200-00000E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R9" xr:uid="{00000000-0002-0000-0200-00000F000000}"/>
    <dataValidation type="list" allowBlank="1" showInputMessage="1" showErrorMessage="1" sqref="R21 R22" xr:uid="{00000000-0002-0000-0200-000010000000}">
      <formula1>"鞭子,电锯,斧,剑,绞具,链枷,矛"</formula1>
    </dataValidation>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200-000011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200-000012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200-000013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200-000014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200-000015000000}"/>
    <dataValidation allowBlank="1" showInputMessage="1" showErrorMessage="1" sqref="H15:H20 H21 H22 H23 I9:J9 I10:J10 I11:J11 R23 R27" xr:uid="{00000000-0002-0000-0200-000016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R10" xr:uid="{00000000-0002-0000-0200-000017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200-000018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200-000019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200-00001A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R11" xr:uid="{00000000-0002-0000-0200-00001B000000}"/>
    <dataValidation allowBlank="1" showInputMessage="1" promptTitle="介绍" prompt="古董商通常自己开店，从自己所在的地方转卖物品，或继续扩展业务范围，通过倒卖物品到城市商店赚取利润。" sqref="B12:C12" xr:uid="{00000000-0002-0000-0200-00001C000000}"/>
    <dataValidation allowBlank="1" showInputMessage="1" showErrorMessage="1" promptTitle="Beast Training(05%)" prompt="用于命令、训练驯服动物进行简单任务的技能。这技能最常用在狗身上，但也不排除鸟、猫、猴子，或是其他（由Keeper 判定）。" sqref="N59" xr:uid="{00000000-0002-0000-0200-00001D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R12" xr:uid="{00000000-0002-0000-0200-00001E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200-00001F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R29" xr:uid="{00000000-0002-0000-0200-000020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R14" xr:uid="{00000000-0002-0000-0200-000021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200-000022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xr:uid="{00000000-0002-0000-0200-000023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200-000024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200-000025000000}"/>
    <dataValidation type="list" allowBlank="1" showInputMessage="1" showErrorMessage="1" sqref="I15 I16:I22 I23" xr:uid="{00000000-0002-0000-0200-000026000000}">
      <formula1>"×,√"</formula1>
    </dataValidation>
    <dataValidation allowBlank="1" showErrorMessage="1" errorTitle="提示" error="请输入大于等于1的整数_x000a_且不需要输入乘号或其他符号" sqref="J15 J16 J17 J18 J19 J20 J21 J22 J23" xr:uid="{00000000-0002-0000-0200-000027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R15" xr:uid="{00000000-0002-0000-0200-000028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200-000029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200-00002A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R16" xr:uid="{00000000-0002-0000-0200-00002B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200-00002C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200-00002D000000}"/>
    <dataValidation allowBlank="1" showInputMessage="1" promptTitle="介绍" prompt="也可能单打独斗，如果成功的报酬值得去费力冒险，才会和别人搭伙。" sqref="B35:C35" xr:uid="{00000000-0002-0000-0200-00002E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200-00002F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200-000030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200-000031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R17" xr:uid="{00000000-0002-0000-0200-000032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200-000033000000}"/>
    <dataValidation allowBlank="1" showInputMessage="1" promptTitle="介绍" prompt="走私一直是一个有利可图的高风险行当。走私者往往有一个合法的表面职业，比如船长飞行员或商人，以掩盖他们非法运输的行为。" sqref="B39:C39" xr:uid="{00000000-0002-0000-0200-000034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200-000035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R18" xr:uid="{00000000-0002-0000-0200-000036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200-000037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200-000038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200-000039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200-00003A000000}"/>
    <dataValidation allowBlank="1" showInputMessage="1" promptTitle="介绍" prompt="饲养员负责动物的喂养和看护，场地管理员和服务员管理其他杂务。通常饲养员会专门照看某一种动物，可以对动物使用「医学」技能。" sqref="B117:C117" xr:uid="{00000000-0002-0000-0200-00003B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200-00003C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200-00003D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200-00003E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200-00003F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200-000040000000}"/>
    <dataValidation allowBlank="1" showInputMessage="1" promptTitle="介绍" prompt="街头混混一般都是些小年轻，弄不好还在寻觅加入真正黑帮的契机。不过他们的本事也就限于偷车，盗窃商店货物，抢钱或者夜盗。" sqref="B40:C40" xr:uid="{00000000-0002-0000-0200-000041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200-000042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200-000043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200-000044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200-000045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R30" xr:uid="{00000000-0002-0000-0200-000046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R31" xr:uid="{00000000-0002-0000-0200-000047000000}"/>
    <dataValidation allowBlank="1" showErrorMessage="1" sqref="N33 R35" xr:uid="{00000000-0002-0000-0200-000048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200-000049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200-00004A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200-00004B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200-00004C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200-00004D000000}"/>
    <dataValidation allowBlank="1" showInputMessage="1" promptTitle="介绍" prompt="潜水员可能在军队执法机构或海绵采集海上救援环境保护甚至水下寻宝的民间机构工作。" sqref="B45:C45" xr:uid="{00000000-0002-0000-0200-00004E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200-00004F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200-000050000000}"/>
    <dataValidation allowBlank="1" showInputMessage="1" promptTitle="介绍" prompt="人司机则是直接受雇于个人或企业，或者是专门提供连人带车的私人司机业务的中介机构。" sqref="B48:C48" xr:uid="{00000000-0002-0000-0200-000051000000}"/>
    <dataValidation allowBlank="1" showInputMessage="1" promptTitle="介绍" prompt="专职司机可能为企业个人工作，也可能拥有自己的出租车或货车。" sqref="B49:C49" xr:uid="{00000000-0002-0000-0200-000052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200-000053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200-000054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200-000055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200-000056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200-000057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200-000058000000}"/>
    <dataValidation allowBlank="1" showInputMessage="1" promptTitle="介绍" prompt="联邦执法机构和特工种类各异。有些身着制服，比如美国司法部的人员；另外一些则穿便服，工作内容也类似警探，比如联邦调查局的人员。" sqref="B57:C57" xr:uid="{00000000-0002-0000-0200-000059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200-00005A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200-00005B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200-00005C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200-00005D000000}"/>
    <dataValidation type="list" allowBlank="1" showInputMessage="1" showErrorMessage="1" promptTitle="Diving (01%)" prompt="使用者接受过在深海游泳的使用以及维持潜水设备的训练，水下导航，合适的下潜配重，以及应对紧急情况的方法。" sqref="N60" xr:uid="{00000000-0002-0000-0200-00005E00000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200-00005F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xr:uid="{00000000-0002-0000-0200-000060000000}">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200-000061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200-000062000000}"/>
    <dataValidation allowBlank="1" showInputMessage="1" promptTitle="介绍" prompt="绅士淑女指的是有良好的教养品行、举止彬彬有礼的人。通常用来称呼上流社会（通过继承或津贴）拥有相当财富的人。_x000a_在上世纪20年代，这样的人至少要有一个仆人（管家、男仆、女仆、私人司机），还要有城市或乡村的宅第。家庭的富有并重要，因为家庭的社会地位往往比财产更被上流社会所看重。" sqref="B64:C64" xr:uid="{00000000-0002-0000-0200-000063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200-000064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200-000065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200-000066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200-000067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200-000068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200-000069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200-00006A000000}"/>
    <dataValidation allowBlank="1" showInputMessage="1" promptTitle="介绍" prompt="巡警则属于市、城镇、县治安部门或州、地区的警察机关。他们工作时可能步行、驾驶巡逻车，或者干脆坐办公室。" sqref="B92:C92" xr:uid="{00000000-0002-0000-0200-00006B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200-00006C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200-00006D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200-00006E000000}"/>
    <dataValidation allowBlank="1" showInputMessage="1" promptTitle="介绍" prompt="博物馆管理员可能负责大学或其他公共机构的大型设施，也可能负责小一些的博物馆，往往对本地的地质或者其他的内容颇有研究。" sqref="B80:C80" xr:uid="{00000000-0002-0000-0200-00006F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200-000070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200-000071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200-000072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200-000073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200-000074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200-000075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200-000076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200-000077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200-000078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200-000079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200-00007A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200-00007B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200-00007C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200-00007D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200-00007E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200-00007F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200-000080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200-000081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200-000082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200-000083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200-000084000000}"/>
    <dataValidation allowBlank="1" showInputMessage="1" promptTitle="介绍" prompt="学生可能在大学或学院学习，实习生则是正在接受宝贵的入职培训，获得最低报酬的公司员工。" sqref="B108:C108" xr:uid="{00000000-0002-0000-0200-000085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200-000086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200-000087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200-000088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200-000089000000}"/>
    <dataValidation type="list" allowBlank="1" showInputMessage="1" showErrorMessage="1" sqref="N6:N7 N21:N22 N24:N25 N49:N50" xr:uid="{00000000-0002-0000-0200-00008A000000}">
      <formula1>#REF!</formula1>
    </dataValidation>
    <dataValidation allowBlank="1" showInputMessage="1" showErrorMessage="1" promptTitle="语言水平" prompt="05%：正确辨认语言的种类_x000a_10%：可以沟通简单的概念_x000a_30%：可以了解事务上的需求_x000a_50%：可以流利使用语言_x000a_75%：可以像是当地人一样使用语言_x000a_辨认现代语言： Know掷骰_x000a_辨认灭绝人类语言：考古学或历史掷骰_x000a_辨认外星语言：克苏鲁神话或神秘学掷骰" sqref="N30:N32" xr:uid="{00000000-0002-0000-0200-00008B000000}"/>
    <dataValidation type="list" allowBlank="1" showInputMessage="1" showErrorMessage="1" sqref="R25:R26" xr:uid="{00000000-0002-0000-0200-00008C000000}">
      <formula1>"步枪/霰弹枪,冲锋枪,弓,喷射器,机枪,重武器"</formula1>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R32:R34" xr:uid="{00000000-0002-0000-0200-00008D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200-00008E000000}"/>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Z100"/>
  <sheetViews>
    <sheetView workbookViewId="0">
      <selection activeCell="E43" sqref="E43"/>
    </sheetView>
  </sheetViews>
  <sheetFormatPr defaultColWidth="10" defaultRowHeight="14.4"/>
  <cols>
    <col min="1" max="2" width="12.77734375" style="992" customWidth="1"/>
    <col min="3" max="3" width="10.77734375" style="992" customWidth="1"/>
    <col min="4" max="4" width="8.77734375" style="992" customWidth="1"/>
    <col min="5" max="104" width="40.77734375" style="992" customWidth="1"/>
  </cols>
  <sheetData>
    <row r="1" spans="1:104" ht="26.1" customHeight="1">
      <c r="A1" s="460"/>
      <c r="B1" s="850"/>
      <c r="C1" s="1542" t="s">
        <v>1228</v>
      </c>
      <c r="D1" s="1543"/>
      <c r="E1" s="1543"/>
      <c r="F1" s="1544" t="s">
        <v>1229</v>
      </c>
      <c r="G1" s="1543"/>
      <c r="H1" s="1543"/>
      <c r="I1" s="461"/>
      <c r="J1" s="461"/>
      <c r="K1" s="461"/>
      <c r="L1" s="461"/>
      <c r="M1" s="461"/>
      <c r="N1" s="461"/>
      <c r="O1" s="461"/>
      <c r="P1" s="461"/>
      <c r="Q1" s="461"/>
      <c r="R1" s="461"/>
      <c r="S1" s="461"/>
      <c r="T1" s="461"/>
      <c r="U1" s="461"/>
      <c r="V1" s="461"/>
      <c r="W1" s="461"/>
      <c r="X1" s="461"/>
      <c r="Y1" s="461"/>
      <c r="Z1" s="461"/>
      <c r="AA1" s="461"/>
      <c r="AB1" s="461"/>
      <c r="AC1" s="461"/>
      <c r="AD1" s="461"/>
      <c r="AE1" s="461"/>
      <c r="AF1" s="461"/>
      <c r="AG1" s="461"/>
      <c r="AH1" s="461"/>
      <c r="AI1" s="461"/>
      <c r="AJ1" s="461"/>
      <c r="AK1" s="461"/>
      <c r="AL1" s="461"/>
      <c r="AM1" s="461"/>
      <c r="AN1" s="461"/>
      <c r="AO1" s="461"/>
      <c r="AP1" s="461"/>
      <c r="AQ1" s="461"/>
      <c r="AR1" s="461"/>
      <c r="AS1" s="461"/>
      <c r="AT1" s="461"/>
      <c r="AU1" s="461"/>
      <c r="AV1" s="461"/>
      <c r="AW1" s="461"/>
      <c r="AX1" s="461"/>
      <c r="AY1" s="461"/>
      <c r="AZ1" s="461"/>
      <c r="BA1" s="461"/>
      <c r="BB1" s="461"/>
      <c r="BC1" s="461"/>
      <c r="BD1" s="461"/>
      <c r="BE1" s="461"/>
      <c r="BF1" s="461"/>
      <c r="BG1" s="461"/>
      <c r="BH1" s="461"/>
      <c r="BI1" s="461"/>
      <c r="BJ1" s="461"/>
      <c r="BK1" s="461"/>
      <c r="BL1" s="461"/>
      <c r="BM1" s="461"/>
      <c r="BN1" s="461"/>
      <c r="BO1" s="461"/>
      <c r="BP1" s="461"/>
      <c r="BQ1" s="461"/>
      <c r="BR1" s="461"/>
      <c r="BS1" s="461"/>
      <c r="BT1" s="461"/>
      <c r="BU1" s="461"/>
      <c r="BV1" s="461"/>
      <c r="BW1" s="461"/>
      <c r="BX1" s="461"/>
      <c r="BY1" s="461"/>
      <c r="BZ1" s="461"/>
      <c r="CA1" s="461"/>
      <c r="CB1" s="461"/>
      <c r="CC1" s="461"/>
      <c r="CD1" s="461"/>
      <c r="CE1" s="461"/>
      <c r="CF1" s="461"/>
      <c r="CG1" s="461"/>
      <c r="CH1" s="461"/>
      <c r="CI1" s="461"/>
      <c r="CJ1" s="461"/>
      <c r="CK1" s="461"/>
      <c r="CL1" s="461"/>
      <c r="CM1" s="461"/>
      <c r="CN1" s="461"/>
      <c r="CO1" s="461"/>
      <c r="CP1" s="461"/>
      <c r="CQ1" s="461"/>
      <c r="CR1" s="461"/>
      <c r="CS1" s="461"/>
      <c r="CT1" s="461"/>
      <c r="CU1" s="461"/>
      <c r="CV1" s="461"/>
      <c r="CW1" s="461"/>
      <c r="CX1" s="461"/>
      <c r="CY1" s="461"/>
      <c r="CZ1" s="461"/>
    </row>
    <row r="2" spans="1:104" s="855" customFormat="1" ht="16.350000000000001" customHeight="1">
      <c r="A2" s="853" t="s">
        <v>311</v>
      </c>
      <c r="B2" s="854" t="s">
        <v>1230</v>
      </c>
      <c r="C2" s="854" t="s">
        <v>1231</v>
      </c>
      <c r="D2" s="854" t="s">
        <v>55</v>
      </c>
      <c r="E2" s="854" t="s">
        <v>1232</v>
      </c>
      <c r="F2" s="854" t="s">
        <v>1233</v>
      </c>
      <c r="G2" s="854" t="s">
        <v>1234</v>
      </c>
      <c r="H2" s="854" t="s">
        <v>1235</v>
      </c>
      <c r="I2" s="854" t="s">
        <v>1236</v>
      </c>
      <c r="J2" s="854" t="s">
        <v>1237</v>
      </c>
      <c r="K2" s="854" t="s">
        <v>1238</v>
      </c>
      <c r="L2" s="854" t="s">
        <v>1239</v>
      </c>
      <c r="M2" s="854" t="s">
        <v>1240</v>
      </c>
      <c r="N2" s="854" t="s">
        <v>1241</v>
      </c>
      <c r="O2" s="854" t="s">
        <v>1242</v>
      </c>
      <c r="P2" s="854" t="s">
        <v>1243</v>
      </c>
      <c r="Q2" s="854" t="s">
        <v>1244</v>
      </c>
      <c r="R2" s="854" t="s">
        <v>1245</v>
      </c>
      <c r="S2" s="854" t="s">
        <v>1246</v>
      </c>
      <c r="T2" s="854" t="s">
        <v>1247</v>
      </c>
      <c r="U2" s="854" t="s">
        <v>1248</v>
      </c>
      <c r="V2" s="854" t="s">
        <v>1249</v>
      </c>
      <c r="W2" s="854" t="s">
        <v>1250</v>
      </c>
      <c r="X2" s="854" t="s">
        <v>1251</v>
      </c>
      <c r="Y2" s="854" t="s">
        <v>1252</v>
      </c>
      <c r="Z2" s="854" t="s">
        <v>1253</v>
      </c>
      <c r="AA2" s="854" t="s">
        <v>1254</v>
      </c>
      <c r="AB2" s="854" t="s">
        <v>1255</v>
      </c>
      <c r="AC2" s="854" t="s">
        <v>1256</v>
      </c>
      <c r="AD2" s="854" t="s">
        <v>1257</v>
      </c>
      <c r="AE2" s="854" t="s">
        <v>1258</v>
      </c>
      <c r="AF2" s="854" t="s">
        <v>1259</v>
      </c>
      <c r="AG2" s="854" t="s">
        <v>1260</v>
      </c>
      <c r="AH2" s="854" t="s">
        <v>1261</v>
      </c>
      <c r="AI2" s="854" t="s">
        <v>1262</v>
      </c>
      <c r="AJ2" s="854" t="s">
        <v>1263</v>
      </c>
      <c r="AK2" s="854" t="s">
        <v>1264</v>
      </c>
      <c r="AL2" s="854" t="s">
        <v>1265</v>
      </c>
      <c r="AM2" s="854" t="s">
        <v>1266</v>
      </c>
      <c r="AN2" s="854" t="s">
        <v>1267</v>
      </c>
      <c r="AO2" s="854" t="s">
        <v>1268</v>
      </c>
      <c r="AP2" s="854" t="s">
        <v>1269</v>
      </c>
      <c r="AQ2" s="854" t="s">
        <v>1270</v>
      </c>
      <c r="AR2" s="854" t="s">
        <v>1271</v>
      </c>
      <c r="AS2" s="854" t="s">
        <v>1272</v>
      </c>
      <c r="AT2" s="854" t="s">
        <v>1273</v>
      </c>
      <c r="AU2" s="854" t="s">
        <v>1274</v>
      </c>
      <c r="AV2" s="854" t="s">
        <v>1275</v>
      </c>
      <c r="AW2" s="854" t="s">
        <v>1276</v>
      </c>
      <c r="AX2" s="854" t="s">
        <v>1277</v>
      </c>
      <c r="AY2" s="854" t="s">
        <v>1278</v>
      </c>
      <c r="AZ2" s="854" t="s">
        <v>1279</v>
      </c>
      <c r="BA2" s="854" t="s">
        <v>1280</v>
      </c>
      <c r="BB2" s="854" t="s">
        <v>1281</v>
      </c>
      <c r="BC2" s="854" t="s">
        <v>1282</v>
      </c>
      <c r="BD2" s="854" t="s">
        <v>1283</v>
      </c>
      <c r="BE2" s="854" t="s">
        <v>1284</v>
      </c>
      <c r="BF2" s="854" t="s">
        <v>1285</v>
      </c>
      <c r="BG2" s="854" t="s">
        <v>1286</v>
      </c>
      <c r="BH2" s="854" t="s">
        <v>1287</v>
      </c>
      <c r="BI2" s="854" t="s">
        <v>1288</v>
      </c>
      <c r="BJ2" s="854" t="s">
        <v>1289</v>
      </c>
      <c r="BK2" s="854" t="s">
        <v>1290</v>
      </c>
      <c r="BL2" s="854" t="s">
        <v>1291</v>
      </c>
      <c r="BM2" s="854" t="s">
        <v>1292</v>
      </c>
      <c r="BN2" s="854" t="s">
        <v>1293</v>
      </c>
      <c r="BO2" s="854" t="s">
        <v>1294</v>
      </c>
      <c r="BP2" s="854" t="s">
        <v>1295</v>
      </c>
      <c r="BQ2" s="854" t="s">
        <v>1296</v>
      </c>
      <c r="BR2" s="854" t="s">
        <v>1297</v>
      </c>
      <c r="BS2" s="854" t="s">
        <v>1298</v>
      </c>
      <c r="BT2" s="854" t="s">
        <v>1299</v>
      </c>
      <c r="BU2" s="854" t="s">
        <v>1300</v>
      </c>
      <c r="BV2" s="854" t="s">
        <v>1301</v>
      </c>
      <c r="BW2" s="854" t="s">
        <v>1302</v>
      </c>
      <c r="BX2" s="854" t="s">
        <v>1303</v>
      </c>
      <c r="BY2" s="854" t="s">
        <v>1304</v>
      </c>
      <c r="BZ2" s="854" t="s">
        <v>1305</v>
      </c>
      <c r="CA2" s="854" t="s">
        <v>1306</v>
      </c>
      <c r="CB2" s="854" t="s">
        <v>1307</v>
      </c>
      <c r="CC2" s="854" t="s">
        <v>1308</v>
      </c>
      <c r="CD2" s="854" t="s">
        <v>1309</v>
      </c>
      <c r="CE2" s="854" t="s">
        <v>1310</v>
      </c>
      <c r="CF2" s="854" t="s">
        <v>1311</v>
      </c>
      <c r="CG2" s="854" t="s">
        <v>1312</v>
      </c>
      <c r="CH2" s="854" t="s">
        <v>1313</v>
      </c>
      <c r="CI2" s="854" t="s">
        <v>1314</v>
      </c>
      <c r="CJ2" s="854" t="s">
        <v>1315</v>
      </c>
      <c r="CK2" s="854" t="s">
        <v>1316</v>
      </c>
      <c r="CL2" s="854" t="s">
        <v>1317</v>
      </c>
      <c r="CM2" s="854" t="s">
        <v>1318</v>
      </c>
      <c r="CN2" s="854" t="s">
        <v>1319</v>
      </c>
      <c r="CO2" s="854" t="s">
        <v>1320</v>
      </c>
      <c r="CP2" s="854" t="s">
        <v>1321</v>
      </c>
      <c r="CQ2" s="854" t="s">
        <v>1322</v>
      </c>
      <c r="CR2" s="854" t="s">
        <v>1323</v>
      </c>
      <c r="CS2" s="854" t="s">
        <v>1324</v>
      </c>
      <c r="CT2" s="854" t="s">
        <v>1325</v>
      </c>
      <c r="CU2" s="854" t="s">
        <v>1326</v>
      </c>
      <c r="CV2" s="854" t="s">
        <v>1327</v>
      </c>
      <c r="CW2" s="854" t="s">
        <v>1328</v>
      </c>
      <c r="CX2" s="854" t="s">
        <v>1329</v>
      </c>
      <c r="CY2" s="854" t="s">
        <v>1330</v>
      </c>
      <c r="CZ2" s="854" t="s">
        <v>1331</v>
      </c>
    </row>
    <row r="3" spans="1:104" ht="16.350000000000001" customHeight="1">
      <c r="A3" s="842" t="s">
        <v>60</v>
      </c>
      <c r="B3" s="842" t="n">
        <f>C3+D3</f>
        <v>5</v>
      </c>
      <c r="C3" s="844" t="n">
        <f>SUM(E3:CZ3)</f>
        <v>0</v>
      </c>
      <c r="D3" s="843">
        <v>5</v>
      </c>
      <c r="E3" s="845" t="s">
        <v>1332</v>
      </c>
      <c r="F3" s="846"/>
      <c r="G3" s="846"/>
      <c r="H3" s="846"/>
      <c r="I3" s="846"/>
      <c r="J3" s="846"/>
      <c r="K3" s="846"/>
      <c r="L3" s="846"/>
      <c r="M3" s="846"/>
      <c r="N3" s="846"/>
      <c r="O3" s="846"/>
      <c r="P3" s="846"/>
      <c r="Q3" s="846"/>
      <c r="R3" s="846"/>
      <c r="S3" s="846"/>
      <c r="T3" s="846"/>
      <c r="U3" s="846"/>
      <c r="V3" s="846"/>
      <c r="W3" s="846"/>
      <c r="X3" s="846"/>
      <c r="Y3" s="846"/>
      <c r="Z3" s="846"/>
      <c r="AA3" s="846"/>
      <c r="AB3" s="846"/>
      <c r="AC3" s="846"/>
      <c r="AD3" s="846"/>
      <c r="AE3" s="846"/>
      <c r="AF3" s="846"/>
      <c r="AG3" s="846"/>
      <c r="AH3" s="846"/>
      <c r="AI3" s="846"/>
      <c r="AJ3" s="846"/>
      <c r="AK3" s="846"/>
      <c r="AL3" s="846"/>
      <c r="AM3" s="846"/>
      <c r="AN3" s="846"/>
      <c r="AO3" s="846"/>
      <c r="AP3" s="846"/>
      <c r="AQ3" s="846"/>
      <c r="AR3" s="846"/>
      <c r="AS3" s="846"/>
      <c r="AT3" s="846"/>
      <c r="AU3" s="846"/>
      <c r="AV3" s="846"/>
      <c r="AW3" s="846"/>
      <c r="AX3" s="846"/>
      <c r="AY3" s="846"/>
      <c r="AZ3" s="846"/>
      <c r="BA3" s="846"/>
      <c r="BB3" s="846"/>
      <c r="BC3" s="846"/>
      <c r="BD3" s="846"/>
      <c r="BE3" s="846"/>
      <c r="BF3" s="846"/>
      <c r="BG3" s="846"/>
      <c r="BH3" s="846"/>
      <c r="BI3" s="846"/>
      <c r="BJ3" s="846"/>
      <c r="BK3" s="846"/>
      <c r="BL3" s="846"/>
      <c r="BM3" s="846"/>
      <c r="BN3" s="846"/>
      <c r="BO3" s="846"/>
      <c r="BP3" s="846"/>
      <c r="BQ3" s="846"/>
      <c r="BR3" s="846"/>
      <c r="BS3" s="846"/>
      <c r="BT3" s="846"/>
      <c r="BU3" s="846"/>
      <c r="BV3" s="846"/>
      <c r="BW3" s="846"/>
      <c r="BX3" s="846"/>
      <c r="BY3" s="846"/>
      <c r="BZ3" s="846"/>
      <c r="CA3" s="846"/>
      <c r="CB3" s="846"/>
      <c r="CC3" s="846"/>
      <c r="CD3" s="846"/>
      <c r="CE3" s="846"/>
      <c r="CF3" s="846"/>
      <c r="CG3" s="846"/>
      <c r="CH3" s="846"/>
      <c r="CI3" s="846"/>
      <c r="CJ3" s="846"/>
      <c r="CK3" s="846"/>
      <c r="CL3" s="846"/>
      <c r="CM3" s="846"/>
      <c r="CN3" s="846"/>
      <c r="CO3" s="846"/>
      <c r="CP3" s="846"/>
      <c r="CQ3" s="846"/>
      <c r="CR3" s="846"/>
      <c r="CS3" s="846"/>
      <c r="CT3" s="846"/>
      <c r="CU3" s="846"/>
      <c r="CV3" s="846"/>
      <c r="CW3" s="846"/>
      <c r="CX3" s="846"/>
      <c r="CY3" s="846"/>
      <c r="CZ3" s="846"/>
    </row>
    <row r="4" spans="1:104" ht="16.350000000000001" customHeight="1">
      <c r="A4" s="842" t="s">
        <v>62</v>
      </c>
      <c r="B4" s="842" t="n">
        <f>C4+D4</f>
        <v>1</v>
      </c>
      <c r="C4" s="844" t="n">
        <f>SUM(E4:CZ4)</f>
        <v>0</v>
      </c>
      <c r="D4" s="843">
        <v>1</v>
      </c>
      <c r="E4" s="845" t="s">
        <v>1333</v>
      </c>
      <c r="F4" s="846"/>
      <c r="G4" s="846"/>
      <c r="H4" s="846"/>
      <c r="I4" s="846"/>
      <c r="J4" s="846"/>
      <c r="K4" s="846"/>
      <c r="L4" s="846"/>
      <c r="M4" s="846"/>
      <c r="N4" s="846"/>
      <c r="O4" s="846"/>
      <c r="P4" s="846"/>
      <c r="Q4" s="846"/>
      <c r="R4" s="846"/>
      <c r="S4" s="846"/>
      <c r="T4" s="846"/>
      <c r="U4" s="846"/>
      <c r="V4" s="846"/>
      <c r="W4" s="846"/>
      <c r="X4" s="846"/>
      <c r="Y4" s="846"/>
      <c r="Z4" s="846"/>
      <c r="AA4" s="846"/>
      <c r="AB4" s="846"/>
      <c r="AC4" s="846"/>
      <c r="AD4" s="846"/>
      <c r="AE4" s="846"/>
      <c r="AF4" s="846"/>
      <c r="AG4" s="846"/>
      <c r="AH4" s="846"/>
      <c r="AI4" s="846"/>
      <c r="AJ4" s="846"/>
      <c r="AK4" s="846"/>
      <c r="AL4" s="846"/>
      <c r="AM4" s="846"/>
      <c r="AN4" s="846"/>
      <c r="AO4" s="846"/>
      <c r="AP4" s="846"/>
      <c r="AQ4" s="846"/>
      <c r="AR4" s="846"/>
      <c r="AS4" s="846"/>
      <c r="AT4" s="846"/>
      <c r="AU4" s="846"/>
      <c r="AV4" s="846"/>
      <c r="AW4" s="846"/>
      <c r="AX4" s="846"/>
      <c r="AY4" s="846"/>
      <c r="AZ4" s="846"/>
      <c r="BA4" s="846"/>
      <c r="BB4" s="846"/>
      <c r="BC4" s="846"/>
      <c r="BD4" s="846"/>
      <c r="BE4" s="846"/>
      <c r="BF4" s="846"/>
      <c r="BG4" s="846"/>
      <c r="BH4" s="846"/>
      <c r="BI4" s="846"/>
      <c r="BJ4" s="846"/>
      <c r="BK4" s="846"/>
      <c r="BL4" s="846"/>
      <c r="BM4" s="846"/>
      <c r="BN4" s="846"/>
      <c r="BO4" s="846"/>
      <c r="BP4" s="846"/>
      <c r="BQ4" s="846"/>
      <c r="BR4" s="846"/>
      <c r="BS4" s="846"/>
      <c r="BT4" s="846"/>
      <c r="BU4" s="846"/>
      <c r="BV4" s="846"/>
      <c r="BW4" s="846"/>
      <c r="BX4" s="846"/>
      <c r="BY4" s="846"/>
      <c r="BZ4" s="846"/>
      <c r="CA4" s="846"/>
      <c r="CB4" s="846"/>
      <c r="CC4" s="846"/>
      <c r="CD4" s="846"/>
      <c r="CE4" s="846"/>
      <c r="CF4" s="846"/>
      <c r="CG4" s="846"/>
      <c r="CH4" s="846"/>
      <c r="CI4" s="846"/>
      <c r="CJ4" s="846"/>
      <c r="CK4" s="846"/>
      <c r="CL4" s="846"/>
      <c r="CM4" s="846"/>
      <c r="CN4" s="846"/>
      <c r="CO4" s="846"/>
      <c r="CP4" s="846"/>
      <c r="CQ4" s="846"/>
      <c r="CR4" s="846"/>
      <c r="CS4" s="846"/>
      <c r="CT4" s="846"/>
      <c r="CU4" s="846"/>
      <c r="CV4" s="846"/>
      <c r="CW4" s="846"/>
      <c r="CX4" s="846"/>
      <c r="CY4" s="846"/>
      <c r="CZ4" s="846"/>
    </row>
    <row r="5" spans="1:104" ht="16.350000000000001" customHeight="1">
      <c r="A5" s="842" t="s">
        <v>66</v>
      </c>
      <c r="B5" s="842" t="n">
        <f>C5+D5</f>
        <v>5</v>
      </c>
      <c r="C5" s="844" t="n">
        <f>SUM(E5:CZ5)</f>
        <v>0</v>
      </c>
      <c r="D5" s="843">
        <v>5</v>
      </c>
      <c r="E5" s="845">
        <v>0</v>
      </c>
      <c r="F5" s="846"/>
      <c r="G5" s="846"/>
      <c r="H5" s="846"/>
      <c r="I5" s="846"/>
      <c r="J5" s="846"/>
      <c r="K5" s="846"/>
      <c r="L5" s="846"/>
      <c r="M5" s="846"/>
      <c r="N5" s="846"/>
      <c r="O5" s="846"/>
      <c r="P5" s="846"/>
      <c r="Q5" s="846"/>
      <c r="R5" s="846"/>
      <c r="S5" s="846"/>
      <c r="T5" s="846"/>
      <c r="U5" s="846"/>
      <c r="V5" s="846"/>
      <c r="W5" s="846"/>
      <c r="X5" s="846"/>
      <c r="Y5" s="846"/>
      <c r="Z5" s="846"/>
      <c r="AA5" s="846"/>
      <c r="AB5" s="846"/>
      <c r="AC5" s="846"/>
      <c r="AD5" s="846"/>
      <c r="AE5" s="846"/>
      <c r="AF5" s="846"/>
      <c r="AG5" s="846"/>
      <c r="AH5" s="846"/>
      <c r="AI5" s="846"/>
      <c r="AJ5" s="846"/>
      <c r="AK5" s="846"/>
      <c r="AL5" s="846"/>
      <c r="AM5" s="846"/>
      <c r="AN5" s="846"/>
      <c r="AO5" s="846"/>
      <c r="AP5" s="846"/>
      <c r="AQ5" s="846"/>
      <c r="AR5" s="846"/>
      <c r="AS5" s="846"/>
      <c r="AT5" s="846"/>
      <c r="AU5" s="846"/>
      <c r="AV5" s="846"/>
      <c r="AW5" s="846"/>
      <c r="AX5" s="846"/>
      <c r="AY5" s="846"/>
      <c r="AZ5" s="846"/>
      <c r="BA5" s="846"/>
      <c r="BB5" s="846"/>
      <c r="BC5" s="846"/>
      <c r="BD5" s="846"/>
      <c r="BE5" s="846"/>
      <c r="BF5" s="846"/>
      <c r="BG5" s="846"/>
      <c r="BH5" s="846"/>
      <c r="BI5" s="846"/>
      <c r="BJ5" s="846"/>
      <c r="BK5" s="846"/>
      <c r="BL5" s="846"/>
      <c r="BM5" s="846"/>
      <c r="BN5" s="846"/>
      <c r="BO5" s="846"/>
      <c r="BP5" s="846"/>
      <c r="BQ5" s="846"/>
      <c r="BR5" s="846"/>
      <c r="BS5" s="846"/>
      <c r="BT5" s="846"/>
      <c r="BU5" s="846"/>
      <c r="BV5" s="846"/>
      <c r="BW5" s="846"/>
      <c r="BX5" s="846"/>
      <c r="BY5" s="846"/>
      <c r="BZ5" s="846"/>
      <c r="CA5" s="846"/>
      <c r="CB5" s="846"/>
      <c r="CC5" s="846"/>
      <c r="CD5" s="846"/>
      <c r="CE5" s="846"/>
      <c r="CF5" s="846"/>
      <c r="CG5" s="846"/>
      <c r="CH5" s="846"/>
      <c r="CI5" s="846"/>
      <c r="CJ5" s="846"/>
      <c r="CK5" s="846"/>
      <c r="CL5" s="846"/>
      <c r="CM5" s="846"/>
      <c r="CN5" s="846"/>
      <c r="CO5" s="846"/>
      <c r="CP5" s="846"/>
      <c r="CQ5" s="846"/>
      <c r="CR5" s="846"/>
      <c r="CS5" s="846"/>
      <c r="CT5" s="846"/>
      <c r="CU5" s="846"/>
      <c r="CV5" s="846"/>
      <c r="CW5" s="846"/>
      <c r="CX5" s="846"/>
      <c r="CY5" s="846"/>
      <c r="CZ5" s="846"/>
    </row>
    <row r="6" spans="1:104" ht="16.350000000000001" customHeight="1">
      <c r="A6" s="842" t="s">
        <v>69</v>
      </c>
      <c r="B6" s="842" t="n">
        <f>C6+D6</f>
        <v>1</v>
      </c>
      <c r="C6" s="844" t="n">
        <f>SUM(E6:CZ6)</f>
        <v>0</v>
      </c>
      <c r="D6" s="843">
        <v>1</v>
      </c>
      <c r="E6" s="845">
        <v>0</v>
      </c>
      <c r="F6" s="846"/>
      <c r="G6" s="846"/>
      <c r="H6" s="846"/>
      <c r="I6" s="846"/>
      <c r="J6" s="846"/>
      <c r="K6" s="846"/>
      <c r="L6" s="846"/>
      <c r="M6" s="846"/>
      <c r="N6" s="846"/>
      <c r="O6" s="846"/>
      <c r="P6" s="846"/>
      <c r="Q6" s="846"/>
      <c r="R6" s="846"/>
      <c r="S6" s="846"/>
      <c r="T6" s="846"/>
      <c r="U6" s="846"/>
      <c r="V6" s="846"/>
      <c r="W6" s="846"/>
      <c r="X6" s="846"/>
      <c r="Y6" s="846"/>
      <c r="Z6" s="846"/>
      <c r="AA6" s="846"/>
      <c r="AB6" s="846"/>
      <c r="AC6" s="846"/>
      <c r="AD6" s="846"/>
      <c r="AE6" s="846"/>
      <c r="AF6" s="846"/>
      <c r="AG6" s="846"/>
      <c r="AH6" s="846"/>
      <c r="AI6" s="846"/>
      <c r="AJ6" s="846"/>
      <c r="AK6" s="846"/>
      <c r="AL6" s="846"/>
      <c r="AM6" s="846"/>
      <c r="AN6" s="846"/>
      <c r="AO6" s="846"/>
      <c r="AP6" s="846"/>
      <c r="AQ6" s="846"/>
      <c r="AR6" s="846"/>
      <c r="AS6" s="846"/>
      <c r="AT6" s="846"/>
      <c r="AU6" s="846"/>
      <c r="AV6" s="846"/>
      <c r="AW6" s="846"/>
      <c r="AX6" s="846"/>
      <c r="AY6" s="846"/>
      <c r="AZ6" s="846"/>
      <c r="BA6" s="846"/>
      <c r="BB6" s="846"/>
      <c r="BC6" s="846"/>
      <c r="BD6" s="846"/>
      <c r="BE6" s="846"/>
      <c r="BF6" s="846"/>
      <c r="BG6" s="846"/>
      <c r="BH6" s="846"/>
      <c r="BI6" s="846"/>
      <c r="BJ6" s="846"/>
      <c r="BK6" s="846"/>
      <c r="BL6" s="846"/>
      <c r="BM6" s="846"/>
      <c r="BN6" s="846"/>
      <c r="BO6" s="846"/>
      <c r="BP6" s="846"/>
      <c r="BQ6" s="846"/>
      <c r="BR6" s="846"/>
      <c r="BS6" s="846"/>
      <c r="BT6" s="846"/>
      <c r="BU6" s="846"/>
      <c r="BV6" s="846"/>
      <c r="BW6" s="846"/>
      <c r="BX6" s="846"/>
      <c r="BY6" s="846"/>
      <c r="BZ6" s="846"/>
      <c r="CA6" s="846"/>
      <c r="CB6" s="846"/>
      <c r="CC6" s="846"/>
      <c r="CD6" s="846"/>
      <c r="CE6" s="846"/>
      <c r="CF6" s="846"/>
      <c r="CG6" s="846"/>
      <c r="CH6" s="846"/>
      <c r="CI6" s="846"/>
      <c r="CJ6" s="846"/>
      <c r="CK6" s="846"/>
      <c r="CL6" s="846"/>
      <c r="CM6" s="846"/>
      <c r="CN6" s="846"/>
      <c r="CO6" s="846"/>
      <c r="CP6" s="846"/>
      <c r="CQ6" s="846"/>
      <c r="CR6" s="846"/>
      <c r="CS6" s="846"/>
      <c r="CT6" s="846"/>
      <c r="CU6" s="846"/>
      <c r="CV6" s="846"/>
      <c r="CW6" s="846"/>
      <c r="CX6" s="846"/>
      <c r="CY6" s="846"/>
      <c r="CZ6" s="846"/>
    </row>
    <row r="7" spans="1:104" ht="16.350000000000001" customHeight="1">
      <c r="A7" s="842" t="s">
        <v>71</v>
      </c>
      <c r="B7" s="842" t="n">
        <f>C7+D7</f>
        <v>5</v>
      </c>
      <c r="C7" s="844" t="n">
        <f>SUM(E7:CZ7)</f>
        <v>0</v>
      </c>
      <c r="D7" s="843">
        <v>5</v>
      </c>
      <c r="E7" s="845">
        <v>0</v>
      </c>
      <c r="F7" s="846"/>
      <c r="G7" s="846"/>
      <c r="H7" s="846"/>
      <c r="I7" s="846"/>
      <c r="J7" s="846"/>
      <c r="K7" s="846"/>
      <c r="L7" s="846"/>
      <c r="M7" s="846"/>
      <c r="N7" s="846"/>
      <c r="O7" s="846"/>
      <c r="P7" s="846"/>
      <c r="Q7" s="846"/>
      <c r="R7" s="846"/>
      <c r="S7" s="846"/>
      <c r="T7" s="846"/>
      <c r="U7" s="846"/>
      <c r="V7" s="846"/>
      <c r="W7" s="846"/>
      <c r="X7" s="846"/>
      <c r="Y7" s="846"/>
      <c r="Z7" s="846"/>
      <c r="AA7" s="846"/>
      <c r="AB7" s="846"/>
      <c r="AC7" s="846"/>
      <c r="AD7" s="846"/>
      <c r="AE7" s="846"/>
      <c r="AF7" s="846"/>
      <c r="AG7" s="846"/>
      <c r="AH7" s="846"/>
      <c r="AI7" s="846"/>
      <c r="AJ7" s="846"/>
      <c r="AK7" s="846"/>
      <c r="AL7" s="846"/>
      <c r="AM7" s="846"/>
      <c r="AN7" s="846"/>
      <c r="AO7" s="846"/>
      <c r="AP7" s="846"/>
      <c r="AQ7" s="846"/>
      <c r="AR7" s="846"/>
      <c r="AS7" s="846"/>
      <c r="AT7" s="846"/>
      <c r="AU7" s="846"/>
      <c r="AV7" s="846"/>
      <c r="AW7" s="846"/>
      <c r="AX7" s="846"/>
      <c r="AY7" s="846"/>
      <c r="AZ7" s="846"/>
      <c r="BA7" s="846"/>
      <c r="BB7" s="846"/>
      <c r="BC7" s="846"/>
      <c r="BD7" s="846"/>
      <c r="BE7" s="846"/>
      <c r="BF7" s="846"/>
      <c r="BG7" s="846"/>
      <c r="BH7" s="846"/>
      <c r="BI7" s="846"/>
      <c r="BJ7" s="846"/>
      <c r="BK7" s="846"/>
      <c r="BL7" s="846"/>
      <c r="BM7" s="846"/>
      <c r="BN7" s="846"/>
      <c r="BO7" s="846"/>
      <c r="BP7" s="846"/>
      <c r="BQ7" s="846"/>
      <c r="BR7" s="846"/>
      <c r="BS7" s="846"/>
      <c r="BT7" s="846"/>
      <c r="BU7" s="846"/>
      <c r="BV7" s="846"/>
      <c r="BW7" s="846"/>
      <c r="BX7" s="846"/>
      <c r="BY7" s="846"/>
      <c r="BZ7" s="846"/>
      <c r="CA7" s="846"/>
      <c r="CB7" s="846"/>
      <c r="CC7" s="846"/>
      <c r="CD7" s="846"/>
      <c r="CE7" s="846"/>
      <c r="CF7" s="846"/>
      <c r="CG7" s="846"/>
      <c r="CH7" s="846"/>
      <c r="CI7" s="846"/>
      <c r="CJ7" s="846"/>
      <c r="CK7" s="846"/>
      <c r="CL7" s="846"/>
      <c r="CM7" s="846"/>
      <c r="CN7" s="846"/>
      <c r="CO7" s="846"/>
      <c r="CP7" s="846"/>
      <c r="CQ7" s="846"/>
      <c r="CR7" s="846"/>
      <c r="CS7" s="846"/>
      <c r="CT7" s="846"/>
      <c r="CU7" s="846"/>
      <c r="CV7" s="846"/>
      <c r="CW7" s="846"/>
      <c r="CX7" s="846"/>
      <c r="CY7" s="846"/>
      <c r="CZ7" s="846"/>
    </row>
    <row r="8" spans="1:104" ht="16.350000000000001" customHeight="1">
      <c r="A8" s="842" t="s">
        <v>73</v>
      </c>
      <c r="B8" s="842" t="n">
        <f>C8+D8</f>
        <v>5</v>
      </c>
      <c r="C8" s="844" t="n">
        <f>SUM(E8:CZ8)</f>
        <v>0</v>
      </c>
      <c r="D8" s="843">
        <v>5</v>
      </c>
      <c r="E8" s="845" t="s">
        <v>1334</v>
      </c>
      <c r="F8" s="846"/>
      <c r="G8" s="846"/>
      <c r="H8" s="846"/>
      <c r="I8" s="846"/>
      <c r="J8" s="846"/>
      <c r="K8" s="846"/>
      <c r="L8" s="846"/>
      <c r="M8" s="846"/>
      <c r="N8" s="846"/>
      <c r="O8" s="846"/>
      <c r="P8" s="846"/>
      <c r="Q8" s="846"/>
      <c r="R8" s="846"/>
      <c r="S8" s="846"/>
      <c r="T8" s="846"/>
      <c r="U8" s="846"/>
      <c r="V8" s="846"/>
      <c r="W8" s="846"/>
      <c r="X8" s="846"/>
      <c r="Y8" s="846"/>
      <c r="Z8" s="846"/>
      <c r="AA8" s="846"/>
      <c r="AB8" s="846"/>
      <c r="AC8" s="846"/>
      <c r="AD8" s="846"/>
      <c r="AE8" s="846"/>
      <c r="AF8" s="846"/>
      <c r="AG8" s="846"/>
      <c r="AH8" s="846"/>
      <c r="AI8" s="846"/>
      <c r="AJ8" s="846"/>
      <c r="AK8" s="846"/>
      <c r="AL8" s="846"/>
      <c r="AM8" s="846"/>
      <c r="AN8" s="846"/>
      <c r="AO8" s="846"/>
      <c r="AP8" s="846"/>
      <c r="AQ8" s="846"/>
      <c r="AR8" s="846"/>
      <c r="AS8" s="846"/>
      <c r="AT8" s="846"/>
      <c r="AU8" s="846"/>
      <c r="AV8" s="846"/>
      <c r="AW8" s="846"/>
      <c r="AX8" s="846"/>
      <c r="AY8" s="846"/>
      <c r="AZ8" s="846"/>
      <c r="BA8" s="846"/>
      <c r="BB8" s="846"/>
      <c r="BC8" s="846"/>
      <c r="BD8" s="846"/>
      <c r="BE8" s="846"/>
      <c r="BF8" s="846"/>
      <c r="BG8" s="846"/>
      <c r="BH8" s="846"/>
      <c r="BI8" s="846"/>
      <c r="BJ8" s="846"/>
      <c r="BK8" s="846"/>
      <c r="BL8" s="846"/>
      <c r="BM8" s="846"/>
      <c r="BN8" s="846"/>
      <c r="BO8" s="846"/>
      <c r="BP8" s="846"/>
      <c r="BQ8" s="846"/>
      <c r="BR8" s="846"/>
      <c r="BS8" s="846"/>
      <c r="BT8" s="846"/>
      <c r="BU8" s="846"/>
      <c r="BV8" s="846"/>
      <c r="BW8" s="846"/>
      <c r="BX8" s="846"/>
      <c r="BY8" s="846"/>
      <c r="BZ8" s="846"/>
      <c r="CA8" s="846"/>
      <c r="CB8" s="846"/>
      <c r="CC8" s="846"/>
      <c r="CD8" s="846"/>
      <c r="CE8" s="846"/>
      <c r="CF8" s="846"/>
      <c r="CG8" s="846"/>
      <c r="CH8" s="846"/>
      <c r="CI8" s="846"/>
      <c r="CJ8" s="846"/>
      <c r="CK8" s="846"/>
      <c r="CL8" s="846"/>
      <c r="CM8" s="846"/>
      <c r="CN8" s="846"/>
      <c r="CO8" s="846"/>
      <c r="CP8" s="846"/>
      <c r="CQ8" s="846"/>
      <c r="CR8" s="846"/>
      <c r="CS8" s="846"/>
      <c r="CT8" s="846"/>
      <c r="CU8" s="846"/>
      <c r="CV8" s="846"/>
      <c r="CW8" s="846"/>
      <c r="CX8" s="846"/>
      <c r="CY8" s="846"/>
      <c r="CZ8" s="846"/>
    </row>
    <row r="9" spans="1:104" ht="16.350000000000001" customHeight="1">
      <c r="A9" s="842" t="s">
        <v>75</v>
      </c>
      <c r="B9" s="842" t="n">
        <f>C9+D9</f>
        <v>5</v>
      </c>
      <c r="C9" s="844" t="n">
        <f>SUM(E9:CZ9)</f>
        <v>0</v>
      </c>
      <c r="D9" s="843">
        <v>5</v>
      </c>
      <c r="E9" s="845"/>
      <c r="F9" s="846"/>
      <c r="G9" s="846"/>
      <c r="H9" s="846"/>
      <c r="I9" s="846"/>
      <c r="J9" s="846"/>
      <c r="K9" s="846"/>
      <c r="L9" s="846"/>
      <c r="M9" s="846"/>
      <c r="N9" s="846"/>
      <c r="O9" s="846"/>
      <c r="P9" s="846"/>
      <c r="Q9" s="846"/>
      <c r="R9" s="846"/>
      <c r="S9" s="846"/>
      <c r="T9" s="846"/>
      <c r="U9" s="846"/>
      <c r="V9" s="846"/>
      <c r="W9" s="846"/>
      <c r="X9" s="846"/>
      <c r="Y9" s="846"/>
      <c r="Z9" s="846"/>
      <c r="AA9" s="846"/>
      <c r="AB9" s="846"/>
      <c r="AC9" s="846"/>
      <c r="AD9" s="846"/>
      <c r="AE9" s="846"/>
      <c r="AF9" s="846"/>
      <c r="AG9" s="846"/>
      <c r="AH9" s="846"/>
      <c r="AI9" s="846"/>
      <c r="AJ9" s="846"/>
      <c r="AK9" s="846"/>
      <c r="AL9" s="846"/>
      <c r="AM9" s="846"/>
      <c r="AN9" s="846"/>
      <c r="AO9" s="846"/>
      <c r="AP9" s="846"/>
      <c r="AQ9" s="846"/>
      <c r="AR9" s="846"/>
      <c r="AS9" s="846"/>
      <c r="AT9" s="846"/>
      <c r="AU9" s="846"/>
      <c r="AV9" s="846"/>
      <c r="AW9" s="846"/>
      <c r="AX9" s="846"/>
      <c r="AY9" s="846"/>
      <c r="AZ9" s="846"/>
      <c r="BA9" s="846"/>
      <c r="BB9" s="846"/>
      <c r="BC9" s="846"/>
      <c r="BD9" s="846"/>
      <c r="BE9" s="846"/>
      <c r="BF9" s="846"/>
      <c r="BG9" s="846"/>
      <c r="BH9" s="846"/>
      <c r="BI9" s="846"/>
      <c r="BJ9" s="846"/>
      <c r="BK9" s="846"/>
      <c r="BL9" s="846"/>
      <c r="BM9" s="846"/>
      <c r="BN9" s="846"/>
      <c r="BO9" s="846"/>
      <c r="BP9" s="846"/>
      <c r="BQ9" s="846"/>
      <c r="BR9" s="846"/>
      <c r="BS9" s="846"/>
      <c r="BT9" s="846"/>
      <c r="BU9" s="846"/>
      <c r="BV9" s="846"/>
      <c r="BW9" s="846"/>
      <c r="BX9" s="846"/>
      <c r="BY9" s="846"/>
      <c r="BZ9" s="846"/>
      <c r="CA9" s="846"/>
      <c r="CB9" s="846"/>
      <c r="CC9" s="846"/>
      <c r="CD9" s="846"/>
      <c r="CE9" s="846"/>
      <c r="CF9" s="846"/>
      <c r="CG9" s="846"/>
      <c r="CH9" s="846"/>
      <c r="CI9" s="846"/>
      <c r="CJ9" s="846"/>
      <c r="CK9" s="846"/>
      <c r="CL9" s="846"/>
      <c r="CM9" s="846"/>
      <c r="CN9" s="846"/>
      <c r="CO9" s="846"/>
      <c r="CP9" s="846"/>
      <c r="CQ9" s="846"/>
      <c r="CR9" s="846"/>
      <c r="CS9" s="846"/>
      <c r="CT9" s="846"/>
      <c r="CU9" s="846"/>
      <c r="CV9" s="846"/>
      <c r="CW9" s="846"/>
      <c r="CX9" s="846"/>
      <c r="CY9" s="846"/>
      <c r="CZ9" s="846"/>
    </row>
    <row r="10" spans="1:104" ht="16.350000000000001" customHeight="1">
      <c r="A10" s="842" t="s">
        <v>78</v>
      </c>
      <c r="B10" s="842" t="n">
        <f>C10+D10</f>
        <v>15</v>
      </c>
      <c r="C10" s="844" t="n">
        <f>SUM(E10:CZ10)</f>
        <v>0</v>
      </c>
      <c r="D10" s="843">
        <v>15</v>
      </c>
      <c r="E10" s="845"/>
      <c r="F10" s="846"/>
      <c r="G10" s="846"/>
      <c r="H10" s="846"/>
      <c r="I10" s="846"/>
      <c r="J10" s="846"/>
      <c r="K10" s="846"/>
      <c r="L10" s="846"/>
      <c r="M10" s="846"/>
      <c r="N10" s="846"/>
      <c r="O10" s="846"/>
      <c r="P10" s="846"/>
      <c r="Q10" s="846"/>
      <c r="R10" s="846"/>
      <c r="S10" s="846"/>
      <c r="T10" s="846"/>
      <c r="U10" s="846"/>
      <c r="V10" s="846"/>
      <c r="W10" s="846"/>
      <c r="X10" s="846"/>
      <c r="Y10" s="846"/>
      <c r="Z10" s="846"/>
      <c r="AA10" s="846"/>
      <c r="AB10" s="846"/>
      <c r="AC10" s="846"/>
      <c r="AD10" s="846"/>
      <c r="AE10" s="846"/>
      <c r="AF10" s="846"/>
      <c r="AG10" s="846"/>
      <c r="AH10" s="846"/>
      <c r="AI10" s="846"/>
      <c r="AJ10" s="846"/>
      <c r="AK10" s="846"/>
      <c r="AL10" s="846"/>
      <c r="AM10" s="846"/>
      <c r="AN10" s="846"/>
      <c r="AO10" s="846"/>
      <c r="AP10" s="846"/>
      <c r="AQ10" s="846"/>
      <c r="AR10" s="846"/>
      <c r="AS10" s="846"/>
      <c r="AT10" s="846"/>
      <c r="AU10" s="846"/>
      <c r="AV10" s="846"/>
      <c r="AW10" s="846"/>
      <c r="AX10" s="846"/>
      <c r="AY10" s="846"/>
      <c r="AZ10" s="846"/>
      <c r="BA10" s="846"/>
      <c r="BB10" s="846"/>
      <c r="BC10" s="846"/>
      <c r="BD10" s="846"/>
      <c r="BE10" s="846"/>
      <c r="BF10" s="846"/>
      <c r="BG10" s="846"/>
      <c r="BH10" s="846"/>
      <c r="BI10" s="846"/>
      <c r="BJ10" s="846"/>
      <c r="BK10" s="846"/>
      <c r="BL10" s="846"/>
      <c r="BM10" s="846"/>
      <c r="BN10" s="846"/>
      <c r="BO10" s="846"/>
      <c r="BP10" s="846"/>
      <c r="BQ10" s="846"/>
      <c r="BR10" s="846"/>
      <c r="BS10" s="846"/>
      <c r="BT10" s="846"/>
      <c r="BU10" s="846"/>
      <c r="BV10" s="846"/>
      <c r="BW10" s="846"/>
      <c r="BX10" s="846"/>
      <c r="BY10" s="846"/>
      <c r="BZ10" s="846"/>
      <c r="CA10" s="846"/>
      <c r="CB10" s="846"/>
      <c r="CC10" s="846"/>
      <c r="CD10" s="846"/>
      <c r="CE10" s="846"/>
      <c r="CF10" s="846"/>
      <c r="CG10" s="846"/>
      <c r="CH10" s="846"/>
      <c r="CI10" s="846"/>
      <c r="CJ10" s="846"/>
      <c r="CK10" s="846"/>
      <c r="CL10" s="846"/>
      <c r="CM10" s="846"/>
      <c r="CN10" s="846"/>
      <c r="CO10" s="846"/>
      <c r="CP10" s="846"/>
      <c r="CQ10" s="846"/>
      <c r="CR10" s="846"/>
      <c r="CS10" s="846"/>
      <c r="CT10" s="846"/>
      <c r="CU10" s="846"/>
      <c r="CV10" s="846"/>
      <c r="CW10" s="846"/>
      <c r="CX10" s="846"/>
      <c r="CY10" s="846"/>
      <c r="CZ10" s="846"/>
    </row>
    <row r="11" spans="1:104" ht="16.350000000000001" customHeight="1">
      <c r="A11" s="842" t="s">
        <v>81</v>
      </c>
      <c r="B11" s="842" t="n">
        <f>C11+D11</f>
        <v>20</v>
      </c>
      <c r="C11" s="844" t="n">
        <f>SUM(E11:CZ11)</f>
        <v>0</v>
      </c>
      <c r="D11" s="843">
        <v>20</v>
      </c>
      <c r="E11" s="845" t="s">
        <v>1335</v>
      </c>
      <c r="F11" s="846"/>
      <c r="G11" s="846"/>
      <c r="H11" s="846"/>
      <c r="I11" s="846"/>
      <c r="J11" s="846"/>
      <c r="K11" s="846"/>
      <c r="L11" s="846"/>
      <c r="M11" s="846"/>
      <c r="N11" s="846"/>
      <c r="O11" s="846"/>
      <c r="P11" s="846"/>
      <c r="Q11" s="846"/>
      <c r="R11" s="846"/>
      <c r="S11" s="846"/>
      <c r="T11" s="846"/>
      <c r="U11" s="846"/>
      <c r="V11" s="846"/>
      <c r="W11" s="846"/>
      <c r="X11" s="846"/>
      <c r="Y11" s="846"/>
      <c r="Z11" s="846"/>
      <c r="AA11" s="846"/>
      <c r="AB11" s="846"/>
      <c r="AC11" s="846"/>
      <c r="AD11" s="846"/>
      <c r="AE11" s="846"/>
      <c r="AF11" s="846"/>
      <c r="AG11" s="846"/>
      <c r="AH11" s="846"/>
      <c r="AI11" s="846"/>
      <c r="AJ11" s="846"/>
      <c r="AK11" s="846"/>
      <c r="AL11" s="846"/>
      <c r="AM11" s="846"/>
      <c r="AN11" s="846"/>
      <c r="AO11" s="846"/>
      <c r="AP11" s="846"/>
      <c r="AQ11" s="846"/>
      <c r="AR11" s="846"/>
      <c r="AS11" s="846"/>
      <c r="AT11" s="846"/>
      <c r="AU11" s="846"/>
      <c r="AV11" s="846"/>
      <c r="AW11" s="846"/>
      <c r="AX11" s="846"/>
      <c r="AY11" s="846"/>
      <c r="AZ11" s="846"/>
      <c r="BA11" s="846"/>
      <c r="BB11" s="846"/>
      <c r="BC11" s="846"/>
      <c r="BD11" s="846"/>
      <c r="BE11" s="846"/>
      <c r="BF11" s="846"/>
      <c r="BG11" s="846"/>
      <c r="BH11" s="846"/>
      <c r="BI11" s="846"/>
      <c r="BJ11" s="846"/>
      <c r="BK11" s="846"/>
      <c r="BL11" s="846"/>
      <c r="BM11" s="846"/>
      <c r="BN11" s="846"/>
      <c r="BO11" s="846"/>
      <c r="BP11" s="846"/>
      <c r="BQ11" s="846"/>
      <c r="BR11" s="846"/>
      <c r="BS11" s="846"/>
      <c r="BT11" s="846"/>
      <c r="BU11" s="846"/>
      <c r="BV11" s="846"/>
      <c r="BW11" s="846"/>
      <c r="BX11" s="846"/>
      <c r="BY11" s="846"/>
      <c r="BZ11" s="846"/>
      <c r="CA11" s="846"/>
      <c r="CB11" s="846"/>
      <c r="CC11" s="846"/>
      <c r="CD11" s="846"/>
      <c r="CE11" s="846"/>
      <c r="CF11" s="846"/>
      <c r="CG11" s="846"/>
      <c r="CH11" s="846"/>
      <c r="CI11" s="846"/>
      <c r="CJ11" s="846"/>
      <c r="CK11" s="846"/>
      <c r="CL11" s="846"/>
      <c r="CM11" s="846"/>
      <c r="CN11" s="846"/>
      <c r="CO11" s="846"/>
      <c r="CP11" s="846"/>
      <c r="CQ11" s="846"/>
      <c r="CR11" s="846"/>
      <c r="CS11" s="846"/>
      <c r="CT11" s="846"/>
      <c r="CU11" s="846"/>
      <c r="CV11" s="846"/>
      <c r="CW11" s="846"/>
      <c r="CX11" s="846"/>
      <c r="CY11" s="846"/>
      <c r="CZ11" s="846"/>
    </row>
    <row r="12" spans="1:104" ht="16.350000000000001" customHeight="1">
      <c r="A12" s="842" t="s">
        <v>86</v>
      </c>
      <c r="B12" s="842" t="n">
        <f>C12+D12</f>
        <v>5</v>
      </c>
      <c r="C12" s="844" t="n">
        <f>SUM(E12:CZ12)</f>
        <v>0</v>
      </c>
      <c r="D12" s="843">
        <v>5</v>
      </c>
      <c r="E12" s="845" t="s">
        <v>1336</v>
      </c>
      <c r="F12" s="846"/>
      <c r="G12" s="846"/>
      <c r="H12" s="846"/>
      <c r="I12" s="846"/>
      <c r="J12" s="846"/>
      <c r="K12" s="846"/>
      <c r="L12" s="846"/>
      <c r="M12" s="846"/>
      <c r="N12" s="846"/>
      <c r="O12" s="846"/>
      <c r="P12" s="846"/>
      <c r="Q12" s="846"/>
      <c r="R12" s="846"/>
      <c r="S12" s="846"/>
      <c r="T12" s="846"/>
      <c r="U12" s="846"/>
      <c r="V12" s="846"/>
      <c r="W12" s="846"/>
      <c r="X12" s="846"/>
      <c r="Y12" s="846"/>
      <c r="Z12" s="846"/>
      <c r="AA12" s="846"/>
      <c r="AB12" s="846"/>
      <c r="AC12" s="846"/>
      <c r="AD12" s="846"/>
      <c r="AE12" s="846"/>
      <c r="AF12" s="846"/>
      <c r="AG12" s="846"/>
      <c r="AH12" s="846"/>
      <c r="AI12" s="846"/>
      <c r="AJ12" s="846"/>
      <c r="AK12" s="846"/>
      <c r="AL12" s="846"/>
      <c r="AM12" s="846"/>
      <c r="AN12" s="846"/>
      <c r="AO12" s="846"/>
      <c r="AP12" s="846"/>
      <c r="AQ12" s="846"/>
      <c r="AR12" s="846"/>
      <c r="AS12" s="846"/>
      <c r="AT12" s="846"/>
      <c r="AU12" s="846"/>
      <c r="AV12" s="846"/>
      <c r="AW12" s="846"/>
      <c r="AX12" s="846"/>
      <c r="AY12" s="846"/>
      <c r="AZ12" s="846"/>
      <c r="BA12" s="846"/>
      <c r="BB12" s="846"/>
      <c r="BC12" s="846"/>
      <c r="BD12" s="846"/>
      <c r="BE12" s="846"/>
      <c r="BF12" s="846"/>
      <c r="BG12" s="846"/>
      <c r="BH12" s="846"/>
      <c r="BI12" s="846"/>
      <c r="BJ12" s="846"/>
      <c r="BK12" s="846"/>
      <c r="BL12" s="846"/>
      <c r="BM12" s="846"/>
      <c r="BN12" s="846"/>
      <c r="BO12" s="846"/>
      <c r="BP12" s="846"/>
      <c r="BQ12" s="846"/>
      <c r="BR12" s="846"/>
      <c r="BS12" s="846"/>
      <c r="BT12" s="846"/>
      <c r="BU12" s="846"/>
      <c r="BV12" s="846"/>
      <c r="BW12" s="846"/>
      <c r="BX12" s="846"/>
      <c r="BY12" s="846"/>
      <c r="BZ12" s="846"/>
      <c r="CA12" s="846"/>
      <c r="CB12" s="846"/>
      <c r="CC12" s="846"/>
      <c r="CD12" s="846"/>
      <c r="CE12" s="846"/>
      <c r="CF12" s="846"/>
      <c r="CG12" s="846"/>
      <c r="CH12" s="846"/>
      <c r="CI12" s="846"/>
      <c r="CJ12" s="846"/>
      <c r="CK12" s="846"/>
      <c r="CL12" s="846"/>
      <c r="CM12" s="846"/>
      <c r="CN12" s="846"/>
      <c r="CO12" s="846"/>
      <c r="CP12" s="846"/>
      <c r="CQ12" s="846"/>
      <c r="CR12" s="846"/>
      <c r="CS12" s="846"/>
      <c r="CT12" s="846"/>
      <c r="CU12" s="846"/>
      <c r="CV12" s="846"/>
      <c r="CW12" s="846"/>
      <c r="CX12" s="846"/>
      <c r="CY12" s="846"/>
      <c r="CZ12" s="846"/>
    </row>
    <row r="13" spans="1:104" ht="16.350000000000001" customHeight="1">
      <c r="A13" s="842" t="s">
        <v>94</v>
      </c>
      <c r="B13" s="842" t="n">
        <f>C13+D13</f>
        <v>0</v>
      </c>
      <c r="C13" s="844" t="n">
        <f>SUM(E13:CZ13)</f>
        <v>0</v>
      </c>
      <c r="D13" s="843">
        <v>0</v>
      </c>
      <c r="E13" s="845" t="s">
        <v>1337</v>
      </c>
      <c r="F13" s="846"/>
      <c r="G13" s="846"/>
      <c r="H13" s="846"/>
      <c r="I13" s="846"/>
      <c r="J13" s="846"/>
      <c r="K13" s="846"/>
      <c r="L13" s="846"/>
      <c r="M13" s="846"/>
      <c r="N13" s="846"/>
      <c r="O13" s="846"/>
      <c r="P13" s="846"/>
      <c r="Q13" s="846"/>
      <c r="R13" s="846"/>
      <c r="S13" s="846"/>
      <c r="T13" s="846"/>
      <c r="U13" s="846"/>
      <c r="V13" s="846"/>
      <c r="W13" s="846"/>
      <c r="X13" s="846"/>
      <c r="Y13" s="846"/>
      <c r="Z13" s="846"/>
      <c r="AA13" s="846"/>
      <c r="AB13" s="846"/>
      <c r="AC13" s="846"/>
      <c r="AD13" s="846"/>
      <c r="AE13" s="846"/>
      <c r="AF13" s="846"/>
      <c r="AG13" s="846"/>
      <c r="AH13" s="846"/>
      <c r="AI13" s="846"/>
      <c r="AJ13" s="846"/>
      <c r="AK13" s="846"/>
      <c r="AL13" s="846"/>
      <c r="AM13" s="846"/>
      <c r="AN13" s="846"/>
      <c r="AO13" s="846"/>
      <c r="AP13" s="846"/>
      <c r="AQ13" s="846"/>
      <c r="AR13" s="846"/>
      <c r="AS13" s="846"/>
      <c r="AT13" s="846"/>
      <c r="AU13" s="846"/>
      <c r="AV13" s="846"/>
      <c r="AW13" s="846"/>
      <c r="AX13" s="846"/>
      <c r="AY13" s="846"/>
      <c r="AZ13" s="846"/>
      <c r="BA13" s="846"/>
      <c r="BB13" s="846"/>
      <c r="BC13" s="846"/>
      <c r="BD13" s="846"/>
      <c r="BE13" s="846"/>
      <c r="BF13" s="846"/>
      <c r="BG13" s="846"/>
      <c r="BH13" s="846"/>
      <c r="BI13" s="846"/>
      <c r="BJ13" s="846"/>
      <c r="BK13" s="846"/>
      <c r="BL13" s="846"/>
      <c r="BM13" s="846"/>
      <c r="BN13" s="846"/>
      <c r="BO13" s="846"/>
      <c r="BP13" s="846"/>
      <c r="BQ13" s="846"/>
      <c r="BR13" s="846"/>
      <c r="BS13" s="846"/>
      <c r="BT13" s="846"/>
      <c r="BU13" s="846"/>
      <c r="BV13" s="846"/>
      <c r="BW13" s="846"/>
      <c r="BX13" s="846"/>
      <c r="BY13" s="846"/>
      <c r="BZ13" s="846"/>
      <c r="CA13" s="846"/>
      <c r="CB13" s="846"/>
      <c r="CC13" s="846"/>
      <c r="CD13" s="846"/>
      <c r="CE13" s="846"/>
      <c r="CF13" s="846"/>
      <c r="CG13" s="846"/>
      <c r="CH13" s="846"/>
      <c r="CI13" s="846"/>
      <c r="CJ13" s="846"/>
      <c r="CK13" s="846"/>
      <c r="CL13" s="846"/>
      <c r="CM13" s="846"/>
      <c r="CN13" s="846"/>
      <c r="CO13" s="846"/>
      <c r="CP13" s="846"/>
      <c r="CQ13" s="846"/>
      <c r="CR13" s="846"/>
      <c r="CS13" s="846"/>
      <c r="CT13" s="846"/>
      <c r="CU13" s="846"/>
      <c r="CV13" s="846"/>
      <c r="CW13" s="846"/>
      <c r="CX13" s="846"/>
      <c r="CY13" s="846"/>
      <c r="CZ13" s="846"/>
    </row>
    <row r="14" spans="1:104" ht="16.350000000000001" customHeight="1">
      <c r="A14" s="842" t="s">
        <v>96</v>
      </c>
      <c r="B14" s="842" t="n">
        <f>C14+D14</f>
        <v>0</v>
      </c>
      <c r="C14" s="844" t="n">
        <f>SUM(E14:CZ14)</f>
        <v>0</v>
      </c>
      <c r="D14" s="843">
        <v>0</v>
      </c>
      <c r="E14" s="845"/>
      <c r="F14" s="846"/>
      <c r="G14" s="846"/>
      <c r="H14" s="846"/>
      <c r="I14" s="846"/>
      <c r="J14" s="846"/>
      <c r="K14" s="846"/>
      <c r="L14" s="846"/>
      <c r="M14" s="846"/>
      <c r="N14" s="846"/>
      <c r="O14" s="846"/>
      <c r="P14" s="846"/>
      <c r="Q14" s="846"/>
      <c r="R14" s="846"/>
      <c r="S14" s="846"/>
      <c r="T14" s="846"/>
      <c r="U14" s="846"/>
      <c r="V14" s="846"/>
      <c r="W14" s="846"/>
      <c r="X14" s="846"/>
      <c r="Y14" s="846"/>
      <c r="Z14" s="846"/>
      <c r="AA14" s="846"/>
      <c r="AB14" s="846"/>
      <c r="AC14" s="846"/>
      <c r="AD14" s="846"/>
      <c r="AE14" s="846"/>
      <c r="AF14" s="846"/>
      <c r="AG14" s="846"/>
      <c r="AH14" s="846"/>
      <c r="AI14" s="846"/>
      <c r="AJ14" s="846"/>
      <c r="AK14" s="846"/>
      <c r="AL14" s="846"/>
      <c r="AM14" s="846"/>
      <c r="AN14" s="846"/>
      <c r="AO14" s="846"/>
      <c r="AP14" s="846"/>
      <c r="AQ14" s="846"/>
      <c r="AR14" s="846"/>
      <c r="AS14" s="846"/>
      <c r="AT14" s="846"/>
      <c r="AU14" s="846"/>
      <c r="AV14" s="846"/>
      <c r="AW14" s="846"/>
      <c r="AX14" s="846"/>
      <c r="AY14" s="846"/>
      <c r="AZ14" s="846"/>
      <c r="BA14" s="846"/>
      <c r="BB14" s="846"/>
      <c r="BC14" s="846"/>
      <c r="BD14" s="846"/>
      <c r="BE14" s="846"/>
      <c r="BF14" s="846"/>
      <c r="BG14" s="846"/>
      <c r="BH14" s="846"/>
      <c r="BI14" s="846"/>
      <c r="BJ14" s="846"/>
      <c r="BK14" s="846"/>
      <c r="BL14" s="846"/>
      <c r="BM14" s="846"/>
      <c r="BN14" s="846"/>
      <c r="BO14" s="846"/>
      <c r="BP14" s="846"/>
      <c r="BQ14" s="846"/>
      <c r="BR14" s="846"/>
      <c r="BS14" s="846"/>
      <c r="BT14" s="846"/>
      <c r="BU14" s="846"/>
      <c r="BV14" s="846"/>
      <c r="BW14" s="846"/>
      <c r="BX14" s="846"/>
      <c r="BY14" s="846"/>
      <c r="BZ14" s="846"/>
      <c r="CA14" s="846"/>
      <c r="CB14" s="846"/>
      <c r="CC14" s="846"/>
      <c r="CD14" s="846"/>
      <c r="CE14" s="846"/>
      <c r="CF14" s="846"/>
      <c r="CG14" s="846"/>
      <c r="CH14" s="846"/>
      <c r="CI14" s="846"/>
      <c r="CJ14" s="846"/>
      <c r="CK14" s="846"/>
      <c r="CL14" s="846"/>
      <c r="CM14" s="846"/>
      <c r="CN14" s="846"/>
      <c r="CO14" s="846"/>
      <c r="CP14" s="846"/>
      <c r="CQ14" s="846"/>
      <c r="CR14" s="846"/>
      <c r="CS14" s="846"/>
      <c r="CT14" s="846"/>
      <c r="CU14" s="846"/>
      <c r="CV14" s="846"/>
      <c r="CW14" s="846"/>
      <c r="CX14" s="846"/>
      <c r="CY14" s="846"/>
      <c r="CZ14" s="846"/>
    </row>
    <row r="15" spans="1:104" ht="16.350000000000001" customHeight="1">
      <c r="A15" s="842" t="s">
        <v>103</v>
      </c>
      <c r="B15" s="842" t="n">
        <f>C15+D15</f>
        <v>5</v>
      </c>
      <c r="C15" s="844" t="n">
        <f>SUM(E15:CZ15)</f>
        <v>0</v>
      </c>
      <c r="D15" s="843">
        <v>5</v>
      </c>
      <c r="E15" s="845" t="s">
        <v>1338</v>
      </c>
      <c r="F15" s="846"/>
      <c r="G15" s="846"/>
      <c r="H15" s="846"/>
      <c r="I15" s="846"/>
      <c r="J15" s="846"/>
      <c r="K15" s="846"/>
      <c r="L15" s="846"/>
      <c r="M15" s="846"/>
      <c r="N15" s="846"/>
      <c r="O15" s="846"/>
      <c r="P15" s="846"/>
      <c r="Q15" s="846"/>
      <c r="R15" s="846"/>
      <c r="S15" s="846"/>
      <c r="T15" s="846"/>
      <c r="U15" s="846"/>
      <c r="V15" s="846"/>
      <c r="W15" s="846"/>
      <c r="X15" s="846"/>
      <c r="Y15" s="846"/>
      <c r="Z15" s="846"/>
      <c r="AA15" s="846"/>
      <c r="AB15" s="846"/>
      <c r="AC15" s="846"/>
      <c r="AD15" s="846"/>
      <c r="AE15" s="846"/>
      <c r="AF15" s="846"/>
      <c r="AG15" s="846"/>
      <c r="AH15" s="846"/>
      <c r="AI15" s="846"/>
      <c r="AJ15" s="846"/>
      <c r="AK15" s="846"/>
      <c r="AL15" s="846"/>
      <c r="AM15" s="846"/>
      <c r="AN15" s="846"/>
      <c r="AO15" s="846"/>
      <c r="AP15" s="846"/>
      <c r="AQ15" s="846"/>
      <c r="AR15" s="846"/>
      <c r="AS15" s="846"/>
      <c r="AT15" s="846"/>
      <c r="AU15" s="846"/>
      <c r="AV15" s="846"/>
      <c r="AW15" s="846"/>
      <c r="AX15" s="846"/>
      <c r="AY15" s="846"/>
      <c r="AZ15" s="846"/>
      <c r="BA15" s="846"/>
      <c r="BB15" s="846"/>
      <c r="BC15" s="846"/>
      <c r="BD15" s="846"/>
      <c r="BE15" s="846"/>
      <c r="BF15" s="846"/>
      <c r="BG15" s="846"/>
      <c r="BH15" s="846"/>
      <c r="BI15" s="846"/>
      <c r="BJ15" s="846"/>
      <c r="BK15" s="846"/>
      <c r="BL15" s="846"/>
      <c r="BM15" s="846"/>
      <c r="BN15" s="846"/>
      <c r="BO15" s="846"/>
      <c r="BP15" s="846"/>
      <c r="BQ15" s="846"/>
      <c r="BR15" s="846"/>
      <c r="BS15" s="846"/>
      <c r="BT15" s="846"/>
      <c r="BU15" s="846"/>
      <c r="BV15" s="846"/>
      <c r="BW15" s="846"/>
      <c r="BX15" s="846"/>
      <c r="BY15" s="846"/>
      <c r="BZ15" s="846"/>
      <c r="CA15" s="846"/>
      <c r="CB15" s="846"/>
      <c r="CC15" s="846"/>
      <c r="CD15" s="846"/>
      <c r="CE15" s="846"/>
      <c r="CF15" s="846"/>
      <c r="CG15" s="846"/>
      <c r="CH15" s="846"/>
      <c r="CI15" s="846"/>
      <c r="CJ15" s="846"/>
      <c r="CK15" s="846"/>
      <c r="CL15" s="846"/>
      <c r="CM15" s="846"/>
      <c r="CN15" s="846"/>
      <c r="CO15" s="846"/>
      <c r="CP15" s="846"/>
      <c r="CQ15" s="846"/>
      <c r="CR15" s="846"/>
      <c r="CS15" s="846"/>
      <c r="CT15" s="846"/>
      <c r="CU15" s="846"/>
      <c r="CV15" s="846"/>
      <c r="CW15" s="846"/>
      <c r="CX15" s="846"/>
      <c r="CY15" s="846"/>
      <c r="CZ15" s="846"/>
    </row>
    <row r="16" spans="1:104" ht="16.350000000000001" customHeight="1">
      <c r="A16" s="842" t="s">
        <v>105</v>
      </c>
      <c r="B16" s="842" t="n">
        <f>C16+D16</f>
        <v>0</v>
      </c>
      <c r="C16" s="844" t="n">
        <f>SUM(E16:CZ16)</f>
        <v>0</v>
      </c>
      <c r="D16" s="843">
        <v>0</v>
      </c>
      <c r="E16" s="845" t="s">
        <v>1339</v>
      </c>
      <c r="F16" s="846"/>
      <c r="G16" s="846"/>
      <c r="H16" s="846"/>
      <c r="I16" s="846"/>
      <c r="J16" s="846"/>
      <c r="K16" s="846"/>
      <c r="L16" s="846"/>
      <c r="M16" s="846"/>
      <c r="N16" s="846"/>
      <c r="O16" s="846"/>
      <c r="P16" s="846"/>
      <c r="Q16" s="846"/>
      <c r="R16" s="846"/>
      <c r="S16" s="846"/>
      <c r="T16" s="846"/>
      <c r="U16" s="846"/>
      <c r="V16" s="846"/>
      <c r="W16" s="846"/>
      <c r="X16" s="846"/>
      <c r="Y16" s="846"/>
      <c r="Z16" s="846"/>
      <c r="AA16" s="846"/>
      <c r="AB16" s="846"/>
      <c r="AC16" s="846"/>
      <c r="AD16" s="846"/>
      <c r="AE16" s="846"/>
      <c r="AF16" s="846"/>
      <c r="AG16" s="846"/>
      <c r="AH16" s="846"/>
      <c r="AI16" s="846"/>
      <c r="AJ16" s="846"/>
      <c r="AK16" s="846"/>
      <c r="AL16" s="846"/>
      <c r="AM16" s="846"/>
      <c r="AN16" s="846"/>
      <c r="AO16" s="846"/>
      <c r="AP16" s="846"/>
      <c r="AQ16" s="846"/>
      <c r="AR16" s="846"/>
      <c r="AS16" s="846"/>
      <c r="AT16" s="846"/>
      <c r="AU16" s="846"/>
      <c r="AV16" s="846"/>
      <c r="AW16" s="846"/>
      <c r="AX16" s="846"/>
      <c r="AY16" s="846"/>
      <c r="AZ16" s="846"/>
      <c r="BA16" s="846"/>
      <c r="BB16" s="846"/>
      <c r="BC16" s="846"/>
      <c r="BD16" s="846"/>
      <c r="BE16" s="846"/>
      <c r="BF16" s="846"/>
      <c r="BG16" s="846"/>
      <c r="BH16" s="846"/>
      <c r="BI16" s="846"/>
      <c r="BJ16" s="846"/>
      <c r="BK16" s="846"/>
      <c r="BL16" s="846"/>
      <c r="BM16" s="846"/>
      <c r="BN16" s="846"/>
      <c r="BO16" s="846"/>
      <c r="BP16" s="846"/>
      <c r="BQ16" s="846"/>
      <c r="BR16" s="846"/>
      <c r="BS16" s="846"/>
      <c r="BT16" s="846"/>
      <c r="BU16" s="846"/>
      <c r="BV16" s="846"/>
      <c r="BW16" s="846"/>
      <c r="BX16" s="846"/>
      <c r="BY16" s="846"/>
      <c r="BZ16" s="846"/>
      <c r="CA16" s="846"/>
      <c r="CB16" s="846"/>
      <c r="CC16" s="846"/>
      <c r="CD16" s="846"/>
      <c r="CE16" s="846"/>
      <c r="CF16" s="846"/>
      <c r="CG16" s="846"/>
      <c r="CH16" s="846"/>
      <c r="CI16" s="846"/>
      <c r="CJ16" s="846"/>
      <c r="CK16" s="846"/>
      <c r="CL16" s="846"/>
      <c r="CM16" s="846"/>
      <c r="CN16" s="846"/>
      <c r="CO16" s="846"/>
      <c r="CP16" s="846"/>
      <c r="CQ16" s="846"/>
      <c r="CR16" s="846"/>
      <c r="CS16" s="846"/>
      <c r="CT16" s="846"/>
      <c r="CU16" s="846"/>
      <c r="CV16" s="846"/>
      <c r="CW16" s="846"/>
      <c r="CX16" s="846"/>
      <c r="CY16" s="846"/>
      <c r="CZ16" s="846"/>
    </row>
    <row r="17" spans="1:104" ht="16.350000000000001" customHeight="1">
      <c r="A17" s="842" t="s">
        <v>109</v>
      </c>
      <c r="B17" s="842" t="n">
        <f>C17+D17</f>
        <v>20</v>
      </c>
      <c r="C17" s="844" t="n">
        <f>SUM(E17:CZ17)</f>
        <v>0</v>
      </c>
      <c r="D17" s="843">
        <v>20</v>
      </c>
      <c r="E17" s="845"/>
      <c r="F17" s="846"/>
      <c r="G17" s="846"/>
      <c r="H17" s="846"/>
      <c r="I17" s="846"/>
      <c r="J17" s="846"/>
      <c r="K17" s="846"/>
      <c r="L17" s="846"/>
      <c r="M17" s="846"/>
      <c r="N17" s="846"/>
      <c r="O17" s="846"/>
      <c r="P17" s="846"/>
      <c r="Q17" s="846"/>
      <c r="R17" s="846"/>
      <c r="S17" s="846"/>
      <c r="T17" s="846"/>
      <c r="U17" s="846"/>
      <c r="V17" s="846"/>
      <c r="W17" s="846"/>
      <c r="X17" s="846"/>
      <c r="Y17" s="846"/>
      <c r="Z17" s="846"/>
      <c r="AA17" s="846"/>
      <c r="AB17" s="846"/>
      <c r="AC17" s="846"/>
      <c r="AD17" s="846"/>
      <c r="AE17" s="846"/>
      <c r="AF17" s="846"/>
      <c r="AG17" s="846"/>
      <c r="AH17" s="846"/>
      <c r="AI17" s="846"/>
      <c r="AJ17" s="846"/>
      <c r="AK17" s="846"/>
      <c r="AL17" s="846"/>
      <c r="AM17" s="846"/>
      <c r="AN17" s="846"/>
      <c r="AO17" s="846"/>
      <c r="AP17" s="846"/>
      <c r="AQ17" s="846"/>
      <c r="AR17" s="846"/>
      <c r="AS17" s="846"/>
      <c r="AT17" s="846"/>
      <c r="AU17" s="846"/>
      <c r="AV17" s="846"/>
      <c r="AW17" s="846"/>
      <c r="AX17" s="846"/>
      <c r="AY17" s="846"/>
      <c r="AZ17" s="846"/>
      <c r="BA17" s="846"/>
      <c r="BB17" s="846"/>
      <c r="BC17" s="846"/>
      <c r="BD17" s="846"/>
      <c r="BE17" s="846"/>
      <c r="BF17" s="846"/>
      <c r="BG17" s="846"/>
      <c r="BH17" s="846"/>
      <c r="BI17" s="846"/>
      <c r="BJ17" s="846"/>
      <c r="BK17" s="846"/>
      <c r="BL17" s="846"/>
      <c r="BM17" s="846"/>
      <c r="BN17" s="846"/>
      <c r="BO17" s="846"/>
      <c r="BP17" s="846"/>
      <c r="BQ17" s="846"/>
      <c r="BR17" s="846"/>
      <c r="BS17" s="846"/>
      <c r="BT17" s="846"/>
      <c r="BU17" s="846"/>
      <c r="BV17" s="846"/>
      <c r="BW17" s="846"/>
      <c r="BX17" s="846"/>
      <c r="BY17" s="846"/>
      <c r="BZ17" s="846"/>
      <c r="CA17" s="846"/>
      <c r="CB17" s="846"/>
      <c r="CC17" s="846"/>
      <c r="CD17" s="846"/>
      <c r="CE17" s="846"/>
      <c r="CF17" s="846"/>
      <c r="CG17" s="846"/>
      <c r="CH17" s="846"/>
      <c r="CI17" s="846"/>
      <c r="CJ17" s="846"/>
      <c r="CK17" s="846"/>
      <c r="CL17" s="846"/>
      <c r="CM17" s="846"/>
      <c r="CN17" s="846"/>
      <c r="CO17" s="846"/>
      <c r="CP17" s="846"/>
      <c r="CQ17" s="846"/>
      <c r="CR17" s="846"/>
      <c r="CS17" s="846"/>
      <c r="CT17" s="846"/>
      <c r="CU17" s="846"/>
      <c r="CV17" s="846"/>
      <c r="CW17" s="846"/>
      <c r="CX17" s="846"/>
      <c r="CY17" s="846"/>
      <c r="CZ17" s="846"/>
    </row>
    <row r="18" spans="1:104" ht="16.350000000000001" customHeight="1">
      <c r="A18" s="842" t="s">
        <v>111</v>
      </c>
      <c r="B18" s="842" t="n">
        <f>C18+D18</f>
        <v>10</v>
      </c>
      <c r="C18" s="844" t="n">
        <f>SUM(E18:CZ18)</f>
        <v>0</v>
      </c>
      <c r="D18" s="843">
        <v>10</v>
      </c>
      <c r="E18" s="845"/>
      <c r="F18" s="846"/>
      <c r="G18" s="846"/>
      <c r="H18" s="846"/>
      <c r="I18" s="846"/>
      <c r="J18" s="846"/>
      <c r="K18" s="846"/>
      <c r="L18" s="846"/>
      <c r="M18" s="846"/>
      <c r="N18" s="846"/>
      <c r="O18" s="846"/>
      <c r="P18" s="846"/>
      <c r="Q18" s="846"/>
      <c r="R18" s="846"/>
      <c r="S18" s="846"/>
      <c r="T18" s="846"/>
      <c r="U18" s="846"/>
      <c r="V18" s="846"/>
      <c r="W18" s="846"/>
      <c r="X18" s="846"/>
      <c r="Y18" s="846"/>
      <c r="Z18" s="846"/>
      <c r="AA18" s="846"/>
      <c r="AB18" s="846"/>
      <c r="AC18" s="846"/>
      <c r="AD18" s="846"/>
      <c r="AE18" s="846"/>
      <c r="AF18" s="846"/>
      <c r="AG18" s="846"/>
      <c r="AH18" s="846"/>
      <c r="AI18" s="846"/>
      <c r="AJ18" s="846"/>
      <c r="AK18" s="846"/>
      <c r="AL18" s="846"/>
      <c r="AM18" s="846"/>
      <c r="AN18" s="846"/>
      <c r="AO18" s="846"/>
      <c r="AP18" s="846"/>
      <c r="AQ18" s="846"/>
      <c r="AR18" s="846"/>
      <c r="AS18" s="846"/>
      <c r="AT18" s="846"/>
      <c r="AU18" s="846"/>
      <c r="AV18" s="846"/>
      <c r="AW18" s="846"/>
      <c r="AX18" s="846"/>
      <c r="AY18" s="846"/>
      <c r="AZ18" s="846"/>
      <c r="BA18" s="846"/>
      <c r="BB18" s="846"/>
      <c r="BC18" s="846"/>
      <c r="BD18" s="846"/>
      <c r="BE18" s="846"/>
      <c r="BF18" s="846"/>
      <c r="BG18" s="846"/>
      <c r="BH18" s="846"/>
      <c r="BI18" s="846"/>
      <c r="BJ18" s="846"/>
      <c r="BK18" s="846"/>
      <c r="BL18" s="846"/>
      <c r="BM18" s="846"/>
      <c r="BN18" s="846"/>
      <c r="BO18" s="846"/>
      <c r="BP18" s="846"/>
      <c r="BQ18" s="846"/>
      <c r="BR18" s="846"/>
      <c r="BS18" s="846"/>
      <c r="BT18" s="846"/>
      <c r="BU18" s="846"/>
      <c r="BV18" s="846"/>
      <c r="BW18" s="846"/>
      <c r="BX18" s="846"/>
      <c r="BY18" s="846"/>
      <c r="BZ18" s="846"/>
      <c r="CA18" s="846"/>
      <c r="CB18" s="846"/>
      <c r="CC18" s="846"/>
      <c r="CD18" s="846"/>
      <c r="CE18" s="846"/>
      <c r="CF18" s="846"/>
      <c r="CG18" s="846"/>
      <c r="CH18" s="846"/>
      <c r="CI18" s="846"/>
      <c r="CJ18" s="846"/>
      <c r="CK18" s="846"/>
      <c r="CL18" s="846"/>
      <c r="CM18" s="846"/>
      <c r="CN18" s="846"/>
      <c r="CO18" s="846"/>
      <c r="CP18" s="846"/>
      <c r="CQ18" s="846"/>
      <c r="CR18" s="846"/>
      <c r="CS18" s="846"/>
      <c r="CT18" s="846"/>
      <c r="CU18" s="846"/>
      <c r="CV18" s="846"/>
      <c r="CW18" s="846"/>
      <c r="CX18" s="846"/>
      <c r="CY18" s="846"/>
      <c r="CZ18" s="846"/>
    </row>
    <row r="19" spans="1:104" ht="16.350000000000001" customHeight="1">
      <c r="A19" s="842" t="s">
        <v>114</v>
      </c>
      <c r="B19" s="842" t="n">
        <f>C19+D19</f>
        <v>1</v>
      </c>
      <c r="C19" s="844" t="n">
        <f>SUM(E19:CZ19)</f>
        <v>0</v>
      </c>
      <c r="D19" s="843">
        <v>1</v>
      </c>
      <c r="E19" s="845" t="s">
        <v>1340</v>
      </c>
      <c r="F19" s="846"/>
      <c r="G19" s="846"/>
      <c r="H19" s="846"/>
      <c r="I19" s="846"/>
      <c r="J19" s="846"/>
      <c r="K19" s="846"/>
      <c r="L19" s="846"/>
      <c r="M19" s="846"/>
      <c r="N19" s="846"/>
      <c r="O19" s="846"/>
      <c r="P19" s="846"/>
      <c r="Q19" s="846"/>
      <c r="R19" s="846"/>
      <c r="S19" s="846"/>
      <c r="T19" s="846"/>
      <c r="U19" s="846"/>
      <c r="V19" s="846"/>
      <c r="W19" s="846"/>
      <c r="X19" s="846"/>
      <c r="Y19" s="846"/>
      <c r="Z19" s="846"/>
      <c r="AA19" s="846"/>
      <c r="AB19" s="846"/>
      <c r="AC19" s="846"/>
      <c r="AD19" s="846"/>
      <c r="AE19" s="846"/>
      <c r="AF19" s="846"/>
      <c r="AG19" s="846"/>
      <c r="AH19" s="846"/>
      <c r="AI19" s="846"/>
      <c r="AJ19" s="846"/>
      <c r="AK19" s="846"/>
      <c r="AL19" s="846"/>
      <c r="AM19" s="846"/>
      <c r="AN19" s="846"/>
      <c r="AO19" s="846"/>
      <c r="AP19" s="846"/>
      <c r="AQ19" s="846"/>
      <c r="AR19" s="846"/>
      <c r="AS19" s="846"/>
      <c r="AT19" s="846"/>
      <c r="AU19" s="846"/>
      <c r="AV19" s="846"/>
      <c r="AW19" s="846"/>
      <c r="AX19" s="846"/>
      <c r="AY19" s="846"/>
      <c r="AZ19" s="846"/>
      <c r="BA19" s="846"/>
      <c r="BB19" s="846"/>
      <c r="BC19" s="846"/>
      <c r="BD19" s="846"/>
      <c r="BE19" s="846"/>
      <c r="BF19" s="846"/>
      <c r="BG19" s="846"/>
      <c r="BH19" s="846"/>
      <c r="BI19" s="846"/>
      <c r="BJ19" s="846"/>
      <c r="BK19" s="846"/>
      <c r="BL19" s="846"/>
      <c r="BM19" s="846"/>
      <c r="BN19" s="846"/>
      <c r="BO19" s="846"/>
      <c r="BP19" s="846"/>
      <c r="BQ19" s="846"/>
      <c r="BR19" s="846"/>
      <c r="BS19" s="846"/>
      <c r="BT19" s="846"/>
      <c r="BU19" s="846"/>
      <c r="BV19" s="846"/>
      <c r="BW19" s="846"/>
      <c r="BX19" s="846"/>
      <c r="BY19" s="846"/>
      <c r="BZ19" s="846"/>
      <c r="CA19" s="846"/>
      <c r="CB19" s="846"/>
      <c r="CC19" s="846"/>
      <c r="CD19" s="846"/>
      <c r="CE19" s="846"/>
      <c r="CF19" s="846"/>
      <c r="CG19" s="846"/>
      <c r="CH19" s="846"/>
      <c r="CI19" s="846"/>
      <c r="CJ19" s="846"/>
      <c r="CK19" s="846"/>
      <c r="CL19" s="846"/>
      <c r="CM19" s="846"/>
      <c r="CN19" s="846"/>
      <c r="CO19" s="846"/>
      <c r="CP19" s="846"/>
      <c r="CQ19" s="846"/>
      <c r="CR19" s="846"/>
      <c r="CS19" s="846"/>
      <c r="CT19" s="846"/>
      <c r="CU19" s="846"/>
      <c r="CV19" s="846"/>
      <c r="CW19" s="846"/>
      <c r="CX19" s="846"/>
      <c r="CY19" s="846"/>
      <c r="CZ19" s="846"/>
    </row>
    <row r="20" spans="1:104" ht="16.350000000000001" customHeight="1">
      <c r="A20" s="842" t="s">
        <v>116</v>
      </c>
      <c r="B20" s="842" t="n">
        <f>C20+D20</f>
        <v>5</v>
      </c>
      <c r="C20" s="844" t="n">
        <f>SUM(E20:CZ20)</f>
        <v>0</v>
      </c>
      <c r="D20" s="843">
        <v>5</v>
      </c>
      <c r="E20" s="845"/>
      <c r="F20" s="846"/>
      <c r="G20" s="846"/>
      <c r="H20" s="846"/>
      <c r="I20" s="846"/>
      <c r="J20" s="846"/>
      <c r="K20" s="846"/>
      <c r="L20" s="846"/>
      <c r="M20" s="846"/>
      <c r="N20" s="846"/>
      <c r="O20" s="846"/>
      <c r="P20" s="846"/>
      <c r="Q20" s="846"/>
      <c r="R20" s="846"/>
      <c r="S20" s="846"/>
      <c r="T20" s="846"/>
      <c r="U20" s="846"/>
      <c r="V20" s="846"/>
      <c r="W20" s="846"/>
      <c r="X20" s="846"/>
      <c r="Y20" s="846"/>
      <c r="Z20" s="846"/>
      <c r="AA20" s="846"/>
      <c r="AB20" s="846"/>
      <c r="AC20" s="846"/>
      <c r="AD20" s="846"/>
      <c r="AE20" s="846"/>
      <c r="AF20" s="846"/>
      <c r="AG20" s="846"/>
      <c r="AH20" s="846"/>
      <c r="AI20" s="846"/>
      <c r="AJ20" s="846"/>
      <c r="AK20" s="846"/>
      <c r="AL20" s="846"/>
      <c r="AM20" s="846"/>
      <c r="AN20" s="846"/>
      <c r="AO20" s="846"/>
      <c r="AP20" s="846"/>
      <c r="AQ20" s="846"/>
      <c r="AR20" s="846"/>
      <c r="AS20" s="846"/>
      <c r="AT20" s="846"/>
      <c r="AU20" s="846"/>
      <c r="AV20" s="846"/>
      <c r="AW20" s="846"/>
      <c r="AX20" s="846"/>
      <c r="AY20" s="846"/>
      <c r="AZ20" s="846"/>
      <c r="BA20" s="846"/>
      <c r="BB20" s="846"/>
      <c r="BC20" s="846"/>
      <c r="BD20" s="846"/>
      <c r="BE20" s="846"/>
      <c r="BF20" s="846"/>
      <c r="BG20" s="846"/>
      <c r="BH20" s="846"/>
      <c r="BI20" s="846"/>
      <c r="BJ20" s="846"/>
      <c r="BK20" s="846"/>
      <c r="BL20" s="846"/>
      <c r="BM20" s="846"/>
      <c r="BN20" s="846"/>
      <c r="BO20" s="846"/>
      <c r="BP20" s="846"/>
      <c r="BQ20" s="846"/>
      <c r="BR20" s="846"/>
      <c r="BS20" s="846"/>
      <c r="BT20" s="846"/>
      <c r="BU20" s="846"/>
      <c r="BV20" s="846"/>
      <c r="BW20" s="846"/>
      <c r="BX20" s="846"/>
      <c r="BY20" s="846"/>
      <c r="BZ20" s="846"/>
      <c r="CA20" s="846"/>
      <c r="CB20" s="846"/>
      <c r="CC20" s="846"/>
      <c r="CD20" s="846"/>
      <c r="CE20" s="846"/>
      <c r="CF20" s="846"/>
      <c r="CG20" s="846"/>
      <c r="CH20" s="846"/>
      <c r="CI20" s="846"/>
      <c r="CJ20" s="846"/>
      <c r="CK20" s="846"/>
      <c r="CL20" s="846"/>
      <c r="CM20" s="846"/>
      <c r="CN20" s="846"/>
      <c r="CO20" s="846"/>
      <c r="CP20" s="846"/>
      <c r="CQ20" s="846"/>
      <c r="CR20" s="846"/>
      <c r="CS20" s="846"/>
      <c r="CT20" s="846"/>
      <c r="CU20" s="846"/>
      <c r="CV20" s="846"/>
      <c r="CW20" s="846"/>
      <c r="CX20" s="846"/>
      <c r="CY20" s="846"/>
      <c r="CZ20" s="846"/>
    </row>
    <row r="21" spans="1:104" ht="16.350000000000001" customHeight="1">
      <c r="A21" s="842" t="s">
        <v>1341</v>
      </c>
      <c r="B21" s="842" t="n">
        <f>C21+D21</f>
        <v>25</v>
      </c>
      <c r="C21" s="844" t="n">
        <f>SUM(E21:CZ21)</f>
        <v>0</v>
      </c>
      <c r="D21" s="843">
        <v>25</v>
      </c>
      <c r="E21" s="845"/>
      <c r="F21" s="846"/>
      <c r="G21" s="846"/>
      <c r="H21" s="846"/>
      <c r="I21" s="846"/>
      <c r="J21" s="846"/>
      <c r="K21" s="846"/>
      <c r="L21" s="846"/>
      <c r="M21" s="846"/>
      <c r="N21" s="846"/>
      <c r="O21" s="846"/>
      <c r="P21" s="846"/>
      <c r="Q21" s="846"/>
      <c r="R21" s="846"/>
      <c r="S21" s="846"/>
      <c r="T21" s="846"/>
      <c r="U21" s="846"/>
      <c r="V21" s="846"/>
      <c r="W21" s="846"/>
      <c r="X21" s="846"/>
      <c r="Y21" s="846"/>
      <c r="Z21" s="846"/>
      <c r="AA21" s="846"/>
      <c r="AB21" s="846"/>
      <c r="AC21" s="846"/>
      <c r="AD21" s="846"/>
      <c r="AE21" s="846"/>
      <c r="AF21" s="846"/>
      <c r="AG21" s="846"/>
      <c r="AH21" s="846"/>
      <c r="AI21" s="846"/>
      <c r="AJ21" s="846"/>
      <c r="AK21" s="846"/>
      <c r="AL21" s="846"/>
      <c r="AM21" s="846"/>
      <c r="AN21" s="846"/>
      <c r="AO21" s="846"/>
      <c r="AP21" s="846"/>
      <c r="AQ21" s="846"/>
      <c r="AR21" s="846"/>
      <c r="AS21" s="846"/>
      <c r="AT21" s="846"/>
      <c r="AU21" s="846"/>
      <c r="AV21" s="846"/>
      <c r="AW21" s="846"/>
      <c r="AX21" s="846"/>
      <c r="AY21" s="846"/>
      <c r="AZ21" s="846"/>
      <c r="BA21" s="846"/>
      <c r="BB21" s="846"/>
      <c r="BC21" s="846"/>
      <c r="BD21" s="846"/>
      <c r="BE21" s="846"/>
      <c r="BF21" s="846"/>
      <c r="BG21" s="846"/>
      <c r="BH21" s="846"/>
      <c r="BI21" s="846"/>
      <c r="BJ21" s="846"/>
      <c r="BK21" s="846"/>
      <c r="BL21" s="846"/>
      <c r="BM21" s="846"/>
      <c r="BN21" s="846"/>
      <c r="BO21" s="846"/>
      <c r="BP21" s="846"/>
      <c r="BQ21" s="846"/>
      <c r="BR21" s="846"/>
      <c r="BS21" s="846"/>
      <c r="BT21" s="846"/>
      <c r="BU21" s="846"/>
      <c r="BV21" s="846"/>
      <c r="BW21" s="846"/>
      <c r="BX21" s="846"/>
      <c r="BY21" s="846"/>
      <c r="BZ21" s="846"/>
      <c r="CA21" s="846"/>
      <c r="CB21" s="846"/>
      <c r="CC21" s="846"/>
      <c r="CD21" s="846"/>
      <c r="CE21" s="846"/>
      <c r="CF21" s="846"/>
      <c r="CG21" s="846"/>
      <c r="CH21" s="846"/>
      <c r="CI21" s="846"/>
      <c r="CJ21" s="846"/>
      <c r="CK21" s="846"/>
      <c r="CL21" s="846"/>
      <c r="CM21" s="846"/>
      <c r="CN21" s="846"/>
      <c r="CO21" s="846"/>
      <c r="CP21" s="846"/>
      <c r="CQ21" s="846"/>
      <c r="CR21" s="846"/>
      <c r="CS21" s="846"/>
      <c r="CT21" s="846"/>
      <c r="CU21" s="846"/>
      <c r="CV21" s="846"/>
      <c r="CW21" s="846"/>
      <c r="CX21" s="846"/>
      <c r="CY21" s="846"/>
      <c r="CZ21" s="846"/>
    </row>
    <row r="22" spans="1:104" ht="16.350000000000001" customHeight="1">
      <c r="A22" s="842" t="s">
        <v>122</v>
      </c>
      <c r="B22" s="842" t="n">
        <f>C22+D22</f>
        <v>0</v>
      </c>
      <c r="C22" s="844" t="n">
        <f>SUM(E22:CZ22)</f>
        <v>0</v>
      </c>
      <c r="D22" s="843">
        <v>0</v>
      </c>
      <c r="E22" s="845"/>
      <c r="F22" s="846"/>
      <c r="G22" s="846"/>
      <c r="H22" s="846"/>
      <c r="I22" s="846"/>
      <c r="J22" s="846"/>
      <c r="K22" s="846"/>
      <c r="L22" s="846"/>
      <c r="M22" s="846"/>
      <c r="N22" s="846"/>
      <c r="O22" s="846"/>
      <c r="P22" s="846"/>
      <c r="Q22" s="846"/>
      <c r="R22" s="846"/>
      <c r="S22" s="846"/>
      <c r="T22" s="846"/>
      <c r="U22" s="846"/>
      <c r="V22" s="846"/>
      <c r="W22" s="846"/>
      <c r="X22" s="846"/>
      <c r="Y22" s="846"/>
      <c r="Z22" s="846"/>
      <c r="AA22" s="846"/>
      <c r="AB22" s="846"/>
      <c r="AC22" s="846"/>
      <c r="AD22" s="846"/>
      <c r="AE22" s="846"/>
      <c r="AF22" s="846"/>
      <c r="AG22" s="846"/>
      <c r="AH22" s="846"/>
      <c r="AI22" s="846"/>
      <c r="AJ22" s="846"/>
      <c r="AK22" s="846"/>
      <c r="AL22" s="846"/>
      <c r="AM22" s="846"/>
      <c r="AN22" s="846"/>
      <c r="AO22" s="846"/>
      <c r="AP22" s="846"/>
      <c r="AQ22" s="846"/>
      <c r="AR22" s="846"/>
      <c r="AS22" s="846"/>
      <c r="AT22" s="846"/>
      <c r="AU22" s="846"/>
      <c r="AV22" s="846"/>
      <c r="AW22" s="846"/>
      <c r="AX22" s="846"/>
      <c r="AY22" s="846"/>
      <c r="AZ22" s="846"/>
      <c r="BA22" s="846"/>
      <c r="BB22" s="846"/>
      <c r="BC22" s="846"/>
      <c r="BD22" s="846"/>
      <c r="BE22" s="846"/>
      <c r="BF22" s="846"/>
      <c r="BG22" s="846"/>
      <c r="BH22" s="846"/>
      <c r="BI22" s="846"/>
      <c r="BJ22" s="846"/>
      <c r="BK22" s="846"/>
      <c r="BL22" s="846"/>
      <c r="BM22" s="846"/>
      <c r="BN22" s="846"/>
      <c r="BO22" s="846"/>
      <c r="BP22" s="846"/>
      <c r="BQ22" s="846"/>
      <c r="BR22" s="846"/>
      <c r="BS22" s="846"/>
      <c r="BT22" s="846"/>
      <c r="BU22" s="846"/>
      <c r="BV22" s="846"/>
      <c r="BW22" s="846"/>
      <c r="BX22" s="846"/>
      <c r="BY22" s="846"/>
      <c r="BZ22" s="846"/>
      <c r="CA22" s="846"/>
      <c r="CB22" s="846"/>
      <c r="CC22" s="846"/>
      <c r="CD22" s="846"/>
      <c r="CE22" s="846"/>
      <c r="CF22" s="846"/>
      <c r="CG22" s="846"/>
      <c r="CH22" s="846"/>
      <c r="CI22" s="846"/>
      <c r="CJ22" s="846"/>
      <c r="CK22" s="846"/>
      <c r="CL22" s="846"/>
      <c r="CM22" s="846"/>
      <c r="CN22" s="846"/>
      <c r="CO22" s="846"/>
      <c r="CP22" s="846"/>
      <c r="CQ22" s="846"/>
      <c r="CR22" s="846"/>
      <c r="CS22" s="846"/>
      <c r="CT22" s="846"/>
      <c r="CU22" s="846"/>
      <c r="CV22" s="846"/>
      <c r="CW22" s="846"/>
      <c r="CX22" s="846"/>
      <c r="CY22" s="846"/>
      <c r="CZ22" s="846"/>
    </row>
    <row r="23" spans="1:104" ht="16.350000000000001" customHeight="1">
      <c r="A23" s="842" t="s">
        <v>126</v>
      </c>
      <c r="B23" s="842" t="n">
        <f>C23+D23</f>
        <v>0</v>
      </c>
      <c r="C23" s="844" t="n">
        <f>SUM(E23:CZ23)</f>
        <v>0</v>
      </c>
      <c r="D23" s="843">
        <v>0</v>
      </c>
      <c r="E23" s="845"/>
      <c r="F23" s="846"/>
      <c r="G23" s="846"/>
      <c r="H23" s="846"/>
      <c r="I23" s="846"/>
      <c r="J23" s="846"/>
      <c r="K23" s="846"/>
      <c r="L23" s="846"/>
      <c r="M23" s="846"/>
      <c r="N23" s="846"/>
      <c r="O23" s="846"/>
      <c r="P23" s="846"/>
      <c r="Q23" s="846"/>
      <c r="R23" s="846"/>
      <c r="S23" s="846"/>
      <c r="T23" s="846"/>
      <c r="U23" s="846"/>
      <c r="V23" s="846"/>
      <c r="W23" s="846"/>
      <c r="X23" s="846"/>
      <c r="Y23" s="846"/>
      <c r="Z23" s="846"/>
      <c r="AA23" s="846"/>
      <c r="AB23" s="846"/>
      <c r="AC23" s="846"/>
      <c r="AD23" s="846"/>
      <c r="AE23" s="846"/>
      <c r="AF23" s="846"/>
      <c r="AG23" s="846"/>
      <c r="AH23" s="846"/>
      <c r="AI23" s="846"/>
      <c r="AJ23" s="846"/>
      <c r="AK23" s="846"/>
      <c r="AL23" s="846"/>
      <c r="AM23" s="846"/>
      <c r="AN23" s="846"/>
      <c r="AO23" s="846"/>
      <c r="AP23" s="846"/>
      <c r="AQ23" s="846"/>
      <c r="AR23" s="846"/>
      <c r="AS23" s="846"/>
      <c r="AT23" s="846"/>
      <c r="AU23" s="846"/>
      <c r="AV23" s="846"/>
      <c r="AW23" s="846"/>
      <c r="AX23" s="846"/>
      <c r="AY23" s="846"/>
      <c r="AZ23" s="846"/>
      <c r="BA23" s="846"/>
      <c r="BB23" s="846"/>
      <c r="BC23" s="846"/>
      <c r="BD23" s="846"/>
      <c r="BE23" s="846"/>
      <c r="BF23" s="846"/>
      <c r="BG23" s="846"/>
      <c r="BH23" s="846"/>
      <c r="BI23" s="846"/>
      <c r="BJ23" s="846"/>
      <c r="BK23" s="846"/>
      <c r="BL23" s="846"/>
      <c r="BM23" s="846"/>
      <c r="BN23" s="846"/>
      <c r="BO23" s="846"/>
      <c r="BP23" s="846"/>
      <c r="BQ23" s="846"/>
      <c r="BR23" s="846"/>
      <c r="BS23" s="846"/>
      <c r="BT23" s="846"/>
      <c r="BU23" s="846"/>
      <c r="BV23" s="846"/>
      <c r="BW23" s="846"/>
      <c r="BX23" s="846"/>
      <c r="BY23" s="846"/>
      <c r="BZ23" s="846"/>
      <c r="CA23" s="846"/>
      <c r="CB23" s="846"/>
      <c r="CC23" s="846"/>
      <c r="CD23" s="846"/>
      <c r="CE23" s="846"/>
      <c r="CF23" s="846"/>
      <c r="CG23" s="846"/>
      <c r="CH23" s="846"/>
      <c r="CI23" s="846"/>
      <c r="CJ23" s="846"/>
      <c r="CK23" s="846"/>
      <c r="CL23" s="846"/>
      <c r="CM23" s="846"/>
      <c r="CN23" s="846"/>
      <c r="CO23" s="846"/>
      <c r="CP23" s="846"/>
      <c r="CQ23" s="846"/>
      <c r="CR23" s="846"/>
      <c r="CS23" s="846"/>
      <c r="CT23" s="846"/>
      <c r="CU23" s="846"/>
      <c r="CV23" s="846"/>
      <c r="CW23" s="846"/>
      <c r="CX23" s="846"/>
      <c r="CY23" s="846"/>
      <c r="CZ23" s="846"/>
    </row>
    <row r="24" spans="1:104" ht="16.350000000000001" customHeight="1">
      <c r="A24" s="842" t="s">
        <v>131</v>
      </c>
      <c r="B24" s="842" t="n">
        <f>C24+D24</f>
        <v>0</v>
      </c>
      <c r="C24" s="844" t="n">
        <f>SUM(E24:CZ24)</f>
        <v>0</v>
      </c>
      <c r="D24" s="843">
        <v>0</v>
      </c>
      <c r="E24" s="845"/>
      <c r="F24" s="846"/>
      <c r="G24" s="846"/>
      <c r="H24" s="846"/>
      <c r="I24" s="846"/>
      <c r="J24" s="846"/>
      <c r="K24" s="846"/>
      <c r="L24" s="846"/>
      <c r="M24" s="846"/>
      <c r="N24" s="846"/>
      <c r="O24" s="846"/>
      <c r="P24" s="846"/>
      <c r="Q24" s="846"/>
      <c r="R24" s="846"/>
      <c r="S24" s="846"/>
      <c r="T24" s="846"/>
      <c r="U24" s="846"/>
      <c r="V24" s="846"/>
      <c r="W24" s="846"/>
      <c r="X24" s="846"/>
      <c r="Y24" s="846"/>
      <c r="Z24" s="846"/>
      <c r="AA24" s="846"/>
      <c r="AB24" s="846"/>
      <c r="AC24" s="846"/>
      <c r="AD24" s="846"/>
      <c r="AE24" s="846"/>
      <c r="AF24" s="846"/>
      <c r="AG24" s="846"/>
      <c r="AH24" s="846"/>
      <c r="AI24" s="846"/>
      <c r="AJ24" s="846"/>
      <c r="AK24" s="846"/>
      <c r="AL24" s="846"/>
      <c r="AM24" s="846"/>
      <c r="AN24" s="846"/>
      <c r="AO24" s="846"/>
      <c r="AP24" s="846"/>
      <c r="AQ24" s="846"/>
      <c r="AR24" s="846"/>
      <c r="AS24" s="846"/>
      <c r="AT24" s="846"/>
      <c r="AU24" s="846"/>
      <c r="AV24" s="846"/>
      <c r="AW24" s="846"/>
      <c r="AX24" s="846"/>
      <c r="AY24" s="846"/>
      <c r="AZ24" s="846"/>
      <c r="BA24" s="846"/>
      <c r="BB24" s="846"/>
      <c r="BC24" s="846"/>
      <c r="BD24" s="846"/>
      <c r="BE24" s="846"/>
      <c r="BF24" s="846"/>
      <c r="BG24" s="846"/>
      <c r="BH24" s="846"/>
      <c r="BI24" s="846"/>
      <c r="BJ24" s="846"/>
      <c r="BK24" s="846"/>
      <c r="BL24" s="846"/>
      <c r="BM24" s="846"/>
      <c r="BN24" s="846"/>
      <c r="BO24" s="846"/>
      <c r="BP24" s="846"/>
      <c r="BQ24" s="846"/>
      <c r="BR24" s="846"/>
      <c r="BS24" s="846"/>
      <c r="BT24" s="846"/>
      <c r="BU24" s="846"/>
      <c r="BV24" s="846"/>
      <c r="BW24" s="846"/>
      <c r="BX24" s="846"/>
      <c r="BY24" s="846"/>
      <c r="BZ24" s="846"/>
      <c r="CA24" s="846"/>
      <c r="CB24" s="846"/>
      <c r="CC24" s="846"/>
      <c r="CD24" s="846"/>
      <c r="CE24" s="846"/>
      <c r="CF24" s="846"/>
      <c r="CG24" s="846"/>
      <c r="CH24" s="846"/>
      <c r="CI24" s="846"/>
      <c r="CJ24" s="846"/>
      <c r="CK24" s="846"/>
      <c r="CL24" s="846"/>
      <c r="CM24" s="846"/>
      <c r="CN24" s="846"/>
      <c r="CO24" s="846"/>
      <c r="CP24" s="846"/>
      <c r="CQ24" s="846"/>
      <c r="CR24" s="846"/>
      <c r="CS24" s="846"/>
      <c r="CT24" s="846"/>
      <c r="CU24" s="846"/>
      <c r="CV24" s="846"/>
      <c r="CW24" s="846"/>
      <c r="CX24" s="846"/>
      <c r="CY24" s="846"/>
      <c r="CZ24" s="846"/>
    </row>
    <row r="25" spans="1:104" ht="16.350000000000001" customHeight="1">
      <c r="A25" s="842" t="s">
        <v>1342</v>
      </c>
      <c r="B25" s="842" t="n">
        <f>C25+D25</f>
        <v>20</v>
      </c>
      <c r="C25" s="844" t="n">
        <f>SUM(E25:CZ25)</f>
        <v>0</v>
      </c>
      <c r="D25" s="843">
        <v>20</v>
      </c>
      <c r="E25" s="845"/>
      <c r="F25" s="846"/>
      <c r="G25" s="846"/>
      <c r="H25" s="846"/>
      <c r="I25" s="846"/>
      <c r="J25" s="846"/>
      <c r="K25" s="846"/>
      <c r="L25" s="846"/>
      <c r="M25" s="846"/>
      <c r="N25" s="846"/>
      <c r="O25" s="846"/>
      <c r="P25" s="846"/>
      <c r="Q25" s="846"/>
      <c r="R25" s="846"/>
      <c r="S25" s="846"/>
      <c r="T25" s="846"/>
      <c r="U25" s="846"/>
      <c r="V25" s="846"/>
      <c r="W25" s="846"/>
      <c r="X25" s="846"/>
      <c r="Y25" s="846"/>
      <c r="Z25" s="846"/>
      <c r="AA25" s="846"/>
      <c r="AB25" s="846"/>
      <c r="AC25" s="846"/>
      <c r="AD25" s="846"/>
      <c r="AE25" s="846"/>
      <c r="AF25" s="846"/>
      <c r="AG25" s="846"/>
      <c r="AH25" s="846"/>
      <c r="AI25" s="846"/>
      <c r="AJ25" s="846"/>
      <c r="AK25" s="846"/>
      <c r="AL25" s="846"/>
      <c r="AM25" s="846"/>
      <c r="AN25" s="846"/>
      <c r="AO25" s="846"/>
      <c r="AP25" s="846"/>
      <c r="AQ25" s="846"/>
      <c r="AR25" s="846"/>
      <c r="AS25" s="846"/>
      <c r="AT25" s="846"/>
      <c r="AU25" s="846"/>
      <c r="AV25" s="846"/>
      <c r="AW25" s="846"/>
      <c r="AX25" s="846"/>
      <c r="AY25" s="846"/>
      <c r="AZ25" s="846"/>
      <c r="BA25" s="846"/>
      <c r="BB25" s="846"/>
      <c r="BC25" s="846"/>
      <c r="BD25" s="846"/>
      <c r="BE25" s="846"/>
      <c r="BF25" s="846"/>
      <c r="BG25" s="846"/>
      <c r="BH25" s="846"/>
      <c r="BI25" s="846"/>
      <c r="BJ25" s="846"/>
      <c r="BK25" s="846"/>
      <c r="BL25" s="846"/>
      <c r="BM25" s="846"/>
      <c r="BN25" s="846"/>
      <c r="BO25" s="846"/>
      <c r="BP25" s="846"/>
      <c r="BQ25" s="846"/>
      <c r="BR25" s="846"/>
      <c r="BS25" s="846"/>
      <c r="BT25" s="846"/>
      <c r="BU25" s="846"/>
      <c r="BV25" s="846"/>
      <c r="BW25" s="846"/>
      <c r="BX25" s="846"/>
      <c r="BY25" s="846"/>
      <c r="BZ25" s="846"/>
      <c r="CA25" s="846"/>
      <c r="CB25" s="846"/>
      <c r="CC25" s="846"/>
      <c r="CD25" s="846"/>
      <c r="CE25" s="846"/>
      <c r="CF25" s="846"/>
      <c r="CG25" s="846"/>
      <c r="CH25" s="846"/>
      <c r="CI25" s="846"/>
      <c r="CJ25" s="846"/>
      <c r="CK25" s="846"/>
      <c r="CL25" s="846"/>
      <c r="CM25" s="846"/>
      <c r="CN25" s="846"/>
      <c r="CO25" s="846"/>
      <c r="CP25" s="846"/>
      <c r="CQ25" s="846"/>
      <c r="CR25" s="846"/>
      <c r="CS25" s="846"/>
      <c r="CT25" s="846"/>
      <c r="CU25" s="846"/>
      <c r="CV25" s="846"/>
      <c r="CW25" s="846"/>
      <c r="CX25" s="846"/>
      <c r="CY25" s="846"/>
      <c r="CZ25" s="846"/>
    </row>
    <row r="26" spans="1:104" ht="16.350000000000001" customHeight="1">
      <c r="A26" s="842" t="s">
        <v>137</v>
      </c>
      <c r="B26" s="842" t="n">
        <f>C26+D26</f>
        <v>25</v>
      </c>
      <c r="C26" s="844" t="n">
        <f>SUM(E26:CZ26)</f>
        <v>0</v>
      </c>
      <c r="D26" s="843">
        <v>25</v>
      </c>
      <c r="E26" s="845"/>
      <c r="F26" s="846"/>
      <c r="G26" s="846"/>
      <c r="H26" s="846"/>
      <c r="I26" s="846"/>
      <c r="J26" s="846"/>
      <c r="K26" s="846"/>
      <c r="L26" s="846"/>
      <c r="M26" s="846"/>
      <c r="N26" s="846"/>
      <c r="O26" s="846"/>
      <c r="P26" s="846"/>
      <c r="Q26" s="846"/>
      <c r="R26" s="846"/>
      <c r="S26" s="846"/>
      <c r="T26" s="846"/>
      <c r="U26" s="846"/>
      <c r="V26" s="846"/>
      <c r="W26" s="846"/>
      <c r="X26" s="846"/>
      <c r="Y26" s="846"/>
      <c r="Z26" s="846"/>
      <c r="AA26" s="846"/>
      <c r="AB26" s="846"/>
      <c r="AC26" s="846"/>
      <c r="AD26" s="846"/>
      <c r="AE26" s="846"/>
      <c r="AF26" s="846"/>
      <c r="AG26" s="846"/>
      <c r="AH26" s="846"/>
      <c r="AI26" s="846"/>
      <c r="AJ26" s="846"/>
      <c r="AK26" s="846"/>
      <c r="AL26" s="846"/>
      <c r="AM26" s="846"/>
      <c r="AN26" s="846"/>
      <c r="AO26" s="846"/>
      <c r="AP26" s="846"/>
      <c r="AQ26" s="846"/>
      <c r="AR26" s="846"/>
      <c r="AS26" s="846"/>
      <c r="AT26" s="846"/>
      <c r="AU26" s="846"/>
      <c r="AV26" s="846"/>
      <c r="AW26" s="846"/>
      <c r="AX26" s="846"/>
      <c r="AY26" s="846"/>
      <c r="AZ26" s="846"/>
      <c r="BA26" s="846"/>
      <c r="BB26" s="846"/>
      <c r="BC26" s="846"/>
      <c r="BD26" s="846"/>
      <c r="BE26" s="846"/>
      <c r="BF26" s="846"/>
      <c r="BG26" s="846"/>
      <c r="BH26" s="846"/>
      <c r="BI26" s="846"/>
      <c r="BJ26" s="846"/>
      <c r="BK26" s="846"/>
      <c r="BL26" s="846"/>
      <c r="BM26" s="846"/>
      <c r="BN26" s="846"/>
      <c r="BO26" s="846"/>
      <c r="BP26" s="846"/>
      <c r="BQ26" s="846"/>
      <c r="BR26" s="846"/>
      <c r="BS26" s="846"/>
      <c r="BT26" s="846"/>
      <c r="BU26" s="846"/>
      <c r="BV26" s="846"/>
      <c r="BW26" s="846"/>
      <c r="BX26" s="846"/>
      <c r="BY26" s="846"/>
      <c r="BZ26" s="846"/>
      <c r="CA26" s="846"/>
      <c r="CB26" s="846"/>
      <c r="CC26" s="846"/>
      <c r="CD26" s="846"/>
      <c r="CE26" s="846"/>
      <c r="CF26" s="846"/>
      <c r="CG26" s="846"/>
      <c r="CH26" s="846"/>
      <c r="CI26" s="846"/>
      <c r="CJ26" s="846"/>
      <c r="CK26" s="846"/>
      <c r="CL26" s="846"/>
      <c r="CM26" s="846"/>
      <c r="CN26" s="846"/>
      <c r="CO26" s="846"/>
      <c r="CP26" s="846"/>
      <c r="CQ26" s="846"/>
      <c r="CR26" s="846"/>
      <c r="CS26" s="846"/>
      <c r="CT26" s="846"/>
      <c r="CU26" s="846"/>
      <c r="CV26" s="846"/>
      <c r="CW26" s="846"/>
      <c r="CX26" s="846"/>
      <c r="CY26" s="846"/>
      <c r="CZ26" s="846"/>
    </row>
    <row r="27" spans="1:104" ht="16.350000000000001" customHeight="1">
      <c r="A27" s="842" t="s">
        <v>139</v>
      </c>
      <c r="B27" s="842" t="n">
        <f>C27+D27</f>
        <v>0</v>
      </c>
      <c r="C27" s="844" t="n">
        <f>SUM(E27:CZ27)</f>
        <v>0</v>
      </c>
      <c r="D27" s="843">
        <v>0</v>
      </c>
      <c r="E27" s="845"/>
      <c r="F27" s="846"/>
      <c r="G27" s="846"/>
      <c r="H27" s="846"/>
      <c r="I27" s="846"/>
      <c r="J27" s="846"/>
      <c r="K27" s="846"/>
      <c r="L27" s="846"/>
      <c r="M27" s="846"/>
      <c r="N27" s="846"/>
      <c r="O27" s="846"/>
      <c r="P27" s="846"/>
      <c r="Q27" s="846"/>
      <c r="R27" s="846"/>
      <c r="S27" s="846"/>
      <c r="T27" s="846"/>
      <c r="U27" s="846"/>
      <c r="V27" s="846"/>
      <c r="W27" s="846"/>
      <c r="X27" s="846"/>
      <c r="Y27" s="846"/>
      <c r="Z27" s="846"/>
      <c r="AA27" s="846"/>
      <c r="AB27" s="846"/>
      <c r="AC27" s="846"/>
      <c r="AD27" s="846"/>
      <c r="AE27" s="846"/>
      <c r="AF27" s="846"/>
      <c r="AG27" s="846"/>
      <c r="AH27" s="846"/>
      <c r="AI27" s="846"/>
      <c r="AJ27" s="846"/>
      <c r="AK27" s="846"/>
      <c r="AL27" s="846"/>
      <c r="AM27" s="846"/>
      <c r="AN27" s="846"/>
      <c r="AO27" s="846"/>
      <c r="AP27" s="846"/>
      <c r="AQ27" s="846"/>
      <c r="AR27" s="846"/>
      <c r="AS27" s="846"/>
      <c r="AT27" s="846"/>
      <c r="AU27" s="846"/>
      <c r="AV27" s="846"/>
      <c r="AW27" s="846"/>
      <c r="AX27" s="846"/>
      <c r="AY27" s="846"/>
      <c r="AZ27" s="846"/>
      <c r="BA27" s="846"/>
      <c r="BB27" s="846"/>
      <c r="BC27" s="846"/>
      <c r="BD27" s="846"/>
      <c r="BE27" s="846"/>
      <c r="BF27" s="846"/>
      <c r="BG27" s="846"/>
      <c r="BH27" s="846"/>
      <c r="BI27" s="846"/>
      <c r="BJ27" s="846"/>
      <c r="BK27" s="846"/>
      <c r="BL27" s="846"/>
      <c r="BM27" s="846"/>
      <c r="BN27" s="846"/>
      <c r="BO27" s="846"/>
      <c r="BP27" s="846"/>
      <c r="BQ27" s="846"/>
      <c r="BR27" s="846"/>
      <c r="BS27" s="846"/>
      <c r="BT27" s="846"/>
      <c r="BU27" s="846"/>
      <c r="BV27" s="846"/>
      <c r="BW27" s="846"/>
      <c r="BX27" s="846"/>
      <c r="BY27" s="846"/>
      <c r="BZ27" s="846"/>
      <c r="CA27" s="846"/>
      <c r="CB27" s="846"/>
      <c r="CC27" s="846"/>
      <c r="CD27" s="846"/>
      <c r="CE27" s="846"/>
      <c r="CF27" s="846"/>
      <c r="CG27" s="846"/>
      <c r="CH27" s="846"/>
      <c r="CI27" s="846"/>
      <c r="CJ27" s="846"/>
      <c r="CK27" s="846"/>
      <c r="CL27" s="846"/>
      <c r="CM27" s="846"/>
      <c r="CN27" s="846"/>
      <c r="CO27" s="846"/>
      <c r="CP27" s="846"/>
      <c r="CQ27" s="846"/>
      <c r="CR27" s="846"/>
      <c r="CS27" s="846"/>
      <c r="CT27" s="846"/>
      <c r="CU27" s="846"/>
      <c r="CV27" s="846"/>
      <c r="CW27" s="846"/>
      <c r="CX27" s="846"/>
      <c r="CY27" s="846"/>
      <c r="CZ27" s="846"/>
    </row>
    <row r="28" spans="1:104" ht="16.350000000000001" customHeight="1">
      <c r="A28" s="842" t="s">
        <v>141</v>
      </c>
      <c r="B28" s="842" t="n">
        <f>C28+D28</f>
        <v>0</v>
      </c>
      <c r="C28" s="844" t="n">
        <f>SUM(E28:CZ28)</f>
        <v>0</v>
      </c>
      <c r="D28" s="843">
        <v>0</v>
      </c>
      <c r="E28" s="845"/>
      <c r="F28" s="846"/>
      <c r="G28" s="846"/>
      <c r="H28" s="846"/>
      <c r="I28" s="846"/>
      <c r="J28" s="846"/>
      <c r="K28" s="846"/>
      <c r="L28" s="846"/>
      <c r="M28" s="846"/>
      <c r="N28" s="846"/>
      <c r="O28" s="846"/>
      <c r="P28" s="846"/>
      <c r="Q28" s="846"/>
      <c r="R28" s="846"/>
      <c r="S28" s="846"/>
      <c r="T28" s="846"/>
      <c r="U28" s="846"/>
      <c r="V28" s="846"/>
      <c r="W28" s="846"/>
      <c r="X28" s="846"/>
      <c r="Y28" s="846"/>
      <c r="Z28" s="846"/>
      <c r="AA28" s="846"/>
      <c r="AB28" s="846"/>
      <c r="AC28" s="846"/>
      <c r="AD28" s="846"/>
      <c r="AE28" s="846"/>
      <c r="AF28" s="846"/>
      <c r="AG28" s="846"/>
      <c r="AH28" s="846"/>
      <c r="AI28" s="846"/>
      <c r="AJ28" s="846"/>
      <c r="AK28" s="846"/>
      <c r="AL28" s="846"/>
      <c r="AM28" s="846"/>
      <c r="AN28" s="846"/>
      <c r="AO28" s="846"/>
      <c r="AP28" s="846"/>
      <c r="AQ28" s="846"/>
      <c r="AR28" s="846"/>
      <c r="AS28" s="846"/>
      <c r="AT28" s="846"/>
      <c r="AU28" s="846"/>
      <c r="AV28" s="846"/>
      <c r="AW28" s="846"/>
      <c r="AX28" s="846"/>
      <c r="AY28" s="846"/>
      <c r="AZ28" s="846"/>
      <c r="BA28" s="846"/>
      <c r="BB28" s="846"/>
      <c r="BC28" s="846"/>
      <c r="BD28" s="846"/>
      <c r="BE28" s="846"/>
      <c r="BF28" s="846"/>
      <c r="BG28" s="846"/>
      <c r="BH28" s="846"/>
      <c r="BI28" s="846"/>
      <c r="BJ28" s="846"/>
      <c r="BK28" s="846"/>
      <c r="BL28" s="846"/>
      <c r="BM28" s="846"/>
      <c r="BN28" s="846"/>
      <c r="BO28" s="846"/>
      <c r="BP28" s="846"/>
      <c r="BQ28" s="846"/>
      <c r="BR28" s="846"/>
      <c r="BS28" s="846"/>
      <c r="BT28" s="846"/>
      <c r="BU28" s="846"/>
      <c r="BV28" s="846"/>
      <c r="BW28" s="846"/>
      <c r="BX28" s="846"/>
      <c r="BY28" s="846"/>
      <c r="BZ28" s="846"/>
      <c r="CA28" s="846"/>
      <c r="CB28" s="846"/>
      <c r="CC28" s="846"/>
      <c r="CD28" s="846"/>
      <c r="CE28" s="846"/>
      <c r="CF28" s="846"/>
      <c r="CG28" s="846"/>
      <c r="CH28" s="846"/>
      <c r="CI28" s="846"/>
      <c r="CJ28" s="846"/>
      <c r="CK28" s="846"/>
      <c r="CL28" s="846"/>
      <c r="CM28" s="846"/>
      <c r="CN28" s="846"/>
      <c r="CO28" s="846"/>
      <c r="CP28" s="846"/>
      <c r="CQ28" s="846"/>
      <c r="CR28" s="846"/>
      <c r="CS28" s="846"/>
      <c r="CT28" s="846"/>
      <c r="CU28" s="846"/>
      <c r="CV28" s="846"/>
      <c r="CW28" s="846"/>
      <c r="CX28" s="846"/>
      <c r="CY28" s="846"/>
      <c r="CZ28" s="846"/>
    </row>
    <row r="29" spans="1:104" ht="16.350000000000001" customHeight="1">
      <c r="A29" s="842" t="s">
        <v>143</v>
      </c>
      <c r="B29" s="842" t="n">
        <f>C29+D29</f>
        <v>30</v>
      </c>
      <c r="C29" s="844" t="n">
        <f>SUM(E29:CZ29)</f>
        <v>0</v>
      </c>
      <c r="D29" s="843">
        <v>30</v>
      </c>
      <c r="E29" s="845"/>
      <c r="F29" s="846"/>
      <c r="G29" s="846"/>
      <c r="H29" s="846"/>
      <c r="I29" s="846"/>
      <c r="J29" s="846"/>
      <c r="K29" s="846"/>
      <c r="L29" s="846"/>
      <c r="M29" s="846"/>
      <c r="N29" s="846"/>
      <c r="O29" s="846"/>
      <c r="P29" s="846"/>
      <c r="Q29" s="846"/>
      <c r="R29" s="846"/>
      <c r="S29" s="846"/>
      <c r="T29" s="846"/>
      <c r="U29" s="846"/>
      <c r="V29" s="846"/>
      <c r="W29" s="846"/>
      <c r="X29" s="846"/>
      <c r="Y29" s="846"/>
      <c r="Z29" s="846"/>
      <c r="AA29" s="846"/>
      <c r="AB29" s="846"/>
      <c r="AC29" s="846"/>
      <c r="AD29" s="846"/>
      <c r="AE29" s="846"/>
      <c r="AF29" s="846"/>
      <c r="AG29" s="846"/>
      <c r="AH29" s="846"/>
      <c r="AI29" s="846"/>
      <c r="AJ29" s="846"/>
      <c r="AK29" s="846"/>
      <c r="AL29" s="846"/>
      <c r="AM29" s="846"/>
      <c r="AN29" s="846"/>
      <c r="AO29" s="846"/>
      <c r="AP29" s="846"/>
      <c r="AQ29" s="846"/>
      <c r="AR29" s="846"/>
      <c r="AS29" s="846"/>
      <c r="AT29" s="846"/>
      <c r="AU29" s="846"/>
      <c r="AV29" s="846"/>
      <c r="AW29" s="846"/>
      <c r="AX29" s="846"/>
      <c r="AY29" s="846"/>
      <c r="AZ29" s="846"/>
      <c r="BA29" s="846"/>
      <c r="BB29" s="846"/>
      <c r="BC29" s="846"/>
      <c r="BD29" s="846"/>
      <c r="BE29" s="846"/>
      <c r="BF29" s="846"/>
      <c r="BG29" s="846"/>
      <c r="BH29" s="846"/>
      <c r="BI29" s="846"/>
      <c r="BJ29" s="846"/>
      <c r="BK29" s="846"/>
      <c r="BL29" s="846"/>
      <c r="BM29" s="846"/>
      <c r="BN29" s="846"/>
      <c r="BO29" s="846"/>
      <c r="BP29" s="846"/>
      <c r="BQ29" s="846"/>
      <c r="BR29" s="846"/>
      <c r="BS29" s="846"/>
      <c r="BT29" s="846"/>
      <c r="BU29" s="846"/>
      <c r="BV29" s="846"/>
      <c r="BW29" s="846"/>
      <c r="BX29" s="846"/>
      <c r="BY29" s="846"/>
      <c r="BZ29" s="846"/>
      <c r="CA29" s="846"/>
      <c r="CB29" s="846"/>
      <c r="CC29" s="846"/>
      <c r="CD29" s="846"/>
      <c r="CE29" s="846"/>
      <c r="CF29" s="846"/>
      <c r="CG29" s="846"/>
      <c r="CH29" s="846"/>
      <c r="CI29" s="846"/>
      <c r="CJ29" s="846"/>
      <c r="CK29" s="846"/>
      <c r="CL29" s="846"/>
      <c r="CM29" s="846"/>
      <c r="CN29" s="846"/>
      <c r="CO29" s="846"/>
      <c r="CP29" s="846"/>
      <c r="CQ29" s="846"/>
      <c r="CR29" s="846"/>
      <c r="CS29" s="846"/>
      <c r="CT29" s="846"/>
      <c r="CU29" s="846"/>
      <c r="CV29" s="846"/>
      <c r="CW29" s="846"/>
      <c r="CX29" s="846"/>
      <c r="CY29" s="846"/>
      <c r="CZ29" s="846"/>
    </row>
    <row r="30" spans="1:104" ht="16.350000000000001" customHeight="1">
      <c r="A30" s="842" t="s">
        <v>145</v>
      </c>
      <c r="B30" s="842" t="n">
        <f>C30+D30</f>
        <v>5</v>
      </c>
      <c r="C30" s="844" t="n">
        <f>SUM(E30:CZ30)</f>
        <v>0</v>
      </c>
      <c r="D30" s="843">
        <v>5</v>
      </c>
      <c r="E30" s="845"/>
      <c r="F30" s="846"/>
      <c r="G30" s="846"/>
      <c r="H30" s="846"/>
      <c r="I30" s="846"/>
      <c r="J30" s="846"/>
      <c r="K30" s="846"/>
      <c r="L30" s="846"/>
      <c r="M30" s="846"/>
      <c r="N30" s="846"/>
      <c r="O30" s="846"/>
      <c r="P30" s="846"/>
      <c r="Q30" s="846"/>
      <c r="R30" s="846"/>
      <c r="S30" s="846"/>
      <c r="T30" s="846"/>
      <c r="U30" s="846"/>
      <c r="V30" s="846"/>
      <c r="W30" s="846"/>
      <c r="X30" s="846"/>
      <c r="Y30" s="846"/>
      <c r="Z30" s="846"/>
      <c r="AA30" s="846"/>
      <c r="AB30" s="846"/>
      <c r="AC30" s="846"/>
      <c r="AD30" s="846"/>
      <c r="AE30" s="846"/>
      <c r="AF30" s="846"/>
      <c r="AG30" s="846"/>
      <c r="AH30" s="846"/>
      <c r="AI30" s="846"/>
      <c r="AJ30" s="846"/>
      <c r="AK30" s="846"/>
      <c r="AL30" s="846"/>
      <c r="AM30" s="846"/>
      <c r="AN30" s="846"/>
      <c r="AO30" s="846"/>
      <c r="AP30" s="846"/>
      <c r="AQ30" s="846"/>
      <c r="AR30" s="846"/>
      <c r="AS30" s="846"/>
      <c r="AT30" s="846"/>
      <c r="AU30" s="846"/>
      <c r="AV30" s="846"/>
      <c r="AW30" s="846"/>
      <c r="AX30" s="846"/>
      <c r="AY30" s="846"/>
      <c r="AZ30" s="846"/>
      <c r="BA30" s="846"/>
      <c r="BB30" s="846"/>
      <c r="BC30" s="846"/>
      <c r="BD30" s="846"/>
      <c r="BE30" s="846"/>
      <c r="BF30" s="846"/>
      <c r="BG30" s="846"/>
      <c r="BH30" s="846"/>
      <c r="BI30" s="846"/>
      <c r="BJ30" s="846"/>
      <c r="BK30" s="846"/>
      <c r="BL30" s="846"/>
      <c r="BM30" s="846"/>
      <c r="BN30" s="846"/>
      <c r="BO30" s="846"/>
      <c r="BP30" s="846"/>
      <c r="BQ30" s="846"/>
      <c r="BR30" s="846"/>
      <c r="BS30" s="846"/>
      <c r="BT30" s="846"/>
      <c r="BU30" s="846"/>
      <c r="BV30" s="846"/>
      <c r="BW30" s="846"/>
      <c r="BX30" s="846"/>
      <c r="BY30" s="846"/>
      <c r="BZ30" s="846"/>
      <c r="CA30" s="846"/>
      <c r="CB30" s="846"/>
      <c r="CC30" s="846"/>
      <c r="CD30" s="846"/>
      <c r="CE30" s="846"/>
      <c r="CF30" s="846"/>
      <c r="CG30" s="846"/>
      <c r="CH30" s="846"/>
      <c r="CI30" s="846"/>
      <c r="CJ30" s="846"/>
      <c r="CK30" s="846"/>
      <c r="CL30" s="846"/>
      <c r="CM30" s="846"/>
      <c r="CN30" s="846"/>
      <c r="CO30" s="846"/>
      <c r="CP30" s="846"/>
      <c r="CQ30" s="846"/>
      <c r="CR30" s="846"/>
      <c r="CS30" s="846"/>
      <c r="CT30" s="846"/>
      <c r="CU30" s="846"/>
      <c r="CV30" s="846"/>
      <c r="CW30" s="846"/>
      <c r="CX30" s="846"/>
      <c r="CY30" s="846"/>
      <c r="CZ30" s="846"/>
    </row>
    <row r="31" spans="1:104" ht="16.350000000000001" customHeight="1">
      <c r="A31" s="842" t="s">
        <v>148</v>
      </c>
      <c r="B31" s="842" t="n">
        <f>C31+D31</f>
        <v>15</v>
      </c>
      <c r="C31" s="844" t="n">
        <f>SUM(E31:CZ31)</f>
        <v>0</v>
      </c>
      <c r="D31" s="843">
        <v>15</v>
      </c>
      <c r="E31" s="845"/>
      <c r="F31" s="846"/>
      <c r="G31" s="846"/>
      <c r="H31" s="846"/>
      <c r="I31" s="846"/>
      <c r="J31" s="846"/>
      <c r="K31" s="846"/>
      <c r="L31" s="846"/>
      <c r="M31" s="846"/>
      <c r="N31" s="846"/>
      <c r="O31" s="846"/>
      <c r="P31" s="846"/>
      <c r="Q31" s="846"/>
      <c r="R31" s="846"/>
      <c r="S31" s="846"/>
      <c r="T31" s="846"/>
      <c r="U31" s="846"/>
      <c r="V31" s="846"/>
      <c r="W31" s="846"/>
      <c r="X31" s="846"/>
      <c r="Y31" s="846"/>
      <c r="Z31" s="846"/>
      <c r="AA31" s="846"/>
      <c r="AB31" s="846"/>
      <c r="AC31" s="846"/>
      <c r="AD31" s="846"/>
      <c r="AE31" s="846"/>
      <c r="AF31" s="846"/>
      <c r="AG31" s="846"/>
      <c r="AH31" s="846"/>
      <c r="AI31" s="846"/>
      <c r="AJ31" s="846"/>
      <c r="AK31" s="846"/>
      <c r="AL31" s="846"/>
      <c r="AM31" s="846"/>
      <c r="AN31" s="846"/>
      <c r="AO31" s="846"/>
      <c r="AP31" s="846"/>
      <c r="AQ31" s="846"/>
      <c r="AR31" s="846"/>
      <c r="AS31" s="846"/>
      <c r="AT31" s="846"/>
      <c r="AU31" s="846"/>
      <c r="AV31" s="846"/>
      <c r="AW31" s="846"/>
      <c r="AX31" s="846"/>
      <c r="AY31" s="846"/>
      <c r="AZ31" s="846"/>
      <c r="BA31" s="846"/>
      <c r="BB31" s="846"/>
      <c r="BC31" s="846"/>
      <c r="BD31" s="846"/>
      <c r="BE31" s="846"/>
      <c r="BF31" s="846"/>
      <c r="BG31" s="846"/>
      <c r="BH31" s="846"/>
      <c r="BI31" s="846"/>
      <c r="BJ31" s="846"/>
      <c r="BK31" s="846"/>
      <c r="BL31" s="846"/>
      <c r="BM31" s="846"/>
      <c r="BN31" s="846"/>
      <c r="BO31" s="846"/>
      <c r="BP31" s="846"/>
      <c r="BQ31" s="846"/>
      <c r="BR31" s="846"/>
      <c r="BS31" s="846"/>
      <c r="BT31" s="846"/>
      <c r="BU31" s="846"/>
      <c r="BV31" s="846"/>
      <c r="BW31" s="846"/>
      <c r="BX31" s="846"/>
      <c r="BY31" s="846"/>
      <c r="BZ31" s="846"/>
      <c r="CA31" s="846"/>
      <c r="CB31" s="846"/>
      <c r="CC31" s="846"/>
      <c r="CD31" s="846"/>
      <c r="CE31" s="846"/>
      <c r="CF31" s="846"/>
      <c r="CG31" s="846"/>
      <c r="CH31" s="846"/>
      <c r="CI31" s="846"/>
      <c r="CJ31" s="846"/>
      <c r="CK31" s="846"/>
      <c r="CL31" s="846"/>
      <c r="CM31" s="846"/>
      <c r="CN31" s="846"/>
      <c r="CO31" s="846"/>
      <c r="CP31" s="846"/>
      <c r="CQ31" s="846"/>
      <c r="CR31" s="846"/>
      <c r="CS31" s="846"/>
      <c r="CT31" s="846"/>
      <c r="CU31" s="846"/>
      <c r="CV31" s="846"/>
      <c r="CW31" s="846"/>
      <c r="CX31" s="846"/>
      <c r="CY31" s="846"/>
      <c r="CZ31" s="846"/>
    </row>
    <row r="32" spans="1:104" ht="16.350000000000001" customHeight="1">
      <c r="A32" s="842" t="s">
        <v>150</v>
      </c>
      <c r="B32" s="842" t="n">
        <f>C32+D32</f>
        <v>20</v>
      </c>
      <c r="C32" s="844" t="n">
        <f>SUM(E32:CZ32)</f>
        <v>0</v>
      </c>
      <c r="D32" s="843">
        <v>20</v>
      </c>
      <c r="E32" s="845"/>
      <c r="F32" s="846"/>
      <c r="G32" s="846"/>
      <c r="H32" s="846"/>
      <c r="I32" s="846"/>
      <c r="J32" s="846"/>
      <c r="K32" s="846"/>
      <c r="L32" s="846"/>
      <c r="M32" s="846"/>
      <c r="N32" s="846"/>
      <c r="O32" s="846"/>
      <c r="P32" s="846"/>
      <c r="Q32" s="846"/>
      <c r="R32" s="846"/>
      <c r="S32" s="846"/>
      <c r="T32" s="846"/>
      <c r="U32" s="846"/>
      <c r="V32" s="846"/>
      <c r="W32" s="846"/>
      <c r="X32" s="846"/>
      <c r="Y32" s="846"/>
      <c r="Z32" s="846"/>
      <c r="AA32" s="846"/>
      <c r="AB32" s="846"/>
      <c r="AC32" s="846"/>
      <c r="AD32" s="846"/>
      <c r="AE32" s="846"/>
      <c r="AF32" s="846"/>
      <c r="AG32" s="846"/>
      <c r="AH32" s="846"/>
      <c r="AI32" s="846"/>
      <c r="AJ32" s="846"/>
      <c r="AK32" s="846"/>
      <c r="AL32" s="846"/>
      <c r="AM32" s="846"/>
      <c r="AN32" s="846"/>
      <c r="AO32" s="846"/>
      <c r="AP32" s="846"/>
      <c r="AQ32" s="846"/>
      <c r="AR32" s="846"/>
      <c r="AS32" s="846"/>
      <c r="AT32" s="846"/>
      <c r="AU32" s="846"/>
      <c r="AV32" s="846"/>
      <c r="AW32" s="846"/>
      <c r="AX32" s="846"/>
      <c r="AY32" s="846"/>
      <c r="AZ32" s="846"/>
      <c r="BA32" s="846"/>
      <c r="BB32" s="846"/>
      <c r="BC32" s="846"/>
      <c r="BD32" s="846"/>
      <c r="BE32" s="846"/>
      <c r="BF32" s="846"/>
      <c r="BG32" s="846"/>
      <c r="BH32" s="846"/>
      <c r="BI32" s="846"/>
      <c r="BJ32" s="846"/>
      <c r="BK32" s="846"/>
      <c r="BL32" s="846"/>
      <c r="BM32" s="846"/>
      <c r="BN32" s="846"/>
      <c r="BO32" s="846"/>
      <c r="BP32" s="846"/>
      <c r="BQ32" s="846"/>
      <c r="BR32" s="846"/>
      <c r="BS32" s="846"/>
      <c r="BT32" s="846"/>
      <c r="BU32" s="846"/>
      <c r="BV32" s="846"/>
      <c r="BW32" s="846"/>
      <c r="BX32" s="846"/>
      <c r="BY32" s="846"/>
      <c r="BZ32" s="846"/>
      <c r="CA32" s="846"/>
      <c r="CB32" s="846"/>
      <c r="CC32" s="846"/>
      <c r="CD32" s="846"/>
      <c r="CE32" s="846"/>
      <c r="CF32" s="846"/>
      <c r="CG32" s="846"/>
      <c r="CH32" s="846"/>
      <c r="CI32" s="846"/>
      <c r="CJ32" s="846"/>
      <c r="CK32" s="846"/>
      <c r="CL32" s="846"/>
      <c r="CM32" s="846"/>
      <c r="CN32" s="846"/>
      <c r="CO32" s="846"/>
      <c r="CP32" s="846"/>
      <c r="CQ32" s="846"/>
      <c r="CR32" s="846"/>
      <c r="CS32" s="846"/>
      <c r="CT32" s="846"/>
      <c r="CU32" s="846"/>
      <c r="CV32" s="846"/>
      <c r="CW32" s="846"/>
      <c r="CX32" s="846"/>
      <c r="CY32" s="846"/>
      <c r="CZ32" s="846"/>
    </row>
    <row r="33" spans="1:104" ht="16.350000000000001" customHeight="1">
      <c r="A33" s="842" t="s">
        <v>152</v>
      </c>
      <c r="B33" s="842" t="n">
        <f>C33+D33</f>
        <v>1</v>
      </c>
      <c r="C33" s="844" t="n">
        <f>SUM(E33:CZ33)</f>
        <v>0</v>
      </c>
      <c r="D33" s="843">
        <v>1</v>
      </c>
      <c r="E33" s="845"/>
      <c r="F33" s="846"/>
      <c r="G33" s="846"/>
      <c r="H33" s="846"/>
      <c r="I33" s="846"/>
      <c r="J33" s="846"/>
      <c r="K33" s="846"/>
      <c r="L33" s="846"/>
      <c r="M33" s="846"/>
      <c r="N33" s="846"/>
      <c r="O33" s="846"/>
      <c r="P33" s="846"/>
      <c r="Q33" s="846"/>
      <c r="R33" s="846"/>
      <c r="S33" s="846"/>
      <c r="T33" s="846"/>
      <c r="U33" s="846"/>
      <c r="V33" s="846"/>
      <c r="W33" s="846"/>
      <c r="X33" s="846"/>
      <c r="Y33" s="846"/>
      <c r="Z33" s="846"/>
      <c r="AA33" s="846"/>
      <c r="AB33" s="846"/>
      <c r="AC33" s="846"/>
      <c r="AD33" s="846"/>
      <c r="AE33" s="846"/>
      <c r="AF33" s="846"/>
      <c r="AG33" s="846"/>
      <c r="AH33" s="846"/>
      <c r="AI33" s="846"/>
      <c r="AJ33" s="846"/>
      <c r="AK33" s="846"/>
      <c r="AL33" s="846"/>
      <c r="AM33" s="846"/>
      <c r="AN33" s="846"/>
      <c r="AO33" s="846"/>
      <c r="AP33" s="846"/>
      <c r="AQ33" s="846"/>
      <c r="AR33" s="846"/>
      <c r="AS33" s="846"/>
      <c r="AT33" s="846"/>
      <c r="AU33" s="846"/>
      <c r="AV33" s="846"/>
      <c r="AW33" s="846"/>
      <c r="AX33" s="846"/>
      <c r="AY33" s="846"/>
      <c r="AZ33" s="846"/>
      <c r="BA33" s="846"/>
      <c r="BB33" s="846"/>
      <c r="BC33" s="846"/>
      <c r="BD33" s="846"/>
      <c r="BE33" s="846"/>
      <c r="BF33" s="846"/>
      <c r="BG33" s="846"/>
      <c r="BH33" s="846"/>
      <c r="BI33" s="846"/>
      <c r="BJ33" s="846"/>
      <c r="BK33" s="846"/>
      <c r="BL33" s="846"/>
      <c r="BM33" s="846"/>
      <c r="BN33" s="846"/>
      <c r="BO33" s="846"/>
      <c r="BP33" s="846"/>
      <c r="BQ33" s="846"/>
      <c r="BR33" s="846"/>
      <c r="BS33" s="846"/>
      <c r="BT33" s="846"/>
      <c r="BU33" s="846"/>
      <c r="BV33" s="846"/>
      <c r="BW33" s="846"/>
      <c r="BX33" s="846"/>
      <c r="BY33" s="846"/>
      <c r="BZ33" s="846"/>
      <c r="CA33" s="846"/>
      <c r="CB33" s="846"/>
      <c r="CC33" s="846"/>
      <c r="CD33" s="846"/>
      <c r="CE33" s="846"/>
      <c r="CF33" s="846"/>
      <c r="CG33" s="846"/>
      <c r="CH33" s="846"/>
      <c r="CI33" s="846"/>
      <c r="CJ33" s="846"/>
      <c r="CK33" s="846"/>
      <c r="CL33" s="846"/>
      <c r="CM33" s="846"/>
      <c r="CN33" s="846"/>
      <c r="CO33" s="846"/>
      <c r="CP33" s="846"/>
      <c r="CQ33" s="846"/>
      <c r="CR33" s="846"/>
      <c r="CS33" s="846"/>
      <c r="CT33" s="846"/>
      <c r="CU33" s="846"/>
      <c r="CV33" s="846"/>
      <c r="CW33" s="846"/>
      <c r="CX33" s="846"/>
      <c r="CY33" s="846"/>
      <c r="CZ33" s="846"/>
    </row>
    <row r="34" spans="1:104" ht="16.350000000000001" customHeight="1">
      <c r="A34" s="842" t="s">
        <v>154</v>
      </c>
      <c r="B34" s="842" t="n">
        <f>C34+D34</f>
        <v>1</v>
      </c>
      <c r="C34" s="844" t="n">
        <f>SUM(E34:CZ34)</f>
        <v>0</v>
      </c>
      <c r="D34" s="843">
        <v>1</v>
      </c>
      <c r="E34" s="845"/>
      <c r="F34" s="846"/>
      <c r="G34" s="846"/>
      <c r="H34" s="846"/>
      <c r="I34" s="846"/>
      <c r="J34" s="846"/>
      <c r="K34" s="846"/>
      <c r="L34" s="846"/>
      <c r="M34" s="846"/>
      <c r="N34" s="846"/>
      <c r="O34" s="846"/>
      <c r="P34" s="846"/>
      <c r="Q34" s="846"/>
      <c r="R34" s="846"/>
      <c r="S34" s="846"/>
      <c r="T34" s="846"/>
      <c r="U34" s="846"/>
      <c r="V34" s="846"/>
      <c r="W34" s="846"/>
      <c r="X34" s="846"/>
      <c r="Y34" s="846"/>
      <c r="Z34" s="846"/>
      <c r="AA34" s="846"/>
      <c r="AB34" s="846"/>
      <c r="AC34" s="846"/>
      <c r="AD34" s="846"/>
      <c r="AE34" s="846"/>
      <c r="AF34" s="846"/>
      <c r="AG34" s="846"/>
      <c r="AH34" s="846"/>
      <c r="AI34" s="846"/>
      <c r="AJ34" s="846"/>
      <c r="AK34" s="846"/>
      <c r="AL34" s="846"/>
      <c r="AM34" s="846"/>
      <c r="AN34" s="846"/>
      <c r="AO34" s="846"/>
      <c r="AP34" s="846"/>
      <c r="AQ34" s="846"/>
      <c r="AR34" s="846"/>
      <c r="AS34" s="846"/>
      <c r="AT34" s="846"/>
      <c r="AU34" s="846"/>
      <c r="AV34" s="846"/>
      <c r="AW34" s="846"/>
      <c r="AX34" s="846"/>
      <c r="AY34" s="846"/>
      <c r="AZ34" s="846"/>
      <c r="BA34" s="846"/>
      <c r="BB34" s="846"/>
      <c r="BC34" s="846"/>
      <c r="BD34" s="846"/>
      <c r="BE34" s="846"/>
      <c r="BF34" s="846"/>
      <c r="BG34" s="846"/>
      <c r="BH34" s="846"/>
      <c r="BI34" s="846"/>
      <c r="BJ34" s="846"/>
      <c r="BK34" s="846"/>
      <c r="BL34" s="846"/>
      <c r="BM34" s="846"/>
      <c r="BN34" s="846"/>
      <c r="BO34" s="846"/>
      <c r="BP34" s="846"/>
      <c r="BQ34" s="846"/>
      <c r="BR34" s="846"/>
      <c r="BS34" s="846"/>
      <c r="BT34" s="846"/>
      <c r="BU34" s="846"/>
      <c r="BV34" s="846"/>
      <c r="BW34" s="846"/>
      <c r="BX34" s="846"/>
      <c r="BY34" s="846"/>
      <c r="BZ34" s="846"/>
      <c r="CA34" s="846"/>
      <c r="CB34" s="846"/>
      <c r="CC34" s="846"/>
      <c r="CD34" s="846"/>
      <c r="CE34" s="846"/>
      <c r="CF34" s="846"/>
      <c r="CG34" s="846"/>
      <c r="CH34" s="846"/>
      <c r="CI34" s="846"/>
      <c r="CJ34" s="846"/>
      <c r="CK34" s="846"/>
      <c r="CL34" s="846"/>
      <c r="CM34" s="846"/>
      <c r="CN34" s="846"/>
      <c r="CO34" s="846"/>
      <c r="CP34" s="846"/>
      <c r="CQ34" s="846"/>
      <c r="CR34" s="846"/>
      <c r="CS34" s="846"/>
      <c r="CT34" s="846"/>
      <c r="CU34" s="846"/>
      <c r="CV34" s="846"/>
      <c r="CW34" s="846"/>
      <c r="CX34" s="846"/>
      <c r="CY34" s="846"/>
      <c r="CZ34" s="846"/>
    </row>
    <row r="35" spans="1:104" ht="16.350000000000001" customHeight="1">
      <c r="A35" s="842" t="s">
        <v>156</v>
      </c>
      <c r="B35" s="842" t="n">
        <f>C35+D35</f>
        <v>1</v>
      </c>
      <c r="C35" s="844" t="n">
        <f>SUM(E35:CZ35)</f>
        <v>0</v>
      </c>
      <c r="D35" s="843">
        <v>1</v>
      </c>
      <c r="E35" s="845"/>
      <c r="F35" s="846"/>
      <c r="G35" s="846"/>
      <c r="H35" s="846"/>
      <c r="I35" s="846"/>
      <c r="J35" s="846"/>
      <c r="K35" s="846"/>
      <c r="L35" s="846"/>
      <c r="M35" s="846"/>
      <c r="N35" s="846"/>
      <c r="O35" s="846"/>
      <c r="P35" s="846"/>
      <c r="Q35" s="846"/>
      <c r="R35" s="846"/>
      <c r="S35" s="846"/>
      <c r="T35" s="846"/>
      <c r="U35" s="846"/>
      <c r="V35" s="846"/>
      <c r="W35" s="846"/>
      <c r="X35" s="846"/>
      <c r="Y35" s="846"/>
      <c r="Z35" s="846"/>
      <c r="AA35" s="846"/>
      <c r="AB35" s="846"/>
      <c r="AC35" s="846"/>
      <c r="AD35" s="846"/>
      <c r="AE35" s="846"/>
      <c r="AF35" s="846"/>
      <c r="AG35" s="846"/>
      <c r="AH35" s="846"/>
      <c r="AI35" s="846"/>
      <c r="AJ35" s="846"/>
      <c r="AK35" s="846"/>
      <c r="AL35" s="846"/>
      <c r="AM35" s="846"/>
      <c r="AN35" s="846"/>
      <c r="AO35" s="846"/>
      <c r="AP35" s="846"/>
      <c r="AQ35" s="846"/>
      <c r="AR35" s="846"/>
      <c r="AS35" s="846"/>
      <c r="AT35" s="846"/>
      <c r="AU35" s="846"/>
      <c r="AV35" s="846"/>
      <c r="AW35" s="846"/>
      <c r="AX35" s="846"/>
      <c r="AY35" s="846"/>
      <c r="AZ35" s="846"/>
      <c r="BA35" s="846"/>
      <c r="BB35" s="846"/>
      <c r="BC35" s="846"/>
      <c r="BD35" s="846"/>
      <c r="BE35" s="846"/>
      <c r="BF35" s="846"/>
      <c r="BG35" s="846"/>
      <c r="BH35" s="846"/>
      <c r="BI35" s="846"/>
      <c r="BJ35" s="846"/>
      <c r="BK35" s="846"/>
      <c r="BL35" s="846"/>
      <c r="BM35" s="846"/>
      <c r="BN35" s="846"/>
      <c r="BO35" s="846"/>
      <c r="BP35" s="846"/>
      <c r="BQ35" s="846"/>
      <c r="BR35" s="846"/>
      <c r="BS35" s="846"/>
      <c r="BT35" s="846"/>
      <c r="BU35" s="846"/>
      <c r="BV35" s="846"/>
      <c r="BW35" s="846"/>
      <c r="BX35" s="846"/>
      <c r="BY35" s="846"/>
      <c r="BZ35" s="846"/>
      <c r="CA35" s="846"/>
      <c r="CB35" s="846"/>
      <c r="CC35" s="846"/>
      <c r="CD35" s="846"/>
      <c r="CE35" s="846"/>
      <c r="CF35" s="846"/>
      <c r="CG35" s="846"/>
      <c r="CH35" s="846"/>
      <c r="CI35" s="846"/>
      <c r="CJ35" s="846"/>
      <c r="CK35" s="846"/>
      <c r="CL35" s="846"/>
      <c r="CM35" s="846"/>
      <c r="CN35" s="846"/>
      <c r="CO35" s="846"/>
      <c r="CP35" s="846"/>
      <c r="CQ35" s="846"/>
      <c r="CR35" s="846"/>
      <c r="CS35" s="846"/>
      <c r="CT35" s="846"/>
      <c r="CU35" s="846"/>
      <c r="CV35" s="846"/>
      <c r="CW35" s="846"/>
      <c r="CX35" s="846"/>
      <c r="CY35" s="846"/>
      <c r="CZ35" s="846"/>
    </row>
    <row r="36" spans="1:104" ht="16.350000000000001" customHeight="1">
      <c r="A36" s="842" t="s">
        <v>158</v>
      </c>
      <c r="B36" s="842" t="n">
        <f>C36+D36</f>
        <v>0</v>
      </c>
      <c r="C36" s="844" t="n">
        <f>SUM(E36:CZ36)</f>
        <v>0</v>
      </c>
      <c r="D36" s="843">
        <v>0</v>
      </c>
      <c r="E36" s="845"/>
      <c r="F36" s="846"/>
      <c r="G36" s="846"/>
      <c r="H36" s="846"/>
      <c r="I36" s="846"/>
      <c r="J36" s="846"/>
      <c r="K36" s="846"/>
      <c r="L36" s="846"/>
      <c r="M36" s="846"/>
      <c r="N36" s="846"/>
      <c r="O36" s="846"/>
      <c r="P36" s="846"/>
      <c r="Q36" s="846"/>
      <c r="R36" s="846"/>
      <c r="S36" s="846"/>
      <c r="T36" s="846"/>
      <c r="U36" s="846"/>
      <c r="V36" s="846"/>
      <c r="W36" s="846"/>
      <c r="X36" s="846"/>
      <c r="Y36" s="846"/>
      <c r="Z36" s="846"/>
      <c r="AA36" s="846"/>
      <c r="AB36" s="846"/>
      <c r="AC36" s="846"/>
      <c r="AD36" s="846"/>
      <c r="AE36" s="846"/>
      <c r="AF36" s="846"/>
      <c r="AG36" s="846"/>
      <c r="AH36" s="846"/>
      <c r="AI36" s="846"/>
      <c r="AJ36" s="846"/>
      <c r="AK36" s="846"/>
      <c r="AL36" s="846"/>
      <c r="AM36" s="846"/>
      <c r="AN36" s="846"/>
      <c r="AO36" s="846"/>
      <c r="AP36" s="846"/>
      <c r="AQ36" s="846"/>
      <c r="AR36" s="846"/>
      <c r="AS36" s="846"/>
      <c r="AT36" s="846"/>
      <c r="AU36" s="846"/>
      <c r="AV36" s="846"/>
      <c r="AW36" s="846"/>
      <c r="AX36" s="846"/>
      <c r="AY36" s="846"/>
      <c r="AZ36" s="846"/>
      <c r="BA36" s="846"/>
      <c r="BB36" s="846"/>
      <c r="BC36" s="846"/>
      <c r="BD36" s="846"/>
      <c r="BE36" s="846"/>
      <c r="BF36" s="846"/>
      <c r="BG36" s="846"/>
      <c r="BH36" s="846"/>
      <c r="BI36" s="846"/>
      <c r="BJ36" s="846"/>
      <c r="BK36" s="846"/>
      <c r="BL36" s="846"/>
      <c r="BM36" s="846"/>
      <c r="BN36" s="846"/>
      <c r="BO36" s="846"/>
      <c r="BP36" s="846"/>
      <c r="BQ36" s="846"/>
      <c r="BR36" s="846"/>
      <c r="BS36" s="846"/>
      <c r="BT36" s="846"/>
      <c r="BU36" s="846"/>
      <c r="BV36" s="846"/>
      <c r="BW36" s="846"/>
      <c r="BX36" s="846"/>
      <c r="BY36" s="846"/>
      <c r="BZ36" s="846"/>
      <c r="CA36" s="846"/>
      <c r="CB36" s="846"/>
      <c r="CC36" s="846"/>
      <c r="CD36" s="846"/>
      <c r="CE36" s="846"/>
      <c r="CF36" s="846"/>
      <c r="CG36" s="846"/>
      <c r="CH36" s="846"/>
      <c r="CI36" s="846"/>
      <c r="CJ36" s="846"/>
      <c r="CK36" s="846"/>
      <c r="CL36" s="846"/>
      <c r="CM36" s="846"/>
      <c r="CN36" s="846"/>
      <c r="CO36" s="846"/>
      <c r="CP36" s="846"/>
      <c r="CQ36" s="846"/>
      <c r="CR36" s="846"/>
      <c r="CS36" s="846"/>
      <c r="CT36" s="846"/>
      <c r="CU36" s="846"/>
      <c r="CV36" s="846"/>
      <c r="CW36" s="846"/>
      <c r="CX36" s="846"/>
      <c r="CY36" s="846"/>
      <c r="CZ36" s="846"/>
    </row>
    <row r="37" spans="1:104" ht="16.350000000000001" customHeight="1">
      <c r="A37" s="842" t="s">
        <v>61</v>
      </c>
      <c r="B37" s="842" t="n">
        <f>C37+D37</f>
        <v>5</v>
      </c>
      <c r="C37" s="844" t="n">
        <f>SUM(E37:CZ37)</f>
        <v>0</v>
      </c>
      <c r="D37" s="843">
        <v>5</v>
      </c>
      <c r="E37" s="845"/>
      <c r="F37" s="846"/>
      <c r="G37" s="846"/>
      <c r="H37" s="846"/>
      <c r="I37" s="846"/>
      <c r="J37" s="846"/>
      <c r="K37" s="846"/>
      <c r="L37" s="846"/>
      <c r="M37" s="846"/>
      <c r="N37" s="846"/>
      <c r="O37" s="846"/>
      <c r="P37" s="846"/>
      <c r="Q37" s="846"/>
      <c r="R37" s="846"/>
      <c r="S37" s="846"/>
      <c r="T37" s="846"/>
      <c r="U37" s="846"/>
      <c r="V37" s="846"/>
      <c r="W37" s="846"/>
      <c r="X37" s="846"/>
      <c r="Y37" s="846"/>
      <c r="Z37" s="846"/>
      <c r="AA37" s="846"/>
      <c r="AB37" s="846"/>
      <c r="AC37" s="846"/>
      <c r="AD37" s="846"/>
      <c r="AE37" s="846"/>
      <c r="AF37" s="846"/>
      <c r="AG37" s="846"/>
      <c r="AH37" s="846"/>
      <c r="AI37" s="846"/>
      <c r="AJ37" s="846"/>
      <c r="AK37" s="846"/>
      <c r="AL37" s="846"/>
      <c r="AM37" s="846"/>
      <c r="AN37" s="846"/>
      <c r="AO37" s="846"/>
      <c r="AP37" s="846"/>
      <c r="AQ37" s="846"/>
      <c r="AR37" s="846"/>
      <c r="AS37" s="846"/>
      <c r="AT37" s="846"/>
      <c r="AU37" s="846"/>
      <c r="AV37" s="846"/>
      <c r="AW37" s="846"/>
      <c r="AX37" s="846"/>
      <c r="AY37" s="846"/>
      <c r="AZ37" s="846"/>
      <c r="BA37" s="846"/>
      <c r="BB37" s="846"/>
      <c r="BC37" s="846"/>
      <c r="BD37" s="846"/>
      <c r="BE37" s="846"/>
      <c r="BF37" s="846"/>
      <c r="BG37" s="846"/>
      <c r="BH37" s="846"/>
      <c r="BI37" s="846"/>
      <c r="BJ37" s="846"/>
      <c r="BK37" s="846"/>
      <c r="BL37" s="846"/>
      <c r="BM37" s="846"/>
      <c r="BN37" s="846"/>
      <c r="BO37" s="846"/>
      <c r="BP37" s="846"/>
      <c r="BQ37" s="846"/>
      <c r="BR37" s="846"/>
      <c r="BS37" s="846"/>
      <c r="BT37" s="846"/>
      <c r="BU37" s="846"/>
      <c r="BV37" s="846"/>
      <c r="BW37" s="846"/>
      <c r="BX37" s="846"/>
      <c r="BY37" s="846"/>
      <c r="BZ37" s="846"/>
      <c r="CA37" s="846"/>
      <c r="CB37" s="846"/>
      <c r="CC37" s="846"/>
      <c r="CD37" s="846"/>
      <c r="CE37" s="846"/>
      <c r="CF37" s="846"/>
      <c r="CG37" s="846"/>
      <c r="CH37" s="846"/>
      <c r="CI37" s="846"/>
      <c r="CJ37" s="846"/>
      <c r="CK37" s="846"/>
      <c r="CL37" s="846"/>
      <c r="CM37" s="846"/>
      <c r="CN37" s="846"/>
      <c r="CO37" s="846"/>
      <c r="CP37" s="846"/>
      <c r="CQ37" s="846"/>
      <c r="CR37" s="846"/>
      <c r="CS37" s="846"/>
      <c r="CT37" s="846"/>
      <c r="CU37" s="846"/>
      <c r="CV37" s="846"/>
      <c r="CW37" s="846"/>
      <c r="CX37" s="846"/>
      <c r="CY37" s="846"/>
      <c r="CZ37" s="846"/>
    </row>
    <row r="38" spans="1:104" ht="16.350000000000001" customHeight="1">
      <c r="A38" s="842" t="s">
        <v>63</v>
      </c>
      <c r="B38" s="842" t="n">
        <f>C38+D38</f>
        <v>20</v>
      </c>
      <c r="C38" s="844" t="n">
        <f>SUM(E38:CZ38)</f>
        <v>0</v>
      </c>
      <c r="D38" s="843">
        <v>20</v>
      </c>
      <c r="E38" s="845"/>
      <c r="F38" s="846"/>
      <c r="G38" s="846"/>
      <c r="H38" s="846"/>
      <c r="I38" s="846"/>
      <c r="J38" s="846"/>
      <c r="K38" s="846"/>
      <c r="L38" s="846"/>
      <c r="M38" s="846"/>
      <c r="N38" s="846"/>
      <c r="O38" s="846"/>
      <c r="P38" s="846"/>
      <c r="Q38" s="846"/>
      <c r="R38" s="846"/>
      <c r="S38" s="846"/>
      <c r="T38" s="846"/>
      <c r="U38" s="846"/>
      <c r="V38" s="846"/>
      <c r="W38" s="846"/>
      <c r="X38" s="846"/>
      <c r="Y38" s="846"/>
      <c r="Z38" s="846"/>
      <c r="AA38" s="846"/>
      <c r="AB38" s="846"/>
      <c r="AC38" s="846"/>
      <c r="AD38" s="846"/>
      <c r="AE38" s="846"/>
      <c r="AF38" s="846"/>
      <c r="AG38" s="846"/>
      <c r="AH38" s="846"/>
      <c r="AI38" s="846"/>
      <c r="AJ38" s="846"/>
      <c r="AK38" s="846"/>
      <c r="AL38" s="846"/>
      <c r="AM38" s="846"/>
      <c r="AN38" s="846"/>
      <c r="AO38" s="846"/>
      <c r="AP38" s="846"/>
      <c r="AQ38" s="846"/>
      <c r="AR38" s="846"/>
      <c r="AS38" s="846"/>
      <c r="AT38" s="846"/>
      <c r="AU38" s="846"/>
      <c r="AV38" s="846"/>
      <c r="AW38" s="846"/>
      <c r="AX38" s="846"/>
      <c r="AY38" s="846"/>
      <c r="AZ38" s="846"/>
      <c r="BA38" s="846"/>
      <c r="BB38" s="846"/>
      <c r="BC38" s="846"/>
      <c r="BD38" s="846"/>
      <c r="BE38" s="846"/>
      <c r="BF38" s="846"/>
      <c r="BG38" s="846"/>
      <c r="BH38" s="846"/>
      <c r="BI38" s="846"/>
      <c r="BJ38" s="846"/>
      <c r="BK38" s="846"/>
      <c r="BL38" s="846"/>
      <c r="BM38" s="846"/>
      <c r="BN38" s="846"/>
      <c r="BO38" s="846"/>
      <c r="BP38" s="846"/>
      <c r="BQ38" s="846"/>
      <c r="BR38" s="846"/>
      <c r="BS38" s="846"/>
      <c r="BT38" s="846"/>
      <c r="BU38" s="846"/>
      <c r="BV38" s="846"/>
      <c r="BW38" s="846"/>
      <c r="BX38" s="846"/>
      <c r="BY38" s="846"/>
      <c r="BZ38" s="846"/>
      <c r="CA38" s="846"/>
      <c r="CB38" s="846"/>
      <c r="CC38" s="846"/>
      <c r="CD38" s="846"/>
      <c r="CE38" s="846"/>
      <c r="CF38" s="846"/>
      <c r="CG38" s="846"/>
      <c r="CH38" s="846"/>
      <c r="CI38" s="846"/>
      <c r="CJ38" s="846"/>
      <c r="CK38" s="846"/>
      <c r="CL38" s="846"/>
      <c r="CM38" s="846"/>
      <c r="CN38" s="846"/>
      <c r="CO38" s="846"/>
      <c r="CP38" s="846"/>
      <c r="CQ38" s="846"/>
      <c r="CR38" s="846"/>
      <c r="CS38" s="846"/>
      <c r="CT38" s="846"/>
      <c r="CU38" s="846"/>
      <c r="CV38" s="846"/>
      <c r="CW38" s="846"/>
      <c r="CX38" s="846"/>
      <c r="CY38" s="846"/>
      <c r="CZ38" s="846"/>
    </row>
    <row r="39" spans="1:104" ht="16.350000000000001" customHeight="1">
      <c r="A39" s="842" t="s">
        <v>67</v>
      </c>
      <c r="B39" s="842" t="n">
        <f>C39+D39</f>
        <v>20</v>
      </c>
      <c r="C39" s="844" t="n">
        <f>SUM(E39:CZ39)</f>
        <v>0</v>
      </c>
      <c r="D39" s="843">
        <v>20</v>
      </c>
      <c r="E39" s="845"/>
      <c r="F39" s="846"/>
      <c r="G39" s="846"/>
      <c r="H39" s="846"/>
      <c r="I39" s="846"/>
      <c r="J39" s="846"/>
      <c r="K39" s="846"/>
      <c r="L39" s="846"/>
      <c r="M39" s="846"/>
      <c r="N39" s="846"/>
      <c r="O39" s="846"/>
      <c r="P39" s="846"/>
      <c r="Q39" s="846"/>
      <c r="R39" s="846"/>
      <c r="S39" s="846"/>
      <c r="T39" s="846"/>
      <c r="U39" s="846"/>
      <c r="V39" s="846"/>
      <c r="W39" s="846"/>
      <c r="X39" s="846"/>
      <c r="Y39" s="846"/>
      <c r="Z39" s="846"/>
      <c r="AA39" s="846"/>
      <c r="AB39" s="846"/>
      <c r="AC39" s="846"/>
      <c r="AD39" s="846"/>
      <c r="AE39" s="846"/>
      <c r="AF39" s="846"/>
      <c r="AG39" s="846"/>
      <c r="AH39" s="846"/>
      <c r="AI39" s="846"/>
      <c r="AJ39" s="846"/>
      <c r="AK39" s="846"/>
      <c r="AL39" s="846"/>
      <c r="AM39" s="846"/>
      <c r="AN39" s="846"/>
      <c r="AO39" s="846"/>
      <c r="AP39" s="846"/>
      <c r="AQ39" s="846"/>
      <c r="AR39" s="846"/>
      <c r="AS39" s="846"/>
      <c r="AT39" s="846"/>
      <c r="AU39" s="846"/>
      <c r="AV39" s="846"/>
      <c r="AW39" s="846"/>
      <c r="AX39" s="846"/>
      <c r="AY39" s="846"/>
      <c r="AZ39" s="846"/>
      <c r="BA39" s="846"/>
      <c r="BB39" s="846"/>
      <c r="BC39" s="846"/>
      <c r="BD39" s="846"/>
      <c r="BE39" s="846"/>
      <c r="BF39" s="846"/>
      <c r="BG39" s="846"/>
      <c r="BH39" s="846"/>
      <c r="BI39" s="846"/>
      <c r="BJ39" s="846"/>
      <c r="BK39" s="846"/>
      <c r="BL39" s="846"/>
      <c r="BM39" s="846"/>
      <c r="BN39" s="846"/>
      <c r="BO39" s="846"/>
      <c r="BP39" s="846"/>
      <c r="BQ39" s="846"/>
      <c r="BR39" s="846"/>
      <c r="BS39" s="846"/>
      <c r="BT39" s="846"/>
      <c r="BU39" s="846"/>
      <c r="BV39" s="846"/>
      <c r="BW39" s="846"/>
      <c r="BX39" s="846"/>
      <c r="BY39" s="846"/>
      <c r="BZ39" s="846"/>
      <c r="CA39" s="846"/>
      <c r="CB39" s="846"/>
      <c r="CC39" s="846"/>
      <c r="CD39" s="846"/>
      <c r="CE39" s="846"/>
      <c r="CF39" s="846"/>
      <c r="CG39" s="846"/>
      <c r="CH39" s="846"/>
      <c r="CI39" s="846"/>
      <c r="CJ39" s="846"/>
      <c r="CK39" s="846"/>
      <c r="CL39" s="846"/>
      <c r="CM39" s="846"/>
      <c r="CN39" s="846"/>
      <c r="CO39" s="846"/>
      <c r="CP39" s="846"/>
      <c r="CQ39" s="846"/>
      <c r="CR39" s="846"/>
      <c r="CS39" s="846"/>
      <c r="CT39" s="846"/>
      <c r="CU39" s="846"/>
      <c r="CV39" s="846"/>
      <c r="CW39" s="846"/>
      <c r="CX39" s="846"/>
      <c r="CY39" s="846"/>
      <c r="CZ39" s="846"/>
    </row>
    <row r="40" spans="1:104" ht="16.350000000000001" customHeight="1">
      <c r="A40" s="842" t="s">
        <v>70</v>
      </c>
      <c r="B40" s="842" t="n">
        <f>C40+D40</f>
        <v>1</v>
      </c>
      <c r="C40" s="844" t="n">
        <f>SUM(E40:CZ40)</f>
        <v>0</v>
      </c>
      <c r="D40" s="843">
        <v>1</v>
      </c>
      <c r="E40" s="845"/>
      <c r="F40" s="846"/>
      <c r="G40" s="846"/>
      <c r="H40" s="846"/>
      <c r="I40" s="846"/>
      <c r="J40" s="846"/>
      <c r="K40" s="846"/>
      <c r="L40" s="846"/>
      <c r="M40" s="846"/>
      <c r="N40" s="846"/>
      <c r="O40" s="846"/>
      <c r="P40" s="846"/>
      <c r="Q40" s="846"/>
      <c r="R40" s="846"/>
      <c r="S40" s="846"/>
      <c r="T40" s="846"/>
      <c r="U40" s="846"/>
      <c r="V40" s="846"/>
      <c r="W40" s="846"/>
      <c r="X40" s="846"/>
      <c r="Y40" s="846"/>
      <c r="Z40" s="846"/>
      <c r="AA40" s="846"/>
      <c r="AB40" s="846"/>
      <c r="AC40" s="846"/>
      <c r="AD40" s="846"/>
      <c r="AE40" s="846"/>
      <c r="AF40" s="846"/>
      <c r="AG40" s="846"/>
      <c r="AH40" s="846"/>
      <c r="AI40" s="846"/>
      <c r="AJ40" s="846"/>
      <c r="AK40" s="846"/>
      <c r="AL40" s="846"/>
      <c r="AM40" s="846"/>
      <c r="AN40" s="846"/>
      <c r="AO40" s="846"/>
      <c r="AP40" s="846"/>
      <c r="AQ40" s="846"/>
      <c r="AR40" s="846"/>
      <c r="AS40" s="846"/>
      <c r="AT40" s="846"/>
      <c r="AU40" s="846"/>
      <c r="AV40" s="846"/>
      <c r="AW40" s="846"/>
      <c r="AX40" s="846"/>
      <c r="AY40" s="846"/>
      <c r="AZ40" s="846"/>
      <c r="BA40" s="846"/>
      <c r="BB40" s="846"/>
      <c r="BC40" s="846"/>
      <c r="BD40" s="846"/>
      <c r="BE40" s="846"/>
      <c r="BF40" s="846"/>
      <c r="BG40" s="846"/>
      <c r="BH40" s="846"/>
      <c r="BI40" s="846"/>
      <c r="BJ40" s="846"/>
      <c r="BK40" s="846"/>
      <c r="BL40" s="846"/>
      <c r="BM40" s="846"/>
      <c r="BN40" s="846"/>
      <c r="BO40" s="846"/>
      <c r="BP40" s="846"/>
      <c r="BQ40" s="846"/>
      <c r="BR40" s="846"/>
      <c r="BS40" s="846"/>
      <c r="BT40" s="846"/>
      <c r="BU40" s="846"/>
      <c r="BV40" s="846"/>
      <c r="BW40" s="846"/>
      <c r="BX40" s="846"/>
      <c r="BY40" s="846"/>
      <c r="BZ40" s="846"/>
      <c r="CA40" s="846"/>
      <c r="CB40" s="846"/>
      <c r="CC40" s="846"/>
      <c r="CD40" s="846"/>
      <c r="CE40" s="846"/>
      <c r="CF40" s="846"/>
      <c r="CG40" s="846"/>
      <c r="CH40" s="846"/>
      <c r="CI40" s="846"/>
      <c r="CJ40" s="846"/>
      <c r="CK40" s="846"/>
      <c r="CL40" s="846"/>
      <c r="CM40" s="846"/>
      <c r="CN40" s="846"/>
      <c r="CO40" s="846"/>
      <c r="CP40" s="846"/>
      <c r="CQ40" s="846"/>
      <c r="CR40" s="846"/>
      <c r="CS40" s="846"/>
      <c r="CT40" s="846"/>
      <c r="CU40" s="846"/>
      <c r="CV40" s="846"/>
      <c r="CW40" s="846"/>
      <c r="CX40" s="846"/>
      <c r="CY40" s="846"/>
      <c r="CZ40" s="846"/>
    </row>
    <row r="41" spans="1:104" ht="16.350000000000001" customHeight="1">
      <c r="A41" s="842" t="s">
        <v>72</v>
      </c>
      <c r="B41" s="842" t="n">
        <f>C41+D41</f>
        <v>10</v>
      </c>
      <c r="C41" s="844" t="n">
        <f>SUM(E41:CZ41)</f>
        <v>0</v>
      </c>
      <c r="D41" s="843">
        <v>10</v>
      </c>
      <c r="E41" s="845"/>
      <c r="F41" s="846"/>
      <c r="G41" s="846"/>
      <c r="H41" s="846"/>
      <c r="I41" s="846"/>
      <c r="J41" s="846"/>
      <c r="K41" s="846"/>
      <c r="L41" s="846"/>
      <c r="M41" s="846"/>
      <c r="N41" s="846"/>
      <c r="O41" s="846"/>
      <c r="P41" s="846"/>
      <c r="Q41" s="846"/>
      <c r="R41" s="846"/>
      <c r="S41" s="846"/>
      <c r="T41" s="846"/>
      <c r="U41" s="846"/>
      <c r="V41" s="846"/>
      <c r="W41" s="846"/>
      <c r="X41" s="846"/>
      <c r="Y41" s="846"/>
      <c r="Z41" s="846"/>
      <c r="AA41" s="846"/>
      <c r="AB41" s="846"/>
      <c r="AC41" s="846"/>
      <c r="AD41" s="846"/>
      <c r="AE41" s="846"/>
      <c r="AF41" s="846"/>
      <c r="AG41" s="846"/>
      <c r="AH41" s="846"/>
      <c r="AI41" s="846"/>
      <c r="AJ41" s="846"/>
      <c r="AK41" s="846"/>
      <c r="AL41" s="846"/>
      <c r="AM41" s="846"/>
      <c r="AN41" s="846"/>
      <c r="AO41" s="846"/>
      <c r="AP41" s="846"/>
      <c r="AQ41" s="846"/>
      <c r="AR41" s="846"/>
      <c r="AS41" s="846"/>
      <c r="AT41" s="846"/>
      <c r="AU41" s="846"/>
      <c r="AV41" s="846"/>
      <c r="AW41" s="846"/>
      <c r="AX41" s="846"/>
      <c r="AY41" s="846"/>
      <c r="AZ41" s="846"/>
      <c r="BA41" s="846"/>
      <c r="BB41" s="846"/>
      <c r="BC41" s="846"/>
      <c r="BD41" s="846"/>
      <c r="BE41" s="846"/>
      <c r="BF41" s="846"/>
      <c r="BG41" s="846"/>
      <c r="BH41" s="846"/>
      <c r="BI41" s="846"/>
      <c r="BJ41" s="846"/>
      <c r="BK41" s="846"/>
      <c r="BL41" s="846"/>
      <c r="BM41" s="846"/>
      <c r="BN41" s="846"/>
      <c r="BO41" s="846"/>
      <c r="BP41" s="846"/>
      <c r="BQ41" s="846"/>
      <c r="BR41" s="846"/>
      <c r="BS41" s="846"/>
      <c r="BT41" s="846"/>
      <c r="BU41" s="846"/>
      <c r="BV41" s="846"/>
      <c r="BW41" s="846"/>
      <c r="BX41" s="846"/>
      <c r="BY41" s="846"/>
      <c r="BZ41" s="846"/>
      <c r="CA41" s="846"/>
      <c r="CB41" s="846"/>
      <c r="CC41" s="846"/>
      <c r="CD41" s="846"/>
      <c r="CE41" s="846"/>
      <c r="CF41" s="846"/>
      <c r="CG41" s="846"/>
      <c r="CH41" s="846"/>
      <c r="CI41" s="846"/>
      <c r="CJ41" s="846"/>
      <c r="CK41" s="846"/>
      <c r="CL41" s="846"/>
      <c r="CM41" s="846"/>
      <c r="CN41" s="846"/>
      <c r="CO41" s="846"/>
      <c r="CP41" s="846"/>
      <c r="CQ41" s="846"/>
      <c r="CR41" s="846"/>
      <c r="CS41" s="846"/>
      <c r="CT41" s="846"/>
      <c r="CU41" s="846"/>
      <c r="CV41" s="846"/>
      <c r="CW41" s="846"/>
      <c r="CX41" s="846"/>
      <c r="CY41" s="846"/>
      <c r="CZ41" s="846"/>
    </row>
    <row r="42" spans="1:104" ht="16.350000000000001" customHeight="1">
      <c r="A42" s="842" t="s">
        <v>74</v>
      </c>
      <c r="B42" s="842" t="n">
        <f>C42+D42</f>
        <v>1</v>
      </c>
      <c r="C42" s="844" t="n">
        <f>SUM(E42:CZ42)</f>
        <v>0</v>
      </c>
      <c r="D42" s="843">
        <v>1</v>
      </c>
      <c r="E42" s="845"/>
      <c r="F42" s="846"/>
      <c r="G42" s="846"/>
      <c r="H42" s="846"/>
      <c r="I42" s="846"/>
      <c r="J42" s="846"/>
      <c r="K42" s="846"/>
      <c r="L42" s="846"/>
      <c r="M42" s="846"/>
      <c r="N42" s="846"/>
      <c r="O42" s="846"/>
      <c r="P42" s="846"/>
      <c r="Q42" s="846"/>
      <c r="R42" s="846"/>
      <c r="S42" s="846"/>
      <c r="T42" s="846"/>
      <c r="U42" s="846"/>
      <c r="V42" s="846"/>
      <c r="W42" s="846"/>
      <c r="X42" s="846"/>
      <c r="Y42" s="846"/>
      <c r="Z42" s="846"/>
      <c r="AA42" s="846"/>
      <c r="AB42" s="846"/>
      <c r="AC42" s="846"/>
      <c r="AD42" s="846"/>
      <c r="AE42" s="846"/>
      <c r="AF42" s="846"/>
      <c r="AG42" s="846"/>
      <c r="AH42" s="846"/>
      <c r="AI42" s="846"/>
      <c r="AJ42" s="846"/>
      <c r="AK42" s="846"/>
      <c r="AL42" s="846"/>
      <c r="AM42" s="846"/>
      <c r="AN42" s="846"/>
      <c r="AO42" s="846"/>
      <c r="AP42" s="846"/>
      <c r="AQ42" s="846"/>
      <c r="AR42" s="846"/>
      <c r="AS42" s="846"/>
      <c r="AT42" s="846"/>
      <c r="AU42" s="846"/>
      <c r="AV42" s="846"/>
      <c r="AW42" s="846"/>
      <c r="AX42" s="846"/>
      <c r="AY42" s="846"/>
      <c r="AZ42" s="846"/>
      <c r="BA42" s="846"/>
      <c r="BB42" s="846"/>
      <c r="BC42" s="846"/>
      <c r="BD42" s="846"/>
      <c r="BE42" s="846"/>
      <c r="BF42" s="846"/>
      <c r="BG42" s="846"/>
      <c r="BH42" s="846"/>
      <c r="BI42" s="846"/>
      <c r="BJ42" s="846"/>
      <c r="BK42" s="846"/>
      <c r="BL42" s="846"/>
      <c r="BM42" s="846"/>
      <c r="BN42" s="846"/>
      <c r="BO42" s="846"/>
      <c r="BP42" s="846"/>
      <c r="BQ42" s="846"/>
      <c r="BR42" s="846"/>
      <c r="BS42" s="846"/>
      <c r="BT42" s="846"/>
      <c r="BU42" s="846"/>
      <c r="BV42" s="846"/>
      <c r="BW42" s="846"/>
      <c r="BX42" s="846"/>
      <c r="BY42" s="846"/>
      <c r="BZ42" s="846"/>
      <c r="CA42" s="846"/>
      <c r="CB42" s="846"/>
      <c r="CC42" s="846"/>
      <c r="CD42" s="846"/>
      <c r="CE42" s="846"/>
      <c r="CF42" s="846"/>
      <c r="CG42" s="846"/>
      <c r="CH42" s="846"/>
      <c r="CI42" s="846"/>
      <c r="CJ42" s="846"/>
      <c r="CK42" s="846"/>
      <c r="CL42" s="846"/>
      <c r="CM42" s="846"/>
      <c r="CN42" s="846"/>
      <c r="CO42" s="846"/>
      <c r="CP42" s="846"/>
      <c r="CQ42" s="846"/>
      <c r="CR42" s="846"/>
      <c r="CS42" s="846"/>
      <c r="CT42" s="846"/>
      <c r="CU42" s="846"/>
      <c r="CV42" s="846"/>
      <c r="CW42" s="846"/>
      <c r="CX42" s="846"/>
      <c r="CY42" s="846"/>
      <c r="CZ42" s="846"/>
    </row>
    <row r="43" spans="1:104" ht="16.350000000000001" customHeight="1">
      <c r="A43" s="842" t="s">
        <v>76</v>
      </c>
      <c r="B43" s="842" t="n">
        <f>C43+D43</f>
        <v>10</v>
      </c>
      <c r="C43" s="844" t="n">
        <f>SUM(E43:CZ43)</f>
        <v>0</v>
      </c>
      <c r="D43" s="843">
        <v>10</v>
      </c>
      <c r="E43" s="845"/>
      <c r="F43" s="846"/>
      <c r="G43" s="846"/>
      <c r="H43" s="846"/>
      <c r="I43" s="846"/>
      <c r="J43" s="846"/>
      <c r="K43" s="846"/>
      <c r="L43" s="846"/>
      <c r="M43" s="846"/>
      <c r="N43" s="846"/>
      <c r="O43" s="846"/>
      <c r="P43" s="846"/>
      <c r="Q43" s="846"/>
      <c r="R43" s="846"/>
      <c r="S43" s="846"/>
      <c r="T43" s="846"/>
      <c r="U43" s="846"/>
      <c r="V43" s="846"/>
      <c r="W43" s="846"/>
      <c r="X43" s="846"/>
      <c r="Y43" s="846"/>
      <c r="Z43" s="846"/>
      <c r="AA43" s="846"/>
      <c r="AB43" s="846"/>
      <c r="AC43" s="846"/>
      <c r="AD43" s="846"/>
      <c r="AE43" s="846"/>
      <c r="AF43" s="846"/>
      <c r="AG43" s="846"/>
      <c r="AH43" s="846"/>
      <c r="AI43" s="846"/>
      <c r="AJ43" s="846"/>
      <c r="AK43" s="846"/>
      <c r="AL43" s="846"/>
      <c r="AM43" s="846"/>
      <c r="AN43" s="846"/>
      <c r="AO43" s="846"/>
      <c r="AP43" s="846"/>
      <c r="AQ43" s="846"/>
      <c r="AR43" s="846"/>
      <c r="AS43" s="846"/>
      <c r="AT43" s="846"/>
      <c r="AU43" s="846"/>
      <c r="AV43" s="846"/>
      <c r="AW43" s="846"/>
      <c r="AX43" s="846"/>
      <c r="AY43" s="846"/>
      <c r="AZ43" s="846"/>
      <c r="BA43" s="846"/>
      <c r="BB43" s="846"/>
      <c r="BC43" s="846"/>
      <c r="BD43" s="846"/>
      <c r="BE43" s="846"/>
      <c r="BF43" s="846"/>
      <c r="BG43" s="846"/>
      <c r="BH43" s="846"/>
      <c r="BI43" s="846"/>
      <c r="BJ43" s="846"/>
      <c r="BK43" s="846"/>
      <c r="BL43" s="846"/>
      <c r="BM43" s="846"/>
      <c r="BN43" s="846"/>
      <c r="BO43" s="846"/>
      <c r="BP43" s="846"/>
      <c r="BQ43" s="846"/>
      <c r="BR43" s="846"/>
      <c r="BS43" s="846"/>
      <c r="BT43" s="846"/>
      <c r="BU43" s="846"/>
      <c r="BV43" s="846"/>
      <c r="BW43" s="846"/>
      <c r="BX43" s="846"/>
      <c r="BY43" s="846"/>
      <c r="BZ43" s="846"/>
      <c r="CA43" s="846"/>
      <c r="CB43" s="846"/>
      <c r="CC43" s="846"/>
      <c r="CD43" s="846"/>
      <c r="CE43" s="846"/>
      <c r="CF43" s="846"/>
      <c r="CG43" s="846"/>
      <c r="CH43" s="846"/>
      <c r="CI43" s="846"/>
      <c r="CJ43" s="846"/>
      <c r="CK43" s="846"/>
      <c r="CL43" s="846"/>
      <c r="CM43" s="846"/>
      <c r="CN43" s="846"/>
      <c r="CO43" s="846"/>
      <c r="CP43" s="846"/>
      <c r="CQ43" s="846"/>
      <c r="CR43" s="846"/>
      <c r="CS43" s="846"/>
      <c r="CT43" s="846"/>
      <c r="CU43" s="846"/>
      <c r="CV43" s="846"/>
      <c r="CW43" s="846"/>
      <c r="CX43" s="846"/>
      <c r="CY43" s="846"/>
      <c r="CZ43" s="846"/>
    </row>
    <row r="44" spans="1:104" ht="16.350000000000001" customHeight="1">
      <c r="A44" s="842" t="s">
        <v>79</v>
      </c>
      <c r="B44" s="842" t="n">
        <f>C44+D44</f>
        <v>10</v>
      </c>
      <c r="C44" s="844" t="n">
        <f>SUM(E44:CZ44)</f>
        <v>0</v>
      </c>
      <c r="D44" s="843">
        <v>10</v>
      </c>
      <c r="E44" s="845"/>
      <c r="F44" s="846"/>
      <c r="G44" s="846"/>
      <c r="H44" s="846"/>
      <c r="I44" s="846"/>
      <c r="J44" s="846"/>
      <c r="K44" s="846"/>
      <c r="L44" s="846"/>
      <c r="M44" s="846"/>
      <c r="N44" s="846"/>
      <c r="O44" s="846"/>
      <c r="P44" s="846"/>
      <c r="Q44" s="846"/>
      <c r="R44" s="846"/>
      <c r="S44" s="846"/>
      <c r="T44" s="846"/>
      <c r="U44" s="846"/>
      <c r="V44" s="846"/>
      <c r="W44" s="846"/>
      <c r="X44" s="846"/>
      <c r="Y44" s="846"/>
      <c r="Z44" s="846"/>
      <c r="AA44" s="846"/>
      <c r="AB44" s="846"/>
      <c r="AC44" s="846"/>
      <c r="AD44" s="846"/>
      <c r="AE44" s="846"/>
      <c r="AF44" s="846"/>
      <c r="AG44" s="846"/>
      <c r="AH44" s="846"/>
      <c r="AI44" s="846"/>
      <c r="AJ44" s="846"/>
      <c r="AK44" s="846"/>
      <c r="AL44" s="846"/>
      <c r="AM44" s="846"/>
      <c r="AN44" s="846"/>
      <c r="AO44" s="846"/>
      <c r="AP44" s="846"/>
      <c r="AQ44" s="846"/>
      <c r="AR44" s="846"/>
      <c r="AS44" s="846"/>
      <c r="AT44" s="846"/>
      <c r="AU44" s="846"/>
      <c r="AV44" s="846"/>
      <c r="AW44" s="846"/>
      <c r="AX44" s="846"/>
      <c r="AY44" s="846"/>
      <c r="AZ44" s="846"/>
      <c r="BA44" s="846"/>
      <c r="BB44" s="846"/>
      <c r="BC44" s="846"/>
      <c r="BD44" s="846"/>
      <c r="BE44" s="846"/>
      <c r="BF44" s="846"/>
      <c r="BG44" s="846"/>
      <c r="BH44" s="846"/>
      <c r="BI44" s="846"/>
      <c r="BJ44" s="846"/>
      <c r="BK44" s="846"/>
      <c r="BL44" s="846"/>
      <c r="BM44" s="846"/>
      <c r="BN44" s="846"/>
      <c r="BO44" s="846"/>
      <c r="BP44" s="846"/>
      <c r="BQ44" s="846"/>
      <c r="BR44" s="846"/>
      <c r="BS44" s="846"/>
      <c r="BT44" s="846"/>
      <c r="BU44" s="846"/>
      <c r="BV44" s="846"/>
      <c r="BW44" s="846"/>
      <c r="BX44" s="846"/>
      <c r="BY44" s="846"/>
      <c r="BZ44" s="846"/>
      <c r="CA44" s="846"/>
      <c r="CB44" s="846"/>
      <c r="CC44" s="846"/>
      <c r="CD44" s="846"/>
      <c r="CE44" s="846"/>
      <c r="CF44" s="846"/>
      <c r="CG44" s="846"/>
      <c r="CH44" s="846"/>
      <c r="CI44" s="846"/>
      <c r="CJ44" s="846"/>
      <c r="CK44" s="846"/>
      <c r="CL44" s="846"/>
      <c r="CM44" s="846"/>
      <c r="CN44" s="846"/>
      <c r="CO44" s="846"/>
      <c r="CP44" s="846"/>
      <c r="CQ44" s="846"/>
      <c r="CR44" s="846"/>
      <c r="CS44" s="846"/>
      <c r="CT44" s="846"/>
      <c r="CU44" s="846"/>
      <c r="CV44" s="846"/>
      <c r="CW44" s="846"/>
      <c r="CX44" s="846"/>
      <c r="CY44" s="846"/>
      <c r="CZ44" s="846"/>
    </row>
    <row r="45" spans="1:104" ht="16.350000000000001" customHeight="1">
      <c r="A45" s="842" t="s">
        <v>82</v>
      </c>
      <c r="B45" s="842" t="n">
        <f>C45+D45</f>
        <v>5</v>
      </c>
      <c r="C45" s="844" t="n">
        <f>SUM(E45:CZ45)</f>
        <v>0</v>
      </c>
      <c r="D45" s="843">
        <v>5</v>
      </c>
      <c r="E45" s="845"/>
      <c r="F45" s="846"/>
      <c r="G45" s="846"/>
      <c r="H45" s="846"/>
      <c r="I45" s="846"/>
      <c r="J45" s="846"/>
      <c r="K45" s="846"/>
      <c r="L45" s="846"/>
      <c r="M45" s="846"/>
      <c r="N45" s="846"/>
      <c r="O45" s="846"/>
      <c r="P45" s="846"/>
      <c r="Q45" s="846"/>
      <c r="R45" s="846"/>
      <c r="S45" s="846"/>
      <c r="T45" s="846"/>
      <c r="U45" s="846"/>
      <c r="V45" s="846"/>
      <c r="W45" s="846"/>
      <c r="X45" s="846"/>
      <c r="Y45" s="846"/>
      <c r="Z45" s="846"/>
      <c r="AA45" s="846"/>
      <c r="AB45" s="846"/>
      <c r="AC45" s="846"/>
      <c r="AD45" s="846"/>
      <c r="AE45" s="846"/>
      <c r="AF45" s="846"/>
      <c r="AG45" s="846"/>
      <c r="AH45" s="846"/>
      <c r="AI45" s="846"/>
      <c r="AJ45" s="846"/>
      <c r="AK45" s="846"/>
      <c r="AL45" s="846"/>
      <c r="AM45" s="846"/>
      <c r="AN45" s="846"/>
      <c r="AO45" s="846"/>
      <c r="AP45" s="846"/>
      <c r="AQ45" s="846"/>
      <c r="AR45" s="846"/>
      <c r="AS45" s="846"/>
      <c r="AT45" s="846"/>
      <c r="AU45" s="846"/>
      <c r="AV45" s="846"/>
      <c r="AW45" s="846"/>
      <c r="AX45" s="846"/>
      <c r="AY45" s="846"/>
      <c r="AZ45" s="846"/>
      <c r="BA45" s="846"/>
      <c r="BB45" s="846"/>
      <c r="BC45" s="846"/>
      <c r="BD45" s="846"/>
      <c r="BE45" s="846"/>
      <c r="BF45" s="846"/>
      <c r="BG45" s="846"/>
      <c r="BH45" s="846"/>
      <c r="BI45" s="846"/>
      <c r="BJ45" s="846"/>
      <c r="BK45" s="846"/>
      <c r="BL45" s="846"/>
      <c r="BM45" s="846"/>
      <c r="BN45" s="846"/>
      <c r="BO45" s="846"/>
      <c r="BP45" s="846"/>
      <c r="BQ45" s="846"/>
      <c r="BR45" s="846"/>
      <c r="BS45" s="846"/>
      <c r="BT45" s="846"/>
      <c r="BU45" s="846"/>
      <c r="BV45" s="846"/>
      <c r="BW45" s="846"/>
      <c r="BX45" s="846"/>
      <c r="BY45" s="846"/>
      <c r="BZ45" s="846"/>
      <c r="CA45" s="846"/>
      <c r="CB45" s="846"/>
      <c r="CC45" s="846"/>
      <c r="CD45" s="846"/>
      <c r="CE45" s="846"/>
      <c r="CF45" s="846"/>
      <c r="CG45" s="846"/>
      <c r="CH45" s="846"/>
      <c r="CI45" s="846"/>
      <c r="CJ45" s="846"/>
      <c r="CK45" s="846"/>
      <c r="CL45" s="846"/>
      <c r="CM45" s="846"/>
      <c r="CN45" s="846"/>
      <c r="CO45" s="846"/>
      <c r="CP45" s="846"/>
      <c r="CQ45" s="846"/>
      <c r="CR45" s="846"/>
      <c r="CS45" s="846"/>
      <c r="CT45" s="846"/>
      <c r="CU45" s="846"/>
      <c r="CV45" s="846"/>
      <c r="CW45" s="846"/>
      <c r="CX45" s="846"/>
      <c r="CY45" s="846"/>
      <c r="CZ45" s="846"/>
    </row>
    <row r="46" spans="1:104" ht="16.350000000000001" customHeight="1">
      <c r="A46" s="842" t="s">
        <v>87</v>
      </c>
      <c r="B46" s="842" t="n">
        <f>C46+D46</f>
        <v>1</v>
      </c>
      <c r="C46" s="844" t="n">
        <f>SUM(E46:CZ46)</f>
        <v>0</v>
      </c>
      <c r="D46" s="843">
        <v>1</v>
      </c>
      <c r="E46" s="845"/>
      <c r="F46" s="846"/>
      <c r="G46" s="846"/>
      <c r="H46" s="846"/>
      <c r="I46" s="846"/>
      <c r="J46" s="846"/>
      <c r="K46" s="846"/>
      <c r="L46" s="846"/>
      <c r="M46" s="846"/>
      <c r="N46" s="846"/>
      <c r="O46" s="846"/>
      <c r="P46" s="846"/>
      <c r="Q46" s="846"/>
      <c r="R46" s="846"/>
      <c r="S46" s="846"/>
      <c r="T46" s="846"/>
      <c r="U46" s="846"/>
      <c r="V46" s="846"/>
      <c r="W46" s="846"/>
      <c r="X46" s="846"/>
      <c r="Y46" s="846"/>
      <c r="Z46" s="846"/>
      <c r="AA46" s="846"/>
      <c r="AB46" s="846"/>
      <c r="AC46" s="846"/>
      <c r="AD46" s="846"/>
      <c r="AE46" s="846"/>
      <c r="AF46" s="846"/>
      <c r="AG46" s="846"/>
      <c r="AH46" s="846"/>
      <c r="AI46" s="846"/>
      <c r="AJ46" s="846"/>
      <c r="AK46" s="846"/>
      <c r="AL46" s="846"/>
      <c r="AM46" s="846"/>
      <c r="AN46" s="846"/>
      <c r="AO46" s="846"/>
      <c r="AP46" s="846"/>
      <c r="AQ46" s="846"/>
      <c r="AR46" s="846"/>
      <c r="AS46" s="846"/>
      <c r="AT46" s="846"/>
      <c r="AU46" s="846"/>
      <c r="AV46" s="846"/>
      <c r="AW46" s="846"/>
      <c r="AX46" s="846"/>
      <c r="AY46" s="846"/>
      <c r="AZ46" s="846"/>
      <c r="BA46" s="846"/>
      <c r="BB46" s="846"/>
      <c r="BC46" s="846"/>
      <c r="BD46" s="846"/>
      <c r="BE46" s="846"/>
      <c r="BF46" s="846"/>
      <c r="BG46" s="846"/>
      <c r="BH46" s="846"/>
      <c r="BI46" s="846"/>
      <c r="BJ46" s="846"/>
      <c r="BK46" s="846"/>
      <c r="BL46" s="846"/>
      <c r="BM46" s="846"/>
      <c r="BN46" s="846"/>
      <c r="BO46" s="846"/>
      <c r="BP46" s="846"/>
      <c r="BQ46" s="846"/>
      <c r="BR46" s="846"/>
      <c r="BS46" s="846"/>
      <c r="BT46" s="846"/>
      <c r="BU46" s="846"/>
      <c r="BV46" s="846"/>
      <c r="BW46" s="846"/>
      <c r="BX46" s="846"/>
      <c r="BY46" s="846"/>
      <c r="BZ46" s="846"/>
      <c r="CA46" s="846"/>
      <c r="CB46" s="846"/>
      <c r="CC46" s="846"/>
      <c r="CD46" s="846"/>
      <c r="CE46" s="846"/>
      <c r="CF46" s="846"/>
      <c r="CG46" s="846"/>
      <c r="CH46" s="846"/>
      <c r="CI46" s="846"/>
      <c r="CJ46" s="846"/>
      <c r="CK46" s="846"/>
      <c r="CL46" s="846"/>
      <c r="CM46" s="846"/>
      <c r="CN46" s="846"/>
      <c r="CO46" s="846"/>
      <c r="CP46" s="846"/>
      <c r="CQ46" s="846"/>
      <c r="CR46" s="846"/>
      <c r="CS46" s="846"/>
      <c r="CT46" s="846"/>
      <c r="CU46" s="846"/>
      <c r="CV46" s="846"/>
      <c r="CW46" s="846"/>
      <c r="CX46" s="846"/>
      <c r="CY46" s="846"/>
      <c r="CZ46" s="846"/>
    </row>
    <row r="47" spans="1:104" ht="16.350000000000001" customHeight="1">
      <c r="A47" s="842" t="s">
        <v>95</v>
      </c>
      <c r="B47" s="842" t="n">
        <f>C47+D47</f>
        <v>10</v>
      </c>
      <c r="C47" s="844" t="n">
        <f>SUM(E47:CZ47)</f>
        <v>0</v>
      </c>
      <c r="D47" s="843">
        <v>10</v>
      </c>
      <c r="E47" s="845"/>
      <c r="F47" s="846"/>
      <c r="G47" s="846"/>
      <c r="H47" s="846"/>
      <c r="I47" s="846"/>
      <c r="J47" s="846"/>
      <c r="K47" s="846"/>
      <c r="L47" s="846"/>
      <c r="M47" s="846"/>
      <c r="N47" s="846"/>
      <c r="O47" s="846"/>
      <c r="P47" s="846"/>
      <c r="Q47" s="846"/>
      <c r="R47" s="846"/>
      <c r="S47" s="846"/>
      <c r="T47" s="846"/>
      <c r="U47" s="846"/>
      <c r="V47" s="846"/>
      <c r="W47" s="846"/>
      <c r="X47" s="846"/>
      <c r="Y47" s="846"/>
      <c r="Z47" s="846"/>
      <c r="AA47" s="846"/>
      <c r="AB47" s="846"/>
      <c r="AC47" s="846"/>
      <c r="AD47" s="846"/>
      <c r="AE47" s="846"/>
      <c r="AF47" s="846"/>
      <c r="AG47" s="846"/>
      <c r="AH47" s="846"/>
      <c r="AI47" s="846"/>
      <c r="AJ47" s="846"/>
      <c r="AK47" s="846"/>
      <c r="AL47" s="846"/>
      <c r="AM47" s="846"/>
      <c r="AN47" s="846"/>
      <c r="AO47" s="846"/>
      <c r="AP47" s="846"/>
      <c r="AQ47" s="846"/>
      <c r="AR47" s="846"/>
      <c r="AS47" s="846"/>
      <c r="AT47" s="846"/>
      <c r="AU47" s="846"/>
      <c r="AV47" s="846"/>
      <c r="AW47" s="846"/>
      <c r="AX47" s="846"/>
      <c r="AY47" s="846"/>
      <c r="AZ47" s="846"/>
      <c r="BA47" s="846"/>
      <c r="BB47" s="846"/>
      <c r="BC47" s="846"/>
      <c r="BD47" s="846"/>
      <c r="BE47" s="846"/>
      <c r="BF47" s="846"/>
      <c r="BG47" s="846"/>
      <c r="BH47" s="846"/>
      <c r="BI47" s="846"/>
      <c r="BJ47" s="846"/>
      <c r="BK47" s="846"/>
      <c r="BL47" s="846"/>
      <c r="BM47" s="846"/>
      <c r="BN47" s="846"/>
      <c r="BO47" s="846"/>
      <c r="BP47" s="846"/>
      <c r="BQ47" s="846"/>
      <c r="BR47" s="846"/>
      <c r="BS47" s="846"/>
      <c r="BT47" s="846"/>
      <c r="BU47" s="846"/>
      <c r="BV47" s="846"/>
      <c r="BW47" s="846"/>
      <c r="BX47" s="846"/>
      <c r="BY47" s="846"/>
      <c r="BZ47" s="846"/>
      <c r="CA47" s="846"/>
      <c r="CB47" s="846"/>
      <c r="CC47" s="846"/>
      <c r="CD47" s="846"/>
      <c r="CE47" s="846"/>
      <c r="CF47" s="846"/>
      <c r="CG47" s="846"/>
      <c r="CH47" s="846"/>
      <c r="CI47" s="846"/>
      <c r="CJ47" s="846"/>
      <c r="CK47" s="846"/>
      <c r="CL47" s="846"/>
      <c r="CM47" s="846"/>
      <c r="CN47" s="846"/>
      <c r="CO47" s="846"/>
      <c r="CP47" s="846"/>
      <c r="CQ47" s="846"/>
      <c r="CR47" s="846"/>
      <c r="CS47" s="846"/>
      <c r="CT47" s="846"/>
      <c r="CU47" s="846"/>
      <c r="CV47" s="846"/>
      <c r="CW47" s="846"/>
      <c r="CX47" s="846"/>
      <c r="CY47" s="846"/>
      <c r="CZ47" s="846"/>
    </row>
    <row r="48" spans="1:104" ht="16.350000000000001" customHeight="1">
      <c r="A48" s="842" t="s">
        <v>97</v>
      </c>
      <c r="B48" s="842" t="n">
        <f>C48+D48</f>
        <v>1</v>
      </c>
      <c r="C48" s="844" t="n">
        <f>SUM(E48:CZ48)</f>
        <v>0</v>
      </c>
      <c r="D48" s="843">
        <v>1</v>
      </c>
      <c r="E48" s="845"/>
      <c r="F48" s="846"/>
      <c r="G48" s="846"/>
      <c r="H48" s="846"/>
      <c r="I48" s="846"/>
      <c r="J48" s="846"/>
      <c r="K48" s="846"/>
      <c r="L48" s="846"/>
      <c r="M48" s="846"/>
      <c r="N48" s="846"/>
      <c r="O48" s="846"/>
      <c r="P48" s="846"/>
      <c r="Q48" s="846"/>
      <c r="R48" s="846"/>
      <c r="S48" s="846"/>
      <c r="T48" s="846"/>
      <c r="U48" s="846"/>
      <c r="V48" s="846"/>
      <c r="W48" s="846"/>
      <c r="X48" s="846"/>
      <c r="Y48" s="846"/>
      <c r="Z48" s="846"/>
      <c r="AA48" s="846"/>
      <c r="AB48" s="846"/>
      <c r="AC48" s="846"/>
      <c r="AD48" s="846"/>
      <c r="AE48" s="846"/>
      <c r="AF48" s="846"/>
      <c r="AG48" s="846"/>
      <c r="AH48" s="846"/>
      <c r="AI48" s="846"/>
      <c r="AJ48" s="846"/>
      <c r="AK48" s="846"/>
      <c r="AL48" s="846"/>
      <c r="AM48" s="846"/>
      <c r="AN48" s="846"/>
      <c r="AO48" s="846"/>
      <c r="AP48" s="846"/>
      <c r="AQ48" s="846"/>
      <c r="AR48" s="846"/>
      <c r="AS48" s="846"/>
      <c r="AT48" s="846"/>
      <c r="AU48" s="846"/>
      <c r="AV48" s="846"/>
      <c r="AW48" s="846"/>
      <c r="AX48" s="846"/>
      <c r="AY48" s="846"/>
      <c r="AZ48" s="846"/>
      <c r="BA48" s="846"/>
      <c r="BB48" s="846"/>
      <c r="BC48" s="846"/>
      <c r="BD48" s="846"/>
      <c r="BE48" s="846"/>
      <c r="BF48" s="846"/>
      <c r="BG48" s="846"/>
      <c r="BH48" s="846"/>
      <c r="BI48" s="846"/>
      <c r="BJ48" s="846"/>
      <c r="BK48" s="846"/>
      <c r="BL48" s="846"/>
      <c r="BM48" s="846"/>
      <c r="BN48" s="846"/>
      <c r="BO48" s="846"/>
      <c r="BP48" s="846"/>
      <c r="BQ48" s="846"/>
      <c r="BR48" s="846"/>
      <c r="BS48" s="846"/>
      <c r="BT48" s="846"/>
      <c r="BU48" s="846"/>
      <c r="BV48" s="846"/>
      <c r="BW48" s="846"/>
      <c r="BX48" s="846"/>
      <c r="BY48" s="846"/>
      <c r="BZ48" s="846"/>
      <c r="CA48" s="846"/>
      <c r="CB48" s="846"/>
      <c r="CC48" s="846"/>
      <c r="CD48" s="846"/>
      <c r="CE48" s="846"/>
      <c r="CF48" s="846"/>
      <c r="CG48" s="846"/>
      <c r="CH48" s="846"/>
      <c r="CI48" s="846"/>
      <c r="CJ48" s="846"/>
      <c r="CK48" s="846"/>
      <c r="CL48" s="846"/>
      <c r="CM48" s="846"/>
      <c r="CN48" s="846"/>
      <c r="CO48" s="846"/>
      <c r="CP48" s="846"/>
      <c r="CQ48" s="846"/>
      <c r="CR48" s="846"/>
      <c r="CS48" s="846"/>
      <c r="CT48" s="846"/>
      <c r="CU48" s="846"/>
      <c r="CV48" s="846"/>
      <c r="CW48" s="846"/>
      <c r="CX48" s="846"/>
      <c r="CY48" s="846"/>
      <c r="CZ48" s="846"/>
    </row>
    <row r="49" spans="1:104" ht="16.350000000000001" customHeight="1">
      <c r="A49" s="842" t="s">
        <v>104</v>
      </c>
      <c r="B49" s="842" t="n">
        <f>C49+D49</f>
        <v>1</v>
      </c>
      <c r="C49" s="844" t="n">
        <f>SUM(E49:CZ49)</f>
        <v>0</v>
      </c>
      <c r="D49" s="843">
        <v>1</v>
      </c>
      <c r="E49" s="845"/>
      <c r="F49" s="846"/>
      <c r="G49" s="846"/>
      <c r="H49" s="846"/>
      <c r="I49" s="846"/>
      <c r="J49" s="846"/>
      <c r="K49" s="846"/>
      <c r="L49" s="846"/>
      <c r="M49" s="846"/>
      <c r="N49" s="846"/>
      <c r="O49" s="846"/>
      <c r="P49" s="846"/>
      <c r="Q49" s="846"/>
      <c r="R49" s="846"/>
      <c r="S49" s="846"/>
      <c r="T49" s="846"/>
      <c r="U49" s="846"/>
      <c r="V49" s="846"/>
      <c r="W49" s="846"/>
      <c r="X49" s="846"/>
      <c r="Y49" s="846"/>
      <c r="Z49" s="846"/>
      <c r="AA49" s="846"/>
      <c r="AB49" s="846"/>
      <c r="AC49" s="846"/>
      <c r="AD49" s="846"/>
      <c r="AE49" s="846"/>
      <c r="AF49" s="846"/>
      <c r="AG49" s="846"/>
      <c r="AH49" s="846"/>
      <c r="AI49" s="846"/>
      <c r="AJ49" s="846"/>
      <c r="AK49" s="846"/>
      <c r="AL49" s="846"/>
      <c r="AM49" s="846"/>
      <c r="AN49" s="846"/>
      <c r="AO49" s="846"/>
      <c r="AP49" s="846"/>
      <c r="AQ49" s="846"/>
      <c r="AR49" s="846"/>
      <c r="AS49" s="846"/>
      <c r="AT49" s="846"/>
      <c r="AU49" s="846"/>
      <c r="AV49" s="846"/>
      <c r="AW49" s="846"/>
      <c r="AX49" s="846"/>
      <c r="AY49" s="846"/>
      <c r="AZ49" s="846"/>
      <c r="BA49" s="846"/>
      <c r="BB49" s="846"/>
      <c r="BC49" s="846"/>
      <c r="BD49" s="846"/>
      <c r="BE49" s="846"/>
      <c r="BF49" s="846"/>
      <c r="BG49" s="846"/>
      <c r="BH49" s="846"/>
      <c r="BI49" s="846"/>
      <c r="BJ49" s="846"/>
      <c r="BK49" s="846"/>
      <c r="BL49" s="846"/>
      <c r="BM49" s="846"/>
      <c r="BN49" s="846"/>
      <c r="BO49" s="846"/>
      <c r="BP49" s="846"/>
      <c r="BQ49" s="846"/>
      <c r="BR49" s="846"/>
      <c r="BS49" s="846"/>
      <c r="BT49" s="846"/>
      <c r="BU49" s="846"/>
      <c r="BV49" s="846"/>
      <c r="BW49" s="846"/>
      <c r="BX49" s="846"/>
      <c r="BY49" s="846"/>
      <c r="BZ49" s="846"/>
      <c r="CA49" s="846"/>
      <c r="CB49" s="846"/>
      <c r="CC49" s="846"/>
      <c r="CD49" s="846"/>
      <c r="CE49" s="846"/>
      <c r="CF49" s="846"/>
      <c r="CG49" s="846"/>
      <c r="CH49" s="846"/>
      <c r="CI49" s="846"/>
      <c r="CJ49" s="846"/>
      <c r="CK49" s="846"/>
      <c r="CL49" s="846"/>
      <c r="CM49" s="846"/>
      <c r="CN49" s="846"/>
      <c r="CO49" s="846"/>
      <c r="CP49" s="846"/>
      <c r="CQ49" s="846"/>
      <c r="CR49" s="846"/>
      <c r="CS49" s="846"/>
      <c r="CT49" s="846"/>
      <c r="CU49" s="846"/>
      <c r="CV49" s="846"/>
      <c r="CW49" s="846"/>
      <c r="CX49" s="846"/>
      <c r="CY49" s="846"/>
      <c r="CZ49" s="846"/>
    </row>
    <row r="50" spans="1:104" ht="16.350000000000001" customHeight="1">
      <c r="A50" s="842" t="s">
        <v>106</v>
      </c>
      <c r="B50" s="842" t="n">
        <f>C50+D50</f>
        <v>10</v>
      </c>
      <c r="C50" s="844" t="n">
        <f>SUM(E50:CZ50)</f>
        <v>0</v>
      </c>
      <c r="D50" s="843">
        <v>10</v>
      </c>
      <c r="E50" s="845"/>
      <c r="F50" s="846"/>
      <c r="G50" s="846"/>
      <c r="H50" s="846"/>
      <c r="I50" s="846"/>
      <c r="J50" s="846"/>
      <c r="K50" s="846"/>
      <c r="L50" s="846"/>
      <c r="M50" s="846"/>
      <c r="N50" s="846"/>
      <c r="O50" s="846"/>
      <c r="P50" s="846"/>
      <c r="Q50" s="846"/>
      <c r="R50" s="846"/>
      <c r="S50" s="846"/>
      <c r="T50" s="846"/>
      <c r="U50" s="846"/>
      <c r="V50" s="846"/>
      <c r="W50" s="846"/>
      <c r="X50" s="846"/>
      <c r="Y50" s="846"/>
      <c r="Z50" s="846"/>
      <c r="AA50" s="846"/>
      <c r="AB50" s="846"/>
      <c r="AC50" s="846"/>
      <c r="AD50" s="846"/>
      <c r="AE50" s="846"/>
      <c r="AF50" s="846"/>
      <c r="AG50" s="846"/>
      <c r="AH50" s="846"/>
      <c r="AI50" s="846"/>
      <c r="AJ50" s="846"/>
      <c r="AK50" s="846"/>
      <c r="AL50" s="846"/>
      <c r="AM50" s="846"/>
      <c r="AN50" s="846"/>
      <c r="AO50" s="846"/>
      <c r="AP50" s="846"/>
      <c r="AQ50" s="846"/>
      <c r="AR50" s="846"/>
      <c r="AS50" s="846"/>
      <c r="AT50" s="846"/>
      <c r="AU50" s="846"/>
      <c r="AV50" s="846"/>
      <c r="AW50" s="846"/>
      <c r="AX50" s="846"/>
      <c r="AY50" s="846"/>
      <c r="AZ50" s="846"/>
      <c r="BA50" s="846"/>
      <c r="BB50" s="846"/>
      <c r="BC50" s="846"/>
      <c r="BD50" s="846"/>
      <c r="BE50" s="846"/>
      <c r="BF50" s="846"/>
      <c r="BG50" s="846"/>
      <c r="BH50" s="846"/>
      <c r="BI50" s="846"/>
      <c r="BJ50" s="846"/>
      <c r="BK50" s="846"/>
      <c r="BL50" s="846"/>
      <c r="BM50" s="846"/>
      <c r="BN50" s="846"/>
      <c r="BO50" s="846"/>
      <c r="BP50" s="846"/>
      <c r="BQ50" s="846"/>
      <c r="BR50" s="846"/>
      <c r="BS50" s="846"/>
      <c r="BT50" s="846"/>
      <c r="BU50" s="846"/>
      <c r="BV50" s="846"/>
      <c r="BW50" s="846"/>
      <c r="BX50" s="846"/>
      <c r="BY50" s="846"/>
      <c r="BZ50" s="846"/>
      <c r="CA50" s="846"/>
      <c r="CB50" s="846"/>
      <c r="CC50" s="846"/>
      <c r="CD50" s="846"/>
      <c r="CE50" s="846"/>
      <c r="CF50" s="846"/>
      <c r="CG50" s="846"/>
      <c r="CH50" s="846"/>
      <c r="CI50" s="846"/>
      <c r="CJ50" s="846"/>
      <c r="CK50" s="846"/>
      <c r="CL50" s="846"/>
      <c r="CM50" s="846"/>
      <c r="CN50" s="846"/>
      <c r="CO50" s="846"/>
      <c r="CP50" s="846"/>
      <c r="CQ50" s="846"/>
      <c r="CR50" s="846"/>
      <c r="CS50" s="846"/>
      <c r="CT50" s="846"/>
      <c r="CU50" s="846"/>
      <c r="CV50" s="846"/>
      <c r="CW50" s="846"/>
      <c r="CX50" s="846"/>
      <c r="CY50" s="846"/>
      <c r="CZ50" s="846"/>
    </row>
    <row r="51" spans="1:104" ht="16.350000000000001" customHeight="1">
      <c r="A51" s="842" t="s">
        <v>110</v>
      </c>
      <c r="B51" s="842" t="n">
        <f>C51+D51</f>
        <v>5</v>
      </c>
      <c r="C51" s="844" t="n">
        <f>SUM(E51:CZ51)</f>
        <v>0</v>
      </c>
      <c r="D51" s="843">
        <v>5</v>
      </c>
      <c r="E51" s="845"/>
      <c r="F51" s="846"/>
      <c r="G51" s="846"/>
      <c r="H51" s="846"/>
      <c r="I51" s="846"/>
      <c r="J51" s="846"/>
      <c r="K51" s="846"/>
      <c r="L51" s="846"/>
      <c r="M51" s="846"/>
      <c r="N51" s="846"/>
      <c r="O51" s="846"/>
      <c r="P51" s="846"/>
      <c r="Q51" s="846"/>
      <c r="R51" s="846"/>
      <c r="S51" s="846"/>
      <c r="T51" s="846"/>
      <c r="U51" s="846"/>
      <c r="V51" s="846"/>
      <c r="W51" s="846"/>
      <c r="X51" s="846"/>
      <c r="Y51" s="846"/>
      <c r="Z51" s="846"/>
      <c r="AA51" s="846"/>
      <c r="AB51" s="846"/>
      <c r="AC51" s="846"/>
      <c r="AD51" s="846"/>
      <c r="AE51" s="846"/>
      <c r="AF51" s="846"/>
      <c r="AG51" s="846"/>
      <c r="AH51" s="846"/>
      <c r="AI51" s="846"/>
      <c r="AJ51" s="846"/>
      <c r="AK51" s="846"/>
      <c r="AL51" s="846"/>
      <c r="AM51" s="846"/>
      <c r="AN51" s="846"/>
      <c r="AO51" s="846"/>
      <c r="AP51" s="846"/>
      <c r="AQ51" s="846"/>
      <c r="AR51" s="846"/>
      <c r="AS51" s="846"/>
      <c r="AT51" s="846"/>
      <c r="AU51" s="846"/>
      <c r="AV51" s="846"/>
      <c r="AW51" s="846"/>
      <c r="AX51" s="846"/>
      <c r="AY51" s="846"/>
      <c r="AZ51" s="846"/>
      <c r="BA51" s="846"/>
      <c r="BB51" s="846"/>
      <c r="BC51" s="846"/>
      <c r="BD51" s="846"/>
      <c r="BE51" s="846"/>
      <c r="BF51" s="846"/>
      <c r="BG51" s="846"/>
      <c r="BH51" s="846"/>
      <c r="BI51" s="846"/>
      <c r="BJ51" s="846"/>
      <c r="BK51" s="846"/>
      <c r="BL51" s="846"/>
      <c r="BM51" s="846"/>
      <c r="BN51" s="846"/>
      <c r="BO51" s="846"/>
      <c r="BP51" s="846"/>
      <c r="BQ51" s="846"/>
      <c r="BR51" s="846"/>
      <c r="BS51" s="846"/>
      <c r="BT51" s="846"/>
      <c r="BU51" s="846"/>
      <c r="BV51" s="846"/>
      <c r="BW51" s="846"/>
      <c r="BX51" s="846"/>
      <c r="BY51" s="846"/>
      <c r="BZ51" s="846"/>
      <c r="CA51" s="846"/>
      <c r="CB51" s="846"/>
      <c r="CC51" s="846"/>
      <c r="CD51" s="846"/>
      <c r="CE51" s="846"/>
      <c r="CF51" s="846"/>
      <c r="CG51" s="846"/>
      <c r="CH51" s="846"/>
      <c r="CI51" s="846"/>
      <c r="CJ51" s="846"/>
      <c r="CK51" s="846"/>
      <c r="CL51" s="846"/>
      <c r="CM51" s="846"/>
      <c r="CN51" s="846"/>
      <c r="CO51" s="846"/>
      <c r="CP51" s="846"/>
      <c r="CQ51" s="846"/>
      <c r="CR51" s="846"/>
      <c r="CS51" s="846"/>
      <c r="CT51" s="846"/>
      <c r="CU51" s="846"/>
      <c r="CV51" s="846"/>
      <c r="CW51" s="846"/>
      <c r="CX51" s="846"/>
      <c r="CY51" s="846"/>
      <c r="CZ51" s="846"/>
    </row>
    <row r="52" spans="1:104" ht="16.350000000000001" customHeight="1">
      <c r="A52" s="842" t="s">
        <v>112</v>
      </c>
      <c r="B52" s="842" t="n">
        <f>C52+D52</f>
        <v>1</v>
      </c>
      <c r="C52" s="844" t="n">
        <f>SUM(E52:CZ52)</f>
        <v>0</v>
      </c>
      <c r="D52" s="843">
        <v>1</v>
      </c>
      <c r="E52" s="845"/>
      <c r="F52" s="846"/>
      <c r="G52" s="846"/>
      <c r="H52" s="846"/>
      <c r="I52" s="846"/>
      <c r="J52" s="846"/>
      <c r="K52" s="846"/>
      <c r="L52" s="846"/>
      <c r="M52" s="846"/>
      <c r="N52" s="846"/>
      <c r="O52" s="846"/>
      <c r="P52" s="846"/>
      <c r="Q52" s="846"/>
      <c r="R52" s="846"/>
      <c r="S52" s="846"/>
      <c r="T52" s="846"/>
      <c r="U52" s="846"/>
      <c r="V52" s="846"/>
      <c r="W52" s="846"/>
      <c r="X52" s="846"/>
      <c r="Y52" s="846"/>
      <c r="Z52" s="846"/>
      <c r="AA52" s="846"/>
      <c r="AB52" s="846"/>
      <c r="AC52" s="846"/>
      <c r="AD52" s="846"/>
      <c r="AE52" s="846"/>
      <c r="AF52" s="846"/>
      <c r="AG52" s="846"/>
      <c r="AH52" s="846"/>
      <c r="AI52" s="846"/>
      <c r="AJ52" s="846"/>
      <c r="AK52" s="846"/>
      <c r="AL52" s="846"/>
      <c r="AM52" s="846"/>
      <c r="AN52" s="846"/>
      <c r="AO52" s="846"/>
      <c r="AP52" s="846"/>
      <c r="AQ52" s="846"/>
      <c r="AR52" s="846"/>
      <c r="AS52" s="846"/>
      <c r="AT52" s="846"/>
      <c r="AU52" s="846"/>
      <c r="AV52" s="846"/>
      <c r="AW52" s="846"/>
      <c r="AX52" s="846"/>
      <c r="AY52" s="846"/>
      <c r="AZ52" s="846"/>
      <c r="BA52" s="846"/>
      <c r="BB52" s="846"/>
      <c r="BC52" s="846"/>
      <c r="BD52" s="846"/>
      <c r="BE52" s="846"/>
      <c r="BF52" s="846"/>
      <c r="BG52" s="846"/>
      <c r="BH52" s="846"/>
      <c r="BI52" s="846"/>
      <c r="BJ52" s="846"/>
      <c r="BK52" s="846"/>
      <c r="BL52" s="846"/>
      <c r="BM52" s="846"/>
      <c r="BN52" s="846"/>
      <c r="BO52" s="846"/>
      <c r="BP52" s="846"/>
      <c r="BQ52" s="846"/>
      <c r="BR52" s="846"/>
      <c r="BS52" s="846"/>
      <c r="BT52" s="846"/>
      <c r="BU52" s="846"/>
      <c r="BV52" s="846"/>
      <c r="BW52" s="846"/>
      <c r="BX52" s="846"/>
      <c r="BY52" s="846"/>
      <c r="BZ52" s="846"/>
      <c r="CA52" s="846"/>
      <c r="CB52" s="846"/>
      <c r="CC52" s="846"/>
      <c r="CD52" s="846"/>
      <c r="CE52" s="846"/>
      <c r="CF52" s="846"/>
      <c r="CG52" s="846"/>
      <c r="CH52" s="846"/>
      <c r="CI52" s="846"/>
      <c r="CJ52" s="846"/>
      <c r="CK52" s="846"/>
      <c r="CL52" s="846"/>
      <c r="CM52" s="846"/>
      <c r="CN52" s="846"/>
      <c r="CO52" s="846"/>
      <c r="CP52" s="846"/>
      <c r="CQ52" s="846"/>
      <c r="CR52" s="846"/>
      <c r="CS52" s="846"/>
      <c r="CT52" s="846"/>
      <c r="CU52" s="846"/>
      <c r="CV52" s="846"/>
      <c r="CW52" s="846"/>
      <c r="CX52" s="846"/>
      <c r="CY52" s="846"/>
      <c r="CZ52" s="846"/>
    </row>
    <row r="53" spans="1:104" ht="16.350000000000001" customHeight="1">
      <c r="A53" s="842" t="s">
        <v>115</v>
      </c>
      <c r="B53" s="842" t="n">
        <f>C53+D53</f>
        <v>1</v>
      </c>
      <c r="C53" s="844" t="n">
        <f>SUM(E53:CZ53)</f>
        <v>0</v>
      </c>
      <c r="D53" s="843">
        <v>1</v>
      </c>
      <c r="E53" s="845"/>
      <c r="F53" s="846"/>
      <c r="G53" s="846"/>
      <c r="H53" s="846"/>
      <c r="I53" s="846"/>
      <c r="J53" s="846"/>
      <c r="K53" s="846"/>
      <c r="L53" s="846"/>
      <c r="M53" s="846"/>
      <c r="N53" s="846"/>
      <c r="O53" s="846"/>
      <c r="P53" s="846"/>
      <c r="Q53" s="846"/>
      <c r="R53" s="846"/>
      <c r="S53" s="846"/>
      <c r="T53" s="846"/>
      <c r="U53" s="846"/>
      <c r="V53" s="846"/>
      <c r="W53" s="846"/>
      <c r="X53" s="846"/>
      <c r="Y53" s="846"/>
      <c r="Z53" s="846"/>
      <c r="AA53" s="846"/>
      <c r="AB53" s="846"/>
      <c r="AC53" s="846"/>
      <c r="AD53" s="846"/>
      <c r="AE53" s="846"/>
      <c r="AF53" s="846"/>
      <c r="AG53" s="846"/>
      <c r="AH53" s="846"/>
      <c r="AI53" s="846"/>
      <c r="AJ53" s="846"/>
      <c r="AK53" s="846"/>
      <c r="AL53" s="846"/>
      <c r="AM53" s="846"/>
      <c r="AN53" s="846"/>
      <c r="AO53" s="846"/>
      <c r="AP53" s="846"/>
      <c r="AQ53" s="846"/>
      <c r="AR53" s="846"/>
      <c r="AS53" s="846"/>
      <c r="AT53" s="846"/>
      <c r="AU53" s="846"/>
      <c r="AV53" s="846"/>
      <c r="AW53" s="846"/>
      <c r="AX53" s="846"/>
      <c r="AY53" s="846"/>
      <c r="AZ53" s="846"/>
      <c r="BA53" s="846"/>
      <c r="BB53" s="846"/>
      <c r="BC53" s="846"/>
      <c r="BD53" s="846"/>
      <c r="BE53" s="846"/>
      <c r="BF53" s="846"/>
      <c r="BG53" s="846"/>
      <c r="BH53" s="846"/>
      <c r="BI53" s="846"/>
      <c r="BJ53" s="846"/>
      <c r="BK53" s="846"/>
      <c r="BL53" s="846"/>
      <c r="BM53" s="846"/>
      <c r="BN53" s="846"/>
      <c r="BO53" s="846"/>
      <c r="BP53" s="846"/>
      <c r="BQ53" s="846"/>
      <c r="BR53" s="846"/>
      <c r="BS53" s="846"/>
      <c r="BT53" s="846"/>
      <c r="BU53" s="846"/>
      <c r="BV53" s="846"/>
      <c r="BW53" s="846"/>
      <c r="BX53" s="846"/>
      <c r="BY53" s="846"/>
      <c r="BZ53" s="846"/>
      <c r="CA53" s="846"/>
      <c r="CB53" s="846"/>
      <c r="CC53" s="846"/>
      <c r="CD53" s="846"/>
      <c r="CE53" s="846"/>
      <c r="CF53" s="846"/>
      <c r="CG53" s="846"/>
      <c r="CH53" s="846"/>
      <c r="CI53" s="846"/>
      <c r="CJ53" s="846"/>
      <c r="CK53" s="846"/>
      <c r="CL53" s="846"/>
      <c r="CM53" s="846"/>
      <c r="CN53" s="846"/>
      <c r="CO53" s="846"/>
      <c r="CP53" s="846"/>
      <c r="CQ53" s="846"/>
      <c r="CR53" s="846"/>
      <c r="CS53" s="846"/>
      <c r="CT53" s="846"/>
      <c r="CU53" s="846"/>
      <c r="CV53" s="846"/>
      <c r="CW53" s="846"/>
      <c r="CX53" s="846"/>
      <c r="CY53" s="846"/>
      <c r="CZ53" s="846"/>
    </row>
    <row r="54" spans="1:104" ht="16.350000000000001" customHeight="1">
      <c r="A54" s="842" t="s">
        <v>117</v>
      </c>
      <c r="B54" s="842" t="n">
        <f>C54+D54</f>
        <v>1</v>
      </c>
      <c r="C54" s="844" t="n">
        <f>SUM(E54:CZ54)</f>
        <v>0</v>
      </c>
      <c r="D54" s="843">
        <v>1</v>
      </c>
      <c r="E54" s="845"/>
      <c r="F54" s="846"/>
      <c r="G54" s="846"/>
      <c r="H54" s="846"/>
      <c r="I54" s="846"/>
      <c r="J54" s="846"/>
      <c r="K54" s="846"/>
      <c r="L54" s="846"/>
      <c r="M54" s="846"/>
      <c r="N54" s="846"/>
      <c r="O54" s="846"/>
      <c r="P54" s="846"/>
      <c r="Q54" s="846"/>
      <c r="R54" s="846"/>
      <c r="S54" s="846"/>
      <c r="T54" s="846"/>
      <c r="U54" s="846"/>
      <c r="V54" s="846"/>
      <c r="W54" s="846"/>
      <c r="X54" s="846"/>
      <c r="Y54" s="846"/>
      <c r="Z54" s="846"/>
      <c r="AA54" s="846"/>
      <c r="AB54" s="846"/>
      <c r="AC54" s="846"/>
      <c r="AD54" s="846"/>
      <c r="AE54" s="846"/>
      <c r="AF54" s="846"/>
      <c r="AG54" s="846"/>
      <c r="AH54" s="846"/>
      <c r="AI54" s="846"/>
      <c r="AJ54" s="846"/>
      <c r="AK54" s="846"/>
      <c r="AL54" s="846"/>
      <c r="AM54" s="846"/>
      <c r="AN54" s="846"/>
      <c r="AO54" s="846"/>
      <c r="AP54" s="846"/>
      <c r="AQ54" s="846"/>
      <c r="AR54" s="846"/>
      <c r="AS54" s="846"/>
      <c r="AT54" s="846"/>
      <c r="AU54" s="846"/>
      <c r="AV54" s="846"/>
      <c r="AW54" s="846"/>
      <c r="AX54" s="846"/>
      <c r="AY54" s="846"/>
      <c r="AZ54" s="846"/>
      <c r="BA54" s="846"/>
      <c r="BB54" s="846"/>
      <c r="BC54" s="846"/>
      <c r="BD54" s="846"/>
      <c r="BE54" s="846"/>
      <c r="BF54" s="846"/>
      <c r="BG54" s="846"/>
      <c r="BH54" s="846"/>
      <c r="BI54" s="846"/>
      <c r="BJ54" s="846"/>
      <c r="BK54" s="846"/>
      <c r="BL54" s="846"/>
      <c r="BM54" s="846"/>
      <c r="BN54" s="846"/>
      <c r="BO54" s="846"/>
      <c r="BP54" s="846"/>
      <c r="BQ54" s="846"/>
      <c r="BR54" s="846"/>
      <c r="BS54" s="846"/>
      <c r="BT54" s="846"/>
      <c r="BU54" s="846"/>
      <c r="BV54" s="846"/>
      <c r="BW54" s="846"/>
      <c r="BX54" s="846"/>
      <c r="BY54" s="846"/>
      <c r="BZ54" s="846"/>
      <c r="CA54" s="846"/>
      <c r="CB54" s="846"/>
      <c r="CC54" s="846"/>
      <c r="CD54" s="846"/>
      <c r="CE54" s="846"/>
      <c r="CF54" s="846"/>
      <c r="CG54" s="846"/>
      <c r="CH54" s="846"/>
      <c r="CI54" s="846"/>
      <c r="CJ54" s="846"/>
      <c r="CK54" s="846"/>
      <c r="CL54" s="846"/>
      <c r="CM54" s="846"/>
      <c r="CN54" s="846"/>
      <c r="CO54" s="846"/>
      <c r="CP54" s="846"/>
      <c r="CQ54" s="846"/>
      <c r="CR54" s="846"/>
      <c r="CS54" s="846"/>
      <c r="CT54" s="846"/>
      <c r="CU54" s="846"/>
      <c r="CV54" s="846"/>
      <c r="CW54" s="846"/>
      <c r="CX54" s="846"/>
      <c r="CY54" s="846"/>
      <c r="CZ54" s="846"/>
    </row>
    <row r="55" spans="1:104" ht="16.350000000000001" customHeight="1">
      <c r="A55" s="842" t="s">
        <v>121</v>
      </c>
      <c r="B55" s="842" t="n">
        <f>C55+D55</f>
        <v>10</v>
      </c>
      <c r="C55" s="844" t="n">
        <f>SUM(E55:CZ55)</f>
        <v>0</v>
      </c>
      <c r="D55" s="843">
        <v>10</v>
      </c>
      <c r="E55" s="845"/>
      <c r="F55" s="846"/>
      <c r="G55" s="846"/>
      <c r="H55" s="846"/>
      <c r="I55" s="846"/>
      <c r="J55" s="846"/>
      <c r="K55" s="846"/>
      <c r="L55" s="846"/>
      <c r="M55" s="846"/>
      <c r="N55" s="846"/>
      <c r="O55" s="846"/>
      <c r="P55" s="846"/>
      <c r="Q55" s="846"/>
      <c r="R55" s="846"/>
      <c r="S55" s="846"/>
      <c r="T55" s="846"/>
      <c r="U55" s="846"/>
      <c r="V55" s="846"/>
      <c r="W55" s="846"/>
      <c r="X55" s="846"/>
      <c r="Y55" s="846"/>
      <c r="Z55" s="846"/>
      <c r="AA55" s="846"/>
      <c r="AB55" s="846"/>
      <c r="AC55" s="846"/>
      <c r="AD55" s="846"/>
      <c r="AE55" s="846"/>
      <c r="AF55" s="846"/>
      <c r="AG55" s="846"/>
      <c r="AH55" s="846"/>
      <c r="AI55" s="846"/>
      <c r="AJ55" s="846"/>
      <c r="AK55" s="846"/>
      <c r="AL55" s="846"/>
      <c r="AM55" s="846"/>
      <c r="AN55" s="846"/>
      <c r="AO55" s="846"/>
      <c r="AP55" s="846"/>
      <c r="AQ55" s="846"/>
      <c r="AR55" s="846"/>
      <c r="AS55" s="846"/>
      <c r="AT55" s="846"/>
      <c r="AU55" s="846"/>
      <c r="AV55" s="846"/>
      <c r="AW55" s="846"/>
      <c r="AX55" s="846"/>
      <c r="AY55" s="846"/>
      <c r="AZ55" s="846"/>
      <c r="BA55" s="846"/>
      <c r="BB55" s="846"/>
      <c r="BC55" s="846"/>
      <c r="BD55" s="846"/>
      <c r="BE55" s="846"/>
      <c r="BF55" s="846"/>
      <c r="BG55" s="846"/>
      <c r="BH55" s="846"/>
      <c r="BI55" s="846"/>
      <c r="BJ55" s="846"/>
      <c r="BK55" s="846"/>
      <c r="BL55" s="846"/>
      <c r="BM55" s="846"/>
      <c r="BN55" s="846"/>
      <c r="BO55" s="846"/>
      <c r="BP55" s="846"/>
      <c r="BQ55" s="846"/>
      <c r="BR55" s="846"/>
      <c r="BS55" s="846"/>
      <c r="BT55" s="846"/>
      <c r="BU55" s="846"/>
      <c r="BV55" s="846"/>
      <c r="BW55" s="846"/>
      <c r="BX55" s="846"/>
      <c r="BY55" s="846"/>
      <c r="BZ55" s="846"/>
      <c r="CA55" s="846"/>
      <c r="CB55" s="846"/>
      <c r="CC55" s="846"/>
      <c r="CD55" s="846"/>
      <c r="CE55" s="846"/>
      <c r="CF55" s="846"/>
      <c r="CG55" s="846"/>
      <c r="CH55" s="846"/>
      <c r="CI55" s="846"/>
      <c r="CJ55" s="846"/>
      <c r="CK55" s="846"/>
      <c r="CL55" s="846"/>
      <c r="CM55" s="846"/>
      <c r="CN55" s="846"/>
      <c r="CO55" s="846"/>
      <c r="CP55" s="846"/>
      <c r="CQ55" s="846"/>
      <c r="CR55" s="846"/>
      <c r="CS55" s="846"/>
      <c r="CT55" s="846"/>
      <c r="CU55" s="846"/>
      <c r="CV55" s="846"/>
      <c r="CW55" s="846"/>
      <c r="CX55" s="846"/>
      <c r="CY55" s="846"/>
      <c r="CZ55" s="846"/>
    </row>
    <row r="56" spans="1:104" ht="16.350000000000001" customHeight="1">
      <c r="A56" s="842" t="s">
        <v>123</v>
      </c>
      <c r="B56" s="842" t="n">
        <f>C56+D56</f>
        <v>25</v>
      </c>
      <c r="C56" s="844" t="n">
        <f>SUM(E56:CZ56)</f>
        <v>0</v>
      </c>
      <c r="D56" s="843">
        <v>25</v>
      </c>
      <c r="E56" s="845"/>
      <c r="F56" s="846"/>
      <c r="G56" s="846"/>
      <c r="H56" s="846"/>
      <c r="I56" s="846"/>
      <c r="J56" s="846"/>
      <c r="K56" s="846"/>
      <c r="L56" s="846"/>
      <c r="M56" s="846"/>
      <c r="N56" s="846"/>
      <c r="O56" s="846"/>
      <c r="P56" s="846"/>
      <c r="Q56" s="846"/>
      <c r="R56" s="846"/>
      <c r="S56" s="846"/>
      <c r="T56" s="846"/>
      <c r="U56" s="846"/>
      <c r="V56" s="846"/>
      <c r="W56" s="846"/>
      <c r="X56" s="846"/>
      <c r="Y56" s="846"/>
      <c r="Z56" s="846"/>
      <c r="AA56" s="846"/>
      <c r="AB56" s="846"/>
      <c r="AC56" s="846"/>
      <c r="AD56" s="846"/>
      <c r="AE56" s="846"/>
      <c r="AF56" s="846"/>
      <c r="AG56" s="846"/>
      <c r="AH56" s="846"/>
      <c r="AI56" s="846"/>
      <c r="AJ56" s="846"/>
      <c r="AK56" s="846"/>
      <c r="AL56" s="846"/>
      <c r="AM56" s="846"/>
      <c r="AN56" s="846"/>
      <c r="AO56" s="846"/>
      <c r="AP56" s="846"/>
      <c r="AQ56" s="846"/>
      <c r="AR56" s="846"/>
      <c r="AS56" s="846"/>
      <c r="AT56" s="846"/>
      <c r="AU56" s="846"/>
      <c r="AV56" s="846"/>
      <c r="AW56" s="846"/>
      <c r="AX56" s="846"/>
      <c r="AY56" s="846"/>
      <c r="AZ56" s="846"/>
      <c r="BA56" s="846"/>
      <c r="BB56" s="846"/>
      <c r="BC56" s="846"/>
      <c r="BD56" s="846"/>
      <c r="BE56" s="846"/>
      <c r="BF56" s="846"/>
      <c r="BG56" s="846"/>
      <c r="BH56" s="846"/>
      <c r="BI56" s="846"/>
      <c r="BJ56" s="846"/>
      <c r="BK56" s="846"/>
      <c r="BL56" s="846"/>
      <c r="BM56" s="846"/>
      <c r="BN56" s="846"/>
      <c r="BO56" s="846"/>
      <c r="BP56" s="846"/>
      <c r="BQ56" s="846"/>
      <c r="BR56" s="846"/>
      <c r="BS56" s="846"/>
      <c r="BT56" s="846"/>
      <c r="BU56" s="846"/>
      <c r="BV56" s="846"/>
      <c r="BW56" s="846"/>
      <c r="BX56" s="846"/>
      <c r="BY56" s="846"/>
      <c r="BZ56" s="846"/>
      <c r="CA56" s="846"/>
      <c r="CB56" s="846"/>
      <c r="CC56" s="846"/>
      <c r="CD56" s="846"/>
      <c r="CE56" s="846"/>
      <c r="CF56" s="846"/>
      <c r="CG56" s="846"/>
      <c r="CH56" s="846"/>
      <c r="CI56" s="846"/>
      <c r="CJ56" s="846"/>
      <c r="CK56" s="846"/>
      <c r="CL56" s="846"/>
      <c r="CM56" s="846"/>
      <c r="CN56" s="846"/>
      <c r="CO56" s="846"/>
      <c r="CP56" s="846"/>
      <c r="CQ56" s="846"/>
      <c r="CR56" s="846"/>
      <c r="CS56" s="846"/>
      <c r="CT56" s="846"/>
      <c r="CU56" s="846"/>
      <c r="CV56" s="846"/>
      <c r="CW56" s="846"/>
      <c r="CX56" s="846"/>
      <c r="CY56" s="846"/>
      <c r="CZ56" s="846"/>
    </row>
    <row r="57" spans="1:104" ht="16.350000000000001" customHeight="1">
      <c r="A57" s="842" t="s">
        <v>127</v>
      </c>
      <c r="B57" s="842" t="n">
        <f>C57+D57</f>
        <v>20</v>
      </c>
      <c r="C57" s="844" t="n">
        <f>SUM(E57:CZ57)</f>
        <v>0</v>
      </c>
      <c r="D57" s="843">
        <v>20</v>
      </c>
      <c r="E57" s="845"/>
      <c r="F57" s="846"/>
      <c r="G57" s="846"/>
      <c r="H57" s="846"/>
      <c r="I57" s="846"/>
      <c r="J57" s="846"/>
      <c r="K57" s="846"/>
      <c r="L57" s="846"/>
      <c r="M57" s="846"/>
      <c r="N57" s="846"/>
      <c r="O57" s="846"/>
      <c r="P57" s="846"/>
      <c r="Q57" s="846"/>
      <c r="R57" s="846"/>
      <c r="S57" s="846"/>
      <c r="T57" s="846"/>
      <c r="U57" s="846"/>
      <c r="V57" s="846"/>
      <c r="W57" s="846"/>
      <c r="X57" s="846"/>
      <c r="Y57" s="846"/>
      <c r="Z57" s="846"/>
      <c r="AA57" s="846"/>
      <c r="AB57" s="846"/>
      <c r="AC57" s="846"/>
      <c r="AD57" s="846"/>
      <c r="AE57" s="846"/>
      <c r="AF57" s="846"/>
      <c r="AG57" s="846"/>
      <c r="AH57" s="846"/>
      <c r="AI57" s="846"/>
      <c r="AJ57" s="846"/>
      <c r="AK57" s="846"/>
      <c r="AL57" s="846"/>
      <c r="AM57" s="846"/>
      <c r="AN57" s="846"/>
      <c r="AO57" s="846"/>
      <c r="AP57" s="846"/>
      <c r="AQ57" s="846"/>
      <c r="AR57" s="846"/>
      <c r="AS57" s="846"/>
      <c r="AT57" s="846"/>
      <c r="AU57" s="846"/>
      <c r="AV57" s="846"/>
      <c r="AW57" s="846"/>
      <c r="AX57" s="846"/>
      <c r="AY57" s="846"/>
      <c r="AZ57" s="846"/>
      <c r="BA57" s="846"/>
      <c r="BB57" s="846"/>
      <c r="BC57" s="846"/>
      <c r="BD57" s="846"/>
      <c r="BE57" s="846"/>
      <c r="BF57" s="846"/>
      <c r="BG57" s="846"/>
      <c r="BH57" s="846"/>
      <c r="BI57" s="846"/>
      <c r="BJ57" s="846"/>
      <c r="BK57" s="846"/>
      <c r="BL57" s="846"/>
      <c r="BM57" s="846"/>
      <c r="BN57" s="846"/>
      <c r="BO57" s="846"/>
      <c r="BP57" s="846"/>
      <c r="BQ57" s="846"/>
      <c r="BR57" s="846"/>
      <c r="BS57" s="846"/>
      <c r="BT57" s="846"/>
      <c r="BU57" s="846"/>
      <c r="BV57" s="846"/>
      <c r="BW57" s="846"/>
      <c r="BX57" s="846"/>
      <c r="BY57" s="846"/>
      <c r="BZ57" s="846"/>
      <c r="CA57" s="846"/>
      <c r="CB57" s="846"/>
      <c r="CC57" s="846"/>
      <c r="CD57" s="846"/>
      <c r="CE57" s="846"/>
      <c r="CF57" s="846"/>
      <c r="CG57" s="846"/>
      <c r="CH57" s="846"/>
      <c r="CI57" s="846"/>
      <c r="CJ57" s="846"/>
      <c r="CK57" s="846"/>
      <c r="CL57" s="846"/>
      <c r="CM57" s="846"/>
      <c r="CN57" s="846"/>
      <c r="CO57" s="846"/>
      <c r="CP57" s="846"/>
      <c r="CQ57" s="846"/>
      <c r="CR57" s="846"/>
      <c r="CS57" s="846"/>
      <c r="CT57" s="846"/>
      <c r="CU57" s="846"/>
      <c r="CV57" s="846"/>
      <c r="CW57" s="846"/>
      <c r="CX57" s="846"/>
      <c r="CY57" s="846"/>
      <c r="CZ57" s="846"/>
    </row>
    <row r="58" spans="1:104" ht="16.350000000000001" customHeight="1">
      <c r="A58" s="842" t="s">
        <v>132</v>
      </c>
      <c r="B58" s="842" t="n">
        <f>C58+D58</f>
        <v>10</v>
      </c>
      <c r="C58" s="844" t="n">
        <f>SUM(E58:CZ58)</f>
        <v>0</v>
      </c>
      <c r="D58" s="843">
        <v>10</v>
      </c>
      <c r="E58" s="845"/>
      <c r="F58" s="846"/>
      <c r="G58" s="846"/>
      <c r="H58" s="846"/>
      <c r="I58" s="846"/>
      <c r="J58" s="846"/>
      <c r="K58" s="846"/>
      <c r="L58" s="846"/>
      <c r="M58" s="846"/>
      <c r="N58" s="846"/>
      <c r="O58" s="846"/>
      <c r="P58" s="846"/>
      <c r="Q58" s="846"/>
      <c r="R58" s="846"/>
      <c r="S58" s="846"/>
      <c r="T58" s="846"/>
      <c r="U58" s="846"/>
      <c r="V58" s="846"/>
      <c r="W58" s="846"/>
      <c r="X58" s="846"/>
      <c r="Y58" s="846"/>
      <c r="Z58" s="846"/>
      <c r="AA58" s="846"/>
      <c r="AB58" s="846"/>
      <c r="AC58" s="846"/>
      <c r="AD58" s="846"/>
      <c r="AE58" s="846"/>
      <c r="AF58" s="846"/>
      <c r="AG58" s="846"/>
      <c r="AH58" s="846"/>
      <c r="AI58" s="846"/>
      <c r="AJ58" s="846"/>
      <c r="AK58" s="846"/>
      <c r="AL58" s="846"/>
      <c r="AM58" s="846"/>
      <c r="AN58" s="846"/>
      <c r="AO58" s="846"/>
      <c r="AP58" s="846"/>
      <c r="AQ58" s="846"/>
      <c r="AR58" s="846"/>
      <c r="AS58" s="846"/>
      <c r="AT58" s="846"/>
      <c r="AU58" s="846"/>
      <c r="AV58" s="846"/>
      <c r="AW58" s="846"/>
      <c r="AX58" s="846"/>
      <c r="AY58" s="846"/>
      <c r="AZ58" s="846"/>
      <c r="BA58" s="846"/>
      <c r="BB58" s="846"/>
      <c r="BC58" s="846"/>
      <c r="BD58" s="846"/>
      <c r="BE58" s="846"/>
      <c r="BF58" s="846"/>
      <c r="BG58" s="846"/>
      <c r="BH58" s="846"/>
      <c r="BI58" s="846"/>
      <c r="BJ58" s="846"/>
      <c r="BK58" s="846"/>
      <c r="BL58" s="846"/>
      <c r="BM58" s="846"/>
      <c r="BN58" s="846"/>
      <c r="BO58" s="846"/>
      <c r="BP58" s="846"/>
      <c r="BQ58" s="846"/>
      <c r="BR58" s="846"/>
      <c r="BS58" s="846"/>
      <c r="BT58" s="846"/>
      <c r="BU58" s="846"/>
      <c r="BV58" s="846"/>
      <c r="BW58" s="846"/>
      <c r="BX58" s="846"/>
      <c r="BY58" s="846"/>
      <c r="BZ58" s="846"/>
      <c r="CA58" s="846"/>
      <c r="CB58" s="846"/>
      <c r="CC58" s="846"/>
      <c r="CD58" s="846"/>
      <c r="CE58" s="846"/>
      <c r="CF58" s="846"/>
      <c r="CG58" s="846"/>
      <c r="CH58" s="846"/>
      <c r="CI58" s="846"/>
      <c r="CJ58" s="846"/>
      <c r="CK58" s="846"/>
      <c r="CL58" s="846"/>
      <c r="CM58" s="846"/>
      <c r="CN58" s="846"/>
      <c r="CO58" s="846"/>
      <c r="CP58" s="846"/>
      <c r="CQ58" s="846"/>
      <c r="CR58" s="846"/>
      <c r="CS58" s="846"/>
      <c r="CT58" s="846"/>
      <c r="CU58" s="846"/>
      <c r="CV58" s="846"/>
      <c r="CW58" s="846"/>
      <c r="CX58" s="846"/>
      <c r="CY58" s="846"/>
      <c r="CZ58" s="846"/>
    </row>
    <row r="59" spans="1:104" ht="16.350000000000001" customHeight="1">
      <c r="A59" s="842" t="s">
        <v>135</v>
      </c>
      <c r="B59" s="842" t="n">
        <f>C59+D59</f>
        <v>20</v>
      </c>
      <c r="C59" s="844" t="n">
        <f>SUM(E59:CZ59)</f>
        <v>0</v>
      </c>
      <c r="D59" s="843">
        <v>20</v>
      </c>
      <c r="E59" s="845"/>
      <c r="F59" s="846"/>
      <c r="G59" s="846"/>
      <c r="H59" s="846"/>
      <c r="I59" s="846"/>
      <c r="J59" s="846"/>
      <c r="K59" s="846"/>
      <c r="L59" s="846"/>
      <c r="M59" s="846"/>
      <c r="N59" s="846"/>
      <c r="O59" s="846"/>
      <c r="P59" s="846"/>
      <c r="Q59" s="846"/>
      <c r="R59" s="846"/>
      <c r="S59" s="846"/>
      <c r="T59" s="846"/>
      <c r="U59" s="846"/>
      <c r="V59" s="846"/>
      <c r="W59" s="846"/>
      <c r="X59" s="846"/>
      <c r="Y59" s="846"/>
      <c r="Z59" s="846"/>
      <c r="AA59" s="846"/>
      <c r="AB59" s="846"/>
      <c r="AC59" s="846"/>
      <c r="AD59" s="846"/>
      <c r="AE59" s="846"/>
      <c r="AF59" s="846"/>
      <c r="AG59" s="846"/>
      <c r="AH59" s="846"/>
      <c r="AI59" s="846"/>
      <c r="AJ59" s="846"/>
      <c r="AK59" s="846"/>
      <c r="AL59" s="846"/>
      <c r="AM59" s="846"/>
      <c r="AN59" s="846"/>
      <c r="AO59" s="846"/>
      <c r="AP59" s="846"/>
      <c r="AQ59" s="846"/>
      <c r="AR59" s="846"/>
      <c r="AS59" s="846"/>
      <c r="AT59" s="846"/>
      <c r="AU59" s="846"/>
      <c r="AV59" s="846"/>
      <c r="AW59" s="846"/>
      <c r="AX59" s="846"/>
      <c r="AY59" s="846"/>
      <c r="AZ59" s="846"/>
      <c r="BA59" s="846"/>
      <c r="BB59" s="846"/>
      <c r="BC59" s="846"/>
      <c r="BD59" s="846"/>
      <c r="BE59" s="846"/>
      <c r="BF59" s="846"/>
      <c r="BG59" s="846"/>
      <c r="BH59" s="846"/>
      <c r="BI59" s="846"/>
      <c r="BJ59" s="846"/>
      <c r="BK59" s="846"/>
      <c r="BL59" s="846"/>
      <c r="BM59" s="846"/>
      <c r="BN59" s="846"/>
      <c r="BO59" s="846"/>
      <c r="BP59" s="846"/>
      <c r="BQ59" s="846"/>
      <c r="BR59" s="846"/>
      <c r="BS59" s="846"/>
      <c r="BT59" s="846"/>
      <c r="BU59" s="846"/>
      <c r="BV59" s="846"/>
      <c r="BW59" s="846"/>
      <c r="BX59" s="846"/>
      <c r="BY59" s="846"/>
      <c r="BZ59" s="846"/>
      <c r="CA59" s="846"/>
      <c r="CB59" s="846"/>
      <c r="CC59" s="846"/>
      <c r="CD59" s="846"/>
      <c r="CE59" s="846"/>
      <c r="CF59" s="846"/>
      <c r="CG59" s="846"/>
      <c r="CH59" s="846"/>
      <c r="CI59" s="846"/>
      <c r="CJ59" s="846"/>
      <c r="CK59" s="846"/>
      <c r="CL59" s="846"/>
      <c r="CM59" s="846"/>
      <c r="CN59" s="846"/>
      <c r="CO59" s="846"/>
      <c r="CP59" s="846"/>
      <c r="CQ59" s="846"/>
      <c r="CR59" s="846"/>
      <c r="CS59" s="846"/>
      <c r="CT59" s="846"/>
      <c r="CU59" s="846"/>
      <c r="CV59" s="846"/>
      <c r="CW59" s="846"/>
      <c r="CX59" s="846"/>
      <c r="CY59" s="846"/>
      <c r="CZ59" s="846"/>
    </row>
    <row r="60" spans="1:104" ht="16.350000000000001" customHeight="1">
      <c r="A60" s="842" t="s">
        <v>138</v>
      </c>
      <c r="B60" s="842" t="n">
        <f>C60+D60</f>
        <v>20</v>
      </c>
      <c r="C60" s="844" t="n">
        <f>SUM(E60:CZ60)</f>
        <v>0</v>
      </c>
      <c r="D60" s="843">
        <v>20</v>
      </c>
      <c r="E60" s="845"/>
      <c r="F60" s="846"/>
      <c r="G60" s="846"/>
      <c r="H60" s="846"/>
      <c r="I60" s="846"/>
      <c r="J60" s="846"/>
      <c r="K60" s="846"/>
      <c r="L60" s="846"/>
      <c r="M60" s="846"/>
      <c r="N60" s="846"/>
      <c r="O60" s="846"/>
      <c r="P60" s="846"/>
      <c r="Q60" s="846"/>
      <c r="R60" s="846"/>
      <c r="S60" s="846"/>
      <c r="T60" s="846"/>
      <c r="U60" s="846"/>
      <c r="V60" s="846"/>
      <c r="W60" s="846"/>
      <c r="X60" s="846"/>
      <c r="Y60" s="846"/>
      <c r="Z60" s="846"/>
      <c r="AA60" s="846"/>
      <c r="AB60" s="846"/>
      <c r="AC60" s="846"/>
      <c r="AD60" s="846"/>
      <c r="AE60" s="846"/>
      <c r="AF60" s="846"/>
      <c r="AG60" s="846"/>
      <c r="AH60" s="846"/>
      <c r="AI60" s="846"/>
      <c r="AJ60" s="846"/>
      <c r="AK60" s="846"/>
      <c r="AL60" s="846"/>
      <c r="AM60" s="846"/>
      <c r="AN60" s="846"/>
      <c r="AO60" s="846"/>
      <c r="AP60" s="846"/>
      <c r="AQ60" s="846"/>
      <c r="AR60" s="846"/>
      <c r="AS60" s="846"/>
      <c r="AT60" s="846"/>
      <c r="AU60" s="846"/>
      <c r="AV60" s="846"/>
      <c r="AW60" s="846"/>
      <c r="AX60" s="846"/>
      <c r="AY60" s="846"/>
      <c r="AZ60" s="846"/>
      <c r="BA60" s="846"/>
      <c r="BB60" s="846"/>
      <c r="BC60" s="846"/>
      <c r="BD60" s="846"/>
      <c r="BE60" s="846"/>
      <c r="BF60" s="846"/>
      <c r="BG60" s="846"/>
      <c r="BH60" s="846"/>
      <c r="BI60" s="846"/>
      <c r="BJ60" s="846"/>
      <c r="BK60" s="846"/>
      <c r="BL60" s="846"/>
      <c r="BM60" s="846"/>
      <c r="BN60" s="846"/>
      <c r="BO60" s="846"/>
      <c r="BP60" s="846"/>
      <c r="BQ60" s="846"/>
      <c r="BR60" s="846"/>
      <c r="BS60" s="846"/>
      <c r="BT60" s="846"/>
      <c r="BU60" s="846"/>
      <c r="BV60" s="846"/>
      <c r="BW60" s="846"/>
      <c r="BX60" s="846"/>
      <c r="BY60" s="846"/>
      <c r="BZ60" s="846"/>
      <c r="CA60" s="846"/>
      <c r="CB60" s="846"/>
      <c r="CC60" s="846"/>
      <c r="CD60" s="846"/>
      <c r="CE60" s="846"/>
      <c r="CF60" s="846"/>
      <c r="CG60" s="846"/>
      <c r="CH60" s="846"/>
      <c r="CI60" s="846"/>
      <c r="CJ60" s="846"/>
      <c r="CK60" s="846"/>
      <c r="CL60" s="846"/>
      <c r="CM60" s="846"/>
      <c r="CN60" s="846"/>
      <c r="CO60" s="846"/>
      <c r="CP60" s="846"/>
      <c r="CQ60" s="846"/>
      <c r="CR60" s="846"/>
      <c r="CS60" s="846"/>
      <c r="CT60" s="846"/>
      <c r="CU60" s="846"/>
      <c r="CV60" s="846"/>
      <c r="CW60" s="846"/>
      <c r="CX60" s="846"/>
      <c r="CY60" s="846"/>
      <c r="CZ60" s="846"/>
    </row>
    <row r="61" spans="1:104" ht="16.350000000000001" customHeight="1">
      <c r="A61" s="842" t="s">
        <v>140</v>
      </c>
      <c r="B61" s="842" t="n">
        <f>C61+D61</f>
        <v>10</v>
      </c>
      <c r="C61" s="844" t="n">
        <f>SUM(E61:CZ61)</f>
        <v>0</v>
      </c>
      <c r="D61" s="843">
        <v>10</v>
      </c>
      <c r="E61" s="845"/>
      <c r="F61" s="846"/>
      <c r="G61" s="846"/>
      <c r="H61" s="846"/>
      <c r="I61" s="846"/>
      <c r="J61" s="846"/>
      <c r="K61" s="846"/>
      <c r="L61" s="846"/>
      <c r="M61" s="846"/>
      <c r="N61" s="846"/>
      <c r="O61" s="846"/>
      <c r="P61" s="846"/>
      <c r="Q61" s="846"/>
      <c r="R61" s="846"/>
      <c r="S61" s="846"/>
      <c r="T61" s="846"/>
      <c r="U61" s="846"/>
      <c r="V61" s="846"/>
      <c r="W61" s="846"/>
      <c r="X61" s="846"/>
      <c r="Y61" s="846"/>
      <c r="Z61" s="846"/>
      <c r="AA61" s="846"/>
      <c r="AB61" s="846"/>
      <c r="AC61" s="846"/>
      <c r="AD61" s="846"/>
      <c r="AE61" s="846"/>
      <c r="AF61" s="846"/>
      <c r="AG61" s="846"/>
      <c r="AH61" s="846"/>
      <c r="AI61" s="846"/>
      <c r="AJ61" s="846"/>
      <c r="AK61" s="846"/>
      <c r="AL61" s="846"/>
      <c r="AM61" s="846"/>
      <c r="AN61" s="846"/>
      <c r="AO61" s="846"/>
      <c r="AP61" s="846"/>
      <c r="AQ61" s="846"/>
      <c r="AR61" s="846"/>
      <c r="AS61" s="846"/>
      <c r="AT61" s="846"/>
      <c r="AU61" s="846"/>
      <c r="AV61" s="846"/>
      <c r="AW61" s="846"/>
      <c r="AX61" s="846"/>
      <c r="AY61" s="846"/>
      <c r="AZ61" s="846"/>
      <c r="BA61" s="846"/>
      <c r="BB61" s="846"/>
      <c r="BC61" s="846"/>
      <c r="BD61" s="846"/>
      <c r="BE61" s="846"/>
      <c r="BF61" s="846"/>
      <c r="BG61" s="846"/>
      <c r="BH61" s="846"/>
      <c r="BI61" s="846"/>
      <c r="BJ61" s="846"/>
      <c r="BK61" s="846"/>
      <c r="BL61" s="846"/>
      <c r="BM61" s="846"/>
      <c r="BN61" s="846"/>
      <c r="BO61" s="846"/>
      <c r="BP61" s="846"/>
      <c r="BQ61" s="846"/>
      <c r="BR61" s="846"/>
      <c r="BS61" s="846"/>
      <c r="BT61" s="846"/>
      <c r="BU61" s="846"/>
      <c r="BV61" s="846"/>
      <c r="BW61" s="846"/>
      <c r="BX61" s="846"/>
      <c r="BY61" s="846"/>
      <c r="BZ61" s="846"/>
      <c r="CA61" s="846"/>
      <c r="CB61" s="846"/>
      <c r="CC61" s="846"/>
      <c r="CD61" s="846"/>
      <c r="CE61" s="846"/>
      <c r="CF61" s="846"/>
      <c r="CG61" s="846"/>
      <c r="CH61" s="846"/>
      <c r="CI61" s="846"/>
      <c r="CJ61" s="846"/>
      <c r="CK61" s="846"/>
      <c r="CL61" s="846"/>
      <c r="CM61" s="846"/>
      <c r="CN61" s="846"/>
      <c r="CO61" s="846"/>
      <c r="CP61" s="846"/>
      <c r="CQ61" s="846"/>
      <c r="CR61" s="846"/>
      <c r="CS61" s="846"/>
      <c r="CT61" s="846"/>
      <c r="CU61" s="846"/>
      <c r="CV61" s="846"/>
      <c r="CW61" s="846"/>
      <c r="CX61" s="846"/>
      <c r="CY61" s="846"/>
      <c r="CZ61" s="846"/>
    </row>
    <row r="62" spans="1:104" ht="16.350000000000001" customHeight="1">
      <c r="A62" s="842" t="s">
        <v>1343</v>
      </c>
      <c r="B62" s="842" t="n">
        <f>C62+D62</f>
        <v>5</v>
      </c>
      <c r="C62" s="844" t="n">
        <f>SUM(E62:CZ62)</f>
        <v>0</v>
      </c>
      <c r="D62" s="843">
        <v>5</v>
      </c>
      <c r="E62" s="845"/>
      <c r="F62" s="846"/>
      <c r="G62" s="846"/>
      <c r="H62" s="846"/>
      <c r="I62" s="846"/>
      <c r="J62" s="846"/>
      <c r="K62" s="846"/>
      <c r="L62" s="846"/>
      <c r="M62" s="846"/>
      <c r="N62" s="846"/>
      <c r="O62" s="846"/>
      <c r="P62" s="846"/>
      <c r="Q62" s="846"/>
      <c r="R62" s="846"/>
      <c r="S62" s="846"/>
      <c r="T62" s="846"/>
      <c r="U62" s="846"/>
      <c r="V62" s="846"/>
      <c r="W62" s="846"/>
      <c r="X62" s="846"/>
      <c r="Y62" s="846"/>
      <c r="Z62" s="846"/>
      <c r="AA62" s="846"/>
      <c r="AB62" s="846"/>
      <c r="AC62" s="846"/>
      <c r="AD62" s="846"/>
      <c r="AE62" s="846"/>
      <c r="AF62" s="846"/>
      <c r="AG62" s="846"/>
      <c r="AH62" s="846"/>
      <c r="AI62" s="846"/>
      <c r="AJ62" s="846"/>
      <c r="AK62" s="846"/>
      <c r="AL62" s="846"/>
      <c r="AM62" s="846"/>
      <c r="AN62" s="846"/>
      <c r="AO62" s="846"/>
      <c r="AP62" s="846"/>
      <c r="AQ62" s="846"/>
      <c r="AR62" s="846"/>
      <c r="AS62" s="846"/>
      <c r="AT62" s="846"/>
      <c r="AU62" s="846"/>
      <c r="AV62" s="846"/>
      <c r="AW62" s="846"/>
      <c r="AX62" s="846"/>
      <c r="AY62" s="846"/>
      <c r="AZ62" s="846"/>
      <c r="BA62" s="846"/>
      <c r="BB62" s="846"/>
      <c r="BC62" s="846"/>
      <c r="BD62" s="846"/>
      <c r="BE62" s="846"/>
      <c r="BF62" s="846"/>
      <c r="BG62" s="846"/>
      <c r="BH62" s="846"/>
      <c r="BI62" s="846"/>
      <c r="BJ62" s="846"/>
      <c r="BK62" s="846"/>
      <c r="BL62" s="846"/>
      <c r="BM62" s="846"/>
      <c r="BN62" s="846"/>
      <c r="BO62" s="846"/>
      <c r="BP62" s="846"/>
      <c r="BQ62" s="846"/>
      <c r="BR62" s="846"/>
      <c r="BS62" s="846"/>
      <c r="BT62" s="846"/>
      <c r="BU62" s="846"/>
      <c r="BV62" s="846"/>
      <c r="BW62" s="846"/>
      <c r="BX62" s="846"/>
      <c r="BY62" s="846"/>
      <c r="BZ62" s="846"/>
      <c r="CA62" s="846"/>
      <c r="CB62" s="846"/>
      <c r="CC62" s="846"/>
      <c r="CD62" s="846"/>
      <c r="CE62" s="846"/>
      <c r="CF62" s="846"/>
      <c r="CG62" s="846"/>
      <c r="CH62" s="846"/>
      <c r="CI62" s="846"/>
      <c r="CJ62" s="846"/>
      <c r="CK62" s="846"/>
      <c r="CL62" s="846"/>
      <c r="CM62" s="846"/>
      <c r="CN62" s="846"/>
      <c r="CO62" s="846"/>
      <c r="CP62" s="846"/>
      <c r="CQ62" s="846"/>
      <c r="CR62" s="846"/>
      <c r="CS62" s="846"/>
      <c r="CT62" s="846"/>
      <c r="CU62" s="846"/>
      <c r="CV62" s="846"/>
      <c r="CW62" s="846"/>
      <c r="CX62" s="846"/>
      <c r="CY62" s="846"/>
      <c r="CZ62" s="846"/>
    </row>
    <row r="63" spans="1:104" ht="16.350000000000001" customHeight="1">
      <c r="A63" s="842" t="s">
        <v>144</v>
      </c>
      <c r="B63" s="842" t="n">
        <f>C63+D63</f>
        <v>1</v>
      </c>
      <c r="C63" s="844" t="n">
        <f>SUM(E63:CZ63)</f>
        <v>0</v>
      </c>
      <c r="D63" s="843">
        <v>1</v>
      </c>
      <c r="E63" s="845"/>
      <c r="F63" s="846"/>
      <c r="G63" s="846"/>
      <c r="H63" s="846"/>
      <c r="I63" s="846"/>
      <c r="J63" s="846"/>
      <c r="K63" s="846"/>
      <c r="L63" s="846"/>
      <c r="M63" s="846"/>
      <c r="N63" s="846"/>
      <c r="O63" s="846"/>
      <c r="P63" s="846"/>
      <c r="Q63" s="846"/>
      <c r="R63" s="846"/>
      <c r="S63" s="846"/>
      <c r="T63" s="846"/>
      <c r="U63" s="846"/>
      <c r="V63" s="846"/>
      <c r="W63" s="846"/>
      <c r="X63" s="846"/>
      <c r="Y63" s="846"/>
      <c r="Z63" s="846"/>
      <c r="AA63" s="846"/>
      <c r="AB63" s="846"/>
      <c r="AC63" s="846"/>
      <c r="AD63" s="846"/>
      <c r="AE63" s="846"/>
      <c r="AF63" s="846"/>
      <c r="AG63" s="846"/>
      <c r="AH63" s="846"/>
      <c r="AI63" s="846"/>
      <c r="AJ63" s="846"/>
      <c r="AK63" s="846"/>
      <c r="AL63" s="846"/>
      <c r="AM63" s="846"/>
      <c r="AN63" s="846"/>
      <c r="AO63" s="846"/>
      <c r="AP63" s="846"/>
      <c r="AQ63" s="846"/>
      <c r="AR63" s="846"/>
      <c r="AS63" s="846"/>
      <c r="AT63" s="846"/>
      <c r="AU63" s="846"/>
      <c r="AV63" s="846"/>
      <c r="AW63" s="846"/>
      <c r="AX63" s="846"/>
      <c r="AY63" s="846"/>
      <c r="AZ63" s="846"/>
      <c r="BA63" s="846"/>
      <c r="BB63" s="846"/>
      <c r="BC63" s="846"/>
      <c r="BD63" s="846"/>
      <c r="BE63" s="846"/>
      <c r="BF63" s="846"/>
      <c r="BG63" s="846"/>
      <c r="BH63" s="846"/>
      <c r="BI63" s="846"/>
      <c r="BJ63" s="846"/>
      <c r="BK63" s="846"/>
      <c r="BL63" s="846"/>
      <c r="BM63" s="846"/>
      <c r="BN63" s="846"/>
      <c r="BO63" s="846"/>
      <c r="BP63" s="846"/>
      <c r="BQ63" s="846"/>
      <c r="BR63" s="846"/>
      <c r="BS63" s="846"/>
      <c r="BT63" s="846"/>
      <c r="BU63" s="846"/>
      <c r="BV63" s="846"/>
      <c r="BW63" s="846"/>
      <c r="BX63" s="846"/>
      <c r="BY63" s="846"/>
      <c r="BZ63" s="846"/>
      <c r="CA63" s="846"/>
      <c r="CB63" s="846"/>
      <c r="CC63" s="846"/>
      <c r="CD63" s="846"/>
      <c r="CE63" s="846"/>
      <c r="CF63" s="846"/>
      <c r="CG63" s="846"/>
      <c r="CH63" s="846"/>
      <c r="CI63" s="846"/>
      <c r="CJ63" s="846"/>
      <c r="CK63" s="846"/>
      <c r="CL63" s="846"/>
      <c r="CM63" s="846"/>
      <c r="CN63" s="846"/>
      <c r="CO63" s="846"/>
      <c r="CP63" s="846"/>
      <c r="CQ63" s="846"/>
      <c r="CR63" s="846"/>
      <c r="CS63" s="846"/>
      <c r="CT63" s="846"/>
      <c r="CU63" s="846"/>
      <c r="CV63" s="846"/>
      <c r="CW63" s="846"/>
      <c r="CX63" s="846"/>
      <c r="CY63" s="846"/>
      <c r="CZ63" s="846"/>
    </row>
    <row r="64" spans="1:104" ht="16.350000000000001" customHeight="1">
      <c r="A64" s="842" t="s">
        <v>146</v>
      </c>
      <c r="B64" s="842" t="n">
        <f>C64+D64</f>
        <v>1</v>
      </c>
      <c r="C64" s="844" t="n">
        <f>SUM(E64:CZ64)</f>
        <v>0</v>
      </c>
      <c r="D64" s="843">
        <v>1</v>
      </c>
      <c r="E64" s="845"/>
      <c r="F64" s="846"/>
      <c r="G64" s="846"/>
      <c r="H64" s="846"/>
      <c r="I64" s="846"/>
      <c r="J64" s="846"/>
      <c r="K64" s="846"/>
      <c r="L64" s="846"/>
      <c r="M64" s="846"/>
      <c r="N64" s="846"/>
      <c r="O64" s="846"/>
      <c r="P64" s="846"/>
      <c r="Q64" s="846"/>
      <c r="R64" s="846"/>
      <c r="S64" s="846"/>
      <c r="T64" s="846"/>
      <c r="U64" s="846"/>
      <c r="V64" s="846"/>
      <c r="W64" s="846"/>
      <c r="X64" s="846"/>
      <c r="Y64" s="846"/>
      <c r="Z64" s="846"/>
      <c r="AA64" s="846"/>
      <c r="AB64" s="846"/>
      <c r="AC64" s="846"/>
      <c r="AD64" s="846"/>
      <c r="AE64" s="846"/>
      <c r="AF64" s="846"/>
      <c r="AG64" s="846"/>
      <c r="AH64" s="846"/>
      <c r="AI64" s="846"/>
      <c r="AJ64" s="846"/>
      <c r="AK64" s="846"/>
      <c r="AL64" s="846"/>
      <c r="AM64" s="846"/>
      <c r="AN64" s="846"/>
      <c r="AO64" s="846"/>
      <c r="AP64" s="846"/>
      <c r="AQ64" s="846"/>
      <c r="AR64" s="846"/>
      <c r="AS64" s="846"/>
      <c r="AT64" s="846"/>
      <c r="AU64" s="846"/>
      <c r="AV64" s="846"/>
      <c r="AW64" s="846"/>
      <c r="AX64" s="846"/>
      <c r="AY64" s="846"/>
      <c r="AZ64" s="846"/>
      <c r="BA64" s="846"/>
      <c r="BB64" s="846"/>
      <c r="BC64" s="846"/>
      <c r="BD64" s="846"/>
      <c r="BE64" s="846"/>
      <c r="BF64" s="846"/>
      <c r="BG64" s="846"/>
      <c r="BH64" s="846"/>
      <c r="BI64" s="846"/>
      <c r="BJ64" s="846"/>
      <c r="BK64" s="846"/>
      <c r="BL64" s="846"/>
      <c r="BM64" s="846"/>
      <c r="BN64" s="846"/>
      <c r="BO64" s="846"/>
      <c r="BP64" s="846"/>
      <c r="BQ64" s="846"/>
      <c r="BR64" s="846"/>
      <c r="BS64" s="846"/>
      <c r="BT64" s="846"/>
      <c r="BU64" s="846"/>
      <c r="BV64" s="846"/>
      <c r="BW64" s="846"/>
      <c r="BX64" s="846"/>
      <c r="BY64" s="846"/>
      <c r="BZ64" s="846"/>
      <c r="CA64" s="846"/>
      <c r="CB64" s="846"/>
      <c r="CC64" s="846"/>
      <c r="CD64" s="846"/>
      <c r="CE64" s="846"/>
      <c r="CF64" s="846"/>
      <c r="CG64" s="846"/>
      <c r="CH64" s="846"/>
      <c r="CI64" s="846"/>
      <c r="CJ64" s="846"/>
      <c r="CK64" s="846"/>
      <c r="CL64" s="846"/>
      <c r="CM64" s="846"/>
      <c r="CN64" s="846"/>
      <c r="CO64" s="846"/>
      <c r="CP64" s="846"/>
      <c r="CQ64" s="846"/>
      <c r="CR64" s="846"/>
      <c r="CS64" s="846"/>
      <c r="CT64" s="846"/>
      <c r="CU64" s="846"/>
      <c r="CV64" s="846"/>
      <c r="CW64" s="846"/>
      <c r="CX64" s="846"/>
      <c r="CY64" s="846"/>
      <c r="CZ64" s="846"/>
    </row>
    <row r="65" spans="1:104" ht="16.350000000000001" customHeight="1">
      <c r="A65" s="842" t="s">
        <v>149</v>
      </c>
      <c r="B65" s="842" t="n">
        <f>C65+D65</f>
        <v>1</v>
      </c>
      <c r="C65" s="844" t="n">
        <f>SUM(E65:CZ65)</f>
        <v>0</v>
      </c>
      <c r="D65" s="843">
        <v>1</v>
      </c>
      <c r="E65" s="845"/>
      <c r="F65" s="846"/>
      <c r="G65" s="846"/>
      <c r="H65" s="846"/>
      <c r="I65" s="846"/>
      <c r="J65" s="846"/>
      <c r="K65" s="846"/>
      <c r="L65" s="846"/>
      <c r="M65" s="846"/>
      <c r="N65" s="846"/>
      <c r="O65" s="846"/>
      <c r="P65" s="846"/>
      <c r="Q65" s="846"/>
      <c r="R65" s="846"/>
      <c r="S65" s="846"/>
      <c r="T65" s="846"/>
      <c r="U65" s="846"/>
      <c r="V65" s="846"/>
      <c r="W65" s="846"/>
      <c r="X65" s="846"/>
      <c r="Y65" s="846"/>
      <c r="Z65" s="846"/>
      <c r="AA65" s="846"/>
      <c r="AB65" s="846"/>
      <c r="AC65" s="846"/>
      <c r="AD65" s="846"/>
      <c r="AE65" s="846"/>
      <c r="AF65" s="846"/>
      <c r="AG65" s="846"/>
      <c r="AH65" s="846"/>
      <c r="AI65" s="846"/>
      <c r="AJ65" s="846"/>
      <c r="AK65" s="846"/>
      <c r="AL65" s="846"/>
      <c r="AM65" s="846"/>
      <c r="AN65" s="846"/>
      <c r="AO65" s="846"/>
      <c r="AP65" s="846"/>
      <c r="AQ65" s="846"/>
      <c r="AR65" s="846"/>
      <c r="AS65" s="846"/>
      <c r="AT65" s="846"/>
      <c r="AU65" s="846"/>
      <c r="AV65" s="846"/>
      <c r="AW65" s="846"/>
      <c r="AX65" s="846"/>
      <c r="AY65" s="846"/>
      <c r="AZ65" s="846"/>
      <c r="BA65" s="846"/>
      <c r="BB65" s="846"/>
      <c r="BC65" s="846"/>
      <c r="BD65" s="846"/>
      <c r="BE65" s="846"/>
      <c r="BF65" s="846"/>
      <c r="BG65" s="846"/>
      <c r="BH65" s="846"/>
      <c r="BI65" s="846"/>
      <c r="BJ65" s="846"/>
      <c r="BK65" s="846"/>
      <c r="BL65" s="846"/>
      <c r="BM65" s="846"/>
      <c r="BN65" s="846"/>
      <c r="BO65" s="846"/>
      <c r="BP65" s="846"/>
      <c r="BQ65" s="846"/>
      <c r="BR65" s="846"/>
      <c r="BS65" s="846"/>
      <c r="BT65" s="846"/>
      <c r="BU65" s="846"/>
      <c r="BV65" s="846"/>
      <c r="BW65" s="846"/>
      <c r="BX65" s="846"/>
      <c r="BY65" s="846"/>
      <c r="BZ65" s="846"/>
      <c r="CA65" s="846"/>
      <c r="CB65" s="846"/>
      <c r="CC65" s="846"/>
      <c r="CD65" s="846"/>
      <c r="CE65" s="846"/>
      <c r="CF65" s="846"/>
      <c r="CG65" s="846"/>
      <c r="CH65" s="846"/>
      <c r="CI65" s="846"/>
      <c r="CJ65" s="846"/>
      <c r="CK65" s="846"/>
      <c r="CL65" s="846"/>
      <c r="CM65" s="846"/>
      <c r="CN65" s="846"/>
      <c r="CO65" s="846"/>
      <c r="CP65" s="846"/>
      <c r="CQ65" s="846"/>
      <c r="CR65" s="846"/>
      <c r="CS65" s="846"/>
      <c r="CT65" s="846"/>
      <c r="CU65" s="846"/>
      <c r="CV65" s="846"/>
      <c r="CW65" s="846"/>
      <c r="CX65" s="846"/>
      <c r="CY65" s="846"/>
      <c r="CZ65" s="846"/>
    </row>
    <row r="66" spans="1:104" ht="16.350000000000001" customHeight="1">
      <c r="A66" s="842" t="s">
        <v>151</v>
      </c>
      <c r="B66" s="842" t="n">
        <f>C66+D66</f>
        <v>1</v>
      </c>
      <c r="C66" s="844" t="n">
        <f>SUM(E66:CZ66)</f>
        <v>0</v>
      </c>
      <c r="D66" s="843">
        <v>1</v>
      </c>
      <c r="E66" s="845"/>
      <c r="F66" s="846"/>
      <c r="G66" s="846"/>
      <c r="H66" s="846"/>
      <c r="I66" s="846"/>
      <c r="J66" s="846"/>
      <c r="K66" s="846"/>
      <c r="L66" s="846"/>
      <c r="M66" s="846"/>
      <c r="N66" s="846"/>
      <c r="O66" s="846"/>
      <c r="P66" s="846"/>
      <c r="Q66" s="846"/>
      <c r="R66" s="846"/>
      <c r="S66" s="846"/>
      <c r="T66" s="846"/>
      <c r="U66" s="846"/>
      <c r="V66" s="846"/>
      <c r="W66" s="846"/>
      <c r="X66" s="846"/>
      <c r="Y66" s="846"/>
      <c r="Z66" s="846"/>
      <c r="AA66" s="846"/>
      <c r="AB66" s="846"/>
      <c r="AC66" s="846"/>
      <c r="AD66" s="846"/>
      <c r="AE66" s="846"/>
      <c r="AF66" s="846"/>
      <c r="AG66" s="846"/>
      <c r="AH66" s="846"/>
      <c r="AI66" s="846"/>
      <c r="AJ66" s="846"/>
      <c r="AK66" s="846"/>
      <c r="AL66" s="846"/>
      <c r="AM66" s="846"/>
      <c r="AN66" s="846"/>
      <c r="AO66" s="846"/>
      <c r="AP66" s="846"/>
      <c r="AQ66" s="846"/>
      <c r="AR66" s="846"/>
      <c r="AS66" s="846"/>
      <c r="AT66" s="846"/>
      <c r="AU66" s="846"/>
      <c r="AV66" s="846"/>
      <c r="AW66" s="846"/>
      <c r="AX66" s="846"/>
      <c r="AY66" s="846"/>
      <c r="AZ66" s="846"/>
      <c r="BA66" s="846"/>
      <c r="BB66" s="846"/>
      <c r="BC66" s="846"/>
      <c r="BD66" s="846"/>
      <c r="BE66" s="846"/>
      <c r="BF66" s="846"/>
      <c r="BG66" s="846"/>
      <c r="BH66" s="846"/>
      <c r="BI66" s="846"/>
      <c r="BJ66" s="846"/>
      <c r="BK66" s="846"/>
      <c r="BL66" s="846"/>
      <c r="BM66" s="846"/>
      <c r="BN66" s="846"/>
      <c r="BO66" s="846"/>
      <c r="BP66" s="846"/>
      <c r="BQ66" s="846"/>
      <c r="BR66" s="846"/>
      <c r="BS66" s="846"/>
      <c r="BT66" s="846"/>
      <c r="BU66" s="846"/>
      <c r="BV66" s="846"/>
      <c r="BW66" s="846"/>
      <c r="BX66" s="846"/>
      <c r="BY66" s="846"/>
      <c r="BZ66" s="846"/>
      <c r="CA66" s="846"/>
      <c r="CB66" s="846"/>
      <c r="CC66" s="846"/>
      <c r="CD66" s="846"/>
      <c r="CE66" s="846"/>
      <c r="CF66" s="846"/>
      <c r="CG66" s="846"/>
      <c r="CH66" s="846"/>
      <c r="CI66" s="846"/>
      <c r="CJ66" s="846"/>
      <c r="CK66" s="846"/>
      <c r="CL66" s="846"/>
      <c r="CM66" s="846"/>
      <c r="CN66" s="846"/>
      <c r="CO66" s="846"/>
      <c r="CP66" s="846"/>
      <c r="CQ66" s="846"/>
      <c r="CR66" s="846"/>
      <c r="CS66" s="846"/>
      <c r="CT66" s="846"/>
      <c r="CU66" s="846"/>
      <c r="CV66" s="846"/>
      <c r="CW66" s="846"/>
      <c r="CX66" s="846"/>
      <c r="CY66" s="846"/>
      <c r="CZ66" s="846"/>
    </row>
    <row r="67" spans="1:104" ht="16.350000000000001" customHeight="1">
      <c r="A67" s="842" t="s">
        <v>153</v>
      </c>
      <c r="B67" s="842" t="n">
        <f>C67+D67</f>
        <v>1</v>
      </c>
      <c r="C67" s="844" t="n">
        <f>SUM(E67:CZ67)</f>
        <v>0</v>
      </c>
      <c r="D67" s="843">
        <v>1</v>
      </c>
      <c r="E67" s="845"/>
      <c r="F67" s="846"/>
      <c r="G67" s="846"/>
      <c r="H67" s="846"/>
      <c r="I67" s="846"/>
      <c r="J67" s="846"/>
      <c r="K67" s="846"/>
      <c r="L67" s="846"/>
      <c r="M67" s="846"/>
      <c r="N67" s="846"/>
      <c r="O67" s="846"/>
      <c r="P67" s="846"/>
      <c r="Q67" s="846"/>
      <c r="R67" s="846"/>
      <c r="S67" s="846"/>
      <c r="T67" s="846"/>
      <c r="U67" s="846"/>
      <c r="V67" s="846"/>
      <c r="W67" s="846"/>
      <c r="X67" s="846"/>
      <c r="Y67" s="846"/>
      <c r="Z67" s="846"/>
      <c r="AA67" s="846"/>
      <c r="AB67" s="846"/>
      <c r="AC67" s="846"/>
      <c r="AD67" s="846"/>
      <c r="AE67" s="846"/>
      <c r="AF67" s="846"/>
      <c r="AG67" s="846"/>
      <c r="AH67" s="846"/>
      <c r="AI67" s="846"/>
      <c r="AJ67" s="846"/>
      <c r="AK67" s="846"/>
      <c r="AL67" s="846"/>
      <c r="AM67" s="846"/>
      <c r="AN67" s="846"/>
      <c r="AO67" s="846"/>
      <c r="AP67" s="846"/>
      <c r="AQ67" s="846"/>
      <c r="AR67" s="846"/>
      <c r="AS67" s="846"/>
      <c r="AT67" s="846"/>
      <c r="AU67" s="846"/>
      <c r="AV67" s="846"/>
      <c r="AW67" s="846"/>
      <c r="AX67" s="846"/>
      <c r="AY67" s="846"/>
      <c r="AZ67" s="846"/>
      <c r="BA67" s="846"/>
      <c r="BB67" s="846"/>
      <c r="BC67" s="846"/>
      <c r="BD67" s="846"/>
      <c r="BE67" s="846"/>
      <c r="BF67" s="846"/>
      <c r="BG67" s="846"/>
      <c r="BH67" s="846"/>
      <c r="BI67" s="846"/>
      <c r="BJ67" s="846"/>
      <c r="BK67" s="846"/>
      <c r="BL67" s="846"/>
      <c r="BM67" s="846"/>
      <c r="BN67" s="846"/>
      <c r="BO67" s="846"/>
      <c r="BP67" s="846"/>
      <c r="BQ67" s="846"/>
      <c r="BR67" s="846"/>
      <c r="BS67" s="846"/>
      <c r="BT67" s="846"/>
      <c r="BU67" s="846"/>
      <c r="BV67" s="846"/>
      <c r="BW67" s="846"/>
      <c r="BX67" s="846"/>
      <c r="BY67" s="846"/>
      <c r="BZ67" s="846"/>
      <c r="CA67" s="846"/>
      <c r="CB67" s="846"/>
      <c r="CC67" s="846"/>
      <c r="CD67" s="846"/>
      <c r="CE67" s="846"/>
      <c r="CF67" s="846"/>
      <c r="CG67" s="846"/>
      <c r="CH67" s="846"/>
      <c r="CI67" s="846"/>
      <c r="CJ67" s="846"/>
      <c r="CK67" s="846"/>
      <c r="CL67" s="846"/>
      <c r="CM67" s="846"/>
      <c r="CN67" s="846"/>
      <c r="CO67" s="846"/>
      <c r="CP67" s="846"/>
      <c r="CQ67" s="846"/>
      <c r="CR67" s="846"/>
      <c r="CS67" s="846"/>
      <c r="CT67" s="846"/>
      <c r="CU67" s="846"/>
      <c r="CV67" s="846"/>
      <c r="CW67" s="846"/>
      <c r="CX67" s="846"/>
      <c r="CY67" s="846"/>
      <c r="CZ67" s="846"/>
    </row>
    <row r="68" spans="1:104" ht="16.350000000000001" customHeight="1">
      <c r="A68" s="842" t="s">
        <v>155</v>
      </c>
      <c r="B68" s="842" t="n">
        <f>C68+D68</f>
        <v>1</v>
      </c>
      <c r="C68" s="844" t="n">
        <f>SUM(E68:CZ68)</f>
        <v>0</v>
      </c>
      <c r="D68" s="843">
        <v>1</v>
      </c>
      <c r="E68" s="845"/>
      <c r="F68" s="846"/>
      <c r="G68" s="846"/>
      <c r="H68" s="846"/>
      <c r="I68" s="846"/>
      <c r="J68" s="846"/>
      <c r="K68" s="846"/>
      <c r="L68" s="846"/>
      <c r="M68" s="846"/>
      <c r="N68" s="846"/>
      <c r="O68" s="846"/>
      <c r="P68" s="846"/>
      <c r="Q68" s="846"/>
      <c r="R68" s="846"/>
      <c r="S68" s="846"/>
      <c r="T68" s="846"/>
      <c r="U68" s="846"/>
      <c r="V68" s="846"/>
      <c r="W68" s="846"/>
      <c r="X68" s="846"/>
      <c r="Y68" s="846"/>
      <c r="Z68" s="846"/>
      <c r="AA68" s="846"/>
      <c r="AB68" s="846"/>
      <c r="AC68" s="846"/>
      <c r="AD68" s="846"/>
      <c r="AE68" s="846"/>
      <c r="AF68" s="846"/>
      <c r="AG68" s="846"/>
      <c r="AH68" s="846"/>
      <c r="AI68" s="846"/>
      <c r="AJ68" s="846"/>
      <c r="AK68" s="846"/>
      <c r="AL68" s="846"/>
      <c r="AM68" s="846"/>
      <c r="AN68" s="846"/>
      <c r="AO68" s="846"/>
      <c r="AP68" s="846"/>
      <c r="AQ68" s="846"/>
      <c r="AR68" s="846"/>
      <c r="AS68" s="846"/>
      <c r="AT68" s="846"/>
      <c r="AU68" s="846"/>
      <c r="AV68" s="846"/>
      <c r="AW68" s="846"/>
      <c r="AX68" s="846"/>
      <c r="AY68" s="846"/>
      <c r="AZ68" s="846"/>
      <c r="BA68" s="846"/>
      <c r="BB68" s="846"/>
      <c r="BC68" s="846"/>
      <c r="BD68" s="846"/>
      <c r="BE68" s="846"/>
      <c r="BF68" s="846"/>
      <c r="BG68" s="846"/>
      <c r="BH68" s="846"/>
      <c r="BI68" s="846"/>
      <c r="BJ68" s="846"/>
      <c r="BK68" s="846"/>
      <c r="BL68" s="846"/>
      <c r="BM68" s="846"/>
      <c r="BN68" s="846"/>
      <c r="BO68" s="846"/>
      <c r="BP68" s="846"/>
      <c r="BQ68" s="846"/>
      <c r="BR68" s="846"/>
      <c r="BS68" s="846"/>
      <c r="BT68" s="846"/>
      <c r="BU68" s="846"/>
      <c r="BV68" s="846"/>
      <c r="BW68" s="846"/>
      <c r="BX68" s="846"/>
      <c r="BY68" s="846"/>
      <c r="BZ68" s="846"/>
      <c r="CA68" s="846"/>
      <c r="CB68" s="846"/>
      <c r="CC68" s="846"/>
      <c r="CD68" s="846"/>
      <c r="CE68" s="846"/>
      <c r="CF68" s="846"/>
      <c r="CG68" s="846"/>
      <c r="CH68" s="846"/>
      <c r="CI68" s="846"/>
      <c r="CJ68" s="846"/>
      <c r="CK68" s="846"/>
      <c r="CL68" s="846"/>
      <c r="CM68" s="846"/>
      <c r="CN68" s="846"/>
      <c r="CO68" s="846"/>
      <c r="CP68" s="846"/>
      <c r="CQ68" s="846"/>
      <c r="CR68" s="846"/>
      <c r="CS68" s="846"/>
      <c r="CT68" s="846"/>
      <c r="CU68" s="846"/>
      <c r="CV68" s="846"/>
      <c r="CW68" s="846"/>
      <c r="CX68" s="846"/>
      <c r="CY68" s="846"/>
      <c r="CZ68" s="846"/>
    </row>
    <row r="69" spans="1:104" ht="16.350000000000001" customHeight="1">
      <c r="A69" s="842" t="s">
        <v>157</v>
      </c>
      <c r="B69" s="842" t="n">
        <f>C69+D69</f>
        <v>0</v>
      </c>
      <c r="C69" s="844" t="n">
        <f>SUM(E69:CZ69)</f>
        <v>0</v>
      </c>
      <c r="D69" s="843"/>
      <c r="E69" s="845"/>
      <c r="F69" s="846"/>
      <c r="G69" s="846"/>
      <c r="H69" s="846"/>
      <c r="I69" s="846"/>
      <c r="J69" s="846"/>
      <c r="K69" s="846"/>
      <c r="L69" s="846"/>
      <c r="M69" s="846"/>
      <c r="N69" s="846"/>
      <c r="O69" s="846"/>
      <c r="P69" s="846"/>
      <c r="Q69" s="846"/>
      <c r="R69" s="846"/>
      <c r="S69" s="846"/>
      <c r="T69" s="846"/>
      <c r="U69" s="846"/>
      <c r="V69" s="846"/>
      <c r="W69" s="846"/>
      <c r="X69" s="846"/>
      <c r="Y69" s="846"/>
      <c r="Z69" s="846"/>
      <c r="AA69" s="846"/>
      <c r="AB69" s="846"/>
      <c r="AC69" s="846"/>
      <c r="AD69" s="846"/>
      <c r="AE69" s="846"/>
      <c r="AF69" s="846"/>
      <c r="AG69" s="846"/>
      <c r="AH69" s="846"/>
      <c r="AI69" s="846"/>
      <c r="AJ69" s="846"/>
      <c r="AK69" s="846"/>
      <c r="AL69" s="846"/>
      <c r="AM69" s="846"/>
      <c r="AN69" s="846"/>
      <c r="AO69" s="846"/>
      <c r="AP69" s="846"/>
      <c r="AQ69" s="846"/>
      <c r="AR69" s="846"/>
      <c r="AS69" s="846"/>
      <c r="AT69" s="846"/>
      <c r="AU69" s="846"/>
      <c r="AV69" s="846"/>
      <c r="AW69" s="846"/>
      <c r="AX69" s="846"/>
      <c r="AY69" s="846"/>
      <c r="AZ69" s="846"/>
      <c r="BA69" s="846"/>
      <c r="BB69" s="846"/>
      <c r="BC69" s="846"/>
      <c r="BD69" s="846"/>
      <c r="BE69" s="846"/>
      <c r="BF69" s="846"/>
      <c r="BG69" s="846"/>
      <c r="BH69" s="846"/>
      <c r="BI69" s="846"/>
      <c r="BJ69" s="846"/>
      <c r="BK69" s="846"/>
      <c r="BL69" s="846"/>
      <c r="BM69" s="846"/>
      <c r="BN69" s="846"/>
      <c r="BO69" s="846"/>
      <c r="BP69" s="846"/>
      <c r="BQ69" s="846"/>
      <c r="BR69" s="846"/>
      <c r="BS69" s="846"/>
      <c r="BT69" s="846"/>
      <c r="BU69" s="846"/>
      <c r="BV69" s="846"/>
      <c r="BW69" s="846"/>
      <c r="BX69" s="846"/>
      <c r="BY69" s="846"/>
      <c r="BZ69" s="846"/>
      <c r="CA69" s="846"/>
      <c r="CB69" s="846"/>
      <c r="CC69" s="846"/>
      <c r="CD69" s="846"/>
      <c r="CE69" s="846"/>
      <c r="CF69" s="846"/>
      <c r="CG69" s="846"/>
      <c r="CH69" s="846"/>
      <c r="CI69" s="846"/>
      <c r="CJ69" s="846"/>
      <c r="CK69" s="846"/>
      <c r="CL69" s="846"/>
      <c r="CM69" s="846"/>
      <c r="CN69" s="846"/>
      <c r="CO69" s="846"/>
      <c r="CP69" s="846"/>
      <c r="CQ69" s="846"/>
      <c r="CR69" s="846"/>
      <c r="CS69" s="846"/>
      <c r="CT69" s="846"/>
      <c r="CU69" s="846"/>
      <c r="CV69" s="846"/>
      <c r="CW69" s="846"/>
      <c r="CX69" s="846"/>
      <c r="CY69" s="846"/>
      <c r="CZ69" s="846"/>
    </row>
    <row r="70" spans="1:104" ht="16.350000000000001" customHeight="1">
      <c r="A70" s="842" t="s">
        <v>157</v>
      </c>
      <c r="B70" s="842" t="n">
        <f>C70+D70</f>
        <v>0</v>
      </c>
      <c r="C70" s="844" t="n">
        <f>SUM(E70:CZ70)</f>
        <v>0</v>
      </c>
      <c r="D70" s="843"/>
      <c r="E70" s="845"/>
      <c r="F70" s="846"/>
      <c r="G70" s="846"/>
      <c r="H70" s="846"/>
      <c r="I70" s="846"/>
      <c r="J70" s="846"/>
      <c r="K70" s="846"/>
      <c r="L70" s="846"/>
      <c r="M70" s="846"/>
      <c r="N70" s="846"/>
      <c r="O70" s="846"/>
      <c r="P70" s="846"/>
      <c r="Q70" s="846"/>
      <c r="R70" s="846"/>
      <c r="S70" s="846"/>
      <c r="T70" s="846"/>
      <c r="U70" s="846"/>
      <c r="V70" s="846"/>
      <c r="W70" s="846"/>
      <c r="X70" s="846"/>
      <c r="Y70" s="846"/>
      <c r="Z70" s="846"/>
      <c r="AA70" s="846"/>
      <c r="AB70" s="846"/>
      <c r="AC70" s="846"/>
      <c r="AD70" s="846"/>
      <c r="AE70" s="846"/>
      <c r="AF70" s="846"/>
      <c r="AG70" s="846"/>
      <c r="AH70" s="846"/>
      <c r="AI70" s="846"/>
      <c r="AJ70" s="846"/>
      <c r="AK70" s="846"/>
      <c r="AL70" s="846"/>
      <c r="AM70" s="846"/>
      <c r="AN70" s="846"/>
      <c r="AO70" s="846"/>
      <c r="AP70" s="846"/>
      <c r="AQ70" s="846"/>
      <c r="AR70" s="846"/>
      <c r="AS70" s="846"/>
      <c r="AT70" s="846"/>
      <c r="AU70" s="846"/>
      <c r="AV70" s="846"/>
      <c r="AW70" s="846"/>
      <c r="AX70" s="846"/>
      <c r="AY70" s="846"/>
      <c r="AZ70" s="846"/>
      <c r="BA70" s="846"/>
      <c r="BB70" s="846"/>
      <c r="BC70" s="846"/>
      <c r="BD70" s="846"/>
      <c r="BE70" s="846"/>
      <c r="BF70" s="846"/>
      <c r="BG70" s="846"/>
      <c r="BH70" s="846"/>
      <c r="BI70" s="846"/>
      <c r="BJ70" s="846"/>
      <c r="BK70" s="846"/>
      <c r="BL70" s="846"/>
      <c r="BM70" s="846"/>
      <c r="BN70" s="846"/>
      <c r="BO70" s="846"/>
      <c r="BP70" s="846"/>
      <c r="BQ70" s="846"/>
      <c r="BR70" s="846"/>
      <c r="BS70" s="846"/>
      <c r="BT70" s="846"/>
      <c r="BU70" s="846"/>
      <c r="BV70" s="846"/>
      <c r="BW70" s="846"/>
      <c r="BX70" s="846"/>
      <c r="BY70" s="846"/>
      <c r="BZ70" s="846"/>
      <c r="CA70" s="846"/>
      <c r="CB70" s="846"/>
      <c r="CC70" s="846"/>
      <c r="CD70" s="846"/>
      <c r="CE70" s="846"/>
      <c r="CF70" s="846"/>
      <c r="CG70" s="846"/>
      <c r="CH70" s="846"/>
      <c r="CI70" s="846"/>
      <c r="CJ70" s="846"/>
      <c r="CK70" s="846"/>
      <c r="CL70" s="846"/>
      <c r="CM70" s="846"/>
      <c r="CN70" s="846"/>
      <c r="CO70" s="846"/>
      <c r="CP70" s="846"/>
      <c r="CQ70" s="846"/>
      <c r="CR70" s="846"/>
      <c r="CS70" s="846"/>
      <c r="CT70" s="846"/>
      <c r="CU70" s="846"/>
      <c r="CV70" s="846"/>
      <c r="CW70" s="846"/>
      <c r="CX70" s="846"/>
      <c r="CY70" s="846"/>
      <c r="CZ70" s="846"/>
    </row>
    <row r="71" spans="1:104" ht="16.350000000000001" customHeight="1">
      <c r="A71" s="842" t="s">
        <v>313</v>
      </c>
      <c r="B71" s="842" t="n">
        <f>C71+D71</f>
        <v>0</v>
      </c>
      <c r="C71" s="844" t="n">
        <f>SUM(E71:CZ71)</f>
        <v>0</v>
      </c>
      <c r="D71" s="843"/>
      <c r="E71" s="845"/>
      <c r="F71" s="846"/>
      <c r="G71" s="846"/>
      <c r="H71" s="846"/>
      <c r="I71" s="846"/>
      <c r="J71" s="846"/>
      <c r="K71" s="846"/>
      <c r="L71" s="846"/>
      <c r="M71" s="846"/>
      <c r="N71" s="846"/>
      <c r="O71" s="846"/>
      <c r="P71" s="846"/>
      <c r="Q71" s="846"/>
      <c r="R71" s="846"/>
      <c r="S71" s="846"/>
      <c r="T71" s="846"/>
      <c r="U71" s="846"/>
      <c r="V71" s="846"/>
      <c r="W71" s="846"/>
      <c r="X71" s="846"/>
      <c r="Y71" s="846"/>
      <c r="Z71" s="846"/>
      <c r="AA71" s="846"/>
      <c r="AB71" s="846"/>
      <c r="AC71" s="846"/>
      <c r="AD71" s="846"/>
      <c r="AE71" s="846"/>
      <c r="AF71" s="846"/>
      <c r="AG71" s="846"/>
      <c r="AH71" s="846"/>
      <c r="AI71" s="846"/>
      <c r="AJ71" s="846"/>
      <c r="AK71" s="846"/>
      <c r="AL71" s="846"/>
      <c r="AM71" s="846"/>
      <c r="AN71" s="846"/>
      <c r="AO71" s="846"/>
      <c r="AP71" s="846"/>
      <c r="AQ71" s="846"/>
      <c r="AR71" s="846"/>
      <c r="AS71" s="846"/>
      <c r="AT71" s="846"/>
      <c r="AU71" s="846"/>
      <c r="AV71" s="846"/>
      <c r="AW71" s="846"/>
      <c r="AX71" s="846"/>
      <c r="AY71" s="846"/>
      <c r="AZ71" s="846"/>
      <c r="BA71" s="846"/>
      <c r="BB71" s="846"/>
      <c r="BC71" s="846"/>
      <c r="BD71" s="846"/>
      <c r="BE71" s="846"/>
      <c r="BF71" s="846"/>
      <c r="BG71" s="846"/>
      <c r="BH71" s="846"/>
      <c r="BI71" s="846"/>
      <c r="BJ71" s="846"/>
      <c r="BK71" s="846"/>
      <c r="BL71" s="846"/>
      <c r="BM71" s="846"/>
      <c r="BN71" s="846"/>
      <c r="BO71" s="846"/>
      <c r="BP71" s="846"/>
      <c r="BQ71" s="846"/>
      <c r="BR71" s="846"/>
      <c r="BS71" s="846"/>
      <c r="BT71" s="846"/>
      <c r="BU71" s="846"/>
      <c r="BV71" s="846"/>
      <c r="BW71" s="846"/>
      <c r="BX71" s="846"/>
      <c r="BY71" s="846"/>
      <c r="BZ71" s="846"/>
      <c r="CA71" s="846"/>
      <c r="CB71" s="846"/>
      <c r="CC71" s="846"/>
      <c r="CD71" s="846"/>
      <c r="CE71" s="846"/>
      <c r="CF71" s="846"/>
      <c r="CG71" s="846"/>
      <c r="CH71" s="846"/>
      <c r="CI71" s="846"/>
      <c r="CJ71" s="846"/>
      <c r="CK71" s="846"/>
      <c r="CL71" s="846"/>
      <c r="CM71" s="846"/>
      <c r="CN71" s="846"/>
      <c r="CO71" s="846"/>
      <c r="CP71" s="846"/>
      <c r="CQ71" s="846"/>
      <c r="CR71" s="846"/>
      <c r="CS71" s="846"/>
      <c r="CT71" s="846"/>
      <c r="CU71" s="846"/>
      <c r="CV71" s="846"/>
      <c r="CW71" s="846"/>
      <c r="CX71" s="846"/>
      <c r="CY71" s="846"/>
      <c r="CZ71" s="846"/>
    </row>
    <row r="72" spans="1:104" ht="16.350000000000001" customHeight="1">
      <c r="A72" s="842" t="s">
        <v>317</v>
      </c>
      <c r="B72" s="842" t="n">
        <f>C72+D72</f>
        <v>0</v>
      </c>
      <c r="C72" s="844" t="n">
        <f>SUM(E72:CZ72)</f>
        <v>0</v>
      </c>
      <c r="D72" s="843"/>
      <c r="E72" s="845"/>
      <c r="F72" s="846"/>
      <c r="G72" s="846"/>
      <c r="H72" s="846"/>
      <c r="I72" s="846"/>
      <c r="J72" s="846"/>
      <c r="K72" s="846"/>
      <c r="L72" s="846"/>
      <c r="M72" s="846"/>
      <c r="N72" s="846"/>
      <c r="O72" s="846"/>
      <c r="P72" s="846"/>
      <c r="Q72" s="846"/>
      <c r="R72" s="846"/>
      <c r="S72" s="846"/>
      <c r="T72" s="846"/>
      <c r="U72" s="846"/>
      <c r="V72" s="846"/>
      <c r="W72" s="846"/>
      <c r="X72" s="846"/>
      <c r="Y72" s="846"/>
      <c r="Z72" s="846"/>
      <c r="AA72" s="846"/>
      <c r="AB72" s="846"/>
      <c r="AC72" s="846"/>
      <c r="AD72" s="846"/>
      <c r="AE72" s="846"/>
      <c r="AF72" s="846"/>
      <c r="AG72" s="846"/>
      <c r="AH72" s="846"/>
      <c r="AI72" s="846"/>
      <c r="AJ72" s="846"/>
      <c r="AK72" s="846"/>
      <c r="AL72" s="846"/>
      <c r="AM72" s="846"/>
      <c r="AN72" s="846"/>
      <c r="AO72" s="846"/>
      <c r="AP72" s="846"/>
      <c r="AQ72" s="846"/>
      <c r="AR72" s="846"/>
      <c r="AS72" s="846"/>
      <c r="AT72" s="846"/>
      <c r="AU72" s="846"/>
      <c r="AV72" s="846"/>
      <c r="AW72" s="846"/>
      <c r="AX72" s="846"/>
      <c r="AY72" s="846"/>
      <c r="AZ72" s="846"/>
      <c r="BA72" s="846"/>
      <c r="BB72" s="846"/>
      <c r="BC72" s="846"/>
      <c r="BD72" s="846"/>
      <c r="BE72" s="846"/>
      <c r="BF72" s="846"/>
      <c r="BG72" s="846"/>
      <c r="BH72" s="846"/>
      <c r="BI72" s="846"/>
      <c r="BJ72" s="846"/>
      <c r="BK72" s="846"/>
      <c r="BL72" s="846"/>
      <c r="BM72" s="846"/>
      <c r="BN72" s="846"/>
      <c r="BO72" s="846"/>
      <c r="BP72" s="846"/>
      <c r="BQ72" s="846"/>
      <c r="BR72" s="846"/>
      <c r="BS72" s="846"/>
      <c r="BT72" s="846"/>
      <c r="BU72" s="846"/>
      <c r="BV72" s="846"/>
      <c r="BW72" s="846"/>
      <c r="BX72" s="846"/>
      <c r="BY72" s="846"/>
      <c r="BZ72" s="846"/>
      <c r="CA72" s="846"/>
      <c r="CB72" s="846"/>
      <c r="CC72" s="846"/>
      <c r="CD72" s="846"/>
      <c r="CE72" s="846"/>
      <c r="CF72" s="846"/>
      <c r="CG72" s="846"/>
      <c r="CH72" s="846"/>
      <c r="CI72" s="846"/>
      <c r="CJ72" s="846"/>
      <c r="CK72" s="846"/>
      <c r="CL72" s="846"/>
      <c r="CM72" s="846"/>
      <c r="CN72" s="846"/>
      <c r="CO72" s="846"/>
      <c r="CP72" s="846"/>
      <c r="CQ72" s="846"/>
      <c r="CR72" s="846"/>
      <c r="CS72" s="846"/>
      <c r="CT72" s="846"/>
      <c r="CU72" s="846"/>
      <c r="CV72" s="846"/>
      <c r="CW72" s="846"/>
      <c r="CX72" s="846"/>
      <c r="CY72" s="846"/>
      <c r="CZ72" s="846"/>
    </row>
    <row r="73" spans="1:104" ht="16.350000000000001" customHeight="1">
      <c r="A73" s="842" t="s">
        <v>320</v>
      </c>
      <c r="B73" s="842" t="n">
        <f>C73+D73</f>
        <v>0</v>
      </c>
      <c r="C73" s="844" t="n">
        <f>SUM(E73:CZ73)</f>
        <v>0</v>
      </c>
      <c r="D73" s="843"/>
      <c r="E73" s="845"/>
      <c r="F73" s="846"/>
      <c r="G73" s="846"/>
      <c r="H73" s="846"/>
      <c r="I73" s="846"/>
      <c r="J73" s="846"/>
      <c r="K73" s="846"/>
      <c r="L73" s="846"/>
      <c r="M73" s="846"/>
      <c r="N73" s="846"/>
      <c r="O73" s="846"/>
      <c r="P73" s="846"/>
      <c r="Q73" s="846"/>
      <c r="R73" s="846"/>
      <c r="S73" s="846"/>
      <c r="T73" s="846"/>
      <c r="U73" s="846"/>
      <c r="V73" s="846"/>
      <c r="W73" s="846"/>
      <c r="X73" s="846"/>
      <c r="Y73" s="846"/>
      <c r="Z73" s="846"/>
      <c r="AA73" s="846"/>
      <c r="AB73" s="846"/>
      <c r="AC73" s="846"/>
      <c r="AD73" s="846"/>
      <c r="AE73" s="846"/>
      <c r="AF73" s="846"/>
      <c r="AG73" s="846"/>
      <c r="AH73" s="846"/>
      <c r="AI73" s="846"/>
      <c r="AJ73" s="846"/>
      <c r="AK73" s="846"/>
      <c r="AL73" s="846"/>
      <c r="AM73" s="846"/>
      <c r="AN73" s="846"/>
      <c r="AO73" s="846"/>
      <c r="AP73" s="846"/>
      <c r="AQ73" s="846"/>
      <c r="AR73" s="846"/>
      <c r="AS73" s="846"/>
      <c r="AT73" s="846"/>
      <c r="AU73" s="846"/>
      <c r="AV73" s="846"/>
      <c r="AW73" s="846"/>
      <c r="AX73" s="846"/>
      <c r="AY73" s="846"/>
      <c r="AZ73" s="846"/>
      <c r="BA73" s="846"/>
      <c r="BB73" s="846"/>
      <c r="BC73" s="846"/>
      <c r="BD73" s="846"/>
      <c r="BE73" s="846"/>
      <c r="BF73" s="846"/>
      <c r="BG73" s="846"/>
      <c r="BH73" s="846"/>
      <c r="BI73" s="846"/>
      <c r="BJ73" s="846"/>
      <c r="BK73" s="846"/>
      <c r="BL73" s="846"/>
      <c r="BM73" s="846"/>
      <c r="BN73" s="846"/>
      <c r="BO73" s="846"/>
      <c r="BP73" s="846"/>
      <c r="BQ73" s="846"/>
      <c r="BR73" s="846"/>
      <c r="BS73" s="846"/>
      <c r="BT73" s="846"/>
      <c r="BU73" s="846"/>
      <c r="BV73" s="846"/>
      <c r="BW73" s="846"/>
      <c r="BX73" s="846"/>
      <c r="BY73" s="846"/>
      <c r="BZ73" s="846"/>
      <c r="CA73" s="846"/>
      <c r="CB73" s="846"/>
      <c r="CC73" s="846"/>
      <c r="CD73" s="846"/>
      <c r="CE73" s="846"/>
      <c r="CF73" s="846"/>
      <c r="CG73" s="846"/>
      <c r="CH73" s="846"/>
      <c r="CI73" s="846"/>
      <c r="CJ73" s="846"/>
      <c r="CK73" s="846"/>
      <c r="CL73" s="846"/>
      <c r="CM73" s="846"/>
      <c r="CN73" s="846"/>
      <c r="CO73" s="846"/>
      <c r="CP73" s="846"/>
      <c r="CQ73" s="846"/>
      <c r="CR73" s="846"/>
      <c r="CS73" s="846"/>
      <c r="CT73" s="846"/>
      <c r="CU73" s="846"/>
      <c r="CV73" s="846"/>
      <c r="CW73" s="846"/>
      <c r="CX73" s="846"/>
      <c r="CY73" s="846"/>
      <c r="CZ73" s="846"/>
    </row>
    <row r="74" spans="1:104" ht="16.350000000000001" customHeight="1">
      <c r="A74" s="842" t="s">
        <v>314</v>
      </c>
      <c r="B74" s="842" t="n">
        <f>C74+D74</f>
        <v>0</v>
      </c>
      <c r="C74" s="844" t="n">
        <f>SUM(E74:CZ74)</f>
        <v>0</v>
      </c>
      <c r="D74" s="843"/>
      <c r="E74" s="845"/>
      <c r="F74" s="846"/>
      <c r="G74" s="846"/>
      <c r="H74" s="846"/>
      <c r="I74" s="846"/>
      <c r="J74" s="846"/>
      <c r="K74" s="846"/>
      <c r="L74" s="846"/>
      <c r="M74" s="846"/>
      <c r="N74" s="846"/>
      <c r="O74" s="846"/>
      <c r="P74" s="846"/>
      <c r="Q74" s="846"/>
      <c r="R74" s="846"/>
      <c r="S74" s="846"/>
      <c r="T74" s="846"/>
      <c r="U74" s="846"/>
      <c r="V74" s="846"/>
      <c r="W74" s="846"/>
      <c r="X74" s="846"/>
      <c r="Y74" s="846"/>
      <c r="Z74" s="846"/>
      <c r="AA74" s="846"/>
      <c r="AB74" s="846"/>
      <c r="AC74" s="846"/>
      <c r="AD74" s="846"/>
      <c r="AE74" s="846"/>
      <c r="AF74" s="846"/>
      <c r="AG74" s="846"/>
      <c r="AH74" s="846"/>
      <c r="AI74" s="846"/>
      <c r="AJ74" s="846"/>
      <c r="AK74" s="846"/>
      <c r="AL74" s="846"/>
      <c r="AM74" s="846"/>
      <c r="AN74" s="846"/>
      <c r="AO74" s="846"/>
      <c r="AP74" s="846"/>
      <c r="AQ74" s="846"/>
      <c r="AR74" s="846"/>
      <c r="AS74" s="846"/>
      <c r="AT74" s="846"/>
      <c r="AU74" s="846"/>
      <c r="AV74" s="846"/>
      <c r="AW74" s="846"/>
      <c r="AX74" s="846"/>
      <c r="AY74" s="846"/>
      <c r="AZ74" s="846"/>
      <c r="BA74" s="846"/>
      <c r="BB74" s="846"/>
      <c r="BC74" s="846"/>
      <c r="BD74" s="846"/>
      <c r="BE74" s="846"/>
      <c r="BF74" s="846"/>
      <c r="BG74" s="846"/>
      <c r="BH74" s="846"/>
      <c r="BI74" s="846"/>
      <c r="BJ74" s="846"/>
      <c r="BK74" s="846"/>
      <c r="BL74" s="846"/>
      <c r="BM74" s="846"/>
      <c r="BN74" s="846"/>
      <c r="BO74" s="846"/>
      <c r="BP74" s="846"/>
      <c r="BQ74" s="846"/>
      <c r="BR74" s="846"/>
      <c r="BS74" s="846"/>
      <c r="BT74" s="846"/>
      <c r="BU74" s="846"/>
      <c r="BV74" s="846"/>
      <c r="BW74" s="846"/>
      <c r="BX74" s="846"/>
      <c r="BY74" s="846"/>
      <c r="BZ74" s="846"/>
      <c r="CA74" s="846"/>
      <c r="CB74" s="846"/>
      <c r="CC74" s="846"/>
      <c r="CD74" s="846"/>
      <c r="CE74" s="846"/>
      <c r="CF74" s="846"/>
      <c r="CG74" s="846"/>
      <c r="CH74" s="846"/>
      <c r="CI74" s="846"/>
      <c r="CJ74" s="846"/>
      <c r="CK74" s="846"/>
      <c r="CL74" s="846"/>
      <c r="CM74" s="846"/>
      <c r="CN74" s="846"/>
      <c r="CO74" s="846"/>
      <c r="CP74" s="846"/>
      <c r="CQ74" s="846"/>
      <c r="CR74" s="846"/>
      <c r="CS74" s="846"/>
      <c r="CT74" s="846"/>
      <c r="CU74" s="846"/>
      <c r="CV74" s="846"/>
      <c r="CW74" s="846"/>
      <c r="CX74" s="846"/>
      <c r="CY74" s="846"/>
      <c r="CZ74" s="846"/>
    </row>
    <row r="75" spans="1:104" ht="16.350000000000001" customHeight="1">
      <c r="A75" s="842" t="s">
        <v>318</v>
      </c>
      <c r="B75" s="842" t="n">
        <f>C75+D75</f>
        <v>0</v>
      </c>
      <c r="C75" s="844" t="n">
        <f>SUM(E75:CZ75)</f>
        <v>0</v>
      </c>
      <c r="D75" s="843"/>
      <c r="E75" s="845"/>
      <c r="F75" s="846"/>
      <c r="G75" s="846"/>
      <c r="H75" s="846"/>
      <c r="I75" s="846"/>
      <c r="J75" s="846"/>
      <c r="K75" s="846"/>
      <c r="L75" s="846"/>
      <c r="M75" s="846"/>
      <c r="N75" s="846"/>
      <c r="O75" s="846"/>
      <c r="P75" s="846"/>
      <c r="Q75" s="846"/>
      <c r="R75" s="846"/>
      <c r="S75" s="846"/>
      <c r="T75" s="846"/>
      <c r="U75" s="846"/>
      <c r="V75" s="846"/>
      <c r="W75" s="846"/>
      <c r="X75" s="846"/>
      <c r="Y75" s="846"/>
      <c r="Z75" s="846"/>
      <c r="AA75" s="846"/>
      <c r="AB75" s="846"/>
      <c r="AC75" s="846"/>
      <c r="AD75" s="846"/>
      <c r="AE75" s="846"/>
      <c r="AF75" s="846"/>
      <c r="AG75" s="846"/>
      <c r="AH75" s="846"/>
      <c r="AI75" s="846"/>
      <c r="AJ75" s="846"/>
      <c r="AK75" s="846"/>
      <c r="AL75" s="846"/>
      <c r="AM75" s="846"/>
      <c r="AN75" s="846"/>
      <c r="AO75" s="846"/>
      <c r="AP75" s="846"/>
      <c r="AQ75" s="846"/>
      <c r="AR75" s="846"/>
      <c r="AS75" s="846"/>
      <c r="AT75" s="846"/>
      <c r="AU75" s="846"/>
      <c r="AV75" s="846"/>
      <c r="AW75" s="846"/>
      <c r="AX75" s="846"/>
      <c r="AY75" s="846"/>
      <c r="AZ75" s="846"/>
      <c r="BA75" s="846"/>
      <c r="BB75" s="846"/>
      <c r="BC75" s="846"/>
      <c r="BD75" s="846"/>
      <c r="BE75" s="846"/>
      <c r="BF75" s="846"/>
      <c r="BG75" s="846"/>
      <c r="BH75" s="846"/>
      <c r="BI75" s="846"/>
      <c r="BJ75" s="846"/>
      <c r="BK75" s="846"/>
      <c r="BL75" s="846"/>
      <c r="BM75" s="846"/>
      <c r="BN75" s="846"/>
      <c r="BO75" s="846"/>
      <c r="BP75" s="846"/>
      <c r="BQ75" s="846"/>
      <c r="BR75" s="846"/>
      <c r="BS75" s="846"/>
      <c r="BT75" s="846"/>
      <c r="BU75" s="846"/>
      <c r="BV75" s="846"/>
      <c r="BW75" s="846"/>
      <c r="BX75" s="846"/>
      <c r="BY75" s="846"/>
      <c r="BZ75" s="846"/>
      <c r="CA75" s="846"/>
      <c r="CB75" s="846"/>
      <c r="CC75" s="846"/>
      <c r="CD75" s="846"/>
      <c r="CE75" s="846"/>
      <c r="CF75" s="846"/>
      <c r="CG75" s="846"/>
      <c r="CH75" s="846"/>
      <c r="CI75" s="846"/>
      <c r="CJ75" s="846"/>
      <c r="CK75" s="846"/>
      <c r="CL75" s="846"/>
      <c r="CM75" s="846"/>
      <c r="CN75" s="846"/>
      <c r="CO75" s="846"/>
      <c r="CP75" s="846"/>
      <c r="CQ75" s="846"/>
      <c r="CR75" s="846"/>
      <c r="CS75" s="846"/>
      <c r="CT75" s="846"/>
      <c r="CU75" s="846"/>
      <c r="CV75" s="846"/>
      <c r="CW75" s="846"/>
      <c r="CX75" s="846"/>
      <c r="CY75" s="846"/>
      <c r="CZ75" s="846"/>
    </row>
    <row r="76" spans="1:104" ht="16.350000000000001" customHeight="1">
      <c r="A76" s="842" t="s">
        <v>316</v>
      </c>
      <c r="B76" s="842" t="n">
        <f>C76+D76</f>
        <v>0</v>
      </c>
      <c r="C76" s="844" t="n">
        <f>SUM(E76:CZ76)</f>
        <v>0</v>
      </c>
      <c r="D76" s="843"/>
      <c r="E76" s="845"/>
      <c r="F76" s="846"/>
      <c r="G76" s="846"/>
      <c r="H76" s="846"/>
      <c r="I76" s="846"/>
      <c r="J76" s="846"/>
      <c r="K76" s="846"/>
      <c r="L76" s="846"/>
      <c r="M76" s="846"/>
      <c r="N76" s="846"/>
      <c r="O76" s="846"/>
      <c r="P76" s="846"/>
      <c r="Q76" s="846"/>
      <c r="R76" s="846"/>
      <c r="S76" s="846"/>
      <c r="T76" s="846"/>
      <c r="U76" s="846"/>
      <c r="V76" s="846"/>
      <c r="W76" s="846"/>
      <c r="X76" s="846"/>
      <c r="Y76" s="846"/>
      <c r="Z76" s="846"/>
      <c r="AA76" s="846"/>
      <c r="AB76" s="846"/>
      <c r="AC76" s="846"/>
      <c r="AD76" s="846"/>
      <c r="AE76" s="846"/>
      <c r="AF76" s="846"/>
      <c r="AG76" s="846"/>
      <c r="AH76" s="846"/>
      <c r="AI76" s="846"/>
      <c r="AJ76" s="846"/>
      <c r="AK76" s="846"/>
      <c r="AL76" s="846"/>
      <c r="AM76" s="846"/>
      <c r="AN76" s="846"/>
      <c r="AO76" s="846"/>
      <c r="AP76" s="846"/>
      <c r="AQ76" s="846"/>
      <c r="AR76" s="846"/>
      <c r="AS76" s="846"/>
      <c r="AT76" s="846"/>
      <c r="AU76" s="846"/>
      <c r="AV76" s="846"/>
      <c r="AW76" s="846"/>
      <c r="AX76" s="846"/>
      <c r="AY76" s="846"/>
      <c r="AZ76" s="846"/>
      <c r="BA76" s="846"/>
      <c r="BB76" s="846"/>
      <c r="BC76" s="846"/>
      <c r="BD76" s="846"/>
      <c r="BE76" s="846"/>
      <c r="BF76" s="846"/>
      <c r="BG76" s="846"/>
      <c r="BH76" s="846"/>
      <c r="BI76" s="846"/>
      <c r="BJ76" s="846"/>
      <c r="BK76" s="846"/>
      <c r="BL76" s="846"/>
      <c r="BM76" s="846"/>
      <c r="BN76" s="846"/>
      <c r="BO76" s="846"/>
      <c r="BP76" s="846"/>
      <c r="BQ76" s="846"/>
      <c r="BR76" s="846"/>
      <c r="BS76" s="846"/>
      <c r="BT76" s="846"/>
      <c r="BU76" s="846"/>
      <c r="BV76" s="846"/>
      <c r="BW76" s="846"/>
      <c r="BX76" s="846"/>
      <c r="BY76" s="846"/>
      <c r="BZ76" s="846"/>
      <c r="CA76" s="846"/>
      <c r="CB76" s="846"/>
      <c r="CC76" s="846"/>
      <c r="CD76" s="846"/>
      <c r="CE76" s="846"/>
      <c r="CF76" s="846"/>
      <c r="CG76" s="846"/>
      <c r="CH76" s="846"/>
      <c r="CI76" s="846"/>
      <c r="CJ76" s="846"/>
      <c r="CK76" s="846"/>
      <c r="CL76" s="846"/>
      <c r="CM76" s="846"/>
      <c r="CN76" s="846"/>
      <c r="CO76" s="846"/>
      <c r="CP76" s="846"/>
      <c r="CQ76" s="846"/>
      <c r="CR76" s="846"/>
      <c r="CS76" s="846"/>
      <c r="CT76" s="846"/>
      <c r="CU76" s="846"/>
      <c r="CV76" s="846"/>
      <c r="CW76" s="846"/>
      <c r="CX76" s="846"/>
      <c r="CY76" s="846"/>
      <c r="CZ76" s="846"/>
    </row>
    <row r="77" spans="1:104" ht="16.350000000000001" customHeight="1">
      <c r="A77" s="842" t="s">
        <v>315</v>
      </c>
      <c r="B77" s="842" t="n">
        <f>C77+D77</f>
        <v>0</v>
      </c>
      <c r="C77" s="844" t="n">
        <f>SUM(E77:CZ77)</f>
        <v>0</v>
      </c>
      <c r="D77" s="843"/>
      <c r="E77" s="845"/>
      <c r="F77" s="846"/>
      <c r="G77" s="846"/>
      <c r="H77" s="846"/>
      <c r="I77" s="846"/>
      <c r="J77" s="846"/>
      <c r="K77" s="846"/>
      <c r="L77" s="846"/>
      <c r="M77" s="846"/>
      <c r="N77" s="846"/>
      <c r="O77" s="846"/>
      <c r="P77" s="846"/>
      <c r="Q77" s="846"/>
      <c r="R77" s="846"/>
      <c r="S77" s="846"/>
      <c r="T77" s="846"/>
      <c r="U77" s="846"/>
      <c r="V77" s="846"/>
      <c r="W77" s="846"/>
      <c r="X77" s="846"/>
      <c r="Y77" s="846"/>
      <c r="Z77" s="846"/>
      <c r="AA77" s="846"/>
      <c r="AB77" s="846"/>
      <c r="AC77" s="846"/>
      <c r="AD77" s="846"/>
      <c r="AE77" s="846"/>
      <c r="AF77" s="846"/>
      <c r="AG77" s="846"/>
      <c r="AH77" s="846"/>
      <c r="AI77" s="846"/>
      <c r="AJ77" s="846"/>
      <c r="AK77" s="846"/>
      <c r="AL77" s="846"/>
      <c r="AM77" s="846"/>
      <c r="AN77" s="846"/>
      <c r="AO77" s="846"/>
      <c r="AP77" s="846"/>
      <c r="AQ77" s="846"/>
      <c r="AR77" s="846"/>
      <c r="AS77" s="846"/>
      <c r="AT77" s="846"/>
      <c r="AU77" s="846"/>
      <c r="AV77" s="846"/>
      <c r="AW77" s="846"/>
      <c r="AX77" s="846"/>
      <c r="AY77" s="846"/>
      <c r="AZ77" s="846"/>
      <c r="BA77" s="846"/>
      <c r="BB77" s="846"/>
      <c r="BC77" s="846"/>
      <c r="BD77" s="846"/>
      <c r="BE77" s="846"/>
      <c r="BF77" s="846"/>
      <c r="BG77" s="846"/>
      <c r="BH77" s="846"/>
      <c r="BI77" s="846"/>
      <c r="BJ77" s="846"/>
      <c r="BK77" s="846"/>
      <c r="BL77" s="846"/>
      <c r="BM77" s="846"/>
      <c r="BN77" s="846"/>
      <c r="BO77" s="846"/>
      <c r="BP77" s="846"/>
      <c r="BQ77" s="846"/>
      <c r="BR77" s="846"/>
      <c r="BS77" s="846"/>
      <c r="BT77" s="846"/>
      <c r="BU77" s="846"/>
      <c r="BV77" s="846"/>
      <c r="BW77" s="846"/>
      <c r="BX77" s="846"/>
      <c r="BY77" s="846"/>
      <c r="BZ77" s="846"/>
      <c r="CA77" s="846"/>
      <c r="CB77" s="846"/>
      <c r="CC77" s="846"/>
      <c r="CD77" s="846"/>
      <c r="CE77" s="846"/>
      <c r="CF77" s="846"/>
      <c r="CG77" s="846"/>
      <c r="CH77" s="846"/>
      <c r="CI77" s="846"/>
      <c r="CJ77" s="846"/>
      <c r="CK77" s="846"/>
      <c r="CL77" s="846"/>
      <c r="CM77" s="846"/>
      <c r="CN77" s="846"/>
      <c r="CO77" s="846"/>
      <c r="CP77" s="846"/>
      <c r="CQ77" s="846"/>
      <c r="CR77" s="846"/>
      <c r="CS77" s="846"/>
      <c r="CT77" s="846"/>
      <c r="CU77" s="846"/>
      <c r="CV77" s="846"/>
      <c r="CW77" s="846"/>
      <c r="CX77" s="846"/>
      <c r="CY77" s="846"/>
      <c r="CZ77" s="846"/>
    </row>
    <row r="78" spans="1:104" ht="16.350000000000001" customHeight="1">
      <c r="A78" s="842" t="s">
        <v>319</v>
      </c>
      <c r="B78" s="842" t="n">
        <f>C78+D78</f>
        <v>0</v>
      </c>
      <c r="C78" s="844" t="n">
        <f>SUM(E78:CZ78)</f>
        <v>0</v>
      </c>
      <c r="D78" s="843"/>
      <c r="E78" s="845"/>
      <c r="F78" s="846"/>
      <c r="G78" s="846"/>
      <c r="H78" s="846"/>
      <c r="I78" s="846"/>
      <c r="J78" s="846"/>
      <c r="K78" s="846"/>
      <c r="L78" s="846"/>
      <c r="M78" s="846"/>
      <c r="N78" s="846"/>
      <c r="O78" s="846"/>
      <c r="P78" s="846"/>
      <c r="Q78" s="846"/>
      <c r="R78" s="846"/>
      <c r="S78" s="846"/>
      <c r="T78" s="846"/>
      <c r="U78" s="846"/>
      <c r="V78" s="846"/>
      <c r="W78" s="846"/>
      <c r="X78" s="846"/>
      <c r="Y78" s="846"/>
      <c r="Z78" s="846"/>
      <c r="AA78" s="846"/>
      <c r="AB78" s="846"/>
      <c r="AC78" s="846"/>
      <c r="AD78" s="846"/>
      <c r="AE78" s="846"/>
      <c r="AF78" s="846"/>
      <c r="AG78" s="846"/>
      <c r="AH78" s="846"/>
      <c r="AI78" s="846"/>
      <c r="AJ78" s="846"/>
      <c r="AK78" s="846"/>
      <c r="AL78" s="846"/>
      <c r="AM78" s="846"/>
      <c r="AN78" s="846"/>
      <c r="AO78" s="846"/>
      <c r="AP78" s="846"/>
      <c r="AQ78" s="846"/>
      <c r="AR78" s="846"/>
      <c r="AS78" s="846"/>
      <c r="AT78" s="846"/>
      <c r="AU78" s="846"/>
      <c r="AV78" s="846"/>
      <c r="AW78" s="846"/>
      <c r="AX78" s="846"/>
      <c r="AY78" s="846"/>
      <c r="AZ78" s="846"/>
      <c r="BA78" s="846"/>
      <c r="BB78" s="846"/>
      <c r="BC78" s="846"/>
      <c r="BD78" s="846"/>
      <c r="BE78" s="846"/>
      <c r="BF78" s="846"/>
      <c r="BG78" s="846"/>
      <c r="BH78" s="846"/>
      <c r="BI78" s="846"/>
      <c r="BJ78" s="846"/>
      <c r="BK78" s="846"/>
      <c r="BL78" s="846"/>
      <c r="BM78" s="846"/>
      <c r="BN78" s="846"/>
      <c r="BO78" s="846"/>
      <c r="BP78" s="846"/>
      <c r="BQ78" s="846"/>
      <c r="BR78" s="846"/>
      <c r="BS78" s="846"/>
      <c r="BT78" s="846"/>
      <c r="BU78" s="846"/>
      <c r="BV78" s="846"/>
      <c r="BW78" s="846"/>
      <c r="BX78" s="846"/>
      <c r="BY78" s="846"/>
      <c r="BZ78" s="846"/>
      <c r="CA78" s="846"/>
      <c r="CB78" s="846"/>
      <c r="CC78" s="846"/>
      <c r="CD78" s="846"/>
      <c r="CE78" s="846"/>
      <c r="CF78" s="846"/>
      <c r="CG78" s="846"/>
      <c r="CH78" s="846"/>
      <c r="CI78" s="846"/>
      <c r="CJ78" s="846"/>
      <c r="CK78" s="846"/>
      <c r="CL78" s="846"/>
      <c r="CM78" s="846"/>
      <c r="CN78" s="846"/>
      <c r="CO78" s="846"/>
      <c r="CP78" s="846"/>
      <c r="CQ78" s="846"/>
      <c r="CR78" s="846"/>
      <c r="CS78" s="846"/>
      <c r="CT78" s="846"/>
      <c r="CU78" s="846"/>
      <c r="CV78" s="846"/>
      <c r="CW78" s="846"/>
      <c r="CX78" s="846"/>
      <c r="CY78" s="846"/>
      <c r="CZ78" s="846"/>
    </row>
    <row r="79" spans="1:104" ht="9.3000000000000007" customHeight="1">
      <c r="A79" s="842" t="s">
        <v>388</v>
      </c>
      <c r="B79" s="842" t="n">
        <f>C79+D79</f>
        <v>0</v>
      </c>
      <c r="C79" s="844" t="n">
        <f>SUM(E79:CZ79)</f>
        <v>0</v>
      </c>
      <c r="D79" s="843"/>
      <c r="E79" s="845"/>
      <c r="F79" s="846"/>
      <c r="G79" s="846"/>
      <c r="H79" s="846"/>
      <c r="I79" s="846"/>
      <c r="J79" s="846"/>
      <c r="K79" s="846"/>
      <c r="L79" s="846"/>
      <c r="M79" s="846"/>
      <c r="N79" s="846"/>
      <c r="O79" s="846"/>
      <c r="P79" s="846"/>
      <c r="Q79" s="846"/>
      <c r="R79" s="846"/>
      <c r="S79" s="846"/>
      <c r="T79" s="846"/>
      <c r="U79" s="846"/>
      <c r="V79" s="846"/>
      <c r="W79" s="846"/>
      <c r="X79" s="846"/>
      <c r="Y79" s="846"/>
      <c r="Z79" s="846"/>
      <c r="AA79" s="846"/>
      <c r="AB79" s="846"/>
      <c r="AC79" s="846"/>
      <c r="AD79" s="846"/>
      <c r="AE79" s="846"/>
      <c r="AF79" s="846"/>
      <c r="AG79" s="846"/>
      <c r="AH79" s="846"/>
      <c r="AI79" s="846"/>
      <c r="AJ79" s="846"/>
      <c r="AK79" s="846"/>
      <c r="AL79" s="846"/>
      <c r="AM79" s="846"/>
      <c r="AN79" s="846"/>
      <c r="AO79" s="846"/>
      <c r="AP79" s="846"/>
      <c r="AQ79" s="846"/>
      <c r="AR79" s="846"/>
      <c r="AS79" s="846"/>
      <c r="AT79" s="846"/>
      <c r="AU79" s="846"/>
      <c r="AV79" s="846"/>
      <c r="AW79" s="846"/>
      <c r="AX79" s="846"/>
      <c r="AY79" s="846"/>
      <c r="AZ79" s="846"/>
      <c r="BA79" s="846"/>
      <c r="BB79" s="846"/>
      <c r="BC79" s="846"/>
      <c r="BD79" s="846"/>
      <c r="BE79" s="846"/>
      <c r="BF79" s="846"/>
      <c r="BG79" s="846"/>
      <c r="BH79" s="846"/>
      <c r="BI79" s="846"/>
      <c r="BJ79" s="846"/>
      <c r="BK79" s="846"/>
      <c r="BL79" s="846"/>
      <c r="BM79" s="846"/>
      <c r="BN79" s="846"/>
      <c r="BO79" s="846"/>
      <c r="BP79" s="846"/>
      <c r="BQ79" s="846"/>
      <c r="BR79" s="846"/>
      <c r="BS79" s="846"/>
      <c r="BT79" s="846"/>
      <c r="BU79" s="846"/>
      <c r="BV79" s="846"/>
      <c r="BW79" s="846"/>
      <c r="BX79" s="846"/>
      <c r="BY79" s="846"/>
      <c r="BZ79" s="846"/>
      <c r="CA79" s="846"/>
      <c r="CB79" s="846"/>
      <c r="CC79" s="846"/>
      <c r="CD79" s="846"/>
      <c r="CE79" s="846"/>
      <c r="CF79" s="846"/>
      <c r="CG79" s="846"/>
      <c r="CH79" s="846"/>
      <c r="CI79" s="846"/>
      <c r="CJ79" s="846"/>
      <c r="CK79" s="846"/>
      <c r="CL79" s="846"/>
      <c r="CM79" s="846"/>
      <c r="CN79" s="846"/>
      <c r="CO79" s="846"/>
      <c r="CP79" s="846"/>
      <c r="CQ79" s="846"/>
      <c r="CR79" s="846"/>
      <c r="CS79" s="846"/>
      <c r="CT79" s="846"/>
      <c r="CU79" s="846"/>
      <c r="CV79" s="846"/>
      <c r="CW79" s="846"/>
      <c r="CX79" s="846"/>
      <c r="CY79" s="846"/>
      <c r="CZ79" s="846"/>
    </row>
    <row r="80" spans="1:104" ht="9.3000000000000007" customHeight="1">
      <c r="A80" s="842" t="s">
        <v>362</v>
      </c>
      <c r="B80" s="842" t="n">
        <f>C80+D80</f>
        <v>0</v>
      </c>
      <c r="C80" s="844" t="n">
        <f>SUM(E80:CZ80)</f>
        <v>0</v>
      </c>
      <c r="D80" s="843"/>
      <c r="E80" s="845"/>
      <c r="F80" s="846"/>
      <c r="G80" s="846"/>
      <c r="H80" s="846"/>
      <c r="I80" s="846"/>
      <c r="J80" s="846"/>
      <c r="K80" s="846"/>
      <c r="L80" s="846"/>
      <c r="M80" s="846"/>
      <c r="N80" s="846"/>
      <c r="O80" s="846"/>
      <c r="P80" s="846"/>
      <c r="Q80" s="846"/>
      <c r="R80" s="846"/>
      <c r="S80" s="846"/>
      <c r="T80" s="846"/>
      <c r="U80" s="846"/>
      <c r="V80" s="846"/>
      <c r="W80" s="846"/>
      <c r="X80" s="846"/>
      <c r="Y80" s="846"/>
      <c r="Z80" s="846"/>
      <c r="AA80" s="846"/>
      <c r="AB80" s="846"/>
      <c r="AC80" s="846"/>
      <c r="AD80" s="846"/>
      <c r="AE80" s="846"/>
      <c r="AF80" s="846"/>
      <c r="AG80" s="846"/>
      <c r="AH80" s="846"/>
      <c r="AI80" s="846"/>
      <c r="AJ80" s="846"/>
      <c r="AK80" s="846"/>
      <c r="AL80" s="846"/>
      <c r="AM80" s="846"/>
      <c r="AN80" s="846"/>
      <c r="AO80" s="846"/>
      <c r="AP80" s="846"/>
      <c r="AQ80" s="846"/>
      <c r="AR80" s="846"/>
      <c r="AS80" s="846"/>
      <c r="AT80" s="846"/>
      <c r="AU80" s="846"/>
      <c r="AV80" s="846"/>
      <c r="AW80" s="846"/>
      <c r="AX80" s="846"/>
      <c r="AY80" s="846"/>
      <c r="AZ80" s="846"/>
      <c r="BA80" s="846"/>
      <c r="BB80" s="846"/>
      <c r="BC80" s="846"/>
      <c r="BD80" s="846"/>
      <c r="BE80" s="846"/>
      <c r="BF80" s="846"/>
      <c r="BG80" s="846"/>
      <c r="BH80" s="846"/>
      <c r="BI80" s="846"/>
      <c r="BJ80" s="846"/>
      <c r="BK80" s="846"/>
      <c r="BL80" s="846"/>
      <c r="BM80" s="846"/>
      <c r="BN80" s="846"/>
      <c r="BO80" s="846"/>
      <c r="BP80" s="846"/>
      <c r="BQ80" s="846"/>
      <c r="BR80" s="846"/>
      <c r="BS80" s="846"/>
      <c r="BT80" s="846"/>
      <c r="BU80" s="846"/>
      <c r="BV80" s="846"/>
      <c r="BW80" s="846"/>
      <c r="BX80" s="846"/>
      <c r="BY80" s="846"/>
      <c r="BZ80" s="846"/>
      <c r="CA80" s="846"/>
      <c r="CB80" s="846"/>
      <c r="CC80" s="846"/>
      <c r="CD80" s="846"/>
      <c r="CE80" s="846"/>
      <c r="CF80" s="846"/>
      <c r="CG80" s="846"/>
      <c r="CH80" s="846"/>
      <c r="CI80" s="846"/>
      <c r="CJ80" s="846"/>
      <c r="CK80" s="846"/>
      <c r="CL80" s="846"/>
      <c r="CM80" s="846"/>
      <c r="CN80" s="846"/>
      <c r="CO80" s="846"/>
      <c r="CP80" s="846"/>
      <c r="CQ80" s="846"/>
      <c r="CR80" s="846"/>
      <c r="CS80" s="846"/>
      <c r="CT80" s="846"/>
      <c r="CU80" s="846"/>
      <c r="CV80" s="846"/>
      <c r="CW80" s="846"/>
      <c r="CX80" s="846"/>
      <c r="CY80" s="846"/>
      <c r="CZ80" s="846"/>
    </row>
    <row r="81" spans="1:104" ht="9.3000000000000007" customHeight="1">
      <c r="A81" s="842"/>
      <c r="B81" s="842" t="n">
        <f>C81+D81</f>
        <v>0</v>
      </c>
      <c r="C81" s="844" t="n">
        <f>SUM(E81:CZ81)</f>
        <v>0</v>
      </c>
      <c r="D81" s="843"/>
      <c r="E81" s="845"/>
      <c r="F81" s="846"/>
      <c r="G81" s="846"/>
      <c r="H81" s="846"/>
      <c r="I81" s="846"/>
      <c r="J81" s="846"/>
      <c r="K81" s="846"/>
      <c r="L81" s="846"/>
      <c r="M81" s="846"/>
      <c r="N81" s="846"/>
      <c r="O81" s="846"/>
      <c r="P81" s="846"/>
      <c r="Q81" s="846"/>
      <c r="R81" s="846"/>
      <c r="S81" s="846"/>
      <c r="T81" s="846"/>
      <c r="U81" s="846"/>
      <c r="V81" s="846"/>
      <c r="W81" s="846"/>
      <c r="X81" s="846"/>
      <c r="Y81" s="846"/>
      <c r="Z81" s="846"/>
      <c r="AA81" s="846"/>
      <c r="AB81" s="846"/>
      <c r="AC81" s="846"/>
      <c r="AD81" s="846"/>
      <c r="AE81" s="846"/>
      <c r="AF81" s="846"/>
      <c r="AG81" s="846"/>
      <c r="AH81" s="846"/>
      <c r="AI81" s="846"/>
      <c r="AJ81" s="846"/>
      <c r="AK81" s="846"/>
      <c r="AL81" s="846"/>
      <c r="AM81" s="846"/>
      <c r="AN81" s="846"/>
      <c r="AO81" s="846"/>
      <c r="AP81" s="846"/>
      <c r="AQ81" s="846"/>
      <c r="AR81" s="846"/>
      <c r="AS81" s="846"/>
      <c r="AT81" s="846"/>
      <c r="AU81" s="846"/>
      <c r="AV81" s="846"/>
      <c r="AW81" s="846"/>
      <c r="AX81" s="846"/>
      <c r="AY81" s="846"/>
      <c r="AZ81" s="846"/>
      <c r="BA81" s="846"/>
      <c r="BB81" s="846"/>
      <c r="BC81" s="846"/>
      <c r="BD81" s="846"/>
      <c r="BE81" s="846"/>
      <c r="BF81" s="846"/>
      <c r="BG81" s="846"/>
      <c r="BH81" s="846"/>
      <c r="BI81" s="846"/>
      <c r="BJ81" s="846"/>
      <c r="BK81" s="846"/>
      <c r="BL81" s="846"/>
      <c r="BM81" s="846"/>
      <c r="BN81" s="846"/>
      <c r="BO81" s="846"/>
      <c r="BP81" s="846"/>
      <c r="BQ81" s="846"/>
      <c r="BR81" s="846"/>
      <c r="BS81" s="846"/>
      <c r="BT81" s="846"/>
      <c r="BU81" s="846"/>
      <c r="BV81" s="846"/>
      <c r="BW81" s="846"/>
      <c r="BX81" s="846"/>
      <c r="BY81" s="846"/>
      <c r="BZ81" s="846"/>
      <c r="CA81" s="846"/>
      <c r="CB81" s="846"/>
      <c r="CC81" s="846"/>
      <c r="CD81" s="846"/>
      <c r="CE81" s="846"/>
      <c r="CF81" s="846"/>
      <c r="CG81" s="846"/>
      <c r="CH81" s="846"/>
      <c r="CI81" s="846"/>
      <c r="CJ81" s="846"/>
      <c r="CK81" s="846"/>
      <c r="CL81" s="846"/>
      <c r="CM81" s="846"/>
      <c r="CN81" s="846"/>
      <c r="CO81" s="846"/>
      <c r="CP81" s="846"/>
      <c r="CQ81" s="846"/>
      <c r="CR81" s="846"/>
      <c r="CS81" s="846"/>
      <c r="CT81" s="846"/>
      <c r="CU81" s="846"/>
      <c r="CV81" s="846"/>
      <c r="CW81" s="846"/>
      <c r="CX81" s="846"/>
      <c r="CY81" s="846"/>
      <c r="CZ81" s="846"/>
    </row>
    <row r="82" spans="1:104" ht="9.3000000000000007" customHeight="1">
      <c r="A82" s="842"/>
      <c r="B82" s="842" t="n">
        <f>C82+D82</f>
        <v>0</v>
      </c>
      <c r="C82" s="844" t="n">
        <f>SUM(E82:CZ82)</f>
        <v>0</v>
      </c>
      <c r="D82" s="843"/>
      <c r="E82" s="845"/>
      <c r="F82" s="846"/>
      <c r="G82" s="846"/>
      <c r="H82" s="846"/>
      <c r="I82" s="846"/>
      <c r="J82" s="846"/>
      <c r="K82" s="846"/>
      <c r="L82" s="846"/>
      <c r="M82" s="846"/>
      <c r="N82" s="846"/>
      <c r="O82" s="846"/>
      <c r="P82" s="846"/>
      <c r="Q82" s="846"/>
      <c r="R82" s="846"/>
      <c r="S82" s="846"/>
      <c r="T82" s="846"/>
      <c r="U82" s="846"/>
      <c r="V82" s="846"/>
      <c r="W82" s="846"/>
      <c r="X82" s="846"/>
      <c r="Y82" s="846"/>
      <c r="Z82" s="846"/>
      <c r="AA82" s="846"/>
      <c r="AB82" s="846"/>
      <c r="AC82" s="846"/>
      <c r="AD82" s="846"/>
      <c r="AE82" s="846"/>
      <c r="AF82" s="846"/>
      <c r="AG82" s="846"/>
      <c r="AH82" s="846"/>
      <c r="AI82" s="846"/>
      <c r="AJ82" s="846"/>
      <c r="AK82" s="846"/>
      <c r="AL82" s="846"/>
      <c r="AM82" s="846"/>
      <c r="AN82" s="846"/>
      <c r="AO82" s="846"/>
      <c r="AP82" s="846"/>
      <c r="AQ82" s="846"/>
      <c r="AR82" s="846"/>
      <c r="AS82" s="846"/>
      <c r="AT82" s="846"/>
      <c r="AU82" s="846"/>
      <c r="AV82" s="846"/>
      <c r="AW82" s="846"/>
      <c r="AX82" s="846"/>
      <c r="AY82" s="846"/>
      <c r="AZ82" s="846"/>
      <c r="BA82" s="846"/>
      <c r="BB82" s="846"/>
      <c r="BC82" s="846"/>
      <c r="BD82" s="846"/>
      <c r="BE82" s="846"/>
      <c r="BF82" s="846"/>
      <c r="BG82" s="846"/>
      <c r="BH82" s="846"/>
      <c r="BI82" s="846"/>
      <c r="BJ82" s="846"/>
      <c r="BK82" s="846"/>
      <c r="BL82" s="846"/>
      <c r="BM82" s="846"/>
      <c r="BN82" s="846"/>
      <c r="BO82" s="846"/>
      <c r="BP82" s="846"/>
      <c r="BQ82" s="846"/>
      <c r="BR82" s="846"/>
      <c r="BS82" s="846"/>
      <c r="BT82" s="846"/>
      <c r="BU82" s="846"/>
      <c r="BV82" s="846"/>
      <c r="BW82" s="846"/>
      <c r="BX82" s="846"/>
      <c r="BY82" s="846"/>
      <c r="BZ82" s="846"/>
      <c r="CA82" s="846"/>
      <c r="CB82" s="846"/>
      <c r="CC82" s="846"/>
      <c r="CD82" s="846"/>
      <c r="CE82" s="846"/>
      <c r="CF82" s="846"/>
      <c r="CG82" s="846"/>
      <c r="CH82" s="846"/>
      <c r="CI82" s="846"/>
      <c r="CJ82" s="846"/>
      <c r="CK82" s="846"/>
      <c r="CL82" s="846"/>
      <c r="CM82" s="846"/>
      <c r="CN82" s="846"/>
      <c r="CO82" s="846"/>
      <c r="CP82" s="846"/>
      <c r="CQ82" s="846"/>
      <c r="CR82" s="846"/>
      <c r="CS82" s="846"/>
      <c r="CT82" s="846"/>
      <c r="CU82" s="846"/>
      <c r="CV82" s="846"/>
      <c r="CW82" s="846"/>
      <c r="CX82" s="846"/>
      <c r="CY82" s="846"/>
      <c r="CZ82" s="846"/>
    </row>
    <row r="83" spans="1:104" ht="9.3000000000000007" customHeight="1">
      <c r="A83" s="842"/>
      <c r="B83" s="842" t="n">
        <f>C83+D83</f>
        <v>0</v>
      </c>
      <c r="C83" s="844" t="n">
        <f>SUM(E83:CZ83)</f>
        <v>0</v>
      </c>
      <c r="D83" s="843"/>
      <c r="E83" s="845"/>
      <c r="F83" s="846"/>
      <c r="G83" s="846"/>
      <c r="H83" s="846"/>
      <c r="I83" s="846"/>
      <c r="J83" s="846"/>
      <c r="K83" s="846"/>
      <c r="L83" s="846"/>
      <c r="M83" s="846"/>
      <c r="N83" s="846"/>
      <c r="O83" s="846"/>
      <c r="P83" s="846"/>
      <c r="Q83" s="846"/>
      <c r="R83" s="846"/>
      <c r="S83" s="846"/>
      <c r="T83" s="846"/>
      <c r="U83" s="846"/>
      <c r="V83" s="846"/>
      <c r="W83" s="846"/>
      <c r="X83" s="846"/>
      <c r="Y83" s="846"/>
      <c r="Z83" s="846"/>
      <c r="AA83" s="846"/>
      <c r="AB83" s="846"/>
      <c r="AC83" s="846"/>
      <c r="AD83" s="846"/>
      <c r="AE83" s="846"/>
      <c r="AF83" s="846"/>
      <c r="AG83" s="846"/>
      <c r="AH83" s="846"/>
      <c r="AI83" s="846"/>
      <c r="AJ83" s="846"/>
      <c r="AK83" s="846"/>
      <c r="AL83" s="846"/>
      <c r="AM83" s="846"/>
      <c r="AN83" s="846"/>
      <c r="AO83" s="846"/>
      <c r="AP83" s="846"/>
      <c r="AQ83" s="846"/>
      <c r="AR83" s="846"/>
      <c r="AS83" s="846"/>
      <c r="AT83" s="846"/>
      <c r="AU83" s="846"/>
      <c r="AV83" s="846"/>
      <c r="AW83" s="846"/>
      <c r="AX83" s="846"/>
      <c r="AY83" s="846"/>
      <c r="AZ83" s="846"/>
      <c r="BA83" s="846"/>
      <c r="BB83" s="846"/>
      <c r="BC83" s="846"/>
      <c r="BD83" s="846"/>
      <c r="BE83" s="846"/>
      <c r="BF83" s="846"/>
      <c r="BG83" s="846"/>
      <c r="BH83" s="846"/>
      <c r="BI83" s="846"/>
      <c r="BJ83" s="846"/>
      <c r="BK83" s="846"/>
      <c r="BL83" s="846"/>
      <c r="BM83" s="846"/>
      <c r="BN83" s="846"/>
      <c r="BO83" s="846"/>
      <c r="BP83" s="846"/>
      <c r="BQ83" s="846"/>
      <c r="BR83" s="846"/>
      <c r="BS83" s="846"/>
      <c r="BT83" s="846"/>
      <c r="BU83" s="846"/>
      <c r="BV83" s="846"/>
      <c r="BW83" s="846"/>
      <c r="BX83" s="846"/>
      <c r="BY83" s="846"/>
      <c r="BZ83" s="846"/>
      <c r="CA83" s="846"/>
      <c r="CB83" s="846"/>
      <c r="CC83" s="846"/>
      <c r="CD83" s="846"/>
      <c r="CE83" s="846"/>
      <c r="CF83" s="846"/>
      <c r="CG83" s="846"/>
      <c r="CH83" s="846"/>
      <c r="CI83" s="846"/>
      <c r="CJ83" s="846"/>
      <c r="CK83" s="846"/>
      <c r="CL83" s="846"/>
      <c r="CM83" s="846"/>
      <c r="CN83" s="846"/>
      <c r="CO83" s="846"/>
      <c r="CP83" s="846"/>
      <c r="CQ83" s="846"/>
      <c r="CR83" s="846"/>
      <c r="CS83" s="846"/>
      <c r="CT83" s="846"/>
      <c r="CU83" s="846"/>
      <c r="CV83" s="846"/>
      <c r="CW83" s="846"/>
      <c r="CX83" s="846"/>
      <c r="CY83" s="846"/>
      <c r="CZ83" s="846"/>
    </row>
    <row r="84" spans="1:104" ht="9.3000000000000007" customHeight="1">
      <c r="A84" s="842"/>
      <c r="B84" s="842" t="n">
        <f>C84+D84</f>
        <v>0</v>
      </c>
      <c r="C84" s="844" t="n">
        <f>SUM(E84:CZ84)</f>
        <v>0</v>
      </c>
      <c r="D84" s="843"/>
      <c r="E84" s="845"/>
      <c r="F84" s="846"/>
      <c r="G84" s="846"/>
      <c r="H84" s="846"/>
      <c r="I84" s="846"/>
      <c r="J84" s="846"/>
      <c r="K84" s="846"/>
      <c r="L84" s="846"/>
      <c r="M84" s="846"/>
      <c r="N84" s="846"/>
      <c r="O84" s="846"/>
      <c r="P84" s="846"/>
      <c r="Q84" s="846"/>
      <c r="R84" s="846"/>
      <c r="S84" s="846"/>
      <c r="T84" s="846"/>
      <c r="U84" s="846"/>
      <c r="V84" s="846"/>
      <c r="W84" s="846"/>
      <c r="X84" s="846"/>
      <c r="Y84" s="846"/>
      <c r="Z84" s="846"/>
      <c r="AA84" s="846"/>
      <c r="AB84" s="846"/>
      <c r="AC84" s="846"/>
      <c r="AD84" s="846"/>
      <c r="AE84" s="846"/>
      <c r="AF84" s="846"/>
      <c r="AG84" s="846"/>
      <c r="AH84" s="846"/>
      <c r="AI84" s="846"/>
      <c r="AJ84" s="846"/>
      <c r="AK84" s="846"/>
      <c r="AL84" s="846"/>
      <c r="AM84" s="846"/>
      <c r="AN84" s="846"/>
      <c r="AO84" s="846"/>
      <c r="AP84" s="846"/>
      <c r="AQ84" s="846"/>
      <c r="AR84" s="846"/>
      <c r="AS84" s="846"/>
      <c r="AT84" s="846"/>
      <c r="AU84" s="846"/>
      <c r="AV84" s="846"/>
      <c r="AW84" s="846"/>
      <c r="AX84" s="846"/>
      <c r="AY84" s="846"/>
      <c r="AZ84" s="846"/>
      <c r="BA84" s="846"/>
      <c r="BB84" s="846"/>
      <c r="BC84" s="846"/>
      <c r="BD84" s="846"/>
      <c r="BE84" s="846"/>
      <c r="BF84" s="846"/>
      <c r="BG84" s="846"/>
      <c r="BH84" s="846"/>
      <c r="BI84" s="846"/>
      <c r="BJ84" s="846"/>
      <c r="BK84" s="846"/>
      <c r="BL84" s="846"/>
      <c r="BM84" s="846"/>
      <c r="BN84" s="846"/>
      <c r="BO84" s="846"/>
      <c r="BP84" s="846"/>
      <c r="BQ84" s="846"/>
      <c r="BR84" s="846"/>
      <c r="BS84" s="846"/>
      <c r="BT84" s="846"/>
      <c r="BU84" s="846"/>
      <c r="BV84" s="846"/>
      <c r="BW84" s="846"/>
      <c r="BX84" s="846"/>
      <c r="BY84" s="846"/>
      <c r="BZ84" s="846"/>
      <c r="CA84" s="846"/>
      <c r="CB84" s="846"/>
      <c r="CC84" s="846"/>
      <c r="CD84" s="846"/>
      <c r="CE84" s="846"/>
      <c r="CF84" s="846"/>
      <c r="CG84" s="846"/>
      <c r="CH84" s="846"/>
      <c r="CI84" s="846"/>
      <c r="CJ84" s="846"/>
      <c r="CK84" s="846"/>
      <c r="CL84" s="846"/>
      <c r="CM84" s="846"/>
      <c r="CN84" s="846"/>
      <c r="CO84" s="846"/>
      <c r="CP84" s="846"/>
      <c r="CQ84" s="846"/>
      <c r="CR84" s="846"/>
      <c r="CS84" s="846"/>
      <c r="CT84" s="846"/>
      <c r="CU84" s="846"/>
      <c r="CV84" s="846"/>
      <c r="CW84" s="846"/>
      <c r="CX84" s="846"/>
      <c r="CY84" s="846"/>
      <c r="CZ84" s="846"/>
    </row>
    <row r="85" spans="1:104" ht="9.3000000000000007" customHeight="1">
      <c r="A85" s="842"/>
      <c r="B85" s="842" t="n">
        <f>C85+D85</f>
        <v>0</v>
      </c>
      <c r="C85" s="844" t="n">
        <f>SUM(E85:CZ85)</f>
        <v>0</v>
      </c>
      <c r="D85" s="843"/>
      <c r="E85" s="845"/>
      <c r="F85" s="846"/>
      <c r="G85" s="846"/>
      <c r="H85" s="846"/>
      <c r="I85" s="846"/>
      <c r="J85" s="846"/>
      <c r="K85" s="846"/>
      <c r="L85" s="846"/>
      <c r="M85" s="846"/>
      <c r="N85" s="846"/>
      <c r="O85" s="846"/>
      <c r="P85" s="846"/>
      <c r="Q85" s="846"/>
      <c r="R85" s="846"/>
      <c r="S85" s="846"/>
      <c r="T85" s="846"/>
      <c r="U85" s="846"/>
      <c r="V85" s="846"/>
      <c r="W85" s="846"/>
      <c r="X85" s="846"/>
      <c r="Y85" s="846"/>
      <c r="Z85" s="846"/>
      <c r="AA85" s="846"/>
      <c r="AB85" s="846"/>
      <c r="AC85" s="846"/>
      <c r="AD85" s="846"/>
      <c r="AE85" s="846"/>
      <c r="AF85" s="846"/>
      <c r="AG85" s="846"/>
      <c r="AH85" s="846"/>
      <c r="AI85" s="846"/>
      <c r="AJ85" s="846"/>
      <c r="AK85" s="846"/>
      <c r="AL85" s="846"/>
      <c r="AM85" s="846"/>
      <c r="AN85" s="846"/>
      <c r="AO85" s="846"/>
      <c r="AP85" s="846"/>
      <c r="AQ85" s="846"/>
      <c r="AR85" s="846"/>
      <c r="AS85" s="846"/>
      <c r="AT85" s="846"/>
      <c r="AU85" s="846"/>
      <c r="AV85" s="846"/>
      <c r="AW85" s="846"/>
      <c r="AX85" s="846"/>
      <c r="AY85" s="846"/>
      <c r="AZ85" s="846"/>
      <c r="BA85" s="846"/>
      <c r="BB85" s="846"/>
      <c r="BC85" s="846"/>
      <c r="BD85" s="846"/>
      <c r="BE85" s="846"/>
      <c r="BF85" s="846"/>
      <c r="BG85" s="846"/>
      <c r="BH85" s="846"/>
      <c r="BI85" s="846"/>
      <c r="BJ85" s="846"/>
      <c r="BK85" s="846"/>
      <c r="BL85" s="846"/>
      <c r="BM85" s="846"/>
      <c r="BN85" s="846"/>
      <c r="BO85" s="846"/>
      <c r="BP85" s="846"/>
      <c r="BQ85" s="846"/>
      <c r="BR85" s="846"/>
      <c r="BS85" s="846"/>
      <c r="BT85" s="846"/>
      <c r="BU85" s="846"/>
      <c r="BV85" s="846"/>
      <c r="BW85" s="846"/>
      <c r="BX85" s="846"/>
      <c r="BY85" s="846"/>
      <c r="BZ85" s="846"/>
      <c r="CA85" s="846"/>
      <c r="CB85" s="846"/>
      <c r="CC85" s="846"/>
      <c r="CD85" s="846"/>
      <c r="CE85" s="846"/>
      <c r="CF85" s="846"/>
      <c r="CG85" s="846"/>
      <c r="CH85" s="846"/>
      <c r="CI85" s="846"/>
      <c r="CJ85" s="846"/>
      <c r="CK85" s="846"/>
      <c r="CL85" s="846"/>
      <c r="CM85" s="846"/>
      <c r="CN85" s="846"/>
      <c r="CO85" s="846"/>
      <c r="CP85" s="846"/>
      <c r="CQ85" s="846"/>
      <c r="CR85" s="846"/>
      <c r="CS85" s="846"/>
      <c r="CT85" s="846"/>
      <c r="CU85" s="846"/>
      <c r="CV85" s="846"/>
      <c r="CW85" s="846"/>
      <c r="CX85" s="846"/>
      <c r="CY85" s="846"/>
      <c r="CZ85" s="846"/>
    </row>
    <row r="86" spans="1:104" ht="9.3000000000000007" customHeight="1">
      <c r="A86" s="842"/>
      <c r="B86" s="842" t="n">
        <f>C86+D86</f>
        <v>0</v>
      </c>
      <c r="C86" s="844" t="n">
        <f>SUM(E86:CZ86)</f>
        <v>0</v>
      </c>
      <c r="D86" s="843"/>
      <c r="E86" s="845"/>
      <c r="F86" s="846"/>
      <c r="G86" s="846"/>
      <c r="H86" s="846"/>
      <c r="I86" s="846"/>
      <c r="J86" s="846"/>
      <c r="K86" s="846"/>
      <c r="L86" s="846"/>
      <c r="M86" s="846"/>
      <c r="N86" s="846"/>
      <c r="O86" s="846"/>
      <c r="P86" s="846"/>
      <c r="Q86" s="846"/>
      <c r="R86" s="846"/>
      <c r="S86" s="846"/>
      <c r="T86" s="846"/>
      <c r="U86" s="846"/>
      <c r="V86" s="846"/>
      <c r="W86" s="846"/>
      <c r="X86" s="846"/>
      <c r="Y86" s="846"/>
      <c r="Z86" s="846"/>
      <c r="AA86" s="846"/>
      <c r="AB86" s="846"/>
      <c r="AC86" s="846"/>
      <c r="AD86" s="846"/>
      <c r="AE86" s="846"/>
      <c r="AF86" s="846"/>
      <c r="AG86" s="846"/>
      <c r="AH86" s="846"/>
      <c r="AI86" s="846"/>
      <c r="AJ86" s="846"/>
      <c r="AK86" s="846"/>
      <c r="AL86" s="846"/>
      <c r="AM86" s="846"/>
      <c r="AN86" s="846"/>
      <c r="AO86" s="846"/>
      <c r="AP86" s="846"/>
      <c r="AQ86" s="846"/>
      <c r="AR86" s="846"/>
      <c r="AS86" s="846"/>
      <c r="AT86" s="846"/>
      <c r="AU86" s="846"/>
      <c r="AV86" s="846"/>
      <c r="AW86" s="846"/>
      <c r="AX86" s="846"/>
      <c r="AY86" s="846"/>
      <c r="AZ86" s="846"/>
      <c r="BA86" s="846"/>
      <c r="BB86" s="846"/>
      <c r="BC86" s="846"/>
      <c r="BD86" s="846"/>
      <c r="BE86" s="846"/>
      <c r="BF86" s="846"/>
      <c r="BG86" s="846"/>
      <c r="BH86" s="846"/>
      <c r="BI86" s="846"/>
      <c r="BJ86" s="846"/>
      <c r="BK86" s="846"/>
      <c r="BL86" s="846"/>
      <c r="BM86" s="846"/>
      <c r="BN86" s="846"/>
      <c r="BO86" s="846"/>
      <c r="BP86" s="846"/>
      <c r="BQ86" s="846"/>
      <c r="BR86" s="846"/>
      <c r="BS86" s="846"/>
      <c r="BT86" s="846"/>
      <c r="BU86" s="846"/>
      <c r="BV86" s="846"/>
      <c r="BW86" s="846"/>
      <c r="BX86" s="846"/>
      <c r="BY86" s="846"/>
      <c r="BZ86" s="846"/>
      <c r="CA86" s="846"/>
      <c r="CB86" s="846"/>
      <c r="CC86" s="846"/>
      <c r="CD86" s="846"/>
      <c r="CE86" s="846"/>
      <c r="CF86" s="846"/>
      <c r="CG86" s="846"/>
      <c r="CH86" s="846"/>
      <c r="CI86" s="846"/>
      <c r="CJ86" s="846"/>
      <c r="CK86" s="846"/>
      <c r="CL86" s="846"/>
      <c r="CM86" s="846"/>
      <c r="CN86" s="846"/>
      <c r="CO86" s="846"/>
      <c r="CP86" s="846"/>
      <c r="CQ86" s="846"/>
      <c r="CR86" s="846"/>
      <c r="CS86" s="846"/>
      <c r="CT86" s="846"/>
      <c r="CU86" s="846"/>
      <c r="CV86" s="846"/>
      <c r="CW86" s="846"/>
      <c r="CX86" s="846"/>
      <c r="CY86" s="846"/>
      <c r="CZ86" s="846"/>
    </row>
    <row r="87" spans="1:104" ht="9.3000000000000007" customHeight="1">
      <c r="A87" s="842"/>
      <c r="B87" s="842" t="n">
        <f>C87+D87</f>
        <v>0</v>
      </c>
      <c r="C87" s="844" t="n">
        <f>SUM(E87:CZ87)</f>
        <v>0</v>
      </c>
      <c r="D87" s="843"/>
      <c r="E87" s="845"/>
      <c r="F87" s="846"/>
      <c r="G87" s="846"/>
      <c r="H87" s="846"/>
      <c r="I87" s="846"/>
      <c r="J87" s="846"/>
      <c r="K87" s="846"/>
      <c r="L87" s="846"/>
      <c r="M87" s="846"/>
      <c r="N87" s="846"/>
      <c r="O87" s="846"/>
      <c r="P87" s="846"/>
      <c r="Q87" s="846"/>
      <c r="R87" s="846"/>
      <c r="S87" s="846"/>
      <c r="T87" s="846"/>
      <c r="U87" s="846"/>
      <c r="V87" s="846"/>
      <c r="W87" s="846"/>
      <c r="X87" s="846"/>
      <c r="Y87" s="846"/>
      <c r="Z87" s="846"/>
      <c r="AA87" s="846"/>
      <c r="AB87" s="846"/>
      <c r="AC87" s="846"/>
      <c r="AD87" s="846"/>
      <c r="AE87" s="846"/>
      <c r="AF87" s="846"/>
      <c r="AG87" s="846"/>
      <c r="AH87" s="846"/>
      <c r="AI87" s="846"/>
      <c r="AJ87" s="846"/>
      <c r="AK87" s="846"/>
      <c r="AL87" s="846"/>
      <c r="AM87" s="846"/>
      <c r="AN87" s="846"/>
      <c r="AO87" s="846"/>
      <c r="AP87" s="846"/>
      <c r="AQ87" s="846"/>
      <c r="AR87" s="846"/>
      <c r="AS87" s="846"/>
      <c r="AT87" s="846"/>
      <c r="AU87" s="846"/>
      <c r="AV87" s="846"/>
      <c r="AW87" s="846"/>
      <c r="AX87" s="846"/>
      <c r="AY87" s="846"/>
      <c r="AZ87" s="846"/>
      <c r="BA87" s="846"/>
      <c r="BB87" s="846"/>
      <c r="BC87" s="846"/>
      <c r="BD87" s="846"/>
      <c r="BE87" s="846"/>
      <c r="BF87" s="846"/>
      <c r="BG87" s="846"/>
      <c r="BH87" s="846"/>
      <c r="BI87" s="846"/>
      <c r="BJ87" s="846"/>
      <c r="BK87" s="846"/>
      <c r="BL87" s="846"/>
      <c r="BM87" s="846"/>
      <c r="BN87" s="846"/>
      <c r="BO87" s="846"/>
      <c r="BP87" s="846"/>
      <c r="BQ87" s="846"/>
      <c r="BR87" s="846"/>
      <c r="BS87" s="846"/>
      <c r="BT87" s="846"/>
      <c r="BU87" s="846"/>
      <c r="BV87" s="846"/>
      <c r="BW87" s="846"/>
      <c r="BX87" s="846"/>
      <c r="BY87" s="846"/>
      <c r="BZ87" s="846"/>
      <c r="CA87" s="846"/>
      <c r="CB87" s="846"/>
      <c r="CC87" s="846"/>
      <c r="CD87" s="846"/>
      <c r="CE87" s="846"/>
      <c r="CF87" s="846"/>
      <c r="CG87" s="846"/>
      <c r="CH87" s="846"/>
      <c r="CI87" s="846"/>
      <c r="CJ87" s="846"/>
      <c r="CK87" s="846"/>
      <c r="CL87" s="846"/>
      <c r="CM87" s="846"/>
      <c r="CN87" s="846"/>
      <c r="CO87" s="846"/>
      <c r="CP87" s="846"/>
      <c r="CQ87" s="846"/>
      <c r="CR87" s="846"/>
      <c r="CS87" s="846"/>
      <c r="CT87" s="846"/>
      <c r="CU87" s="846"/>
      <c r="CV87" s="846"/>
      <c r="CW87" s="846"/>
      <c r="CX87" s="846"/>
      <c r="CY87" s="846"/>
      <c r="CZ87" s="846"/>
    </row>
    <row r="88" spans="1:104" ht="9.3000000000000007" customHeight="1">
      <c r="A88" s="842"/>
      <c r="B88" s="842" t="n">
        <f>C88+D88</f>
        <v>0</v>
      </c>
      <c r="C88" s="844" t="n">
        <f>SUM(E88:CZ88)</f>
        <v>0</v>
      </c>
      <c r="D88" s="843"/>
      <c r="E88" s="845"/>
      <c r="F88" s="846"/>
      <c r="G88" s="846"/>
      <c r="H88" s="846"/>
      <c r="I88" s="846"/>
      <c r="J88" s="846"/>
      <c r="K88" s="846"/>
      <c r="L88" s="846"/>
      <c r="M88" s="846"/>
      <c r="N88" s="846"/>
      <c r="O88" s="846"/>
      <c r="P88" s="846"/>
      <c r="Q88" s="846"/>
      <c r="R88" s="846"/>
      <c r="S88" s="846"/>
      <c r="T88" s="846"/>
      <c r="U88" s="846"/>
      <c r="V88" s="846"/>
      <c r="W88" s="846"/>
      <c r="X88" s="846"/>
      <c r="Y88" s="846"/>
      <c r="Z88" s="846"/>
      <c r="AA88" s="846"/>
      <c r="AB88" s="846"/>
      <c r="AC88" s="846"/>
      <c r="AD88" s="846"/>
      <c r="AE88" s="846"/>
      <c r="AF88" s="846"/>
      <c r="AG88" s="846"/>
      <c r="AH88" s="846"/>
      <c r="AI88" s="846"/>
      <c r="AJ88" s="846"/>
      <c r="AK88" s="846"/>
      <c r="AL88" s="846"/>
      <c r="AM88" s="846"/>
      <c r="AN88" s="846"/>
      <c r="AO88" s="846"/>
      <c r="AP88" s="846"/>
      <c r="AQ88" s="846"/>
      <c r="AR88" s="846"/>
      <c r="AS88" s="846"/>
      <c r="AT88" s="846"/>
      <c r="AU88" s="846"/>
      <c r="AV88" s="846"/>
      <c r="AW88" s="846"/>
      <c r="AX88" s="846"/>
      <c r="AY88" s="846"/>
      <c r="AZ88" s="846"/>
      <c r="BA88" s="846"/>
      <c r="BB88" s="846"/>
      <c r="BC88" s="846"/>
      <c r="BD88" s="846"/>
      <c r="BE88" s="846"/>
      <c r="BF88" s="846"/>
      <c r="BG88" s="846"/>
      <c r="BH88" s="846"/>
      <c r="BI88" s="846"/>
      <c r="BJ88" s="846"/>
      <c r="BK88" s="846"/>
      <c r="BL88" s="846"/>
      <c r="BM88" s="846"/>
      <c r="BN88" s="846"/>
      <c r="BO88" s="846"/>
      <c r="BP88" s="846"/>
      <c r="BQ88" s="846"/>
      <c r="BR88" s="846"/>
      <c r="BS88" s="846"/>
      <c r="BT88" s="846"/>
      <c r="BU88" s="846"/>
      <c r="BV88" s="846"/>
      <c r="BW88" s="846"/>
      <c r="BX88" s="846"/>
      <c r="BY88" s="846"/>
      <c r="BZ88" s="846"/>
      <c r="CA88" s="846"/>
      <c r="CB88" s="846"/>
      <c r="CC88" s="846"/>
      <c r="CD88" s="846"/>
      <c r="CE88" s="846"/>
      <c r="CF88" s="846"/>
      <c r="CG88" s="846"/>
      <c r="CH88" s="846"/>
      <c r="CI88" s="846"/>
      <c r="CJ88" s="846"/>
      <c r="CK88" s="846"/>
      <c r="CL88" s="846"/>
      <c r="CM88" s="846"/>
      <c r="CN88" s="846"/>
      <c r="CO88" s="846"/>
      <c r="CP88" s="846"/>
      <c r="CQ88" s="846"/>
      <c r="CR88" s="846"/>
      <c r="CS88" s="846"/>
      <c r="CT88" s="846"/>
      <c r="CU88" s="846"/>
      <c r="CV88" s="846"/>
      <c r="CW88" s="846"/>
      <c r="CX88" s="846"/>
      <c r="CY88" s="846"/>
      <c r="CZ88" s="846"/>
    </row>
    <row r="89" spans="1:104" ht="9.3000000000000007" customHeight="1">
      <c r="A89" s="842"/>
      <c r="B89" s="842" t="n">
        <f>C89+D89</f>
        <v>0</v>
      </c>
      <c r="C89" s="844" t="n">
        <f>SUM(E89:CZ89)</f>
        <v>0</v>
      </c>
      <c r="D89" s="843"/>
      <c r="E89" s="845"/>
      <c r="F89" s="846"/>
      <c r="G89" s="846"/>
      <c r="H89" s="846"/>
      <c r="I89" s="846"/>
      <c r="J89" s="846"/>
      <c r="K89" s="846"/>
      <c r="L89" s="846"/>
      <c r="M89" s="846"/>
      <c r="N89" s="846"/>
      <c r="O89" s="846"/>
      <c r="P89" s="846"/>
      <c r="Q89" s="846"/>
      <c r="R89" s="846"/>
      <c r="S89" s="846"/>
      <c r="T89" s="846"/>
      <c r="U89" s="846"/>
      <c r="V89" s="846"/>
      <c r="W89" s="846"/>
      <c r="X89" s="846"/>
      <c r="Y89" s="846"/>
      <c r="Z89" s="846"/>
      <c r="AA89" s="846"/>
      <c r="AB89" s="846"/>
      <c r="AC89" s="846"/>
      <c r="AD89" s="846"/>
      <c r="AE89" s="846"/>
      <c r="AF89" s="846"/>
      <c r="AG89" s="846"/>
      <c r="AH89" s="846"/>
      <c r="AI89" s="846"/>
      <c r="AJ89" s="846"/>
      <c r="AK89" s="846"/>
      <c r="AL89" s="846"/>
      <c r="AM89" s="846"/>
      <c r="AN89" s="846"/>
      <c r="AO89" s="846"/>
      <c r="AP89" s="846"/>
      <c r="AQ89" s="846"/>
      <c r="AR89" s="846"/>
      <c r="AS89" s="846"/>
      <c r="AT89" s="846"/>
      <c r="AU89" s="846"/>
      <c r="AV89" s="846"/>
      <c r="AW89" s="846"/>
      <c r="AX89" s="846"/>
      <c r="AY89" s="846"/>
      <c r="AZ89" s="846"/>
      <c r="BA89" s="846"/>
      <c r="BB89" s="846"/>
      <c r="BC89" s="846"/>
      <c r="BD89" s="846"/>
      <c r="BE89" s="846"/>
      <c r="BF89" s="846"/>
      <c r="BG89" s="846"/>
      <c r="BH89" s="846"/>
      <c r="BI89" s="846"/>
      <c r="BJ89" s="846"/>
      <c r="BK89" s="846"/>
      <c r="BL89" s="846"/>
      <c r="BM89" s="846"/>
      <c r="BN89" s="846"/>
      <c r="BO89" s="846"/>
      <c r="BP89" s="846"/>
      <c r="BQ89" s="846"/>
      <c r="BR89" s="846"/>
      <c r="BS89" s="846"/>
      <c r="BT89" s="846"/>
      <c r="BU89" s="846"/>
      <c r="BV89" s="846"/>
      <c r="BW89" s="846"/>
      <c r="BX89" s="846"/>
      <c r="BY89" s="846"/>
      <c r="BZ89" s="846"/>
      <c r="CA89" s="846"/>
      <c r="CB89" s="846"/>
      <c r="CC89" s="846"/>
      <c r="CD89" s="846"/>
      <c r="CE89" s="846"/>
      <c r="CF89" s="846"/>
      <c r="CG89" s="846"/>
      <c r="CH89" s="846"/>
      <c r="CI89" s="846"/>
      <c r="CJ89" s="846"/>
      <c r="CK89" s="846"/>
      <c r="CL89" s="846"/>
      <c r="CM89" s="846"/>
      <c r="CN89" s="846"/>
      <c r="CO89" s="846"/>
      <c r="CP89" s="846"/>
      <c r="CQ89" s="846"/>
      <c r="CR89" s="846"/>
      <c r="CS89" s="846"/>
      <c r="CT89" s="846"/>
      <c r="CU89" s="846"/>
      <c r="CV89" s="846"/>
      <c r="CW89" s="846"/>
      <c r="CX89" s="846"/>
      <c r="CY89" s="846"/>
      <c r="CZ89" s="846"/>
    </row>
    <row r="90" spans="1:104" ht="9.3000000000000007" customHeight="1">
      <c r="A90" s="842"/>
      <c r="B90" s="842" t="n">
        <f>C90+D90</f>
        <v>0</v>
      </c>
      <c r="C90" s="844" t="n">
        <f>SUM(E90:CZ90)</f>
        <v>0</v>
      </c>
      <c r="D90" s="843"/>
      <c r="E90" s="845"/>
      <c r="F90" s="846"/>
      <c r="G90" s="846"/>
      <c r="H90" s="846"/>
      <c r="I90" s="846"/>
      <c r="J90" s="846"/>
      <c r="K90" s="846"/>
      <c r="L90" s="846"/>
      <c r="M90" s="846"/>
      <c r="N90" s="846"/>
      <c r="O90" s="846"/>
      <c r="P90" s="846"/>
      <c r="Q90" s="846"/>
      <c r="R90" s="846"/>
      <c r="S90" s="846"/>
      <c r="T90" s="846"/>
      <c r="U90" s="846"/>
      <c r="V90" s="846"/>
      <c r="W90" s="846"/>
      <c r="X90" s="846"/>
      <c r="Y90" s="846"/>
      <c r="Z90" s="846"/>
      <c r="AA90" s="846"/>
      <c r="AB90" s="846"/>
      <c r="AC90" s="846"/>
      <c r="AD90" s="846"/>
      <c r="AE90" s="846"/>
      <c r="AF90" s="846"/>
      <c r="AG90" s="846"/>
      <c r="AH90" s="846"/>
      <c r="AI90" s="846"/>
      <c r="AJ90" s="846"/>
      <c r="AK90" s="846"/>
      <c r="AL90" s="846"/>
      <c r="AM90" s="846"/>
      <c r="AN90" s="846"/>
      <c r="AO90" s="846"/>
      <c r="AP90" s="846"/>
      <c r="AQ90" s="846"/>
      <c r="AR90" s="846"/>
      <c r="AS90" s="846"/>
      <c r="AT90" s="846"/>
      <c r="AU90" s="846"/>
      <c r="AV90" s="846"/>
      <c r="AW90" s="846"/>
      <c r="AX90" s="846"/>
      <c r="AY90" s="846"/>
      <c r="AZ90" s="846"/>
      <c r="BA90" s="846"/>
      <c r="BB90" s="846"/>
      <c r="BC90" s="846"/>
      <c r="BD90" s="846"/>
      <c r="BE90" s="846"/>
      <c r="BF90" s="846"/>
      <c r="BG90" s="846"/>
      <c r="BH90" s="846"/>
      <c r="BI90" s="846"/>
      <c r="BJ90" s="846"/>
      <c r="BK90" s="846"/>
      <c r="BL90" s="846"/>
      <c r="BM90" s="846"/>
      <c r="BN90" s="846"/>
      <c r="BO90" s="846"/>
      <c r="BP90" s="846"/>
      <c r="BQ90" s="846"/>
      <c r="BR90" s="846"/>
      <c r="BS90" s="846"/>
      <c r="BT90" s="846"/>
      <c r="BU90" s="846"/>
      <c r="BV90" s="846"/>
      <c r="BW90" s="846"/>
      <c r="BX90" s="846"/>
      <c r="BY90" s="846"/>
      <c r="BZ90" s="846"/>
      <c r="CA90" s="846"/>
      <c r="CB90" s="846"/>
      <c r="CC90" s="846"/>
      <c r="CD90" s="846"/>
      <c r="CE90" s="846"/>
      <c r="CF90" s="846"/>
      <c r="CG90" s="846"/>
      <c r="CH90" s="846"/>
      <c r="CI90" s="846"/>
      <c r="CJ90" s="846"/>
      <c r="CK90" s="846"/>
      <c r="CL90" s="846"/>
      <c r="CM90" s="846"/>
      <c r="CN90" s="846"/>
      <c r="CO90" s="846"/>
      <c r="CP90" s="846"/>
      <c r="CQ90" s="846"/>
      <c r="CR90" s="846"/>
      <c r="CS90" s="846"/>
      <c r="CT90" s="846"/>
      <c r="CU90" s="846"/>
      <c r="CV90" s="846"/>
      <c r="CW90" s="846"/>
      <c r="CX90" s="846"/>
      <c r="CY90" s="846"/>
      <c r="CZ90" s="846"/>
    </row>
    <row r="91" spans="1:104" ht="9.3000000000000007" customHeight="1">
      <c r="A91" s="842"/>
      <c r="B91" s="842" t="n">
        <f>C91+D91</f>
        <v>0</v>
      </c>
      <c r="C91" s="844" t="n">
        <f>SUM(E91:CZ91)</f>
        <v>0</v>
      </c>
      <c r="D91" s="843"/>
      <c r="E91" s="845"/>
      <c r="F91" s="846"/>
      <c r="G91" s="846"/>
      <c r="H91" s="846"/>
      <c r="I91" s="846"/>
      <c r="J91" s="846"/>
      <c r="K91" s="846"/>
      <c r="L91" s="846"/>
      <c r="M91" s="846"/>
      <c r="N91" s="846"/>
      <c r="O91" s="846"/>
      <c r="P91" s="846"/>
      <c r="Q91" s="846"/>
      <c r="R91" s="846"/>
      <c r="S91" s="846"/>
      <c r="T91" s="846"/>
      <c r="U91" s="846"/>
      <c r="V91" s="846"/>
      <c r="W91" s="846"/>
      <c r="X91" s="846"/>
      <c r="Y91" s="846"/>
      <c r="Z91" s="846"/>
      <c r="AA91" s="846"/>
      <c r="AB91" s="846"/>
      <c r="AC91" s="846"/>
      <c r="AD91" s="846"/>
      <c r="AE91" s="846"/>
      <c r="AF91" s="846"/>
      <c r="AG91" s="846"/>
      <c r="AH91" s="846"/>
      <c r="AI91" s="846"/>
      <c r="AJ91" s="846"/>
      <c r="AK91" s="846"/>
      <c r="AL91" s="846"/>
      <c r="AM91" s="846"/>
      <c r="AN91" s="846"/>
      <c r="AO91" s="846"/>
      <c r="AP91" s="846"/>
      <c r="AQ91" s="846"/>
      <c r="AR91" s="846"/>
      <c r="AS91" s="846"/>
      <c r="AT91" s="846"/>
      <c r="AU91" s="846"/>
      <c r="AV91" s="846"/>
      <c r="AW91" s="846"/>
      <c r="AX91" s="846"/>
      <c r="AY91" s="846"/>
      <c r="AZ91" s="846"/>
      <c r="BA91" s="846"/>
      <c r="BB91" s="846"/>
      <c r="BC91" s="846"/>
      <c r="BD91" s="846"/>
      <c r="BE91" s="846"/>
      <c r="BF91" s="846"/>
      <c r="BG91" s="846"/>
      <c r="BH91" s="846"/>
      <c r="BI91" s="846"/>
      <c r="BJ91" s="846"/>
      <c r="BK91" s="846"/>
      <c r="BL91" s="846"/>
      <c r="BM91" s="846"/>
      <c r="BN91" s="846"/>
      <c r="BO91" s="846"/>
      <c r="BP91" s="846"/>
      <c r="BQ91" s="846"/>
      <c r="BR91" s="846"/>
      <c r="BS91" s="846"/>
      <c r="BT91" s="846"/>
      <c r="BU91" s="846"/>
      <c r="BV91" s="846"/>
      <c r="BW91" s="846"/>
      <c r="BX91" s="846"/>
      <c r="BY91" s="846"/>
      <c r="BZ91" s="846"/>
      <c r="CA91" s="846"/>
      <c r="CB91" s="846"/>
      <c r="CC91" s="846"/>
      <c r="CD91" s="846"/>
      <c r="CE91" s="846"/>
      <c r="CF91" s="846"/>
      <c r="CG91" s="846"/>
      <c r="CH91" s="846"/>
      <c r="CI91" s="846"/>
      <c r="CJ91" s="846"/>
      <c r="CK91" s="846"/>
      <c r="CL91" s="846"/>
      <c r="CM91" s="846"/>
      <c r="CN91" s="846"/>
      <c r="CO91" s="846"/>
      <c r="CP91" s="846"/>
      <c r="CQ91" s="846"/>
      <c r="CR91" s="846"/>
      <c r="CS91" s="846"/>
      <c r="CT91" s="846"/>
      <c r="CU91" s="846"/>
      <c r="CV91" s="846"/>
      <c r="CW91" s="846"/>
      <c r="CX91" s="846"/>
      <c r="CY91" s="846"/>
      <c r="CZ91" s="846"/>
    </row>
    <row r="92" spans="1:104" ht="9.3000000000000007" customHeight="1">
      <c r="A92" s="842"/>
      <c r="B92" s="842" t="n">
        <f>C92+D92</f>
        <v>0</v>
      </c>
      <c r="C92" s="844" t="n">
        <f>SUM(E92:CZ92)</f>
        <v>0</v>
      </c>
      <c r="D92" s="843"/>
      <c r="E92" s="845"/>
      <c r="F92" s="846"/>
      <c r="G92" s="846"/>
      <c r="H92" s="846"/>
      <c r="I92" s="846"/>
      <c r="J92" s="846"/>
      <c r="K92" s="846"/>
      <c r="L92" s="846"/>
      <c r="M92" s="846"/>
      <c r="N92" s="846"/>
      <c r="O92" s="846"/>
      <c r="P92" s="846"/>
      <c r="Q92" s="846"/>
      <c r="R92" s="846"/>
      <c r="S92" s="846"/>
      <c r="T92" s="846"/>
      <c r="U92" s="846"/>
      <c r="V92" s="846"/>
      <c r="W92" s="846"/>
      <c r="X92" s="846"/>
      <c r="Y92" s="846"/>
      <c r="Z92" s="846"/>
      <c r="AA92" s="846"/>
      <c r="AB92" s="846"/>
      <c r="AC92" s="846"/>
      <c r="AD92" s="846"/>
      <c r="AE92" s="846"/>
      <c r="AF92" s="846"/>
      <c r="AG92" s="846"/>
      <c r="AH92" s="846"/>
      <c r="AI92" s="846"/>
      <c r="AJ92" s="846"/>
      <c r="AK92" s="846"/>
      <c r="AL92" s="846"/>
      <c r="AM92" s="846"/>
      <c r="AN92" s="846"/>
      <c r="AO92" s="846"/>
      <c r="AP92" s="846"/>
      <c r="AQ92" s="846"/>
      <c r="AR92" s="846"/>
      <c r="AS92" s="846"/>
      <c r="AT92" s="846"/>
      <c r="AU92" s="846"/>
      <c r="AV92" s="846"/>
      <c r="AW92" s="846"/>
      <c r="AX92" s="846"/>
      <c r="AY92" s="846"/>
      <c r="AZ92" s="846"/>
      <c r="BA92" s="846"/>
      <c r="BB92" s="846"/>
      <c r="BC92" s="846"/>
      <c r="BD92" s="846"/>
      <c r="BE92" s="846"/>
      <c r="BF92" s="846"/>
      <c r="BG92" s="846"/>
      <c r="BH92" s="846"/>
      <c r="BI92" s="846"/>
      <c r="BJ92" s="846"/>
      <c r="BK92" s="846"/>
      <c r="BL92" s="846"/>
      <c r="BM92" s="846"/>
      <c r="BN92" s="846"/>
      <c r="BO92" s="846"/>
      <c r="BP92" s="846"/>
      <c r="BQ92" s="846"/>
      <c r="BR92" s="846"/>
      <c r="BS92" s="846"/>
      <c r="BT92" s="846"/>
      <c r="BU92" s="846"/>
      <c r="BV92" s="846"/>
      <c r="BW92" s="846"/>
      <c r="BX92" s="846"/>
      <c r="BY92" s="846"/>
      <c r="BZ92" s="846"/>
      <c r="CA92" s="846"/>
      <c r="CB92" s="846"/>
      <c r="CC92" s="846"/>
      <c r="CD92" s="846"/>
      <c r="CE92" s="846"/>
      <c r="CF92" s="846"/>
      <c r="CG92" s="846"/>
      <c r="CH92" s="846"/>
      <c r="CI92" s="846"/>
      <c r="CJ92" s="846"/>
      <c r="CK92" s="846"/>
      <c r="CL92" s="846"/>
      <c r="CM92" s="846"/>
      <c r="CN92" s="846"/>
      <c r="CO92" s="846"/>
      <c r="CP92" s="846"/>
      <c r="CQ92" s="846"/>
      <c r="CR92" s="846"/>
      <c r="CS92" s="846"/>
      <c r="CT92" s="846"/>
      <c r="CU92" s="846"/>
      <c r="CV92" s="846"/>
      <c r="CW92" s="846"/>
      <c r="CX92" s="846"/>
      <c r="CY92" s="846"/>
      <c r="CZ92" s="846"/>
    </row>
    <row r="93" spans="1:104" ht="9.3000000000000007" customHeight="1">
      <c r="A93" s="842"/>
      <c r="B93" s="842" t="n">
        <f>C93+D93</f>
        <v>0</v>
      </c>
      <c r="C93" s="844" t="n">
        <f>SUM(E93:CZ93)</f>
        <v>0</v>
      </c>
      <c r="D93" s="843"/>
      <c r="E93" s="845"/>
      <c r="F93" s="846"/>
      <c r="G93" s="846"/>
      <c r="H93" s="846"/>
      <c r="I93" s="846"/>
      <c r="J93" s="846"/>
      <c r="K93" s="846"/>
      <c r="L93" s="846"/>
      <c r="M93" s="846"/>
      <c r="N93" s="846"/>
      <c r="O93" s="846"/>
      <c r="P93" s="846"/>
      <c r="Q93" s="846"/>
      <c r="R93" s="846"/>
      <c r="S93" s="846"/>
      <c r="T93" s="846"/>
      <c r="U93" s="846"/>
      <c r="V93" s="846"/>
      <c r="W93" s="846"/>
      <c r="X93" s="846"/>
      <c r="Y93" s="846"/>
      <c r="Z93" s="846"/>
      <c r="AA93" s="846"/>
      <c r="AB93" s="846"/>
      <c r="AC93" s="846"/>
      <c r="AD93" s="846"/>
      <c r="AE93" s="846"/>
      <c r="AF93" s="846"/>
      <c r="AG93" s="846"/>
      <c r="AH93" s="846"/>
      <c r="AI93" s="846"/>
      <c r="AJ93" s="846"/>
      <c r="AK93" s="846"/>
      <c r="AL93" s="846"/>
      <c r="AM93" s="846"/>
      <c r="AN93" s="846"/>
      <c r="AO93" s="846"/>
      <c r="AP93" s="846"/>
      <c r="AQ93" s="846"/>
      <c r="AR93" s="846"/>
      <c r="AS93" s="846"/>
      <c r="AT93" s="846"/>
      <c r="AU93" s="846"/>
      <c r="AV93" s="846"/>
      <c r="AW93" s="846"/>
      <c r="AX93" s="846"/>
      <c r="AY93" s="846"/>
      <c r="AZ93" s="846"/>
      <c r="BA93" s="846"/>
      <c r="BB93" s="846"/>
      <c r="BC93" s="846"/>
      <c r="BD93" s="846"/>
      <c r="BE93" s="846"/>
      <c r="BF93" s="846"/>
      <c r="BG93" s="846"/>
      <c r="BH93" s="846"/>
      <c r="BI93" s="846"/>
      <c r="BJ93" s="846"/>
      <c r="BK93" s="846"/>
      <c r="BL93" s="846"/>
      <c r="BM93" s="846"/>
      <c r="BN93" s="846"/>
      <c r="BO93" s="846"/>
      <c r="BP93" s="846"/>
      <c r="BQ93" s="846"/>
      <c r="BR93" s="846"/>
      <c r="BS93" s="846"/>
      <c r="BT93" s="846"/>
      <c r="BU93" s="846"/>
      <c r="BV93" s="846"/>
      <c r="BW93" s="846"/>
      <c r="BX93" s="846"/>
      <c r="BY93" s="846"/>
      <c r="BZ93" s="846"/>
      <c r="CA93" s="846"/>
      <c r="CB93" s="846"/>
      <c r="CC93" s="846"/>
      <c r="CD93" s="846"/>
      <c r="CE93" s="846"/>
      <c r="CF93" s="846"/>
      <c r="CG93" s="846"/>
      <c r="CH93" s="846"/>
      <c r="CI93" s="846"/>
      <c r="CJ93" s="846"/>
      <c r="CK93" s="846"/>
      <c r="CL93" s="846"/>
      <c r="CM93" s="846"/>
      <c r="CN93" s="846"/>
      <c r="CO93" s="846"/>
      <c r="CP93" s="846"/>
      <c r="CQ93" s="846"/>
      <c r="CR93" s="846"/>
      <c r="CS93" s="846"/>
      <c r="CT93" s="846"/>
      <c r="CU93" s="846"/>
      <c r="CV93" s="846"/>
      <c r="CW93" s="846"/>
      <c r="CX93" s="846"/>
      <c r="CY93" s="846"/>
      <c r="CZ93" s="846"/>
    </row>
    <row r="94" spans="1:104" ht="9.3000000000000007" customHeight="1">
      <c r="A94" s="842"/>
      <c r="B94" s="842" t="n">
        <f>C94+D94</f>
        <v>0</v>
      </c>
      <c r="C94" s="844" t="n">
        <f>SUM(E94:CZ94)</f>
        <v>0</v>
      </c>
      <c r="D94" s="843"/>
      <c r="E94" s="845"/>
      <c r="F94" s="846"/>
      <c r="G94" s="846"/>
      <c r="H94" s="846"/>
      <c r="I94" s="846"/>
      <c r="J94" s="846"/>
      <c r="K94" s="846"/>
      <c r="L94" s="846"/>
      <c r="M94" s="846"/>
      <c r="N94" s="846"/>
      <c r="O94" s="846"/>
      <c r="P94" s="846"/>
      <c r="Q94" s="846"/>
      <c r="R94" s="846"/>
      <c r="S94" s="846"/>
      <c r="T94" s="846"/>
      <c r="U94" s="846"/>
      <c r="V94" s="846"/>
      <c r="W94" s="846"/>
      <c r="X94" s="846"/>
      <c r="Y94" s="846"/>
      <c r="Z94" s="846"/>
      <c r="AA94" s="846"/>
      <c r="AB94" s="846"/>
      <c r="AC94" s="846"/>
      <c r="AD94" s="846"/>
      <c r="AE94" s="846"/>
      <c r="AF94" s="846"/>
      <c r="AG94" s="846"/>
      <c r="AH94" s="846"/>
      <c r="AI94" s="846"/>
      <c r="AJ94" s="846"/>
      <c r="AK94" s="846"/>
      <c r="AL94" s="846"/>
      <c r="AM94" s="846"/>
      <c r="AN94" s="846"/>
      <c r="AO94" s="846"/>
      <c r="AP94" s="846"/>
      <c r="AQ94" s="846"/>
      <c r="AR94" s="846"/>
      <c r="AS94" s="846"/>
      <c r="AT94" s="846"/>
      <c r="AU94" s="846"/>
      <c r="AV94" s="846"/>
      <c r="AW94" s="846"/>
      <c r="AX94" s="846"/>
      <c r="AY94" s="846"/>
      <c r="AZ94" s="846"/>
      <c r="BA94" s="846"/>
      <c r="BB94" s="846"/>
      <c r="BC94" s="846"/>
      <c r="BD94" s="846"/>
      <c r="BE94" s="846"/>
      <c r="BF94" s="846"/>
      <c r="BG94" s="846"/>
      <c r="BH94" s="846"/>
      <c r="BI94" s="846"/>
      <c r="BJ94" s="846"/>
      <c r="BK94" s="846"/>
      <c r="BL94" s="846"/>
      <c r="BM94" s="846"/>
      <c r="BN94" s="846"/>
      <c r="BO94" s="846"/>
      <c r="BP94" s="846"/>
      <c r="BQ94" s="846"/>
      <c r="BR94" s="846"/>
      <c r="BS94" s="846"/>
      <c r="BT94" s="846"/>
      <c r="BU94" s="846"/>
      <c r="BV94" s="846"/>
      <c r="BW94" s="846"/>
      <c r="BX94" s="846"/>
      <c r="BY94" s="846"/>
      <c r="BZ94" s="846"/>
      <c r="CA94" s="846"/>
      <c r="CB94" s="846"/>
      <c r="CC94" s="846"/>
      <c r="CD94" s="846"/>
      <c r="CE94" s="846"/>
      <c r="CF94" s="846"/>
      <c r="CG94" s="846"/>
      <c r="CH94" s="846"/>
      <c r="CI94" s="846"/>
      <c r="CJ94" s="846"/>
      <c r="CK94" s="846"/>
      <c r="CL94" s="846"/>
      <c r="CM94" s="846"/>
      <c r="CN94" s="846"/>
      <c r="CO94" s="846"/>
      <c r="CP94" s="846"/>
      <c r="CQ94" s="846"/>
      <c r="CR94" s="846"/>
      <c r="CS94" s="846"/>
      <c r="CT94" s="846"/>
      <c r="CU94" s="846"/>
      <c r="CV94" s="846"/>
      <c r="CW94" s="846"/>
      <c r="CX94" s="846"/>
      <c r="CY94" s="846"/>
      <c r="CZ94" s="846"/>
    </row>
    <row r="95" spans="1:104" ht="9.3000000000000007" customHeight="1">
      <c r="A95" s="857"/>
      <c r="B95" s="857" t="n">
        <f>C95+D95</f>
        <v>0</v>
      </c>
      <c r="C95" s="858" t="n">
        <f>SUM(E95:CZ95)</f>
        <v>0</v>
      </c>
      <c r="D95" s="859"/>
      <c r="E95" s="860"/>
      <c r="F95" s="856"/>
      <c r="G95" s="856"/>
      <c r="H95" s="856"/>
      <c r="I95" s="856"/>
      <c r="J95" s="856"/>
      <c r="K95" s="856"/>
      <c r="L95" s="856"/>
      <c r="M95" s="856"/>
      <c r="N95" s="856"/>
      <c r="O95" s="856"/>
      <c r="P95" s="856"/>
      <c r="Q95" s="856"/>
      <c r="R95" s="856"/>
      <c r="S95" s="856"/>
      <c r="T95" s="856"/>
      <c r="U95" s="856"/>
      <c r="V95" s="856"/>
      <c r="W95" s="856"/>
      <c r="X95" s="856"/>
      <c r="Y95" s="856"/>
      <c r="Z95" s="856"/>
      <c r="AA95" s="856"/>
      <c r="AB95" s="856"/>
      <c r="AC95" s="856"/>
      <c r="AD95" s="856"/>
      <c r="AE95" s="856"/>
      <c r="AF95" s="856"/>
      <c r="AG95" s="856"/>
      <c r="AH95" s="856"/>
      <c r="AI95" s="856"/>
      <c r="AJ95" s="856"/>
      <c r="AK95" s="856"/>
      <c r="AL95" s="856"/>
      <c r="AM95" s="856"/>
      <c r="AN95" s="856"/>
      <c r="AO95" s="856"/>
      <c r="AP95" s="856"/>
      <c r="AQ95" s="856"/>
      <c r="AR95" s="856"/>
      <c r="AS95" s="856"/>
      <c r="AT95" s="856"/>
      <c r="AU95" s="856"/>
      <c r="AV95" s="856"/>
      <c r="AW95" s="856"/>
      <c r="AX95" s="856"/>
      <c r="AY95" s="856"/>
      <c r="AZ95" s="856"/>
      <c r="BA95" s="856"/>
      <c r="BB95" s="856"/>
      <c r="BC95" s="856"/>
      <c r="BD95" s="856"/>
      <c r="BE95" s="856"/>
      <c r="BF95" s="856"/>
      <c r="BG95" s="856"/>
      <c r="BH95" s="856"/>
      <c r="BI95" s="856"/>
      <c r="BJ95" s="856"/>
      <c r="BK95" s="856"/>
      <c r="BL95" s="856"/>
      <c r="BM95" s="856"/>
      <c r="BN95" s="856"/>
      <c r="BO95" s="856"/>
      <c r="BP95" s="856"/>
      <c r="BQ95" s="856"/>
      <c r="BR95" s="856"/>
      <c r="BS95" s="856"/>
      <c r="BT95" s="856"/>
      <c r="BU95" s="856"/>
      <c r="BV95" s="856"/>
      <c r="BW95" s="856"/>
      <c r="BX95" s="856"/>
      <c r="BY95" s="856"/>
      <c r="BZ95" s="856"/>
      <c r="CA95" s="856"/>
      <c r="CB95" s="856"/>
      <c r="CC95" s="856"/>
      <c r="CD95" s="856"/>
      <c r="CE95" s="856"/>
      <c r="CF95" s="856"/>
      <c r="CG95" s="856"/>
      <c r="CH95" s="856"/>
      <c r="CI95" s="856"/>
      <c r="CJ95" s="856"/>
      <c r="CK95" s="856"/>
      <c r="CL95" s="856"/>
      <c r="CM95" s="856"/>
      <c r="CN95" s="856"/>
      <c r="CO95" s="856"/>
      <c r="CP95" s="856"/>
      <c r="CQ95" s="856"/>
      <c r="CR95" s="856"/>
      <c r="CS95" s="856"/>
      <c r="CT95" s="856"/>
      <c r="CU95" s="856"/>
      <c r="CV95" s="856"/>
      <c r="CW95" s="856"/>
      <c r="CX95" s="856"/>
      <c r="CY95" s="856"/>
      <c r="CZ95" s="856"/>
    </row>
    <row r="96" spans="1:104" ht="9.3000000000000007" customHeight="1">
      <c r="A96" s="1545" t="s">
        <v>1344</v>
      </c>
      <c r="B96" s="1548" t="s">
        <v>1345</v>
      </c>
      <c r="C96" s="1088"/>
      <c r="D96" s="1549"/>
      <c r="E96" s="861" t="s">
        <v>1232</v>
      </c>
      <c r="F96" s="862"/>
      <c r="G96" s="862"/>
      <c r="H96" s="862"/>
      <c r="I96" s="862"/>
      <c r="J96" s="862"/>
      <c r="K96" s="862"/>
      <c r="L96" s="862"/>
      <c r="M96" s="862"/>
      <c r="N96" s="862"/>
      <c r="O96" s="862"/>
      <c r="P96" s="862"/>
      <c r="Q96" s="862"/>
      <c r="R96" s="862"/>
      <c r="S96" s="862"/>
      <c r="T96" s="862"/>
      <c r="U96" s="862"/>
      <c r="V96" s="862"/>
      <c r="W96" s="862"/>
      <c r="X96" s="862"/>
      <c r="Y96" s="862"/>
      <c r="Z96" s="862"/>
      <c r="AA96" s="862"/>
      <c r="AB96" s="862"/>
      <c r="AC96" s="862"/>
      <c r="AD96" s="862"/>
      <c r="AE96" s="862"/>
      <c r="AF96" s="862"/>
      <c r="AG96" s="862"/>
      <c r="AH96" s="862"/>
      <c r="AI96" s="862"/>
      <c r="AJ96" s="862"/>
      <c r="AK96" s="862"/>
      <c r="AL96" s="862"/>
      <c r="AM96" s="862"/>
      <c r="AN96" s="862"/>
      <c r="AO96" s="862"/>
      <c r="AP96" s="862"/>
      <c r="AQ96" s="862"/>
      <c r="AR96" s="862"/>
      <c r="AS96" s="862"/>
      <c r="AT96" s="862"/>
      <c r="AU96" s="862"/>
      <c r="AV96" s="862"/>
      <c r="AW96" s="862"/>
      <c r="AX96" s="862"/>
      <c r="AY96" s="862"/>
      <c r="AZ96" s="862"/>
      <c r="BA96" s="862"/>
      <c r="BB96" s="862"/>
      <c r="BC96" s="862"/>
      <c r="BD96" s="862"/>
      <c r="BE96" s="862"/>
      <c r="BF96" s="862"/>
      <c r="BG96" s="862"/>
      <c r="BH96" s="862"/>
      <c r="BI96" s="862"/>
      <c r="BJ96" s="862"/>
      <c r="BK96" s="862"/>
      <c r="BL96" s="862"/>
      <c r="BM96" s="862"/>
      <c r="BN96" s="862"/>
      <c r="BO96" s="862"/>
      <c r="BP96" s="862"/>
      <c r="BQ96" s="862"/>
      <c r="BR96" s="862"/>
      <c r="BS96" s="862"/>
      <c r="BT96" s="862"/>
      <c r="BU96" s="862"/>
      <c r="BV96" s="862"/>
      <c r="BW96" s="862"/>
      <c r="BX96" s="862"/>
      <c r="BY96" s="862"/>
      <c r="BZ96" s="862"/>
      <c r="CA96" s="862"/>
      <c r="CB96" s="862"/>
      <c r="CC96" s="862"/>
      <c r="CD96" s="862"/>
      <c r="CE96" s="862"/>
      <c r="CF96" s="862"/>
      <c r="CG96" s="862"/>
      <c r="CH96" s="862"/>
      <c r="CI96" s="862"/>
      <c r="CJ96" s="862"/>
      <c r="CK96" s="862"/>
      <c r="CL96" s="862"/>
      <c r="CM96" s="862"/>
      <c r="CN96" s="862"/>
      <c r="CO96" s="862"/>
      <c r="CP96" s="862"/>
      <c r="CQ96" s="862"/>
      <c r="CR96" s="862"/>
      <c r="CS96" s="862"/>
      <c r="CT96" s="862"/>
      <c r="CU96" s="862"/>
      <c r="CV96" s="862"/>
      <c r="CW96" s="862"/>
      <c r="CX96" s="862"/>
      <c r="CY96" s="862"/>
      <c r="CZ96" s="863"/>
    </row>
    <row r="97" spans="1:104" ht="9.3000000000000007" customHeight="1">
      <c r="A97" s="1546"/>
      <c r="B97" s="1408"/>
      <c r="C97" s="1543"/>
      <c r="D97" s="1378"/>
      <c r="E97" s="845" t="s">
        <v>1346</v>
      </c>
      <c r="F97" s="846"/>
      <c r="G97" s="846"/>
      <c r="H97" s="846"/>
      <c r="I97" s="846"/>
      <c r="J97" s="846"/>
      <c r="K97" s="846"/>
      <c r="L97" s="846"/>
      <c r="M97" s="846"/>
      <c r="N97" s="846"/>
      <c r="O97" s="846"/>
      <c r="P97" s="846"/>
      <c r="Q97" s="846"/>
      <c r="R97" s="846"/>
      <c r="S97" s="846"/>
      <c r="T97" s="846"/>
      <c r="U97" s="846"/>
      <c r="V97" s="846"/>
      <c r="W97" s="846"/>
      <c r="X97" s="846"/>
      <c r="Y97" s="846"/>
      <c r="Z97" s="846"/>
      <c r="AA97" s="846"/>
      <c r="AB97" s="846"/>
      <c r="AC97" s="846"/>
      <c r="AD97" s="846"/>
      <c r="AE97" s="846"/>
      <c r="AF97" s="846"/>
      <c r="AG97" s="846"/>
      <c r="AH97" s="846"/>
      <c r="AI97" s="846"/>
      <c r="AJ97" s="846"/>
      <c r="AK97" s="846"/>
      <c r="AL97" s="846"/>
      <c r="AM97" s="846"/>
      <c r="AN97" s="846"/>
      <c r="AO97" s="846"/>
      <c r="AP97" s="846"/>
      <c r="AQ97" s="846"/>
      <c r="AR97" s="846"/>
      <c r="AS97" s="846"/>
      <c r="AT97" s="846"/>
      <c r="AU97" s="846"/>
      <c r="AV97" s="846"/>
      <c r="AW97" s="846"/>
      <c r="AX97" s="846"/>
      <c r="AY97" s="846"/>
      <c r="AZ97" s="846"/>
      <c r="BA97" s="846"/>
      <c r="BB97" s="846"/>
      <c r="BC97" s="846"/>
      <c r="BD97" s="846"/>
      <c r="BE97" s="846"/>
      <c r="BF97" s="846"/>
      <c r="BG97" s="846"/>
      <c r="BH97" s="846"/>
      <c r="BI97" s="846"/>
      <c r="BJ97" s="846"/>
      <c r="BK97" s="846"/>
      <c r="BL97" s="846"/>
      <c r="BM97" s="846"/>
      <c r="BN97" s="846"/>
      <c r="BO97" s="846"/>
      <c r="BP97" s="846"/>
      <c r="BQ97" s="846"/>
      <c r="BR97" s="846"/>
      <c r="BS97" s="846"/>
      <c r="BT97" s="846"/>
      <c r="BU97" s="846"/>
      <c r="BV97" s="846"/>
      <c r="BW97" s="846"/>
      <c r="BX97" s="846"/>
      <c r="BY97" s="846"/>
      <c r="BZ97" s="846"/>
      <c r="CA97" s="846"/>
      <c r="CB97" s="846"/>
      <c r="CC97" s="846"/>
      <c r="CD97" s="846"/>
      <c r="CE97" s="846"/>
      <c r="CF97" s="846"/>
      <c r="CG97" s="846"/>
      <c r="CH97" s="846"/>
      <c r="CI97" s="846"/>
      <c r="CJ97" s="846"/>
      <c r="CK97" s="846"/>
      <c r="CL97" s="846"/>
      <c r="CM97" s="846"/>
      <c r="CN97" s="846"/>
      <c r="CO97" s="846"/>
      <c r="CP97" s="846"/>
      <c r="CQ97" s="846"/>
      <c r="CR97" s="846"/>
      <c r="CS97" s="846"/>
      <c r="CT97" s="846"/>
      <c r="CU97" s="846"/>
      <c r="CV97" s="846"/>
      <c r="CW97" s="846"/>
      <c r="CX97" s="846"/>
      <c r="CY97" s="846"/>
      <c r="CZ97" s="864"/>
    </row>
    <row r="98" spans="1:104" ht="9.3000000000000007" customHeight="1">
      <c r="A98" s="1546"/>
      <c r="B98" s="1408"/>
      <c r="C98" s="1543"/>
      <c r="D98" s="1378"/>
      <c r="E98" s="845" t="s">
        <v>1347</v>
      </c>
      <c r="F98" s="846"/>
      <c r="G98" s="846"/>
      <c r="H98" s="846"/>
      <c r="I98" s="846"/>
      <c r="J98" s="846"/>
      <c r="K98" s="846"/>
      <c r="L98" s="846"/>
      <c r="M98" s="846"/>
      <c r="N98" s="846"/>
      <c r="O98" s="846"/>
      <c r="P98" s="846"/>
      <c r="Q98" s="846"/>
      <c r="R98" s="846"/>
      <c r="S98" s="846"/>
      <c r="T98" s="846"/>
      <c r="U98" s="846"/>
      <c r="V98" s="846"/>
      <c r="W98" s="846"/>
      <c r="X98" s="846"/>
      <c r="Y98" s="846"/>
      <c r="Z98" s="846"/>
      <c r="AA98" s="846"/>
      <c r="AB98" s="846"/>
      <c r="AC98" s="846"/>
      <c r="AD98" s="846"/>
      <c r="AE98" s="846"/>
      <c r="AF98" s="846"/>
      <c r="AG98" s="846"/>
      <c r="AH98" s="846"/>
      <c r="AI98" s="846"/>
      <c r="AJ98" s="846"/>
      <c r="AK98" s="846"/>
      <c r="AL98" s="846"/>
      <c r="AM98" s="846"/>
      <c r="AN98" s="846"/>
      <c r="AO98" s="846"/>
      <c r="AP98" s="846"/>
      <c r="AQ98" s="846"/>
      <c r="AR98" s="846"/>
      <c r="AS98" s="846"/>
      <c r="AT98" s="846"/>
      <c r="AU98" s="846"/>
      <c r="AV98" s="846"/>
      <c r="AW98" s="846"/>
      <c r="AX98" s="846"/>
      <c r="AY98" s="846"/>
      <c r="AZ98" s="846"/>
      <c r="BA98" s="846"/>
      <c r="BB98" s="846"/>
      <c r="BC98" s="846"/>
      <c r="BD98" s="846"/>
      <c r="BE98" s="846"/>
      <c r="BF98" s="846"/>
      <c r="BG98" s="846"/>
      <c r="BH98" s="846"/>
      <c r="BI98" s="846"/>
      <c r="BJ98" s="846"/>
      <c r="BK98" s="846"/>
      <c r="BL98" s="846"/>
      <c r="BM98" s="846"/>
      <c r="BN98" s="846"/>
      <c r="BO98" s="846"/>
      <c r="BP98" s="846"/>
      <c r="BQ98" s="846"/>
      <c r="BR98" s="846"/>
      <c r="BS98" s="846"/>
      <c r="BT98" s="846"/>
      <c r="BU98" s="846"/>
      <c r="BV98" s="846"/>
      <c r="BW98" s="846"/>
      <c r="BX98" s="846"/>
      <c r="BY98" s="846"/>
      <c r="BZ98" s="846"/>
      <c r="CA98" s="846"/>
      <c r="CB98" s="846"/>
      <c r="CC98" s="846"/>
      <c r="CD98" s="846"/>
      <c r="CE98" s="846"/>
      <c r="CF98" s="846"/>
      <c r="CG98" s="846"/>
      <c r="CH98" s="846"/>
      <c r="CI98" s="846"/>
      <c r="CJ98" s="846"/>
      <c r="CK98" s="846"/>
      <c r="CL98" s="846"/>
      <c r="CM98" s="846"/>
      <c r="CN98" s="846"/>
      <c r="CO98" s="846"/>
      <c r="CP98" s="846"/>
      <c r="CQ98" s="846"/>
      <c r="CR98" s="846"/>
      <c r="CS98" s="846"/>
      <c r="CT98" s="846"/>
      <c r="CU98" s="846"/>
      <c r="CV98" s="846"/>
      <c r="CW98" s="846"/>
      <c r="CX98" s="846"/>
      <c r="CY98" s="846"/>
      <c r="CZ98" s="864"/>
    </row>
    <row r="99" spans="1:104" ht="9.3000000000000007" customHeight="1">
      <c r="A99" s="1546"/>
      <c r="B99" s="1408"/>
      <c r="C99" s="1543"/>
      <c r="D99" s="1378"/>
      <c r="E99" s="845" t="s">
        <v>1348</v>
      </c>
      <c r="F99" s="846"/>
      <c r="G99" s="846"/>
      <c r="H99" s="846"/>
      <c r="I99" s="846"/>
      <c r="J99" s="846"/>
      <c r="K99" s="846"/>
      <c r="L99" s="846"/>
      <c r="M99" s="846"/>
      <c r="N99" s="846"/>
      <c r="O99" s="846"/>
      <c r="P99" s="846"/>
      <c r="Q99" s="846"/>
      <c r="R99" s="846"/>
      <c r="S99" s="846"/>
      <c r="T99" s="846"/>
      <c r="U99" s="846"/>
      <c r="V99" s="846"/>
      <c r="W99" s="846"/>
      <c r="X99" s="846"/>
      <c r="Y99" s="846"/>
      <c r="Z99" s="846"/>
      <c r="AA99" s="846"/>
      <c r="AB99" s="846"/>
      <c r="AC99" s="846"/>
      <c r="AD99" s="846"/>
      <c r="AE99" s="846"/>
      <c r="AF99" s="846"/>
      <c r="AG99" s="846"/>
      <c r="AH99" s="846"/>
      <c r="AI99" s="846"/>
      <c r="AJ99" s="846"/>
      <c r="AK99" s="846"/>
      <c r="AL99" s="846"/>
      <c r="AM99" s="846"/>
      <c r="AN99" s="846"/>
      <c r="AO99" s="846"/>
      <c r="AP99" s="846"/>
      <c r="AQ99" s="846"/>
      <c r="AR99" s="846"/>
      <c r="AS99" s="846"/>
      <c r="AT99" s="846"/>
      <c r="AU99" s="846"/>
      <c r="AV99" s="846"/>
      <c r="AW99" s="846"/>
      <c r="AX99" s="846"/>
      <c r="AY99" s="846"/>
      <c r="AZ99" s="846"/>
      <c r="BA99" s="846"/>
      <c r="BB99" s="846"/>
      <c r="BC99" s="846"/>
      <c r="BD99" s="846"/>
      <c r="BE99" s="846"/>
      <c r="BF99" s="846"/>
      <c r="BG99" s="846"/>
      <c r="BH99" s="846"/>
      <c r="BI99" s="846"/>
      <c r="BJ99" s="846"/>
      <c r="BK99" s="846"/>
      <c r="BL99" s="846"/>
      <c r="BM99" s="846"/>
      <c r="BN99" s="846"/>
      <c r="BO99" s="846"/>
      <c r="BP99" s="846"/>
      <c r="BQ99" s="846"/>
      <c r="BR99" s="846"/>
      <c r="BS99" s="846"/>
      <c r="BT99" s="846"/>
      <c r="BU99" s="846"/>
      <c r="BV99" s="846"/>
      <c r="BW99" s="846"/>
      <c r="BX99" s="846"/>
      <c r="BY99" s="846"/>
      <c r="BZ99" s="846"/>
      <c r="CA99" s="846"/>
      <c r="CB99" s="846"/>
      <c r="CC99" s="846"/>
      <c r="CD99" s="846"/>
      <c r="CE99" s="846"/>
      <c r="CF99" s="846"/>
      <c r="CG99" s="846"/>
      <c r="CH99" s="846"/>
      <c r="CI99" s="846"/>
      <c r="CJ99" s="846"/>
      <c r="CK99" s="846"/>
      <c r="CL99" s="846"/>
      <c r="CM99" s="846"/>
      <c r="CN99" s="846"/>
      <c r="CO99" s="846"/>
      <c r="CP99" s="846"/>
      <c r="CQ99" s="846"/>
      <c r="CR99" s="846"/>
      <c r="CS99" s="846"/>
      <c r="CT99" s="846"/>
      <c r="CU99" s="846"/>
      <c r="CV99" s="846"/>
      <c r="CW99" s="846"/>
      <c r="CX99" s="846"/>
      <c r="CY99" s="846"/>
      <c r="CZ99" s="864"/>
    </row>
    <row r="100" spans="1:104" ht="9.3000000000000007" customHeight="1">
      <c r="A100" s="1547"/>
      <c r="B100" s="1550"/>
      <c r="C100" s="1019"/>
      <c r="D100" s="1551"/>
      <c r="E100" s="865" t="s">
        <v>1349</v>
      </c>
      <c r="F100" s="866"/>
      <c r="G100" s="866"/>
      <c r="H100" s="866"/>
      <c r="I100" s="866"/>
      <c r="J100" s="866"/>
      <c r="K100" s="866"/>
      <c r="L100" s="866"/>
      <c r="M100" s="866"/>
      <c r="N100" s="866"/>
      <c r="O100" s="866"/>
      <c r="P100" s="866"/>
      <c r="Q100" s="866"/>
      <c r="R100" s="866"/>
      <c r="S100" s="866"/>
      <c r="T100" s="866"/>
      <c r="U100" s="866"/>
      <c r="V100" s="866"/>
      <c r="W100" s="866"/>
      <c r="X100" s="866"/>
      <c r="Y100" s="866"/>
      <c r="Z100" s="866"/>
      <c r="AA100" s="866"/>
      <c r="AB100" s="866"/>
      <c r="AC100" s="866"/>
      <c r="AD100" s="866"/>
      <c r="AE100" s="866"/>
      <c r="AF100" s="866"/>
      <c r="AG100" s="866"/>
      <c r="AH100" s="866"/>
      <c r="AI100" s="866"/>
      <c r="AJ100" s="866"/>
      <c r="AK100" s="866"/>
      <c r="AL100" s="866"/>
      <c r="AM100" s="866"/>
      <c r="AN100" s="866"/>
      <c r="AO100" s="866"/>
      <c r="AP100" s="866"/>
      <c r="AQ100" s="866"/>
      <c r="AR100" s="866"/>
      <c r="AS100" s="866"/>
      <c r="AT100" s="866"/>
      <c r="AU100" s="866"/>
      <c r="AV100" s="866"/>
      <c r="AW100" s="866"/>
      <c r="AX100" s="866"/>
      <c r="AY100" s="866"/>
      <c r="AZ100" s="866"/>
      <c r="BA100" s="866"/>
      <c r="BB100" s="866"/>
      <c r="BC100" s="866"/>
      <c r="BD100" s="866"/>
      <c r="BE100" s="866"/>
      <c r="BF100" s="866"/>
      <c r="BG100" s="866"/>
      <c r="BH100" s="866"/>
      <c r="BI100" s="866"/>
      <c r="BJ100" s="866"/>
      <c r="BK100" s="866"/>
      <c r="BL100" s="866"/>
      <c r="BM100" s="866"/>
      <c r="BN100" s="866"/>
      <c r="BO100" s="866"/>
      <c r="BP100" s="866"/>
      <c r="BQ100" s="866"/>
      <c r="BR100" s="866"/>
      <c r="BS100" s="866"/>
      <c r="BT100" s="866"/>
      <c r="BU100" s="866"/>
      <c r="BV100" s="866"/>
      <c r="BW100" s="866"/>
      <c r="BX100" s="866"/>
      <c r="BY100" s="866"/>
      <c r="BZ100" s="866"/>
      <c r="CA100" s="866"/>
      <c r="CB100" s="866"/>
      <c r="CC100" s="866"/>
      <c r="CD100" s="866"/>
      <c r="CE100" s="866"/>
      <c r="CF100" s="866"/>
      <c r="CG100" s="866"/>
      <c r="CH100" s="866"/>
      <c r="CI100" s="866"/>
      <c r="CJ100" s="866"/>
      <c r="CK100" s="866"/>
      <c r="CL100" s="866"/>
      <c r="CM100" s="866"/>
      <c r="CN100" s="866"/>
      <c r="CO100" s="866"/>
      <c r="CP100" s="866"/>
      <c r="CQ100" s="866"/>
      <c r="CR100" s="866"/>
      <c r="CS100" s="866"/>
      <c r="CT100" s="866"/>
      <c r="CU100" s="866"/>
      <c r="CV100" s="866"/>
      <c r="CW100" s="866"/>
      <c r="CX100" s="866"/>
      <c r="CY100" s="866"/>
      <c r="CZ100" s="867"/>
    </row>
  </sheetData>
  <mergeCells count="4">
    <mergeCell ref="C1:E1"/>
    <mergeCell ref="F1:H1"/>
    <mergeCell ref="A96:A100"/>
    <mergeCell ref="B96:D100"/>
  </mergeCells>
  <phoneticPr fontId="165"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X74"/>
  <sheetViews>
    <sheetView topLeftCell="A28" workbookViewId="0"/>
  </sheetViews>
  <sheetFormatPr defaultColWidth="3" defaultRowHeight="13.8"/>
  <cols>
    <col min="1" max="1" width="20.44140625" style="263" customWidth="1"/>
    <col min="2" max="232" width="3.109375" style="263" customWidth="1"/>
    <col min="233" max="234" width="3" style="263" customWidth="1"/>
    <col min="235" max="16384" width="3" style="263"/>
  </cols>
  <sheetData>
    <row r="1" spans="1:232" ht="8.5500000000000007" customHeight="1">
      <c r="B1" s="263">
        <v>0</v>
      </c>
      <c r="C1" s="241">
        <v>1</v>
      </c>
      <c r="D1" s="241">
        <v>2</v>
      </c>
      <c r="E1" s="241">
        <v>3</v>
      </c>
      <c r="F1" s="241">
        <v>4</v>
      </c>
      <c r="G1" s="241">
        <v>5</v>
      </c>
      <c r="H1" s="241">
        <v>6</v>
      </c>
      <c r="I1" s="241">
        <v>7</v>
      </c>
      <c r="J1" s="241">
        <v>8</v>
      </c>
      <c r="K1" s="241">
        <v>9</v>
      </c>
      <c r="L1" s="241">
        <v>10</v>
      </c>
      <c r="M1" s="241">
        <v>11</v>
      </c>
      <c r="N1" s="241">
        <v>12</v>
      </c>
      <c r="O1" s="241">
        <v>13</v>
      </c>
      <c r="P1" s="241">
        <v>14</v>
      </c>
      <c r="Q1" s="241">
        <v>15</v>
      </c>
      <c r="R1" s="241">
        <v>16</v>
      </c>
      <c r="S1" s="241">
        <v>17</v>
      </c>
      <c r="T1" s="241">
        <v>18</v>
      </c>
      <c r="U1" s="241">
        <v>19</v>
      </c>
      <c r="V1" s="241">
        <v>20</v>
      </c>
      <c r="W1" s="241">
        <v>21</v>
      </c>
      <c r="X1" s="241">
        <v>22</v>
      </c>
      <c r="Y1" s="241">
        <v>23</v>
      </c>
      <c r="Z1" s="241">
        <v>24</v>
      </c>
      <c r="AA1" s="241">
        <v>25</v>
      </c>
      <c r="AB1" s="241">
        <v>26</v>
      </c>
      <c r="AC1" s="241">
        <v>27</v>
      </c>
      <c r="AD1" s="241">
        <v>28</v>
      </c>
      <c r="AE1" s="241">
        <v>29</v>
      </c>
      <c r="AF1" s="241">
        <v>30</v>
      </c>
      <c r="AG1" s="241">
        <v>31</v>
      </c>
      <c r="AH1" s="241">
        <v>32</v>
      </c>
      <c r="AI1" s="241">
        <v>33</v>
      </c>
      <c r="AJ1" s="241">
        <v>34</v>
      </c>
      <c r="AK1" s="241">
        <v>35</v>
      </c>
      <c r="AL1" s="241">
        <v>36</v>
      </c>
      <c r="AM1" s="241">
        <v>37</v>
      </c>
      <c r="AN1" s="241">
        <v>38</v>
      </c>
      <c r="AO1" s="241">
        <v>39</v>
      </c>
      <c r="AP1" s="241">
        <v>40</v>
      </c>
      <c r="AQ1" s="241">
        <v>41</v>
      </c>
      <c r="AR1" s="241">
        <v>42</v>
      </c>
      <c r="AS1" s="241">
        <v>43</v>
      </c>
      <c r="AT1" s="241">
        <v>44</v>
      </c>
      <c r="AU1" s="241">
        <v>45</v>
      </c>
      <c r="AV1" s="241">
        <v>46</v>
      </c>
      <c r="AW1" s="241">
        <v>47</v>
      </c>
      <c r="AX1" s="241">
        <v>48</v>
      </c>
      <c r="AY1" s="241">
        <v>49</v>
      </c>
      <c r="AZ1" s="241">
        <v>50</v>
      </c>
      <c r="BA1" s="241">
        <v>51</v>
      </c>
      <c r="BB1" s="241">
        <v>52</v>
      </c>
      <c r="BC1" s="241">
        <v>53</v>
      </c>
      <c r="BD1" s="241">
        <v>54</v>
      </c>
      <c r="BE1" s="241">
        <v>55</v>
      </c>
      <c r="BF1" s="241">
        <v>56</v>
      </c>
      <c r="BG1" s="241">
        <v>57</v>
      </c>
      <c r="BH1" s="241">
        <v>58</v>
      </c>
      <c r="BI1" s="241">
        <v>59</v>
      </c>
      <c r="BJ1" s="241">
        <v>60</v>
      </c>
      <c r="BK1" s="241">
        <v>61</v>
      </c>
      <c r="BL1" s="241">
        <v>62</v>
      </c>
      <c r="BM1" s="241">
        <v>63</v>
      </c>
      <c r="BN1" s="241">
        <v>64</v>
      </c>
      <c r="BO1" s="241">
        <v>65</v>
      </c>
      <c r="BP1" s="241">
        <v>66</v>
      </c>
      <c r="BQ1" s="241">
        <v>67</v>
      </c>
      <c r="BR1" s="241">
        <v>68</v>
      </c>
      <c r="BS1" s="241">
        <v>69</v>
      </c>
      <c r="BT1" s="241">
        <v>70</v>
      </c>
      <c r="BU1" s="241">
        <v>71</v>
      </c>
      <c r="BV1" s="241">
        <v>72</v>
      </c>
      <c r="BW1" s="241">
        <v>73</v>
      </c>
      <c r="BX1" s="241">
        <v>74</v>
      </c>
      <c r="BY1" s="241">
        <v>75</v>
      </c>
      <c r="BZ1" s="241">
        <v>76</v>
      </c>
      <c r="CA1" s="241">
        <v>77</v>
      </c>
      <c r="CB1" s="241">
        <v>78</v>
      </c>
      <c r="CC1" s="241">
        <v>79</v>
      </c>
      <c r="CD1" s="241">
        <v>80</v>
      </c>
      <c r="CE1" s="241">
        <v>81</v>
      </c>
      <c r="CF1" s="241">
        <v>82</v>
      </c>
      <c r="CG1" s="241">
        <v>83</v>
      </c>
      <c r="CH1" s="241">
        <v>84</v>
      </c>
      <c r="CI1" s="241">
        <v>85</v>
      </c>
      <c r="CJ1" s="241">
        <v>86</v>
      </c>
      <c r="CK1" s="241">
        <v>87</v>
      </c>
      <c r="CL1" s="241">
        <v>88</v>
      </c>
      <c r="CM1" s="241">
        <v>89</v>
      </c>
      <c r="CN1" s="241">
        <v>90</v>
      </c>
      <c r="CO1" s="241">
        <v>91</v>
      </c>
      <c r="CP1" s="241">
        <v>92</v>
      </c>
      <c r="CQ1" s="241">
        <v>93</v>
      </c>
      <c r="CR1" s="241">
        <v>94</v>
      </c>
      <c r="CS1" s="241">
        <v>95</v>
      </c>
      <c r="CT1" s="241">
        <v>96</v>
      </c>
      <c r="CU1" s="241">
        <v>97</v>
      </c>
      <c r="CV1" s="241">
        <v>98</v>
      </c>
      <c r="CW1" s="241">
        <v>99</v>
      </c>
      <c r="CX1" s="241">
        <v>100</v>
      </c>
      <c r="CY1" s="241">
        <v>101</v>
      </c>
      <c r="CZ1" s="241">
        <v>102</v>
      </c>
      <c r="DA1" s="241">
        <v>103</v>
      </c>
      <c r="DB1" s="241">
        <v>104</v>
      </c>
      <c r="DC1" s="241">
        <v>105</v>
      </c>
      <c r="DD1" s="241">
        <v>106</v>
      </c>
      <c r="DE1" s="241">
        <v>107</v>
      </c>
      <c r="DF1" s="241">
        <v>108</v>
      </c>
      <c r="DG1" s="241">
        <v>109</v>
      </c>
      <c r="DH1" s="241">
        <v>110</v>
      </c>
      <c r="DI1" s="241">
        <v>111</v>
      </c>
      <c r="DJ1" s="241">
        <v>112</v>
      </c>
      <c r="DK1" s="241">
        <v>113</v>
      </c>
      <c r="DL1" s="241">
        <v>114</v>
      </c>
      <c r="DM1" s="241">
        <v>115</v>
      </c>
      <c r="DN1" s="241">
        <v>116</v>
      </c>
      <c r="DO1" s="241">
        <v>117</v>
      </c>
      <c r="DP1" s="241">
        <v>118</v>
      </c>
      <c r="DQ1" s="241">
        <v>119</v>
      </c>
      <c r="DR1" s="241">
        <v>120</v>
      </c>
      <c r="DS1" s="241">
        <v>121</v>
      </c>
      <c r="DT1" s="241">
        <v>122</v>
      </c>
      <c r="DU1" s="241">
        <v>123</v>
      </c>
      <c r="DV1" s="241">
        <v>124</v>
      </c>
      <c r="DW1" s="241">
        <v>125</v>
      </c>
      <c r="DX1" s="241">
        <v>126</v>
      </c>
      <c r="DY1" s="241">
        <v>127</v>
      </c>
      <c r="DZ1" s="241">
        <v>128</v>
      </c>
      <c r="EA1" s="241">
        <v>129</v>
      </c>
      <c r="EB1" s="241">
        <v>130</v>
      </c>
      <c r="EC1" s="241">
        <v>131</v>
      </c>
      <c r="ED1" s="241">
        <v>132</v>
      </c>
      <c r="EE1" s="241">
        <v>133</v>
      </c>
      <c r="EF1" s="241">
        <v>134</v>
      </c>
      <c r="EG1" s="241">
        <v>135</v>
      </c>
      <c r="EH1" s="241">
        <v>136</v>
      </c>
      <c r="EI1" s="241">
        <v>137</v>
      </c>
      <c r="EJ1" s="241">
        <v>138</v>
      </c>
      <c r="EK1" s="241">
        <v>139</v>
      </c>
      <c r="EL1" s="241">
        <v>140</v>
      </c>
      <c r="EM1" s="241">
        <v>141</v>
      </c>
      <c r="EN1" s="241">
        <v>142</v>
      </c>
      <c r="EO1" s="241">
        <v>143</v>
      </c>
      <c r="EP1" s="241">
        <v>144</v>
      </c>
      <c r="EQ1" s="241">
        <v>145</v>
      </c>
      <c r="ER1" s="241">
        <v>146</v>
      </c>
      <c r="ES1" s="241">
        <v>147</v>
      </c>
      <c r="ET1" s="241">
        <v>148</v>
      </c>
      <c r="EU1" s="241">
        <v>149</v>
      </c>
      <c r="EV1" s="241">
        <v>150</v>
      </c>
      <c r="EW1" s="241">
        <v>151</v>
      </c>
      <c r="EX1" s="241">
        <v>152</v>
      </c>
      <c r="EY1" s="241">
        <v>153</v>
      </c>
      <c r="EZ1" s="241">
        <v>154</v>
      </c>
      <c r="FA1" s="241">
        <v>155</v>
      </c>
      <c r="FB1" s="241">
        <v>156</v>
      </c>
      <c r="FC1" s="241">
        <v>157</v>
      </c>
      <c r="FD1" s="241">
        <v>158</v>
      </c>
      <c r="FE1" s="241">
        <v>159</v>
      </c>
      <c r="FF1" s="241">
        <v>160</v>
      </c>
      <c r="FG1" s="241">
        <v>161</v>
      </c>
      <c r="FH1" s="241">
        <v>162</v>
      </c>
      <c r="FI1" s="241">
        <v>163</v>
      </c>
      <c r="FJ1" s="241">
        <v>164</v>
      </c>
      <c r="FK1" s="241">
        <v>165</v>
      </c>
      <c r="FL1" s="241">
        <v>166</v>
      </c>
      <c r="FM1" s="241">
        <v>167</v>
      </c>
      <c r="FN1" s="241">
        <v>168</v>
      </c>
      <c r="FO1" s="241">
        <v>169</v>
      </c>
      <c r="FP1" s="241">
        <v>170</v>
      </c>
      <c r="FQ1" s="241">
        <v>171</v>
      </c>
      <c r="FR1" s="241">
        <v>172</v>
      </c>
      <c r="FS1" s="241">
        <v>173</v>
      </c>
      <c r="FT1" s="241">
        <v>174</v>
      </c>
      <c r="FU1" s="241">
        <v>175</v>
      </c>
      <c r="FV1" s="241">
        <v>176</v>
      </c>
      <c r="FW1" s="241">
        <v>177</v>
      </c>
      <c r="FX1" s="241">
        <v>178</v>
      </c>
      <c r="FY1" s="241">
        <v>179</v>
      </c>
      <c r="FZ1" s="241">
        <v>180</v>
      </c>
      <c r="GA1" s="241">
        <v>181</v>
      </c>
      <c r="GB1" s="241">
        <v>182</v>
      </c>
      <c r="GC1" s="241">
        <v>183</v>
      </c>
      <c r="GD1" s="241">
        <v>184</v>
      </c>
      <c r="GE1" s="241">
        <v>185</v>
      </c>
      <c r="GF1" s="241">
        <v>186</v>
      </c>
      <c r="GG1" s="241">
        <v>187</v>
      </c>
      <c r="GH1" s="241">
        <v>188</v>
      </c>
      <c r="GI1" s="241">
        <v>189</v>
      </c>
      <c r="GJ1" s="241">
        <v>190</v>
      </c>
      <c r="GK1" s="241">
        <v>191</v>
      </c>
      <c r="GL1" s="241">
        <v>192</v>
      </c>
      <c r="GM1" s="241">
        <v>193</v>
      </c>
      <c r="GN1" s="241">
        <v>194</v>
      </c>
      <c r="GO1" s="241">
        <v>195</v>
      </c>
      <c r="GP1" s="241">
        <v>196</v>
      </c>
      <c r="GQ1" s="241">
        <v>197</v>
      </c>
      <c r="GR1" s="241">
        <v>198</v>
      </c>
      <c r="GS1" s="241">
        <v>199</v>
      </c>
      <c r="GT1" s="241">
        <v>200</v>
      </c>
      <c r="GU1" s="241">
        <v>201</v>
      </c>
      <c r="GV1" s="241">
        <v>202</v>
      </c>
      <c r="GW1" s="241">
        <v>203</v>
      </c>
      <c r="GX1" s="241">
        <v>204</v>
      </c>
      <c r="GY1" s="451">
        <v>205</v>
      </c>
      <c r="GZ1" s="451">
        <v>206</v>
      </c>
      <c r="HA1" s="451">
        <v>207</v>
      </c>
      <c r="HB1" s="451">
        <v>208</v>
      </c>
      <c r="HC1" s="451">
        <v>209</v>
      </c>
      <c r="HD1" s="451">
        <v>210</v>
      </c>
      <c r="HE1" s="451">
        <v>211</v>
      </c>
      <c r="HF1" s="451">
        <v>212</v>
      </c>
      <c r="HG1" s="451">
        <v>213</v>
      </c>
      <c r="HH1" s="451">
        <v>214</v>
      </c>
      <c r="HI1" s="451">
        <v>215</v>
      </c>
      <c r="HJ1" s="451">
        <v>216</v>
      </c>
      <c r="HK1" s="451">
        <v>217</v>
      </c>
      <c r="HL1" s="451">
        <v>218</v>
      </c>
      <c r="HM1" s="451">
        <v>219</v>
      </c>
      <c r="HN1" s="451">
        <v>220</v>
      </c>
      <c r="HO1" s="451">
        <v>221</v>
      </c>
      <c r="HP1" s="451">
        <v>222</v>
      </c>
      <c r="HQ1" s="451">
        <v>223</v>
      </c>
      <c r="HR1" s="451">
        <v>224</v>
      </c>
      <c r="HS1" s="451">
        <v>225</v>
      </c>
      <c r="HT1" s="451">
        <v>226</v>
      </c>
      <c r="HU1" s="451">
        <v>227</v>
      </c>
      <c r="HV1" s="451">
        <v>228</v>
      </c>
      <c r="HW1" s="451">
        <v>229</v>
      </c>
      <c r="HX1" s="451">
        <v>230</v>
      </c>
    </row>
    <row r="2" spans="1:232" s="389" customFormat="1" ht="84.6" customHeight="1">
      <c r="C2" s="389" t="s">
        <v>1350</v>
      </c>
      <c r="D2" s="389" t="s">
        <v>419</v>
      </c>
      <c r="E2" s="389" t="s">
        <v>425</v>
      </c>
      <c r="F2" s="389" t="s">
        <v>431</v>
      </c>
      <c r="G2" s="389" t="s">
        <v>437</v>
      </c>
      <c r="H2" s="389" t="s">
        <v>1351</v>
      </c>
      <c r="I2" s="389" t="s">
        <v>447</v>
      </c>
      <c r="J2" s="389" t="s">
        <v>452</v>
      </c>
      <c r="K2" s="389" t="s">
        <v>458</v>
      </c>
      <c r="L2" s="389" t="s">
        <v>463</v>
      </c>
      <c r="M2" s="389" t="s">
        <v>468</v>
      </c>
      <c r="N2" s="389" t="s">
        <v>473</v>
      </c>
      <c r="O2" s="389" t="s">
        <v>480</v>
      </c>
      <c r="P2" s="389" t="s">
        <v>486</v>
      </c>
      <c r="Q2" s="389" t="s">
        <v>491</v>
      </c>
      <c r="R2" s="389" t="s">
        <v>496</v>
      </c>
      <c r="S2" s="389" t="s">
        <v>501</v>
      </c>
      <c r="T2" s="389" t="s">
        <v>506</v>
      </c>
      <c r="U2" s="389" t="s">
        <v>511</v>
      </c>
      <c r="V2" s="389" t="s">
        <v>517</v>
      </c>
      <c r="W2" s="389" t="s">
        <v>521</v>
      </c>
      <c r="X2" s="389" t="s">
        <v>527</v>
      </c>
      <c r="Y2" s="389" t="s">
        <v>530</v>
      </c>
      <c r="Z2" s="389" t="s">
        <v>535</v>
      </c>
      <c r="AA2" s="389" t="s">
        <v>540</v>
      </c>
      <c r="AB2" s="389" t="s">
        <v>544</v>
      </c>
      <c r="AC2" s="389" t="s">
        <v>548</v>
      </c>
      <c r="AD2" s="389" t="s">
        <v>552</v>
      </c>
      <c r="AE2" s="389" t="s">
        <v>557</v>
      </c>
      <c r="AF2" s="389" t="s">
        <v>562</v>
      </c>
      <c r="AG2" s="389" t="s">
        <v>567</v>
      </c>
      <c r="AH2" s="389" t="s">
        <v>571</v>
      </c>
      <c r="AI2" s="389" t="s">
        <v>576</v>
      </c>
      <c r="AJ2" s="389" t="s">
        <v>581</v>
      </c>
      <c r="AK2" s="389" t="s">
        <v>586</v>
      </c>
      <c r="AL2" s="389" t="s">
        <v>590</v>
      </c>
      <c r="AM2" s="389" t="s">
        <v>595</v>
      </c>
      <c r="AN2" s="389" t="s">
        <v>600</v>
      </c>
      <c r="AO2" s="389" t="s">
        <v>605</v>
      </c>
      <c r="AP2" s="389" t="s">
        <v>609</v>
      </c>
      <c r="AQ2" s="389" t="s">
        <v>613</v>
      </c>
      <c r="AR2" s="389" t="s">
        <v>617</v>
      </c>
      <c r="AS2" s="389" t="s">
        <v>622</v>
      </c>
      <c r="AT2" s="389" t="s">
        <v>626</v>
      </c>
      <c r="AU2" s="389" t="s">
        <v>631</v>
      </c>
      <c r="AV2" s="389" t="s">
        <v>637</v>
      </c>
      <c r="AW2" s="389" t="s">
        <v>641</v>
      </c>
      <c r="AX2" s="389" t="s">
        <v>645</v>
      </c>
      <c r="AY2" s="389" t="s">
        <v>649</v>
      </c>
      <c r="AZ2" s="389" t="s">
        <v>654</v>
      </c>
      <c r="BA2" s="389" t="s">
        <v>659</v>
      </c>
      <c r="BB2" s="389" t="s">
        <v>663</v>
      </c>
      <c r="BC2" s="389" t="s">
        <v>667</v>
      </c>
      <c r="BD2" s="389" t="s">
        <v>672</v>
      </c>
      <c r="BE2" s="389" t="s">
        <v>676</v>
      </c>
      <c r="BF2" s="389" t="s">
        <v>680</v>
      </c>
      <c r="BG2" s="389" t="s">
        <v>684</v>
      </c>
      <c r="BH2" s="389" t="s">
        <v>688</v>
      </c>
      <c r="BI2" s="389" t="s">
        <v>693</v>
      </c>
      <c r="BJ2" s="389" t="s">
        <v>698</v>
      </c>
      <c r="BK2" s="389" t="s">
        <v>703</v>
      </c>
      <c r="BL2" s="389" t="s">
        <v>706</v>
      </c>
      <c r="BM2" s="389" t="s">
        <v>711</v>
      </c>
      <c r="BN2" s="389" t="s">
        <v>715</v>
      </c>
      <c r="BO2" s="389" t="s">
        <v>720</v>
      </c>
      <c r="BP2" s="389" t="s">
        <v>724</v>
      </c>
      <c r="BQ2" s="389" t="s">
        <v>728</v>
      </c>
      <c r="BR2" s="389" t="s">
        <v>733</v>
      </c>
      <c r="BS2" s="389" t="s">
        <v>1352</v>
      </c>
      <c r="BT2" s="389" t="s">
        <v>741</v>
      </c>
      <c r="BU2" s="389" t="s">
        <v>744</v>
      </c>
      <c r="BV2" s="389" t="s">
        <v>747</v>
      </c>
      <c r="BW2" s="389" t="s">
        <v>751</v>
      </c>
      <c r="BX2" s="389" t="s">
        <v>756</v>
      </c>
      <c r="BY2" s="389" t="s">
        <v>760</v>
      </c>
      <c r="BZ2" s="389" t="s">
        <v>765</v>
      </c>
      <c r="CA2" s="389" t="s">
        <v>770</v>
      </c>
      <c r="CB2" s="389" t="s">
        <v>774</v>
      </c>
      <c r="CC2" s="389" t="s">
        <v>778</v>
      </c>
      <c r="CD2" s="389" t="s">
        <v>783</v>
      </c>
      <c r="CE2" s="389" t="s">
        <v>787</v>
      </c>
      <c r="CF2" s="389" t="s">
        <v>792</v>
      </c>
      <c r="CG2" s="389" t="s">
        <v>797</v>
      </c>
      <c r="CH2" s="389" t="s">
        <v>801</v>
      </c>
      <c r="CI2" s="389" t="s">
        <v>806</v>
      </c>
      <c r="CJ2" s="389" t="s">
        <v>810</v>
      </c>
      <c r="CK2" s="389" t="s">
        <v>813</v>
      </c>
      <c r="CL2" s="389" t="s">
        <v>817</v>
      </c>
      <c r="CM2" s="389" t="s">
        <v>821</v>
      </c>
      <c r="CN2" s="389" t="s">
        <v>825</v>
      </c>
      <c r="CO2" s="389" t="s">
        <v>829</v>
      </c>
      <c r="CP2" s="389" t="s">
        <v>833</v>
      </c>
      <c r="CQ2" s="389" t="s">
        <v>837</v>
      </c>
      <c r="CR2" s="389" t="s">
        <v>842</v>
      </c>
      <c r="CS2" s="389" t="s">
        <v>847</v>
      </c>
      <c r="CT2" s="389" t="s">
        <v>851</v>
      </c>
      <c r="CU2" s="389" t="s">
        <v>855</v>
      </c>
      <c r="CV2" s="389" t="s">
        <v>859</v>
      </c>
      <c r="CW2" s="389" t="s">
        <v>864</v>
      </c>
      <c r="CX2" s="389" t="s">
        <v>868</v>
      </c>
      <c r="CY2" s="389" t="s">
        <v>872</v>
      </c>
      <c r="CZ2" s="389" t="s">
        <v>876</v>
      </c>
      <c r="DA2" s="389" t="s">
        <v>880</v>
      </c>
      <c r="DB2" s="389" t="s">
        <v>884</v>
      </c>
      <c r="DC2" s="389" t="s">
        <v>887</v>
      </c>
      <c r="DD2" s="389" t="s">
        <v>891</v>
      </c>
      <c r="DE2" s="389" t="s">
        <v>896</v>
      </c>
      <c r="DF2" s="389" t="s">
        <v>901</v>
      </c>
      <c r="DG2" s="389" t="s">
        <v>906</v>
      </c>
      <c r="DH2" s="389" t="s">
        <v>910</v>
      </c>
      <c r="DI2" s="389" t="s">
        <v>914</v>
      </c>
      <c r="DJ2" s="389" t="s">
        <v>918</v>
      </c>
      <c r="DK2" s="389" t="s">
        <v>922</v>
      </c>
      <c r="DL2" s="389" t="s">
        <v>927</v>
      </c>
      <c r="DM2" s="389" t="s">
        <v>931</v>
      </c>
      <c r="DN2" s="389" t="s">
        <v>935</v>
      </c>
      <c r="DO2" s="389" t="s">
        <v>940</v>
      </c>
      <c r="DP2" s="389" t="s">
        <v>942</v>
      </c>
      <c r="DQ2" s="389" t="s">
        <v>946</v>
      </c>
      <c r="DR2" s="389" t="s">
        <v>949</v>
      </c>
      <c r="DS2" s="389" t="s">
        <v>952</v>
      </c>
      <c r="DT2" s="389" t="s">
        <v>955</v>
      </c>
      <c r="DU2" s="389" t="s">
        <v>959</v>
      </c>
      <c r="DV2" s="389" t="s">
        <v>962</v>
      </c>
      <c r="DW2" s="389" t="s">
        <v>963</v>
      </c>
      <c r="DX2" s="389" t="s">
        <v>966</v>
      </c>
      <c r="DY2" s="389" t="s">
        <v>969</v>
      </c>
      <c r="DZ2" s="389" t="s">
        <v>972</v>
      </c>
      <c r="EA2" s="389" t="s">
        <v>975</v>
      </c>
      <c r="EB2" s="389" t="s">
        <v>978</v>
      </c>
      <c r="EC2" s="389" t="s">
        <v>981</v>
      </c>
      <c r="ED2" s="389" t="s">
        <v>984</v>
      </c>
      <c r="EE2" s="389" t="s">
        <v>987</v>
      </c>
      <c r="EF2" s="389" t="s">
        <v>988</v>
      </c>
      <c r="EG2" s="389" t="s">
        <v>989</v>
      </c>
      <c r="EH2" s="389" t="s">
        <v>990</v>
      </c>
      <c r="EI2" s="389" t="s">
        <v>992</v>
      </c>
      <c r="EJ2" s="389" t="s">
        <v>995</v>
      </c>
      <c r="EK2" s="389" t="s">
        <v>998</v>
      </c>
      <c r="EL2" s="389" t="s">
        <v>1353</v>
      </c>
      <c r="EM2" s="389" t="s">
        <v>1004</v>
      </c>
      <c r="EN2" s="389" t="s">
        <v>1007</v>
      </c>
      <c r="EO2" s="389" t="s">
        <v>1011</v>
      </c>
      <c r="EP2" s="389" t="s">
        <v>1354</v>
      </c>
      <c r="EQ2" s="389" t="s">
        <v>1017</v>
      </c>
      <c r="ER2" s="389" t="s">
        <v>1020</v>
      </c>
      <c r="ES2" s="389" t="s">
        <v>1022</v>
      </c>
      <c r="ET2" s="389" t="s">
        <v>1024</v>
      </c>
      <c r="EU2" s="389" t="s">
        <v>1027</v>
      </c>
      <c r="EV2" s="389" t="s">
        <v>1030</v>
      </c>
      <c r="EW2" s="389" t="s">
        <v>1034</v>
      </c>
      <c r="EX2" s="389" t="s">
        <v>1037</v>
      </c>
      <c r="EY2" s="389" t="s">
        <v>1040</v>
      </c>
      <c r="EZ2" s="389" t="s">
        <v>1043</v>
      </c>
      <c r="FA2" s="389" t="s">
        <v>1046</v>
      </c>
      <c r="FB2" s="389" t="s">
        <v>1051</v>
      </c>
      <c r="FC2" s="389" t="s">
        <v>1056</v>
      </c>
      <c r="FD2" s="389" t="s">
        <v>1063</v>
      </c>
      <c r="FE2" s="389" t="s">
        <v>1067</v>
      </c>
      <c r="FF2" s="389" t="s">
        <v>1072</v>
      </c>
      <c r="FG2" s="389" t="s">
        <v>1076</v>
      </c>
      <c r="FH2" s="389" t="s">
        <v>1079</v>
      </c>
      <c r="FI2" s="389" t="s">
        <v>1083</v>
      </c>
      <c r="FJ2" s="389" t="s">
        <v>1087</v>
      </c>
      <c r="FK2" s="389" t="s">
        <v>1090</v>
      </c>
      <c r="FL2" s="389" t="s">
        <v>1092</v>
      </c>
      <c r="FM2" s="389" t="s">
        <v>1094</v>
      </c>
      <c r="FN2" s="389" t="s">
        <v>1098</v>
      </c>
      <c r="FO2" s="389" t="s">
        <v>1101</v>
      </c>
      <c r="FP2" s="389" t="s">
        <v>1104</v>
      </c>
      <c r="FQ2" s="389" t="s">
        <v>1109</v>
      </c>
      <c r="FR2" s="389" t="s">
        <v>1112</v>
      </c>
      <c r="FS2" s="389" t="s">
        <v>1115</v>
      </c>
      <c r="FT2" s="389" t="s">
        <v>1118</v>
      </c>
      <c r="FU2" s="389" t="s">
        <v>1122</v>
      </c>
      <c r="FV2" s="389" t="s">
        <v>1124</v>
      </c>
      <c r="FW2" s="389" t="s">
        <v>1126</v>
      </c>
      <c r="FX2" s="389" t="s">
        <v>1127</v>
      </c>
      <c r="FY2" s="389" t="s">
        <v>1130</v>
      </c>
      <c r="FZ2" s="389" t="s">
        <v>1131</v>
      </c>
      <c r="GA2" s="389" t="s">
        <v>1133</v>
      </c>
      <c r="GB2" s="389" t="s">
        <v>1135</v>
      </c>
      <c r="GC2" s="389" t="s">
        <v>1137</v>
      </c>
      <c r="GD2" s="389" t="s">
        <v>1138</v>
      </c>
      <c r="GE2" s="389" t="s">
        <v>1139</v>
      </c>
      <c r="GF2" s="389" t="s">
        <v>1141</v>
      </c>
      <c r="GG2" s="389" t="s">
        <v>1142</v>
      </c>
      <c r="GH2" s="389" t="s">
        <v>1144</v>
      </c>
      <c r="GI2" s="389" t="s">
        <v>1146</v>
      </c>
      <c r="GJ2" s="389" t="s">
        <v>1148</v>
      </c>
      <c r="GK2" s="389" t="s">
        <v>1150</v>
      </c>
      <c r="GL2" s="389" t="s">
        <v>1151</v>
      </c>
      <c r="GM2" s="389" t="s">
        <v>1152</v>
      </c>
      <c r="GN2" s="389" t="s">
        <v>1153</v>
      </c>
      <c r="GO2" s="389" t="s">
        <v>1155</v>
      </c>
      <c r="GP2" s="389" t="s">
        <v>1157</v>
      </c>
      <c r="GQ2" s="389" t="s">
        <v>1159</v>
      </c>
      <c r="GR2" s="389" t="s">
        <v>1162</v>
      </c>
      <c r="GS2" s="389" t="s">
        <v>1163</v>
      </c>
      <c r="GT2" s="389" t="s">
        <v>1165</v>
      </c>
      <c r="GU2" s="389" t="s">
        <v>1167</v>
      </c>
      <c r="GV2" s="389" t="s">
        <v>1168</v>
      </c>
      <c r="GW2" s="389" t="s">
        <v>1171</v>
      </c>
      <c r="GX2" s="389" t="s">
        <v>1173</v>
      </c>
      <c r="GY2" s="389" t="s">
        <v>1175</v>
      </c>
      <c r="GZ2" s="389" t="s">
        <v>1179</v>
      </c>
      <c r="HA2" s="389" t="s">
        <v>1181</v>
      </c>
      <c r="HB2" s="389" t="s">
        <v>480</v>
      </c>
      <c r="HC2" s="389" t="s">
        <v>1185</v>
      </c>
      <c r="HD2" s="389" t="s">
        <v>1187</v>
      </c>
      <c r="HE2" s="389" t="s">
        <v>1189</v>
      </c>
      <c r="HF2" s="389" t="s">
        <v>1192</v>
      </c>
      <c r="HG2" s="389" t="s">
        <v>548</v>
      </c>
      <c r="HH2" s="389" t="s">
        <v>1196</v>
      </c>
      <c r="HI2" s="389" t="s">
        <v>1198</v>
      </c>
      <c r="HJ2" s="389" t="s">
        <v>663</v>
      </c>
      <c r="HK2" s="389" t="s">
        <v>1201</v>
      </c>
      <c r="HL2" s="389" t="s">
        <v>1204</v>
      </c>
      <c r="HM2" s="389" t="s">
        <v>829</v>
      </c>
      <c r="HN2" s="389" t="s">
        <v>1208</v>
      </c>
      <c r="HO2" s="389" t="s">
        <v>1210</v>
      </c>
      <c r="HP2" s="389" t="s">
        <v>747</v>
      </c>
      <c r="HQ2" s="389" t="s">
        <v>1213</v>
      </c>
      <c r="HR2" s="389" t="s">
        <v>1215</v>
      </c>
      <c r="HS2" s="389" t="s">
        <v>1217</v>
      </c>
      <c r="HT2" s="389" t="s">
        <v>872</v>
      </c>
      <c r="HU2" s="389" t="s">
        <v>1220</v>
      </c>
      <c r="HV2" s="389" t="s">
        <v>1222</v>
      </c>
      <c r="HW2" s="389" t="s">
        <v>1224</v>
      </c>
      <c r="HX2" s="389" t="s">
        <v>1226</v>
      </c>
    </row>
    <row r="3" spans="1:232" s="390" customFormat="1" ht="11.55" customHeight="1">
      <c r="A3" s="402" t="s">
        <v>1355</v>
      </c>
      <c r="B3" s="402"/>
      <c r="C3" s="402"/>
      <c r="D3" s="402"/>
      <c r="E3" s="402"/>
      <c r="F3" s="402"/>
      <c r="G3" s="402"/>
      <c r="H3" s="402"/>
      <c r="I3" s="402"/>
      <c r="J3" s="402"/>
      <c r="K3" s="402"/>
      <c r="L3" s="402"/>
      <c r="M3" s="402">
        <v>1</v>
      </c>
      <c r="N3" s="402">
        <v>1</v>
      </c>
      <c r="O3" s="402">
        <v>1</v>
      </c>
      <c r="P3" s="402"/>
      <c r="Q3" s="402"/>
      <c r="R3" s="402">
        <v>1</v>
      </c>
      <c r="S3" s="402"/>
      <c r="T3" s="402">
        <v>1</v>
      </c>
      <c r="U3" s="402"/>
      <c r="V3" s="402">
        <v>1</v>
      </c>
      <c r="W3" s="402"/>
      <c r="X3" s="402">
        <v>1</v>
      </c>
      <c r="Y3" s="402"/>
      <c r="Z3" s="402"/>
      <c r="AA3" s="402"/>
      <c r="AB3" s="402">
        <v>1</v>
      </c>
      <c r="AC3" s="402"/>
      <c r="AD3" s="402"/>
      <c r="AE3" s="402">
        <v>1</v>
      </c>
      <c r="AF3" s="402"/>
      <c r="AG3" s="402">
        <v>1</v>
      </c>
      <c r="AH3" s="402">
        <v>1</v>
      </c>
      <c r="AI3" s="402">
        <v>1</v>
      </c>
      <c r="AJ3" s="402">
        <v>1</v>
      </c>
      <c r="AK3" s="402"/>
      <c r="AL3" s="402"/>
      <c r="AM3" s="402">
        <v>1</v>
      </c>
      <c r="AN3" s="402"/>
      <c r="AO3" s="402"/>
      <c r="AP3" s="402">
        <v>1</v>
      </c>
      <c r="AQ3" s="402">
        <v>1</v>
      </c>
      <c r="AR3" s="402"/>
      <c r="AS3" s="402"/>
      <c r="AT3" s="402"/>
      <c r="AU3" s="402"/>
      <c r="AV3" s="402"/>
      <c r="AW3" s="402"/>
      <c r="AX3" s="402"/>
      <c r="AY3" s="402"/>
      <c r="AZ3" s="402"/>
      <c r="BA3" s="402"/>
      <c r="BB3" s="402"/>
      <c r="BC3" s="402">
        <v>1</v>
      </c>
      <c r="BD3" s="402"/>
      <c r="BE3" s="402"/>
      <c r="BF3" s="402"/>
      <c r="BG3" s="402"/>
      <c r="BH3" s="402"/>
      <c r="BI3" s="402"/>
      <c r="BJ3" s="402"/>
      <c r="BK3" s="402"/>
      <c r="BL3" s="402"/>
      <c r="BM3" s="402">
        <v>1</v>
      </c>
      <c r="BN3" s="402"/>
      <c r="BO3" s="402"/>
      <c r="BP3" s="402"/>
      <c r="BQ3" s="402"/>
      <c r="BR3" s="402">
        <v>1</v>
      </c>
      <c r="BS3" s="402"/>
      <c r="BT3" s="402">
        <v>1</v>
      </c>
      <c r="BU3" s="402"/>
      <c r="BV3" s="402"/>
      <c r="BW3" s="402"/>
      <c r="BX3" s="402"/>
      <c r="BY3" s="402"/>
      <c r="BZ3" s="402"/>
      <c r="CA3" s="402"/>
      <c r="CB3" s="402"/>
      <c r="CC3" s="402"/>
      <c r="CD3" s="402"/>
      <c r="CE3" s="402"/>
      <c r="CF3" s="402"/>
      <c r="CG3" s="402"/>
      <c r="CH3" s="402"/>
      <c r="CI3" s="402"/>
      <c r="CJ3" s="402"/>
      <c r="CK3" s="402"/>
      <c r="CL3" s="402"/>
      <c r="CM3" s="402">
        <v>1</v>
      </c>
      <c r="CN3" s="402">
        <v>1</v>
      </c>
      <c r="CO3" s="402"/>
      <c r="CP3" s="402"/>
      <c r="CQ3" s="402"/>
      <c r="CR3" s="402"/>
      <c r="CS3" s="402"/>
      <c r="CT3" s="402"/>
      <c r="CU3" s="402"/>
      <c r="CV3" s="402">
        <v>1</v>
      </c>
      <c r="CW3" s="402"/>
      <c r="CX3" s="402">
        <v>1</v>
      </c>
      <c r="CY3" s="402">
        <v>1</v>
      </c>
      <c r="CZ3" s="402">
        <v>1</v>
      </c>
      <c r="DA3" s="402"/>
      <c r="DB3" s="402">
        <v>1</v>
      </c>
      <c r="DC3" s="402">
        <v>1</v>
      </c>
      <c r="DD3" s="402">
        <v>1</v>
      </c>
      <c r="DE3" s="402">
        <v>1</v>
      </c>
      <c r="DF3" s="402">
        <v>1</v>
      </c>
      <c r="DG3" s="402"/>
      <c r="DH3" s="402"/>
      <c r="DI3" s="402"/>
      <c r="DJ3" s="402">
        <v>1</v>
      </c>
      <c r="DK3" s="402"/>
      <c r="DL3" s="402"/>
      <c r="DM3" s="402"/>
      <c r="DN3" s="402"/>
      <c r="DO3" s="402"/>
      <c r="DP3" s="402"/>
      <c r="DQ3" s="402"/>
      <c r="DR3" s="402"/>
      <c r="DS3" s="402"/>
      <c r="DT3" s="402"/>
      <c r="DU3" s="402"/>
      <c r="DV3" s="402"/>
      <c r="DW3" s="402"/>
      <c r="DX3" s="402"/>
      <c r="DY3" s="402"/>
      <c r="DZ3" s="402"/>
      <c r="EA3" s="402"/>
      <c r="EB3" s="402"/>
      <c r="EC3" s="402"/>
      <c r="ED3" s="402"/>
      <c r="EE3" s="402"/>
      <c r="EF3" s="402"/>
      <c r="EG3" s="402"/>
      <c r="EH3" s="402"/>
      <c r="EI3" s="402"/>
      <c r="EJ3" s="402">
        <v>1</v>
      </c>
      <c r="EK3" s="402"/>
      <c r="EL3" s="402"/>
      <c r="EM3" s="402"/>
      <c r="EN3" s="402">
        <v>1</v>
      </c>
      <c r="EO3" s="402"/>
      <c r="EP3" s="402"/>
      <c r="EQ3" s="402"/>
      <c r="ER3" s="402">
        <v>1</v>
      </c>
      <c r="ES3" s="402"/>
      <c r="ET3" s="402"/>
      <c r="EU3" s="402"/>
      <c r="EV3" s="402"/>
      <c r="EW3" s="402"/>
      <c r="EX3" s="402"/>
      <c r="EY3" s="402"/>
      <c r="EZ3" s="402"/>
      <c r="FA3" s="402"/>
      <c r="FB3" s="402">
        <v>1</v>
      </c>
      <c r="FC3" s="402">
        <v>1</v>
      </c>
      <c r="FD3" s="402"/>
      <c r="FE3" s="402">
        <v>1</v>
      </c>
      <c r="FF3" s="402"/>
      <c r="FG3" s="402"/>
      <c r="FH3" s="402"/>
      <c r="FI3" s="402">
        <v>1</v>
      </c>
      <c r="FJ3" s="402">
        <v>1</v>
      </c>
      <c r="FK3" s="402"/>
      <c r="FL3" s="402">
        <v>1</v>
      </c>
      <c r="FM3" s="402"/>
      <c r="FN3" s="402"/>
      <c r="FO3" s="402"/>
      <c r="FP3" s="402"/>
      <c r="FQ3" s="402"/>
      <c r="FR3" s="402"/>
      <c r="FS3" s="402"/>
      <c r="FT3" s="402"/>
      <c r="FU3" s="402"/>
      <c r="FV3" s="402"/>
      <c r="FW3" s="402"/>
      <c r="FX3" s="402"/>
      <c r="FY3" s="402"/>
      <c r="FZ3" s="402">
        <v>1</v>
      </c>
      <c r="GA3" s="402"/>
      <c r="GB3" s="402"/>
      <c r="GC3" s="402">
        <v>1</v>
      </c>
      <c r="GD3" s="402">
        <v>1</v>
      </c>
      <c r="GE3" s="402">
        <v>1</v>
      </c>
      <c r="GF3" s="402">
        <v>1</v>
      </c>
      <c r="GG3" s="402"/>
      <c r="GH3" s="402"/>
      <c r="GI3" s="402"/>
      <c r="GJ3" s="402"/>
      <c r="GK3" s="402"/>
      <c r="GL3" s="402"/>
      <c r="GM3" s="402"/>
      <c r="GN3" s="402"/>
      <c r="GO3" s="402"/>
      <c r="GP3" s="402"/>
      <c r="GQ3" s="402"/>
      <c r="GR3" s="402"/>
      <c r="GS3" s="402"/>
      <c r="GT3" s="402"/>
      <c r="GU3" s="402">
        <v>1</v>
      </c>
      <c r="GV3" s="402"/>
      <c r="GW3" s="402">
        <v>1</v>
      </c>
      <c r="GX3" s="402"/>
      <c r="GY3" s="402">
        <v>1</v>
      </c>
      <c r="GZ3" s="402"/>
      <c r="HA3" s="402"/>
      <c r="HB3" s="402"/>
      <c r="HC3" s="402"/>
      <c r="HD3" s="402"/>
      <c r="HE3" s="402"/>
      <c r="HF3" s="402"/>
      <c r="HG3" s="402"/>
      <c r="HH3" s="402"/>
      <c r="HI3" s="402"/>
      <c r="HJ3" s="402"/>
      <c r="HK3" s="402">
        <v>1</v>
      </c>
      <c r="HL3" s="402"/>
      <c r="HM3" s="402"/>
      <c r="HN3" s="402"/>
      <c r="HO3" s="402"/>
      <c r="HP3" s="402"/>
      <c r="HQ3" s="402"/>
      <c r="HR3" s="402"/>
      <c r="HS3" s="402"/>
      <c r="HT3" s="402"/>
      <c r="HU3" s="402"/>
      <c r="HV3" s="402"/>
      <c r="HW3" s="402"/>
      <c r="HX3" s="402"/>
    </row>
    <row r="4" spans="1:232" s="390" customFormat="1" ht="11.55" customHeight="1">
      <c r="A4" s="402" t="s">
        <v>1356</v>
      </c>
      <c r="B4" s="403"/>
      <c r="C4" s="403"/>
      <c r="D4" s="403"/>
      <c r="E4" s="404"/>
      <c r="F4" s="403"/>
      <c r="G4" s="403"/>
      <c r="H4" s="403"/>
      <c r="I4" s="403"/>
      <c r="J4" s="403"/>
      <c r="K4" s="403"/>
      <c r="L4" s="403"/>
      <c r="M4" s="403"/>
      <c r="N4" s="403"/>
      <c r="O4" s="403"/>
      <c r="P4" s="403"/>
      <c r="Q4" s="403"/>
      <c r="R4" s="403"/>
      <c r="S4" s="403"/>
      <c r="T4" s="403">
        <v>1</v>
      </c>
      <c r="U4" s="403"/>
      <c r="V4" s="403">
        <v>1</v>
      </c>
      <c r="W4" s="403"/>
      <c r="X4" s="403"/>
      <c r="Y4" s="403"/>
      <c r="Z4" s="403"/>
      <c r="AA4" s="403"/>
      <c r="AB4" s="403">
        <v>1</v>
      </c>
      <c r="AC4" s="403"/>
      <c r="AD4" s="403"/>
      <c r="AE4" s="403"/>
      <c r="AF4" s="403"/>
      <c r="AG4" s="403"/>
      <c r="AH4" s="403"/>
      <c r="AI4" s="403">
        <v>1</v>
      </c>
      <c r="AJ4" s="403"/>
      <c r="AK4" s="403"/>
      <c r="AL4" s="403"/>
      <c r="AM4" s="403"/>
      <c r="AN4" s="403"/>
      <c r="AO4" s="403"/>
      <c r="AP4" s="403"/>
      <c r="AQ4" s="403"/>
      <c r="AR4" s="403"/>
      <c r="AS4" s="403"/>
      <c r="AT4" s="403"/>
      <c r="AU4" s="403"/>
      <c r="AV4" s="403"/>
      <c r="AW4" s="403"/>
      <c r="AX4" s="403"/>
      <c r="AY4" s="403"/>
      <c r="AZ4" s="403"/>
      <c r="BA4" s="403"/>
      <c r="BB4" s="403"/>
      <c r="BC4" s="403"/>
      <c r="BD4" s="403"/>
      <c r="BE4" s="403"/>
      <c r="BF4" s="403"/>
      <c r="BG4" s="403"/>
      <c r="BH4" s="403"/>
      <c r="BI4" s="403"/>
      <c r="BJ4" s="403"/>
      <c r="BK4" s="403"/>
      <c r="BL4" s="403"/>
      <c r="BM4" s="403"/>
      <c r="BN4" s="403"/>
      <c r="BO4" s="403"/>
      <c r="BP4" s="403"/>
      <c r="BQ4" s="403"/>
      <c r="BR4" s="403"/>
      <c r="BS4" s="403"/>
      <c r="BT4" s="403"/>
      <c r="BU4" s="403"/>
      <c r="BV4" s="403"/>
      <c r="BW4" s="403"/>
      <c r="BX4" s="403"/>
      <c r="BY4" s="403"/>
      <c r="BZ4" s="403"/>
      <c r="CA4" s="403"/>
      <c r="CB4" s="403"/>
      <c r="CC4" s="403"/>
      <c r="CD4" s="403"/>
      <c r="CE4" s="403"/>
      <c r="CF4" s="403"/>
      <c r="CG4" s="403"/>
      <c r="CH4" s="403"/>
      <c r="CI4" s="403"/>
      <c r="CJ4" s="403"/>
      <c r="CK4" s="403"/>
      <c r="CL4" s="403"/>
      <c r="CM4" s="403"/>
      <c r="CN4" s="403"/>
      <c r="CO4" s="403"/>
      <c r="CP4" s="403"/>
      <c r="CQ4" s="403"/>
      <c r="CR4" s="403"/>
      <c r="CS4" s="403"/>
      <c r="CT4" s="403"/>
      <c r="CU4" s="403"/>
      <c r="CV4" s="403"/>
      <c r="CW4" s="403"/>
      <c r="CX4" s="403"/>
      <c r="CY4" s="403"/>
      <c r="CZ4" s="403">
        <v>1</v>
      </c>
      <c r="DA4" s="403"/>
      <c r="DB4" s="403"/>
      <c r="DC4" s="403"/>
      <c r="DD4" s="403"/>
      <c r="DE4" s="403"/>
      <c r="DF4" s="403"/>
      <c r="DG4" s="403"/>
      <c r="DH4" s="403"/>
      <c r="DI4" s="403"/>
      <c r="DJ4" s="403"/>
      <c r="DK4" s="403"/>
      <c r="DL4" s="403"/>
      <c r="DM4" s="403"/>
      <c r="DN4" s="403"/>
      <c r="DO4" s="403"/>
      <c r="DP4" s="403"/>
      <c r="DQ4" s="403"/>
      <c r="DR4" s="403"/>
      <c r="DS4" s="403"/>
      <c r="DT4" s="403"/>
      <c r="DU4" s="403"/>
      <c r="DV4" s="403"/>
      <c r="DW4" s="403"/>
      <c r="DX4" s="403"/>
      <c r="DY4" s="403"/>
      <c r="DZ4" s="403"/>
      <c r="EA4" s="403"/>
      <c r="EB4" s="403"/>
      <c r="EC4" s="403"/>
      <c r="ED4" s="403"/>
      <c r="EE4" s="403"/>
      <c r="EF4" s="403"/>
      <c r="EG4" s="403"/>
      <c r="EH4" s="403"/>
      <c r="EI4" s="403"/>
      <c r="EJ4" s="403"/>
      <c r="EK4" s="403"/>
      <c r="EL4" s="403"/>
      <c r="EM4" s="403"/>
      <c r="EN4" s="403"/>
      <c r="EO4" s="403"/>
      <c r="EP4" s="403"/>
      <c r="EQ4" s="403"/>
      <c r="ER4" s="403"/>
      <c r="ES4" s="403"/>
      <c r="ET4" s="403"/>
      <c r="EU4" s="403"/>
      <c r="EV4" s="403"/>
      <c r="EW4" s="403"/>
      <c r="EX4" s="403"/>
      <c r="EY4" s="403"/>
      <c r="EZ4" s="403"/>
      <c r="FA4" s="403"/>
      <c r="FB4" s="403"/>
      <c r="FC4" s="403"/>
      <c r="FD4" s="403"/>
      <c r="FE4" s="403"/>
      <c r="FF4" s="403"/>
      <c r="FG4" s="403"/>
      <c r="FH4" s="403"/>
      <c r="FI4" s="403"/>
      <c r="FJ4" s="403"/>
      <c r="FK4" s="403"/>
      <c r="FL4" s="403"/>
      <c r="FM4" s="403"/>
      <c r="FN4" s="403"/>
      <c r="FO4" s="403"/>
      <c r="FP4" s="403"/>
      <c r="FQ4" s="403"/>
      <c r="FR4" s="403"/>
      <c r="FS4" s="403"/>
      <c r="FT4" s="403"/>
      <c r="FU4" s="403"/>
      <c r="FV4" s="403"/>
      <c r="FW4" s="403"/>
      <c r="FX4" s="403"/>
      <c r="FY4" s="403"/>
      <c r="FZ4" s="403"/>
      <c r="GA4" s="403"/>
      <c r="GB4" s="403"/>
      <c r="GC4" s="403"/>
      <c r="GD4" s="403"/>
      <c r="GE4" s="403"/>
      <c r="GF4" s="403"/>
      <c r="GG4" s="403"/>
      <c r="GH4" s="403"/>
      <c r="GI4" s="403"/>
      <c r="GJ4" s="403"/>
      <c r="GK4" s="403"/>
      <c r="GL4" s="403"/>
      <c r="GM4" s="403"/>
      <c r="GN4" s="403"/>
      <c r="GO4" s="403"/>
      <c r="GP4" s="403"/>
      <c r="GQ4" s="403"/>
      <c r="GR4" s="403"/>
      <c r="GS4" s="403"/>
      <c r="GT4" s="403"/>
      <c r="GU4" s="403"/>
      <c r="GV4" s="403"/>
      <c r="GW4" s="403"/>
      <c r="GX4" s="403"/>
      <c r="GY4" s="403"/>
      <c r="GZ4" s="403"/>
      <c r="HA4" s="403"/>
      <c r="HB4" s="403"/>
      <c r="HC4" s="403"/>
      <c r="HD4" s="403"/>
      <c r="HE4" s="403"/>
      <c r="HF4" s="403"/>
      <c r="HG4" s="403"/>
      <c r="HH4" s="403"/>
      <c r="HI4" s="403"/>
      <c r="HJ4" s="403"/>
      <c r="HK4" s="403"/>
      <c r="HL4" s="403"/>
      <c r="HM4" s="403"/>
      <c r="HN4" s="403"/>
      <c r="HO4" s="403"/>
      <c r="HP4" s="403"/>
      <c r="HQ4" s="403"/>
      <c r="HR4" s="403"/>
      <c r="HS4" s="403"/>
      <c r="HT4" s="403"/>
      <c r="HU4" s="403"/>
      <c r="HV4" s="403"/>
      <c r="HW4" s="403"/>
      <c r="HX4" s="403"/>
    </row>
    <row r="5" spans="1:232" s="391" customFormat="1" ht="11.55" customHeight="1">
      <c r="A5" s="405" t="s">
        <v>1357</v>
      </c>
      <c r="B5" s="406"/>
      <c r="C5" s="403"/>
      <c r="D5" s="406"/>
      <c r="E5" s="406"/>
      <c r="F5" s="406">
        <v>2</v>
      </c>
      <c r="G5" s="406">
        <v>2</v>
      </c>
      <c r="H5" s="406">
        <v>1</v>
      </c>
      <c r="I5" s="406"/>
      <c r="J5" s="406"/>
      <c r="K5" s="406">
        <v>1</v>
      </c>
      <c r="L5" s="406">
        <v>2</v>
      </c>
      <c r="M5" s="406"/>
      <c r="N5" s="406"/>
      <c r="O5" s="406">
        <v>1</v>
      </c>
      <c r="P5" s="406">
        <v>2</v>
      </c>
      <c r="Q5" s="406">
        <v>1</v>
      </c>
      <c r="R5" s="406"/>
      <c r="S5" s="406">
        <v>2</v>
      </c>
      <c r="T5" s="406"/>
      <c r="U5" s="406">
        <v>1</v>
      </c>
      <c r="V5" s="406">
        <v>1</v>
      </c>
      <c r="W5" s="406"/>
      <c r="X5" s="406"/>
      <c r="Y5" s="406">
        <v>1</v>
      </c>
      <c r="Z5" s="406"/>
      <c r="AA5" s="406">
        <v>1</v>
      </c>
      <c r="AB5" s="406"/>
      <c r="AC5" s="406"/>
      <c r="AD5" s="406"/>
      <c r="AE5" s="406"/>
      <c r="AF5" s="406">
        <v>2</v>
      </c>
      <c r="AG5" s="406"/>
      <c r="AH5" s="406">
        <v>2</v>
      </c>
      <c r="AI5" s="406">
        <v>1</v>
      </c>
      <c r="AJ5" s="406">
        <v>2</v>
      </c>
      <c r="AK5" s="406">
        <v>1</v>
      </c>
      <c r="AL5" s="406"/>
      <c r="AM5" s="406">
        <v>1</v>
      </c>
      <c r="AN5" s="406">
        <v>1</v>
      </c>
      <c r="AO5" s="406">
        <v>2</v>
      </c>
      <c r="AP5" s="406">
        <v>2</v>
      </c>
      <c r="AQ5" s="406"/>
      <c r="AR5" s="406">
        <v>2</v>
      </c>
      <c r="AS5" s="406"/>
      <c r="AT5" s="406"/>
      <c r="AU5" s="406">
        <v>1</v>
      </c>
      <c r="AV5" s="406">
        <v>2</v>
      </c>
      <c r="AW5" s="406">
        <v>1</v>
      </c>
      <c r="AX5" s="406"/>
      <c r="AY5" s="406">
        <v>2</v>
      </c>
      <c r="AZ5" s="406"/>
      <c r="BA5" s="406"/>
      <c r="BB5" s="406">
        <v>2</v>
      </c>
      <c r="BC5" s="406"/>
      <c r="BD5" s="406">
        <v>1</v>
      </c>
      <c r="BE5" s="406"/>
      <c r="BF5" s="406"/>
      <c r="BG5" s="406">
        <v>2</v>
      </c>
      <c r="BH5" s="406"/>
      <c r="BI5" s="406">
        <v>2</v>
      </c>
      <c r="BJ5" s="406">
        <v>2</v>
      </c>
      <c r="BK5" s="406">
        <v>2</v>
      </c>
      <c r="BL5" s="406">
        <v>2</v>
      </c>
      <c r="BM5" s="406"/>
      <c r="BN5" s="406">
        <v>1</v>
      </c>
      <c r="BO5" s="406">
        <v>1</v>
      </c>
      <c r="BP5" s="406">
        <v>1</v>
      </c>
      <c r="BQ5" s="406"/>
      <c r="BR5" s="406"/>
      <c r="BS5" s="406"/>
      <c r="BT5" s="406"/>
      <c r="BU5" s="406"/>
      <c r="BV5" s="406">
        <v>2</v>
      </c>
      <c r="BW5" s="406"/>
      <c r="BX5" s="406"/>
      <c r="BY5" s="406">
        <v>2</v>
      </c>
      <c r="BZ5" s="406">
        <v>1</v>
      </c>
      <c r="CA5" s="406"/>
      <c r="CB5" s="406"/>
      <c r="CC5" s="406">
        <v>1</v>
      </c>
      <c r="CD5" s="406">
        <v>1</v>
      </c>
      <c r="CE5" s="406">
        <v>1</v>
      </c>
      <c r="CF5" s="406"/>
      <c r="CG5" s="406"/>
      <c r="CH5" s="406">
        <v>1</v>
      </c>
      <c r="CI5" s="406">
        <v>1</v>
      </c>
      <c r="CJ5" s="406">
        <v>1</v>
      </c>
      <c r="CK5" s="406"/>
      <c r="CL5" s="406"/>
      <c r="CM5" s="406">
        <v>1</v>
      </c>
      <c r="CN5" s="406"/>
      <c r="CO5" s="406">
        <v>1</v>
      </c>
      <c r="CP5" s="406"/>
      <c r="CQ5" s="406"/>
      <c r="CR5" s="406">
        <v>2</v>
      </c>
      <c r="CS5" s="406"/>
      <c r="CT5" s="406"/>
      <c r="CU5" s="406">
        <v>1</v>
      </c>
      <c r="CV5" s="406"/>
      <c r="CW5" s="406">
        <v>1</v>
      </c>
      <c r="CX5" s="406">
        <v>2</v>
      </c>
      <c r="CY5" s="406">
        <v>1</v>
      </c>
      <c r="CZ5" s="406">
        <v>2</v>
      </c>
      <c r="DA5" s="406">
        <v>2</v>
      </c>
      <c r="DB5" s="406"/>
      <c r="DC5" s="406">
        <v>1</v>
      </c>
      <c r="DD5" s="406"/>
      <c r="DE5" s="406"/>
      <c r="DF5" s="406"/>
      <c r="DG5" s="406">
        <v>1</v>
      </c>
      <c r="DH5" s="406">
        <v>2</v>
      </c>
      <c r="DI5" s="406">
        <v>2</v>
      </c>
      <c r="DJ5" s="406">
        <v>1</v>
      </c>
      <c r="DK5" s="406">
        <v>2</v>
      </c>
      <c r="DL5" s="406">
        <v>2</v>
      </c>
      <c r="DM5" s="406"/>
      <c r="DN5" s="406"/>
      <c r="DO5" s="406">
        <v>1</v>
      </c>
      <c r="DP5" s="406">
        <v>1</v>
      </c>
      <c r="DQ5" s="406">
        <v>1</v>
      </c>
      <c r="DR5" s="406">
        <v>1</v>
      </c>
      <c r="DS5" s="406">
        <v>3</v>
      </c>
      <c r="DT5" s="406">
        <v>2</v>
      </c>
      <c r="DU5" s="406">
        <v>1</v>
      </c>
      <c r="DV5" s="406">
        <v>1</v>
      </c>
      <c r="DW5" s="406">
        <v>1</v>
      </c>
      <c r="DX5" s="406">
        <v>1</v>
      </c>
      <c r="DY5" s="406">
        <v>2</v>
      </c>
      <c r="DZ5" s="406">
        <v>2</v>
      </c>
      <c r="EA5" s="406">
        <v>2</v>
      </c>
      <c r="EB5" s="406">
        <v>2</v>
      </c>
      <c r="EC5" s="406">
        <v>1</v>
      </c>
      <c r="ED5" s="406"/>
      <c r="EE5" s="406">
        <v>2</v>
      </c>
      <c r="EF5" s="406"/>
      <c r="EG5" s="406"/>
      <c r="EH5" s="406"/>
      <c r="EI5" s="406">
        <v>1</v>
      </c>
      <c r="EJ5" s="406">
        <v>1</v>
      </c>
      <c r="EK5" s="406">
        <v>1</v>
      </c>
      <c r="EL5" s="406"/>
      <c r="EM5" s="406">
        <v>2</v>
      </c>
      <c r="EN5" s="406"/>
      <c r="EO5" s="406">
        <v>1</v>
      </c>
      <c r="EP5" s="406"/>
      <c r="EQ5" s="406"/>
      <c r="ER5" s="406">
        <v>2</v>
      </c>
      <c r="ES5" s="406">
        <v>2</v>
      </c>
      <c r="ET5" s="406">
        <v>2</v>
      </c>
      <c r="EU5" s="406">
        <v>2</v>
      </c>
      <c r="EV5" s="406">
        <v>2</v>
      </c>
      <c r="EW5" s="406"/>
      <c r="EX5" s="406">
        <v>2</v>
      </c>
      <c r="EY5" s="406">
        <v>2</v>
      </c>
      <c r="EZ5" s="406"/>
      <c r="FA5" s="406">
        <v>2</v>
      </c>
      <c r="FB5" s="406">
        <v>1</v>
      </c>
      <c r="FC5" s="406"/>
      <c r="FD5" s="406"/>
      <c r="FE5" s="406">
        <v>1</v>
      </c>
      <c r="FF5" s="406">
        <v>1</v>
      </c>
      <c r="FG5" s="406">
        <v>1</v>
      </c>
      <c r="FH5" s="406"/>
      <c r="FI5" s="406"/>
      <c r="FJ5" s="406"/>
      <c r="FK5" s="406"/>
      <c r="FL5" s="406"/>
      <c r="FM5" s="406">
        <v>2</v>
      </c>
      <c r="FN5" s="406"/>
      <c r="FO5" s="406"/>
      <c r="FP5" s="406"/>
      <c r="FQ5" s="406">
        <v>2</v>
      </c>
      <c r="FR5" s="406">
        <v>1</v>
      </c>
      <c r="FS5" s="406"/>
      <c r="FT5" s="406"/>
      <c r="FU5" s="406"/>
      <c r="FV5" s="406">
        <v>1</v>
      </c>
      <c r="FW5" s="406"/>
      <c r="FX5" s="406"/>
      <c r="FY5" s="406">
        <v>2</v>
      </c>
      <c r="FZ5" s="406"/>
      <c r="GA5" s="406"/>
      <c r="GB5" s="406">
        <v>1</v>
      </c>
      <c r="GC5" s="406"/>
      <c r="GD5" s="406"/>
      <c r="GE5" s="406"/>
      <c r="GF5" s="406">
        <v>1</v>
      </c>
      <c r="GG5" s="406">
        <v>2</v>
      </c>
      <c r="GH5" s="406">
        <v>2</v>
      </c>
      <c r="GI5" s="406">
        <v>2</v>
      </c>
      <c r="GJ5" s="406"/>
      <c r="GK5" s="406"/>
      <c r="GL5" s="406"/>
      <c r="GM5" s="406"/>
      <c r="GN5" s="406">
        <v>2</v>
      </c>
      <c r="GO5" s="406">
        <v>2</v>
      </c>
      <c r="GP5" s="406">
        <v>1</v>
      </c>
      <c r="GQ5" s="406">
        <v>2</v>
      </c>
      <c r="GR5" s="406"/>
      <c r="GS5" s="406"/>
      <c r="GT5" s="406">
        <v>1</v>
      </c>
      <c r="GU5" s="406"/>
      <c r="GV5" s="406"/>
      <c r="GW5" s="406">
        <v>1</v>
      </c>
      <c r="GX5" s="406">
        <v>1</v>
      </c>
      <c r="GY5" s="406">
        <v>1</v>
      </c>
      <c r="GZ5" s="406">
        <v>1</v>
      </c>
      <c r="HA5" s="406"/>
      <c r="HB5" s="406"/>
      <c r="HC5" s="406">
        <v>1</v>
      </c>
      <c r="HD5" s="406">
        <v>1</v>
      </c>
      <c r="HE5" s="406">
        <v>1</v>
      </c>
      <c r="HF5" s="406"/>
      <c r="HG5" s="406">
        <v>1</v>
      </c>
      <c r="HH5" s="406">
        <v>1</v>
      </c>
      <c r="HI5" s="406"/>
      <c r="HJ5" s="406">
        <v>2</v>
      </c>
      <c r="HK5" s="406">
        <v>1</v>
      </c>
      <c r="HL5" s="406"/>
      <c r="HM5" s="406">
        <v>2</v>
      </c>
      <c r="HN5" s="406">
        <v>2</v>
      </c>
      <c r="HO5" s="406"/>
      <c r="HP5" s="406">
        <v>2</v>
      </c>
      <c r="HQ5" s="406"/>
      <c r="HR5" s="406">
        <v>1</v>
      </c>
      <c r="HS5" s="406">
        <v>1</v>
      </c>
      <c r="HT5" s="406">
        <v>1</v>
      </c>
      <c r="HU5" s="406"/>
      <c r="HV5" s="406">
        <v>1</v>
      </c>
      <c r="HW5" s="406"/>
      <c r="HX5" s="406">
        <v>1</v>
      </c>
    </row>
    <row r="6" spans="1:232" s="390" customFormat="1" ht="11.55" customHeight="1">
      <c r="A6" s="390" t="s">
        <v>1358</v>
      </c>
      <c r="AI6" s="390">
        <v>1</v>
      </c>
      <c r="DB6" s="390">
        <v>1</v>
      </c>
      <c r="DE6" s="390">
        <v>1</v>
      </c>
      <c r="GC6" s="390">
        <v>1</v>
      </c>
      <c r="GD6" s="390">
        <v>1</v>
      </c>
      <c r="GU6" s="390">
        <v>1</v>
      </c>
      <c r="HO6" s="390">
        <v>1</v>
      </c>
      <c r="HU6" s="390">
        <v>1</v>
      </c>
    </row>
    <row r="7" spans="1:232" ht="11.55" customHeight="1">
      <c r="A7" s="390" t="s">
        <v>68</v>
      </c>
      <c r="B7" s="407"/>
      <c r="C7" s="407" t="n">
        <f>职业列表!J11</f>
        <v>0</v>
      </c>
      <c r="D7" s="407">
        <v>2</v>
      </c>
      <c r="E7" s="407">
        <v>2</v>
      </c>
      <c r="F7" s="407">
        <v>1</v>
      </c>
      <c r="G7" s="407">
        <v>2</v>
      </c>
      <c r="H7" s="407"/>
      <c r="I7" s="407"/>
      <c r="J7" s="407">
        <v>1</v>
      </c>
      <c r="K7" s="407">
        <v>1</v>
      </c>
      <c r="L7" s="407"/>
      <c r="M7" s="407"/>
      <c r="N7" s="407"/>
      <c r="O7" s="407">
        <v>2</v>
      </c>
      <c r="P7" s="407"/>
      <c r="Q7" s="407">
        <v>1</v>
      </c>
      <c r="R7" s="407">
        <v>1</v>
      </c>
      <c r="S7" s="407">
        <v>1</v>
      </c>
      <c r="T7" s="407"/>
      <c r="U7" s="407"/>
      <c r="V7" s="407"/>
      <c r="W7" s="407">
        <v>2</v>
      </c>
      <c r="X7" s="407">
        <v>1</v>
      </c>
      <c r="Y7" s="407">
        <v>1</v>
      </c>
      <c r="Z7" s="407">
        <v>2</v>
      </c>
      <c r="AA7" s="407">
        <v>2</v>
      </c>
      <c r="AB7" s="407"/>
      <c r="AC7" s="407">
        <v>2</v>
      </c>
      <c r="AD7" s="407"/>
      <c r="AE7" s="407">
        <v>1</v>
      </c>
      <c r="AF7" s="407"/>
      <c r="AG7" s="407"/>
      <c r="AH7" s="407"/>
      <c r="AI7" s="407"/>
      <c r="AJ7" s="407">
        <v>1</v>
      </c>
      <c r="AK7" s="407">
        <v>1</v>
      </c>
      <c r="AL7" s="407">
        <v>1</v>
      </c>
      <c r="AM7" s="407"/>
      <c r="AN7" s="407"/>
      <c r="AO7" s="407">
        <v>2</v>
      </c>
      <c r="AP7" s="407"/>
      <c r="AQ7" s="407">
        <v>1</v>
      </c>
      <c r="AR7" s="407">
        <v>3</v>
      </c>
      <c r="AS7" s="407">
        <v>1</v>
      </c>
      <c r="AT7" s="407">
        <v>2</v>
      </c>
      <c r="AU7" s="407">
        <v>2</v>
      </c>
      <c r="AV7" s="407">
        <v>1</v>
      </c>
      <c r="AW7" s="407">
        <v>1</v>
      </c>
      <c r="AX7" s="407">
        <v>1</v>
      </c>
      <c r="AY7" s="407">
        <v>1</v>
      </c>
      <c r="AZ7" s="407"/>
      <c r="BA7" s="407">
        <v>1</v>
      </c>
      <c r="BB7" s="407">
        <v>2</v>
      </c>
      <c r="BC7" s="407"/>
      <c r="BD7" s="407">
        <v>1</v>
      </c>
      <c r="BE7" s="407">
        <v>1</v>
      </c>
      <c r="BF7" s="407"/>
      <c r="BG7" s="407">
        <v>1</v>
      </c>
      <c r="BH7" s="407"/>
      <c r="BI7" s="407"/>
      <c r="BJ7" s="407"/>
      <c r="BK7" s="407">
        <v>2</v>
      </c>
      <c r="BL7" s="407"/>
      <c r="BM7" s="407">
        <v>1</v>
      </c>
      <c r="BN7" s="407"/>
      <c r="BO7" s="407">
        <v>2</v>
      </c>
      <c r="BP7" s="407"/>
      <c r="BQ7" s="407"/>
      <c r="BR7" s="407">
        <v>1</v>
      </c>
      <c r="BS7" s="407">
        <v>1</v>
      </c>
      <c r="BT7" s="407"/>
      <c r="BU7" s="407">
        <v>1</v>
      </c>
      <c r="BV7" s="407">
        <v>2</v>
      </c>
      <c r="BW7" s="407">
        <v>4</v>
      </c>
      <c r="BX7" s="407">
        <v>2</v>
      </c>
      <c r="BY7" s="407">
        <v>1</v>
      </c>
      <c r="BZ7" s="407">
        <v>2</v>
      </c>
      <c r="CA7" s="407"/>
      <c r="CB7" s="407"/>
      <c r="CC7" s="407">
        <v>4</v>
      </c>
      <c r="CD7" s="407"/>
      <c r="CE7" s="407">
        <v>1</v>
      </c>
      <c r="CF7" s="407"/>
      <c r="CG7" s="407">
        <v>1</v>
      </c>
      <c r="CH7" s="407"/>
      <c r="CI7" s="407">
        <v>2</v>
      </c>
      <c r="CJ7" s="407">
        <v>2</v>
      </c>
      <c r="CK7" s="407">
        <v>2</v>
      </c>
      <c r="CL7" s="407">
        <v>1</v>
      </c>
      <c r="CM7" s="407">
        <v>1</v>
      </c>
      <c r="CN7" s="407"/>
      <c r="CO7" s="407">
        <v>1</v>
      </c>
      <c r="CP7" s="407">
        <v>4</v>
      </c>
      <c r="CQ7" s="407">
        <v>1</v>
      </c>
      <c r="CR7" s="407">
        <v>1</v>
      </c>
      <c r="CS7" s="407"/>
      <c r="CT7" s="407">
        <v>2</v>
      </c>
      <c r="CU7" s="407">
        <v>3</v>
      </c>
      <c r="CV7" s="407"/>
      <c r="CW7" s="407"/>
      <c r="CX7" s="407">
        <v>1</v>
      </c>
      <c r="CY7" s="407"/>
      <c r="CZ7" s="407">
        <v>1</v>
      </c>
      <c r="DA7" s="407"/>
      <c r="DB7" s="407"/>
      <c r="DC7" s="407"/>
      <c r="DD7" s="407">
        <v>5</v>
      </c>
      <c r="DE7" s="407"/>
      <c r="DF7" s="407"/>
      <c r="DG7" s="407"/>
      <c r="DH7" s="407"/>
      <c r="DI7" s="407">
        <v>1</v>
      </c>
      <c r="DJ7" s="407">
        <v>2</v>
      </c>
      <c r="DK7" s="407">
        <v>2</v>
      </c>
      <c r="DL7" s="407">
        <v>3</v>
      </c>
      <c r="DM7" s="407"/>
      <c r="DN7" s="407"/>
      <c r="DO7" s="407">
        <v>1</v>
      </c>
      <c r="DP7" s="407">
        <v>1</v>
      </c>
      <c r="DQ7" s="407">
        <v>1</v>
      </c>
      <c r="DR7" s="407">
        <v>1</v>
      </c>
      <c r="DS7" s="407">
        <v>1</v>
      </c>
      <c r="DT7" s="407">
        <v>2</v>
      </c>
      <c r="DU7" s="407">
        <v>1</v>
      </c>
      <c r="DV7" s="407">
        <v>1</v>
      </c>
      <c r="DW7" s="407">
        <v>1</v>
      </c>
      <c r="DX7" s="407"/>
      <c r="DY7" s="407">
        <v>2</v>
      </c>
      <c r="DZ7" s="407"/>
      <c r="EA7" s="407">
        <v>1</v>
      </c>
      <c r="EB7" s="407">
        <v>2</v>
      </c>
      <c r="EC7" s="407">
        <v>1</v>
      </c>
      <c r="ED7" s="407">
        <v>2</v>
      </c>
      <c r="EE7" s="407">
        <v>2</v>
      </c>
      <c r="EF7" s="407">
        <v>2</v>
      </c>
      <c r="EG7" s="407">
        <v>2</v>
      </c>
      <c r="EH7" s="407">
        <v>2</v>
      </c>
      <c r="EI7" s="407">
        <v>1</v>
      </c>
      <c r="EJ7" s="407">
        <v>2</v>
      </c>
      <c r="EK7" s="407">
        <v>2</v>
      </c>
      <c r="EL7" s="407">
        <v>1</v>
      </c>
      <c r="EM7" s="407">
        <v>1</v>
      </c>
      <c r="EN7" s="407">
        <v>1</v>
      </c>
      <c r="EO7" s="407">
        <v>3</v>
      </c>
      <c r="EP7" s="407">
        <v>2</v>
      </c>
      <c r="EQ7" s="407">
        <v>2</v>
      </c>
      <c r="ER7" s="407">
        <v>1</v>
      </c>
      <c r="ES7" s="407">
        <v>1</v>
      </c>
      <c r="ET7" s="407">
        <v>4</v>
      </c>
      <c r="EU7" s="407">
        <v>2</v>
      </c>
      <c r="EV7" s="407">
        <v>2</v>
      </c>
      <c r="EW7" s="407">
        <v>1</v>
      </c>
      <c r="EX7" s="407">
        <v>2</v>
      </c>
      <c r="EY7" s="407">
        <v>2</v>
      </c>
      <c r="EZ7" s="407"/>
      <c r="FA7" s="407">
        <v>1</v>
      </c>
      <c r="FB7" s="407"/>
      <c r="FC7" s="407"/>
      <c r="FD7" s="407">
        <v>3</v>
      </c>
      <c r="FE7" s="407">
        <v>1</v>
      </c>
      <c r="FF7" s="407">
        <v>1</v>
      </c>
      <c r="FG7" s="407">
        <v>1</v>
      </c>
      <c r="FH7" s="407">
        <v>2</v>
      </c>
      <c r="FI7" s="407">
        <v>0</v>
      </c>
      <c r="FJ7" s="407">
        <v>1</v>
      </c>
      <c r="FK7" s="407">
        <v>1</v>
      </c>
      <c r="FL7" s="407"/>
      <c r="FM7" s="407">
        <v>2</v>
      </c>
      <c r="FN7" s="407">
        <v>1</v>
      </c>
      <c r="FO7" s="407">
        <v>2</v>
      </c>
      <c r="FP7" s="407"/>
      <c r="FQ7" s="407">
        <v>1</v>
      </c>
      <c r="FR7" s="407"/>
      <c r="FS7" s="407">
        <v>2</v>
      </c>
      <c r="FT7" s="407">
        <v>1</v>
      </c>
      <c r="FU7" s="407"/>
      <c r="FV7" s="407">
        <v>1</v>
      </c>
      <c r="FW7" s="407">
        <v>1</v>
      </c>
      <c r="FX7" s="407"/>
      <c r="FY7" s="407">
        <v>2</v>
      </c>
      <c r="FZ7" s="407">
        <v>1</v>
      </c>
      <c r="GA7" s="407"/>
      <c r="GB7" s="407"/>
      <c r="GC7" s="407"/>
      <c r="GD7" s="407"/>
      <c r="GE7" s="407"/>
      <c r="GF7" s="407"/>
      <c r="GG7" s="407">
        <v>2</v>
      </c>
      <c r="GH7" s="407">
        <v>2</v>
      </c>
      <c r="GI7" s="407">
        <v>2</v>
      </c>
      <c r="GJ7" s="407">
        <v>2</v>
      </c>
      <c r="GK7" s="407">
        <v>2</v>
      </c>
      <c r="GL7" s="407">
        <v>2</v>
      </c>
      <c r="GM7" s="407">
        <v>2</v>
      </c>
      <c r="GN7" s="407"/>
      <c r="GO7" s="407">
        <v>2</v>
      </c>
      <c r="GP7" s="407"/>
      <c r="GQ7" s="407">
        <v>1</v>
      </c>
      <c r="GR7" s="407">
        <v>2</v>
      </c>
      <c r="GS7" s="407">
        <v>1</v>
      </c>
      <c r="GT7" s="407">
        <v>2</v>
      </c>
      <c r="GU7" s="407"/>
      <c r="GV7" s="407">
        <v>3</v>
      </c>
      <c r="GW7" s="407"/>
      <c r="GX7" s="407">
        <v>2</v>
      </c>
      <c r="GY7" s="407">
        <v>1</v>
      </c>
      <c r="GZ7" s="407">
        <v>2</v>
      </c>
      <c r="HA7" s="407">
        <v>3</v>
      </c>
      <c r="HB7" s="407">
        <v>2</v>
      </c>
      <c r="HC7" s="407">
        <v>2</v>
      </c>
      <c r="HD7" s="407">
        <v>1</v>
      </c>
      <c r="HE7" s="407">
        <v>2</v>
      </c>
      <c r="HF7" s="407">
        <v>2</v>
      </c>
      <c r="HG7" s="407">
        <v>1</v>
      </c>
      <c r="HH7" s="407">
        <v>1</v>
      </c>
      <c r="HI7" s="407">
        <v>6</v>
      </c>
      <c r="HJ7" s="407">
        <v>3</v>
      </c>
      <c r="HK7" s="407"/>
      <c r="HL7" s="407"/>
      <c r="HM7" s="407">
        <v>1</v>
      </c>
      <c r="HN7" s="407"/>
      <c r="HO7" s="407">
        <v>1</v>
      </c>
      <c r="HP7" s="407">
        <v>2</v>
      </c>
      <c r="HQ7" s="407">
        <v>2</v>
      </c>
      <c r="HR7" s="407"/>
      <c r="HS7" s="407">
        <v>6</v>
      </c>
      <c r="HT7" s="407">
        <v>6</v>
      </c>
      <c r="HU7" s="407">
        <v>1</v>
      </c>
      <c r="HV7" s="407">
        <v>1</v>
      </c>
      <c r="HW7" s="407">
        <v>2</v>
      </c>
      <c r="HX7" s="407"/>
    </row>
    <row r="8" spans="1:232" ht="11.55" customHeight="1">
      <c r="A8" s="408" t="s">
        <v>60</v>
      </c>
      <c r="B8" s="409"/>
      <c r="C8" s="410" t="str">
        <f>IF(ISTEXT(IFERROR(VLOOKUP(本职技能!A8,职业列表!I3:J10,1,FALSE),0)),"★","")</f>
        <v/>
      </c>
      <c r="D8" s="409" t="s">
        <v>93</v>
      </c>
      <c r="E8" s="409"/>
      <c r="F8" s="409"/>
      <c r="G8" s="409"/>
      <c r="H8" s="409"/>
      <c r="I8" s="409"/>
      <c r="J8" s="409"/>
      <c r="K8" s="409"/>
      <c r="L8" s="409" t="s">
        <v>93</v>
      </c>
      <c r="M8" s="409"/>
      <c r="N8" s="409" t="s">
        <v>93</v>
      </c>
      <c r="O8" s="409"/>
      <c r="P8" s="409"/>
      <c r="Q8" s="409"/>
      <c r="R8" s="409"/>
      <c r="S8" s="409" t="s">
        <v>93</v>
      </c>
      <c r="T8" s="409"/>
      <c r="U8" s="409" t="s">
        <v>93</v>
      </c>
      <c r="V8" s="409"/>
      <c r="W8" s="409"/>
      <c r="X8" s="409" t="s">
        <v>1355</v>
      </c>
      <c r="Y8" s="409" t="s">
        <v>93</v>
      </c>
      <c r="Z8" s="409"/>
      <c r="AA8" s="409"/>
      <c r="AB8" s="409"/>
      <c r="AC8" s="409" t="s">
        <v>93</v>
      </c>
      <c r="AD8" s="409"/>
      <c r="AE8" s="409"/>
      <c r="AF8" s="409"/>
      <c r="AG8" s="409"/>
      <c r="AH8" s="409"/>
      <c r="AI8" s="409"/>
      <c r="AJ8" s="409"/>
      <c r="AK8" s="409" t="s">
        <v>93</v>
      </c>
      <c r="AL8" s="409" t="s">
        <v>93</v>
      </c>
      <c r="AM8" s="409"/>
      <c r="AN8" s="409"/>
      <c r="AO8" s="409" t="s">
        <v>93</v>
      </c>
      <c r="AP8" s="409"/>
      <c r="AQ8" s="409" t="s">
        <v>93</v>
      </c>
      <c r="AR8" s="409"/>
      <c r="AS8" s="409"/>
      <c r="AT8" s="409"/>
      <c r="AU8" s="409"/>
      <c r="AV8" s="409"/>
      <c r="AW8" s="409" t="s">
        <v>93</v>
      </c>
      <c r="AX8" s="409" t="s">
        <v>93</v>
      </c>
      <c r="AY8" s="409" t="s">
        <v>93</v>
      </c>
      <c r="AZ8" s="409"/>
      <c r="BA8" s="409"/>
      <c r="BB8" s="409"/>
      <c r="BC8" s="409"/>
      <c r="BD8" s="409"/>
      <c r="BE8" s="409"/>
      <c r="BF8" s="409"/>
      <c r="BG8" s="409"/>
      <c r="BH8" s="409"/>
      <c r="BI8" s="409" t="s">
        <v>93</v>
      </c>
      <c r="BJ8" s="409"/>
      <c r="BK8" s="409"/>
      <c r="BL8" s="409"/>
      <c r="BM8" s="409"/>
      <c r="BN8" s="409"/>
      <c r="BO8" s="409"/>
      <c r="BP8" s="409"/>
      <c r="BQ8" s="409"/>
      <c r="BR8" s="409"/>
      <c r="BS8" s="409"/>
      <c r="BT8" s="409"/>
      <c r="BU8" s="409"/>
      <c r="BV8" s="409" t="s">
        <v>93</v>
      </c>
      <c r="BW8" s="409" t="s">
        <v>93</v>
      </c>
      <c r="BX8" s="409"/>
      <c r="BY8" s="409" t="s">
        <v>93</v>
      </c>
      <c r="BZ8" s="409"/>
      <c r="CA8" s="409"/>
      <c r="CB8" s="409" t="s">
        <v>93</v>
      </c>
      <c r="CC8" s="409"/>
      <c r="CD8" s="409"/>
      <c r="CE8" s="409"/>
      <c r="CF8" s="409"/>
      <c r="CG8" s="409"/>
      <c r="CH8" s="409" t="s">
        <v>93</v>
      </c>
      <c r="CI8" s="409"/>
      <c r="CJ8" s="409"/>
      <c r="CK8" s="409"/>
      <c r="CL8" s="409" t="s">
        <v>93</v>
      </c>
      <c r="CM8" s="409"/>
      <c r="CN8" s="409"/>
      <c r="CO8" s="409"/>
      <c r="CP8" s="409"/>
      <c r="CQ8" s="409"/>
      <c r="CR8" s="409"/>
      <c r="CS8" s="409"/>
      <c r="CT8" s="409" t="s">
        <v>93</v>
      </c>
      <c r="CU8" s="409"/>
      <c r="CV8" s="409"/>
      <c r="CW8" s="409"/>
      <c r="CX8" s="409" t="s">
        <v>93</v>
      </c>
      <c r="CY8" s="409"/>
      <c r="CZ8" s="409" t="s">
        <v>93</v>
      </c>
      <c r="DA8" s="409" t="s">
        <v>93</v>
      </c>
      <c r="DB8" s="409"/>
      <c r="DC8" s="409"/>
      <c r="DD8" s="409"/>
      <c r="DE8" s="409"/>
      <c r="DF8" s="409"/>
      <c r="DG8" s="409" t="s">
        <v>93</v>
      </c>
      <c r="DH8" s="409" t="s">
        <v>93</v>
      </c>
      <c r="DI8" s="409" t="s">
        <v>93</v>
      </c>
      <c r="DJ8" s="409" t="s">
        <v>93</v>
      </c>
      <c r="DK8" s="409" t="s">
        <v>93</v>
      </c>
      <c r="DL8" s="409"/>
      <c r="DM8" s="409" t="s">
        <v>93</v>
      </c>
      <c r="DN8" s="409"/>
      <c r="DO8" s="409"/>
      <c r="DP8" s="409"/>
      <c r="DQ8" s="409"/>
      <c r="DR8" s="409"/>
      <c r="DS8" s="409"/>
      <c r="DT8" s="409" t="s">
        <v>93</v>
      </c>
      <c r="DU8" s="409" t="s">
        <v>93</v>
      </c>
      <c r="DV8" s="409" t="s">
        <v>93</v>
      </c>
      <c r="DW8" s="409"/>
      <c r="DX8" s="409"/>
      <c r="DY8" s="409"/>
      <c r="DZ8" s="409"/>
      <c r="EA8" s="409" t="s">
        <v>93</v>
      </c>
      <c r="EB8" s="409" t="s">
        <v>93</v>
      </c>
      <c r="EC8" s="409"/>
      <c r="ED8" s="409" t="s">
        <v>93</v>
      </c>
      <c r="EE8" s="409" t="s">
        <v>93</v>
      </c>
      <c r="EF8" s="409"/>
      <c r="EG8" s="409"/>
      <c r="EH8" s="409"/>
      <c r="EI8" s="409" t="s">
        <v>93</v>
      </c>
      <c r="EJ8" s="409" t="s">
        <v>93</v>
      </c>
      <c r="EK8" s="409"/>
      <c r="EL8" s="409"/>
      <c r="EM8" s="409" t="s">
        <v>93</v>
      </c>
      <c r="EN8" s="409"/>
      <c r="EO8" s="409" t="s">
        <v>93</v>
      </c>
      <c r="EP8" s="409"/>
      <c r="EQ8" s="409"/>
      <c r="ER8" s="409" t="s">
        <v>93</v>
      </c>
      <c r="ES8" s="409" t="s">
        <v>93</v>
      </c>
      <c r="ET8" s="409" t="s">
        <v>93</v>
      </c>
      <c r="EU8" s="409"/>
      <c r="EV8" s="409" t="s">
        <v>93</v>
      </c>
      <c r="EW8" s="409" t="s">
        <v>93</v>
      </c>
      <c r="EX8" s="409"/>
      <c r="EY8" s="409" t="s">
        <v>93</v>
      </c>
      <c r="EZ8" s="409"/>
      <c r="FA8" s="409"/>
      <c r="FB8" s="409"/>
      <c r="FC8" s="409"/>
      <c r="FD8" s="409"/>
      <c r="FE8" s="409"/>
      <c r="FF8" s="409"/>
      <c r="FG8" s="409"/>
      <c r="FH8" s="409"/>
      <c r="FI8" s="409"/>
      <c r="FJ8" s="409"/>
      <c r="FK8" s="409"/>
      <c r="FL8" s="409"/>
      <c r="FM8" s="409"/>
      <c r="FN8" s="409"/>
      <c r="FO8" s="409"/>
      <c r="FP8" s="409"/>
      <c r="FQ8" s="409"/>
      <c r="FR8" s="409"/>
      <c r="FS8" s="409" t="s">
        <v>93</v>
      </c>
      <c r="FT8" s="409"/>
      <c r="FU8" s="409"/>
      <c r="FV8" s="409" t="s">
        <v>93</v>
      </c>
      <c r="FW8" s="409"/>
      <c r="FX8" s="409"/>
      <c r="FY8" s="409"/>
      <c r="FZ8" s="409" t="s">
        <v>93</v>
      </c>
      <c r="GA8" s="409"/>
      <c r="GB8" s="409"/>
      <c r="GC8" s="409"/>
      <c r="GD8" s="409"/>
      <c r="GE8" s="409"/>
      <c r="GF8" s="409"/>
      <c r="GG8" s="409"/>
      <c r="GH8" s="409"/>
      <c r="GI8" s="409"/>
      <c r="GJ8" s="409"/>
      <c r="GK8" s="409"/>
      <c r="GL8" s="409"/>
      <c r="GM8" s="409"/>
      <c r="GN8" s="409"/>
      <c r="GO8" s="409"/>
      <c r="GP8" s="409"/>
      <c r="GQ8" s="409"/>
      <c r="GR8" s="409"/>
      <c r="GS8" s="409"/>
      <c r="GT8" s="409"/>
      <c r="GU8" s="409"/>
      <c r="GV8" s="409"/>
      <c r="GW8" s="409"/>
      <c r="GX8" s="409"/>
      <c r="GY8" s="409"/>
      <c r="GZ8" s="410" t="s">
        <v>93</v>
      </c>
      <c r="HA8" s="409"/>
      <c r="HB8" s="409"/>
      <c r="HC8" s="409"/>
      <c r="HD8" s="409"/>
      <c r="HE8" s="409"/>
      <c r="HF8" s="409"/>
      <c r="HG8" s="410" t="s">
        <v>93</v>
      </c>
      <c r="HH8" s="409"/>
      <c r="HI8" s="409"/>
      <c r="HJ8" s="409"/>
      <c r="HK8" s="409"/>
      <c r="HL8" s="409"/>
      <c r="HM8" s="410" t="s">
        <v>93</v>
      </c>
      <c r="HN8" s="409"/>
      <c r="HO8" s="409"/>
      <c r="HP8" s="409" t="s">
        <v>93</v>
      </c>
      <c r="HQ8" s="409"/>
      <c r="HR8" s="409"/>
      <c r="HS8" s="409"/>
      <c r="HT8" s="409"/>
      <c r="HU8" s="409" t="s">
        <v>1358</v>
      </c>
      <c r="HV8" s="409" t="s">
        <v>93</v>
      </c>
      <c r="HW8" s="409"/>
      <c r="HX8" s="409"/>
    </row>
    <row r="9" spans="1:232" ht="11.55" customHeight="1">
      <c r="A9" s="408" t="s">
        <v>62</v>
      </c>
      <c r="B9" s="409"/>
      <c r="C9" s="409" t="str">
        <f>IF(ISTEXT(IFERROR(VLOOKUP(A9,职业列表!I3:J10,1,FALSE),0)),"★","")</f>
        <v/>
      </c>
      <c r="D9" s="409"/>
      <c r="E9" s="409"/>
      <c r="F9" s="409"/>
      <c r="G9" s="409"/>
      <c r="H9" s="409"/>
      <c r="I9" s="409"/>
      <c r="J9" s="409"/>
      <c r="K9" s="409"/>
      <c r="L9" s="409"/>
      <c r="M9" s="409"/>
      <c r="N9" s="409"/>
      <c r="O9" s="409"/>
      <c r="P9" s="409"/>
      <c r="Q9" s="409"/>
      <c r="R9" s="409"/>
      <c r="S9" s="409"/>
      <c r="T9" s="409"/>
      <c r="U9" s="409"/>
      <c r="V9" s="409"/>
      <c r="W9" s="409"/>
      <c r="X9" s="409"/>
      <c r="Y9" s="409"/>
      <c r="Z9" s="409"/>
      <c r="AA9" s="409"/>
      <c r="AB9" s="409"/>
      <c r="AC9" s="409"/>
      <c r="AD9" s="409"/>
      <c r="AE9" s="409"/>
      <c r="AF9" s="409"/>
      <c r="AG9" s="409"/>
      <c r="AH9" s="409"/>
      <c r="AI9" s="409"/>
      <c r="AJ9" s="409"/>
      <c r="AK9" s="409"/>
      <c r="AL9" s="409"/>
      <c r="AM9" s="409"/>
      <c r="AN9" s="409"/>
      <c r="AO9" s="409"/>
      <c r="AP9" s="409"/>
      <c r="AQ9" s="409"/>
      <c r="AR9" s="409"/>
      <c r="AS9" s="409"/>
      <c r="AT9" s="409"/>
      <c r="AU9" s="409"/>
      <c r="AV9" s="409"/>
      <c r="AW9" s="409"/>
      <c r="AX9" s="409"/>
      <c r="AY9" s="409"/>
      <c r="AZ9" s="409"/>
      <c r="BA9" s="409"/>
      <c r="BB9" s="409"/>
      <c r="BC9" s="409"/>
      <c r="BD9" s="409"/>
      <c r="BE9" s="409"/>
      <c r="BF9" s="409"/>
      <c r="BG9" s="409"/>
      <c r="BH9" s="409"/>
      <c r="BI9" s="409"/>
      <c r="BJ9" s="409"/>
      <c r="BK9" s="409"/>
      <c r="BL9" s="409"/>
      <c r="BM9" s="409"/>
      <c r="BN9" s="409"/>
      <c r="BO9" s="409"/>
      <c r="BP9" s="409"/>
      <c r="BQ9" s="409"/>
      <c r="BR9" s="409"/>
      <c r="BS9" s="409"/>
      <c r="BT9" s="409"/>
      <c r="BU9" s="409"/>
      <c r="BV9" s="409"/>
      <c r="BW9" s="409"/>
      <c r="BX9" s="409"/>
      <c r="BY9" s="409"/>
      <c r="BZ9" s="409"/>
      <c r="CA9" s="409"/>
      <c r="CB9" s="409"/>
      <c r="CC9" s="409"/>
      <c r="CD9" s="409"/>
      <c r="CE9" s="409" t="s">
        <v>93</v>
      </c>
      <c r="CF9" s="409"/>
      <c r="CG9" s="409" t="s">
        <v>93</v>
      </c>
      <c r="CH9" s="409"/>
      <c r="CI9" s="409"/>
      <c r="CJ9" s="409"/>
      <c r="CK9" s="409"/>
      <c r="CL9" s="409"/>
      <c r="CM9" s="409"/>
      <c r="CN9" s="409"/>
      <c r="CO9" s="409"/>
      <c r="CP9" s="409"/>
      <c r="CQ9" s="409"/>
      <c r="CR9" s="409"/>
      <c r="CS9" s="409"/>
      <c r="CT9" s="409"/>
      <c r="CU9" s="409"/>
      <c r="CV9" s="409"/>
      <c r="CW9" s="409"/>
      <c r="CX9" s="409"/>
      <c r="CY9" s="409"/>
      <c r="CZ9" s="409"/>
      <c r="DA9" s="409"/>
      <c r="DB9" s="409"/>
      <c r="DC9" s="409"/>
      <c r="DD9" s="409"/>
      <c r="DE9" s="409"/>
      <c r="DF9" s="409"/>
      <c r="DG9" s="409"/>
      <c r="DH9" s="409"/>
      <c r="DI9" s="409"/>
      <c r="DJ9" s="409"/>
      <c r="DK9" s="409"/>
      <c r="DL9" s="409"/>
      <c r="DM9" s="409"/>
      <c r="DN9" s="409"/>
      <c r="DO9" s="409"/>
      <c r="DP9" s="409"/>
      <c r="DQ9" s="409"/>
      <c r="DR9" s="409"/>
      <c r="DS9" s="409"/>
      <c r="DT9" s="409"/>
      <c r="DU9" s="409"/>
      <c r="DV9" s="409"/>
      <c r="DW9" s="409"/>
      <c r="DX9" s="409"/>
      <c r="DY9" s="409"/>
      <c r="DZ9" s="409"/>
      <c r="EA9" s="409"/>
      <c r="EB9" s="409"/>
      <c r="EC9" s="409"/>
      <c r="ED9" s="409"/>
      <c r="EE9" s="409"/>
      <c r="EF9" s="409"/>
      <c r="EG9" s="409"/>
      <c r="EH9" s="409"/>
      <c r="EI9" s="409"/>
      <c r="EJ9" s="409"/>
      <c r="EK9" s="409"/>
      <c r="EL9" s="409"/>
      <c r="EM9" s="409"/>
      <c r="EN9" s="409" t="s">
        <v>93</v>
      </c>
      <c r="EO9" s="409"/>
      <c r="EP9" s="409"/>
      <c r="EQ9" s="409"/>
      <c r="ER9" s="409"/>
      <c r="ES9" s="409"/>
      <c r="ET9" s="409"/>
      <c r="EU9" s="409"/>
      <c r="EV9" s="409"/>
      <c r="EW9" s="409"/>
      <c r="EX9" s="409"/>
      <c r="EY9" s="409"/>
      <c r="EZ9" s="409"/>
      <c r="FA9" s="409"/>
      <c r="FB9" s="409"/>
      <c r="FC9" s="409"/>
      <c r="FD9" s="409"/>
      <c r="FE9" s="409"/>
      <c r="FF9" s="409"/>
      <c r="FG9" s="409"/>
      <c r="FH9" s="409"/>
      <c r="FI9" s="409"/>
      <c r="FJ9" s="409"/>
      <c r="FK9" s="409"/>
      <c r="FL9" s="409"/>
      <c r="FM9" s="409"/>
      <c r="FN9" s="409"/>
      <c r="FO9" s="409"/>
      <c r="FP9" s="409"/>
      <c r="FQ9" s="409"/>
      <c r="FR9" s="409"/>
      <c r="FS9" s="409"/>
      <c r="FT9" s="409"/>
      <c r="FU9" s="409"/>
      <c r="FV9" s="409"/>
      <c r="FW9" s="409"/>
      <c r="FX9" s="409"/>
      <c r="FY9" s="409"/>
      <c r="FZ9" s="409"/>
      <c r="GA9" s="409"/>
      <c r="GB9" s="409"/>
      <c r="GC9" s="409"/>
      <c r="GD9" s="409"/>
      <c r="GE9" s="409"/>
      <c r="GF9" s="409"/>
      <c r="GG9" s="409"/>
      <c r="GH9" s="409"/>
      <c r="GI9" s="409"/>
      <c r="GJ9" s="409"/>
      <c r="GK9" s="409"/>
      <c r="GL9" s="409"/>
      <c r="GM9" s="409"/>
      <c r="GN9" s="409"/>
      <c r="GO9" s="409"/>
      <c r="GP9" s="409"/>
      <c r="GQ9" s="409"/>
      <c r="GR9" s="409"/>
      <c r="GS9" s="409"/>
      <c r="GT9" s="409"/>
      <c r="GU9" s="409"/>
      <c r="GV9" s="409"/>
      <c r="GW9" s="409"/>
      <c r="GX9" s="409"/>
      <c r="GY9" s="409"/>
      <c r="GZ9" s="409"/>
      <c r="HA9" s="409"/>
      <c r="HB9" s="409"/>
      <c r="HC9" s="409"/>
      <c r="HD9" s="409"/>
      <c r="HE9" s="409"/>
      <c r="HF9" s="410" t="s">
        <v>93</v>
      </c>
      <c r="HG9" s="409"/>
      <c r="HH9" s="409"/>
      <c r="HI9" s="409"/>
      <c r="HJ9" s="409"/>
      <c r="HK9" s="409"/>
      <c r="HL9" s="410" t="s">
        <v>93</v>
      </c>
      <c r="HM9" s="409"/>
      <c r="HN9" s="409"/>
      <c r="HO9" s="409"/>
      <c r="HP9" s="409"/>
      <c r="HQ9" s="409"/>
      <c r="HR9" s="409"/>
      <c r="HS9" s="409"/>
      <c r="HT9" s="409"/>
      <c r="HU9" s="409"/>
      <c r="HV9" s="409"/>
      <c r="HW9" s="409"/>
      <c r="HX9" s="409"/>
    </row>
    <row r="10" spans="1:232" ht="11.55" customHeight="1">
      <c r="A10" s="408" t="s">
        <v>66</v>
      </c>
      <c r="B10" s="409"/>
      <c r="C10" s="409" t="str">
        <f>IF(ISTEXT(IFERROR(VLOOKUP(A10,职业列表!I3:J10,1,FALSE),0)),"★","")</f>
        <v/>
      </c>
      <c r="D10" s="409"/>
      <c r="E10" s="409"/>
      <c r="F10" s="409"/>
      <c r="G10" s="409"/>
      <c r="H10" s="409"/>
      <c r="I10" s="409"/>
      <c r="J10" s="409"/>
      <c r="K10" s="409" t="s">
        <v>93</v>
      </c>
      <c r="L10" s="409" t="s">
        <v>93</v>
      </c>
      <c r="M10" s="409" t="s">
        <v>93</v>
      </c>
      <c r="N10" s="409"/>
      <c r="O10" s="409"/>
      <c r="P10" s="409"/>
      <c r="Q10" s="409"/>
      <c r="R10" s="409"/>
      <c r="S10" s="409"/>
      <c r="T10" s="409"/>
      <c r="U10" s="409" t="s">
        <v>93</v>
      </c>
      <c r="V10" s="409"/>
      <c r="W10" s="409"/>
      <c r="X10" s="409" t="s">
        <v>1355</v>
      </c>
      <c r="Y10" s="409"/>
      <c r="Z10" s="409"/>
      <c r="AA10" s="409"/>
      <c r="AB10" s="409"/>
      <c r="AC10" s="409"/>
      <c r="AD10" s="409"/>
      <c r="AE10" s="409"/>
      <c r="AF10" s="409"/>
      <c r="AG10" s="409" t="s">
        <v>93</v>
      </c>
      <c r="AH10" s="409" t="s">
        <v>93</v>
      </c>
      <c r="AI10" s="409" t="s">
        <v>93</v>
      </c>
      <c r="AJ10" s="409"/>
      <c r="AK10" s="409" t="s">
        <v>93</v>
      </c>
      <c r="AL10" s="409" t="s">
        <v>93</v>
      </c>
      <c r="AM10" s="409"/>
      <c r="AN10" s="409"/>
      <c r="AO10" s="409"/>
      <c r="AP10" s="409"/>
      <c r="AQ10" s="409"/>
      <c r="AR10" s="409"/>
      <c r="AS10" s="409"/>
      <c r="AT10" s="409"/>
      <c r="AU10" s="409"/>
      <c r="AV10" s="409"/>
      <c r="AW10" s="409"/>
      <c r="AX10" s="409"/>
      <c r="AY10" s="409"/>
      <c r="AZ10" s="409"/>
      <c r="BA10" s="409"/>
      <c r="BB10" s="409"/>
      <c r="BC10" s="409"/>
      <c r="BD10" s="409"/>
      <c r="BE10" s="409"/>
      <c r="BF10" s="409"/>
      <c r="BG10" s="409"/>
      <c r="BH10" s="409"/>
      <c r="BI10" s="409"/>
      <c r="BJ10" s="409"/>
      <c r="BK10" s="409"/>
      <c r="BL10" s="409"/>
      <c r="BM10" s="409"/>
      <c r="BN10" s="409"/>
      <c r="BO10" s="409"/>
      <c r="BP10" s="409"/>
      <c r="BQ10" s="409"/>
      <c r="BR10" s="409"/>
      <c r="BS10" s="409"/>
      <c r="BT10" s="409"/>
      <c r="BU10" s="409"/>
      <c r="BV10" s="409"/>
      <c r="BW10" s="409"/>
      <c r="BX10" s="409"/>
      <c r="BY10" s="409"/>
      <c r="BZ10" s="409"/>
      <c r="CA10" s="409"/>
      <c r="CB10" s="409" t="s">
        <v>93</v>
      </c>
      <c r="CC10" s="409"/>
      <c r="CD10" s="409"/>
      <c r="CE10" s="409"/>
      <c r="CF10" s="409"/>
      <c r="CG10" s="409"/>
      <c r="CH10" s="409"/>
      <c r="CI10" s="409"/>
      <c r="CJ10" s="409"/>
      <c r="CK10" s="409"/>
      <c r="CL10" s="409"/>
      <c r="CM10" s="409"/>
      <c r="CN10" s="409"/>
      <c r="CO10" s="409"/>
      <c r="CP10" s="409"/>
      <c r="CQ10" s="409"/>
      <c r="CR10" s="409"/>
      <c r="CS10" s="409"/>
      <c r="CT10" s="409"/>
      <c r="CU10" s="409"/>
      <c r="CV10" s="409"/>
      <c r="CW10" s="409"/>
      <c r="CX10" s="409"/>
      <c r="CY10" s="409"/>
      <c r="CZ10" s="409"/>
      <c r="DA10" s="409"/>
      <c r="DB10" s="409"/>
      <c r="DC10" s="409"/>
      <c r="DD10" s="409"/>
      <c r="DE10" s="409"/>
      <c r="DF10" s="409"/>
      <c r="DG10" s="409"/>
      <c r="DH10" s="409"/>
      <c r="DI10" s="409"/>
      <c r="DJ10" s="409"/>
      <c r="DK10" s="409"/>
      <c r="DL10" s="409"/>
      <c r="DM10" s="409"/>
      <c r="DN10" s="409"/>
      <c r="DO10" s="409"/>
      <c r="DP10" s="409"/>
      <c r="DQ10" s="409"/>
      <c r="DR10" s="409"/>
      <c r="DS10" s="409"/>
      <c r="DT10" s="409"/>
      <c r="DU10" s="409"/>
      <c r="DV10" s="409"/>
      <c r="DW10" s="409"/>
      <c r="DX10" s="409"/>
      <c r="DY10" s="409"/>
      <c r="DZ10" s="409"/>
      <c r="EA10" s="409"/>
      <c r="EB10" s="409" t="s">
        <v>93</v>
      </c>
      <c r="EC10" s="409"/>
      <c r="ED10" s="409"/>
      <c r="EE10" s="409"/>
      <c r="EF10" s="409"/>
      <c r="EG10" s="409"/>
      <c r="EH10" s="409"/>
      <c r="EI10" s="409"/>
      <c r="EJ10" s="409"/>
      <c r="EK10" s="409"/>
      <c r="EL10" s="409"/>
      <c r="EM10" s="409"/>
      <c r="EN10" s="409"/>
      <c r="EO10" s="409"/>
      <c r="EP10" s="409"/>
      <c r="EQ10" s="409"/>
      <c r="ER10" s="409"/>
      <c r="ES10" s="409"/>
      <c r="ET10" s="409"/>
      <c r="EU10" s="409"/>
      <c r="EV10" s="409" t="s">
        <v>93</v>
      </c>
      <c r="EW10" s="409"/>
      <c r="EX10" s="409"/>
      <c r="EY10" s="409"/>
      <c r="EZ10" s="409"/>
      <c r="FA10" s="409"/>
      <c r="FB10" s="409" t="s">
        <v>93</v>
      </c>
      <c r="FC10" s="409"/>
      <c r="FD10" s="409"/>
      <c r="FE10" s="409"/>
      <c r="FF10" s="409"/>
      <c r="FG10" s="409"/>
      <c r="FH10" s="409"/>
      <c r="FI10" s="409"/>
      <c r="FJ10" s="409"/>
      <c r="FK10" s="409"/>
      <c r="FL10" s="409"/>
      <c r="FM10" s="409"/>
      <c r="FN10" s="409"/>
      <c r="FO10" s="409"/>
      <c r="FP10" s="409"/>
      <c r="FQ10" s="409"/>
      <c r="FR10" s="409"/>
      <c r="FS10" s="409"/>
      <c r="FT10" s="409"/>
      <c r="FU10" s="409"/>
      <c r="FV10" s="409"/>
      <c r="FW10" s="409"/>
      <c r="FX10" s="409"/>
      <c r="FY10" s="409"/>
      <c r="FZ10" s="409"/>
      <c r="GA10" s="409"/>
      <c r="GB10" s="409"/>
      <c r="GC10" s="409"/>
      <c r="GD10" s="409"/>
      <c r="GE10" s="409"/>
      <c r="GF10" s="409"/>
      <c r="GG10" s="409"/>
      <c r="GH10" s="409"/>
      <c r="GI10" s="409"/>
      <c r="GJ10" s="409"/>
      <c r="GK10" s="409"/>
      <c r="GL10" s="409"/>
      <c r="GM10" s="409"/>
      <c r="GN10" s="409"/>
      <c r="GO10" s="409"/>
      <c r="GP10" s="409"/>
      <c r="GQ10" s="409"/>
      <c r="GR10" s="409"/>
      <c r="GS10" s="409"/>
      <c r="GT10" s="409"/>
      <c r="GU10" s="409"/>
      <c r="GV10" s="409"/>
      <c r="GW10" s="409"/>
      <c r="GX10" s="409"/>
      <c r="GY10" s="410" t="s">
        <v>93</v>
      </c>
      <c r="GZ10" s="409" t="s">
        <v>93</v>
      </c>
      <c r="HA10" s="409"/>
      <c r="HB10" s="410" t="s">
        <v>93</v>
      </c>
      <c r="HC10" s="409"/>
      <c r="HD10" s="409"/>
      <c r="HE10" s="409"/>
      <c r="HF10" s="409" t="s">
        <v>93</v>
      </c>
      <c r="HG10" s="410" t="s">
        <v>93</v>
      </c>
      <c r="HH10" s="410" t="s">
        <v>93</v>
      </c>
      <c r="HI10" s="409"/>
      <c r="HJ10" s="409"/>
      <c r="HK10" s="409"/>
      <c r="HL10" s="410" t="s">
        <v>93</v>
      </c>
      <c r="HM10" s="409"/>
      <c r="HN10" s="410" t="s">
        <v>93</v>
      </c>
      <c r="HO10" s="454" t="s">
        <v>93</v>
      </c>
      <c r="HP10" s="409" t="s">
        <v>93</v>
      </c>
      <c r="HQ10" s="409"/>
      <c r="HR10" s="409"/>
      <c r="HS10" s="409"/>
      <c r="HT10" s="409"/>
      <c r="HU10" s="409" t="s">
        <v>1358</v>
      </c>
      <c r="HV10" s="409" t="s">
        <v>93</v>
      </c>
      <c r="HW10" s="409"/>
      <c r="HX10" s="409"/>
    </row>
    <row r="11" spans="1:232" ht="11.55" customHeight="1">
      <c r="A11" s="408" t="s">
        <v>69</v>
      </c>
      <c r="B11" s="409"/>
      <c r="C11" s="409" t="str">
        <f>IF(ISTEXT(IFERROR(VLOOKUP(A11,职业列表!I3:J10,1,FALSE),0)),"★","")</f>
        <v/>
      </c>
      <c r="D11" s="409"/>
      <c r="E11" s="409"/>
      <c r="F11" s="409"/>
      <c r="G11" s="409"/>
      <c r="H11" s="409"/>
      <c r="I11" s="409"/>
      <c r="J11" s="409"/>
      <c r="K11" s="409"/>
      <c r="L11" s="409"/>
      <c r="M11" s="409" t="s">
        <v>93</v>
      </c>
      <c r="N11" s="409"/>
      <c r="O11" s="409"/>
      <c r="P11" s="409"/>
      <c r="Q11" s="409"/>
      <c r="R11" s="409"/>
      <c r="S11" s="409"/>
      <c r="T11" s="409"/>
      <c r="U11" s="409"/>
      <c r="V11" s="409"/>
      <c r="W11" s="409"/>
      <c r="X11" s="409"/>
      <c r="Y11" s="409"/>
      <c r="Z11" s="409"/>
      <c r="AA11" s="409"/>
      <c r="AB11" s="409"/>
      <c r="AC11" s="409"/>
      <c r="AD11" s="409"/>
      <c r="AE11" s="409"/>
      <c r="AF11" s="409"/>
      <c r="AG11" s="409"/>
      <c r="AH11" s="409"/>
      <c r="AI11" s="409"/>
      <c r="AJ11" s="409"/>
      <c r="AK11" s="409"/>
      <c r="AL11" s="409"/>
      <c r="AM11" s="409"/>
      <c r="AN11" s="409"/>
      <c r="AO11" s="409"/>
      <c r="AP11" s="409"/>
      <c r="AQ11" s="409"/>
      <c r="AR11" s="409"/>
      <c r="AS11" s="409"/>
      <c r="AT11" s="409"/>
      <c r="AU11" s="409"/>
      <c r="AV11" s="409"/>
      <c r="AW11" s="409"/>
      <c r="AX11" s="409"/>
      <c r="AY11" s="409"/>
      <c r="AZ11" s="409"/>
      <c r="BA11" s="409"/>
      <c r="BB11" s="409"/>
      <c r="BC11" s="409"/>
      <c r="BD11" s="409"/>
      <c r="BE11" s="409"/>
      <c r="BF11" s="409"/>
      <c r="BG11" s="409"/>
      <c r="BH11" s="409"/>
      <c r="BI11" s="409"/>
      <c r="BJ11" s="409"/>
      <c r="BK11" s="409"/>
      <c r="BL11" s="409"/>
      <c r="BM11" s="409"/>
      <c r="BN11" s="409"/>
      <c r="BO11" s="409"/>
      <c r="BP11" s="409"/>
      <c r="BQ11" s="409"/>
      <c r="BR11" s="409"/>
      <c r="BS11" s="409"/>
      <c r="BT11" s="409"/>
      <c r="BU11" s="409"/>
      <c r="BV11" s="409"/>
      <c r="BW11" s="409"/>
      <c r="BX11" s="409"/>
      <c r="BY11" s="409"/>
      <c r="BZ11" s="409"/>
      <c r="CA11" s="409"/>
      <c r="CB11" s="409" t="s">
        <v>93</v>
      </c>
      <c r="CC11" s="409"/>
      <c r="CD11" s="409"/>
      <c r="CE11" s="409"/>
      <c r="CF11" s="409"/>
      <c r="CG11" s="409"/>
      <c r="CH11" s="409"/>
      <c r="CI11" s="409"/>
      <c r="CJ11" s="409"/>
      <c r="CK11" s="409"/>
      <c r="CL11" s="409"/>
      <c r="CM11" s="409"/>
      <c r="CN11" s="409"/>
      <c r="CO11" s="409"/>
      <c r="CP11" s="409"/>
      <c r="CQ11" s="409"/>
      <c r="CR11" s="409"/>
      <c r="CS11" s="409"/>
      <c r="CT11" s="409"/>
      <c r="CU11" s="409"/>
      <c r="CV11" s="409"/>
      <c r="CW11" s="409"/>
      <c r="CX11" s="409"/>
      <c r="CY11" s="409"/>
      <c r="CZ11" s="409"/>
      <c r="DA11" s="409"/>
      <c r="DB11" s="409"/>
      <c r="DC11" s="409"/>
      <c r="DD11" s="409"/>
      <c r="DE11" s="409"/>
      <c r="DF11" s="409"/>
      <c r="DG11" s="409"/>
      <c r="DH11" s="409"/>
      <c r="DI11" s="409"/>
      <c r="DJ11" s="409"/>
      <c r="DK11" s="409"/>
      <c r="DL11" s="409"/>
      <c r="DM11" s="409"/>
      <c r="DN11" s="409"/>
      <c r="DO11" s="409"/>
      <c r="DP11" s="409"/>
      <c r="DQ11" s="409"/>
      <c r="DR11" s="409"/>
      <c r="DS11" s="409"/>
      <c r="DT11" s="409"/>
      <c r="DU11" s="409"/>
      <c r="DV11" s="409"/>
      <c r="DW11" s="409"/>
      <c r="DX11" s="409"/>
      <c r="DY11" s="409"/>
      <c r="DZ11" s="409"/>
      <c r="EA11" s="409"/>
      <c r="EB11" s="409"/>
      <c r="EC11" s="409"/>
      <c r="ED11" s="409"/>
      <c r="EE11" s="409"/>
      <c r="EF11" s="409"/>
      <c r="EG11" s="409"/>
      <c r="EH11" s="409"/>
      <c r="EI11" s="409"/>
      <c r="EJ11" s="409"/>
      <c r="EK11" s="409"/>
      <c r="EL11" s="409"/>
      <c r="EM11" s="409"/>
      <c r="EN11" s="409"/>
      <c r="EO11" s="409"/>
      <c r="EP11" s="409"/>
      <c r="EQ11" s="409"/>
      <c r="ER11" s="409"/>
      <c r="ES11" s="409"/>
      <c r="ET11" s="409"/>
      <c r="EU11" s="409"/>
      <c r="EV11" s="409"/>
      <c r="EW11" s="409"/>
      <c r="EX11" s="409"/>
      <c r="EY11" s="409"/>
      <c r="EZ11" s="409"/>
      <c r="FA11" s="409"/>
      <c r="FB11" s="409"/>
      <c r="FC11" s="409"/>
      <c r="FD11" s="409"/>
      <c r="FE11" s="409"/>
      <c r="FF11" s="409"/>
      <c r="FG11" s="409"/>
      <c r="FH11" s="409"/>
      <c r="FI11" s="409"/>
      <c r="FJ11" s="409"/>
      <c r="FK11" s="409"/>
      <c r="FL11" s="409"/>
      <c r="FM11" s="409"/>
      <c r="FN11" s="409"/>
      <c r="FO11" s="409"/>
      <c r="FP11" s="409"/>
      <c r="FQ11" s="409"/>
      <c r="FR11" s="409"/>
      <c r="FS11" s="409"/>
      <c r="FT11" s="409"/>
      <c r="FU11" s="409"/>
      <c r="FV11" s="409"/>
      <c r="FW11" s="409"/>
      <c r="FX11" s="409"/>
      <c r="FY11" s="409"/>
      <c r="FZ11" s="409"/>
      <c r="GA11" s="409"/>
      <c r="GB11" s="409"/>
      <c r="GC11" s="409"/>
      <c r="GD11" s="409"/>
      <c r="GE11" s="409"/>
      <c r="GF11" s="409"/>
      <c r="GG11" s="409"/>
      <c r="GH11" s="409"/>
      <c r="GI11" s="409"/>
      <c r="GJ11" s="409"/>
      <c r="GK11" s="409"/>
      <c r="GL11" s="409"/>
      <c r="GM11" s="409"/>
      <c r="GN11" s="409"/>
      <c r="GO11" s="409"/>
      <c r="GP11" s="409"/>
      <c r="GQ11" s="409"/>
      <c r="GR11" s="409"/>
      <c r="GS11" s="409"/>
      <c r="GT11" s="409"/>
      <c r="GU11" s="409"/>
      <c r="GV11" s="409"/>
      <c r="GW11" s="409"/>
      <c r="GX11" s="409"/>
      <c r="GY11" s="409"/>
      <c r="GZ11" s="409"/>
      <c r="HA11" s="409"/>
      <c r="HB11" s="409"/>
      <c r="HC11" s="409"/>
      <c r="HD11" s="409"/>
      <c r="HE11" s="409"/>
      <c r="HF11" s="409"/>
      <c r="HG11" s="409"/>
      <c r="HH11" s="409"/>
      <c r="HI11" s="409"/>
      <c r="HJ11" s="409"/>
      <c r="HK11" s="409"/>
      <c r="HL11" s="409" t="s">
        <v>93</v>
      </c>
      <c r="HM11" s="409"/>
      <c r="HN11" s="409"/>
      <c r="HO11" s="409"/>
      <c r="HP11" s="409"/>
      <c r="HQ11" s="409"/>
      <c r="HR11" s="409"/>
      <c r="HS11" s="409"/>
      <c r="HT11" s="409"/>
      <c r="HU11" s="409"/>
      <c r="HV11" s="409"/>
      <c r="HW11" s="409"/>
      <c r="HX11" s="409"/>
    </row>
    <row r="12" spans="1:232" s="392" customFormat="1" ht="11.55" customHeight="1">
      <c r="A12" s="411" t="s">
        <v>71</v>
      </c>
      <c r="B12" s="412"/>
      <c r="C12" s="409" t="str">
        <f>IF(ISTEXT(IFERROR(VLOOKUP(A12,职业列表!I3:J10,1,FALSE),0)),"★","")</f>
        <v/>
      </c>
      <c r="D12" s="412"/>
      <c r="E12" s="412"/>
      <c r="F12" s="412" t="s">
        <v>1359</v>
      </c>
      <c r="G12" s="412" t="s">
        <v>1359</v>
      </c>
      <c r="H12" s="412"/>
      <c r="I12" s="412"/>
      <c r="J12" s="412"/>
      <c r="K12" s="412" t="s">
        <v>93</v>
      </c>
      <c r="L12" s="412"/>
      <c r="M12" s="412"/>
      <c r="N12" s="412" t="s">
        <v>1360</v>
      </c>
      <c r="O12" s="412" t="s">
        <v>93</v>
      </c>
      <c r="P12" s="412"/>
      <c r="Q12" s="412"/>
      <c r="R12" s="412" t="s">
        <v>1361</v>
      </c>
      <c r="S12" s="412"/>
      <c r="T12" s="412"/>
      <c r="U12" s="412"/>
      <c r="V12" s="412"/>
      <c r="W12" s="412"/>
      <c r="X12" s="412" t="s">
        <v>93</v>
      </c>
      <c r="Y12" s="412"/>
      <c r="Z12" s="412"/>
      <c r="AA12" s="412"/>
      <c r="AB12" s="412"/>
      <c r="AC12" s="412" t="s">
        <v>93</v>
      </c>
      <c r="AD12" s="412"/>
      <c r="AE12" s="412"/>
      <c r="AF12" s="412"/>
      <c r="AG12" s="412"/>
      <c r="AH12" s="412" t="s">
        <v>1359</v>
      </c>
      <c r="AI12" s="412" t="s">
        <v>1362</v>
      </c>
      <c r="AJ12" s="412" t="s">
        <v>93</v>
      </c>
      <c r="AK12" s="412" t="s">
        <v>1363</v>
      </c>
      <c r="AL12" s="412" t="s">
        <v>1363</v>
      </c>
      <c r="AM12" s="412"/>
      <c r="AN12" s="412"/>
      <c r="AO12" s="412"/>
      <c r="AP12" s="412"/>
      <c r="AQ12" s="412" t="s">
        <v>1364</v>
      </c>
      <c r="AR12" s="412" t="s">
        <v>93</v>
      </c>
      <c r="AS12" s="412"/>
      <c r="AT12" s="412"/>
      <c r="AU12" s="412"/>
      <c r="AV12" s="412"/>
      <c r="AW12" s="412"/>
      <c r="AX12" s="412"/>
      <c r="AY12" s="412"/>
      <c r="AZ12" s="412"/>
      <c r="BA12" s="412" t="s">
        <v>1360</v>
      </c>
      <c r="BB12" s="412" t="s">
        <v>1365</v>
      </c>
      <c r="BC12" s="412"/>
      <c r="BD12" s="412" t="s">
        <v>1366</v>
      </c>
      <c r="BE12" s="412"/>
      <c r="BF12" s="412"/>
      <c r="BG12" s="412"/>
      <c r="BH12" s="412"/>
      <c r="BI12" s="412" t="s">
        <v>1359</v>
      </c>
      <c r="BJ12" s="412"/>
      <c r="BK12" s="412"/>
      <c r="BL12" s="412" t="s">
        <v>93</v>
      </c>
      <c r="BM12" s="412" t="s">
        <v>93</v>
      </c>
      <c r="BN12" s="412"/>
      <c r="BO12" s="447" t="s">
        <v>1367</v>
      </c>
      <c r="BP12" s="412" t="s">
        <v>1359</v>
      </c>
      <c r="BQ12" s="412"/>
      <c r="BR12" s="412"/>
      <c r="BS12" s="412"/>
      <c r="BT12" s="412"/>
      <c r="BU12" s="412"/>
      <c r="BV12" s="412"/>
      <c r="BW12" s="412"/>
      <c r="BX12" s="412" t="s">
        <v>93</v>
      </c>
      <c r="BY12" s="412"/>
      <c r="BZ12" s="412" t="s">
        <v>93</v>
      </c>
      <c r="CA12" s="412"/>
      <c r="CB12" s="412"/>
      <c r="CC12" s="412" t="s">
        <v>1368</v>
      </c>
      <c r="CD12" s="412"/>
      <c r="CE12" s="412"/>
      <c r="CF12" s="412"/>
      <c r="CG12" s="412" t="s">
        <v>1364</v>
      </c>
      <c r="CH12" s="412"/>
      <c r="CI12" s="412" t="s">
        <v>1364</v>
      </c>
      <c r="CJ12" s="412" t="s">
        <v>1364</v>
      </c>
      <c r="CK12" s="412"/>
      <c r="CL12" s="412"/>
      <c r="CM12" s="447" t="s">
        <v>1362</v>
      </c>
      <c r="CN12" s="412"/>
      <c r="CO12" s="412" t="s">
        <v>1364</v>
      </c>
      <c r="CP12" s="412"/>
      <c r="CQ12" s="412"/>
      <c r="CR12" s="412" t="s">
        <v>93</v>
      </c>
      <c r="CS12" s="412"/>
      <c r="CT12" s="412"/>
      <c r="CU12" s="412"/>
      <c r="CV12" s="412"/>
      <c r="CW12" s="412"/>
      <c r="CX12" s="412"/>
      <c r="CY12" s="412"/>
      <c r="CZ12" s="412"/>
      <c r="DA12" s="412"/>
      <c r="DB12" s="412"/>
      <c r="DC12" s="412" t="s">
        <v>1362</v>
      </c>
      <c r="DD12" s="412"/>
      <c r="DE12" s="412"/>
      <c r="DF12" s="412"/>
      <c r="DG12" s="412"/>
      <c r="DH12" s="412"/>
      <c r="DI12" s="412" t="s">
        <v>93</v>
      </c>
      <c r="DJ12" s="412"/>
      <c r="DK12" s="412"/>
      <c r="DL12" s="412"/>
      <c r="DM12" s="412" t="s">
        <v>1369</v>
      </c>
      <c r="DN12" s="412"/>
      <c r="DO12" s="412"/>
      <c r="DP12" s="412"/>
      <c r="DQ12" s="412"/>
      <c r="DR12" s="412"/>
      <c r="DS12" s="412"/>
      <c r="DT12" s="412"/>
      <c r="DU12" s="412"/>
      <c r="DV12" s="412"/>
      <c r="DW12" s="412"/>
      <c r="DX12" s="412"/>
      <c r="DY12" s="412"/>
      <c r="DZ12" s="412" t="s">
        <v>1361</v>
      </c>
      <c r="EA12" s="412"/>
      <c r="EB12" s="412"/>
      <c r="EC12" s="412"/>
      <c r="ED12" s="412"/>
      <c r="EE12" s="412"/>
      <c r="EF12" s="412"/>
      <c r="EG12" s="412"/>
      <c r="EH12" s="412"/>
      <c r="EI12" s="412"/>
      <c r="EJ12" s="412"/>
      <c r="EK12" s="412" t="s">
        <v>93</v>
      </c>
      <c r="EL12" s="412" t="s">
        <v>1364</v>
      </c>
      <c r="EM12" s="412"/>
      <c r="EN12" s="412"/>
      <c r="EO12" s="412" t="s">
        <v>1368</v>
      </c>
      <c r="EP12" s="412"/>
      <c r="EQ12" s="412" t="s">
        <v>1359</v>
      </c>
      <c r="ER12" s="412"/>
      <c r="ES12" s="412"/>
      <c r="ET12" s="412"/>
      <c r="EU12" s="412" t="s">
        <v>93</v>
      </c>
      <c r="EV12" s="412"/>
      <c r="EW12" s="412" t="s">
        <v>1364</v>
      </c>
      <c r="EX12" s="412"/>
      <c r="EY12" s="412"/>
      <c r="EZ12" s="412" t="s">
        <v>1364</v>
      </c>
      <c r="FA12" s="412"/>
      <c r="FB12" s="412"/>
      <c r="FC12" s="412"/>
      <c r="FD12" s="412"/>
      <c r="FE12" s="412" t="s">
        <v>1370</v>
      </c>
      <c r="FF12" s="412" t="s">
        <v>1370</v>
      </c>
      <c r="FG12" s="412" t="s">
        <v>93</v>
      </c>
      <c r="FH12" s="412"/>
      <c r="FI12" s="412"/>
      <c r="FJ12" s="412" t="s">
        <v>1359</v>
      </c>
      <c r="FK12" s="412" t="s">
        <v>1370</v>
      </c>
      <c r="FL12" s="412"/>
      <c r="FM12" s="412"/>
      <c r="FN12" s="412"/>
      <c r="FO12" s="412"/>
      <c r="FP12" s="412"/>
      <c r="FQ12" s="412" t="s">
        <v>93</v>
      </c>
      <c r="FR12" s="412" t="s">
        <v>93</v>
      </c>
      <c r="FS12" s="412" t="s">
        <v>1371</v>
      </c>
      <c r="FT12" s="412"/>
      <c r="FU12" s="412"/>
      <c r="FV12" s="412"/>
      <c r="FW12" s="412" t="s">
        <v>1364</v>
      </c>
      <c r="FX12" s="412"/>
      <c r="FY12" s="412" t="s">
        <v>1365</v>
      </c>
      <c r="FZ12" s="412" t="s">
        <v>1364</v>
      </c>
      <c r="GA12" s="412"/>
      <c r="GB12" s="412"/>
      <c r="GC12" s="412"/>
      <c r="GD12" s="412"/>
      <c r="GE12" s="412"/>
      <c r="GF12" s="412"/>
      <c r="GG12" s="412" t="s">
        <v>1359</v>
      </c>
      <c r="GH12" s="412" t="s">
        <v>1372</v>
      </c>
      <c r="GI12" s="412" t="s">
        <v>1359</v>
      </c>
      <c r="GJ12" s="412"/>
      <c r="GK12" s="412" t="s">
        <v>1359</v>
      </c>
      <c r="GL12" s="412" t="s">
        <v>1359</v>
      </c>
      <c r="GM12" s="412" t="s">
        <v>1359</v>
      </c>
      <c r="GN12" s="412" t="s">
        <v>1359</v>
      </c>
      <c r="GO12" s="412"/>
      <c r="GP12" s="412" t="s">
        <v>1364</v>
      </c>
      <c r="GQ12" s="412" t="s">
        <v>1359</v>
      </c>
      <c r="GR12" s="412" t="s">
        <v>1371</v>
      </c>
      <c r="GS12" s="412" t="s">
        <v>1373</v>
      </c>
      <c r="GT12" s="412"/>
      <c r="GU12" s="412"/>
      <c r="GV12" s="412"/>
      <c r="GW12" s="412"/>
      <c r="GX12" s="412" t="s">
        <v>1374</v>
      </c>
      <c r="GY12" s="447" t="s">
        <v>93</v>
      </c>
      <c r="GZ12" s="447" t="s">
        <v>93</v>
      </c>
      <c r="HA12" s="412"/>
      <c r="HB12" s="447" t="s">
        <v>93</v>
      </c>
      <c r="HC12" s="447" t="s">
        <v>1375</v>
      </c>
      <c r="HD12" s="412"/>
      <c r="HE12" s="412"/>
      <c r="HF12" s="412"/>
      <c r="HG12" s="412" t="s">
        <v>93</v>
      </c>
      <c r="HH12" s="412"/>
      <c r="HI12" s="412"/>
      <c r="HJ12" s="412" t="s">
        <v>93</v>
      </c>
      <c r="HK12" s="412"/>
      <c r="HL12" s="412"/>
      <c r="HM12" s="447" t="s">
        <v>1364</v>
      </c>
      <c r="HN12" s="447" t="s">
        <v>1364</v>
      </c>
      <c r="HO12" s="412" t="s">
        <v>1358</v>
      </c>
      <c r="HP12" s="412"/>
      <c r="HQ12" s="412"/>
      <c r="HR12" s="412"/>
      <c r="HS12" s="412"/>
      <c r="HT12" s="447" t="s">
        <v>93</v>
      </c>
      <c r="HU12" s="447" t="s">
        <v>93</v>
      </c>
      <c r="HV12" s="447" t="s">
        <v>93</v>
      </c>
      <c r="HW12" s="412"/>
      <c r="HX12" s="412"/>
    </row>
    <row r="13" spans="1:232" ht="11.55" customHeight="1">
      <c r="A13" s="413" t="s">
        <v>73</v>
      </c>
      <c r="B13" s="409"/>
      <c r="C13" s="409" t="str">
        <f>IF(ISTEXT(IFERROR(VLOOKUP(A13,职业列表!I3:J10,1,FALSE),0)),"★","")</f>
        <v/>
      </c>
      <c r="D13" s="414"/>
      <c r="E13" s="414"/>
      <c r="F13" s="414"/>
      <c r="G13" s="414"/>
      <c r="H13" s="414"/>
      <c r="I13" s="414"/>
      <c r="J13" s="414"/>
      <c r="K13" s="414"/>
      <c r="L13" s="414"/>
      <c r="M13" s="414"/>
      <c r="N13" s="409"/>
      <c r="O13" s="414"/>
      <c r="P13" s="414"/>
      <c r="Q13" s="414"/>
      <c r="R13" s="414"/>
      <c r="S13" s="414"/>
      <c r="T13" s="414"/>
      <c r="U13" s="414"/>
      <c r="V13" s="414"/>
      <c r="W13" s="414"/>
      <c r="X13" s="414"/>
      <c r="Y13" s="414"/>
      <c r="Z13" s="414"/>
      <c r="AA13" s="414"/>
      <c r="AB13" s="414"/>
      <c r="AC13" s="409" t="s">
        <v>93</v>
      </c>
      <c r="AD13" s="414"/>
      <c r="AE13" s="414"/>
      <c r="AF13" s="414"/>
      <c r="AG13" s="414"/>
      <c r="AH13" s="414"/>
      <c r="AI13" s="414"/>
      <c r="AJ13" s="414"/>
      <c r="AK13" s="414"/>
      <c r="AL13" s="414"/>
      <c r="AM13" s="414"/>
      <c r="AN13" s="414"/>
      <c r="AO13" s="414"/>
      <c r="AP13" s="414"/>
      <c r="AQ13" s="409" t="s">
        <v>93</v>
      </c>
      <c r="AR13" s="414"/>
      <c r="AS13" s="414"/>
      <c r="AT13" s="414"/>
      <c r="AU13" s="414"/>
      <c r="AV13" s="414"/>
      <c r="AW13" s="414"/>
      <c r="AX13" s="414"/>
      <c r="AY13" s="414"/>
      <c r="AZ13" s="414"/>
      <c r="BA13" s="409"/>
      <c r="BB13" s="414" t="s">
        <v>1376</v>
      </c>
      <c r="BC13" s="414"/>
      <c r="BD13" s="414"/>
      <c r="BE13" s="414"/>
      <c r="BF13" s="414"/>
      <c r="BG13" s="414"/>
      <c r="BH13" s="414"/>
      <c r="BI13" s="414"/>
      <c r="BJ13" s="414"/>
      <c r="BK13" s="414"/>
      <c r="BL13" s="414"/>
      <c r="BM13" s="414"/>
      <c r="BN13" s="414"/>
      <c r="BO13" s="414" t="s">
        <v>1377</v>
      </c>
      <c r="BP13" s="414"/>
      <c r="BQ13" s="414"/>
      <c r="BR13" s="414"/>
      <c r="BS13" s="414"/>
      <c r="BT13" s="414"/>
      <c r="BU13" s="414"/>
      <c r="BV13" s="414"/>
      <c r="BW13" s="414"/>
      <c r="BX13" s="409" t="s">
        <v>93</v>
      </c>
      <c r="BY13" s="414"/>
      <c r="BZ13" s="414"/>
      <c r="CA13" s="414"/>
      <c r="CB13" s="414"/>
      <c r="CC13" s="414"/>
      <c r="CD13" s="414"/>
      <c r="CE13" s="414"/>
      <c r="CF13" s="414"/>
      <c r="CG13" s="414"/>
      <c r="CH13" s="414"/>
      <c r="CI13" s="414"/>
      <c r="CJ13" s="414"/>
      <c r="CK13" s="414"/>
      <c r="CL13" s="414"/>
      <c r="CM13" s="414"/>
      <c r="CN13" s="414"/>
      <c r="CO13" s="414"/>
      <c r="CP13" s="414"/>
      <c r="CQ13" s="414"/>
      <c r="CR13" s="414"/>
      <c r="CS13" s="414"/>
      <c r="CT13" s="414"/>
      <c r="CU13" s="414"/>
      <c r="CV13" s="414"/>
      <c r="CW13" s="414"/>
      <c r="CX13" s="414"/>
      <c r="CY13" s="414"/>
      <c r="CZ13" s="440" t="s">
        <v>1378</v>
      </c>
      <c r="DA13" s="414"/>
      <c r="DB13" s="414"/>
      <c r="DC13" s="414"/>
      <c r="DD13" s="414"/>
      <c r="DE13" s="414"/>
      <c r="DF13" s="414"/>
      <c r="DG13" s="414"/>
      <c r="DH13" s="414"/>
      <c r="DI13" s="414"/>
      <c r="DJ13" s="414"/>
      <c r="DK13" s="414"/>
      <c r="DL13" s="414"/>
      <c r="DM13" s="414"/>
      <c r="DN13" s="409"/>
      <c r="DO13" s="409"/>
      <c r="DP13" s="409"/>
      <c r="DQ13" s="409"/>
      <c r="DR13" s="409"/>
      <c r="DS13" s="409"/>
      <c r="DT13" s="409"/>
      <c r="DU13" s="409"/>
      <c r="DV13" s="409"/>
      <c r="DW13" s="409"/>
      <c r="DX13" s="409"/>
      <c r="DY13" s="409"/>
      <c r="DZ13" s="409"/>
      <c r="EA13" s="409"/>
      <c r="EB13" s="409"/>
      <c r="EC13" s="409"/>
      <c r="ED13" s="409"/>
      <c r="EE13" s="409"/>
      <c r="EF13" s="409"/>
      <c r="EG13" s="409"/>
      <c r="EH13" s="409"/>
      <c r="EI13" s="409"/>
      <c r="EJ13" s="409"/>
      <c r="EK13" s="409"/>
      <c r="EL13" s="409"/>
      <c r="EM13" s="409"/>
      <c r="EN13" s="409"/>
      <c r="EO13" s="409"/>
      <c r="EP13" s="409"/>
      <c r="EQ13" s="409"/>
      <c r="ER13" s="409"/>
      <c r="ES13" s="409"/>
      <c r="ET13" s="409"/>
      <c r="EU13" s="409"/>
      <c r="EV13" s="409"/>
      <c r="EW13" s="409"/>
      <c r="EX13" s="409"/>
      <c r="EY13" s="409"/>
      <c r="EZ13" s="409"/>
      <c r="FA13" s="409"/>
      <c r="FB13" s="409"/>
      <c r="FC13" s="409"/>
      <c r="FD13" s="409"/>
      <c r="FE13" s="409"/>
      <c r="FF13" s="409" t="s">
        <v>93</v>
      </c>
      <c r="FG13" s="409"/>
      <c r="FH13" s="409"/>
      <c r="FI13" s="409"/>
      <c r="FJ13" s="409"/>
      <c r="FK13" s="409" t="s">
        <v>93</v>
      </c>
      <c r="FL13" s="409"/>
      <c r="FM13" s="409"/>
      <c r="FN13" s="409"/>
      <c r="FO13" s="409"/>
      <c r="FP13" s="409"/>
      <c r="FQ13" s="409"/>
      <c r="FR13" s="409"/>
      <c r="FS13" s="409"/>
      <c r="FT13" s="409"/>
      <c r="FU13" s="409"/>
      <c r="FV13" s="409"/>
      <c r="FW13" s="409"/>
      <c r="FX13" s="409"/>
      <c r="FY13" s="409" t="s">
        <v>1376</v>
      </c>
      <c r="FZ13" s="409" t="s">
        <v>93</v>
      </c>
      <c r="GA13" s="409"/>
      <c r="GB13" s="409"/>
      <c r="GC13" s="409"/>
      <c r="GD13" s="409"/>
      <c r="GE13" s="409"/>
      <c r="GF13" s="409"/>
      <c r="GG13" s="409" t="s">
        <v>1372</v>
      </c>
      <c r="GH13" s="409" t="s">
        <v>1379</v>
      </c>
      <c r="GI13" s="409" t="s">
        <v>1380</v>
      </c>
      <c r="GJ13" s="409"/>
      <c r="GK13" s="409"/>
      <c r="GL13" s="409"/>
      <c r="GM13" s="409"/>
      <c r="GN13" s="409" t="s">
        <v>1372</v>
      </c>
      <c r="GO13" s="409"/>
      <c r="GP13" s="409"/>
      <c r="GQ13" s="409"/>
      <c r="GR13" s="409" t="s">
        <v>1381</v>
      </c>
      <c r="GS13" s="409"/>
      <c r="GT13" s="409"/>
      <c r="GU13" s="409"/>
      <c r="GV13" s="409"/>
      <c r="GW13" s="409"/>
      <c r="GX13" s="409"/>
      <c r="GY13" s="414"/>
      <c r="GZ13" s="414"/>
      <c r="HA13" s="414"/>
      <c r="HB13" s="414"/>
      <c r="HC13" s="414"/>
      <c r="HD13" s="414"/>
      <c r="HE13" s="414"/>
      <c r="HF13" s="409"/>
      <c r="HG13" s="414"/>
      <c r="HH13" s="414"/>
      <c r="HI13" s="414"/>
      <c r="HJ13" s="414"/>
      <c r="HK13" s="414"/>
      <c r="HL13" s="414"/>
      <c r="HM13" s="414"/>
      <c r="HN13" s="414"/>
      <c r="HO13" s="414"/>
      <c r="HP13" s="414"/>
      <c r="HQ13" s="414"/>
      <c r="HR13" s="414"/>
      <c r="HS13" s="414"/>
      <c r="HT13" s="414"/>
      <c r="HU13" s="409"/>
      <c r="HV13" s="414"/>
      <c r="HW13" s="414"/>
      <c r="HX13" s="414"/>
    </row>
    <row r="14" spans="1:232" ht="11.55" customHeight="1">
      <c r="A14" s="413" t="s">
        <v>75</v>
      </c>
      <c r="B14" s="409"/>
      <c r="C14" s="409" t="str">
        <f>IF(ISTEXT(IFERROR(VLOOKUP(A14,职业列表!I3:J10,1,FALSE),0)),"★","")</f>
        <v/>
      </c>
      <c r="D14" s="414"/>
      <c r="E14" s="414"/>
      <c r="F14" s="414"/>
      <c r="G14" s="414"/>
      <c r="H14" s="414"/>
      <c r="I14" s="414"/>
      <c r="J14" s="414"/>
      <c r="K14" s="414"/>
      <c r="L14" s="414"/>
      <c r="M14" s="414"/>
      <c r="N14" s="414"/>
      <c r="O14" s="414"/>
      <c r="P14" s="414"/>
      <c r="Q14" s="414"/>
      <c r="R14" s="414"/>
      <c r="S14" s="414"/>
      <c r="T14" s="414"/>
      <c r="U14" s="414"/>
      <c r="V14" s="414"/>
      <c r="W14" s="414"/>
      <c r="X14" s="414"/>
      <c r="Y14" s="414"/>
      <c r="Z14" s="414"/>
      <c r="AA14" s="414"/>
      <c r="AB14" s="414"/>
      <c r="AC14" s="414"/>
      <c r="AD14" s="414"/>
      <c r="AE14" s="414"/>
      <c r="AF14" s="414"/>
      <c r="AG14" s="414"/>
      <c r="AH14" s="414"/>
      <c r="AI14" s="414"/>
      <c r="AJ14" s="414"/>
      <c r="AK14" s="414"/>
      <c r="AL14" s="414"/>
      <c r="AM14" s="414"/>
      <c r="AN14" s="414"/>
      <c r="AO14" s="414"/>
      <c r="AP14" s="414"/>
      <c r="AQ14" s="414"/>
      <c r="AR14" s="414"/>
      <c r="AS14" s="414"/>
      <c r="AT14" s="414"/>
      <c r="AU14" s="414"/>
      <c r="AV14" s="414"/>
      <c r="AW14" s="414"/>
      <c r="AX14" s="414"/>
      <c r="AY14" s="414"/>
      <c r="AZ14" s="414"/>
      <c r="BA14" s="414"/>
      <c r="BB14" s="414" t="s">
        <v>1382</v>
      </c>
      <c r="BC14" s="414"/>
      <c r="BD14" s="414"/>
      <c r="BE14" s="414"/>
      <c r="BF14" s="414"/>
      <c r="BG14" s="414"/>
      <c r="BH14" s="414"/>
      <c r="BI14" s="414"/>
      <c r="BJ14" s="414"/>
      <c r="BK14" s="414"/>
      <c r="BL14" s="414"/>
      <c r="BM14" s="414"/>
      <c r="BN14" s="414"/>
      <c r="BO14" s="414"/>
      <c r="BP14" s="414"/>
      <c r="BQ14" s="414"/>
      <c r="BR14" s="414"/>
      <c r="BS14" s="414"/>
      <c r="BT14" s="414"/>
      <c r="BU14" s="414"/>
      <c r="BV14" s="414"/>
      <c r="BW14" s="414"/>
      <c r="BX14" s="409" t="s">
        <v>93</v>
      </c>
      <c r="BY14" s="414"/>
      <c r="BZ14" s="414"/>
      <c r="CA14" s="414"/>
      <c r="CB14" s="414"/>
      <c r="CC14" s="414"/>
      <c r="CD14" s="414"/>
      <c r="CE14" s="414"/>
      <c r="CF14" s="414"/>
      <c r="CG14" s="414"/>
      <c r="CH14" s="414"/>
      <c r="CI14" s="414"/>
      <c r="CJ14" s="414"/>
      <c r="CK14" s="414"/>
      <c r="CL14" s="414"/>
      <c r="CM14" s="414"/>
      <c r="CN14" s="414"/>
      <c r="CO14" s="414"/>
      <c r="CP14" s="414"/>
      <c r="CQ14" s="414"/>
      <c r="CR14" s="414"/>
      <c r="CS14" s="414"/>
      <c r="CT14" s="414"/>
      <c r="CU14" s="414"/>
      <c r="CV14" s="414"/>
      <c r="CW14" s="414"/>
      <c r="CX14" s="414"/>
      <c r="CY14" s="414"/>
      <c r="CZ14" s="440" t="s">
        <v>1383</v>
      </c>
      <c r="DA14" s="414"/>
      <c r="DB14" s="414"/>
      <c r="DC14" s="414"/>
      <c r="DD14" s="414"/>
      <c r="DE14" s="414"/>
      <c r="DF14" s="414"/>
      <c r="DG14" s="414"/>
      <c r="DH14" s="414"/>
      <c r="DI14" s="414"/>
      <c r="DJ14" s="414"/>
      <c r="DK14" s="414"/>
      <c r="DL14" s="414"/>
      <c r="DM14" s="414"/>
      <c r="DN14" s="409"/>
      <c r="DO14" s="409"/>
      <c r="DP14" s="409"/>
      <c r="DQ14" s="409"/>
      <c r="DR14" s="409"/>
      <c r="DS14" s="409"/>
      <c r="DT14" s="409"/>
      <c r="DU14" s="409"/>
      <c r="DV14" s="409"/>
      <c r="DW14" s="409"/>
      <c r="DX14" s="409"/>
      <c r="DY14" s="409"/>
      <c r="DZ14" s="409"/>
      <c r="EA14" s="409"/>
      <c r="EB14" s="409"/>
      <c r="EC14" s="409"/>
      <c r="ED14" s="409"/>
      <c r="EE14" s="409"/>
      <c r="EF14" s="409"/>
      <c r="EG14" s="409"/>
      <c r="EH14" s="409"/>
      <c r="EI14" s="409"/>
      <c r="EJ14" s="409"/>
      <c r="EK14" s="409"/>
      <c r="EL14" s="409"/>
      <c r="EM14" s="409"/>
      <c r="EN14" s="409"/>
      <c r="EO14" s="409"/>
      <c r="EP14" s="409"/>
      <c r="EQ14" s="409"/>
      <c r="ER14" s="409"/>
      <c r="ES14" s="409"/>
      <c r="ET14" s="409"/>
      <c r="EU14" s="409"/>
      <c r="EV14" s="409"/>
      <c r="EW14" s="409"/>
      <c r="EX14" s="409"/>
      <c r="EY14" s="409"/>
      <c r="EZ14" s="409"/>
      <c r="FA14" s="409"/>
      <c r="FB14" s="409"/>
      <c r="FC14" s="409"/>
      <c r="FD14" s="409"/>
      <c r="FE14" s="409"/>
      <c r="FF14" s="409"/>
      <c r="FG14" s="409"/>
      <c r="FH14" s="409"/>
      <c r="FI14" s="409"/>
      <c r="FJ14" s="409"/>
      <c r="FK14" s="409"/>
      <c r="FL14" s="409"/>
      <c r="FM14" s="409"/>
      <c r="FN14" s="409"/>
      <c r="FO14" s="409"/>
      <c r="FP14" s="409"/>
      <c r="FQ14" s="409"/>
      <c r="FR14" s="409"/>
      <c r="FS14" s="409"/>
      <c r="FT14" s="409"/>
      <c r="FU14" s="409"/>
      <c r="FV14" s="409"/>
      <c r="FW14" s="409"/>
      <c r="FX14" s="409"/>
      <c r="FY14" s="409" t="s">
        <v>1382</v>
      </c>
      <c r="FZ14" s="409"/>
      <c r="GA14" s="409"/>
      <c r="GB14" s="409"/>
      <c r="GC14" s="409"/>
      <c r="GD14" s="409"/>
      <c r="GE14" s="409"/>
      <c r="GF14" s="409"/>
      <c r="GG14" s="409" t="s">
        <v>1379</v>
      </c>
      <c r="GH14" s="409" t="s">
        <v>1368</v>
      </c>
      <c r="GI14" s="409" t="s">
        <v>1384</v>
      </c>
      <c r="GJ14" s="409"/>
      <c r="GK14" s="409"/>
      <c r="GL14" s="409"/>
      <c r="GM14" s="409"/>
      <c r="GN14" s="409" t="s">
        <v>1380</v>
      </c>
      <c r="GO14" s="409"/>
      <c r="GP14" s="409"/>
      <c r="GQ14" s="409"/>
      <c r="GR14" s="409" t="s">
        <v>1385</v>
      </c>
      <c r="GS14" s="409"/>
      <c r="GT14" s="409"/>
      <c r="GU14" s="409"/>
      <c r="GV14" s="409"/>
      <c r="GW14" s="409"/>
      <c r="GX14" s="409"/>
      <c r="GY14" s="414"/>
      <c r="GZ14" s="414"/>
      <c r="HA14" s="414"/>
      <c r="HB14" s="414"/>
      <c r="HC14" s="414"/>
      <c r="HD14" s="414"/>
      <c r="HE14" s="414"/>
      <c r="HF14" s="414"/>
      <c r="HG14" s="414"/>
      <c r="HH14" s="414"/>
      <c r="HI14" s="414"/>
      <c r="HJ14" s="414"/>
      <c r="HK14" s="414"/>
      <c r="HL14" s="414"/>
      <c r="HM14" s="414"/>
      <c r="HN14" s="414"/>
      <c r="HO14" s="414"/>
      <c r="HP14" s="414"/>
      <c r="HQ14" s="414"/>
      <c r="HR14" s="414"/>
      <c r="HS14" s="414"/>
      <c r="HT14" s="414"/>
      <c r="HU14" s="414"/>
      <c r="HV14" s="414"/>
      <c r="HW14" s="414"/>
      <c r="HX14" s="414"/>
    </row>
    <row r="15" spans="1:232" s="393" customFormat="1" ht="11.55" customHeight="1">
      <c r="A15" s="415" t="s">
        <v>78</v>
      </c>
      <c r="B15" s="416"/>
      <c r="C15" s="409" t="str">
        <f>IF(ISTEXT(IFERROR(VLOOKUP(A15,职业列表!I3:J10,1,FALSE),0)),"★","")</f>
        <v/>
      </c>
      <c r="D15" s="416"/>
      <c r="E15" s="416"/>
      <c r="F15" s="417" t="s">
        <v>1357</v>
      </c>
      <c r="G15" s="416" t="s">
        <v>1357</v>
      </c>
      <c r="H15" s="416" t="s">
        <v>1357</v>
      </c>
      <c r="I15" s="416"/>
      <c r="J15" s="416"/>
      <c r="K15" s="416" t="s">
        <v>1357</v>
      </c>
      <c r="L15" s="416" t="s">
        <v>1357</v>
      </c>
      <c r="M15" s="416"/>
      <c r="N15" s="416"/>
      <c r="O15" s="416" t="s">
        <v>1357</v>
      </c>
      <c r="P15" s="417" t="s">
        <v>1357</v>
      </c>
      <c r="Q15" s="416" t="s">
        <v>1357</v>
      </c>
      <c r="R15" s="416"/>
      <c r="S15" s="416" t="s">
        <v>1357</v>
      </c>
      <c r="T15" s="416"/>
      <c r="U15" s="416" t="s">
        <v>1357</v>
      </c>
      <c r="V15" s="416" t="s">
        <v>1357</v>
      </c>
      <c r="W15" s="416"/>
      <c r="X15" s="416"/>
      <c r="Y15" s="416" t="s">
        <v>1357</v>
      </c>
      <c r="Z15" s="416"/>
      <c r="AA15" s="416" t="s">
        <v>1357</v>
      </c>
      <c r="AB15" s="416"/>
      <c r="AC15" s="416"/>
      <c r="AD15" s="416"/>
      <c r="AE15" s="416"/>
      <c r="AF15" s="416" t="s">
        <v>1357</v>
      </c>
      <c r="AG15" s="416"/>
      <c r="AH15" s="416" t="s">
        <v>1357</v>
      </c>
      <c r="AI15" s="416" t="s">
        <v>1357</v>
      </c>
      <c r="AJ15" s="416" t="s">
        <v>1357</v>
      </c>
      <c r="AK15" s="416" t="s">
        <v>1357</v>
      </c>
      <c r="AL15" s="416"/>
      <c r="AM15" s="416" t="s">
        <v>1357</v>
      </c>
      <c r="AN15" s="416" t="s">
        <v>1357</v>
      </c>
      <c r="AO15" s="416" t="s">
        <v>1357</v>
      </c>
      <c r="AP15" s="416" t="s">
        <v>1357</v>
      </c>
      <c r="AQ15" s="442"/>
      <c r="AR15" s="416" t="s">
        <v>1357</v>
      </c>
      <c r="AS15" s="416"/>
      <c r="AT15" s="416"/>
      <c r="AU15" s="416" t="s">
        <v>1357</v>
      </c>
      <c r="AV15" s="416" t="s">
        <v>1357</v>
      </c>
      <c r="AW15" s="416" t="s">
        <v>1357</v>
      </c>
      <c r="AX15" s="416"/>
      <c r="AY15" s="416" t="s">
        <v>1357</v>
      </c>
      <c r="AZ15" s="416" t="s">
        <v>93</v>
      </c>
      <c r="BA15" s="416"/>
      <c r="BB15" s="416" t="s">
        <v>1357</v>
      </c>
      <c r="BC15" s="416"/>
      <c r="BD15" s="416" t="s">
        <v>1357</v>
      </c>
      <c r="BE15" s="416"/>
      <c r="BF15" s="416"/>
      <c r="BG15" s="416" t="s">
        <v>1357</v>
      </c>
      <c r="BH15" s="416"/>
      <c r="BI15" s="416" t="s">
        <v>1357</v>
      </c>
      <c r="BJ15" s="416" t="s">
        <v>1357</v>
      </c>
      <c r="BK15" s="416" t="s">
        <v>1357</v>
      </c>
      <c r="BL15" s="416" t="s">
        <v>1357</v>
      </c>
      <c r="BM15" s="416"/>
      <c r="BN15" s="416" t="s">
        <v>1357</v>
      </c>
      <c r="BO15" s="416" t="s">
        <v>1357</v>
      </c>
      <c r="BP15" s="416" t="s">
        <v>1357</v>
      </c>
      <c r="BQ15" s="416"/>
      <c r="BR15" s="416"/>
      <c r="BS15" s="416"/>
      <c r="BT15" s="416"/>
      <c r="BU15" s="442"/>
      <c r="BV15" s="416" t="s">
        <v>1357</v>
      </c>
      <c r="BW15" s="416"/>
      <c r="BX15" s="416"/>
      <c r="BY15" s="416" t="s">
        <v>1357</v>
      </c>
      <c r="BZ15" s="416" t="s">
        <v>1357</v>
      </c>
      <c r="CA15" s="416"/>
      <c r="CB15" s="416"/>
      <c r="CC15" s="416" t="s">
        <v>1357</v>
      </c>
      <c r="CD15" s="416" t="s">
        <v>1357</v>
      </c>
      <c r="CE15" s="416" t="s">
        <v>1357</v>
      </c>
      <c r="CF15" s="416"/>
      <c r="CG15" s="416"/>
      <c r="CH15" s="416" t="s">
        <v>1357</v>
      </c>
      <c r="CI15" s="416" t="s">
        <v>1357</v>
      </c>
      <c r="CJ15" s="416" t="s">
        <v>1357</v>
      </c>
      <c r="CK15" s="416"/>
      <c r="CL15" s="416"/>
      <c r="CM15" s="416" t="s">
        <v>1357</v>
      </c>
      <c r="CN15" s="416" t="s">
        <v>1357</v>
      </c>
      <c r="CO15" s="416" t="s">
        <v>1357</v>
      </c>
      <c r="CP15" s="416"/>
      <c r="CQ15" s="416"/>
      <c r="CR15" s="416" t="s">
        <v>1357</v>
      </c>
      <c r="CS15" s="416"/>
      <c r="CT15" s="416"/>
      <c r="CU15" s="416" t="s">
        <v>1357</v>
      </c>
      <c r="CV15" s="416"/>
      <c r="CW15" s="416" t="s">
        <v>1357</v>
      </c>
      <c r="CX15" s="416" t="s">
        <v>1357</v>
      </c>
      <c r="CY15" s="416" t="s">
        <v>1357</v>
      </c>
      <c r="CZ15" s="416" t="s">
        <v>1357</v>
      </c>
      <c r="DA15" s="416" t="s">
        <v>1357</v>
      </c>
      <c r="DB15" s="416"/>
      <c r="DC15" s="416" t="s">
        <v>1357</v>
      </c>
      <c r="DD15" s="416"/>
      <c r="DE15" s="416"/>
      <c r="DF15" s="416"/>
      <c r="DG15" s="416" t="s">
        <v>1357</v>
      </c>
      <c r="DH15" s="416" t="s">
        <v>1357</v>
      </c>
      <c r="DI15" s="416" t="s">
        <v>1357</v>
      </c>
      <c r="DJ15" s="416" t="s">
        <v>1357</v>
      </c>
      <c r="DK15" s="416" t="s">
        <v>1357</v>
      </c>
      <c r="DL15" s="416" t="s">
        <v>1357</v>
      </c>
      <c r="DM15" s="416"/>
      <c r="DN15" s="416" t="s">
        <v>93</v>
      </c>
      <c r="DO15" s="416" t="s">
        <v>1357</v>
      </c>
      <c r="DP15" s="416" t="s">
        <v>1357</v>
      </c>
      <c r="DQ15" s="416" t="s">
        <v>1357</v>
      </c>
      <c r="DR15" s="416" t="s">
        <v>1357</v>
      </c>
      <c r="DS15" s="416" t="s">
        <v>1357</v>
      </c>
      <c r="DT15" s="416" t="s">
        <v>1357</v>
      </c>
      <c r="DU15" s="416" t="s">
        <v>1357</v>
      </c>
      <c r="DV15" s="416" t="s">
        <v>1357</v>
      </c>
      <c r="DW15" s="416" t="s">
        <v>1357</v>
      </c>
      <c r="DX15" s="416" t="s">
        <v>1357</v>
      </c>
      <c r="DY15" s="416" t="s">
        <v>1357</v>
      </c>
      <c r="DZ15" s="416" t="s">
        <v>1357</v>
      </c>
      <c r="EA15" s="416" t="s">
        <v>1357</v>
      </c>
      <c r="EB15" s="416" t="s">
        <v>1357</v>
      </c>
      <c r="EC15" s="416" t="s">
        <v>1357</v>
      </c>
      <c r="ED15" s="416"/>
      <c r="EE15" s="416" t="s">
        <v>1357</v>
      </c>
      <c r="EF15" s="416"/>
      <c r="EG15" s="416"/>
      <c r="EH15" s="416"/>
      <c r="EI15" s="416" t="s">
        <v>1357</v>
      </c>
      <c r="EJ15" s="416" t="s">
        <v>1357</v>
      </c>
      <c r="EK15" s="416" t="s">
        <v>1357</v>
      </c>
      <c r="EL15" s="416"/>
      <c r="EM15" s="416" t="s">
        <v>1357</v>
      </c>
      <c r="EN15" s="416"/>
      <c r="EO15" s="416" t="s">
        <v>1357</v>
      </c>
      <c r="EP15" s="416"/>
      <c r="EQ15" s="416" t="s">
        <v>93</v>
      </c>
      <c r="ER15" s="416" t="s">
        <v>1357</v>
      </c>
      <c r="ES15" s="416" t="s">
        <v>1357</v>
      </c>
      <c r="ET15" s="416" t="s">
        <v>1357</v>
      </c>
      <c r="EU15" s="416" t="s">
        <v>1357</v>
      </c>
      <c r="EV15" s="416" t="s">
        <v>1357</v>
      </c>
      <c r="EW15" s="416"/>
      <c r="EX15" s="416" t="s">
        <v>1357</v>
      </c>
      <c r="EY15" s="416" t="s">
        <v>1357</v>
      </c>
      <c r="EZ15" s="416"/>
      <c r="FA15" s="416" t="s">
        <v>1357</v>
      </c>
      <c r="FB15" s="416" t="s">
        <v>1357</v>
      </c>
      <c r="FC15" s="416"/>
      <c r="FD15" s="416"/>
      <c r="FE15" s="416" t="s">
        <v>1357</v>
      </c>
      <c r="FF15" s="416" t="s">
        <v>1357</v>
      </c>
      <c r="FG15" s="416" t="s">
        <v>1357</v>
      </c>
      <c r="FH15" s="416"/>
      <c r="FI15" s="416"/>
      <c r="FJ15" s="416"/>
      <c r="FK15" s="416"/>
      <c r="FL15" s="416"/>
      <c r="FM15" s="416" t="s">
        <v>1357</v>
      </c>
      <c r="FN15" s="416"/>
      <c r="FO15" s="416"/>
      <c r="FP15" s="416"/>
      <c r="FQ15" s="416" t="s">
        <v>1357</v>
      </c>
      <c r="FR15" s="416" t="s">
        <v>1357</v>
      </c>
      <c r="FS15" s="416"/>
      <c r="FT15" s="416"/>
      <c r="FU15" s="416"/>
      <c r="FV15" s="416" t="s">
        <v>1357</v>
      </c>
      <c r="FW15" s="416"/>
      <c r="FX15" s="416"/>
      <c r="FY15" s="416" t="s">
        <v>1357</v>
      </c>
      <c r="FZ15" s="416"/>
      <c r="GA15" s="416"/>
      <c r="GB15" s="416" t="s">
        <v>1357</v>
      </c>
      <c r="GC15" s="416"/>
      <c r="GD15" s="416"/>
      <c r="GE15" s="416"/>
      <c r="GF15" s="416" t="s">
        <v>1357</v>
      </c>
      <c r="GG15" s="416" t="s">
        <v>1357</v>
      </c>
      <c r="GH15" s="416" t="s">
        <v>1357</v>
      </c>
      <c r="GI15" s="416" t="s">
        <v>1357</v>
      </c>
      <c r="GJ15" s="416"/>
      <c r="GK15" s="416" t="s">
        <v>93</v>
      </c>
      <c r="GL15" s="416" t="s">
        <v>93</v>
      </c>
      <c r="GM15" s="416" t="s">
        <v>93</v>
      </c>
      <c r="GN15" s="416" t="s">
        <v>1357</v>
      </c>
      <c r="GO15" s="416" t="s">
        <v>1357</v>
      </c>
      <c r="GP15" s="416" t="s">
        <v>1357</v>
      </c>
      <c r="GQ15" s="416" t="s">
        <v>1357</v>
      </c>
      <c r="GR15" s="416"/>
      <c r="GS15" s="416"/>
      <c r="GT15" s="416" t="s">
        <v>1357</v>
      </c>
      <c r="GU15" s="416"/>
      <c r="GV15" s="416"/>
      <c r="GW15" s="416" t="s">
        <v>1357</v>
      </c>
      <c r="GX15" s="416" t="s">
        <v>1357</v>
      </c>
      <c r="GY15" s="417" t="s">
        <v>1357</v>
      </c>
      <c r="GZ15" s="416" t="s">
        <v>1357</v>
      </c>
      <c r="HA15" s="416" t="s">
        <v>1357</v>
      </c>
      <c r="HB15" s="416"/>
      <c r="HC15" s="416" t="s">
        <v>1357</v>
      </c>
      <c r="HD15" s="416"/>
      <c r="HE15" s="416" t="s">
        <v>1357</v>
      </c>
      <c r="HF15" s="416"/>
      <c r="HG15" s="417" t="s">
        <v>1357</v>
      </c>
      <c r="HH15" s="416" t="s">
        <v>1357</v>
      </c>
      <c r="HI15" s="416"/>
      <c r="HJ15" s="416" t="s">
        <v>1357</v>
      </c>
      <c r="HK15" s="417" t="s">
        <v>1357</v>
      </c>
      <c r="HL15" s="416"/>
      <c r="HM15" s="416" t="s">
        <v>1357</v>
      </c>
      <c r="HN15" s="417" t="s">
        <v>1357</v>
      </c>
      <c r="HO15" s="417" t="s">
        <v>1357</v>
      </c>
      <c r="HP15" s="416" t="s">
        <v>1357</v>
      </c>
      <c r="HQ15" s="416"/>
      <c r="HR15" s="417" t="s">
        <v>1357</v>
      </c>
      <c r="HS15" s="416" t="s">
        <v>1357</v>
      </c>
      <c r="HT15" s="416" t="s">
        <v>1357</v>
      </c>
      <c r="HU15" s="416"/>
      <c r="HV15" s="417" t="s">
        <v>1357</v>
      </c>
      <c r="HW15" s="416"/>
      <c r="HX15" s="416" t="s">
        <v>1357</v>
      </c>
    </row>
    <row r="16" spans="1:232" ht="11.55" customHeight="1">
      <c r="A16" s="408" t="s">
        <v>81</v>
      </c>
      <c r="B16" s="409"/>
      <c r="C16" s="409" t="str">
        <f>IF(ISTEXT(IFERROR(VLOOKUP(A16,职业列表!I3:J10,1,FALSE),0)),"★","")</f>
        <v/>
      </c>
      <c r="D16" s="409"/>
      <c r="E16" s="409" t="s">
        <v>93</v>
      </c>
      <c r="F16" s="409"/>
      <c r="G16" s="409"/>
      <c r="H16" s="409"/>
      <c r="I16" s="409"/>
      <c r="J16" s="409"/>
      <c r="K16" s="409"/>
      <c r="L16" s="409"/>
      <c r="M16" s="409"/>
      <c r="N16" s="409"/>
      <c r="O16" s="409"/>
      <c r="P16" s="409"/>
      <c r="Q16" s="409" t="s">
        <v>93</v>
      </c>
      <c r="R16" s="409"/>
      <c r="S16" s="409"/>
      <c r="T16" s="409"/>
      <c r="U16" s="409"/>
      <c r="V16" s="409"/>
      <c r="W16" s="409"/>
      <c r="X16" s="409"/>
      <c r="Y16" s="409"/>
      <c r="Z16" s="409"/>
      <c r="AA16" s="409"/>
      <c r="AB16" s="409"/>
      <c r="AC16" s="409"/>
      <c r="AD16" s="409"/>
      <c r="AE16" s="409"/>
      <c r="AF16" s="409"/>
      <c r="AG16" s="409" t="s">
        <v>93</v>
      </c>
      <c r="AH16" s="409"/>
      <c r="AI16" s="409"/>
      <c r="AJ16" s="409"/>
      <c r="AK16" s="409"/>
      <c r="AL16" s="409"/>
      <c r="AM16" s="409"/>
      <c r="AN16" s="409" t="s">
        <v>93</v>
      </c>
      <c r="AO16" s="409"/>
      <c r="AP16" s="409"/>
      <c r="AQ16" s="409"/>
      <c r="AR16" s="409"/>
      <c r="AS16" s="409"/>
      <c r="AT16" s="409"/>
      <c r="AU16" s="409" t="s">
        <v>93</v>
      </c>
      <c r="AV16" s="409"/>
      <c r="AW16" s="409"/>
      <c r="AX16" s="409"/>
      <c r="AY16" s="409"/>
      <c r="AZ16" s="409"/>
      <c r="BA16" s="409"/>
      <c r="BB16" s="409"/>
      <c r="BC16" s="409" t="s">
        <v>1355</v>
      </c>
      <c r="BD16" s="409"/>
      <c r="BE16" s="409"/>
      <c r="BF16" s="409" t="s">
        <v>93</v>
      </c>
      <c r="BG16" s="409"/>
      <c r="BH16" s="409"/>
      <c r="BI16" s="409"/>
      <c r="BJ16" s="409"/>
      <c r="BK16" s="409"/>
      <c r="BL16" s="409"/>
      <c r="BM16" s="409" t="s">
        <v>93</v>
      </c>
      <c r="BN16" s="409"/>
      <c r="BO16" s="409"/>
      <c r="BP16" s="409"/>
      <c r="BQ16" s="409"/>
      <c r="BR16" s="409"/>
      <c r="BS16" s="409"/>
      <c r="BT16" s="409" t="s">
        <v>93</v>
      </c>
      <c r="BU16" s="409" t="s">
        <v>93</v>
      </c>
      <c r="BV16" s="409"/>
      <c r="BW16" s="409"/>
      <c r="BX16" s="409" t="s">
        <v>93</v>
      </c>
      <c r="BY16" s="409"/>
      <c r="BZ16" s="409"/>
      <c r="CA16" s="409" t="s">
        <v>93</v>
      </c>
      <c r="CB16" s="409"/>
      <c r="CC16" s="409"/>
      <c r="CD16" s="409"/>
      <c r="CE16" s="409"/>
      <c r="CF16" s="409"/>
      <c r="CG16" s="409"/>
      <c r="CH16" s="409"/>
      <c r="CI16" s="409"/>
      <c r="CJ16" s="409" t="s">
        <v>93</v>
      </c>
      <c r="CK16" s="409"/>
      <c r="CL16" s="409"/>
      <c r="CM16" s="409"/>
      <c r="CN16" s="409"/>
      <c r="CO16" s="409"/>
      <c r="CP16" s="409"/>
      <c r="CQ16" s="409" t="s">
        <v>93</v>
      </c>
      <c r="CR16" s="409"/>
      <c r="CS16" s="409"/>
      <c r="CT16" s="409"/>
      <c r="CU16" s="409"/>
      <c r="CV16" s="409"/>
      <c r="CW16" s="409"/>
      <c r="CX16" s="409"/>
      <c r="CY16" s="409"/>
      <c r="CZ16" s="409"/>
      <c r="DA16" s="409"/>
      <c r="DB16" s="409" t="s">
        <v>1355</v>
      </c>
      <c r="DC16" s="409"/>
      <c r="DD16" s="409"/>
      <c r="DE16" s="409" t="s">
        <v>93</v>
      </c>
      <c r="DF16" s="409" t="s">
        <v>93</v>
      </c>
      <c r="DG16" s="409"/>
      <c r="DH16" s="409"/>
      <c r="DI16" s="409"/>
      <c r="DJ16" s="409"/>
      <c r="DK16" s="409"/>
      <c r="DL16" s="409"/>
      <c r="DM16" s="409"/>
      <c r="DN16" s="409"/>
      <c r="DO16" s="409" t="s">
        <v>93</v>
      </c>
      <c r="DP16" s="409" t="s">
        <v>93</v>
      </c>
      <c r="DQ16" s="409"/>
      <c r="DR16" s="409" t="s">
        <v>93</v>
      </c>
      <c r="DS16" s="409"/>
      <c r="DT16" s="409"/>
      <c r="DU16" s="409"/>
      <c r="DV16" s="409"/>
      <c r="DW16" s="409"/>
      <c r="DX16" s="409"/>
      <c r="DY16" s="409"/>
      <c r="DZ16" s="409"/>
      <c r="EA16" s="409"/>
      <c r="EB16" s="409"/>
      <c r="EC16" s="409"/>
      <c r="ED16" s="409"/>
      <c r="EE16" s="409"/>
      <c r="EF16" s="409"/>
      <c r="EG16" s="409"/>
      <c r="EH16" s="409"/>
      <c r="EI16" s="409"/>
      <c r="EJ16" s="409" t="s">
        <v>1355</v>
      </c>
      <c r="EK16" s="409" t="s">
        <v>93</v>
      </c>
      <c r="EL16" s="409"/>
      <c r="EM16" s="409"/>
      <c r="EN16" s="409" t="s">
        <v>93</v>
      </c>
      <c r="EO16" s="409"/>
      <c r="EP16" s="409"/>
      <c r="EQ16" s="409"/>
      <c r="ER16" s="409"/>
      <c r="ES16" s="409"/>
      <c r="ET16" s="409"/>
      <c r="EU16" s="409"/>
      <c r="EV16" s="409"/>
      <c r="EW16" s="409"/>
      <c r="EX16" s="409"/>
      <c r="EY16" s="409"/>
      <c r="EZ16" s="409"/>
      <c r="FA16" s="409"/>
      <c r="FB16" s="409" t="s">
        <v>93</v>
      </c>
      <c r="FC16" s="409"/>
      <c r="FD16" s="409"/>
      <c r="FE16" s="409"/>
      <c r="FF16" s="409"/>
      <c r="FG16" s="409"/>
      <c r="FH16" s="409"/>
      <c r="FI16" s="409" t="s">
        <v>93</v>
      </c>
      <c r="FJ16" s="409"/>
      <c r="FK16" s="409"/>
      <c r="FL16" s="409"/>
      <c r="FM16" s="409"/>
      <c r="FN16" s="409"/>
      <c r="FO16" s="409"/>
      <c r="FP16" s="409"/>
      <c r="FQ16" s="409"/>
      <c r="FR16" s="409"/>
      <c r="FS16" s="409"/>
      <c r="FT16" s="409"/>
      <c r="FU16" s="409" t="s">
        <v>93</v>
      </c>
      <c r="FV16" s="409"/>
      <c r="FW16" s="409"/>
      <c r="FX16" s="409" t="s">
        <v>93</v>
      </c>
      <c r="FY16" s="409"/>
      <c r="FZ16" s="409"/>
      <c r="GA16" s="409"/>
      <c r="GB16" s="409"/>
      <c r="GC16" s="409" t="s">
        <v>1355</v>
      </c>
      <c r="GD16" s="409" t="s">
        <v>1355</v>
      </c>
      <c r="GE16" s="409" t="s">
        <v>1355</v>
      </c>
      <c r="GF16" s="409"/>
      <c r="GG16" s="409"/>
      <c r="GH16" s="409"/>
      <c r="GI16" s="409"/>
      <c r="GJ16" s="409" t="s">
        <v>93</v>
      </c>
      <c r="GK16" s="409"/>
      <c r="GL16" s="409"/>
      <c r="GM16" s="409"/>
      <c r="GN16" s="409"/>
      <c r="GO16" s="409"/>
      <c r="GP16" s="409"/>
      <c r="GQ16" s="409"/>
      <c r="GR16" s="409" t="s">
        <v>93</v>
      </c>
      <c r="GS16" s="409"/>
      <c r="GT16" s="409"/>
      <c r="GU16" s="409" t="s">
        <v>1355</v>
      </c>
      <c r="GV16" s="409"/>
      <c r="GW16" s="409"/>
      <c r="GX16" s="409"/>
      <c r="GY16" s="409"/>
      <c r="GZ16" s="409"/>
      <c r="HA16" s="409"/>
      <c r="HB16" s="409"/>
      <c r="HC16" s="409"/>
      <c r="HD16" s="409"/>
      <c r="HE16" s="409"/>
      <c r="HF16" s="409"/>
      <c r="HG16" s="409"/>
      <c r="HH16" s="409"/>
      <c r="HI16" s="409"/>
      <c r="HJ16" s="409"/>
      <c r="HK16" s="409" t="s">
        <v>1355</v>
      </c>
      <c r="HL16" s="409" t="s">
        <v>93</v>
      </c>
      <c r="HM16" s="409"/>
      <c r="HN16" s="409"/>
      <c r="HO16" s="409" t="s">
        <v>1358</v>
      </c>
      <c r="HP16" s="409"/>
      <c r="HQ16" s="409"/>
      <c r="HR16" s="409"/>
      <c r="HS16" s="409"/>
      <c r="HT16" s="409"/>
      <c r="HU16" s="409"/>
      <c r="HV16" s="409"/>
      <c r="HW16" s="409"/>
      <c r="HX16" s="409"/>
    </row>
    <row r="17" spans="1:232" ht="11.55" customHeight="1">
      <c r="A17" s="418" t="s">
        <v>86</v>
      </c>
      <c r="B17" s="409"/>
      <c r="C17" s="409" t="str">
        <f>IF(ISTEXT(IFERROR(VLOOKUP(A17,职业列表!I3:J10,1,FALSE),0)),"★","")</f>
        <v/>
      </c>
      <c r="D17" s="409"/>
      <c r="E17" s="409"/>
      <c r="F17" s="409"/>
      <c r="G17" s="409"/>
      <c r="H17" s="409"/>
      <c r="I17" s="409"/>
      <c r="J17" s="409"/>
      <c r="K17" s="409"/>
      <c r="L17" s="409"/>
      <c r="M17" s="409"/>
      <c r="N17" s="409" t="s">
        <v>1355</v>
      </c>
      <c r="O17" s="409"/>
      <c r="P17" s="409"/>
      <c r="Q17" s="409"/>
      <c r="R17" s="409"/>
      <c r="S17" s="409"/>
      <c r="T17" s="409"/>
      <c r="U17" s="409"/>
      <c r="V17" s="409"/>
      <c r="W17" s="409"/>
      <c r="X17" s="409"/>
      <c r="Y17" s="409"/>
      <c r="Z17" s="409" t="s">
        <v>93</v>
      </c>
      <c r="AA17" s="409" t="s">
        <v>93</v>
      </c>
      <c r="AB17" s="409"/>
      <c r="AC17" s="409"/>
      <c r="AD17" s="409"/>
      <c r="AE17" s="409"/>
      <c r="AF17" s="409"/>
      <c r="AG17" s="409"/>
      <c r="AH17" s="409"/>
      <c r="AI17" s="409"/>
      <c r="AJ17" s="409"/>
      <c r="AK17" s="409"/>
      <c r="AL17" s="409"/>
      <c r="AM17" s="409"/>
      <c r="AN17" s="409"/>
      <c r="AO17" s="409"/>
      <c r="AP17" s="409"/>
      <c r="AQ17" s="409" t="s">
        <v>1355</v>
      </c>
      <c r="AR17" s="409"/>
      <c r="AS17" s="409"/>
      <c r="AT17" s="409"/>
      <c r="AU17" s="409"/>
      <c r="AV17" s="409"/>
      <c r="AW17" s="409"/>
      <c r="AX17" s="409"/>
      <c r="AY17" s="409"/>
      <c r="AZ17" s="409"/>
      <c r="BA17" s="409"/>
      <c r="BB17" s="409"/>
      <c r="BC17" s="409"/>
      <c r="BD17" s="409"/>
      <c r="BE17" s="409"/>
      <c r="BF17" s="409"/>
      <c r="BG17" s="409"/>
      <c r="BH17" s="409"/>
      <c r="BI17" s="409"/>
      <c r="BJ17" s="409"/>
      <c r="BK17" s="409"/>
      <c r="BL17" s="409"/>
      <c r="BM17" s="409"/>
      <c r="BN17" s="409"/>
      <c r="BO17" s="409"/>
      <c r="BP17" s="409"/>
      <c r="BQ17" s="409"/>
      <c r="BR17" s="409" t="s">
        <v>1355</v>
      </c>
      <c r="BS17" s="409"/>
      <c r="BT17" s="409"/>
      <c r="BU17" s="409"/>
      <c r="BV17" s="409"/>
      <c r="BW17" s="409"/>
      <c r="BX17" s="409"/>
      <c r="BY17" s="409"/>
      <c r="BZ17" s="409"/>
      <c r="CA17" s="409"/>
      <c r="CB17" s="409"/>
      <c r="CC17" s="409"/>
      <c r="CD17" s="409"/>
      <c r="CE17" s="409"/>
      <c r="CF17" s="409"/>
      <c r="CG17" s="409"/>
      <c r="CH17" s="409"/>
      <c r="CI17" s="409"/>
      <c r="CJ17" s="409"/>
      <c r="CK17" s="409"/>
      <c r="CL17" s="409"/>
      <c r="CM17" s="409"/>
      <c r="CN17" s="409"/>
      <c r="CO17" s="409"/>
      <c r="CP17" s="409"/>
      <c r="CQ17" s="409"/>
      <c r="CR17" s="409"/>
      <c r="CS17" s="409"/>
      <c r="CT17" s="409"/>
      <c r="CU17" s="409"/>
      <c r="CV17" s="409"/>
      <c r="CW17" s="409"/>
      <c r="CX17" s="409"/>
      <c r="CY17" s="409" t="s">
        <v>1355</v>
      </c>
      <c r="CZ17" s="410" t="s">
        <v>1356</v>
      </c>
      <c r="DA17" s="409"/>
      <c r="DB17" s="409"/>
      <c r="DC17" s="409"/>
      <c r="DD17" s="409"/>
      <c r="DE17" s="409"/>
      <c r="DF17" s="409"/>
      <c r="DG17" s="409"/>
      <c r="DH17" s="409"/>
      <c r="DI17" s="409"/>
      <c r="DJ17" s="409" t="s">
        <v>1355</v>
      </c>
      <c r="DK17" s="409"/>
      <c r="DL17" s="409"/>
      <c r="DM17" s="409"/>
      <c r="DN17" s="409"/>
      <c r="DO17" s="409"/>
      <c r="DP17" s="409"/>
      <c r="DQ17" s="409"/>
      <c r="DR17" s="409"/>
      <c r="DS17" s="409"/>
      <c r="DT17" s="409"/>
      <c r="DU17" s="409"/>
      <c r="DV17" s="409"/>
      <c r="DW17" s="409"/>
      <c r="DX17" s="409"/>
      <c r="DY17" s="409"/>
      <c r="DZ17" s="409"/>
      <c r="EA17" s="409"/>
      <c r="EB17" s="409"/>
      <c r="EC17" s="409"/>
      <c r="ED17" s="409"/>
      <c r="EE17" s="409"/>
      <c r="EF17" s="409"/>
      <c r="EG17" s="409"/>
      <c r="EH17" s="409"/>
      <c r="EI17" s="409"/>
      <c r="EJ17" s="409"/>
      <c r="EK17" s="409"/>
      <c r="EL17" s="409"/>
      <c r="EM17" s="409"/>
      <c r="EN17" s="409"/>
      <c r="EO17" s="409"/>
      <c r="EP17" s="409"/>
      <c r="EQ17" s="409"/>
      <c r="ER17" s="409"/>
      <c r="ES17" s="409"/>
      <c r="ET17" s="409"/>
      <c r="EU17" s="409"/>
      <c r="EV17" s="409"/>
      <c r="EW17" s="409"/>
      <c r="EX17" s="409"/>
      <c r="EY17" s="409"/>
      <c r="EZ17" s="409"/>
      <c r="FA17" s="409"/>
      <c r="FB17" s="409"/>
      <c r="FC17" s="409"/>
      <c r="FD17" s="409"/>
      <c r="FE17" s="409"/>
      <c r="FF17" s="409"/>
      <c r="FG17" s="409"/>
      <c r="FH17" s="409"/>
      <c r="FI17" s="409"/>
      <c r="FJ17" s="410"/>
      <c r="FK17" s="409"/>
      <c r="FL17" s="409"/>
      <c r="FM17" s="409"/>
      <c r="FN17" s="409"/>
      <c r="FO17" s="409"/>
      <c r="FP17" s="409"/>
      <c r="FQ17" s="409"/>
      <c r="FR17" s="409"/>
      <c r="FS17" s="409"/>
      <c r="FT17" s="409"/>
      <c r="FU17" s="409"/>
      <c r="FV17" s="409"/>
      <c r="FW17" s="409"/>
      <c r="FX17" s="409"/>
      <c r="FY17" s="409"/>
      <c r="FZ17" s="409" t="s">
        <v>1355</v>
      </c>
      <c r="GA17" s="409"/>
      <c r="GB17" s="409"/>
      <c r="GC17" s="409"/>
      <c r="GD17" s="409"/>
      <c r="GE17" s="409"/>
      <c r="GF17" s="409"/>
      <c r="GG17" s="409"/>
      <c r="GH17" s="409"/>
      <c r="GI17" s="409"/>
      <c r="GJ17" s="409"/>
      <c r="GK17" s="409"/>
      <c r="GL17" s="409"/>
      <c r="GM17" s="409"/>
      <c r="GN17" s="409" t="s">
        <v>93</v>
      </c>
      <c r="GO17" s="409"/>
      <c r="GP17" s="409"/>
      <c r="GQ17" s="409"/>
      <c r="GR17" s="409"/>
      <c r="GS17" s="409"/>
      <c r="GT17" s="409" t="s">
        <v>93</v>
      </c>
      <c r="GU17" s="409"/>
      <c r="GV17" s="409" t="s">
        <v>93</v>
      </c>
      <c r="GW17" s="409"/>
      <c r="GX17" s="409" t="s">
        <v>93</v>
      </c>
      <c r="GY17" s="409" t="s">
        <v>212</v>
      </c>
      <c r="GZ17" s="409"/>
      <c r="HA17" s="409"/>
      <c r="HB17" s="409"/>
      <c r="HC17" s="409"/>
      <c r="HD17" s="409"/>
      <c r="HE17" s="409"/>
      <c r="HF17" s="409"/>
      <c r="HG17" s="409"/>
      <c r="HH17" s="409"/>
      <c r="HI17" s="409"/>
      <c r="HJ17" s="409"/>
      <c r="HK17" s="409"/>
      <c r="HL17" s="409"/>
      <c r="HM17" s="409"/>
      <c r="HN17" s="409"/>
      <c r="HO17" s="409"/>
      <c r="HP17" s="409"/>
      <c r="HQ17" s="409"/>
      <c r="HR17" s="409"/>
      <c r="HS17" s="409"/>
      <c r="HT17" s="409"/>
      <c r="HU17" s="409"/>
      <c r="HV17" s="409"/>
      <c r="HW17" s="409"/>
      <c r="HX17" s="409"/>
    </row>
    <row r="18" spans="1:232" ht="11.55" customHeight="1">
      <c r="A18" s="418" t="s">
        <v>96</v>
      </c>
      <c r="B18" s="409"/>
      <c r="C18" s="409" t="str">
        <f>IF(ISTEXT(IFERROR(VLOOKUP(A18,职业列表!I3:J10,1,FALSE),0)),"★","")</f>
        <v/>
      </c>
      <c r="D18" s="409"/>
      <c r="E18" s="409"/>
      <c r="F18" s="409"/>
      <c r="G18" s="409"/>
      <c r="H18" s="409"/>
      <c r="I18" s="409"/>
      <c r="J18" s="409"/>
      <c r="K18" s="409"/>
      <c r="L18" s="409"/>
      <c r="M18" s="409"/>
      <c r="N18" s="409"/>
      <c r="O18" s="409"/>
      <c r="P18" s="409"/>
      <c r="Q18" s="409"/>
      <c r="R18" s="409"/>
      <c r="S18" s="409"/>
      <c r="T18" s="409"/>
      <c r="U18" s="409"/>
      <c r="V18" s="409"/>
      <c r="W18" s="409"/>
      <c r="X18" s="409"/>
      <c r="Y18" s="409"/>
      <c r="Z18" s="409"/>
      <c r="AA18" s="409"/>
      <c r="AB18" s="409"/>
      <c r="AC18" s="409"/>
      <c r="AD18" s="409"/>
      <c r="AE18" s="409"/>
      <c r="AF18" s="409"/>
      <c r="AG18" s="409"/>
      <c r="AH18" s="409"/>
      <c r="AI18" s="409"/>
      <c r="AJ18" s="409"/>
      <c r="AK18" s="409"/>
      <c r="AL18" s="409"/>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09"/>
      <c r="BK18" s="409"/>
      <c r="BL18" s="409"/>
      <c r="BM18" s="409"/>
      <c r="BN18" s="409"/>
      <c r="BO18" s="409"/>
      <c r="BP18" s="409"/>
      <c r="BQ18" s="409"/>
      <c r="BR18" s="409"/>
      <c r="BS18" s="409"/>
      <c r="BT18" s="409"/>
      <c r="BU18" s="409"/>
      <c r="BV18" s="409"/>
      <c r="BW18" s="409"/>
      <c r="BX18" s="409"/>
      <c r="BY18" s="409"/>
      <c r="BZ18" s="409"/>
      <c r="CA18" s="409"/>
      <c r="CB18" s="409"/>
      <c r="CC18" s="409"/>
      <c r="CD18" s="409"/>
      <c r="CE18" s="409"/>
      <c r="CF18" s="409"/>
      <c r="CG18" s="409"/>
      <c r="CH18" s="409"/>
      <c r="CI18" s="409"/>
      <c r="CJ18" s="409"/>
      <c r="CK18" s="409"/>
      <c r="CL18" s="409"/>
      <c r="CM18" s="409"/>
      <c r="CN18" s="409"/>
      <c r="CO18" s="409"/>
      <c r="CP18" s="409"/>
      <c r="CQ18" s="409"/>
      <c r="CR18" s="409"/>
      <c r="CS18" s="409"/>
      <c r="CT18" s="409"/>
      <c r="CU18" s="409"/>
      <c r="CV18" s="409"/>
      <c r="CW18" s="409"/>
      <c r="CX18" s="409"/>
      <c r="CY18" s="409"/>
      <c r="CZ18" s="409"/>
      <c r="DA18" s="409"/>
      <c r="DB18" s="409"/>
      <c r="DC18" s="409"/>
      <c r="DD18" s="409"/>
      <c r="DE18" s="409"/>
      <c r="DF18" s="409"/>
      <c r="DG18" s="409"/>
      <c r="DH18" s="409"/>
      <c r="DI18" s="409"/>
      <c r="DJ18" s="409"/>
      <c r="DK18" s="409"/>
      <c r="DL18" s="409"/>
      <c r="DM18" s="409"/>
      <c r="DN18" s="409"/>
      <c r="DO18" s="409"/>
      <c r="DP18" s="409"/>
      <c r="DQ18" s="409"/>
      <c r="DR18" s="409"/>
      <c r="DS18" s="409"/>
      <c r="DT18" s="409"/>
      <c r="DU18" s="409"/>
      <c r="DV18" s="409"/>
      <c r="DW18" s="409"/>
      <c r="DX18" s="409"/>
      <c r="DY18" s="409"/>
      <c r="DZ18" s="409"/>
      <c r="EA18" s="409"/>
      <c r="EB18" s="409"/>
      <c r="EC18" s="409"/>
      <c r="ED18" s="409"/>
      <c r="EE18" s="409"/>
      <c r="EF18" s="409"/>
      <c r="EG18" s="409"/>
      <c r="EH18" s="409"/>
      <c r="EI18" s="409"/>
      <c r="EJ18" s="409"/>
      <c r="EK18" s="409"/>
      <c r="EL18" s="409"/>
      <c r="EM18" s="409"/>
      <c r="EN18" s="409"/>
      <c r="EO18" s="409"/>
      <c r="EP18" s="409"/>
      <c r="EQ18" s="409"/>
      <c r="ER18" s="409"/>
      <c r="ES18" s="409"/>
      <c r="ET18" s="409"/>
      <c r="EU18" s="409"/>
      <c r="EV18" s="409"/>
      <c r="EW18" s="409"/>
      <c r="EX18" s="409"/>
      <c r="EY18" s="409"/>
      <c r="EZ18" s="409"/>
      <c r="FA18" s="409"/>
      <c r="FB18" s="409"/>
      <c r="FC18" s="409"/>
      <c r="FD18" s="409"/>
      <c r="FE18" s="409"/>
      <c r="FF18" s="409"/>
      <c r="FG18" s="409"/>
      <c r="FH18" s="409"/>
      <c r="FI18" s="409"/>
      <c r="FJ18" s="409"/>
      <c r="FK18" s="409"/>
      <c r="FL18" s="409"/>
      <c r="FM18" s="409"/>
      <c r="FN18" s="409"/>
      <c r="FO18" s="409"/>
      <c r="FP18" s="409"/>
      <c r="FQ18" s="409"/>
      <c r="FR18" s="409"/>
      <c r="FS18" s="409"/>
      <c r="FT18" s="409"/>
      <c r="FU18" s="409"/>
      <c r="FV18" s="409"/>
      <c r="FW18" s="409"/>
      <c r="FX18" s="409"/>
      <c r="FY18" s="409"/>
      <c r="FZ18" s="409"/>
      <c r="GA18" s="409"/>
      <c r="GB18" s="409"/>
      <c r="GC18" s="409"/>
      <c r="GD18" s="409"/>
      <c r="GE18" s="409"/>
      <c r="GF18" s="409"/>
      <c r="GG18" s="409"/>
      <c r="GH18" s="409"/>
      <c r="GI18" s="409"/>
      <c r="GJ18" s="409"/>
      <c r="GK18" s="409"/>
      <c r="GL18" s="409"/>
      <c r="GM18" s="409"/>
      <c r="GN18" s="409"/>
      <c r="GO18" s="409"/>
      <c r="GP18" s="409"/>
      <c r="GQ18" s="409"/>
      <c r="GR18" s="409"/>
      <c r="GS18" s="409"/>
      <c r="GT18" s="409"/>
      <c r="GU18" s="409"/>
      <c r="GV18" s="409"/>
      <c r="GW18" s="409"/>
      <c r="GX18" s="409"/>
      <c r="GY18" s="409"/>
      <c r="GZ18" s="409"/>
      <c r="HA18" s="409"/>
      <c r="HB18" s="409"/>
      <c r="HC18" s="409"/>
      <c r="HD18" s="409"/>
      <c r="HE18" s="409"/>
      <c r="HF18" s="409"/>
      <c r="HG18" s="409"/>
      <c r="HH18" s="409"/>
      <c r="HI18" s="409"/>
      <c r="HJ18" s="409"/>
      <c r="HK18" s="409"/>
      <c r="HL18" s="409"/>
      <c r="HM18" s="409"/>
      <c r="HN18" s="409"/>
      <c r="HO18" s="409"/>
      <c r="HP18" s="409"/>
      <c r="HQ18" s="409"/>
      <c r="HR18" s="409"/>
      <c r="HS18" s="409"/>
      <c r="HT18" s="409"/>
      <c r="HU18" s="409"/>
      <c r="HV18" s="409"/>
      <c r="HW18" s="409"/>
      <c r="HX18" s="409"/>
    </row>
    <row r="19" spans="1:232" ht="11.55" customHeight="1">
      <c r="A19" s="408" t="s">
        <v>103</v>
      </c>
      <c r="B19" s="409"/>
      <c r="C19" s="409" t="str">
        <f>IF(ISTEXT(IFERROR(VLOOKUP(A19,职业列表!I3:J10,1,FALSE),0)),"★","")</f>
        <v/>
      </c>
      <c r="D19" s="409"/>
      <c r="E19" s="409"/>
      <c r="F19" s="409" t="s">
        <v>93</v>
      </c>
      <c r="G19" s="409" t="s">
        <v>93</v>
      </c>
      <c r="H19" s="409"/>
      <c r="I19" s="409"/>
      <c r="J19" s="409"/>
      <c r="K19" s="409"/>
      <c r="L19" s="409"/>
      <c r="M19" s="409"/>
      <c r="N19" s="409"/>
      <c r="O19" s="409"/>
      <c r="P19" s="409"/>
      <c r="Q19" s="409"/>
      <c r="R19" s="409"/>
      <c r="S19" s="409"/>
      <c r="T19" s="409"/>
      <c r="U19" s="409"/>
      <c r="V19" s="409"/>
      <c r="W19" s="409"/>
      <c r="X19" s="409"/>
      <c r="Y19" s="409"/>
      <c r="Z19" s="409"/>
      <c r="AA19" s="409"/>
      <c r="AB19" s="409"/>
      <c r="AC19" s="409"/>
      <c r="AD19" s="409" t="s">
        <v>93</v>
      </c>
      <c r="AE19" s="409"/>
      <c r="AF19" s="409"/>
      <c r="AG19" s="409"/>
      <c r="AH19" s="409"/>
      <c r="AI19" s="409" t="s">
        <v>1355</v>
      </c>
      <c r="AJ19" s="409"/>
      <c r="AK19" s="409"/>
      <c r="AL19" s="409"/>
      <c r="AM19" s="409"/>
      <c r="AN19" s="409"/>
      <c r="AO19" s="409"/>
      <c r="AP19" s="409"/>
      <c r="AQ19" s="409"/>
      <c r="AR19" s="409"/>
      <c r="AS19" s="409"/>
      <c r="AT19" s="409"/>
      <c r="AU19" s="409"/>
      <c r="AV19" s="409"/>
      <c r="AW19" s="409"/>
      <c r="AX19" s="409"/>
      <c r="AY19" s="409"/>
      <c r="AZ19" s="409"/>
      <c r="BA19" s="409"/>
      <c r="BB19" s="409" t="s">
        <v>93</v>
      </c>
      <c r="BC19" s="409"/>
      <c r="BD19" s="409"/>
      <c r="BE19" s="409"/>
      <c r="BF19" s="409"/>
      <c r="BG19" s="409"/>
      <c r="BH19" s="409"/>
      <c r="BI19" s="409"/>
      <c r="BJ19" s="409"/>
      <c r="BK19" s="409"/>
      <c r="BL19" s="409"/>
      <c r="BM19" s="409"/>
      <c r="BN19" s="409"/>
      <c r="BO19" s="409"/>
      <c r="BP19" s="409"/>
      <c r="BQ19" s="409"/>
      <c r="BR19" s="409"/>
      <c r="BS19" s="409"/>
      <c r="BT19" s="409"/>
      <c r="BU19" s="409"/>
      <c r="BV19" s="409"/>
      <c r="BW19" s="409"/>
      <c r="BX19" s="409"/>
      <c r="BY19" s="409"/>
      <c r="BZ19" s="409"/>
      <c r="CA19" s="409"/>
      <c r="CB19" s="409"/>
      <c r="CC19" s="409"/>
      <c r="CD19" s="409"/>
      <c r="CE19" s="409"/>
      <c r="CF19" s="409"/>
      <c r="CG19" s="409"/>
      <c r="CH19" s="409"/>
      <c r="CI19" s="409"/>
      <c r="CJ19" s="409"/>
      <c r="CK19" s="409"/>
      <c r="CL19" s="409"/>
      <c r="CM19" s="409" t="s">
        <v>1355</v>
      </c>
      <c r="CN19" s="409"/>
      <c r="CO19" s="409" t="s">
        <v>93</v>
      </c>
      <c r="CP19" s="409"/>
      <c r="CQ19" s="409"/>
      <c r="CR19" s="409"/>
      <c r="CS19" s="409"/>
      <c r="CT19" s="409"/>
      <c r="CU19" s="409"/>
      <c r="CV19" s="409"/>
      <c r="CW19" s="409"/>
      <c r="CX19" s="409"/>
      <c r="CY19" s="409"/>
      <c r="CZ19" s="409"/>
      <c r="DA19" s="409"/>
      <c r="DB19" s="409"/>
      <c r="DC19" s="409" t="s">
        <v>1355</v>
      </c>
      <c r="DD19" s="409"/>
      <c r="DE19" s="409"/>
      <c r="DF19" s="409"/>
      <c r="DG19" s="409"/>
      <c r="DH19" s="409"/>
      <c r="DI19" s="409"/>
      <c r="DJ19" s="409"/>
      <c r="DK19" s="409"/>
      <c r="DL19" s="409"/>
      <c r="DM19" s="409"/>
      <c r="DN19" s="409"/>
      <c r="DO19" s="409"/>
      <c r="DP19" s="409"/>
      <c r="DQ19" s="409"/>
      <c r="DR19" s="409"/>
      <c r="DS19" s="409" t="s">
        <v>93</v>
      </c>
      <c r="DT19" s="409"/>
      <c r="DU19" s="409"/>
      <c r="DV19" s="409"/>
      <c r="DW19" s="409"/>
      <c r="DX19" s="409" t="s">
        <v>93</v>
      </c>
      <c r="DY19" s="409"/>
      <c r="DZ19" s="409"/>
      <c r="EA19" s="409"/>
      <c r="EB19" s="409"/>
      <c r="EC19" s="409" t="s">
        <v>93</v>
      </c>
      <c r="ED19" s="409"/>
      <c r="EE19" s="409"/>
      <c r="EF19" s="409"/>
      <c r="EG19" s="409"/>
      <c r="EH19" s="409"/>
      <c r="EI19" s="409"/>
      <c r="EJ19" s="409"/>
      <c r="EK19" s="409"/>
      <c r="EL19" s="409"/>
      <c r="EM19" s="409"/>
      <c r="EN19" s="409"/>
      <c r="EO19" s="409"/>
      <c r="EP19" s="409"/>
      <c r="EQ19" s="409"/>
      <c r="ER19" s="409"/>
      <c r="ES19" s="409"/>
      <c r="ET19" s="409"/>
      <c r="EU19" s="409" t="s">
        <v>93</v>
      </c>
      <c r="EV19" s="409"/>
      <c r="EW19" s="409"/>
      <c r="EX19" s="409"/>
      <c r="EY19" s="409"/>
      <c r="EZ19" s="409"/>
      <c r="FA19" s="409"/>
      <c r="FB19" s="409"/>
      <c r="FC19" s="409"/>
      <c r="FD19" s="409"/>
      <c r="FE19" s="409"/>
      <c r="FF19" s="409"/>
      <c r="FG19" s="409"/>
      <c r="FH19" s="409"/>
      <c r="FI19" s="409"/>
      <c r="FJ19" s="409"/>
      <c r="FK19" s="409"/>
      <c r="FL19" s="409"/>
      <c r="FM19" s="409"/>
      <c r="FN19" s="409" t="s">
        <v>93</v>
      </c>
      <c r="FO19" s="409"/>
      <c r="FP19" s="409"/>
      <c r="FQ19" s="409"/>
      <c r="FR19" s="409"/>
      <c r="FS19" s="409"/>
      <c r="FT19" s="409"/>
      <c r="FU19" s="409"/>
      <c r="FV19" s="409"/>
      <c r="FW19" s="409"/>
      <c r="FX19" s="409"/>
      <c r="FY19" s="409" t="s">
        <v>93</v>
      </c>
      <c r="FZ19" s="409" t="s">
        <v>93</v>
      </c>
      <c r="GA19" s="409"/>
      <c r="GB19" s="409"/>
      <c r="GC19" s="409"/>
      <c r="GD19" s="409"/>
      <c r="GE19" s="409"/>
      <c r="GF19" s="409" t="s">
        <v>93</v>
      </c>
      <c r="GG19" s="409" t="s">
        <v>93</v>
      </c>
      <c r="GH19" s="409" t="s">
        <v>93</v>
      </c>
      <c r="GI19" s="409" t="s">
        <v>93</v>
      </c>
      <c r="GJ19" s="409"/>
      <c r="GK19" s="409"/>
      <c r="GL19" s="409"/>
      <c r="GM19" s="409"/>
      <c r="GN19" s="409" t="s">
        <v>93</v>
      </c>
      <c r="GO19" s="409"/>
      <c r="GP19" s="409"/>
      <c r="GQ19" s="409"/>
      <c r="GR19" s="409"/>
      <c r="GS19" s="409"/>
      <c r="GT19" s="409"/>
      <c r="GU19" s="409"/>
      <c r="GV19" s="409"/>
      <c r="GW19" s="409"/>
      <c r="GX19" s="409"/>
      <c r="GY19" s="409" t="s">
        <v>1355</v>
      </c>
      <c r="GZ19" s="410"/>
      <c r="HA19" s="409"/>
      <c r="HB19" s="409"/>
      <c r="HC19" s="409"/>
      <c r="HD19" s="409"/>
      <c r="HE19" s="409"/>
      <c r="HF19" s="409"/>
      <c r="HG19" s="409"/>
      <c r="HH19" s="409" t="s">
        <v>93</v>
      </c>
      <c r="HI19" s="409"/>
      <c r="HJ19" s="409" t="s">
        <v>93</v>
      </c>
      <c r="HK19" s="409"/>
      <c r="HL19" s="409"/>
      <c r="HM19" s="409"/>
      <c r="HN19" s="409"/>
      <c r="HO19" s="409"/>
      <c r="HP19" s="409"/>
      <c r="HQ19" s="409"/>
      <c r="HR19" s="409"/>
      <c r="HS19" s="409"/>
      <c r="HT19" s="409"/>
      <c r="HU19" s="409"/>
      <c r="HV19" s="409"/>
      <c r="HW19" s="409"/>
      <c r="HX19" s="409" t="s">
        <v>93</v>
      </c>
    </row>
    <row r="20" spans="1:232" s="394" customFormat="1" ht="11.55" customHeight="1">
      <c r="A20" s="419" t="s">
        <v>105</v>
      </c>
      <c r="B20" s="420"/>
      <c r="C20" s="409" t="str">
        <f>IF(ISTEXT(IFERROR(VLOOKUP(A20,职业列表!I3:J10,1,FALSE),0)),"★","")</f>
        <v/>
      </c>
      <c r="D20" s="420"/>
      <c r="E20" s="420" t="s">
        <v>93</v>
      </c>
      <c r="F20" s="420"/>
      <c r="G20" s="420"/>
      <c r="H20" s="420"/>
      <c r="I20" s="420"/>
      <c r="J20" s="420"/>
      <c r="K20" s="420"/>
      <c r="L20" s="420"/>
      <c r="M20" s="420"/>
      <c r="N20" s="420"/>
      <c r="O20" s="420"/>
      <c r="P20" s="420" t="s">
        <v>93</v>
      </c>
      <c r="Q20" s="420"/>
      <c r="R20" s="420"/>
      <c r="S20" s="420"/>
      <c r="T20" s="420"/>
      <c r="U20" s="420"/>
      <c r="V20" s="420"/>
      <c r="W20" s="420" t="s">
        <v>93</v>
      </c>
      <c r="X20" s="420"/>
      <c r="Y20" s="420"/>
      <c r="Z20" s="420"/>
      <c r="AA20" s="420"/>
      <c r="AB20" s="420" t="s">
        <v>93</v>
      </c>
      <c r="AC20" s="420"/>
      <c r="AD20" s="420"/>
      <c r="AE20" s="420"/>
      <c r="AF20" s="420"/>
      <c r="AG20" s="420"/>
      <c r="AH20" s="420"/>
      <c r="AI20" s="420"/>
      <c r="AJ20" s="420"/>
      <c r="AK20" s="420"/>
      <c r="AL20" s="420"/>
      <c r="AM20" s="420"/>
      <c r="AN20" s="420"/>
      <c r="AO20" s="420"/>
      <c r="AP20" s="420"/>
      <c r="AQ20" s="420"/>
      <c r="AR20" s="420"/>
      <c r="AS20" s="420"/>
      <c r="AT20" s="420"/>
      <c r="AU20" s="420"/>
      <c r="AV20" s="420"/>
      <c r="AW20" s="420"/>
      <c r="AX20" s="420"/>
      <c r="AY20" s="420"/>
      <c r="AZ20" s="420"/>
      <c r="BA20" s="420"/>
      <c r="BB20" s="420"/>
      <c r="BC20" s="420"/>
      <c r="BD20" s="420"/>
      <c r="BE20" s="420"/>
      <c r="BF20" s="420" t="s">
        <v>93</v>
      </c>
      <c r="BG20" s="420"/>
      <c r="BH20" s="420"/>
      <c r="BI20" s="420"/>
      <c r="BJ20" s="420"/>
      <c r="BK20" s="420"/>
      <c r="BL20" s="420"/>
      <c r="BM20" s="420"/>
      <c r="BN20" s="420"/>
      <c r="BO20" s="420"/>
      <c r="BP20" s="420"/>
      <c r="BQ20" s="420"/>
      <c r="BR20" s="420"/>
      <c r="BS20" s="420"/>
      <c r="BT20" s="420" t="s">
        <v>93</v>
      </c>
      <c r="BU20" s="420"/>
      <c r="BV20" s="420"/>
      <c r="BW20" s="420"/>
      <c r="BX20" s="420"/>
      <c r="BY20" s="420"/>
      <c r="BZ20" s="420"/>
      <c r="CA20" s="420"/>
      <c r="CB20" s="420"/>
      <c r="CC20" s="420"/>
      <c r="CD20" s="420"/>
      <c r="CE20" s="420"/>
      <c r="CF20" s="420"/>
      <c r="CG20" s="420"/>
      <c r="CH20" s="420"/>
      <c r="CI20" s="420"/>
      <c r="CJ20" s="420"/>
      <c r="CK20" s="420"/>
      <c r="CL20" s="420"/>
      <c r="CM20" s="420"/>
      <c r="CN20" s="420"/>
      <c r="CO20" s="420"/>
      <c r="CP20" s="420"/>
      <c r="CQ20" s="420"/>
      <c r="CR20" s="420" t="s">
        <v>93</v>
      </c>
      <c r="CS20" s="420"/>
      <c r="CT20" s="420"/>
      <c r="CU20" s="420"/>
      <c r="CV20" s="420"/>
      <c r="CW20" s="420"/>
      <c r="CX20" s="420"/>
      <c r="CY20" s="420"/>
      <c r="CZ20" s="420"/>
      <c r="DA20" s="420"/>
      <c r="DB20" s="420" t="s">
        <v>93</v>
      </c>
      <c r="DC20" s="420"/>
      <c r="DD20" s="420"/>
      <c r="DE20" s="420" t="s">
        <v>93</v>
      </c>
      <c r="DF20" s="420"/>
      <c r="DG20" s="420"/>
      <c r="DH20" s="420"/>
      <c r="DI20" s="420" t="s">
        <v>93</v>
      </c>
      <c r="DJ20" s="420"/>
      <c r="DK20" s="420"/>
      <c r="DL20" s="420"/>
      <c r="DM20" s="420" t="s">
        <v>93</v>
      </c>
      <c r="DN20" s="420"/>
      <c r="DO20" s="420"/>
      <c r="DP20" s="420"/>
      <c r="DQ20" s="420" t="s">
        <v>93</v>
      </c>
      <c r="DR20" s="420" t="s">
        <v>93</v>
      </c>
      <c r="DS20" s="420" t="s">
        <v>93</v>
      </c>
      <c r="DT20" s="420"/>
      <c r="DU20" s="420"/>
      <c r="DV20" s="420"/>
      <c r="DW20" s="420"/>
      <c r="DX20" s="420"/>
      <c r="DY20" s="420"/>
      <c r="DZ20" s="420"/>
      <c r="EA20" s="420"/>
      <c r="EB20" s="420"/>
      <c r="EC20" s="420"/>
      <c r="ED20" s="420"/>
      <c r="EE20" s="420"/>
      <c r="EF20" s="420"/>
      <c r="EG20" s="420"/>
      <c r="EH20" s="420"/>
      <c r="EI20" s="420"/>
      <c r="EJ20" s="420"/>
      <c r="EK20" s="420"/>
      <c r="EL20" s="420"/>
      <c r="EM20" s="420" t="s">
        <v>93</v>
      </c>
      <c r="EN20" s="420"/>
      <c r="EO20" s="420"/>
      <c r="EP20" s="420"/>
      <c r="EQ20" s="420"/>
      <c r="ER20" s="420"/>
      <c r="ES20" s="420"/>
      <c r="ET20" s="420"/>
      <c r="EU20" s="420"/>
      <c r="EV20" s="420"/>
      <c r="EW20" s="420"/>
      <c r="EX20" s="420"/>
      <c r="EY20" s="420"/>
      <c r="EZ20" s="420"/>
      <c r="FA20" s="420"/>
      <c r="FB20" s="420"/>
      <c r="FC20" s="420"/>
      <c r="FD20" s="420"/>
      <c r="FE20" s="420"/>
      <c r="FF20" s="420"/>
      <c r="FG20" s="420"/>
      <c r="FH20" s="420"/>
      <c r="FI20" s="420"/>
      <c r="FJ20" s="420"/>
      <c r="FK20" s="420"/>
      <c r="FL20" s="420"/>
      <c r="FM20" s="420"/>
      <c r="FN20" s="420"/>
      <c r="FO20" s="420" t="s">
        <v>93</v>
      </c>
      <c r="FP20" s="420"/>
      <c r="FQ20" s="420"/>
      <c r="FR20" s="420"/>
      <c r="FS20" s="420"/>
      <c r="FT20" s="420"/>
      <c r="FU20" s="420"/>
      <c r="FV20" s="420"/>
      <c r="FW20" s="420"/>
      <c r="FX20" s="420"/>
      <c r="FY20" s="420"/>
      <c r="FZ20" s="420"/>
      <c r="GA20" s="420"/>
      <c r="GB20" s="420"/>
      <c r="GC20" s="420" t="s">
        <v>93</v>
      </c>
      <c r="GD20" s="420" t="s">
        <v>93</v>
      </c>
      <c r="GE20" s="420"/>
      <c r="GF20" s="420"/>
      <c r="GG20" s="420"/>
      <c r="GH20" s="420"/>
      <c r="GI20" s="420"/>
      <c r="GJ20" s="420" t="s">
        <v>93</v>
      </c>
      <c r="GK20" s="420"/>
      <c r="GL20" s="420"/>
      <c r="GM20" s="420"/>
      <c r="GN20" s="420"/>
      <c r="GO20" s="420"/>
      <c r="GP20" s="420"/>
      <c r="GQ20" s="420"/>
      <c r="GR20" s="420"/>
      <c r="GS20" s="420"/>
      <c r="GT20" s="420"/>
      <c r="GU20" s="420" t="s">
        <v>93</v>
      </c>
      <c r="GV20" s="420"/>
      <c r="GW20" s="420"/>
      <c r="GX20" s="420"/>
      <c r="GY20" s="420"/>
      <c r="GZ20" s="420"/>
      <c r="HA20" s="420"/>
      <c r="HB20" s="420"/>
      <c r="HC20" s="420"/>
      <c r="HD20" s="420" t="s">
        <v>93</v>
      </c>
      <c r="HE20" s="420"/>
      <c r="HF20" s="420"/>
      <c r="HG20" s="420"/>
      <c r="HH20" s="420"/>
      <c r="HI20" s="420"/>
      <c r="HJ20" s="455" t="s">
        <v>93</v>
      </c>
      <c r="HK20" s="420"/>
      <c r="HL20" s="420"/>
      <c r="HM20" s="420"/>
      <c r="HN20" s="420" t="s">
        <v>93</v>
      </c>
      <c r="HO20" s="420" t="s">
        <v>93</v>
      </c>
      <c r="HP20" s="420"/>
      <c r="HQ20" s="420"/>
      <c r="HR20" s="420" t="s">
        <v>93</v>
      </c>
      <c r="HS20" s="420"/>
      <c r="HT20" s="420"/>
      <c r="HU20" s="420" t="s">
        <v>93</v>
      </c>
      <c r="HV20" s="420"/>
      <c r="HW20" s="455" t="s">
        <v>93</v>
      </c>
      <c r="HX20" s="420"/>
    </row>
    <row r="21" spans="1:232" ht="11.55" customHeight="1">
      <c r="A21" s="408" t="s">
        <v>109</v>
      </c>
      <c r="B21" s="409"/>
      <c r="C21" s="409" t="str">
        <f>IF(ISTEXT(IFERROR(VLOOKUP(A21,职业列表!I3:J10,1,FALSE),0)),"★","")</f>
        <v/>
      </c>
      <c r="D21" s="409"/>
      <c r="E21" s="409"/>
      <c r="F21" s="409"/>
      <c r="G21" s="409" t="s">
        <v>93</v>
      </c>
      <c r="H21" s="409"/>
      <c r="I21" s="409"/>
      <c r="J21" s="409"/>
      <c r="K21" s="409"/>
      <c r="L21" s="409" t="s">
        <v>93</v>
      </c>
      <c r="M21" s="409"/>
      <c r="N21" s="409"/>
      <c r="O21" s="409"/>
      <c r="P21" s="409"/>
      <c r="Q21" s="409"/>
      <c r="R21" s="409"/>
      <c r="S21" s="409"/>
      <c r="T21" s="409"/>
      <c r="U21" s="409" t="s">
        <v>93</v>
      </c>
      <c r="V21" s="409" t="s">
        <v>93</v>
      </c>
      <c r="W21" s="409"/>
      <c r="X21" s="409"/>
      <c r="Y21" s="409"/>
      <c r="Z21" s="409"/>
      <c r="AA21" s="409"/>
      <c r="AB21" s="409"/>
      <c r="AC21" s="409"/>
      <c r="AD21" s="409"/>
      <c r="AE21" s="409" t="s">
        <v>93</v>
      </c>
      <c r="AF21" s="409" t="s">
        <v>93</v>
      </c>
      <c r="AG21" s="409"/>
      <c r="AH21" s="409"/>
      <c r="AI21" s="409"/>
      <c r="AJ21" s="409" t="s">
        <v>93</v>
      </c>
      <c r="AK21" s="409"/>
      <c r="AL21" s="409"/>
      <c r="AM21" s="409" t="s">
        <v>1355</v>
      </c>
      <c r="AN21" s="409"/>
      <c r="AO21" s="409"/>
      <c r="AP21" s="409" t="s">
        <v>93</v>
      </c>
      <c r="AQ21" s="409"/>
      <c r="AR21" s="409"/>
      <c r="AS21" s="409"/>
      <c r="AT21" s="409"/>
      <c r="AU21" s="409"/>
      <c r="AV21" s="409" t="s">
        <v>93</v>
      </c>
      <c r="AW21" s="409" t="s">
        <v>93</v>
      </c>
      <c r="AX21" s="409" t="s">
        <v>93</v>
      </c>
      <c r="AY21" s="409"/>
      <c r="AZ21" s="409"/>
      <c r="BA21" s="409"/>
      <c r="BB21" s="409"/>
      <c r="BC21" s="409"/>
      <c r="BD21" s="409" t="s">
        <v>93</v>
      </c>
      <c r="BE21" s="409" t="s">
        <v>93</v>
      </c>
      <c r="BF21" s="409" t="s">
        <v>93</v>
      </c>
      <c r="BG21" s="409"/>
      <c r="BH21" s="409"/>
      <c r="BI21" s="409"/>
      <c r="BJ21" s="409"/>
      <c r="BK21" s="409" t="s">
        <v>93</v>
      </c>
      <c r="BL21" s="409"/>
      <c r="BM21" s="409"/>
      <c r="BN21" s="409"/>
      <c r="BO21" s="409"/>
      <c r="BP21" s="409"/>
      <c r="BQ21" s="409"/>
      <c r="BR21" s="409"/>
      <c r="BS21" s="409" t="s">
        <v>93</v>
      </c>
      <c r="BT21" s="409"/>
      <c r="BU21" s="409"/>
      <c r="BV21" s="409"/>
      <c r="BW21" s="409"/>
      <c r="BX21" s="409" t="s">
        <v>93</v>
      </c>
      <c r="BY21" s="409"/>
      <c r="BZ21" s="409"/>
      <c r="CA21" s="409"/>
      <c r="CB21" s="409"/>
      <c r="CC21" s="409"/>
      <c r="CD21" s="409"/>
      <c r="CE21" s="409"/>
      <c r="CF21" s="409"/>
      <c r="CG21" s="409"/>
      <c r="CH21" s="409"/>
      <c r="CI21" s="409"/>
      <c r="CJ21" s="409"/>
      <c r="CK21" s="409"/>
      <c r="CL21" s="409"/>
      <c r="CM21" s="409"/>
      <c r="CN21" s="410" t="s">
        <v>1355</v>
      </c>
      <c r="CO21" s="409"/>
      <c r="CP21" s="409"/>
      <c r="CQ21" s="409"/>
      <c r="CR21" s="409"/>
      <c r="CS21" s="409"/>
      <c r="CT21" s="409"/>
      <c r="CU21" s="409"/>
      <c r="CV21" s="409"/>
      <c r="CW21" s="409"/>
      <c r="CX21" s="409" t="s">
        <v>93</v>
      </c>
      <c r="CY21" s="409"/>
      <c r="CZ21" s="409"/>
      <c r="DA21" s="409"/>
      <c r="DB21" s="409"/>
      <c r="DC21" s="409"/>
      <c r="DD21" s="409"/>
      <c r="DE21" s="409" t="s">
        <v>1358</v>
      </c>
      <c r="DF21" s="409"/>
      <c r="DG21" s="409" t="s">
        <v>93</v>
      </c>
      <c r="DH21" s="409"/>
      <c r="DI21" s="409"/>
      <c r="DJ21" s="409"/>
      <c r="DK21" s="409"/>
      <c r="DL21" s="409"/>
      <c r="DM21" s="409"/>
      <c r="DN21" s="409"/>
      <c r="DO21" s="409"/>
      <c r="DP21" s="409"/>
      <c r="DQ21" s="409"/>
      <c r="DR21" s="409"/>
      <c r="DS21" s="409"/>
      <c r="DT21" s="409"/>
      <c r="DU21" s="409"/>
      <c r="DV21" s="409"/>
      <c r="DW21" s="409"/>
      <c r="DX21" s="409"/>
      <c r="DY21" s="409"/>
      <c r="DZ21" s="409"/>
      <c r="EA21" s="409"/>
      <c r="EB21" s="409"/>
      <c r="EC21" s="409"/>
      <c r="ED21" s="409"/>
      <c r="EE21" s="409"/>
      <c r="EF21" s="409"/>
      <c r="EG21" s="409"/>
      <c r="EH21" s="409"/>
      <c r="EI21" s="409" t="s">
        <v>93</v>
      </c>
      <c r="EJ21" s="409"/>
      <c r="EK21" s="409" t="s">
        <v>93</v>
      </c>
      <c r="EL21" s="409"/>
      <c r="EM21" s="409"/>
      <c r="EN21" s="409"/>
      <c r="EO21" s="409"/>
      <c r="EP21" s="409" t="s">
        <v>93</v>
      </c>
      <c r="EQ21" s="409"/>
      <c r="ER21" s="409" t="s">
        <v>93</v>
      </c>
      <c r="ES21" s="409" t="s">
        <v>93</v>
      </c>
      <c r="ET21" s="409"/>
      <c r="EU21" s="409"/>
      <c r="EV21" s="409"/>
      <c r="EW21" s="409"/>
      <c r="EX21" s="409"/>
      <c r="EY21" s="409"/>
      <c r="EZ21" s="409"/>
      <c r="FA21" s="409"/>
      <c r="FB21" s="409" t="s">
        <v>93</v>
      </c>
      <c r="FC21" s="409" t="s">
        <v>93</v>
      </c>
      <c r="FD21" s="409" t="s">
        <v>93</v>
      </c>
      <c r="FE21" s="409"/>
      <c r="FF21" s="409"/>
      <c r="FG21" s="409"/>
      <c r="FH21" s="409"/>
      <c r="FI21" s="409"/>
      <c r="FJ21" s="409"/>
      <c r="FK21" s="409"/>
      <c r="FL21" s="409"/>
      <c r="FM21" s="409"/>
      <c r="FN21" s="409"/>
      <c r="FO21" s="409"/>
      <c r="FP21" s="409"/>
      <c r="FQ21" s="409"/>
      <c r="FR21" s="409"/>
      <c r="FS21" s="409"/>
      <c r="FT21" s="409"/>
      <c r="FU21" s="409"/>
      <c r="FV21" s="409"/>
      <c r="FW21" s="409"/>
      <c r="FX21" s="409"/>
      <c r="FY21" s="409"/>
      <c r="FZ21" s="409"/>
      <c r="GA21" s="409"/>
      <c r="GB21" s="409"/>
      <c r="GC21" s="409"/>
      <c r="GD21" s="409"/>
      <c r="GE21" s="409"/>
      <c r="GF21" s="409"/>
      <c r="GG21" s="409"/>
      <c r="GH21" s="409"/>
      <c r="GI21" s="409"/>
      <c r="GJ21" s="409"/>
      <c r="GK21" s="409"/>
      <c r="GL21" s="409"/>
      <c r="GM21" s="409"/>
      <c r="GN21" s="409"/>
      <c r="GO21" s="409" t="s">
        <v>93</v>
      </c>
      <c r="GP21" s="409"/>
      <c r="GQ21" s="409"/>
      <c r="GR21" s="409" t="s">
        <v>93</v>
      </c>
      <c r="GS21" s="409"/>
      <c r="GT21" s="409"/>
      <c r="GU21" s="409"/>
      <c r="GV21" s="409"/>
      <c r="GW21" s="409" t="s">
        <v>1355</v>
      </c>
      <c r="GX21" s="409"/>
      <c r="GY21" s="409"/>
      <c r="GZ21" s="409"/>
      <c r="HA21" s="409"/>
      <c r="HB21" s="409"/>
      <c r="HC21" s="409"/>
      <c r="HD21" s="410" t="s">
        <v>93</v>
      </c>
      <c r="HE21" s="409"/>
      <c r="HF21" s="409"/>
      <c r="HG21" s="409"/>
      <c r="HH21" s="409"/>
      <c r="HI21" s="409"/>
      <c r="HJ21" s="409"/>
      <c r="HK21" s="409"/>
      <c r="HL21" s="409"/>
      <c r="HM21" s="409"/>
      <c r="HN21" s="409"/>
      <c r="HO21" s="410" t="s">
        <v>1358</v>
      </c>
      <c r="HP21" s="409"/>
      <c r="HQ21" s="409"/>
      <c r="HR21" s="409"/>
      <c r="HS21" s="409"/>
      <c r="HT21" s="409"/>
      <c r="HU21" s="409" t="s">
        <v>1358</v>
      </c>
      <c r="HV21" s="409"/>
      <c r="HW21" s="409"/>
      <c r="HX21" s="409"/>
    </row>
    <row r="22" spans="1:232" ht="11.55" customHeight="1">
      <c r="A22" s="408" t="s">
        <v>111</v>
      </c>
      <c r="B22" s="409"/>
      <c r="C22" s="409" t="str">
        <f>IF(ISTEXT(IFERROR(VLOOKUP(A22,职业列表!I3:J10,1,FALSE),0)),"★","")</f>
        <v/>
      </c>
      <c r="D22" s="409"/>
      <c r="E22" s="409"/>
      <c r="F22" s="409"/>
      <c r="G22" s="409"/>
      <c r="H22" s="409"/>
      <c r="I22" s="409"/>
      <c r="J22" s="409"/>
      <c r="K22" s="409"/>
      <c r="L22" s="409"/>
      <c r="M22" s="409"/>
      <c r="N22" s="409"/>
      <c r="O22" s="409"/>
      <c r="P22" s="409"/>
      <c r="Q22" s="409"/>
      <c r="R22" s="409"/>
      <c r="S22" s="409"/>
      <c r="T22" s="409"/>
      <c r="U22" s="409"/>
      <c r="V22" s="409" t="s">
        <v>1355</v>
      </c>
      <c r="W22" s="409"/>
      <c r="X22" s="409"/>
      <c r="Y22" s="409"/>
      <c r="Z22" s="409" t="s">
        <v>93</v>
      </c>
      <c r="AA22" s="409" t="s">
        <v>93</v>
      </c>
      <c r="AB22" s="409"/>
      <c r="AC22" s="409"/>
      <c r="AD22" s="409" t="s">
        <v>93</v>
      </c>
      <c r="AE22" s="409" t="s">
        <v>1355</v>
      </c>
      <c r="AF22" s="409"/>
      <c r="AG22" s="409" t="s">
        <v>1355</v>
      </c>
      <c r="AH22" s="409"/>
      <c r="AI22" s="409"/>
      <c r="AJ22" s="409"/>
      <c r="AK22" s="409"/>
      <c r="AL22" s="409"/>
      <c r="AM22" s="409"/>
      <c r="AN22" s="409"/>
      <c r="AO22" s="409"/>
      <c r="AP22" s="409"/>
      <c r="AQ22" s="409"/>
      <c r="AR22" s="409"/>
      <c r="AS22" s="409"/>
      <c r="AT22" s="409"/>
      <c r="AU22" s="409"/>
      <c r="AV22" s="409"/>
      <c r="AW22" s="409"/>
      <c r="AX22" s="409" t="s">
        <v>93</v>
      </c>
      <c r="AY22" s="409"/>
      <c r="AZ22" s="409"/>
      <c r="BA22" s="409" t="s">
        <v>93</v>
      </c>
      <c r="BB22" s="409"/>
      <c r="BC22" s="409"/>
      <c r="BD22" s="409"/>
      <c r="BE22" s="409"/>
      <c r="BF22" s="409"/>
      <c r="BG22" s="409"/>
      <c r="BH22" s="409"/>
      <c r="BI22" s="409"/>
      <c r="BJ22" s="409"/>
      <c r="BK22" s="409"/>
      <c r="BL22" s="409"/>
      <c r="BM22" s="409"/>
      <c r="BN22" s="409" t="s">
        <v>93</v>
      </c>
      <c r="BO22" s="409"/>
      <c r="BP22" s="409"/>
      <c r="BQ22" s="409"/>
      <c r="BR22" s="409" t="s">
        <v>93</v>
      </c>
      <c r="BS22" s="409" t="s">
        <v>93</v>
      </c>
      <c r="BT22" s="409"/>
      <c r="BU22" s="409"/>
      <c r="BV22" s="409"/>
      <c r="BW22" s="409"/>
      <c r="BX22" s="409" t="s">
        <v>93</v>
      </c>
      <c r="BY22" s="409"/>
      <c r="BZ22" s="409"/>
      <c r="CA22" s="409"/>
      <c r="CB22" s="409"/>
      <c r="CC22" s="409"/>
      <c r="CD22" s="409"/>
      <c r="CE22" s="409"/>
      <c r="CF22" s="409"/>
      <c r="CG22" s="409"/>
      <c r="CH22" s="409"/>
      <c r="CI22" s="409"/>
      <c r="CJ22" s="409"/>
      <c r="CK22" s="409" t="s">
        <v>93</v>
      </c>
      <c r="CL22" s="409" t="s">
        <v>93</v>
      </c>
      <c r="CM22" s="409"/>
      <c r="CN22" s="409"/>
      <c r="CO22" s="409"/>
      <c r="CP22" s="409"/>
      <c r="CQ22" s="409"/>
      <c r="CR22" s="409"/>
      <c r="CS22" s="409"/>
      <c r="CT22" s="409"/>
      <c r="CU22" s="409"/>
      <c r="CV22" s="409" t="s">
        <v>1355</v>
      </c>
      <c r="CW22" s="409"/>
      <c r="CX22" s="409"/>
      <c r="CY22" s="409"/>
      <c r="CZ22" s="409"/>
      <c r="DA22" s="409" t="s">
        <v>93</v>
      </c>
      <c r="DB22" s="409"/>
      <c r="DC22" s="409"/>
      <c r="DD22" s="409"/>
      <c r="DE22" s="409" t="s">
        <v>1355</v>
      </c>
      <c r="DF22" s="409"/>
      <c r="DG22" s="409"/>
      <c r="DH22" s="409"/>
      <c r="DI22" s="409"/>
      <c r="DJ22" s="409"/>
      <c r="DK22" s="409"/>
      <c r="DL22" s="409"/>
      <c r="DM22" s="409"/>
      <c r="DN22" s="409"/>
      <c r="DO22" s="409"/>
      <c r="DP22" s="409"/>
      <c r="DQ22" s="409"/>
      <c r="DR22" s="409"/>
      <c r="DS22" s="409"/>
      <c r="DT22" s="409"/>
      <c r="DU22" s="409"/>
      <c r="DV22" s="409"/>
      <c r="DW22" s="409"/>
      <c r="DX22" s="409"/>
      <c r="DY22" s="409"/>
      <c r="DZ22" s="409"/>
      <c r="EA22" s="409"/>
      <c r="EB22" s="409"/>
      <c r="EC22" s="409"/>
      <c r="ED22" s="409"/>
      <c r="EE22" s="409"/>
      <c r="EF22" s="409"/>
      <c r="EG22" s="409"/>
      <c r="EH22" s="409"/>
      <c r="EI22" s="409" t="s">
        <v>93</v>
      </c>
      <c r="EJ22" s="409"/>
      <c r="EK22" s="409" t="s">
        <v>93</v>
      </c>
      <c r="EL22" s="409"/>
      <c r="EM22" s="409"/>
      <c r="EN22" s="409" t="s">
        <v>1355</v>
      </c>
      <c r="EO22" s="409"/>
      <c r="EP22" s="409" t="s">
        <v>93</v>
      </c>
      <c r="EQ22" s="409"/>
      <c r="ER22" s="409"/>
      <c r="ES22" s="409"/>
      <c r="ET22" s="409"/>
      <c r="EU22" s="409"/>
      <c r="EV22" s="409"/>
      <c r="EW22" s="409"/>
      <c r="EX22" s="409"/>
      <c r="EY22" s="409"/>
      <c r="EZ22" s="409" t="s">
        <v>93</v>
      </c>
      <c r="FA22" s="409"/>
      <c r="FB22" s="409" t="s">
        <v>1355</v>
      </c>
      <c r="FC22" s="409"/>
      <c r="FD22" s="409"/>
      <c r="FE22" s="409"/>
      <c r="FF22" s="409"/>
      <c r="FG22" s="409"/>
      <c r="FH22" s="409"/>
      <c r="FI22" s="409"/>
      <c r="FJ22" s="409"/>
      <c r="FK22" s="409"/>
      <c r="FL22" s="409"/>
      <c r="FM22" s="409"/>
      <c r="FN22" s="409"/>
      <c r="FO22" s="409"/>
      <c r="FP22" s="409"/>
      <c r="FQ22" s="409"/>
      <c r="FR22" s="409"/>
      <c r="FS22" s="409"/>
      <c r="FT22" s="409"/>
      <c r="FU22" s="409" t="s">
        <v>93</v>
      </c>
      <c r="FV22" s="409"/>
      <c r="FW22" s="409"/>
      <c r="FX22" s="409"/>
      <c r="FY22" s="409"/>
      <c r="FZ22" s="409"/>
      <c r="GA22" s="409" t="s">
        <v>93</v>
      </c>
      <c r="GB22" s="409"/>
      <c r="GC22" s="409"/>
      <c r="GD22" s="409"/>
      <c r="GE22" s="409"/>
      <c r="GF22" s="409"/>
      <c r="GG22" s="409"/>
      <c r="GH22" s="409"/>
      <c r="GI22" s="409"/>
      <c r="GJ22" s="409"/>
      <c r="GK22" s="409"/>
      <c r="GL22" s="409"/>
      <c r="GM22" s="409"/>
      <c r="GN22" s="409" t="s">
        <v>93</v>
      </c>
      <c r="GO22" s="409"/>
      <c r="GP22" s="409" t="s">
        <v>93</v>
      </c>
      <c r="GQ22" s="409"/>
      <c r="GR22" s="409" t="s">
        <v>93</v>
      </c>
      <c r="GS22" s="409"/>
      <c r="GT22" s="409" t="s">
        <v>93</v>
      </c>
      <c r="GU22" s="409"/>
      <c r="GV22" s="409"/>
      <c r="GW22" s="409"/>
      <c r="GX22" s="409" t="s">
        <v>93</v>
      </c>
      <c r="GY22" s="409"/>
      <c r="GZ22" s="409"/>
      <c r="HA22" s="409"/>
      <c r="HB22" s="409"/>
      <c r="HC22" s="409"/>
      <c r="HD22" s="409"/>
      <c r="HE22" s="409"/>
      <c r="HF22" s="409"/>
      <c r="HG22" s="409"/>
      <c r="HH22" s="409"/>
      <c r="HI22" s="409"/>
      <c r="HJ22" s="409"/>
      <c r="HK22" s="409"/>
      <c r="HL22" s="409"/>
      <c r="HM22" s="409"/>
      <c r="HN22" s="409"/>
      <c r="HO22" s="409"/>
      <c r="HP22" s="409"/>
      <c r="HQ22" s="409"/>
      <c r="HR22" s="409"/>
      <c r="HS22" s="409"/>
      <c r="HT22" s="409"/>
      <c r="HU22" s="409"/>
      <c r="HV22" s="409"/>
      <c r="HW22" s="409"/>
      <c r="HX22" s="409"/>
    </row>
    <row r="23" spans="1:232" ht="11.55" customHeight="1">
      <c r="A23" s="418" t="s">
        <v>114</v>
      </c>
      <c r="B23" s="409"/>
      <c r="C23" s="410" t="str">
        <f>IF(ISTEXT(IFERROR(VLOOKUP(A23,职业列表!I3:J10,1,FALSE),0)),"★","")</f>
        <v/>
      </c>
      <c r="D23" s="409"/>
      <c r="E23" s="409"/>
      <c r="F23" s="409"/>
      <c r="G23" s="409"/>
      <c r="H23" s="409"/>
      <c r="I23" s="409"/>
      <c r="J23" s="409"/>
      <c r="K23" s="409"/>
      <c r="L23" s="409"/>
      <c r="M23" s="409"/>
      <c r="N23" s="409"/>
      <c r="O23" s="409"/>
      <c r="P23" s="409"/>
      <c r="Q23" s="409"/>
      <c r="R23" s="409"/>
      <c r="S23" s="409"/>
      <c r="T23" s="409"/>
      <c r="U23" s="409"/>
      <c r="V23" s="409" t="s">
        <v>1355</v>
      </c>
      <c r="W23" s="409"/>
      <c r="X23" s="409"/>
      <c r="Y23" s="409"/>
      <c r="Z23" s="409" t="s">
        <v>93</v>
      </c>
      <c r="AA23" s="409" t="s">
        <v>93</v>
      </c>
      <c r="AB23" s="409"/>
      <c r="AC23" s="409"/>
      <c r="AD23" s="409"/>
      <c r="AE23" s="409"/>
      <c r="AF23" s="409"/>
      <c r="AG23" s="409"/>
      <c r="AH23" s="409"/>
      <c r="AI23" s="409"/>
      <c r="AJ23" s="409"/>
      <c r="AK23" s="409"/>
      <c r="AL23" s="409"/>
      <c r="AM23" s="409"/>
      <c r="AN23" s="409"/>
      <c r="AO23" s="409"/>
      <c r="AP23" s="409"/>
      <c r="AQ23" s="409"/>
      <c r="AR23" s="409"/>
      <c r="AS23" s="409"/>
      <c r="AT23" s="409"/>
      <c r="AU23" s="409"/>
      <c r="AV23" s="409"/>
      <c r="AW23" s="409"/>
      <c r="AX23" s="409"/>
      <c r="AY23" s="409"/>
      <c r="AZ23" s="409"/>
      <c r="BA23" s="409"/>
      <c r="BB23" s="409"/>
      <c r="BC23" s="409"/>
      <c r="BD23" s="409"/>
      <c r="BE23" s="409"/>
      <c r="BF23" s="409"/>
      <c r="BG23" s="409"/>
      <c r="BH23" s="409"/>
      <c r="BI23" s="409"/>
      <c r="BJ23" s="409"/>
      <c r="BK23" s="409"/>
      <c r="BL23" s="409"/>
      <c r="BM23" s="409"/>
      <c r="BN23" s="409"/>
      <c r="BO23" s="409"/>
      <c r="BP23" s="409"/>
      <c r="BQ23" s="409"/>
      <c r="BR23" s="409"/>
      <c r="BS23" s="409"/>
      <c r="BT23" s="409"/>
      <c r="BU23" s="409"/>
      <c r="BV23" s="409"/>
      <c r="BW23" s="409"/>
      <c r="BX23" s="409"/>
      <c r="BY23" s="409"/>
      <c r="BZ23" s="409"/>
      <c r="CA23" s="409"/>
      <c r="CB23" s="409"/>
      <c r="CC23" s="409"/>
      <c r="CD23" s="409"/>
      <c r="CE23" s="409"/>
      <c r="CF23" s="409"/>
      <c r="CG23" s="409"/>
      <c r="CH23" s="409"/>
      <c r="CI23" s="409"/>
      <c r="CJ23" s="409"/>
      <c r="CK23" s="409"/>
      <c r="CL23" s="409"/>
      <c r="CM23" s="409"/>
      <c r="CN23" s="409"/>
      <c r="CO23" s="409"/>
      <c r="CP23" s="409"/>
      <c r="CQ23" s="409"/>
      <c r="CR23" s="409"/>
      <c r="CS23" s="409"/>
      <c r="CT23" s="409"/>
      <c r="CU23" s="409"/>
      <c r="CV23" s="409"/>
      <c r="CW23" s="409"/>
      <c r="CX23" s="409"/>
      <c r="CY23" s="409"/>
      <c r="CZ23" s="409"/>
      <c r="DA23" s="409"/>
      <c r="DB23" s="409"/>
      <c r="DC23" s="409"/>
      <c r="DD23" s="409"/>
      <c r="DE23" s="409"/>
      <c r="DF23" s="409"/>
      <c r="DG23" s="409"/>
      <c r="DH23" s="409"/>
      <c r="DI23" s="409"/>
      <c r="DJ23" s="409"/>
      <c r="DK23" s="409"/>
      <c r="DL23" s="409"/>
      <c r="DM23" s="409"/>
      <c r="DN23" s="409"/>
      <c r="DO23" s="409"/>
      <c r="DP23" s="409"/>
      <c r="DQ23" s="409"/>
      <c r="DR23" s="409"/>
      <c r="DS23" s="409"/>
      <c r="DT23" s="409"/>
      <c r="DU23" s="409"/>
      <c r="DV23" s="409"/>
      <c r="DW23" s="409"/>
      <c r="DX23" s="409"/>
      <c r="DY23" s="409"/>
      <c r="DZ23" s="409"/>
      <c r="EA23" s="409"/>
      <c r="EB23" s="409"/>
      <c r="EC23" s="409"/>
      <c r="ED23" s="409"/>
      <c r="EE23" s="409"/>
      <c r="EF23" s="409"/>
      <c r="EG23" s="409"/>
      <c r="EH23" s="409"/>
      <c r="EI23" s="409"/>
      <c r="EJ23" s="409"/>
      <c r="EK23" s="409"/>
      <c r="EL23" s="409"/>
      <c r="EM23" s="409"/>
      <c r="EN23" s="409"/>
      <c r="EO23" s="409"/>
      <c r="EP23" s="409"/>
      <c r="EQ23" s="409"/>
      <c r="ER23" s="409"/>
      <c r="ES23" s="409"/>
      <c r="ET23" s="409"/>
      <c r="EU23" s="409"/>
      <c r="EV23" s="409"/>
      <c r="EW23" s="409"/>
      <c r="EX23" s="409"/>
      <c r="EY23" s="409"/>
      <c r="EZ23" s="409"/>
      <c r="FA23" s="409"/>
      <c r="FB23" s="409"/>
      <c r="FC23" s="409"/>
      <c r="FD23" s="409"/>
      <c r="FE23" s="409"/>
      <c r="FF23" s="409"/>
      <c r="FG23" s="409"/>
      <c r="FH23" s="409"/>
      <c r="FI23" s="409"/>
      <c r="FJ23" s="409"/>
      <c r="FK23" s="409"/>
      <c r="FL23" s="409"/>
      <c r="FM23" s="409"/>
      <c r="FN23" s="409"/>
      <c r="FO23" s="409"/>
      <c r="FP23" s="409"/>
      <c r="FQ23" s="409"/>
      <c r="FR23" s="409"/>
      <c r="FS23" s="409"/>
      <c r="FT23" s="409"/>
      <c r="FU23" s="409"/>
      <c r="FV23" s="409"/>
      <c r="FW23" s="409"/>
      <c r="FX23" s="409"/>
      <c r="FY23" s="409"/>
      <c r="FZ23" s="409"/>
      <c r="GA23" s="409"/>
      <c r="GB23" s="409"/>
      <c r="GC23" s="409"/>
      <c r="GD23" s="409"/>
      <c r="GE23" s="409"/>
      <c r="GF23" s="409"/>
      <c r="GG23" s="409"/>
      <c r="GH23" s="409"/>
      <c r="GI23" s="409"/>
      <c r="GJ23" s="409"/>
      <c r="GK23" s="409"/>
      <c r="GL23" s="409"/>
      <c r="GM23" s="409"/>
      <c r="GN23" s="409"/>
      <c r="GO23" s="409"/>
      <c r="GP23" s="409"/>
      <c r="GQ23" s="409"/>
      <c r="GR23" s="409"/>
      <c r="GS23" s="409"/>
      <c r="GT23" s="409" t="s">
        <v>93</v>
      </c>
      <c r="GU23" s="409"/>
      <c r="GV23" s="409"/>
      <c r="GW23" s="409"/>
      <c r="GX23" s="409" t="s">
        <v>93</v>
      </c>
      <c r="GY23" s="409"/>
      <c r="GZ23" s="409"/>
      <c r="HA23" s="409"/>
      <c r="HB23" s="409"/>
      <c r="HC23" s="409"/>
      <c r="HD23" s="409"/>
      <c r="HE23" s="409"/>
      <c r="HF23" s="409"/>
      <c r="HG23" s="409"/>
      <c r="HH23" s="409"/>
      <c r="HI23" s="409"/>
      <c r="HJ23" s="409"/>
      <c r="HK23" s="409"/>
      <c r="HL23" s="409"/>
      <c r="HM23" s="409"/>
      <c r="HN23" s="409"/>
      <c r="HO23" s="409"/>
      <c r="HP23" s="409"/>
      <c r="HQ23" s="409"/>
      <c r="HR23" s="409"/>
      <c r="HS23" s="409"/>
      <c r="HT23" s="409"/>
      <c r="HU23" s="409"/>
      <c r="HV23" s="409"/>
      <c r="HW23" s="409"/>
      <c r="HX23" s="409"/>
    </row>
    <row r="24" spans="1:232" s="393" customFormat="1" ht="11.55" customHeight="1">
      <c r="A24" s="415" t="s">
        <v>116</v>
      </c>
      <c r="B24" s="416"/>
      <c r="C24" s="409" t="str">
        <f>IF(ISTEXT(IFERROR(VLOOKUP(A24,职业列表!I3:J10,1,FALSE),0)),"★","")</f>
        <v/>
      </c>
      <c r="D24" s="416"/>
      <c r="E24" s="416"/>
      <c r="F24" s="416" t="s">
        <v>1357</v>
      </c>
      <c r="G24" s="416" t="s">
        <v>1357</v>
      </c>
      <c r="H24" s="416" t="s">
        <v>1357</v>
      </c>
      <c r="I24" s="416"/>
      <c r="J24" s="416"/>
      <c r="K24" s="416" t="s">
        <v>1357</v>
      </c>
      <c r="L24" s="416" t="s">
        <v>1357</v>
      </c>
      <c r="M24" s="416"/>
      <c r="N24" s="416"/>
      <c r="O24" s="416" t="s">
        <v>1357</v>
      </c>
      <c r="P24" s="416" t="s">
        <v>1357</v>
      </c>
      <c r="Q24" s="416" t="s">
        <v>1357</v>
      </c>
      <c r="R24" s="416"/>
      <c r="S24" s="416" t="s">
        <v>1357</v>
      </c>
      <c r="T24" s="416"/>
      <c r="U24" s="416" t="s">
        <v>1357</v>
      </c>
      <c r="V24" s="416" t="s">
        <v>1357</v>
      </c>
      <c r="W24" s="416"/>
      <c r="X24" s="416"/>
      <c r="Y24" s="416" t="s">
        <v>1357</v>
      </c>
      <c r="Z24" s="416"/>
      <c r="AA24" s="416" t="s">
        <v>1357</v>
      </c>
      <c r="AB24" s="416"/>
      <c r="AC24" s="416"/>
      <c r="AD24" s="416"/>
      <c r="AE24" s="416"/>
      <c r="AF24" s="416" t="s">
        <v>1357</v>
      </c>
      <c r="AG24" s="416"/>
      <c r="AH24" s="416" t="s">
        <v>1357</v>
      </c>
      <c r="AI24" s="416" t="s">
        <v>1357</v>
      </c>
      <c r="AJ24" s="416" t="s">
        <v>1357</v>
      </c>
      <c r="AK24" s="416" t="s">
        <v>1357</v>
      </c>
      <c r="AL24" s="416"/>
      <c r="AM24" s="416" t="s">
        <v>1357</v>
      </c>
      <c r="AN24" s="416" t="s">
        <v>1357</v>
      </c>
      <c r="AO24" s="416" t="s">
        <v>1357</v>
      </c>
      <c r="AP24" s="416" t="s">
        <v>1357</v>
      </c>
      <c r="AQ24" s="442"/>
      <c r="AR24" s="416" t="s">
        <v>1357</v>
      </c>
      <c r="AS24" s="416"/>
      <c r="AT24" s="416"/>
      <c r="AU24" s="416" t="s">
        <v>1357</v>
      </c>
      <c r="AV24" s="416" t="s">
        <v>1357</v>
      </c>
      <c r="AW24" s="416" t="s">
        <v>1357</v>
      </c>
      <c r="AX24" s="416" t="s">
        <v>93</v>
      </c>
      <c r="AY24" s="416" t="s">
        <v>1357</v>
      </c>
      <c r="AZ24" s="416" t="s">
        <v>93</v>
      </c>
      <c r="BA24" s="416"/>
      <c r="BB24" s="416" t="s">
        <v>1357</v>
      </c>
      <c r="BC24" s="416"/>
      <c r="BD24" s="416" t="s">
        <v>1357</v>
      </c>
      <c r="BE24" s="416"/>
      <c r="BF24" s="416"/>
      <c r="BG24" s="416" t="s">
        <v>1357</v>
      </c>
      <c r="BH24" s="416"/>
      <c r="BI24" s="416" t="s">
        <v>1357</v>
      </c>
      <c r="BJ24" s="416" t="s">
        <v>1357</v>
      </c>
      <c r="BK24" s="416" t="s">
        <v>1357</v>
      </c>
      <c r="BL24" s="416" t="s">
        <v>1357</v>
      </c>
      <c r="BM24" s="416"/>
      <c r="BN24" s="416" t="s">
        <v>1357</v>
      </c>
      <c r="BO24" s="416" t="s">
        <v>1357</v>
      </c>
      <c r="BP24" s="416" t="s">
        <v>1357</v>
      </c>
      <c r="BQ24" s="416"/>
      <c r="BR24" s="416"/>
      <c r="BS24" s="416"/>
      <c r="BT24" s="416"/>
      <c r="BU24" s="442"/>
      <c r="BV24" s="416" t="s">
        <v>1357</v>
      </c>
      <c r="BW24" s="416"/>
      <c r="BX24" s="416"/>
      <c r="BY24" s="416" t="s">
        <v>1357</v>
      </c>
      <c r="BZ24" s="416" t="s">
        <v>1357</v>
      </c>
      <c r="CA24" s="416"/>
      <c r="CB24" s="416"/>
      <c r="CC24" s="416" t="s">
        <v>1357</v>
      </c>
      <c r="CD24" s="416" t="s">
        <v>1357</v>
      </c>
      <c r="CE24" s="416" t="s">
        <v>1357</v>
      </c>
      <c r="CF24" s="416"/>
      <c r="CG24" s="416"/>
      <c r="CH24" s="416" t="s">
        <v>1357</v>
      </c>
      <c r="CI24" s="416" t="s">
        <v>1357</v>
      </c>
      <c r="CJ24" s="416" t="s">
        <v>1357</v>
      </c>
      <c r="CK24" s="416"/>
      <c r="CL24" s="416"/>
      <c r="CM24" s="416" t="s">
        <v>1357</v>
      </c>
      <c r="CN24" s="416" t="s">
        <v>1357</v>
      </c>
      <c r="CO24" s="416" t="s">
        <v>1357</v>
      </c>
      <c r="CP24" s="416"/>
      <c r="CQ24" s="416"/>
      <c r="CR24" s="416" t="s">
        <v>1357</v>
      </c>
      <c r="CS24" s="416"/>
      <c r="CT24" s="416"/>
      <c r="CU24" s="416" t="s">
        <v>1357</v>
      </c>
      <c r="CV24" s="416"/>
      <c r="CW24" s="416" t="s">
        <v>1357</v>
      </c>
      <c r="CX24" s="416" t="s">
        <v>1357</v>
      </c>
      <c r="CY24" s="416" t="s">
        <v>1357</v>
      </c>
      <c r="CZ24" s="416" t="s">
        <v>1357</v>
      </c>
      <c r="DA24" s="416" t="s">
        <v>1357</v>
      </c>
      <c r="DB24" s="416"/>
      <c r="DC24" s="416" t="s">
        <v>1357</v>
      </c>
      <c r="DD24" s="416"/>
      <c r="DE24" s="416"/>
      <c r="DF24" s="416"/>
      <c r="DG24" s="416" t="s">
        <v>1357</v>
      </c>
      <c r="DH24" s="416" t="s">
        <v>1357</v>
      </c>
      <c r="DI24" s="416" t="s">
        <v>1357</v>
      </c>
      <c r="DJ24" s="416" t="s">
        <v>1357</v>
      </c>
      <c r="DK24" s="416" t="s">
        <v>1357</v>
      </c>
      <c r="DL24" s="416" t="s">
        <v>1357</v>
      </c>
      <c r="DM24" s="416"/>
      <c r="DN24" s="416" t="s">
        <v>93</v>
      </c>
      <c r="DO24" s="416" t="s">
        <v>1357</v>
      </c>
      <c r="DP24" s="416" t="s">
        <v>1357</v>
      </c>
      <c r="DQ24" s="416" t="s">
        <v>1357</v>
      </c>
      <c r="DR24" s="416" t="s">
        <v>1357</v>
      </c>
      <c r="DS24" s="416" t="s">
        <v>1357</v>
      </c>
      <c r="DT24" s="416" t="s">
        <v>1357</v>
      </c>
      <c r="DU24" s="416" t="s">
        <v>1357</v>
      </c>
      <c r="DV24" s="416" t="s">
        <v>1357</v>
      </c>
      <c r="DW24" s="416" t="s">
        <v>1357</v>
      </c>
      <c r="DX24" s="416" t="s">
        <v>1357</v>
      </c>
      <c r="DY24" s="416" t="s">
        <v>1357</v>
      </c>
      <c r="DZ24" s="416" t="s">
        <v>1357</v>
      </c>
      <c r="EA24" s="416" t="s">
        <v>1357</v>
      </c>
      <c r="EB24" s="416" t="s">
        <v>1357</v>
      </c>
      <c r="EC24" s="416" t="s">
        <v>1357</v>
      </c>
      <c r="ED24" s="416"/>
      <c r="EE24" s="416" t="s">
        <v>1357</v>
      </c>
      <c r="EF24" s="416"/>
      <c r="EG24" s="416"/>
      <c r="EH24" s="416"/>
      <c r="EI24" s="416" t="s">
        <v>1357</v>
      </c>
      <c r="EJ24" s="416" t="s">
        <v>1357</v>
      </c>
      <c r="EK24" s="416" t="s">
        <v>1357</v>
      </c>
      <c r="EL24" s="416"/>
      <c r="EM24" s="416" t="s">
        <v>1357</v>
      </c>
      <c r="EN24" s="416"/>
      <c r="EO24" s="416" t="s">
        <v>1357</v>
      </c>
      <c r="EP24" s="416"/>
      <c r="EQ24" s="416" t="s">
        <v>93</v>
      </c>
      <c r="ER24" s="416" t="s">
        <v>1357</v>
      </c>
      <c r="ES24" s="416" t="s">
        <v>1357</v>
      </c>
      <c r="ET24" s="416" t="s">
        <v>1357</v>
      </c>
      <c r="EU24" s="416" t="s">
        <v>1357</v>
      </c>
      <c r="EV24" s="416" t="s">
        <v>1357</v>
      </c>
      <c r="EW24" s="416"/>
      <c r="EX24" s="416" t="s">
        <v>1357</v>
      </c>
      <c r="EY24" s="416" t="s">
        <v>1357</v>
      </c>
      <c r="EZ24" s="416"/>
      <c r="FA24" s="416" t="s">
        <v>1357</v>
      </c>
      <c r="FB24" s="416" t="s">
        <v>1357</v>
      </c>
      <c r="FC24" s="416"/>
      <c r="FD24" s="416" t="s">
        <v>93</v>
      </c>
      <c r="FE24" s="416" t="s">
        <v>1357</v>
      </c>
      <c r="FF24" s="416" t="s">
        <v>1357</v>
      </c>
      <c r="FG24" s="416" t="s">
        <v>1357</v>
      </c>
      <c r="FH24" s="416"/>
      <c r="FI24" s="416"/>
      <c r="FJ24" s="416" t="s">
        <v>1355</v>
      </c>
      <c r="FK24" s="416"/>
      <c r="FL24" s="416"/>
      <c r="FM24" s="416" t="s">
        <v>1357</v>
      </c>
      <c r="FN24" s="416" t="s">
        <v>93</v>
      </c>
      <c r="FO24" s="416"/>
      <c r="FP24" s="416"/>
      <c r="FQ24" s="416" t="s">
        <v>1357</v>
      </c>
      <c r="FR24" s="416" t="s">
        <v>1357</v>
      </c>
      <c r="FS24" s="416"/>
      <c r="FT24" s="416"/>
      <c r="FU24" s="416"/>
      <c r="FV24" s="416" t="s">
        <v>1357</v>
      </c>
      <c r="FW24" s="416"/>
      <c r="FX24" s="416"/>
      <c r="FY24" s="416" t="s">
        <v>1357</v>
      </c>
      <c r="FZ24" s="416"/>
      <c r="GA24" s="416"/>
      <c r="GB24" s="416" t="s">
        <v>1357</v>
      </c>
      <c r="GC24" s="416"/>
      <c r="GD24" s="416"/>
      <c r="GE24" s="416"/>
      <c r="GF24" s="416" t="s">
        <v>1357</v>
      </c>
      <c r="GG24" s="416" t="s">
        <v>1357</v>
      </c>
      <c r="GH24" s="416" t="s">
        <v>1357</v>
      </c>
      <c r="GI24" s="416" t="s">
        <v>1357</v>
      </c>
      <c r="GJ24" s="416"/>
      <c r="GK24" s="416" t="s">
        <v>93</v>
      </c>
      <c r="GL24" s="416" t="s">
        <v>93</v>
      </c>
      <c r="GM24" s="416" t="s">
        <v>93</v>
      </c>
      <c r="GN24" s="416" t="s">
        <v>1357</v>
      </c>
      <c r="GO24" s="416" t="s">
        <v>1357</v>
      </c>
      <c r="GP24" s="416" t="s">
        <v>1357</v>
      </c>
      <c r="GQ24" s="416" t="s">
        <v>1357</v>
      </c>
      <c r="GR24" s="416"/>
      <c r="GS24" s="416"/>
      <c r="GT24" s="416" t="s">
        <v>1357</v>
      </c>
      <c r="GU24" s="416"/>
      <c r="GV24" s="416"/>
      <c r="GW24" s="416" t="s">
        <v>1357</v>
      </c>
      <c r="GX24" s="416" t="s">
        <v>1357</v>
      </c>
      <c r="GY24" s="416" t="s">
        <v>1357</v>
      </c>
      <c r="GZ24" s="416" t="s">
        <v>1357</v>
      </c>
      <c r="HA24" s="416" t="s">
        <v>1357</v>
      </c>
      <c r="HB24" s="416"/>
      <c r="HC24" s="416" t="s">
        <v>1357</v>
      </c>
      <c r="HD24" s="416"/>
      <c r="HE24" s="416" t="s">
        <v>1357</v>
      </c>
      <c r="HF24" s="416"/>
      <c r="HG24" s="416" t="s">
        <v>1357</v>
      </c>
      <c r="HH24" s="417" t="s">
        <v>1357</v>
      </c>
      <c r="HI24" s="416"/>
      <c r="HJ24" s="417" t="s">
        <v>1357</v>
      </c>
      <c r="HK24" s="416" t="s">
        <v>1357</v>
      </c>
      <c r="HL24" s="416"/>
      <c r="HM24" s="417" t="s">
        <v>1357</v>
      </c>
      <c r="HN24" s="416" t="s">
        <v>1357</v>
      </c>
      <c r="HO24" s="416" t="s">
        <v>1357</v>
      </c>
      <c r="HP24" s="416" t="s">
        <v>1357</v>
      </c>
      <c r="HQ24" s="416"/>
      <c r="HR24" s="417" t="s">
        <v>1357</v>
      </c>
      <c r="HS24" s="417" t="s">
        <v>1357</v>
      </c>
      <c r="HT24" s="417" t="s">
        <v>1357</v>
      </c>
      <c r="HU24" s="416"/>
      <c r="HV24" s="416" t="s">
        <v>1357</v>
      </c>
      <c r="HW24" s="416"/>
      <c r="HX24" s="416" t="s">
        <v>1357</v>
      </c>
    </row>
    <row r="25" spans="1:232" s="395" customFormat="1" ht="11.55" customHeight="1">
      <c r="A25" s="421" t="s">
        <v>119</v>
      </c>
      <c r="B25" s="422"/>
      <c r="C25" s="409" t="str">
        <f>IF(ISTEXT(IFERROR(VLOOKUP(A25,职业列表!I3:J10,1,FALSE),0)),"★","")</f>
        <v/>
      </c>
      <c r="D25" s="422"/>
      <c r="E25" s="422"/>
      <c r="F25" s="422" t="s">
        <v>93</v>
      </c>
      <c r="G25" s="422"/>
      <c r="H25" s="422" t="s">
        <v>93</v>
      </c>
      <c r="I25" s="422"/>
      <c r="J25" s="422"/>
      <c r="K25" s="422"/>
      <c r="L25" s="422"/>
      <c r="M25" s="422"/>
      <c r="N25" s="422"/>
      <c r="O25" s="422"/>
      <c r="P25" s="422" t="s">
        <v>93</v>
      </c>
      <c r="Q25" s="422" t="s">
        <v>93</v>
      </c>
      <c r="R25" s="422"/>
      <c r="S25" s="422" t="s">
        <v>93</v>
      </c>
      <c r="T25" s="422"/>
      <c r="U25" s="422"/>
      <c r="V25" s="439" t="s">
        <v>1356</v>
      </c>
      <c r="W25" s="422" t="s">
        <v>93</v>
      </c>
      <c r="X25" s="422"/>
      <c r="Y25" s="422"/>
      <c r="Z25" s="422"/>
      <c r="AA25" s="422"/>
      <c r="AB25" s="422" t="s">
        <v>1356</v>
      </c>
      <c r="AC25" s="422"/>
      <c r="AD25" s="422" t="s">
        <v>93</v>
      </c>
      <c r="AE25" s="422" t="s">
        <v>93</v>
      </c>
      <c r="AF25" s="422" t="s">
        <v>93</v>
      </c>
      <c r="AG25" s="422"/>
      <c r="AH25" s="422"/>
      <c r="AI25" s="422" t="s">
        <v>1356</v>
      </c>
      <c r="AJ25" s="422" t="s">
        <v>1355</v>
      </c>
      <c r="AK25" s="422"/>
      <c r="AL25" s="422"/>
      <c r="AM25" s="422"/>
      <c r="AN25" s="422" t="s">
        <v>93</v>
      </c>
      <c r="AO25" s="422"/>
      <c r="AP25" s="422" t="s">
        <v>1355</v>
      </c>
      <c r="AQ25" s="422"/>
      <c r="AR25" s="422"/>
      <c r="AS25" s="422"/>
      <c r="AT25" s="422"/>
      <c r="AU25" s="422"/>
      <c r="AV25" s="422"/>
      <c r="AW25" s="422"/>
      <c r="AX25" s="422"/>
      <c r="AY25" s="422"/>
      <c r="AZ25" s="422"/>
      <c r="BA25" s="422"/>
      <c r="BB25" s="422"/>
      <c r="BC25" s="422"/>
      <c r="BD25" s="422"/>
      <c r="BE25" s="422" t="s">
        <v>93</v>
      </c>
      <c r="BF25" s="422"/>
      <c r="BG25" s="422"/>
      <c r="BH25" s="422"/>
      <c r="BI25" s="422"/>
      <c r="BJ25" s="422" t="s">
        <v>93</v>
      </c>
      <c r="BK25" s="422" t="s">
        <v>93</v>
      </c>
      <c r="BL25" s="422"/>
      <c r="BM25" s="422"/>
      <c r="BN25" s="422" t="s">
        <v>93</v>
      </c>
      <c r="BO25" s="422"/>
      <c r="BP25" s="422"/>
      <c r="BQ25" s="422"/>
      <c r="BR25" s="422"/>
      <c r="BS25" s="422" t="s">
        <v>93</v>
      </c>
      <c r="BT25" s="422"/>
      <c r="BU25" s="422"/>
      <c r="BV25" s="422"/>
      <c r="BW25" s="422"/>
      <c r="BX25" s="422"/>
      <c r="BY25" s="422"/>
      <c r="BZ25" s="422"/>
      <c r="CA25" s="422"/>
      <c r="CB25" s="422"/>
      <c r="CC25" s="422"/>
      <c r="CD25" s="422"/>
      <c r="CE25" s="422"/>
      <c r="CF25" s="422"/>
      <c r="CG25" s="422"/>
      <c r="CH25" s="422"/>
      <c r="CI25" s="422"/>
      <c r="CJ25" s="422"/>
      <c r="CK25" s="422"/>
      <c r="CL25" s="422"/>
      <c r="CM25" s="422"/>
      <c r="CN25" s="439" t="s">
        <v>93</v>
      </c>
      <c r="CO25" s="422"/>
      <c r="CP25" s="422"/>
      <c r="CQ25" s="422"/>
      <c r="CR25" s="422"/>
      <c r="CS25" s="422"/>
      <c r="CT25" s="422"/>
      <c r="CU25" s="422"/>
      <c r="CV25" s="422" t="s">
        <v>93</v>
      </c>
      <c r="CW25" s="422"/>
      <c r="CX25" s="422"/>
      <c r="CY25" s="422"/>
      <c r="CZ25" s="422"/>
      <c r="DA25" s="422"/>
      <c r="DB25" s="422" t="s">
        <v>93</v>
      </c>
      <c r="DC25" s="422"/>
      <c r="DD25" s="422"/>
      <c r="DE25" s="422" t="s">
        <v>93</v>
      </c>
      <c r="DF25" s="422" t="s">
        <v>1355</v>
      </c>
      <c r="DG25" s="422"/>
      <c r="DH25" s="422" t="s">
        <v>93</v>
      </c>
      <c r="DI25" s="422"/>
      <c r="DJ25" s="422"/>
      <c r="DK25" s="422"/>
      <c r="DL25" s="422"/>
      <c r="DM25" s="422"/>
      <c r="DN25" s="422"/>
      <c r="DO25" s="422" t="s">
        <v>93</v>
      </c>
      <c r="DP25" s="422" t="s">
        <v>93</v>
      </c>
      <c r="DQ25" s="422" t="s">
        <v>93</v>
      </c>
      <c r="DR25" s="422" t="s">
        <v>93</v>
      </c>
      <c r="DS25" s="422"/>
      <c r="DT25" s="422"/>
      <c r="DU25" s="422"/>
      <c r="DV25" s="422"/>
      <c r="DW25" s="422"/>
      <c r="DX25" s="422"/>
      <c r="DY25" s="422" t="s">
        <v>93</v>
      </c>
      <c r="DZ25" s="422"/>
      <c r="EA25" s="422"/>
      <c r="EB25" s="422"/>
      <c r="EC25" s="422"/>
      <c r="ED25" s="422"/>
      <c r="EE25" s="422"/>
      <c r="EF25" s="422"/>
      <c r="EG25" s="422"/>
      <c r="EH25" s="422"/>
      <c r="EI25" s="422"/>
      <c r="EJ25" s="422"/>
      <c r="EK25" s="422"/>
      <c r="EL25" s="422"/>
      <c r="EM25" s="422" t="s">
        <v>93</v>
      </c>
      <c r="EN25" s="422"/>
      <c r="EO25" s="422"/>
      <c r="EP25" s="422"/>
      <c r="EQ25" s="422"/>
      <c r="ER25" s="422"/>
      <c r="ES25" s="422"/>
      <c r="ET25" s="422"/>
      <c r="EU25" s="422"/>
      <c r="EV25" s="422"/>
      <c r="EW25" s="422"/>
      <c r="EX25" s="422"/>
      <c r="EY25" s="422"/>
      <c r="EZ25" s="422"/>
      <c r="FA25" s="422"/>
      <c r="FB25" s="422"/>
      <c r="FC25" s="422" t="s">
        <v>93</v>
      </c>
      <c r="FD25" s="422" t="s">
        <v>93</v>
      </c>
      <c r="FE25" s="422"/>
      <c r="FF25" s="422"/>
      <c r="FG25" s="422"/>
      <c r="FH25" s="422" t="s">
        <v>93</v>
      </c>
      <c r="FI25" s="422" t="s">
        <v>93</v>
      </c>
      <c r="FJ25" s="422"/>
      <c r="FK25" s="422"/>
      <c r="FL25" s="422"/>
      <c r="FM25" s="422"/>
      <c r="FN25" s="422"/>
      <c r="FO25" s="422" t="s">
        <v>93</v>
      </c>
      <c r="FP25" s="422"/>
      <c r="FQ25" s="422"/>
      <c r="FR25" s="422"/>
      <c r="FS25" s="422"/>
      <c r="FT25" s="422"/>
      <c r="FU25" s="422"/>
      <c r="FV25" s="422"/>
      <c r="FW25" s="422"/>
      <c r="FX25" s="422"/>
      <c r="FY25" s="422"/>
      <c r="FZ25" s="422"/>
      <c r="GA25" s="422" t="s">
        <v>93</v>
      </c>
      <c r="GB25" s="422"/>
      <c r="GC25" s="422" t="s">
        <v>93</v>
      </c>
      <c r="GD25" s="422" t="s">
        <v>93</v>
      </c>
      <c r="GE25" s="422"/>
      <c r="GF25" s="422"/>
      <c r="GG25" s="422"/>
      <c r="GH25" s="422"/>
      <c r="GI25" s="422"/>
      <c r="GJ25" s="422"/>
      <c r="GK25" s="422"/>
      <c r="GL25" s="422"/>
      <c r="GM25" s="422"/>
      <c r="GN25" s="422"/>
      <c r="GO25" s="422"/>
      <c r="GP25" s="422"/>
      <c r="GQ25" s="422"/>
      <c r="GR25" s="422"/>
      <c r="GS25" s="422" t="s">
        <v>93</v>
      </c>
      <c r="GT25" s="422"/>
      <c r="GU25" s="422" t="s">
        <v>93</v>
      </c>
      <c r="GV25" s="422"/>
      <c r="GW25" s="422" t="s">
        <v>93</v>
      </c>
      <c r="GX25" s="422"/>
      <c r="GY25" s="422"/>
      <c r="GZ25" s="422"/>
      <c r="HA25" s="422"/>
      <c r="HB25" s="422"/>
      <c r="HC25" s="422"/>
      <c r="HD25" s="439" t="s">
        <v>1386</v>
      </c>
      <c r="HE25" s="422"/>
      <c r="HF25" s="422"/>
      <c r="HG25" s="422"/>
      <c r="HH25" s="422" t="s">
        <v>93</v>
      </c>
      <c r="HI25" s="422"/>
      <c r="HJ25" s="422"/>
      <c r="HK25" s="422"/>
      <c r="HL25" s="422" t="s">
        <v>93</v>
      </c>
      <c r="HM25" s="422"/>
      <c r="HN25" s="422"/>
      <c r="HO25" s="439" t="s">
        <v>1358</v>
      </c>
      <c r="HP25" s="422"/>
      <c r="HQ25" s="422"/>
      <c r="HR25" s="439" t="s">
        <v>93</v>
      </c>
      <c r="HS25" s="422"/>
      <c r="HT25" s="422"/>
      <c r="HU25" s="422"/>
      <c r="HV25" s="422"/>
      <c r="HW25" s="422"/>
      <c r="HX25" s="422" t="s">
        <v>93</v>
      </c>
    </row>
    <row r="26" spans="1:232" ht="11.55" customHeight="1">
      <c r="A26" s="413" t="s">
        <v>122</v>
      </c>
      <c r="B26" s="409"/>
      <c r="C26" s="409" t="str">
        <f>IF(ISTEXT(IFERROR(VLOOKUP(A26,职业列表!I3:J10,1,FALSE),0)),"★","")</f>
        <v/>
      </c>
      <c r="D26" s="409"/>
      <c r="E26" s="409"/>
      <c r="F26" s="409" t="s">
        <v>93</v>
      </c>
      <c r="G26" s="409"/>
      <c r="H26" s="409"/>
      <c r="I26" s="409"/>
      <c r="J26" s="409"/>
      <c r="K26" s="409"/>
      <c r="L26" s="409"/>
      <c r="M26" s="409"/>
      <c r="N26" s="409"/>
      <c r="O26" s="409"/>
      <c r="P26" s="409"/>
      <c r="Q26" s="409"/>
      <c r="R26" s="409"/>
      <c r="S26" s="409"/>
      <c r="T26" s="409"/>
      <c r="U26" s="409"/>
      <c r="V26" s="409" t="s">
        <v>1356</v>
      </c>
      <c r="W26" s="409"/>
      <c r="X26" s="409"/>
      <c r="Y26" s="409"/>
      <c r="Z26" s="409"/>
      <c r="AA26" s="409"/>
      <c r="AB26" s="409" t="s">
        <v>1356</v>
      </c>
      <c r="AC26" s="409"/>
      <c r="AD26" s="409" t="s">
        <v>93</v>
      </c>
      <c r="AE26" s="409" t="s">
        <v>93</v>
      </c>
      <c r="AF26" s="409" t="s">
        <v>93</v>
      </c>
      <c r="AG26" s="409"/>
      <c r="AH26" s="409"/>
      <c r="AI26" s="409" t="s">
        <v>1356</v>
      </c>
      <c r="AJ26" s="409"/>
      <c r="AK26" s="409"/>
      <c r="AL26" s="409"/>
      <c r="AM26" s="409"/>
      <c r="AN26" s="409" t="s">
        <v>93</v>
      </c>
      <c r="AO26" s="409"/>
      <c r="AP26" s="409"/>
      <c r="AQ26" s="409"/>
      <c r="AR26" s="409"/>
      <c r="AS26" s="409"/>
      <c r="AT26" s="409"/>
      <c r="AU26" s="409"/>
      <c r="AV26" s="409"/>
      <c r="AW26" s="409"/>
      <c r="AX26" s="409"/>
      <c r="AY26" s="409"/>
      <c r="AZ26" s="409"/>
      <c r="BA26" s="409"/>
      <c r="BB26" s="409"/>
      <c r="BC26" s="409"/>
      <c r="BD26" s="409"/>
      <c r="BE26" s="409"/>
      <c r="BF26" s="409"/>
      <c r="BG26" s="409"/>
      <c r="BH26" s="409"/>
      <c r="BI26" s="409"/>
      <c r="BJ26" s="409" t="s">
        <v>93</v>
      </c>
      <c r="BK26" s="409" t="s">
        <v>93</v>
      </c>
      <c r="BL26" s="409"/>
      <c r="BM26" s="409"/>
      <c r="BN26" s="409"/>
      <c r="BO26" s="409"/>
      <c r="BP26" s="409"/>
      <c r="BQ26" s="409"/>
      <c r="BR26" s="409"/>
      <c r="BS26" s="409" t="s">
        <v>93</v>
      </c>
      <c r="BT26" s="410" t="s">
        <v>1387</v>
      </c>
      <c r="BU26" s="409"/>
      <c r="BV26" s="409"/>
      <c r="BW26" s="409"/>
      <c r="BX26" s="409"/>
      <c r="BY26" s="409"/>
      <c r="BZ26" s="409"/>
      <c r="CA26" s="409"/>
      <c r="CB26" s="409"/>
      <c r="CC26" s="409"/>
      <c r="CD26" s="409"/>
      <c r="CE26" s="409"/>
      <c r="CF26" s="409"/>
      <c r="CG26" s="409"/>
      <c r="CH26" s="409"/>
      <c r="CI26" s="409"/>
      <c r="CJ26" s="409"/>
      <c r="CK26" s="409"/>
      <c r="CL26" s="409"/>
      <c r="CM26" s="409"/>
      <c r="CN26" s="409"/>
      <c r="CO26" s="409"/>
      <c r="CP26" s="409"/>
      <c r="CQ26" s="409"/>
      <c r="CR26" s="409"/>
      <c r="CS26" s="409"/>
      <c r="CT26" s="409"/>
      <c r="CU26" s="409"/>
      <c r="CV26" s="409" t="s">
        <v>93</v>
      </c>
      <c r="CW26" s="409"/>
      <c r="CX26" s="409"/>
      <c r="CY26" s="409"/>
      <c r="CZ26" s="409"/>
      <c r="DA26" s="409"/>
      <c r="DB26" s="409" t="s">
        <v>93</v>
      </c>
      <c r="DC26" s="409"/>
      <c r="DD26" s="409"/>
      <c r="DE26" s="409" t="s">
        <v>93</v>
      </c>
      <c r="DF26" s="409" t="s">
        <v>1355</v>
      </c>
      <c r="DG26" s="409"/>
      <c r="DH26" s="409"/>
      <c r="DI26" s="409"/>
      <c r="DJ26" s="409"/>
      <c r="DK26" s="409"/>
      <c r="DL26" s="409"/>
      <c r="DM26" s="409"/>
      <c r="DN26" s="409"/>
      <c r="DO26" s="409"/>
      <c r="DP26" s="409"/>
      <c r="DQ26" s="409"/>
      <c r="DR26" s="409"/>
      <c r="DS26" s="409"/>
      <c r="DT26" s="409"/>
      <c r="DU26" s="409"/>
      <c r="DV26" s="409"/>
      <c r="DW26" s="409"/>
      <c r="DX26" s="409"/>
      <c r="DY26" s="409"/>
      <c r="DZ26" s="409"/>
      <c r="EA26" s="409"/>
      <c r="EB26" s="409"/>
      <c r="EC26" s="409"/>
      <c r="ED26" s="409"/>
      <c r="EE26" s="409"/>
      <c r="EF26" s="409"/>
      <c r="EG26" s="409"/>
      <c r="EH26" s="409"/>
      <c r="EI26" s="409"/>
      <c r="EJ26" s="409"/>
      <c r="EK26" s="409"/>
      <c r="EL26" s="409"/>
      <c r="EM26" s="409"/>
      <c r="EN26" s="409"/>
      <c r="EO26" s="409"/>
      <c r="EP26" s="409"/>
      <c r="EQ26" s="409"/>
      <c r="ER26" s="409"/>
      <c r="ES26" s="409"/>
      <c r="ET26" s="409"/>
      <c r="EU26" s="409"/>
      <c r="EV26" s="409"/>
      <c r="EW26" s="409"/>
      <c r="EX26" s="409"/>
      <c r="EY26" s="409"/>
      <c r="EZ26" s="409"/>
      <c r="FA26" s="409"/>
      <c r="FB26" s="409"/>
      <c r="FC26" s="409" t="s">
        <v>1386</v>
      </c>
      <c r="FD26" s="409"/>
      <c r="FE26" s="409"/>
      <c r="FF26" s="409"/>
      <c r="FG26" s="409"/>
      <c r="FH26" s="409"/>
      <c r="FI26" s="409"/>
      <c r="FJ26" s="409"/>
      <c r="FK26" s="409"/>
      <c r="FL26" s="409"/>
      <c r="FM26" s="409"/>
      <c r="FN26" s="409"/>
      <c r="FO26" s="409"/>
      <c r="FP26" s="409"/>
      <c r="FQ26" s="409"/>
      <c r="FR26" s="409" t="s">
        <v>1388</v>
      </c>
      <c r="FS26" s="409"/>
      <c r="FT26" s="409"/>
      <c r="FU26" s="409"/>
      <c r="FV26" s="409"/>
      <c r="FW26" s="409"/>
      <c r="FX26" s="409"/>
      <c r="FY26" s="409"/>
      <c r="FZ26" s="409"/>
      <c r="GA26" s="409" t="s">
        <v>93</v>
      </c>
      <c r="GB26" s="409"/>
      <c r="GC26" s="409" t="s">
        <v>93</v>
      </c>
      <c r="GD26" s="409" t="s">
        <v>93</v>
      </c>
      <c r="GE26" s="409"/>
      <c r="GF26" s="409"/>
      <c r="GG26" s="409"/>
      <c r="GH26" s="409"/>
      <c r="GI26" s="409"/>
      <c r="GJ26" s="409"/>
      <c r="GK26" s="409"/>
      <c r="GL26" s="409"/>
      <c r="GM26" s="409"/>
      <c r="GN26" s="409"/>
      <c r="GO26" s="409"/>
      <c r="GP26" s="409"/>
      <c r="GQ26" s="409"/>
      <c r="GR26" s="409"/>
      <c r="GS26" s="409"/>
      <c r="GT26" s="409"/>
      <c r="GU26" s="409" t="s">
        <v>93</v>
      </c>
      <c r="GV26" s="409"/>
      <c r="GW26" s="409"/>
      <c r="GX26" s="409"/>
      <c r="GY26" s="409"/>
      <c r="GZ26" s="409"/>
      <c r="HA26" s="409"/>
      <c r="HB26" s="409"/>
      <c r="HC26" s="409"/>
      <c r="HD26" s="409"/>
      <c r="HE26" s="409"/>
      <c r="HF26" s="409"/>
      <c r="HG26" s="409"/>
      <c r="HH26" s="409" t="s">
        <v>93</v>
      </c>
      <c r="HI26" s="409"/>
      <c r="HJ26" s="409"/>
      <c r="HK26" s="410" t="s">
        <v>1389</v>
      </c>
      <c r="HL26" s="409"/>
      <c r="HM26" s="409"/>
      <c r="HN26" s="409"/>
      <c r="HO26" s="409"/>
      <c r="HP26" s="409"/>
      <c r="HQ26" s="409"/>
      <c r="HR26" s="409"/>
      <c r="HS26" s="409"/>
      <c r="HT26" s="409"/>
      <c r="HU26" s="409"/>
      <c r="HV26" s="409"/>
      <c r="HW26" s="409"/>
      <c r="HX26" s="409"/>
    </row>
    <row r="27" spans="1:232" ht="11.55" customHeight="1">
      <c r="A27" s="413" t="s">
        <v>126</v>
      </c>
      <c r="B27" s="409"/>
      <c r="C27" s="409" t="str">
        <f>IF(ISTEXT(IFERROR(VLOOKUP(A27,职业列表!I3:P12,1,FALSE),0)),"★","")</f>
        <v/>
      </c>
      <c r="D27" s="409"/>
      <c r="E27" s="409"/>
      <c r="F27" s="409" t="s">
        <v>93</v>
      </c>
      <c r="G27" s="409"/>
      <c r="H27" s="409"/>
      <c r="I27" s="409"/>
      <c r="J27" s="409"/>
      <c r="K27" s="409"/>
      <c r="L27" s="409"/>
      <c r="M27" s="409"/>
      <c r="N27" s="409"/>
      <c r="O27" s="409"/>
      <c r="P27" s="409"/>
      <c r="Q27" s="409"/>
      <c r="R27" s="409"/>
      <c r="S27" s="409"/>
      <c r="T27" s="409"/>
      <c r="U27" s="409"/>
      <c r="V27" s="409" t="s">
        <v>1356</v>
      </c>
      <c r="W27" s="409"/>
      <c r="X27" s="409"/>
      <c r="Y27" s="409"/>
      <c r="Z27" s="409"/>
      <c r="AA27" s="409"/>
      <c r="AB27" s="409" t="s">
        <v>1356</v>
      </c>
      <c r="AC27" s="409"/>
      <c r="AD27" s="409" t="s">
        <v>93</v>
      </c>
      <c r="AE27" s="409" t="s">
        <v>93</v>
      </c>
      <c r="AF27" s="409" t="s">
        <v>93</v>
      </c>
      <c r="AG27" s="409"/>
      <c r="AH27" s="409"/>
      <c r="AI27" s="409" t="s">
        <v>1356</v>
      </c>
      <c r="AJ27" s="409"/>
      <c r="AK27" s="409"/>
      <c r="AL27" s="409"/>
      <c r="AM27" s="409"/>
      <c r="AN27" s="409" t="s">
        <v>93</v>
      </c>
      <c r="AO27" s="409"/>
      <c r="AP27" s="409"/>
      <c r="AQ27" s="409"/>
      <c r="AR27" s="409"/>
      <c r="AS27" s="409"/>
      <c r="AT27" s="409"/>
      <c r="AU27" s="409"/>
      <c r="AV27" s="409"/>
      <c r="AW27" s="409"/>
      <c r="AX27" s="409"/>
      <c r="AY27" s="409"/>
      <c r="AZ27" s="409"/>
      <c r="BA27" s="409"/>
      <c r="BB27" s="409"/>
      <c r="BC27" s="409"/>
      <c r="BD27" s="409"/>
      <c r="BE27" s="409"/>
      <c r="BF27" s="409"/>
      <c r="BG27" s="409"/>
      <c r="BH27" s="409"/>
      <c r="BI27" s="409"/>
      <c r="BJ27" s="409" t="s">
        <v>93</v>
      </c>
      <c r="BK27" s="409" t="s">
        <v>93</v>
      </c>
      <c r="BL27" s="409"/>
      <c r="BM27" s="409"/>
      <c r="BN27" s="409"/>
      <c r="BO27" s="409"/>
      <c r="BP27" s="409"/>
      <c r="BQ27" s="409"/>
      <c r="BR27" s="409"/>
      <c r="BS27" s="409" t="s">
        <v>93</v>
      </c>
      <c r="BT27" s="410"/>
      <c r="BU27" s="409"/>
      <c r="BV27" s="409"/>
      <c r="BW27" s="409"/>
      <c r="BX27" s="409"/>
      <c r="BY27" s="409"/>
      <c r="BZ27" s="409"/>
      <c r="CA27" s="409"/>
      <c r="CB27" s="409"/>
      <c r="CC27" s="409"/>
      <c r="CD27" s="409"/>
      <c r="CE27" s="409"/>
      <c r="CF27" s="409"/>
      <c r="CG27" s="409"/>
      <c r="CH27" s="409"/>
      <c r="CI27" s="409"/>
      <c r="CJ27" s="409"/>
      <c r="CK27" s="409"/>
      <c r="CL27" s="409"/>
      <c r="CM27" s="409"/>
      <c r="CN27" s="409"/>
      <c r="CO27" s="409"/>
      <c r="CP27" s="409"/>
      <c r="CQ27" s="409"/>
      <c r="CR27" s="409"/>
      <c r="CS27" s="409"/>
      <c r="CT27" s="409"/>
      <c r="CU27" s="409"/>
      <c r="CV27" s="409" t="s">
        <v>93</v>
      </c>
      <c r="CW27" s="409"/>
      <c r="CX27" s="409"/>
      <c r="CY27" s="409"/>
      <c r="CZ27" s="409"/>
      <c r="DA27" s="409"/>
      <c r="DB27" s="409" t="s">
        <v>93</v>
      </c>
      <c r="DC27" s="409"/>
      <c r="DD27" s="409"/>
      <c r="DE27" s="409" t="s">
        <v>93</v>
      </c>
      <c r="DF27" s="409" t="s">
        <v>1355</v>
      </c>
      <c r="DG27" s="409"/>
      <c r="DH27" s="409"/>
      <c r="DI27" s="409"/>
      <c r="DJ27" s="409"/>
      <c r="DK27" s="409"/>
      <c r="DL27" s="409"/>
      <c r="DM27" s="409"/>
      <c r="DN27" s="409"/>
      <c r="DO27" s="409"/>
      <c r="DP27" s="409"/>
      <c r="DQ27" s="409"/>
      <c r="DR27" s="409"/>
      <c r="DS27" s="409"/>
      <c r="DT27" s="409"/>
      <c r="DU27" s="409"/>
      <c r="DV27" s="409"/>
      <c r="DW27" s="409"/>
      <c r="DX27" s="409"/>
      <c r="DY27" s="409"/>
      <c r="DZ27" s="409"/>
      <c r="EA27" s="409"/>
      <c r="EB27" s="409"/>
      <c r="EC27" s="409"/>
      <c r="ED27" s="409"/>
      <c r="EE27" s="409"/>
      <c r="EF27" s="409"/>
      <c r="EG27" s="409"/>
      <c r="EH27" s="409"/>
      <c r="EI27" s="409"/>
      <c r="EJ27" s="409"/>
      <c r="EK27" s="409"/>
      <c r="EL27" s="409"/>
      <c r="EM27" s="409"/>
      <c r="EN27" s="409"/>
      <c r="EO27" s="409"/>
      <c r="EP27" s="409"/>
      <c r="EQ27" s="409"/>
      <c r="ER27" s="409"/>
      <c r="ES27" s="409"/>
      <c r="ET27" s="409"/>
      <c r="EU27" s="409"/>
      <c r="EV27" s="409"/>
      <c r="EW27" s="409"/>
      <c r="EX27" s="409"/>
      <c r="EY27" s="409"/>
      <c r="EZ27" s="409"/>
      <c r="FA27" s="409"/>
      <c r="FB27" s="409"/>
      <c r="FC27" s="409"/>
      <c r="FD27" s="409"/>
      <c r="FE27" s="409"/>
      <c r="FF27" s="409"/>
      <c r="FG27" s="409"/>
      <c r="FH27" s="409"/>
      <c r="FI27" s="409"/>
      <c r="FJ27" s="409"/>
      <c r="FK27" s="409"/>
      <c r="FL27" s="409"/>
      <c r="FM27" s="409"/>
      <c r="FN27" s="409"/>
      <c r="FO27" s="409"/>
      <c r="FP27" s="409"/>
      <c r="FQ27" s="409"/>
      <c r="FR27" s="409"/>
      <c r="FS27" s="409"/>
      <c r="FT27" s="409"/>
      <c r="FU27" s="409"/>
      <c r="FV27" s="409"/>
      <c r="FW27" s="409"/>
      <c r="FX27" s="409"/>
      <c r="FY27" s="409"/>
      <c r="FZ27" s="409"/>
      <c r="GA27" s="409" t="s">
        <v>93</v>
      </c>
      <c r="GB27" s="409"/>
      <c r="GC27" s="409" t="s">
        <v>93</v>
      </c>
      <c r="GD27" s="409" t="s">
        <v>93</v>
      </c>
      <c r="GE27" s="409"/>
      <c r="GF27" s="409"/>
      <c r="GG27" s="409"/>
      <c r="GH27" s="409"/>
      <c r="GI27" s="409"/>
      <c r="GJ27" s="409"/>
      <c r="GK27" s="409"/>
      <c r="GL27" s="409"/>
      <c r="GM27" s="409"/>
      <c r="GN27" s="409"/>
      <c r="GO27" s="409"/>
      <c r="GP27" s="409"/>
      <c r="GQ27" s="409"/>
      <c r="GR27" s="409"/>
      <c r="GS27" s="409"/>
      <c r="GT27" s="409"/>
      <c r="GU27" s="409" t="s">
        <v>93</v>
      </c>
      <c r="GV27" s="409"/>
      <c r="GW27" s="409"/>
      <c r="GX27" s="409"/>
      <c r="GY27" s="409"/>
      <c r="GZ27" s="409"/>
      <c r="HA27" s="409"/>
      <c r="HB27" s="409"/>
      <c r="HC27" s="409"/>
      <c r="HD27" s="409"/>
      <c r="HE27" s="409"/>
      <c r="HF27" s="409"/>
      <c r="HG27" s="409"/>
      <c r="HH27" s="409" t="s">
        <v>93</v>
      </c>
      <c r="HI27" s="409"/>
      <c r="HJ27" s="409"/>
      <c r="HK27" s="410"/>
      <c r="HL27" s="409"/>
      <c r="HM27" s="409"/>
      <c r="HN27" s="409"/>
      <c r="HO27" s="409"/>
      <c r="HP27" s="409"/>
      <c r="HQ27" s="409"/>
      <c r="HR27" s="409"/>
      <c r="HS27" s="409"/>
      <c r="HT27" s="409"/>
      <c r="HU27" s="409"/>
      <c r="HV27" s="409"/>
      <c r="HW27" s="409"/>
      <c r="HX27" s="409"/>
    </row>
    <row r="28" spans="1:232" ht="11.55" customHeight="1">
      <c r="A28" s="418" t="s">
        <v>131</v>
      </c>
      <c r="B28" s="409"/>
      <c r="C28" s="409" t="str">
        <f>IF(ISTEXT(IFERROR(VLOOKUP(A28,职业列表!I3:J10,1,FALSE),0)),"★","")</f>
        <v/>
      </c>
      <c r="D28" s="409"/>
      <c r="E28" s="409"/>
      <c r="F28" s="409" t="s">
        <v>93</v>
      </c>
      <c r="G28" s="409"/>
      <c r="H28" s="409"/>
      <c r="I28" s="409"/>
      <c r="J28" s="409"/>
      <c r="K28" s="409"/>
      <c r="L28" s="409"/>
      <c r="M28" s="409"/>
      <c r="N28" s="409"/>
      <c r="O28" s="409"/>
      <c r="P28" s="409"/>
      <c r="Q28" s="409"/>
      <c r="R28" s="409"/>
      <c r="S28" s="409"/>
      <c r="T28" s="409"/>
      <c r="U28" s="409"/>
      <c r="V28" s="409" t="s">
        <v>1356</v>
      </c>
      <c r="W28" s="409"/>
      <c r="X28" s="409"/>
      <c r="Y28" s="409"/>
      <c r="Z28" s="409"/>
      <c r="AA28" s="409"/>
      <c r="AB28" s="409" t="s">
        <v>1356</v>
      </c>
      <c r="AC28" s="409"/>
      <c r="AD28" s="409" t="s">
        <v>93</v>
      </c>
      <c r="AE28" s="409" t="s">
        <v>93</v>
      </c>
      <c r="AF28" s="409" t="s">
        <v>93</v>
      </c>
      <c r="AG28" s="409"/>
      <c r="AH28" s="409"/>
      <c r="AI28" s="409" t="s">
        <v>1356</v>
      </c>
      <c r="AJ28" s="409"/>
      <c r="AK28" s="409"/>
      <c r="AL28" s="409"/>
      <c r="AM28" s="409"/>
      <c r="AN28" s="409" t="s">
        <v>93</v>
      </c>
      <c r="AO28" s="409"/>
      <c r="AP28" s="409"/>
      <c r="AQ28" s="409"/>
      <c r="AR28" s="409"/>
      <c r="AS28" s="409"/>
      <c r="AT28" s="409"/>
      <c r="AU28" s="409"/>
      <c r="AV28" s="409"/>
      <c r="AW28" s="409"/>
      <c r="AX28" s="409"/>
      <c r="AY28" s="409"/>
      <c r="AZ28" s="409"/>
      <c r="BA28" s="409"/>
      <c r="BB28" s="409"/>
      <c r="BC28" s="409"/>
      <c r="BD28" s="409"/>
      <c r="BE28" s="409"/>
      <c r="BF28" s="409"/>
      <c r="BG28" s="409"/>
      <c r="BH28" s="409"/>
      <c r="BI28" s="409"/>
      <c r="BJ28" s="409" t="s">
        <v>93</v>
      </c>
      <c r="BK28" s="409" t="s">
        <v>93</v>
      </c>
      <c r="BL28" s="409"/>
      <c r="BM28" s="409"/>
      <c r="BN28" s="409"/>
      <c r="BO28" s="409"/>
      <c r="BP28" s="409"/>
      <c r="BQ28" s="409"/>
      <c r="BR28" s="409"/>
      <c r="BS28" s="409" t="s">
        <v>93</v>
      </c>
      <c r="BT28" s="410"/>
      <c r="BU28" s="409"/>
      <c r="BV28" s="409"/>
      <c r="BW28" s="409"/>
      <c r="BX28" s="409"/>
      <c r="BY28" s="409"/>
      <c r="BZ28" s="409"/>
      <c r="CA28" s="409"/>
      <c r="CB28" s="409"/>
      <c r="CC28" s="409"/>
      <c r="CD28" s="409"/>
      <c r="CE28" s="409"/>
      <c r="CF28" s="409"/>
      <c r="CG28" s="409"/>
      <c r="CH28" s="409"/>
      <c r="CI28" s="409"/>
      <c r="CJ28" s="409"/>
      <c r="CK28" s="409"/>
      <c r="CL28" s="409"/>
      <c r="CM28" s="409"/>
      <c r="CN28" s="409"/>
      <c r="CO28" s="409"/>
      <c r="CP28" s="409"/>
      <c r="CQ28" s="409"/>
      <c r="CR28" s="409"/>
      <c r="CS28" s="409"/>
      <c r="CT28" s="409"/>
      <c r="CU28" s="409"/>
      <c r="CV28" s="409" t="s">
        <v>93</v>
      </c>
      <c r="CW28" s="409"/>
      <c r="CX28" s="409"/>
      <c r="CY28" s="409"/>
      <c r="CZ28" s="409"/>
      <c r="DA28" s="409"/>
      <c r="DB28" s="409" t="s">
        <v>93</v>
      </c>
      <c r="DC28" s="409"/>
      <c r="DD28" s="409"/>
      <c r="DE28" s="409" t="s">
        <v>93</v>
      </c>
      <c r="DF28" s="409" t="s">
        <v>1355</v>
      </c>
      <c r="DG28" s="409"/>
      <c r="DH28" s="409"/>
      <c r="DI28" s="409"/>
      <c r="DJ28" s="409"/>
      <c r="DK28" s="409"/>
      <c r="DL28" s="409"/>
      <c r="DM28" s="409"/>
      <c r="DN28" s="409"/>
      <c r="DO28" s="409"/>
      <c r="DP28" s="409"/>
      <c r="DQ28" s="409"/>
      <c r="DR28" s="409"/>
      <c r="DS28" s="409"/>
      <c r="DT28" s="409"/>
      <c r="DU28" s="409"/>
      <c r="DV28" s="409"/>
      <c r="DW28" s="409"/>
      <c r="DX28" s="409"/>
      <c r="DY28" s="409"/>
      <c r="DZ28" s="409"/>
      <c r="EA28" s="409"/>
      <c r="EB28" s="409"/>
      <c r="EC28" s="409"/>
      <c r="ED28" s="409"/>
      <c r="EE28" s="409"/>
      <c r="EF28" s="409"/>
      <c r="EG28" s="409"/>
      <c r="EH28" s="409"/>
      <c r="EI28" s="409"/>
      <c r="EJ28" s="409"/>
      <c r="EK28" s="409"/>
      <c r="EL28" s="409"/>
      <c r="EM28" s="409"/>
      <c r="EN28" s="409"/>
      <c r="EO28" s="409"/>
      <c r="EP28" s="409"/>
      <c r="EQ28" s="409"/>
      <c r="ER28" s="409"/>
      <c r="ES28" s="409"/>
      <c r="ET28" s="409"/>
      <c r="EU28" s="409"/>
      <c r="EV28" s="409"/>
      <c r="EW28" s="409"/>
      <c r="EX28" s="409"/>
      <c r="EY28" s="409"/>
      <c r="EZ28" s="409"/>
      <c r="FA28" s="409"/>
      <c r="FB28" s="409"/>
      <c r="FC28" s="409"/>
      <c r="FD28" s="409"/>
      <c r="FE28" s="409"/>
      <c r="FF28" s="409"/>
      <c r="FG28" s="409"/>
      <c r="FH28" s="409"/>
      <c r="FI28" s="409"/>
      <c r="FJ28" s="409"/>
      <c r="FK28" s="409"/>
      <c r="FL28" s="409"/>
      <c r="FM28" s="409"/>
      <c r="FN28" s="409"/>
      <c r="FO28" s="409"/>
      <c r="FP28" s="409"/>
      <c r="FQ28" s="409"/>
      <c r="FR28" s="409"/>
      <c r="FS28" s="409"/>
      <c r="FT28" s="409"/>
      <c r="FU28" s="409"/>
      <c r="FV28" s="409"/>
      <c r="FW28" s="409"/>
      <c r="FX28" s="409"/>
      <c r="FY28" s="409"/>
      <c r="FZ28" s="409"/>
      <c r="GA28" s="409" t="s">
        <v>93</v>
      </c>
      <c r="GB28" s="409"/>
      <c r="GC28" s="409" t="s">
        <v>93</v>
      </c>
      <c r="GD28" s="409" t="s">
        <v>93</v>
      </c>
      <c r="GE28" s="409"/>
      <c r="GF28" s="409"/>
      <c r="GG28" s="409"/>
      <c r="GH28" s="409"/>
      <c r="GI28" s="409"/>
      <c r="GJ28" s="409"/>
      <c r="GK28" s="409"/>
      <c r="GL28" s="409"/>
      <c r="GM28" s="409"/>
      <c r="GN28" s="409"/>
      <c r="GO28" s="409"/>
      <c r="GP28" s="409"/>
      <c r="GQ28" s="409"/>
      <c r="GR28" s="409"/>
      <c r="GS28" s="409"/>
      <c r="GT28" s="409"/>
      <c r="GU28" s="409" t="s">
        <v>93</v>
      </c>
      <c r="GV28" s="409"/>
      <c r="GW28" s="409"/>
      <c r="GX28" s="409"/>
      <c r="GY28" s="409"/>
      <c r="GZ28" s="409"/>
      <c r="HA28" s="409"/>
      <c r="HB28" s="409"/>
      <c r="HC28" s="409"/>
      <c r="HD28" s="409"/>
      <c r="HE28" s="409"/>
      <c r="HF28" s="409"/>
      <c r="HG28" s="409"/>
      <c r="HH28" s="409" t="s">
        <v>93</v>
      </c>
      <c r="HI28" s="409"/>
      <c r="HJ28" s="409"/>
      <c r="HK28" s="410"/>
      <c r="HL28" s="409"/>
      <c r="HM28" s="409"/>
      <c r="HN28" s="409"/>
      <c r="HO28" s="409"/>
      <c r="HP28" s="409"/>
      <c r="HQ28" s="409"/>
      <c r="HR28" s="409"/>
      <c r="HS28" s="409"/>
      <c r="HT28" s="409"/>
      <c r="HU28" s="409"/>
      <c r="HV28" s="409"/>
      <c r="HW28" s="409"/>
      <c r="HX28" s="409"/>
    </row>
    <row r="29" spans="1:232" s="396" customFormat="1" ht="11.55" customHeight="1">
      <c r="A29" s="423" t="s">
        <v>133</v>
      </c>
      <c r="B29" s="424"/>
      <c r="C29" s="409" t="str">
        <f>IF(ISTEXT(IFERROR(VLOOKUP(A29,职业列表!I3:J10,1,FALSE),0)),"★","")</f>
        <v/>
      </c>
      <c r="D29" s="424"/>
      <c r="E29" s="424"/>
      <c r="F29" s="424"/>
      <c r="G29" s="424"/>
      <c r="H29" s="424" t="s">
        <v>93</v>
      </c>
      <c r="I29" s="424"/>
      <c r="J29" s="424"/>
      <c r="K29" s="424"/>
      <c r="L29" s="424"/>
      <c r="M29" s="424"/>
      <c r="N29" s="424"/>
      <c r="O29" s="424"/>
      <c r="P29" s="424"/>
      <c r="Q29" s="424"/>
      <c r="R29" s="424"/>
      <c r="S29" s="424"/>
      <c r="T29" s="424" t="s">
        <v>93</v>
      </c>
      <c r="U29" s="424"/>
      <c r="V29" s="424" t="s">
        <v>1356</v>
      </c>
      <c r="W29" s="424"/>
      <c r="X29" s="424"/>
      <c r="Y29" s="424"/>
      <c r="Z29" s="424"/>
      <c r="AA29" s="424"/>
      <c r="AB29" s="424" t="s">
        <v>1356</v>
      </c>
      <c r="AC29" s="424"/>
      <c r="AD29" s="424" t="s">
        <v>93</v>
      </c>
      <c r="AE29" s="424" t="s">
        <v>93</v>
      </c>
      <c r="AF29" s="424" t="s">
        <v>93</v>
      </c>
      <c r="AG29" s="424"/>
      <c r="AH29" s="424"/>
      <c r="AI29" s="424" t="s">
        <v>1356</v>
      </c>
      <c r="AJ29" s="424" t="s">
        <v>1355</v>
      </c>
      <c r="AK29" s="424"/>
      <c r="AL29" s="424"/>
      <c r="AM29" s="424" t="s">
        <v>93</v>
      </c>
      <c r="AN29" s="424" t="s">
        <v>93</v>
      </c>
      <c r="AO29" s="424"/>
      <c r="AP29" s="424" t="s">
        <v>1355</v>
      </c>
      <c r="AQ29" s="443"/>
      <c r="AR29" s="424" t="s">
        <v>93</v>
      </c>
      <c r="AS29" s="424"/>
      <c r="AT29" s="424"/>
      <c r="AU29" s="424"/>
      <c r="AV29" s="424"/>
      <c r="AW29" s="424"/>
      <c r="AX29" s="424"/>
      <c r="AY29" s="424"/>
      <c r="AZ29" s="424"/>
      <c r="BA29" s="424"/>
      <c r="BB29" s="424"/>
      <c r="BC29" s="424" t="s">
        <v>93</v>
      </c>
      <c r="BD29" s="424"/>
      <c r="BE29" s="424" t="s">
        <v>93</v>
      </c>
      <c r="BF29" s="424"/>
      <c r="BG29" s="424"/>
      <c r="BH29" s="424"/>
      <c r="BI29" s="424"/>
      <c r="BJ29" s="424" t="s">
        <v>93</v>
      </c>
      <c r="BK29" s="424" t="s">
        <v>93</v>
      </c>
      <c r="BL29" s="446"/>
      <c r="BM29" s="424"/>
      <c r="BN29" s="424"/>
      <c r="BO29" s="424"/>
      <c r="BP29" s="424"/>
      <c r="BQ29" s="424"/>
      <c r="BR29" s="424"/>
      <c r="BS29" s="424"/>
      <c r="BT29" s="424"/>
      <c r="BU29" s="424"/>
      <c r="BV29" s="424"/>
      <c r="BW29" s="424"/>
      <c r="BX29" s="424"/>
      <c r="BY29" s="424" t="s">
        <v>93</v>
      </c>
      <c r="BZ29" s="424"/>
      <c r="CA29" s="424"/>
      <c r="CB29" s="424"/>
      <c r="CC29" s="424"/>
      <c r="CD29" s="424"/>
      <c r="CE29" s="424"/>
      <c r="CF29" s="424" t="s">
        <v>93</v>
      </c>
      <c r="CG29" s="424"/>
      <c r="CH29" s="424"/>
      <c r="CI29" s="424"/>
      <c r="CJ29" s="424"/>
      <c r="CK29" s="424"/>
      <c r="CL29" s="424"/>
      <c r="CM29" s="424" t="s">
        <v>93</v>
      </c>
      <c r="CN29" s="446" t="s">
        <v>93</v>
      </c>
      <c r="CO29" s="424"/>
      <c r="CP29" s="424"/>
      <c r="CQ29" s="424"/>
      <c r="CR29" s="424"/>
      <c r="CS29" s="424"/>
      <c r="CT29" s="424"/>
      <c r="CU29" s="424"/>
      <c r="CV29" s="424" t="s">
        <v>93</v>
      </c>
      <c r="CW29" s="424"/>
      <c r="CX29" s="424"/>
      <c r="CY29" s="424"/>
      <c r="CZ29" s="424"/>
      <c r="DA29" s="424"/>
      <c r="DB29" s="424" t="s">
        <v>93</v>
      </c>
      <c r="DC29" s="424" t="s">
        <v>93</v>
      </c>
      <c r="DD29" s="424"/>
      <c r="DE29" s="424"/>
      <c r="DF29" s="424"/>
      <c r="DG29" s="424"/>
      <c r="DH29" s="424"/>
      <c r="DI29" s="424"/>
      <c r="DJ29" s="424"/>
      <c r="DK29" s="424"/>
      <c r="DL29" s="424"/>
      <c r="DM29" s="424"/>
      <c r="DN29" s="424"/>
      <c r="DO29" s="424"/>
      <c r="DP29" s="424"/>
      <c r="DQ29" s="424"/>
      <c r="DR29" s="424"/>
      <c r="DS29" s="424"/>
      <c r="DT29" s="424"/>
      <c r="DU29" s="424"/>
      <c r="DV29" s="424"/>
      <c r="DW29" s="424"/>
      <c r="DX29" s="424"/>
      <c r="DY29" s="424" t="s">
        <v>93</v>
      </c>
      <c r="DZ29" s="424"/>
      <c r="EA29" s="424"/>
      <c r="EB29" s="424"/>
      <c r="EC29" s="424"/>
      <c r="ED29" s="424"/>
      <c r="EE29" s="424"/>
      <c r="EF29" s="424"/>
      <c r="EG29" s="424"/>
      <c r="EH29" s="424"/>
      <c r="EI29" s="424"/>
      <c r="EJ29" s="424"/>
      <c r="EK29" s="424"/>
      <c r="EL29" s="424"/>
      <c r="EM29" s="424"/>
      <c r="EN29" s="424"/>
      <c r="EO29" s="424"/>
      <c r="EP29" s="424"/>
      <c r="EQ29" s="424"/>
      <c r="ER29" s="424"/>
      <c r="ES29" s="424"/>
      <c r="ET29" s="424"/>
      <c r="EU29" s="424"/>
      <c r="EV29" s="424"/>
      <c r="EW29" s="424"/>
      <c r="EX29" s="424"/>
      <c r="EY29" s="424"/>
      <c r="EZ29" s="424"/>
      <c r="FA29" s="424"/>
      <c r="FB29" s="424"/>
      <c r="FC29" s="424" t="s">
        <v>93</v>
      </c>
      <c r="FD29" s="424"/>
      <c r="FE29" s="424"/>
      <c r="FF29" s="424"/>
      <c r="FG29" s="424"/>
      <c r="FH29" s="424"/>
      <c r="FI29" s="424"/>
      <c r="FJ29" s="424"/>
      <c r="FK29" s="424"/>
      <c r="FL29" s="424"/>
      <c r="FM29" s="424"/>
      <c r="FN29" s="424"/>
      <c r="FO29" s="424"/>
      <c r="FP29" s="424"/>
      <c r="FQ29" s="424"/>
      <c r="FR29" s="424"/>
      <c r="FS29" s="424"/>
      <c r="FT29" s="424"/>
      <c r="FU29" s="424"/>
      <c r="FV29" s="424"/>
      <c r="FW29" s="424"/>
      <c r="FX29" s="424"/>
      <c r="FY29" s="424"/>
      <c r="FZ29" s="424"/>
      <c r="GA29" s="424" t="s">
        <v>93</v>
      </c>
      <c r="GB29" s="424"/>
      <c r="GC29" s="424" t="s">
        <v>93</v>
      </c>
      <c r="GD29" s="424" t="s">
        <v>93</v>
      </c>
      <c r="GE29" s="424" t="s">
        <v>93</v>
      </c>
      <c r="GF29" s="424"/>
      <c r="GG29" s="424"/>
      <c r="GH29" s="424"/>
      <c r="GI29" s="424"/>
      <c r="GJ29" s="424"/>
      <c r="GK29" s="424"/>
      <c r="GL29" s="424"/>
      <c r="GM29" s="424"/>
      <c r="GN29" s="424"/>
      <c r="GO29" s="424"/>
      <c r="GP29" s="424"/>
      <c r="GQ29" s="424"/>
      <c r="GR29" s="424"/>
      <c r="GS29" s="424"/>
      <c r="GT29" s="424"/>
      <c r="GU29" s="424" t="s">
        <v>93</v>
      </c>
      <c r="GV29" s="424"/>
      <c r="GW29" s="424" t="s">
        <v>93</v>
      </c>
      <c r="GX29" s="424"/>
      <c r="GY29" s="424"/>
      <c r="GZ29" s="424"/>
      <c r="HA29" s="424"/>
      <c r="HB29" s="424"/>
      <c r="HC29" s="424"/>
      <c r="HD29" s="424"/>
      <c r="HE29" s="424"/>
      <c r="HF29" s="424"/>
      <c r="HG29" s="424"/>
      <c r="HH29" s="424"/>
      <c r="HI29" s="424"/>
      <c r="HJ29" s="424"/>
      <c r="HK29" s="446" t="s">
        <v>93</v>
      </c>
      <c r="HL29" s="446" t="s">
        <v>93</v>
      </c>
      <c r="HM29" s="424"/>
      <c r="HN29" s="424"/>
      <c r="HO29" s="424"/>
      <c r="HP29" s="424"/>
      <c r="HQ29" s="424"/>
      <c r="HR29" s="424" t="s">
        <v>93</v>
      </c>
      <c r="HS29" s="424"/>
      <c r="HT29" s="424"/>
      <c r="HU29" s="424"/>
      <c r="HV29" s="424"/>
      <c r="HW29" s="424"/>
      <c r="HX29" s="424"/>
    </row>
    <row r="30" spans="1:232" ht="11.55" customHeight="1">
      <c r="A30" s="413" t="s">
        <v>137</v>
      </c>
      <c r="B30" s="409"/>
      <c r="C30" s="409" t="str">
        <f>IF(ISTEXT(IFERROR(VLOOKUP(A30,职业列表!I3:J10,1,FALSE),0)),"★","")</f>
        <v/>
      </c>
      <c r="D30" s="409"/>
      <c r="E30" s="409"/>
      <c r="F30" s="409"/>
      <c r="G30" s="409"/>
      <c r="H30" s="409" t="s">
        <v>93</v>
      </c>
      <c r="I30" s="409"/>
      <c r="J30" s="409"/>
      <c r="K30" s="409"/>
      <c r="L30" s="409"/>
      <c r="M30" s="409"/>
      <c r="N30" s="409"/>
      <c r="O30" s="409"/>
      <c r="P30" s="409"/>
      <c r="Q30" s="409"/>
      <c r="R30" s="409"/>
      <c r="S30" s="409"/>
      <c r="T30" s="409" t="s">
        <v>93</v>
      </c>
      <c r="U30" s="409"/>
      <c r="V30" s="409" t="s">
        <v>1356</v>
      </c>
      <c r="W30" s="409"/>
      <c r="X30" s="409"/>
      <c r="Y30" s="409"/>
      <c r="Z30" s="409"/>
      <c r="AA30" s="409"/>
      <c r="AB30" s="409" t="s">
        <v>1356</v>
      </c>
      <c r="AC30" s="409"/>
      <c r="AD30" s="409" t="s">
        <v>93</v>
      </c>
      <c r="AE30" s="409" t="s">
        <v>93</v>
      </c>
      <c r="AF30" s="409" t="s">
        <v>93</v>
      </c>
      <c r="AG30" s="409"/>
      <c r="AH30" s="409"/>
      <c r="AI30" s="409" t="s">
        <v>1356</v>
      </c>
      <c r="AJ30" s="409"/>
      <c r="AK30" s="409"/>
      <c r="AL30" s="409"/>
      <c r="AM30" s="409" t="s">
        <v>93</v>
      </c>
      <c r="AN30" s="409" t="s">
        <v>93</v>
      </c>
      <c r="AO30" s="409"/>
      <c r="AP30" s="409" t="s">
        <v>1355</v>
      </c>
      <c r="AQ30" s="444"/>
      <c r="AR30" s="409" t="s">
        <v>93</v>
      </c>
      <c r="AS30" s="409"/>
      <c r="AT30" s="409"/>
      <c r="AU30" s="409"/>
      <c r="AV30" s="409"/>
      <c r="AW30" s="409"/>
      <c r="AX30" s="409"/>
      <c r="AY30" s="409"/>
      <c r="AZ30" s="409"/>
      <c r="BA30" s="409"/>
      <c r="BB30" s="409"/>
      <c r="BC30" s="409" t="s">
        <v>93</v>
      </c>
      <c r="BD30" s="409"/>
      <c r="BE30" s="409" t="s">
        <v>93</v>
      </c>
      <c r="BF30" s="409"/>
      <c r="BG30" s="409"/>
      <c r="BH30" s="409"/>
      <c r="BI30" s="409"/>
      <c r="BJ30" s="409" t="s">
        <v>93</v>
      </c>
      <c r="BK30" s="409" t="s">
        <v>93</v>
      </c>
      <c r="BL30" s="409" t="s">
        <v>1390</v>
      </c>
      <c r="BM30" s="409"/>
      <c r="BN30" s="409"/>
      <c r="BO30" s="409"/>
      <c r="BP30" s="409"/>
      <c r="BQ30" s="409"/>
      <c r="BR30" s="409"/>
      <c r="BS30" s="409"/>
      <c r="BT30" s="409"/>
      <c r="BU30" s="409"/>
      <c r="BV30" s="409"/>
      <c r="BW30" s="409"/>
      <c r="BX30" s="409"/>
      <c r="BY30" s="409" t="s">
        <v>93</v>
      </c>
      <c r="BZ30" s="409"/>
      <c r="CA30" s="409"/>
      <c r="CB30" s="409"/>
      <c r="CC30" s="409"/>
      <c r="CD30" s="409"/>
      <c r="CE30" s="409"/>
      <c r="CF30" s="409" t="s">
        <v>93</v>
      </c>
      <c r="CG30" s="409"/>
      <c r="CH30" s="409"/>
      <c r="CI30" s="409"/>
      <c r="CJ30" s="409"/>
      <c r="CK30" s="409"/>
      <c r="CL30" s="409"/>
      <c r="CM30" s="409" t="s">
        <v>93</v>
      </c>
      <c r="CN30" s="409" t="s">
        <v>93</v>
      </c>
      <c r="CO30" s="409"/>
      <c r="CP30" s="409"/>
      <c r="CQ30" s="409"/>
      <c r="CR30" s="409"/>
      <c r="CS30" s="409"/>
      <c r="CT30" s="409"/>
      <c r="CU30" s="409"/>
      <c r="CV30" s="409" t="s">
        <v>93</v>
      </c>
      <c r="CW30" s="409"/>
      <c r="CX30" s="409"/>
      <c r="CY30" s="409"/>
      <c r="CZ30" s="409"/>
      <c r="DA30" s="409"/>
      <c r="DB30" s="409" t="s">
        <v>93</v>
      </c>
      <c r="DC30" s="409" t="s">
        <v>93</v>
      </c>
      <c r="DD30" s="409"/>
      <c r="DE30" s="409"/>
      <c r="DF30" s="409"/>
      <c r="DG30" s="409"/>
      <c r="DH30" s="409"/>
      <c r="DI30" s="409"/>
      <c r="DJ30" s="409"/>
      <c r="DK30" s="409"/>
      <c r="DL30" s="409"/>
      <c r="DM30" s="409"/>
      <c r="DN30" s="409"/>
      <c r="DO30" s="409"/>
      <c r="DP30" s="409"/>
      <c r="DQ30" s="409"/>
      <c r="DR30" s="409"/>
      <c r="DS30" s="409"/>
      <c r="DT30" s="409"/>
      <c r="DU30" s="409"/>
      <c r="DV30" s="409"/>
      <c r="DW30" s="409"/>
      <c r="DX30" s="409"/>
      <c r="DY30" s="409"/>
      <c r="DZ30" s="409"/>
      <c r="EA30" s="409"/>
      <c r="EB30" s="409"/>
      <c r="EC30" s="409"/>
      <c r="ED30" s="409"/>
      <c r="EE30" s="409"/>
      <c r="EF30" s="409"/>
      <c r="EG30" s="409"/>
      <c r="EH30" s="409"/>
      <c r="EI30" s="409"/>
      <c r="EJ30" s="409"/>
      <c r="EK30" s="409"/>
      <c r="EL30" s="409"/>
      <c r="EM30" s="409"/>
      <c r="EN30" s="409"/>
      <c r="EO30" s="409"/>
      <c r="EP30" s="409"/>
      <c r="EQ30" s="409"/>
      <c r="ER30" s="409"/>
      <c r="ES30" s="409"/>
      <c r="ET30" s="409"/>
      <c r="EU30" s="409"/>
      <c r="EV30" s="409"/>
      <c r="EW30" s="409"/>
      <c r="EX30" s="409"/>
      <c r="EY30" s="409"/>
      <c r="EZ30" s="409"/>
      <c r="FA30" s="409"/>
      <c r="FB30" s="409"/>
      <c r="FC30" s="409" t="s">
        <v>93</v>
      </c>
      <c r="FD30" s="409"/>
      <c r="FE30" s="409"/>
      <c r="FF30" s="409"/>
      <c r="FG30" s="409"/>
      <c r="FH30" s="409"/>
      <c r="FI30" s="409"/>
      <c r="FJ30" s="409"/>
      <c r="FK30" s="409"/>
      <c r="FL30" s="409"/>
      <c r="FM30" s="409"/>
      <c r="FN30" s="409"/>
      <c r="FO30" s="409"/>
      <c r="FP30" s="409"/>
      <c r="FQ30" s="409"/>
      <c r="FR30" s="409" t="s">
        <v>1391</v>
      </c>
      <c r="FS30" s="409"/>
      <c r="FT30" s="409"/>
      <c r="FU30" s="409"/>
      <c r="FV30" s="409"/>
      <c r="FW30" s="409"/>
      <c r="FX30" s="409"/>
      <c r="FY30" s="409"/>
      <c r="FZ30" s="409"/>
      <c r="GA30" s="409" t="s">
        <v>93</v>
      </c>
      <c r="GB30" s="409"/>
      <c r="GC30" s="409" t="s">
        <v>93</v>
      </c>
      <c r="GD30" s="409" t="s">
        <v>93</v>
      </c>
      <c r="GE30" s="409" t="s">
        <v>93</v>
      </c>
      <c r="GF30" s="409"/>
      <c r="GG30" s="409"/>
      <c r="GH30" s="409"/>
      <c r="GI30" s="409"/>
      <c r="GJ30" s="409"/>
      <c r="GK30" s="409"/>
      <c r="GL30" s="409"/>
      <c r="GM30" s="409"/>
      <c r="GN30" s="409"/>
      <c r="GO30" s="409"/>
      <c r="GP30" s="409"/>
      <c r="GQ30" s="409"/>
      <c r="GR30" s="409"/>
      <c r="GS30" s="409"/>
      <c r="GT30" s="409"/>
      <c r="GU30" s="409" t="s">
        <v>93</v>
      </c>
      <c r="GV30" s="409"/>
      <c r="GW30" s="409" t="s">
        <v>93</v>
      </c>
      <c r="GX30" s="409"/>
      <c r="GY30" s="409"/>
      <c r="GZ30" s="410"/>
      <c r="HA30" s="410" t="s">
        <v>1392</v>
      </c>
      <c r="HB30" s="409"/>
      <c r="HC30" s="409"/>
      <c r="HD30" s="409"/>
      <c r="HE30" s="409"/>
      <c r="HF30" s="409"/>
      <c r="HG30" s="409"/>
      <c r="HH30" s="409"/>
      <c r="HI30" s="409"/>
      <c r="HJ30" s="409"/>
      <c r="HK30" s="410" t="s">
        <v>1393</v>
      </c>
      <c r="HL30" s="410" t="s">
        <v>1393</v>
      </c>
      <c r="HM30" s="409"/>
      <c r="HN30" s="409"/>
      <c r="HO30" s="409"/>
      <c r="HP30" s="409"/>
      <c r="HQ30" s="409"/>
      <c r="HR30" s="409"/>
      <c r="HS30" s="409"/>
      <c r="HT30" s="409"/>
      <c r="HU30" s="409"/>
      <c r="HV30" s="409"/>
      <c r="HW30" s="410" t="s">
        <v>1393</v>
      </c>
      <c r="HX30" s="409"/>
    </row>
    <row r="31" spans="1:232" ht="11.55" customHeight="1">
      <c r="A31" s="413" t="s">
        <v>139</v>
      </c>
      <c r="B31" s="409"/>
      <c r="C31" s="409" t="str">
        <f>IF(ISTEXT(IFERROR(VLOOKUP(A31,职业列表!I3:J10,1,FALSE),0)),"★","")</f>
        <v/>
      </c>
      <c r="D31" s="409"/>
      <c r="E31" s="409"/>
      <c r="F31" s="409"/>
      <c r="G31" s="409"/>
      <c r="H31" s="409" t="s">
        <v>93</v>
      </c>
      <c r="I31" s="409"/>
      <c r="J31" s="409"/>
      <c r="K31" s="409"/>
      <c r="L31" s="409"/>
      <c r="M31" s="409"/>
      <c r="N31" s="409"/>
      <c r="O31" s="409"/>
      <c r="P31" s="409"/>
      <c r="Q31" s="409"/>
      <c r="R31" s="409"/>
      <c r="S31" s="409"/>
      <c r="T31" s="409" t="s">
        <v>93</v>
      </c>
      <c r="U31" s="409"/>
      <c r="V31" s="409" t="s">
        <v>1356</v>
      </c>
      <c r="W31" s="409"/>
      <c r="X31" s="409"/>
      <c r="Y31" s="409"/>
      <c r="Z31" s="409"/>
      <c r="AA31" s="409"/>
      <c r="AB31" s="409" t="s">
        <v>1356</v>
      </c>
      <c r="AC31" s="409"/>
      <c r="AD31" s="409" t="s">
        <v>93</v>
      </c>
      <c r="AE31" s="409" t="s">
        <v>93</v>
      </c>
      <c r="AF31" s="409" t="s">
        <v>93</v>
      </c>
      <c r="AG31" s="409"/>
      <c r="AH31" s="409"/>
      <c r="AI31" s="409" t="s">
        <v>1356</v>
      </c>
      <c r="AJ31" s="409"/>
      <c r="AK31" s="409"/>
      <c r="AL31" s="409"/>
      <c r="AM31" s="409" t="s">
        <v>93</v>
      </c>
      <c r="AN31" s="409" t="s">
        <v>93</v>
      </c>
      <c r="AO31" s="409"/>
      <c r="AP31" s="409" t="s">
        <v>1355</v>
      </c>
      <c r="AQ31" s="444"/>
      <c r="AR31" s="409" t="s">
        <v>93</v>
      </c>
      <c r="AS31" s="409"/>
      <c r="AT31" s="409"/>
      <c r="AU31" s="409"/>
      <c r="AV31" s="409"/>
      <c r="AW31" s="409"/>
      <c r="AX31" s="409"/>
      <c r="AY31" s="409"/>
      <c r="AZ31" s="409"/>
      <c r="BA31" s="409"/>
      <c r="BB31" s="409"/>
      <c r="BC31" s="409" t="s">
        <v>93</v>
      </c>
      <c r="BD31" s="409"/>
      <c r="BE31" s="409" t="s">
        <v>93</v>
      </c>
      <c r="BF31" s="409"/>
      <c r="BG31" s="409"/>
      <c r="BH31" s="409"/>
      <c r="BI31" s="409"/>
      <c r="BJ31" s="409" t="s">
        <v>93</v>
      </c>
      <c r="BK31" s="409" t="s">
        <v>93</v>
      </c>
      <c r="BL31" s="409"/>
      <c r="BM31" s="409"/>
      <c r="BN31" s="409"/>
      <c r="BO31" s="409"/>
      <c r="BP31" s="409"/>
      <c r="BQ31" s="409"/>
      <c r="BR31" s="409"/>
      <c r="BS31" s="409"/>
      <c r="BT31" s="409"/>
      <c r="BU31" s="409"/>
      <c r="BV31" s="409"/>
      <c r="BW31" s="409"/>
      <c r="BX31" s="409"/>
      <c r="BY31" s="409" t="s">
        <v>93</v>
      </c>
      <c r="BZ31" s="409"/>
      <c r="CA31" s="409"/>
      <c r="CB31" s="409"/>
      <c r="CC31" s="409"/>
      <c r="CD31" s="409"/>
      <c r="CE31" s="409"/>
      <c r="CF31" s="409" t="s">
        <v>93</v>
      </c>
      <c r="CG31" s="409"/>
      <c r="CH31" s="409"/>
      <c r="CI31" s="409"/>
      <c r="CJ31" s="409"/>
      <c r="CK31" s="409"/>
      <c r="CL31" s="409"/>
      <c r="CM31" s="409" t="s">
        <v>93</v>
      </c>
      <c r="CN31" s="409" t="s">
        <v>93</v>
      </c>
      <c r="CO31" s="409"/>
      <c r="CP31" s="409"/>
      <c r="CQ31" s="409"/>
      <c r="CR31" s="409"/>
      <c r="CS31" s="409"/>
      <c r="CT31" s="409"/>
      <c r="CU31" s="409"/>
      <c r="CV31" s="409" t="s">
        <v>93</v>
      </c>
      <c r="CW31" s="409"/>
      <c r="CX31" s="409"/>
      <c r="CY31" s="409"/>
      <c r="CZ31" s="409"/>
      <c r="DA31" s="409"/>
      <c r="DB31" s="409" t="s">
        <v>93</v>
      </c>
      <c r="DC31" s="409" t="s">
        <v>93</v>
      </c>
      <c r="DD31" s="409"/>
      <c r="DE31" s="409"/>
      <c r="DF31" s="409"/>
      <c r="DG31" s="409"/>
      <c r="DH31" s="409"/>
      <c r="DI31" s="409"/>
      <c r="DJ31" s="409"/>
      <c r="DK31" s="409"/>
      <c r="DL31" s="409"/>
      <c r="DM31" s="409"/>
      <c r="DN31" s="409"/>
      <c r="DO31" s="409"/>
      <c r="DP31" s="409"/>
      <c r="DQ31" s="409"/>
      <c r="DR31" s="409"/>
      <c r="DS31" s="409"/>
      <c r="DT31" s="409"/>
      <c r="DU31" s="409"/>
      <c r="DV31" s="409"/>
      <c r="DW31" s="409"/>
      <c r="DX31" s="409"/>
      <c r="DY31" s="409"/>
      <c r="DZ31" s="409"/>
      <c r="EA31" s="409"/>
      <c r="EB31" s="409"/>
      <c r="EC31" s="409"/>
      <c r="ED31" s="409"/>
      <c r="EE31" s="409"/>
      <c r="EF31" s="409"/>
      <c r="EG31" s="409"/>
      <c r="EH31" s="409"/>
      <c r="EI31" s="409"/>
      <c r="EJ31" s="409"/>
      <c r="EK31" s="409"/>
      <c r="EL31" s="409"/>
      <c r="EM31" s="409"/>
      <c r="EN31" s="409"/>
      <c r="EO31" s="409"/>
      <c r="EP31" s="409"/>
      <c r="EQ31" s="409"/>
      <c r="ER31" s="409"/>
      <c r="ES31" s="409"/>
      <c r="ET31" s="409"/>
      <c r="EU31" s="409"/>
      <c r="EV31" s="409"/>
      <c r="EW31" s="409"/>
      <c r="EX31" s="409"/>
      <c r="EY31" s="409"/>
      <c r="EZ31" s="409"/>
      <c r="FA31" s="409"/>
      <c r="FB31" s="409"/>
      <c r="FC31" s="409" t="s">
        <v>93</v>
      </c>
      <c r="FD31" s="409"/>
      <c r="FE31" s="409"/>
      <c r="FF31" s="409"/>
      <c r="FG31" s="409"/>
      <c r="FH31" s="409"/>
      <c r="FI31" s="409"/>
      <c r="FJ31" s="409"/>
      <c r="FK31" s="409"/>
      <c r="FL31" s="409"/>
      <c r="FM31" s="409"/>
      <c r="FN31" s="409"/>
      <c r="FO31" s="409"/>
      <c r="FP31" s="409"/>
      <c r="FQ31" s="409"/>
      <c r="FR31" s="409"/>
      <c r="FS31" s="409"/>
      <c r="FT31" s="409"/>
      <c r="FU31" s="409"/>
      <c r="FV31" s="409"/>
      <c r="FW31" s="409"/>
      <c r="FX31" s="409"/>
      <c r="FY31" s="409"/>
      <c r="FZ31" s="409"/>
      <c r="GA31" s="409" t="s">
        <v>93</v>
      </c>
      <c r="GB31" s="409"/>
      <c r="GC31" s="409" t="s">
        <v>93</v>
      </c>
      <c r="GD31" s="409" t="s">
        <v>93</v>
      </c>
      <c r="GE31" s="409" t="s">
        <v>93</v>
      </c>
      <c r="GF31" s="409"/>
      <c r="GG31" s="409"/>
      <c r="GH31" s="409"/>
      <c r="GI31" s="409"/>
      <c r="GJ31" s="409"/>
      <c r="GK31" s="409"/>
      <c r="GL31" s="409"/>
      <c r="GM31" s="409"/>
      <c r="GN31" s="409"/>
      <c r="GO31" s="409"/>
      <c r="GP31" s="409"/>
      <c r="GQ31" s="409"/>
      <c r="GR31" s="409"/>
      <c r="GS31" s="409"/>
      <c r="GT31" s="409"/>
      <c r="GU31" s="409" t="s">
        <v>93</v>
      </c>
      <c r="GV31" s="409"/>
      <c r="GW31" s="409" t="s">
        <v>93</v>
      </c>
      <c r="GX31" s="409"/>
      <c r="GY31" s="409"/>
      <c r="GZ31" s="410"/>
      <c r="HA31" s="410"/>
      <c r="HB31" s="409"/>
      <c r="HC31" s="409"/>
      <c r="HD31" s="409"/>
      <c r="HE31" s="409"/>
      <c r="HF31" s="409"/>
      <c r="HG31" s="409"/>
      <c r="HH31" s="409"/>
      <c r="HI31" s="409"/>
      <c r="HJ31" s="409"/>
      <c r="HK31" s="410"/>
      <c r="HL31" s="410"/>
      <c r="HM31" s="409"/>
      <c r="HN31" s="409"/>
      <c r="HO31" s="409"/>
      <c r="HP31" s="409"/>
      <c r="HQ31" s="409"/>
      <c r="HR31" s="409"/>
      <c r="HS31" s="409"/>
      <c r="HT31" s="409"/>
      <c r="HU31" s="409"/>
      <c r="HV31" s="409"/>
      <c r="HW31" s="410"/>
      <c r="HX31" s="409"/>
    </row>
    <row r="32" spans="1:232" ht="11.55" customHeight="1">
      <c r="A32" s="425" t="s">
        <v>141</v>
      </c>
      <c r="B32" s="426"/>
      <c r="C32" s="426" t="str">
        <f>IF(ISTEXT(IFERROR(VLOOKUP(A32,职业列表!I3:J10,1,FALSE),0)),"★","")</f>
        <v/>
      </c>
      <c r="D32" s="409"/>
      <c r="E32" s="409"/>
      <c r="F32" s="409"/>
      <c r="G32" s="409"/>
      <c r="H32" s="409" t="s">
        <v>93</v>
      </c>
      <c r="I32" s="409"/>
      <c r="J32" s="409"/>
      <c r="K32" s="409"/>
      <c r="L32" s="409"/>
      <c r="M32" s="409"/>
      <c r="N32" s="409"/>
      <c r="O32" s="409"/>
      <c r="P32" s="409"/>
      <c r="Q32" s="409"/>
      <c r="R32" s="409"/>
      <c r="S32" s="409"/>
      <c r="T32" s="409" t="s">
        <v>93</v>
      </c>
      <c r="U32" s="409"/>
      <c r="V32" s="409" t="s">
        <v>1356</v>
      </c>
      <c r="W32" s="409"/>
      <c r="X32" s="409"/>
      <c r="Y32" s="409"/>
      <c r="Z32" s="409"/>
      <c r="AA32" s="409"/>
      <c r="AB32" s="409" t="s">
        <v>1356</v>
      </c>
      <c r="AC32" s="409"/>
      <c r="AD32" s="409" t="s">
        <v>93</v>
      </c>
      <c r="AE32" s="409" t="s">
        <v>93</v>
      </c>
      <c r="AF32" s="409" t="s">
        <v>93</v>
      </c>
      <c r="AG32" s="409"/>
      <c r="AH32" s="409"/>
      <c r="AI32" s="409" t="s">
        <v>1356</v>
      </c>
      <c r="AJ32" s="409"/>
      <c r="AK32" s="409"/>
      <c r="AL32" s="409"/>
      <c r="AM32" s="409" t="s">
        <v>93</v>
      </c>
      <c r="AN32" s="409" t="s">
        <v>93</v>
      </c>
      <c r="AO32" s="409"/>
      <c r="AP32" s="409" t="s">
        <v>1355</v>
      </c>
      <c r="AQ32" s="444"/>
      <c r="AR32" s="409" t="s">
        <v>93</v>
      </c>
      <c r="AS32" s="409"/>
      <c r="AT32" s="409"/>
      <c r="AU32" s="409"/>
      <c r="AV32" s="409"/>
      <c r="AW32" s="409"/>
      <c r="AX32" s="409"/>
      <c r="AY32" s="409"/>
      <c r="AZ32" s="409"/>
      <c r="BA32" s="409"/>
      <c r="BB32" s="409"/>
      <c r="BC32" s="409" t="s">
        <v>93</v>
      </c>
      <c r="BD32" s="409"/>
      <c r="BE32" s="409" t="s">
        <v>93</v>
      </c>
      <c r="BF32" s="409"/>
      <c r="BG32" s="409"/>
      <c r="BH32" s="409"/>
      <c r="BI32" s="409"/>
      <c r="BJ32" s="409" t="s">
        <v>93</v>
      </c>
      <c r="BK32" s="409" t="s">
        <v>93</v>
      </c>
      <c r="BL32" s="409"/>
      <c r="BM32" s="409"/>
      <c r="BN32" s="409"/>
      <c r="BO32" s="409"/>
      <c r="BP32" s="409"/>
      <c r="BQ32" s="409"/>
      <c r="BR32" s="409"/>
      <c r="BS32" s="409"/>
      <c r="BT32" s="409"/>
      <c r="BU32" s="409"/>
      <c r="BV32" s="409"/>
      <c r="BW32" s="409"/>
      <c r="BX32" s="409"/>
      <c r="BY32" s="409" t="s">
        <v>93</v>
      </c>
      <c r="BZ32" s="409"/>
      <c r="CA32" s="409"/>
      <c r="CB32" s="409"/>
      <c r="CC32" s="409"/>
      <c r="CD32" s="409"/>
      <c r="CE32" s="409"/>
      <c r="CF32" s="409" t="s">
        <v>93</v>
      </c>
      <c r="CG32" s="409"/>
      <c r="CH32" s="409"/>
      <c r="CI32" s="409"/>
      <c r="CJ32" s="409"/>
      <c r="CK32" s="409"/>
      <c r="CL32" s="409"/>
      <c r="CM32" s="409" t="s">
        <v>93</v>
      </c>
      <c r="CN32" s="409" t="s">
        <v>93</v>
      </c>
      <c r="CO32" s="409"/>
      <c r="CP32" s="409"/>
      <c r="CQ32" s="409"/>
      <c r="CR32" s="409"/>
      <c r="CS32" s="409"/>
      <c r="CT32" s="409"/>
      <c r="CU32" s="409"/>
      <c r="CV32" s="409" t="s">
        <v>93</v>
      </c>
      <c r="CW32" s="409"/>
      <c r="CX32" s="409"/>
      <c r="CY32" s="409"/>
      <c r="CZ32" s="409"/>
      <c r="DA32" s="409"/>
      <c r="DB32" s="409" t="s">
        <v>93</v>
      </c>
      <c r="DC32" s="409" t="s">
        <v>93</v>
      </c>
      <c r="DD32" s="409"/>
      <c r="DE32" s="409"/>
      <c r="DF32" s="409"/>
      <c r="DG32" s="409"/>
      <c r="DH32" s="409"/>
      <c r="DI32" s="409"/>
      <c r="DJ32" s="409"/>
      <c r="DK32" s="409"/>
      <c r="DL32" s="409"/>
      <c r="DM32" s="409"/>
      <c r="DN32" s="409"/>
      <c r="DO32" s="409"/>
      <c r="DP32" s="409"/>
      <c r="DQ32" s="409"/>
      <c r="DR32" s="409"/>
      <c r="DS32" s="409"/>
      <c r="DT32" s="409"/>
      <c r="DU32" s="409"/>
      <c r="DV32" s="409"/>
      <c r="DW32" s="409"/>
      <c r="DX32" s="409"/>
      <c r="DY32" s="409"/>
      <c r="DZ32" s="409"/>
      <c r="EA32" s="409"/>
      <c r="EB32" s="409"/>
      <c r="EC32" s="409"/>
      <c r="ED32" s="409"/>
      <c r="EE32" s="409"/>
      <c r="EF32" s="409"/>
      <c r="EG32" s="409"/>
      <c r="EH32" s="409"/>
      <c r="EI32" s="409"/>
      <c r="EJ32" s="409"/>
      <c r="EK32" s="409"/>
      <c r="EL32" s="409"/>
      <c r="EM32" s="409"/>
      <c r="EN32" s="409"/>
      <c r="EO32" s="409"/>
      <c r="EP32" s="409"/>
      <c r="EQ32" s="409"/>
      <c r="ER32" s="409"/>
      <c r="ES32" s="409"/>
      <c r="ET32" s="409"/>
      <c r="EU32" s="409"/>
      <c r="EV32" s="409"/>
      <c r="EW32" s="409"/>
      <c r="EX32" s="409"/>
      <c r="EY32" s="409"/>
      <c r="EZ32" s="409"/>
      <c r="FA32" s="409"/>
      <c r="FB32" s="409"/>
      <c r="FC32" s="409" t="s">
        <v>93</v>
      </c>
      <c r="FD32" s="409"/>
      <c r="FE32" s="409"/>
      <c r="FF32" s="409"/>
      <c r="FG32" s="409"/>
      <c r="FH32" s="409"/>
      <c r="FI32" s="409"/>
      <c r="FJ32" s="409"/>
      <c r="FK32" s="409"/>
      <c r="FL32" s="409"/>
      <c r="FM32" s="409"/>
      <c r="FN32" s="409"/>
      <c r="FO32" s="409"/>
      <c r="FP32" s="409"/>
      <c r="FQ32" s="409"/>
      <c r="FR32" s="409"/>
      <c r="FS32" s="409"/>
      <c r="FT32" s="409"/>
      <c r="FU32" s="409"/>
      <c r="FV32" s="409"/>
      <c r="FW32" s="409"/>
      <c r="FX32" s="409"/>
      <c r="FY32" s="409"/>
      <c r="FZ32" s="409"/>
      <c r="GA32" s="409" t="s">
        <v>93</v>
      </c>
      <c r="GB32" s="409"/>
      <c r="GC32" s="409" t="s">
        <v>93</v>
      </c>
      <c r="GD32" s="409" t="s">
        <v>93</v>
      </c>
      <c r="GE32" s="409" t="s">
        <v>93</v>
      </c>
      <c r="GF32" s="409"/>
      <c r="GG32" s="409"/>
      <c r="GH32" s="409"/>
      <c r="GI32" s="409"/>
      <c r="GJ32" s="409"/>
      <c r="GK32" s="409"/>
      <c r="GL32" s="409"/>
      <c r="GM32" s="409"/>
      <c r="GN32" s="409"/>
      <c r="GO32" s="409"/>
      <c r="GP32" s="409"/>
      <c r="GQ32" s="409"/>
      <c r="GR32" s="409"/>
      <c r="GS32" s="409"/>
      <c r="GT32" s="409"/>
      <c r="GU32" s="409" t="s">
        <v>93</v>
      </c>
      <c r="GV32" s="409"/>
      <c r="GW32" s="409" t="s">
        <v>93</v>
      </c>
      <c r="GX32" s="409"/>
      <c r="GY32" s="409"/>
      <c r="GZ32" s="410"/>
      <c r="HA32" s="410"/>
      <c r="HB32" s="409"/>
      <c r="HC32" s="409"/>
      <c r="HD32" s="409"/>
      <c r="HE32" s="409"/>
      <c r="HF32" s="409"/>
      <c r="HG32" s="409"/>
      <c r="HH32" s="409"/>
      <c r="HI32" s="409"/>
      <c r="HJ32" s="409"/>
      <c r="HK32" s="410"/>
      <c r="HL32" s="410"/>
      <c r="HM32" s="409"/>
      <c r="HN32" s="409"/>
      <c r="HO32" s="409"/>
      <c r="HP32" s="409"/>
      <c r="HQ32" s="409"/>
      <c r="HR32" s="409"/>
      <c r="HS32" s="409"/>
      <c r="HT32" s="409"/>
      <c r="HU32" s="409"/>
      <c r="HV32" s="409"/>
      <c r="HW32" s="410"/>
      <c r="HX32" s="409"/>
    </row>
    <row r="33" spans="1:232" ht="11.55" customHeight="1">
      <c r="A33" s="408" t="s">
        <v>143</v>
      </c>
      <c r="B33" s="409"/>
      <c r="C33" s="409" t="str">
        <f>IF(ISTEXT(IFERROR(VLOOKUP(A33,职业列表!I3:J10,1,FALSE),0)),"★","")</f>
        <v/>
      </c>
      <c r="D33" s="409"/>
      <c r="E33" s="409"/>
      <c r="F33" s="409"/>
      <c r="G33" s="409"/>
      <c r="H33" s="409"/>
      <c r="I33" s="409"/>
      <c r="J33" s="409"/>
      <c r="K33" s="409"/>
      <c r="L33" s="409"/>
      <c r="M33" s="409"/>
      <c r="N33" s="409"/>
      <c r="O33" s="409"/>
      <c r="P33" s="409" t="s">
        <v>93</v>
      </c>
      <c r="Q33" s="409"/>
      <c r="R33" s="409"/>
      <c r="S33" s="409"/>
      <c r="T33" s="409"/>
      <c r="U33" s="409"/>
      <c r="V33" s="409"/>
      <c r="W33" s="409"/>
      <c r="X33" s="409" t="s">
        <v>93</v>
      </c>
      <c r="Y33" s="409"/>
      <c r="Z33" s="409"/>
      <c r="AA33" s="409"/>
      <c r="AB33" s="409" t="s">
        <v>1355</v>
      </c>
      <c r="AC33" s="409"/>
      <c r="AD33" s="409"/>
      <c r="AE33" s="409"/>
      <c r="AF33" s="409"/>
      <c r="AG33" s="409"/>
      <c r="AH33" s="409"/>
      <c r="AI33" s="409"/>
      <c r="AJ33" s="409"/>
      <c r="AK33" s="409"/>
      <c r="AL33" s="409"/>
      <c r="AM33" s="409"/>
      <c r="AN33" s="409"/>
      <c r="AO33" s="409"/>
      <c r="AP33" s="409"/>
      <c r="AQ33" s="409"/>
      <c r="AR33" s="409"/>
      <c r="AS33" s="409" t="s">
        <v>93</v>
      </c>
      <c r="AT33" s="409" t="s">
        <v>93</v>
      </c>
      <c r="AU33" s="409"/>
      <c r="AV33" s="409"/>
      <c r="AW33" s="409"/>
      <c r="AX33" s="409"/>
      <c r="AY33" s="409"/>
      <c r="AZ33" s="409"/>
      <c r="BA33" s="409"/>
      <c r="BB33" s="409"/>
      <c r="BC33" s="409"/>
      <c r="BD33" s="409"/>
      <c r="BE33" s="409"/>
      <c r="BF33" s="409" t="s">
        <v>93</v>
      </c>
      <c r="BG33" s="409"/>
      <c r="BH33" s="409"/>
      <c r="BI33" s="409"/>
      <c r="BJ33" s="409"/>
      <c r="BK33" s="409"/>
      <c r="BL33" s="409"/>
      <c r="BM33" s="409"/>
      <c r="BN33" s="409" t="s">
        <v>93</v>
      </c>
      <c r="BO33" s="409"/>
      <c r="BP33" s="409"/>
      <c r="BQ33" s="409"/>
      <c r="BR33" s="409"/>
      <c r="BS33" s="409" t="s">
        <v>93</v>
      </c>
      <c r="BT33" s="409" t="s">
        <v>93</v>
      </c>
      <c r="BU33" s="409"/>
      <c r="BV33" s="409"/>
      <c r="BW33" s="409"/>
      <c r="BX33" s="409"/>
      <c r="BY33" s="409" t="s">
        <v>93</v>
      </c>
      <c r="BZ33" s="409" t="s">
        <v>93</v>
      </c>
      <c r="CA33" s="409" t="s">
        <v>93</v>
      </c>
      <c r="CB33" s="409"/>
      <c r="CC33" s="409"/>
      <c r="CD33" s="409" t="s">
        <v>93</v>
      </c>
      <c r="CE33" s="409"/>
      <c r="CF33" s="409" t="s">
        <v>93</v>
      </c>
      <c r="CG33" s="409"/>
      <c r="CH33" s="409" t="s">
        <v>93</v>
      </c>
      <c r="CI33" s="409"/>
      <c r="CJ33" s="409"/>
      <c r="CK33" s="409"/>
      <c r="CL33" s="409"/>
      <c r="CM33" s="409"/>
      <c r="CN33" s="409" t="s">
        <v>93</v>
      </c>
      <c r="CO33" s="409"/>
      <c r="CP33" s="409"/>
      <c r="CQ33" s="409" t="s">
        <v>93</v>
      </c>
      <c r="CR33" s="409"/>
      <c r="CS33" s="409"/>
      <c r="CT33" s="409"/>
      <c r="CU33" s="409"/>
      <c r="CV33" s="409" t="s">
        <v>93</v>
      </c>
      <c r="CW33" s="409" t="s">
        <v>93</v>
      </c>
      <c r="CX33" s="409"/>
      <c r="CY33" s="409"/>
      <c r="CZ33" s="409"/>
      <c r="DA33" s="409"/>
      <c r="DB33" s="410" t="s">
        <v>1358</v>
      </c>
      <c r="DC33" s="409"/>
      <c r="DD33" s="409"/>
      <c r="DE33" s="409" t="s">
        <v>93</v>
      </c>
      <c r="DF33" s="409"/>
      <c r="DG33" s="409"/>
      <c r="DH33" s="409"/>
      <c r="DI33" s="409"/>
      <c r="DJ33" s="409"/>
      <c r="DK33" s="409"/>
      <c r="DL33" s="409"/>
      <c r="DM33" s="409" t="s">
        <v>93</v>
      </c>
      <c r="DN33" s="409"/>
      <c r="DO33" s="409"/>
      <c r="DP33" s="409"/>
      <c r="DQ33" s="409"/>
      <c r="DR33" s="409"/>
      <c r="DS33" s="409"/>
      <c r="DT33" s="409"/>
      <c r="DU33" s="409"/>
      <c r="DV33" s="409"/>
      <c r="DW33" s="409"/>
      <c r="DX33" s="409"/>
      <c r="DY33" s="409"/>
      <c r="DZ33" s="409"/>
      <c r="EA33" s="409"/>
      <c r="EB33" s="409"/>
      <c r="EC33" s="409"/>
      <c r="ED33" s="409"/>
      <c r="EE33" s="409"/>
      <c r="EF33" s="409" t="s">
        <v>93</v>
      </c>
      <c r="EG33" s="409" t="s">
        <v>93</v>
      </c>
      <c r="EH33" s="409" t="s">
        <v>93</v>
      </c>
      <c r="EI33" s="409"/>
      <c r="EJ33" s="409" t="s">
        <v>93</v>
      </c>
      <c r="EK33" s="409"/>
      <c r="EL33" s="409"/>
      <c r="EM33" s="409" t="s">
        <v>93</v>
      </c>
      <c r="EN33" s="409"/>
      <c r="EO33" s="409"/>
      <c r="EP33" s="409"/>
      <c r="EQ33" s="409"/>
      <c r="ER33" s="409"/>
      <c r="ES33" s="409"/>
      <c r="ET33" s="409"/>
      <c r="EU33" s="409"/>
      <c r="EV33" s="409"/>
      <c r="EW33" s="409"/>
      <c r="EX33" s="409"/>
      <c r="EY33" s="409"/>
      <c r="EZ33" s="409"/>
      <c r="FA33" s="409" t="s">
        <v>93</v>
      </c>
      <c r="FB33" s="409"/>
      <c r="FC33" s="409"/>
      <c r="FD33" s="409"/>
      <c r="FE33" s="409"/>
      <c r="FF33" s="409"/>
      <c r="FG33" s="409"/>
      <c r="FH33" s="409"/>
      <c r="FI33" s="409"/>
      <c r="FJ33" s="409"/>
      <c r="FK33" s="409"/>
      <c r="FL33" s="409" t="s">
        <v>1355</v>
      </c>
      <c r="FM33" s="409"/>
      <c r="FN33" s="409"/>
      <c r="FO33" s="409"/>
      <c r="FP33" s="409"/>
      <c r="FQ33" s="409"/>
      <c r="FR33" s="409" t="s">
        <v>93</v>
      </c>
      <c r="FS33" s="409" t="s">
        <v>93</v>
      </c>
      <c r="FT33" s="409"/>
      <c r="FU33" s="409" t="s">
        <v>93</v>
      </c>
      <c r="FV33" s="409" t="s">
        <v>93</v>
      </c>
      <c r="FW33" s="409"/>
      <c r="FX33" s="409" t="s">
        <v>93</v>
      </c>
      <c r="FY33" s="409"/>
      <c r="FZ33" s="409"/>
      <c r="GA33" s="409" t="s">
        <v>93</v>
      </c>
      <c r="GB33" s="409" t="s">
        <v>93</v>
      </c>
      <c r="GC33" s="409" t="s">
        <v>1358</v>
      </c>
      <c r="GD33" s="409" t="s">
        <v>1358</v>
      </c>
      <c r="GE33" s="409"/>
      <c r="GF33" s="409"/>
      <c r="GG33" s="409"/>
      <c r="GH33" s="409"/>
      <c r="GI33" s="409"/>
      <c r="GJ33" s="409"/>
      <c r="GK33" s="409"/>
      <c r="GL33" s="409"/>
      <c r="GM33" s="409"/>
      <c r="GN33" s="409"/>
      <c r="GO33" s="409"/>
      <c r="GP33" s="409"/>
      <c r="GQ33" s="409"/>
      <c r="GR33" s="409"/>
      <c r="GS33" s="409"/>
      <c r="GT33" s="409"/>
      <c r="GU33" s="409" t="s">
        <v>1358</v>
      </c>
      <c r="GV33" s="409"/>
      <c r="GW33" s="409" t="s">
        <v>93</v>
      </c>
      <c r="GX33" s="409"/>
      <c r="GY33" s="409" t="s">
        <v>93</v>
      </c>
      <c r="GZ33" s="409"/>
      <c r="HA33" s="409"/>
      <c r="HB33" s="409"/>
      <c r="HC33" s="409"/>
      <c r="HD33" s="409"/>
      <c r="HE33" s="409"/>
      <c r="HF33" s="409" t="s">
        <v>93</v>
      </c>
      <c r="HG33" s="409"/>
      <c r="HH33" s="409"/>
      <c r="HI33" s="409"/>
      <c r="HJ33" s="409"/>
      <c r="HK33" s="410" t="s">
        <v>93</v>
      </c>
      <c r="HL33" s="409" t="s">
        <v>93</v>
      </c>
      <c r="HM33" s="409"/>
      <c r="HN33" s="409"/>
      <c r="HO33" s="410" t="s">
        <v>93</v>
      </c>
      <c r="HP33" s="409"/>
      <c r="HQ33" s="410" t="s">
        <v>93</v>
      </c>
      <c r="HR33" s="409" t="s">
        <v>93</v>
      </c>
      <c r="HS33" s="409"/>
      <c r="HT33" s="409"/>
      <c r="HU33" s="409" t="s">
        <v>1358</v>
      </c>
      <c r="HV33" s="409"/>
      <c r="HW33" s="409" t="s">
        <v>93</v>
      </c>
      <c r="HX33" s="409"/>
    </row>
    <row r="34" spans="1:232" ht="11.55" customHeight="1">
      <c r="A34" s="408" t="s">
        <v>145</v>
      </c>
      <c r="B34" s="409"/>
      <c r="C34" s="410" t="str">
        <f>IF(ISTEXT(IFERROR(VLOOKUP(A34,职业列表!I3:J10,1,FALSE),0)),"★","")</f>
        <v/>
      </c>
      <c r="D34" s="409"/>
      <c r="E34" s="409"/>
      <c r="F34" s="409" t="s">
        <v>93</v>
      </c>
      <c r="G34" s="409"/>
      <c r="H34" s="409"/>
      <c r="I34" s="409"/>
      <c r="J34" s="409"/>
      <c r="K34" s="409" t="s">
        <v>93</v>
      </c>
      <c r="L34" s="409" t="s">
        <v>93</v>
      </c>
      <c r="M34" s="409" t="s">
        <v>93</v>
      </c>
      <c r="N34" s="409"/>
      <c r="O34" s="409" t="s">
        <v>1355</v>
      </c>
      <c r="P34" s="409"/>
      <c r="Q34" s="409"/>
      <c r="R34" s="409" t="s">
        <v>93</v>
      </c>
      <c r="S34" s="409"/>
      <c r="T34" s="409"/>
      <c r="U34" s="409" t="s">
        <v>93</v>
      </c>
      <c r="V34" s="409"/>
      <c r="W34" s="409"/>
      <c r="X34" s="409"/>
      <c r="Y34" s="409" t="s">
        <v>93</v>
      </c>
      <c r="Z34" s="409"/>
      <c r="AA34" s="409"/>
      <c r="AB34" s="409"/>
      <c r="AC34" s="409"/>
      <c r="AD34" s="409"/>
      <c r="AE34" s="409"/>
      <c r="AF34" s="409"/>
      <c r="AG34" s="409"/>
      <c r="AH34" s="409"/>
      <c r="AI34" s="409"/>
      <c r="AJ34" s="409"/>
      <c r="AK34" s="409" t="s">
        <v>93</v>
      </c>
      <c r="AL34" s="409" t="s">
        <v>93</v>
      </c>
      <c r="AM34" s="409"/>
      <c r="AN34" s="409"/>
      <c r="AO34" s="409"/>
      <c r="AP34" s="409" t="s">
        <v>93</v>
      </c>
      <c r="AQ34" s="409"/>
      <c r="AR34" s="409"/>
      <c r="AS34" s="409"/>
      <c r="AT34" s="409"/>
      <c r="AU34" s="409"/>
      <c r="AV34" s="409"/>
      <c r="AW34" s="409"/>
      <c r="AX34" s="409"/>
      <c r="AY34" s="409" t="s">
        <v>93</v>
      </c>
      <c r="AZ34" s="409" t="s">
        <v>93</v>
      </c>
      <c r="BA34" s="409"/>
      <c r="BB34" s="409"/>
      <c r="BC34" s="409" t="s">
        <v>93</v>
      </c>
      <c r="BD34" s="409"/>
      <c r="BE34" s="409"/>
      <c r="BF34" s="409"/>
      <c r="BG34" s="409" t="s">
        <v>93</v>
      </c>
      <c r="BH34" s="409"/>
      <c r="BI34" s="409"/>
      <c r="BJ34" s="409"/>
      <c r="BK34" s="409"/>
      <c r="BL34" s="409" t="s">
        <v>93</v>
      </c>
      <c r="BM34" s="409"/>
      <c r="BN34" s="409"/>
      <c r="BO34" s="409" t="s">
        <v>93</v>
      </c>
      <c r="BP34" s="409" t="s">
        <v>93</v>
      </c>
      <c r="BQ34" s="409" t="s">
        <v>93</v>
      </c>
      <c r="BR34" s="409"/>
      <c r="BS34" s="409"/>
      <c r="BT34" s="409"/>
      <c r="BU34" s="409"/>
      <c r="BV34" s="409"/>
      <c r="BW34" s="409"/>
      <c r="BX34" s="409"/>
      <c r="BY34" s="409"/>
      <c r="BZ34" s="409"/>
      <c r="CA34" s="409"/>
      <c r="CB34" s="409" t="s">
        <v>93</v>
      </c>
      <c r="CC34" s="409"/>
      <c r="CD34" s="409"/>
      <c r="CE34" s="409" t="s">
        <v>93</v>
      </c>
      <c r="CF34" s="409"/>
      <c r="CG34" s="409" t="s">
        <v>93</v>
      </c>
      <c r="CH34" s="409"/>
      <c r="CI34" s="409"/>
      <c r="CJ34" s="409"/>
      <c r="CK34" s="409"/>
      <c r="CL34" s="409"/>
      <c r="CM34" s="409"/>
      <c r="CN34" s="409"/>
      <c r="CO34" s="409"/>
      <c r="CP34" s="409"/>
      <c r="CQ34" s="409" t="s">
        <v>93</v>
      </c>
      <c r="CR34" s="409"/>
      <c r="CS34" s="409"/>
      <c r="CT34" s="409"/>
      <c r="CU34" s="409" t="s">
        <v>93</v>
      </c>
      <c r="CV34" s="409"/>
      <c r="CW34" s="409"/>
      <c r="CX34" s="409"/>
      <c r="CY34" s="409"/>
      <c r="CZ34" s="409"/>
      <c r="DA34" s="409"/>
      <c r="DB34" s="409"/>
      <c r="DC34" s="409"/>
      <c r="DD34" s="409"/>
      <c r="DE34" s="409"/>
      <c r="DF34" s="409"/>
      <c r="DG34" s="409" t="s">
        <v>93</v>
      </c>
      <c r="DH34" s="409"/>
      <c r="DI34" s="409"/>
      <c r="DJ34" s="409"/>
      <c r="DK34" s="409"/>
      <c r="DL34" s="409" t="s">
        <v>93</v>
      </c>
      <c r="DM34" s="409"/>
      <c r="DN34" s="409" t="s">
        <v>93</v>
      </c>
      <c r="DO34" s="409"/>
      <c r="DP34" s="409"/>
      <c r="DQ34" s="409"/>
      <c r="DR34" s="409"/>
      <c r="DS34" s="409"/>
      <c r="DT34" s="409"/>
      <c r="DU34" s="409"/>
      <c r="DV34" s="409" t="s">
        <v>93</v>
      </c>
      <c r="DW34" s="409" t="s">
        <v>93</v>
      </c>
      <c r="DX34" s="409" t="s">
        <v>93</v>
      </c>
      <c r="DY34" s="409"/>
      <c r="DZ34" s="409" t="s">
        <v>93</v>
      </c>
      <c r="EA34" s="409"/>
      <c r="EB34" s="409"/>
      <c r="EC34" s="409"/>
      <c r="ED34" s="409"/>
      <c r="EE34" s="409"/>
      <c r="EF34" s="409"/>
      <c r="EG34" s="409"/>
      <c r="EH34" s="409"/>
      <c r="EI34" s="409"/>
      <c r="EJ34" s="409"/>
      <c r="EK34" s="409"/>
      <c r="EL34" s="409"/>
      <c r="EM34" s="409"/>
      <c r="EN34" s="409"/>
      <c r="EO34" s="409"/>
      <c r="EP34" s="409"/>
      <c r="EQ34" s="409"/>
      <c r="ER34" s="409"/>
      <c r="ES34" s="409"/>
      <c r="ET34" s="409"/>
      <c r="EU34" s="409"/>
      <c r="EV34" s="409"/>
      <c r="EW34" s="409"/>
      <c r="EX34" s="409"/>
      <c r="EY34" s="409"/>
      <c r="EZ34" s="409"/>
      <c r="FA34" s="409"/>
      <c r="FB34" s="409" t="s">
        <v>93</v>
      </c>
      <c r="FC34" s="409"/>
      <c r="FD34" s="409"/>
      <c r="FE34" s="409" t="s">
        <v>1355</v>
      </c>
      <c r="FF34" s="409"/>
      <c r="FG34" s="409"/>
      <c r="FH34" s="409"/>
      <c r="FI34" s="409" t="s">
        <v>1355</v>
      </c>
      <c r="FJ34" s="409" t="s">
        <v>93</v>
      </c>
      <c r="FK34" s="409" t="s">
        <v>1355</v>
      </c>
      <c r="FL34" s="409"/>
      <c r="FM34" s="409" t="s">
        <v>93</v>
      </c>
      <c r="FN34" s="409"/>
      <c r="FO34" s="409"/>
      <c r="FP34" s="409"/>
      <c r="FQ34" s="409"/>
      <c r="FR34" s="409"/>
      <c r="FS34" s="409"/>
      <c r="FT34" s="409"/>
      <c r="FU34" s="409"/>
      <c r="FV34" s="409"/>
      <c r="FW34" s="409"/>
      <c r="FX34" s="409"/>
      <c r="FY34" s="409"/>
      <c r="FZ34" s="409"/>
      <c r="GA34" s="409"/>
      <c r="GB34" s="409"/>
      <c r="GC34" s="409"/>
      <c r="GD34" s="409"/>
      <c r="GE34" s="409" t="s">
        <v>93</v>
      </c>
      <c r="GF34" s="409" t="s">
        <v>1355</v>
      </c>
      <c r="GG34" s="409"/>
      <c r="GH34" s="409"/>
      <c r="GI34" s="409"/>
      <c r="GJ34" s="409"/>
      <c r="GK34" s="409"/>
      <c r="GL34" s="409"/>
      <c r="GM34" s="409"/>
      <c r="GN34" s="409"/>
      <c r="GO34" s="409"/>
      <c r="GP34" s="409"/>
      <c r="GQ34" s="409" t="s">
        <v>93</v>
      </c>
      <c r="GR34" s="409"/>
      <c r="GS34" s="409"/>
      <c r="GT34" s="409"/>
      <c r="GU34" s="409"/>
      <c r="GV34" s="409"/>
      <c r="GW34" s="409"/>
      <c r="GX34" s="409"/>
      <c r="GY34" s="409"/>
      <c r="GZ34" s="410" t="s">
        <v>93</v>
      </c>
      <c r="HA34" s="409"/>
      <c r="HB34" s="410" t="s">
        <v>93</v>
      </c>
      <c r="HC34" s="410" t="s">
        <v>93</v>
      </c>
      <c r="HD34" s="409"/>
      <c r="HE34" s="410" t="s">
        <v>93</v>
      </c>
      <c r="HF34" s="409" t="s">
        <v>93</v>
      </c>
      <c r="HG34" s="409"/>
      <c r="HH34" s="409"/>
      <c r="HI34" s="409"/>
      <c r="HJ34" s="409"/>
      <c r="HK34" s="409"/>
      <c r="HL34" s="409"/>
      <c r="HM34" s="409"/>
      <c r="HN34" s="409"/>
      <c r="HO34" s="409"/>
      <c r="HP34" s="410" t="s">
        <v>93</v>
      </c>
      <c r="HQ34" s="409"/>
      <c r="HR34" s="409"/>
      <c r="HS34" s="409"/>
      <c r="HT34" s="409" t="s">
        <v>93</v>
      </c>
      <c r="HU34" s="409"/>
      <c r="HV34" s="409"/>
      <c r="HW34" s="409"/>
      <c r="HX34" s="409" t="s">
        <v>93</v>
      </c>
    </row>
    <row r="35" spans="1:232" s="393" customFormat="1" ht="11.55" customHeight="1">
      <c r="A35" s="415" t="s">
        <v>148</v>
      </c>
      <c r="B35" s="416"/>
      <c r="C35" s="410" t="str">
        <f>IF(ISTEXT(IFERROR(VLOOKUP(A35,职业列表!I3:J10,1,FALSE),0)),"★","")</f>
        <v/>
      </c>
      <c r="D35" s="416"/>
      <c r="E35" s="416"/>
      <c r="F35" s="417" t="s">
        <v>1357</v>
      </c>
      <c r="G35" s="416" t="s">
        <v>1357</v>
      </c>
      <c r="H35" s="416" t="s">
        <v>1357</v>
      </c>
      <c r="I35" s="416"/>
      <c r="J35" s="416"/>
      <c r="K35" s="416" t="s">
        <v>1357</v>
      </c>
      <c r="L35" s="416" t="s">
        <v>1357</v>
      </c>
      <c r="M35" s="416"/>
      <c r="N35" s="416"/>
      <c r="O35" s="416" t="s">
        <v>1357</v>
      </c>
      <c r="P35" s="416" t="s">
        <v>1357</v>
      </c>
      <c r="Q35" s="416" t="s">
        <v>1357</v>
      </c>
      <c r="R35" s="416"/>
      <c r="S35" s="416" t="s">
        <v>1357</v>
      </c>
      <c r="T35" s="416"/>
      <c r="U35" s="416" t="s">
        <v>1357</v>
      </c>
      <c r="V35" s="416" t="s">
        <v>1357</v>
      </c>
      <c r="W35" s="416" t="s">
        <v>93</v>
      </c>
      <c r="X35" s="416"/>
      <c r="Y35" s="416" t="s">
        <v>1357</v>
      </c>
      <c r="Z35" s="416"/>
      <c r="AA35" s="416" t="s">
        <v>1357</v>
      </c>
      <c r="AB35" s="416"/>
      <c r="AC35" s="416"/>
      <c r="AD35" s="416"/>
      <c r="AE35" s="416" t="s">
        <v>93</v>
      </c>
      <c r="AF35" s="416" t="s">
        <v>1357</v>
      </c>
      <c r="AG35" s="416"/>
      <c r="AH35" s="416" t="s">
        <v>1357</v>
      </c>
      <c r="AI35" s="416" t="s">
        <v>1357</v>
      </c>
      <c r="AJ35" s="416" t="s">
        <v>1357</v>
      </c>
      <c r="AK35" s="416" t="s">
        <v>1357</v>
      </c>
      <c r="AL35" s="416"/>
      <c r="AM35" s="416" t="s">
        <v>1357</v>
      </c>
      <c r="AN35" s="416" t="s">
        <v>1357</v>
      </c>
      <c r="AO35" s="416" t="s">
        <v>1357</v>
      </c>
      <c r="AP35" s="416" t="s">
        <v>1357</v>
      </c>
      <c r="AQ35" s="442"/>
      <c r="AR35" s="416" t="s">
        <v>1357</v>
      </c>
      <c r="AS35" s="416"/>
      <c r="AT35" s="416"/>
      <c r="AU35" s="416" t="s">
        <v>1357</v>
      </c>
      <c r="AV35" s="416" t="s">
        <v>1357</v>
      </c>
      <c r="AW35" s="416" t="s">
        <v>1357</v>
      </c>
      <c r="AX35" s="416"/>
      <c r="AY35" s="416" t="s">
        <v>1357</v>
      </c>
      <c r="AZ35" s="416" t="s">
        <v>93</v>
      </c>
      <c r="BA35" s="416"/>
      <c r="BB35" s="416" t="s">
        <v>1357</v>
      </c>
      <c r="BC35" s="416"/>
      <c r="BD35" s="416" t="s">
        <v>1357</v>
      </c>
      <c r="BE35" s="416"/>
      <c r="BF35" s="416"/>
      <c r="BG35" s="416" t="s">
        <v>1357</v>
      </c>
      <c r="BH35" s="416"/>
      <c r="BI35" s="416" t="s">
        <v>1357</v>
      </c>
      <c r="BJ35" s="416" t="s">
        <v>1357</v>
      </c>
      <c r="BK35" s="416" t="s">
        <v>1357</v>
      </c>
      <c r="BL35" s="416" t="s">
        <v>1357</v>
      </c>
      <c r="BM35" s="416"/>
      <c r="BN35" s="416" t="s">
        <v>1357</v>
      </c>
      <c r="BO35" s="416" t="s">
        <v>1357</v>
      </c>
      <c r="BP35" s="416" t="s">
        <v>1357</v>
      </c>
      <c r="BQ35" s="416" t="s">
        <v>93</v>
      </c>
      <c r="BR35" s="416"/>
      <c r="BS35" s="416"/>
      <c r="BT35" s="416"/>
      <c r="BU35" s="442"/>
      <c r="BV35" s="416" t="s">
        <v>1357</v>
      </c>
      <c r="BW35" s="416"/>
      <c r="BX35" s="416"/>
      <c r="BY35" s="416" t="s">
        <v>1357</v>
      </c>
      <c r="BZ35" s="416" t="s">
        <v>1357</v>
      </c>
      <c r="CA35" s="416"/>
      <c r="CB35" s="416"/>
      <c r="CC35" s="416" t="s">
        <v>1357</v>
      </c>
      <c r="CD35" s="416" t="s">
        <v>1357</v>
      </c>
      <c r="CE35" s="416" t="s">
        <v>1357</v>
      </c>
      <c r="CF35" s="416"/>
      <c r="CG35" s="416"/>
      <c r="CH35" s="416" t="s">
        <v>1357</v>
      </c>
      <c r="CI35" s="416" t="s">
        <v>1357</v>
      </c>
      <c r="CJ35" s="416" t="s">
        <v>1357</v>
      </c>
      <c r="CK35" s="416"/>
      <c r="CL35" s="416"/>
      <c r="CM35" s="416" t="s">
        <v>1357</v>
      </c>
      <c r="CN35" s="416" t="s">
        <v>1357</v>
      </c>
      <c r="CO35" s="416" t="s">
        <v>1357</v>
      </c>
      <c r="CP35" s="416"/>
      <c r="CQ35" s="416"/>
      <c r="CR35" s="416" t="s">
        <v>1357</v>
      </c>
      <c r="CS35" s="416"/>
      <c r="CT35" s="416"/>
      <c r="CU35" s="416" t="s">
        <v>1357</v>
      </c>
      <c r="CV35" s="416"/>
      <c r="CW35" s="416" t="s">
        <v>1357</v>
      </c>
      <c r="CX35" s="416" t="s">
        <v>1357</v>
      </c>
      <c r="CY35" s="416" t="s">
        <v>1357</v>
      </c>
      <c r="CZ35" s="416" t="s">
        <v>1357</v>
      </c>
      <c r="DA35" s="416" t="s">
        <v>1357</v>
      </c>
      <c r="DB35" s="416"/>
      <c r="DC35" s="416" t="s">
        <v>1357</v>
      </c>
      <c r="DD35" s="416"/>
      <c r="DE35" s="416"/>
      <c r="DF35" s="416"/>
      <c r="DG35" s="416" t="s">
        <v>1357</v>
      </c>
      <c r="DH35" s="416" t="s">
        <v>1357</v>
      </c>
      <c r="DI35" s="416" t="s">
        <v>1357</v>
      </c>
      <c r="DJ35" s="416" t="s">
        <v>1357</v>
      </c>
      <c r="DK35" s="416" t="s">
        <v>1357</v>
      </c>
      <c r="DL35" s="416" t="s">
        <v>1357</v>
      </c>
      <c r="DM35" s="416"/>
      <c r="DN35" s="416" t="s">
        <v>93</v>
      </c>
      <c r="DO35" s="416" t="s">
        <v>1357</v>
      </c>
      <c r="DP35" s="416" t="s">
        <v>1357</v>
      </c>
      <c r="DQ35" s="416" t="s">
        <v>1357</v>
      </c>
      <c r="DR35" s="416" t="s">
        <v>1357</v>
      </c>
      <c r="DS35" s="416" t="s">
        <v>1357</v>
      </c>
      <c r="DT35" s="416" t="s">
        <v>1357</v>
      </c>
      <c r="DU35" s="416" t="s">
        <v>1357</v>
      </c>
      <c r="DV35" s="416" t="s">
        <v>1357</v>
      </c>
      <c r="DW35" s="416" t="s">
        <v>1357</v>
      </c>
      <c r="DX35" s="416" t="s">
        <v>1357</v>
      </c>
      <c r="DY35" s="416" t="s">
        <v>1357</v>
      </c>
      <c r="DZ35" s="416" t="s">
        <v>1357</v>
      </c>
      <c r="EA35" s="416" t="s">
        <v>1357</v>
      </c>
      <c r="EB35" s="416" t="s">
        <v>1357</v>
      </c>
      <c r="EC35" s="416" t="s">
        <v>1357</v>
      </c>
      <c r="ED35" s="416"/>
      <c r="EE35" s="416" t="s">
        <v>1357</v>
      </c>
      <c r="EF35" s="416"/>
      <c r="EG35" s="416"/>
      <c r="EH35" s="416"/>
      <c r="EI35" s="416" t="s">
        <v>1357</v>
      </c>
      <c r="EJ35" s="416" t="s">
        <v>1357</v>
      </c>
      <c r="EK35" s="416" t="s">
        <v>1357</v>
      </c>
      <c r="EL35" s="416"/>
      <c r="EM35" s="416" t="s">
        <v>1357</v>
      </c>
      <c r="EN35" s="416"/>
      <c r="EO35" s="416" t="s">
        <v>1357</v>
      </c>
      <c r="EP35" s="416"/>
      <c r="EQ35" s="416"/>
      <c r="ER35" s="416" t="s">
        <v>1357</v>
      </c>
      <c r="ES35" s="416" t="s">
        <v>1357</v>
      </c>
      <c r="ET35" s="416" t="s">
        <v>1357</v>
      </c>
      <c r="EU35" s="416" t="s">
        <v>1357</v>
      </c>
      <c r="EV35" s="416" t="s">
        <v>1357</v>
      </c>
      <c r="EW35" s="416"/>
      <c r="EX35" s="416" t="s">
        <v>1357</v>
      </c>
      <c r="EY35" s="416" t="s">
        <v>1357</v>
      </c>
      <c r="EZ35" s="416"/>
      <c r="FA35" s="416" t="s">
        <v>1357</v>
      </c>
      <c r="FB35" s="416" t="s">
        <v>1357</v>
      </c>
      <c r="FC35" s="416"/>
      <c r="FD35" s="416" t="s">
        <v>93</v>
      </c>
      <c r="FE35" s="416" t="s">
        <v>1357</v>
      </c>
      <c r="FF35" s="416" t="s">
        <v>1357</v>
      </c>
      <c r="FG35" s="416" t="s">
        <v>1357</v>
      </c>
      <c r="FH35" s="416"/>
      <c r="FI35" s="416"/>
      <c r="FJ35" s="416"/>
      <c r="FK35" s="416"/>
      <c r="FL35" s="416"/>
      <c r="FM35" s="416" t="s">
        <v>1357</v>
      </c>
      <c r="FN35" s="416"/>
      <c r="FO35" s="416" t="s">
        <v>93</v>
      </c>
      <c r="FP35" s="416"/>
      <c r="FQ35" s="416" t="s">
        <v>1357</v>
      </c>
      <c r="FR35" s="416" t="s">
        <v>1357</v>
      </c>
      <c r="FS35" s="416"/>
      <c r="FT35" s="416"/>
      <c r="FU35" s="416"/>
      <c r="FV35" s="416" t="s">
        <v>1357</v>
      </c>
      <c r="FW35" s="416"/>
      <c r="FX35" s="416"/>
      <c r="FY35" s="416" t="s">
        <v>1357</v>
      </c>
      <c r="FZ35" s="416"/>
      <c r="GA35" s="416"/>
      <c r="GB35" s="416" t="s">
        <v>1357</v>
      </c>
      <c r="GC35" s="416"/>
      <c r="GD35" s="416"/>
      <c r="GE35" s="416"/>
      <c r="GF35" s="416" t="s">
        <v>1357</v>
      </c>
      <c r="GG35" s="416" t="s">
        <v>1357</v>
      </c>
      <c r="GH35" s="416" t="s">
        <v>1357</v>
      </c>
      <c r="GI35" s="416" t="s">
        <v>1357</v>
      </c>
      <c r="GJ35" s="416"/>
      <c r="GK35" s="416"/>
      <c r="GL35" s="416"/>
      <c r="GM35" s="416"/>
      <c r="GN35" s="416" t="s">
        <v>1357</v>
      </c>
      <c r="GO35" s="416" t="s">
        <v>1357</v>
      </c>
      <c r="GP35" s="416" t="s">
        <v>1357</v>
      </c>
      <c r="GQ35" s="416" t="s">
        <v>1357</v>
      </c>
      <c r="GR35" s="416"/>
      <c r="GS35" s="416"/>
      <c r="GT35" s="416" t="s">
        <v>1357</v>
      </c>
      <c r="GU35" s="416"/>
      <c r="GV35" s="416"/>
      <c r="GW35" s="416" t="s">
        <v>1357</v>
      </c>
      <c r="GX35" s="416" t="s">
        <v>1357</v>
      </c>
      <c r="GY35" s="416" t="s">
        <v>1357</v>
      </c>
      <c r="GZ35" s="417" t="s">
        <v>1357</v>
      </c>
      <c r="HA35" s="417" t="s">
        <v>1357</v>
      </c>
      <c r="HB35" s="416"/>
      <c r="HC35" s="417" t="s">
        <v>1357</v>
      </c>
      <c r="HD35" s="416"/>
      <c r="HE35" s="417" t="s">
        <v>1357</v>
      </c>
      <c r="HF35" s="416"/>
      <c r="HG35" s="416" t="s">
        <v>1357</v>
      </c>
      <c r="HH35" s="416" t="s">
        <v>1357</v>
      </c>
      <c r="HI35" s="416"/>
      <c r="HJ35" s="416" t="s">
        <v>1357</v>
      </c>
      <c r="HK35" s="416" t="s">
        <v>1357</v>
      </c>
      <c r="HL35" s="416"/>
      <c r="HM35" s="416" t="s">
        <v>1357</v>
      </c>
      <c r="HN35" s="416" t="s">
        <v>1357</v>
      </c>
      <c r="HO35" s="416" t="s">
        <v>1357</v>
      </c>
      <c r="HP35" s="416" t="s">
        <v>1357</v>
      </c>
      <c r="HQ35" s="416"/>
      <c r="HR35" s="417" t="s">
        <v>1357</v>
      </c>
      <c r="HS35" s="416" t="s">
        <v>1357</v>
      </c>
      <c r="HT35" s="416" t="s">
        <v>1357</v>
      </c>
      <c r="HU35" s="416"/>
      <c r="HV35" s="416" t="s">
        <v>1357</v>
      </c>
      <c r="HW35" s="416"/>
      <c r="HX35" s="416" t="s">
        <v>1357</v>
      </c>
    </row>
    <row r="36" spans="1:232" ht="11.55" customHeight="1">
      <c r="A36" s="408" t="s">
        <v>150</v>
      </c>
      <c r="B36" s="409"/>
      <c r="C36" s="410" t="str">
        <f>IF(ISTEXT(IFERROR(VLOOKUP(A36,职业列表!I3:J10,1,FALSE),0)),"★","")</f>
        <v/>
      </c>
      <c r="D36" s="409"/>
      <c r="E36" s="409" t="s">
        <v>93</v>
      </c>
      <c r="F36" s="409"/>
      <c r="G36" s="409"/>
      <c r="H36" s="409"/>
      <c r="I36" s="409"/>
      <c r="J36" s="409" t="s">
        <v>93</v>
      </c>
      <c r="K36" s="409"/>
      <c r="L36" s="409"/>
      <c r="M36" s="409"/>
      <c r="N36" s="409"/>
      <c r="O36" s="409"/>
      <c r="P36" s="409"/>
      <c r="Q36" s="409" t="s">
        <v>93</v>
      </c>
      <c r="R36" s="409"/>
      <c r="S36" s="409"/>
      <c r="T36" s="409"/>
      <c r="U36" s="409"/>
      <c r="V36" s="409"/>
      <c r="W36" s="409" t="s">
        <v>93</v>
      </c>
      <c r="X36" s="409"/>
      <c r="Y36" s="409"/>
      <c r="Z36" s="409"/>
      <c r="AA36" s="409"/>
      <c r="AB36" s="409" t="s">
        <v>93</v>
      </c>
      <c r="AC36" s="409"/>
      <c r="AD36" s="409"/>
      <c r="AE36" s="409"/>
      <c r="AF36" s="409"/>
      <c r="AG36" s="409"/>
      <c r="AH36" s="409"/>
      <c r="AI36" s="409"/>
      <c r="AJ36" s="409"/>
      <c r="AK36" s="409"/>
      <c r="AL36" s="409"/>
      <c r="AM36" s="409"/>
      <c r="AN36" s="409" t="s">
        <v>93</v>
      </c>
      <c r="AO36" s="409"/>
      <c r="AP36" s="409"/>
      <c r="AQ36" s="409"/>
      <c r="AR36" s="409"/>
      <c r="AS36" s="409"/>
      <c r="AT36" s="409"/>
      <c r="AU36" s="409" t="s">
        <v>93</v>
      </c>
      <c r="AV36" s="409"/>
      <c r="AW36" s="409"/>
      <c r="AX36" s="409"/>
      <c r="AY36" s="409"/>
      <c r="AZ36" s="409"/>
      <c r="BA36" s="409"/>
      <c r="BB36" s="409"/>
      <c r="BC36" s="409" t="s">
        <v>93</v>
      </c>
      <c r="BD36" s="414"/>
      <c r="BE36" s="409"/>
      <c r="BF36" s="409" t="s">
        <v>93</v>
      </c>
      <c r="BG36" s="409"/>
      <c r="BH36" s="409"/>
      <c r="BI36" s="409"/>
      <c r="BJ36" s="409"/>
      <c r="BK36" s="409"/>
      <c r="BL36" s="409"/>
      <c r="BM36" s="409" t="s">
        <v>93</v>
      </c>
      <c r="BN36" s="409"/>
      <c r="BO36" s="409"/>
      <c r="BP36" s="409"/>
      <c r="BQ36" s="409"/>
      <c r="BR36" s="409"/>
      <c r="BS36" s="409"/>
      <c r="BT36" s="409" t="s">
        <v>93</v>
      </c>
      <c r="BU36" s="409" t="s">
        <v>93</v>
      </c>
      <c r="BV36" s="409"/>
      <c r="BW36" s="409"/>
      <c r="BX36" s="409"/>
      <c r="BY36" s="409"/>
      <c r="BZ36" s="409"/>
      <c r="CA36" s="409" t="s">
        <v>93</v>
      </c>
      <c r="CB36" s="409"/>
      <c r="CC36" s="409"/>
      <c r="CD36" s="409"/>
      <c r="CE36" s="409"/>
      <c r="CF36" s="409"/>
      <c r="CG36" s="409"/>
      <c r="CH36" s="409"/>
      <c r="CI36" s="409"/>
      <c r="CJ36" s="409"/>
      <c r="CK36" s="409"/>
      <c r="CL36" s="409"/>
      <c r="CM36" s="409"/>
      <c r="CN36" s="409"/>
      <c r="CO36" s="409"/>
      <c r="CP36" s="409"/>
      <c r="CQ36" s="409"/>
      <c r="CR36" s="409"/>
      <c r="CS36" s="409"/>
      <c r="CT36" s="409"/>
      <c r="CU36" s="409"/>
      <c r="CV36" s="409"/>
      <c r="CW36" s="409"/>
      <c r="CX36" s="409"/>
      <c r="CY36" s="409"/>
      <c r="CZ36" s="409"/>
      <c r="DA36" s="409"/>
      <c r="DB36" s="409"/>
      <c r="DC36" s="409"/>
      <c r="DD36" s="409"/>
      <c r="DE36" s="409" t="s">
        <v>93</v>
      </c>
      <c r="DF36" s="409"/>
      <c r="DG36" s="409"/>
      <c r="DH36" s="409"/>
      <c r="DI36" s="409"/>
      <c r="DJ36" s="409"/>
      <c r="DK36" s="409"/>
      <c r="DL36" s="409"/>
      <c r="DM36" s="409"/>
      <c r="DN36" s="409"/>
      <c r="DO36" s="409" t="s">
        <v>93</v>
      </c>
      <c r="DP36" s="409" t="s">
        <v>93</v>
      </c>
      <c r="DQ36" s="409" t="s">
        <v>93</v>
      </c>
      <c r="DR36" s="409" t="s">
        <v>93</v>
      </c>
      <c r="DS36" s="409"/>
      <c r="DT36" s="409"/>
      <c r="DU36" s="409"/>
      <c r="DV36" s="409"/>
      <c r="DW36" s="409"/>
      <c r="DX36" s="409"/>
      <c r="DY36" s="409"/>
      <c r="DZ36" s="409"/>
      <c r="EA36" s="409"/>
      <c r="EB36" s="409"/>
      <c r="EC36" s="409"/>
      <c r="ED36" s="409"/>
      <c r="EE36" s="409"/>
      <c r="EF36" s="409"/>
      <c r="EG36" s="409"/>
      <c r="EH36" s="409"/>
      <c r="EI36" s="409"/>
      <c r="EJ36" s="409" t="s">
        <v>1355</v>
      </c>
      <c r="EK36" s="409"/>
      <c r="EL36" s="409"/>
      <c r="EM36" s="409"/>
      <c r="EN36" s="409" t="s">
        <v>93</v>
      </c>
      <c r="EO36" s="409"/>
      <c r="EP36" s="409"/>
      <c r="EQ36" s="409"/>
      <c r="ER36" s="409"/>
      <c r="ES36" s="409"/>
      <c r="ET36" s="409"/>
      <c r="EU36" s="409"/>
      <c r="EV36" s="409"/>
      <c r="EW36" s="409"/>
      <c r="EX36" s="409"/>
      <c r="EY36" s="409"/>
      <c r="EZ36" s="409"/>
      <c r="FA36" s="409"/>
      <c r="FB36" s="409" t="s">
        <v>93</v>
      </c>
      <c r="FC36" s="409"/>
      <c r="FD36" s="409"/>
      <c r="FE36" s="409"/>
      <c r="FF36" s="409"/>
      <c r="FG36" s="409"/>
      <c r="FH36" s="409"/>
      <c r="FI36" s="409" t="s">
        <v>93</v>
      </c>
      <c r="FJ36" s="409"/>
      <c r="FK36" s="409"/>
      <c r="FL36" s="409"/>
      <c r="FM36" s="409"/>
      <c r="FN36" s="409"/>
      <c r="FO36" s="409" t="s">
        <v>93</v>
      </c>
      <c r="FP36" s="409"/>
      <c r="FQ36" s="409"/>
      <c r="FR36" s="409"/>
      <c r="FS36" s="409"/>
      <c r="FT36" s="409" t="s">
        <v>93</v>
      </c>
      <c r="FU36" s="409" t="s">
        <v>93</v>
      </c>
      <c r="FV36" s="409"/>
      <c r="FW36" s="409"/>
      <c r="FX36" s="409" t="s">
        <v>93</v>
      </c>
      <c r="FY36" s="409"/>
      <c r="FZ36" s="409"/>
      <c r="GA36" s="409"/>
      <c r="GB36" s="409"/>
      <c r="GC36" s="409"/>
      <c r="GD36" s="409"/>
      <c r="GE36" s="409" t="s">
        <v>93</v>
      </c>
      <c r="GF36" s="409"/>
      <c r="GG36" s="409"/>
      <c r="GH36" s="409"/>
      <c r="GI36" s="409"/>
      <c r="GJ36" s="409" t="s">
        <v>93</v>
      </c>
      <c r="GK36" s="409"/>
      <c r="GL36" s="409"/>
      <c r="GM36" s="409"/>
      <c r="GN36" s="409"/>
      <c r="GO36" s="409"/>
      <c r="GP36" s="409"/>
      <c r="GQ36" s="409"/>
      <c r="GR36" s="409"/>
      <c r="GS36" s="409"/>
      <c r="GT36" s="409"/>
      <c r="GU36" s="409"/>
      <c r="GV36" s="409"/>
      <c r="GW36" s="409"/>
      <c r="GX36" s="409"/>
      <c r="GY36" s="409"/>
      <c r="GZ36" s="409"/>
      <c r="HA36" s="409"/>
      <c r="HB36" s="409"/>
      <c r="HC36" s="409"/>
      <c r="HD36" s="409" t="s">
        <v>93</v>
      </c>
      <c r="HE36" s="409"/>
      <c r="HF36" s="409"/>
      <c r="HG36" s="409"/>
      <c r="HH36" s="409"/>
      <c r="HI36" s="409"/>
      <c r="HJ36" s="409"/>
      <c r="HK36" s="409"/>
      <c r="HL36" s="409"/>
      <c r="HM36" s="409"/>
      <c r="HN36" s="409"/>
      <c r="HO36" s="409"/>
      <c r="HP36" s="409"/>
      <c r="HQ36" s="409"/>
      <c r="HR36" s="409"/>
      <c r="HS36" s="409"/>
      <c r="HT36" s="409"/>
      <c r="HU36" s="409"/>
      <c r="HV36" s="409"/>
      <c r="HW36" s="409"/>
      <c r="HX36" s="409"/>
    </row>
    <row r="37" spans="1:232" s="397" customFormat="1" ht="11.55" customHeight="1">
      <c r="A37" s="427" t="s">
        <v>152</v>
      </c>
      <c r="B37" s="428"/>
      <c r="C37" s="410" t="str">
        <f>IF(ISTEXT(IFERROR(VLOOKUP(A37,职业列表!I3:J10,1,FALSE),0)),"★","")</f>
        <v/>
      </c>
      <c r="D37" s="428"/>
      <c r="E37" s="428"/>
      <c r="F37" s="428"/>
      <c r="G37" s="428"/>
      <c r="H37" s="428"/>
      <c r="I37" s="428" t="s">
        <v>93</v>
      </c>
      <c r="J37" s="428"/>
      <c r="K37" s="428" t="s">
        <v>93</v>
      </c>
      <c r="L37" s="428"/>
      <c r="M37" s="428" t="s">
        <v>93</v>
      </c>
      <c r="N37" s="428"/>
      <c r="O37" s="428" t="s">
        <v>93</v>
      </c>
      <c r="P37" s="428"/>
      <c r="Q37" s="428"/>
      <c r="R37" s="428" t="s">
        <v>93</v>
      </c>
      <c r="S37" s="428"/>
      <c r="T37" s="428" t="s">
        <v>1356</v>
      </c>
      <c r="U37" s="428" t="s">
        <v>93</v>
      </c>
      <c r="V37" s="428"/>
      <c r="W37" s="428"/>
      <c r="X37" s="428" t="s">
        <v>93</v>
      </c>
      <c r="Y37" s="428" t="s">
        <v>93</v>
      </c>
      <c r="Z37" s="428"/>
      <c r="AA37" s="428"/>
      <c r="AB37" s="428"/>
      <c r="AC37" s="428"/>
      <c r="AD37" s="428"/>
      <c r="AE37" s="428"/>
      <c r="AF37" s="428"/>
      <c r="AG37" s="428"/>
      <c r="AH37" s="428" t="s">
        <v>1355</v>
      </c>
      <c r="AI37" s="428"/>
      <c r="AJ37" s="428"/>
      <c r="AK37" s="428"/>
      <c r="AL37" s="428"/>
      <c r="AM37" s="428"/>
      <c r="AN37" s="428"/>
      <c r="AO37" s="428"/>
      <c r="AP37" s="428"/>
      <c r="AQ37" s="445"/>
      <c r="AR37" s="428" t="s">
        <v>93</v>
      </c>
      <c r="AS37" s="445"/>
      <c r="AT37" s="428" t="s">
        <v>1394</v>
      </c>
      <c r="AU37" s="428"/>
      <c r="AV37" s="428"/>
      <c r="AW37" s="428"/>
      <c r="AX37" s="428"/>
      <c r="AY37" s="428"/>
      <c r="AZ37" s="428"/>
      <c r="BA37" s="428"/>
      <c r="BB37" s="428"/>
      <c r="BC37" s="428" t="s">
        <v>93</v>
      </c>
      <c r="BD37" s="445"/>
      <c r="BE37" s="428"/>
      <c r="BF37" s="428"/>
      <c r="BG37" s="428" t="s">
        <v>93</v>
      </c>
      <c r="BH37" s="428" t="s">
        <v>1394</v>
      </c>
      <c r="BI37" s="428"/>
      <c r="BJ37" s="428"/>
      <c r="BK37" s="428"/>
      <c r="BL37" s="428" t="s">
        <v>93</v>
      </c>
      <c r="BM37" s="428"/>
      <c r="BN37" s="428"/>
      <c r="BO37" s="428"/>
      <c r="BP37" s="428"/>
      <c r="BQ37" s="428"/>
      <c r="BR37" s="428" t="s">
        <v>93</v>
      </c>
      <c r="BS37" s="428"/>
      <c r="BT37" s="428"/>
      <c r="BU37" s="428"/>
      <c r="BV37" s="428"/>
      <c r="BW37" s="428" t="s">
        <v>93</v>
      </c>
      <c r="BX37" s="428"/>
      <c r="BY37" s="428"/>
      <c r="BZ37" s="428"/>
      <c r="CA37" s="428" t="s">
        <v>93</v>
      </c>
      <c r="CB37" s="428" t="s">
        <v>93</v>
      </c>
      <c r="CC37" s="428"/>
      <c r="CD37" s="428"/>
      <c r="CE37" s="428" t="s">
        <v>93</v>
      </c>
      <c r="CF37" s="428"/>
      <c r="CG37" s="428" t="s">
        <v>93</v>
      </c>
      <c r="CH37" s="428" t="s">
        <v>1394</v>
      </c>
      <c r="CI37" s="445"/>
      <c r="CJ37" s="428" t="s">
        <v>93</v>
      </c>
      <c r="CK37" s="428"/>
      <c r="CL37" s="428"/>
      <c r="CM37" s="428"/>
      <c r="CN37" s="428"/>
      <c r="CO37" s="428"/>
      <c r="CP37" s="428" t="s">
        <v>93</v>
      </c>
      <c r="CQ37" s="428"/>
      <c r="CR37" s="428"/>
      <c r="CS37" s="428" t="s">
        <v>93</v>
      </c>
      <c r="CT37" s="428"/>
      <c r="CU37" s="428" t="s">
        <v>93</v>
      </c>
      <c r="CV37" s="428"/>
      <c r="CW37" s="428"/>
      <c r="CX37" s="428"/>
      <c r="CY37" s="428" t="s">
        <v>93</v>
      </c>
      <c r="CZ37" s="428"/>
      <c r="DA37" s="428"/>
      <c r="DB37" s="450" t="s">
        <v>1358</v>
      </c>
      <c r="DC37" s="428" t="s">
        <v>93</v>
      </c>
      <c r="DD37" s="428" t="s">
        <v>1355</v>
      </c>
      <c r="DE37" s="428"/>
      <c r="DF37" s="428"/>
      <c r="DG37" s="428"/>
      <c r="DH37" s="428"/>
      <c r="DI37" s="428"/>
      <c r="DJ37" s="428" t="s">
        <v>93</v>
      </c>
      <c r="DK37" s="428" t="s">
        <v>93</v>
      </c>
      <c r="DL37" s="428"/>
      <c r="DM37" s="428"/>
      <c r="DN37" s="428" t="s">
        <v>1395</v>
      </c>
      <c r="DO37" s="428" t="s">
        <v>93</v>
      </c>
      <c r="DP37" s="428"/>
      <c r="DQ37" s="428"/>
      <c r="DR37" s="428" t="s">
        <v>93</v>
      </c>
      <c r="DS37" s="428" t="s">
        <v>93</v>
      </c>
      <c r="DT37" s="428"/>
      <c r="DU37" s="428" t="s">
        <v>1394</v>
      </c>
      <c r="DV37" s="428"/>
      <c r="DW37" s="428" t="s">
        <v>1396</v>
      </c>
      <c r="DX37" s="428" t="s">
        <v>93</v>
      </c>
      <c r="DY37" s="428" t="s">
        <v>93</v>
      </c>
      <c r="DZ37" s="428"/>
      <c r="EA37" s="428"/>
      <c r="EB37" s="428"/>
      <c r="EC37" s="428"/>
      <c r="ED37" s="428"/>
      <c r="EE37" s="428"/>
      <c r="EF37" s="428" t="s">
        <v>1394</v>
      </c>
      <c r="EG37" s="428" t="s">
        <v>1394</v>
      </c>
      <c r="EH37" s="428" t="s">
        <v>1394</v>
      </c>
      <c r="EI37" s="428"/>
      <c r="EJ37" s="428" t="s">
        <v>93</v>
      </c>
      <c r="EK37" s="428"/>
      <c r="EL37" s="428"/>
      <c r="EM37" s="428"/>
      <c r="EN37" s="428" t="s">
        <v>93</v>
      </c>
      <c r="EO37" s="428"/>
      <c r="EP37" s="428"/>
      <c r="EQ37" s="428"/>
      <c r="ER37" s="428"/>
      <c r="ES37" s="428"/>
      <c r="ET37" s="428"/>
      <c r="EU37" s="428"/>
      <c r="EV37" s="428"/>
      <c r="EW37" s="428"/>
      <c r="EX37" s="428" t="s">
        <v>93</v>
      </c>
      <c r="EY37" s="428"/>
      <c r="EZ37" s="428"/>
      <c r="FA37" s="428"/>
      <c r="FB37" s="428"/>
      <c r="FC37" s="428"/>
      <c r="FD37" s="428"/>
      <c r="FE37" s="428" t="s">
        <v>1397</v>
      </c>
      <c r="FF37" s="428"/>
      <c r="FG37" s="428"/>
      <c r="FH37" s="428"/>
      <c r="FI37" s="428" t="s">
        <v>93</v>
      </c>
      <c r="FJ37" s="428"/>
      <c r="FK37" s="428"/>
      <c r="FL37" s="428" t="s">
        <v>1397</v>
      </c>
      <c r="FM37" s="428"/>
      <c r="FN37" s="428"/>
      <c r="FO37" s="428"/>
      <c r="FP37" s="428"/>
      <c r="FQ37" s="428" t="s">
        <v>93</v>
      </c>
      <c r="FR37" s="428" t="s">
        <v>93</v>
      </c>
      <c r="FS37" s="428" t="s">
        <v>93</v>
      </c>
      <c r="FT37" s="428"/>
      <c r="FU37" s="428"/>
      <c r="FV37" s="428" t="s">
        <v>93</v>
      </c>
      <c r="FW37" s="428"/>
      <c r="FX37" s="428" t="s">
        <v>93</v>
      </c>
      <c r="FY37" s="428"/>
      <c r="FZ37" s="428"/>
      <c r="GA37" s="428"/>
      <c r="GB37" s="428"/>
      <c r="GC37" s="428" t="s">
        <v>1358</v>
      </c>
      <c r="GD37" s="428" t="s">
        <v>1358</v>
      </c>
      <c r="GE37" s="428" t="s">
        <v>93</v>
      </c>
      <c r="GF37" s="428" t="s">
        <v>93</v>
      </c>
      <c r="GG37" s="428"/>
      <c r="GH37" s="428"/>
      <c r="GI37" s="428"/>
      <c r="GJ37" s="428"/>
      <c r="GK37" s="428"/>
      <c r="GL37" s="428"/>
      <c r="GM37" s="428"/>
      <c r="GN37" s="428"/>
      <c r="GO37" s="428"/>
      <c r="GP37" s="428"/>
      <c r="GQ37" s="428"/>
      <c r="GR37" s="428"/>
      <c r="GS37" s="428" t="s">
        <v>93</v>
      </c>
      <c r="GT37" s="428"/>
      <c r="GU37" s="428" t="s">
        <v>1358</v>
      </c>
      <c r="GV37" s="428"/>
      <c r="GW37" s="428"/>
      <c r="GX37" s="428"/>
      <c r="GY37" s="428" t="s">
        <v>93</v>
      </c>
      <c r="GZ37" s="450" t="s">
        <v>1398</v>
      </c>
      <c r="HA37" s="450" t="s">
        <v>1398</v>
      </c>
      <c r="HB37" s="450" t="s">
        <v>1398</v>
      </c>
      <c r="HC37" s="450" t="s">
        <v>1398</v>
      </c>
      <c r="HD37" s="428"/>
      <c r="HE37" s="450" t="s">
        <v>1394</v>
      </c>
      <c r="HF37" s="428" t="s">
        <v>93</v>
      </c>
      <c r="HG37" s="428"/>
      <c r="HH37" s="428"/>
      <c r="HI37" s="428"/>
      <c r="HJ37" s="428"/>
      <c r="HK37" s="428" t="s">
        <v>93</v>
      </c>
      <c r="HL37" s="428" t="s">
        <v>93</v>
      </c>
      <c r="HM37" s="428"/>
      <c r="HN37" s="428" t="s">
        <v>1398</v>
      </c>
      <c r="HO37" s="428"/>
      <c r="HP37" s="450" t="s">
        <v>1394</v>
      </c>
      <c r="HQ37" s="428" t="s">
        <v>1394</v>
      </c>
      <c r="HR37" s="428"/>
      <c r="HS37" s="450" t="s">
        <v>1398</v>
      </c>
      <c r="HT37" s="428"/>
      <c r="HU37" s="450" t="s">
        <v>1358</v>
      </c>
      <c r="HV37" s="428"/>
      <c r="HW37" s="428"/>
      <c r="HX37" s="428" t="s">
        <v>1398</v>
      </c>
    </row>
    <row r="38" spans="1:232" ht="11.55" customHeight="1">
      <c r="A38" s="413" t="s">
        <v>154</v>
      </c>
      <c r="B38" s="409"/>
      <c r="C38" s="410" t="str">
        <f>IF(ISTEXT(IFERROR(VLOOKUP(A38,职业列表!I3:J10,1,FALSE),0)),"★","")</f>
        <v/>
      </c>
      <c r="D38" s="414"/>
      <c r="E38" s="414"/>
      <c r="F38" s="414"/>
      <c r="G38" s="414"/>
      <c r="H38" s="414"/>
      <c r="I38" s="409" t="s">
        <v>93</v>
      </c>
      <c r="J38" s="414"/>
      <c r="K38" s="409" t="s">
        <v>93</v>
      </c>
      <c r="L38" s="414"/>
      <c r="M38" s="409" t="s">
        <v>93</v>
      </c>
      <c r="N38" s="414"/>
      <c r="O38" s="409" t="s">
        <v>93</v>
      </c>
      <c r="P38" s="414"/>
      <c r="Q38" s="414"/>
      <c r="R38" s="409" t="s">
        <v>93</v>
      </c>
      <c r="S38" s="414"/>
      <c r="T38" s="409" t="s">
        <v>1356</v>
      </c>
      <c r="U38" s="409" t="s">
        <v>93</v>
      </c>
      <c r="V38" s="414"/>
      <c r="W38" s="414"/>
      <c r="X38" s="409" t="s">
        <v>93</v>
      </c>
      <c r="Y38" s="409" t="s">
        <v>93</v>
      </c>
      <c r="Z38" s="414"/>
      <c r="AA38" s="414"/>
      <c r="AB38" s="414"/>
      <c r="AC38" s="414"/>
      <c r="AD38" s="414"/>
      <c r="AE38" s="414"/>
      <c r="AF38" s="414"/>
      <c r="AG38" s="414"/>
      <c r="AH38" s="409" t="s">
        <v>1355</v>
      </c>
      <c r="AI38" s="414"/>
      <c r="AJ38" s="414"/>
      <c r="AK38" s="414"/>
      <c r="AL38" s="414"/>
      <c r="AM38" s="414"/>
      <c r="AN38" s="414"/>
      <c r="AO38" s="414"/>
      <c r="AP38" s="414"/>
      <c r="AQ38" s="414"/>
      <c r="AR38" s="409" t="s">
        <v>93</v>
      </c>
      <c r="AS38" s="414"/>
      <c r="AT38" s="414"/>
      <c r="AU38" s="414"/>
      <c r="AV38" s="414"/>
      <c r="AW38" s="414"/>
      <c r="AX38" s="414"/>
      <c r="AY38" s="414"/>
      <c r="AZ38" s="414"/>
      <c r="BA38" s="414"/>
      <c r="BB38" s="414"/>
      <c r="BC38" s="409" t="s">
        <v>93</v>
      </c>
      <c r="BD38" s="414"/>
      <c r="BE38" s="414"/>
      <c r="BF38" s="414"/>
      <c r="BG38" s="409" t="s">
        <v>93</v>
      </c>
      <c r="BH38" s="414"/>
      <c r="BI38" s="414"/>
      <c r="BJ38" s="414"/>
      <c r="BK38" s="414"/>
      <c r="BL38" s="414"/>
      <c r="BM38" s="414"/>
      <c r="BN38" s="414"/>
      <c r="BO38" s="414"/>
      <c r="BP38" s="414"/>
      <c r="BQ38" s="414"/>
      <c r="BR38" s="409"/>
      <c r="BS38" s="414"/>
      <c r="BT38" s="414"/>
      <c r="BU38" s="414"/>
      <c r="BV38" s="414"/>
      <c r="BW38" s="409" t="s">
        <v>93</v>
      </c>
      <c r="BX38" s="414"/>
      <c r="BY38" s="414"/>
      <c r="BZ38" s="414"/>
      <c r="CA38" s="409" t="s">
        <v>93</v>
      </c>
      <c r="CB38" s="409" t="s">
        <v>93</v>
      </c>
      <c r="CC38" s="414"/>
      <c r="CD38" s="414"/>
      <c r="CE38" s="409" t="s">
        <v>93</v>
      </c>
      <c r="CF38" s="414"/>
      <c r="CG38" s="409" t="s">
        <v>93</v>
      </c>
      <c r="CH38" s="414"/>
      <c r="CI38" s="414"/>
      <c r="CJ38" s="409" t="s">
        <v>93</v>
      </c>
      <c r="CK38" s="414"/>
      <c r="CL38" s="414"/>
      <c r="CM38" s="414"/>
      <c r="CN38" s="414"/>
      <c r="CO38" s="414"/>
      <c r="CP38" s="409" t="s">
        <v>93</v>
      </c>
      <c r="CQ38" s="414"/>
      <c r="CR38" s="414"/>
      <c r="CS38" s="409" t="s">
        <v>93</v>
      </c>
      <c r="CT38" s="414"/>
      <c r="CU38" s="409" t="s">
        <v>93</v>
      </c>
      <c r="CV38" s="414"/>
      <c r="CW38" s="414"/>
      <c r="CX38" s="414"/>
      <c r="CY38" s="409" t="s">
        <v>93</v>
      </c>
      <c r="CZ38" s="414"/>
      <c r="DA38" s="414"/>
      <c r="DB38" s="410"/>
      <c r="DC38" s="409" t="s">
        <v>93</v>
      </c>
      <c r="DD38" s="409" t="s">
        <v>1355</v>
      </c>
      <c r="DE38" s="414"/>
      <c r="DF38" s="414"/>
      <c r="DG38" s="414"/>
      <c r="DH38" s="414"/>
      <c r="DI38" s="414"/>
      <c r="DJ38" s="409" t="s">
        <v>93</v>
      </c>
      <c r="DK38" s="409" t="s">
        <v>93</v>
      </c>
      <c r="DL38" s="414"/>
      <c r="DM38" s="414"/>
      <c r="DN38" s="409" t="s">
        <v>1395</v>
      </c>
      <c r="DO38" s="409"/>
      <c r="DP38" s="409"/>
      <c r="DQ38" s="409"/>
      <c r="DR38" s="409"/>
      <c r="DS38" s="409" t="s">
        <v>93</v>
      </c>
      <c r="DT38" s="409"/>
      <c r="DU38" s="409"/>
      <c r="DV38" s="409"/>
      <c r="DW38" s="409"/>
      <c r="DX38" s="409" t="s">
        <v>93</v>
      </c>
      <c r="DY38" s="409" t="s">
        <v>93</v>
      </c>
      <c r="DZ38" s="409"/>
      <c r="EA38" s="409"/>
      <c r="EB38" s="409"/>
      <c r="EC38" s="409"/>
      <c r="ED38" s="409"/>
      <c r="EE38" s="409"/>
      <c r="EF38" s="409"/>
      <c r="EG38" s="409"/>
      <c r="EH38" s="409"/>
      <c r="EI38" s="409"/>
      <c r="EJ38" s="409" t="s">
        <v>93</v>
      </c>
      <c r="EK38" s="409"/>
      <c r="EL38" s="409"/>
      <c r="EM38" s="409"/>
      <c r="EN38" s="409" t="s">
        <v>93</v>
      </c>
      <c r="EO38" s="409"/>
      <c r="EP38" s="409"/>
      <c r="EQ38" s="409"/>
      <c r="ER38" s="409"/>
      <c r="ES38" s="409"/>
      <c r="ET38" s="409"/>
      <c r="EU38" s="409"/>
      <c r="EV38" s="409"/>
      <c r="EW38" s="409"/>
      <c r="EX38" s="409" t="s">
        <v>93</v>
      </c>
      <c r="EY38" s="409"/>
      <c r="EZ38" s="409"/>
      <c r="FA38" s="409"/>
      <c r="FB38" s="409"/>
      <c r="FC38" s="409"/>
      <c r="FD38" s="409"/>
      <c r="FE38" s="409" t="s">
        <v>1399</v>
      </c>
      <c r="FF38" s="409"/>
      <c r="FG38" s="409"/>
      <c r="FH38" s="409"/>
      <c r="FI38" s="409"/>
      <c r="FJ38" s="409"/>
      <c r="FK38" s="409"/>
      <c r="FL38" s="409"/>
      <c r="FM38" s="409"/>
      <c r="FN38" s="409"/>
      <c r="FO38" s="409"/>
      <c r="FP38" s="409"/>
      <c r="FQ38" s="409" t="s">
        <v>93</v>
      </c>
      <c r="FR38" s="409" t="s">
        <v>93</v>
      </c>
      <c r="FS38" s="409"/>
      <c r="FT38" s="409"/>
      <c r="FU38" s="409"/>
      <c r="FV38" s="409" t="s">
        <v>93</v>
      </c>
      <c r="FW38" s="409"/>
      <c r="FX38" s="409" t="s">
        <v>93</v>
      </c>
      <c r="FY38" s="409"/>
      <c r="FZ38" s="409"/>
      <c r="GA38" s="409"/>
      <c r="GB38" s="409"/>
      <c r="GC38" s="409"/>
      <c r="GD38" s="409"/>
      <c r="GE38" s="409" t="s">
        <v>93</v>
      </c>
      <c r="GF38" s="409" t="s">
        <v>93</v>
      </c>
      <c r="GG38" s="409"/>
      <c r="GH38" s="409"/>
      <c r="GI38" s="409"/>
      <c r="GJ38" s="409"/>
      <c r="GK38" s="409"/>
      <c r="GL38" s="409"/>
      <c r="GM38" s="409"/>
      <c r="GN38" s="409"/>
      <c r="GO38" s="409"/>
      <c r="GP38" s="409"/>
      <c r="GQ38" s="409"/>
      <c r="GR38" s="409"/>
      <c r="GS38" s="409" t="s">
        <v>93</v>
      </c>
      <c r="GT38" s="409"/>
      <c r="GU38" s="409"/>
      <c r="GV38" s="409"/>
      <c r="GW38" s="409"/>
      <c r="GX38" s="409"/>
      <c r="GY38" s="414"/>
      <c r="GZ38" s="414"/>
      <c r="HA38" s="410" t="s">
        <v>1394</v>
      </c>
      <c r="HB38" s="414"/>
      <c r="HC38" s="409"/>
      <c r="HD38" s="414"/>
      <c r="HE38" s="409"/>
      <c r="HF38" s="414"/>
      <c r="HG38" s="409"/>
      <c r="HH38" s="414"/>
      <c r="HI38" s="414"/>
      <c r="HJ38" s="409"/>
      <c r="HK38" s="414"/>
      <c r="HL38" s="409"/>
      <c r="HM38" s="409"/>
      <c r="HN38" s="414"/>
      <c r="HO38" s="414"/>
      <c r="HP38" s="409"/>
      <c r="HQ38" s="409"/>
      <c r="HR38" s="414"/>
      <c r="HS38" s="414"/>
      <c r="HT38" s="414"/>
      <c r="HU38" s="414"/>
      <c r="HV38" s="414"/>
      <c r="HW38" s="414"/>
      <c r="HX38" s="414"/>
    </row>
    <row r="39" spans="1:232" ht="11.55" customHeight="1">
      <c r="A39" s="413" t="s">
        <v>156</v>
      </c>
      <c r="B39" s="409"/>
      <c r="C39" s="409" t="str">
        <f>IF(ISTEXT(IFERROR(VLOOKUP(A39,职业列表!I3:J10,1,FALSE),0)),"★","")</f>
        <v/>
      </c>
      <c r="D39" s="414"/>
      <c r="E39" s="414"/>
      <c r="F39" s="414"/>
      <c r="G39" s="414"/>
      <c r="H39" s="414"/>
      <c r="I39" s="409" t="s">
        <v>93</v>
      </c>
      <c r="J39" s="414"/>
      <c r="K39" s="409" t="s">
        <v>93</v>
      </c>
      <c r="L39" s="414"/>
      <c r="M39" s="409" t="s">
        <v>93</v>
      </c>
      <c r="N39" s="414"/>
      <c r="O39" s="409" t="s">
        <v>93</v>
      </c>
      <c r="P39" s="414"/>
      <c r="Q39" s="414"/>
      <c r="R39" s="409" t="s">
        <v>93</v>
      </c>
      <c r="S39" s="414"/>
      <c r="T39" s="409" t="s">
        <v>1356</v>
      </c>
      <c r="U39" s="409" t="s">
        <v>93</v>
      </c>
      <c r="V39" s="414"/>
      <c r="W39" s="414"/>
      <c r="X39" s="409" t="s">
        <v>93</v>
      </c>
      <c r="Y39" s="409" t="s">
        <v>93</v>
      </c>
      <c r="Z39" s="414"/>
      <c r="AA39" s="414"/>
      <c r="AB39" s="414"/>
      <c r="AC39" s="414"/>
      <c r="AD39" s="414"/>
      <c r="AE39" s="414"/>
      <c r="AF39" s="414"/>
      <c r="AG39" s="414"/>
      <c r="AH39" s="409" t="s">
        <v>1355</v>
      </c>
      <c r="AI39" s="414"/>
      <c r="AJ39" s="414"/>
      <c r="AK39" s="414"/>
      <c r="AL39" s="414"/>
      <c r="AM39" s="414"/>
      <c r="AN39" s="414"/>
      <c r="AO39" s="414"/>
      <c r="AP39" s="414"/>
      <c r="AQ39" s="414"/>
      <c r="AR39" s="409" t="s">
        <v>93</v>
      </c>
      <c r="AS39" s="414"/>
      <c r="AT39" s="414"/>
      <c r="AU39" s="414"/>
      <c r="AV39" s="414"/>
      <c r="AW39" s="414"/>
      <c r="AX39" s="414"/>
      <c r="AY39" s="414"/>
      <c r="AZ39" s="414"/>
      <c r="BA39" s="414"/>
      <c r="BB39" s="414"/>
      <c r="BC39" s="409" t="s">
        <v>93</v>
      </c>
      <c r="BD39" s="414"/>
      <c r="BE39" s="414"/>
      <c r="BF39" s="414"/>
      <c r="BG39" s="409" t="s">
        <v>93</v>
      </c>
      <c r="BH39" s="414"/>
      <c r="BI39" s="414"/>
      <c r="BJ39" s="414"/>
      <c r="BK39" s="414"/>
      <c r="BL39" s="414"/>
      <c r="BM39" s="414"/>
      <c r="BN39" s="414"/>
      <c r="BO39" s="414"/>
      <c r="BP39" s="414"/>
      <c r="BQ39" s="414"/>
      <c r="BR39" s="409"/>
      <c r="BS39" s="414"/>
      <c r="BT39" s="414"/>
      <c r="BU39" s="414"/>
      <c r="BV39" s="414"/>
      <c r="BW39" s="409" t="s">
        <v>93</v>
      </c>
      <c r="BX39" s="414"/>
      <c r="BY39" s="414"/>
      <c r="BZ39" s="414"/>
      <c r="CA39" s="409" t="s">
        <v>93</v>
      </c>
      <c r="CB39" s="409" t="s">
        <v>93</v>
      </c>
      <c r="CC39" s="414"/>
      <c r="CD39" s="414"/>
      <c r="CE39" s="409" t="s">
        <v>93</v>
      </c>
      <c r="CF39" s="414"/>
      <c r="CG39" s="409" t="s">
        <v>93</v>
      </c>
      <c r="CH39" s="414"/>
      <c r="CI39" s="414"/>
      <c r="CJ39" s="409" t="s">
        <v>93</v>
      </c>
      <c r="CK39" s="414"/>
      <c r="CL39" s="414"/>
      <c r="CM39" s="414"/>
      <c r="CN39" s="414"/>
      <c r="CO39" s="414"/>
      <c r="CP39" s="409" t="s">
        <v>93</v>
      </c>
      <c r="CQ39" s="414"/>
      <c r="CR39" s="414"/>
      <c r="CS39" s="409" t="s">
        <v>93</v>
      </c>
      <c r="CT39" s="414"/>
      <c r="CU39" s="409" t="s">
        <v>93</v>
      </c>
      <c r="CV39" s="414"/>
      <c r="CW39" s="414"/>
      <c r="CX39" s="414"/>
      <c r="CY39" s="409" t="s">
        <v>93</v>
      </c>
      <c r="CZ39" s="414"/>
      <c r="DA39" s="414"/>
      <c r="DB39" s="410"/>
      <c r="DC39" s="409" t="s">
        <v>93</v>
      </c>
      <c r="DD39" s="409" t="s">
        <v>1355</v>
      </c>
      <c r="DE39" s="414"/>
      <c r="DF39" s="414"/>
      <c r="DG39" s="414"/>
      <c r="DH39" s="414"/>
      <c r="DI39" s="414"/>
      <c r="DJ39" s="409" t="s">
        <v>93</v>
      </c>
      <c r="DK39" s="409" t="s">
        <v>93</v>
      </c>
      <c r="DL39" s="414"/>
      <c r="DM39" s="414"/>
      <c r="DN39" s="409"/>
      <c r="DO39" s="409"/>
      <c r="DP39" s="409"/>
      <c r="DQ39" s="409"/>
      <c r="DR39" s="409"/>
      <c r="DS39" s="409" t="s">
        <v>93</v>
      </c>
      <c r="DT39" s="409"/>
      <c r="DU39" s="409"/>
      <c r="DV39" s="409"/>
      <c r="DW39" s="409"/>
      <c r="DX39" s="409" t="s">
        <v>93</v>
      </c>
      <c r="DY39" s="409" t="s">
        <v>93</v>
      </c>
      <c r="DZ39" s="409"/>
      <c r="EA39" s="409"/>
      <c r="EB39" s="409"/>
      <c r="EC39" s="409"/>
      <c r="ED39" s="409"/>
      <c r="EE39" s="409"/>
      <c r="EF39" s="409"/>
      <c r="EG39" s="409"/>
      <c r="EH39" s="409"/>
      <c r="EI39" s="409"/>
      <c r="EJ39" s="409" t="s">
        <v>93</v>
      </c>
      <c r="EK39" s="409"/>
      <c r="EL39" s="409"/>
      <c r="EM39" s="409"/>
      <c r="EN39" s="409" t="s">
        <v>93</v>
      </c>
      <c r="EO39" s="409"/>
      <c r="EP39" s="409"/>
      <c r="EQ39" s="409"/>
      <c r="ER39" s="409"/>
      <c r="ES39" s="409"/>
      <c r="ET39" s="409"/>
      <c r="EU39" s="409"/>
      <c r="EV39" s="409"/>
      <c r="EW39" s="409"/>
      <c r="EX39" s="409" t="s">
        <v>93</v>
      </c>
      <c r="EY39" s="409"/>
      <c r="EZ39" s="409"/>
      <c r="FA39" s="409"/>
      <c r="FB39" s="409"/>
      <c r="FC39" s="409"/>
      <c r="FD39" s="409"/>
      <c r="FE39" s="409"/>
      <c r="FF39" s="409"/>
      <c r="FG39" s="409"/>
      <c r="FH39" s="409"/>
      <c r="FI39" s="409"/>
      <c r="FJ39" s="409"/>
      <c r="FK39" s="409"/>
      <c r="FL39" s="409"/>
      <c r="FM39" s="409"/>
      <c r="FN39" s="409"/>
      <c r="FO39" s="409"/>
      <c r="FP39" s="409"/>
      <c r="FQ39" s="409" t="s">
        <v>93</v>
      </c>
      <c r="FR39" s="409" t="s">
        <v>93</v>
      </c>
      <c r="FS39" s="409"/>
      <c r="FT39" s="409"/>
      <c r="FU39" s="409"/>
      <c r="FV39" s="409" t="s">
        <v>93</v>
      </c>
      <c r="FW39" s="409"/>
      <c r="FX39" s="409" t="s">
        <v>93</v>
      </c>
      <c r="FY39" s="409"/>
      <c r="FZ39" s="409"/>
      <c r="GA39" s="409"/>
      <c r="GB39" s="409"/>
      <c r="GC39" s="409"/>
      <c r="GD39" s="409"/>
      <c r="GE39" s="409" t="s">
        <v>93</v>
      </c>
      <c r="GF39" s="409" t="s">
        <v>93</v>
      </c>
      <c r="GG39" s="409"/>
      <c r="GH39" s="409"/>
      <c r="GI39" s="409"/>
      <c r="GJ39" s="409"/>
      <c r="GK39" s="409"/>
      <c r="GL39" s="409"/>
      <c r="GM39" s="409"/>
      <c r="GN39" s="409"/>
      <c r="GO39" s="409"/>
      <c r="GP39" s="409"/>
      <c r="GQ39" s="409"/>
      <c r="GR39" s="409"/>
      <c r="GS39" s="409" t="s">
        <v>93</v>
      </c>
      <c r="GT39" s="409"/>
      <c r="GU39" s="409"/>
      <c r="GV39" s="409"/>
      <c r="GW39" s="409"/>
      <c r="GX39" s="409"/>
      <c r="GY39" s="414"/>
      <c r="GZ39" s="414"/>
      <c r="HA39" s="410"/>
      <c r="HB39" s="414"/>
      <c r="HC39" s="409"/>
      <c r="HD39" s="414"/>
      <c r="HE39" s="409"/>
      <c r="HF39" s="414"/>
      <c r="HG39" s="409"/>
      <c r="HH39" s="414"/>
      <c r="HI39" s="414"/>
      <c r="HJ39" s="409"/>
      <c r="HK39" s="414"/>
      <c r="HL39" s="409"/>
      <c r="HM39" s="409"/>
      <c r="HN39" s="414"/>
      <c r="HO39" s="414"/>
      <c r="HP39" s="409"/>
      <c r="HQ39" s="409"/>
      <c r="HR39" s="414"/>
      <c r="HS39" s="414"/>
      <c r="HT39" s="414"/>
      <c r="HU39" s="414"/>
      <c r="HV39" s="414"/>
      <c r="HW39" s="414"/>
      <c r="HX39" s="414"/>
    </row>
    <row r="40" spans="1:232" s="397" customFormat="1" ht="11.55" customHeight="1">
      <c r="A40" s="427" t="s">
        <v>158</v>
      </c>
      <c r="B40" s="428"/>
      <c r="C40" s="409" t="str">
        <f>IF(ISTEXT(IFERROR(VLOOKUP(A40,职业列表!I3:J10,1,FALSE),0)),"★","")</f>
        <v/>
      </c>
      <c r="D40" s="428"/>
      <c r="E40" s="428"/>
      <c r="F40" s="428"/>
      <c r="G40" s="428"/>
      <c r="H40" s="428"/>
      <c r="I40" s="428"/>
      <c r="J40" s="428"/>
      <c r="K40" s="428"/>
      <c r="L40" s="428"/>
      <c r="M40" s="428"/>
      <c r="N40" s="428" t="s">
        <v>93</v>
      </c>
      <c r="O40" s="428"/>
      <c r="P40" s="428"/>
      <c r="Q40" s="428"/>
      <c r="R40" s="428" t="s">
        <v>93</v>
      </c>
      <c r="S40" s="428"/>
      <c r="T40" s="428"/>
      <c r="U40" s="428" t="s">
        <v>93</v>
      </c>
      <c r="V40" s="428"/>
      <c r="W40" s="428"/>
      <c r="X40" s="428"/>
      <c r="Y40" s="428"/>
      <c r="Z40" s="428"/>
      <c r="AA40" s="428"/>
      <c r="AB40" s="428"/>
      <c r="AC40" s="428"/>
      <c r="AD40" s="428"/>
      <c r="AE40" s="428"/>
      <c r="AF40" s="428"/>
      <c r="AG40" s="428"/>
      <c r="AH40" s="428"/>
      <c r="AI40" s="428"/>
      <c r="AJ40" s="428"/>
      <c r="AK40" s="428"/>
      <c r="AL40" s="428"/>
      <c r="AM40" s="428"/>
      <c r="AN40" s="428"/>
      <c r="AO40" s="428"/>
      <c r="AP40" s="428"/>
      <c r="AQ40" s="428"/>
      <c r="AR40" s="428"/>
      <c r="AS40" s="428"/>
      <c r="AT40" s="428"/>
      <c r="AU40" s="428"/>
      <c r="AV40" s="428"/>
      <c r="AW40" s="428"/>
      <c r="AX40" s="428"/>
      <c r="AY40" s="428" t="s">
        <v>93</v>
      </c>
      <c r="AZ40" s="428" t="s">
        <v>93</v>
      </c>
      <c r="BA40" s="428"/>
      <c r="BB40" s="428"/>
      <c r="BC40" s="428"/>
      <c r="BD40" s="428"/>
      <c r="BE40" s="428"/>
      <c r="BF40" s="428"/>
      <c r="BG40" s="428" t="s">
        <v>93</v>
      </c>
      <c r="BH40" s="428"/>
      <c r="BI40" s="428"/>
      <c r="BJ40" s="428"/>
      <c r="BK40" s="428"/>
      <c r="BL40" s="428"/>
      <c r="BM40" s="428"/>
      <c r="BN40" s="428"/>
      <c r="BO40" s="428" t="s">
        <v>93</v>
      </c>
      <c r="BP40" s="445"/>
      <c r="BQ40" s="428" t="s">
        <v>93</v>
      </c>
      <c r="BR40" s="428"/>
      <c r="BS40" s="428"/>
      <c r="BT40" s="428"/>
      <c r="BU40" s="428"/>
      <c r="BV40" s="428"/>
      <c r="BW40" s="428" t="s">
        <v>93</v>
      </c>
      <c r="BX40" s="428"/>
      <c r="BY40" s="428"/>
      <c r="BZ40" s="428"/>
      <c r="CA40" s="428"/>
      <c r="CB40" s="428"/>
      <c r="CC40" s="428"/>
      <c r="CD40" s="428"/>
      <c r="CE40" s="428"/>
      <c r="CF40" s="428"/>
      <c r="CG40" s="428"/>
      <c r="CH40" s="428"/>
      <c r="CI40" s="428"/>
      <c r="CJ40" s="428"/>
      <c r="CK40" s="428"/>
      <c r="CL40" s="428"/>
      <c r="CM40" s="428"/>
      <c r="CN40" s="428"/>
      <c r="CO40" s="428"/>
      <c r="CP40" s="428" t="s">
        <v>93</v>
      </c>
      <c r="CQ40" s="428"/>
      <c r="CR40" s="428"/>
      <c r="CS40" s="428"/>
      <c r="CT40" s="428"/>
      <c r="CU40" s="428"/>
      <c r="CV40" s="428"/>
      <c r="CW40" s="428"/>
      <c r="CX40" s="428"/>
      <c r="CY40" s="428" t="s">
        <v>93</v>
      </c>
      <c r="CZ40" s="428" t="s">
        <v>93</v>
      </c>
      <c r="DA40" s="428"/>
      <c r="DB40" s="428"/>
      <c r="DC40" s="428"/>
      <c r="DD40" s="428" t="s">
        <v>1355</v>
      </c>
      <c r="DE40" s="428"/>
      <c r="DF40" s="428"/>
      <c r="DG40" s="428"/>
      <c r="DH40" s="428"/>
      <c r="DI40" s="428"/>
      <c r="DJ40" s="428" t="s">
        <v>93</v>
      </c>
      <c r="DK40" s="428"/>
      <c r="DL40" s="428"/>
      <c r="DM40" s="428"/>
      <c r="DN40" s="428" t="s">
        <v>93</v>
      </c>
      <c r="DO40" s="428"/>
      <c r="DP40" s="428"/>
      <c r="DQ40" s="428"/>
      <c r="DR40" s="428"/>
      <c r="DS40" s="428"/>
      <c r="DT40" s="428"/>
      <c r="DU40" s="428" t="s">
        <v>93</v>
      </c>
      <c r="DV40" s="428"/>
      <c r="DW40" s="428" t="s">
        <v>93</v>
      </c>
      <c r="DX40" s="428" t="s">
        <v>93</v>
      </c>
      <c r="DY40" s="428"/>
      <c r="DZ40" s="428" t="s">
        <v>93</v>
      </c>
      <c r="EA40" s="428"/>
      <c r="EB40" s="428"/>
      <c r="EC40" s="428"/>
      <c r="ED40" s="428"/>
      <c r="EE40" s="428"/>
      <c r="EF40" s="428"/>
      <c r="EG40" s="428"/>
      <c r="EH40" s="428"/>
      <c r="EI40" s="428"/>
      <c r="EJ40" s="428"/>
      <c r="EK40" s="428"/>
      <c r="EL40" s="428"/>
      <c r="EM40" s="428"/>
      <c r="EN40" s="428"/>
      <c r="EO40" s="428"/>
      <c r="EP40" s="428"/>
      <c r="EQ40" s="428" t="s">
        <v>93</v>
      </c>
      <c r="ER40" s="428"/>
      <c r="ES40" s="428"/>
      <c r="ET40" s="428"/>
      <c r="EU40" s="428" t="s">
        <v>93</v>
      </c>
      <c r="EV40" s="428" t="s">
        <v>93</v>
      </c>
      <c r="EW40" s="428"/>
      <c r="EX40" s="428" t="s">
        <v>93</v>
      </c>
      <c r="EY40" s="428"/>
      <c r="EZ40" s="428"/>
      <c r="FA40" s="428"/>
      <c r="FB40" s="428"/>
      <c r="FC40" s="428"/>
      <c r="FD40" s="428"/>
      <c r="FE40" s="428"/>
      <c r="FF40" s="428"/>
      <c r="FG40" s="428"/>
      <c r="FH40" s="428"/>
      <c r="FI40" s="428" t="s">
        <v>93</v>
      </c>
      <c r="FJ40" s="428"/>
      <c r="FK40" s="428"/>
      <c r="FL40" s="428"/>
      <c r="FM40" s="428" t="s">
        <v>93</v>
      </c>
      <c r="FN40" s="428"/>
      <c r="FO40" s="428"/>
      <c r="FP40" s="428"/>
      <c r="FQ40" s="428"/>
      <c r="FR40" s="428"/>
      <c r="FS40" s="428"/>
      <c r="FT40" s="428"/>
      <c r="FU40" s="428"/>
      <c r="FV40" s="428"/>
      <c r="FW40" s="428"/>
      <c r="FX40" s="428"/>
      <c r="FY40" s="428"/>
      <c r="FZ40" s="428"/>
      <c r="GA40" s="428"/>
      <c r="GB40" s="428"/>
      <c r="GC40" s="428"/>
      <c r="GD40" s="428"/>
      <c r="GE40" s="428"/>
      <c r="GF40" s="428" t="s">
        <v>93</v>
      </c>
      <c r="GG40" s="428"/>
      <c r="GH40" s="428"/>
      <c r="GI40" s="428"/>
      <c r="GJ40" s="428"/>
      <c r="GK40" s="428" t="s">
        <v>93</v>
      </c>
      <c r="GL40" s="428" t="s">
        <v>93</v>
      </c>
      <c r="GM40" s="428" t="s">
        <v>93</v>
      </c>
      <c r="GN40" s="428"/>
      <c r="GO40" s="428"/>
      <c r="GP40" s="428"/>
      <c r="GQ40" s="428"/>
      <c r="GR40" s="428"/>
      <c r="GS40" s="428"/>
      <c r="GT40" s="428"/>
      <c r="GU40" s="428"/>
      <c r="GV40" s="428" t="s">
        <v>93</v>
      </c>
      <c r="GW40" s="428"/>
      <c r="GX40" s="428"/>
      <c r="GY40" s="428"/>
      <c r="GZ40" s="428"/>
      <c r="HA40" s="428"/>
      <c r="HB40" s="428"/>
      <c r="HC40" s="428" t="s">
        <v>93</v>
      </c>
      <c r="HD40" s="428"/>
      <c r="HE40" s="428"/>
      <c r="HF40" s="428"/>
      <c r="HG40" s="428"/>
      <c r="HH40" s="428"/>
      <c r="HI40" s="428"/>
      <c r="HJ40" s="428" t="s">
        <v>93</v>
      </c>
      <c r="HK40" s="428"/>
      <c r="HL40" s="428"/>
      <c r="HM40" s="428"/>
      <c r="HN40" s="428" t="s">
        <v>93</v>
      </c>
      <c r="HO40" s="428"/>
      <c r="HP40" s="428"/>
      <c r="HQ40" s="428"/>
      <c r="HR40" s="428"/>
      <c r="HS40" s="428"/>
      <c r="HT40" s="428"/>
      <c r="HU40" s="428"/>
      <c r="HV40" s="428"/>
      <c r="HW40" s="428"/>
      <c r="HX40" s="428"/>
    </row>
    <row r="41" spans="1:232" ht="11.55" customHeight="1">
      <c r="A41" s="408" t="s">
        <v>61</v>
      </c>
      <c r="B41" s="409"/>
      <c r="C41" s="409" t="str">
        <f>IF(ISTEXT(IFERROR(VLOOKUP(A41,职业列表!I3:J10,1,FALSE),0)),"★","")</f>
        <v/>
      </c>
      <c r="D41" s="409" t="s">
        <v>93</v>
      </c>
      <c r="E41" s="409"/>
      <c r="F41" s="409"/>
      <c r="G41" s="409"/>
      <c r="H41" s="409" t="s">
        <v>93</v>
      </c>
      <c r="I41" s="409" t="s">
        <v>93</v>
      </c>
      <c r="J41" s="409"/>
      <c r="K41" s="409"/>
      <c r="L41" s="409"/>
      <c r="M41" s="409"/>
      <c r="N41" s="409" t="s">
        <v>93</v>
      </c>
      <c r="O41" s="409"/>
      <c r="P41" s="409"/>
      <c r="Q41" s="409"/>
      <c r="R41" s="409"/>
      <c r="S41" s="409"/>
      <c r="T41" s="409"/>
      <c r="U41" s="409"/>
      <c r="V41" s="409" t="s">
        <v>93</v>
      </c>
      <c r="W41" s="409"/>
      <c r="X41" s="409"/>
      <c r="Y41" s="409"/>
      <c r="Z41" s="409"/>
      <c r="AA41" s="409"/>
      <c r="AB41" s="409"/>
      <c r="AC41" s="409"/>
      <c r="AD41" s="409"/>
      <c r="AE41" s="409"/>
      <c r="AF41" s="409"/>
      <c r="AG41" s="409"/>
      <c r="AH41" s="409" t="s">
        <v>1355</v>
      </c>
      <c r="AI41" s="409"/>
      <c r="AJ41" s="409"/>
      <c r="AK41" s="409"/>
      <c r="AL41" s="409"/>
      <c r="AM41" s="409"/>
      <c r="AN41" s="409"/>
      <c r="AO41" s="409"/>
      <c r="AP41" s="409"/>
      <c r="AQ41" s="409"/>
      <c r="AR41" s="409"/>
      <c r="AS41" s="409"/>
      <c r="AT41" s="409"/>
      <c r="AU41" s="409"/>
      <c r="AV41" s="409"/>
      <c r="AW41" s="409"/>
      <c r="AX41" s="409"/>
      <c r="AY41" s="409"/>
      <c r="AZ41" s="409"/>
      <c r="BA41" s="409"/>
      <c r="BB41" s="409"/>
      <c r="BC41" s="409"/>
      <c r="BD41" s="409"/>
      <c r="BE41" s="409" t="s">
        <v>93</v>
      </c>
      <c r="BF41" s="409"/>
      <c r="BG41" s="409"/>
      <c r="BH41" s="409"/>
      <c r="BI41" s="409"/>
      <c r="BJ41" s="409" t="s">
        <v>93</v>
      </c>
      <c r="BK41" s="409"/>
      <c r="BL41" s="409"/>
      <c r="BM41" s="409"/>
      <c r="BN41" s="409"/>
      <c r="BO41" s="409"/>
      <c r="BP41" s="409"/>
      <c r="BQ41" s="409" t="s">
        <v>93</v>
      </c>
      <c r="BR41" s="409"/>
      <c r="BS41" s="409"/>
      <c r="BT41" s="409"/>
      <c r="BU41" s="409"/>
      <c r="BV41" s="409" t="s">
        <v>93</v>
      </c>
      <c r="BW41" s="409"/>
      <c r="BX41" s="409"/>
      <c r="BY41" s="409"/>
      <c r="BZ41" s="409"/>
      <c r="CA41" s="409"/>
      <c r="CB41" s="409"/>
      <c r="CC41" s="409"/>
      <c r="CD41" s="409"/>
      <c r="CE41" s="409"/>
      <c r="CF41" s="409"/>
      <c r="CG41" s="409"/>
      <c r="CH41" s="409"/>
      <c r="CI41" s="409"/>
      <c r="CJ41" s="409"/>
      <c r="CK41" s="409"/>
      <c r="CL41" s="409"/>
      <c r="CM41" s="409" t="s">
        <v>93</v>
      </c>
      <c r="CN41" s="409" t="s">
        <v>93</v>
      </c>
      <c r="CO41" s="409" t="s">
        <v>93</v>
      </c>
      <c r="CP41" s="409"/>
      <c r="CQ41" s="409"/>
      <c r="CR41" s="409"/>
      <c r="CS41" s="409"/>
      <c r="CT41" s="409"/>
      <c r="CU41" s="409"/>
      <c r="CV41" s="409"/>
      <c r="CW41" s="409"/>
      <c r="CX41" s="409"/>
      <c r="CY41" s="409"/>
      <c r="CZ41" s="409"/>
      <c r="DA41" s="409"/>
      <c r="DB41" s="409"/>
      <c r="DC41" s="409"/>
      <c r="DD41" s="409"/>
      <c r="DE41" s="409"/>
      <c r="DF41" s="409"/>
      <c r="DG41" s="409"/>
      <c r="DH41" s="409" t="s">
        <v>93</v>
      </c>
      <c r="DI41" s="409"/>
      <c r="DJ41" s="409" t="s">
        <v>93</v>
      </c>
      <c r="DK41" s="409" t="s">
        <v>93</v>
      </c>
      <c r="DL41" s="409"/>
      <c r="DM41" s="409"/>
      <c r="DN41" s="409"/>
      <c r="DO41" s="409"/>
      <c r="DP41" s="409"/>
      <c r="DQ41" s="409"/>
      <c r="DR41" s="409"/>
      <c r="DS41" s="409"/>
      <c r="DT41" s="409" t="s">
        <v>93</v>
      </c>
      <c r="DU41" s="409"/>
      <c r="DV41" s="409"/>
      <c r="DW41" s="409"/>
      <c r="DX41" s="409"/>
      <c r="DY41" s="409"/>
      <c r="DZ41" s="409"/>
      <c r="EA41" s="409"/>
      <c r="EB41" s="409"/>
      <c r="EC41" s="409"/>
      <c r="ED41" s="409" t="s">
        <v>93</v>
      </c>
      <c r="EE41" s="409" t="s">
        <v>93</v>
      </c>
      <c r="EF41" s="409"/>
      <c r="EG41" s="409"/>
      <c r="EH41" s="409"/>
      <c r="EI41" s="409"/>
      <c r="EJ41" s="409"/>
      <c r="EK41" s="409"/>
      <c r="EL41" s="409" t="s">
        <v>93</v>
      </c>
      <c r="EM41" s="409"/>
      <c r="EN41" s="409"/>
      <c r="EO41" s="409"/>
      <c r="EP41" s="409"/>
      <c r="EQ41" s="409"/>
      <c r="ER41" s="409"/>
      <c r="ES41" s="409"/>
      <c r="ET41" s="409"/>
      <c r="EU41" s="409"/>
      <c r="EV41" s="409"/>
      <c r="EW41" s="409"/>
      <c r="EX41" s="409"/>
      <c r="EY41" s="409" t="s">
        <v>93</v>
      </c>
      <c r="EZ41" s="409"/>
      <c r="FA41" s="409"/>
      <c r="FB41" s="409"/>
      <c r="FC41" s="409" t="s">
        <v>93</v>
      </c>
      <c r="FD41" s="409"/>
      <c r="FE41" s="409"/>
      <c r="FF41" s="409"/>
      <c r="FG41" s="409"/>
      <c r="FH41" s="409"/>
      <c r="FI41" s="409"/>
      <c r="FJ41" s="409"/>
      <c r="FK41" s="409"/>
      <c r="FL41" s="409"/>
      <c r="FM41" s="409"/>
      <c r="FN41" s="409"/>
      <c r="FO41" s="409"/>
      <c r="FP41" s="409"/>
      <c r="FQ41" s="409" t="s">
        <v>93</v>
      </c>
      <c r="FR41" s="409"/>
      <c r="FS41" s="409"/>
      <c r="FT41" s="409"/>
      <c r="FU41" s="409"/>
      <c r="FV41" s="409" t="s">
        <v>93</v>
      </c>
      <c r="FW41" s="409" t="s">
        <v>93</v>
      </c>
      <c r="FX41" s="409"/>
      <c r="FY41" s="409"/>
      <c r="FZ41" s="409"/>
      <c r="GA41" s="409"/>
      <c r="GB41" s="409"/>
      <c r="GC41" s="409"/>
      <c r="GD41" s="409"/>
      <c r="GE41" s="409"/>
      <c r="GF41" s="409"/>
      <c r="GG41" s="409"/>
      <c r="GH41" s="409"/>
      <c r="GI41" s="409"/>
      <c r="GJ41" s="409"/>
      <c r="GK41" s="409"/>
      <c r="GL41" s="409"/>
      <c r="GM41" s="409"/>
      <c r="GN41" s="409"/>
      <c r="GO41" s="409" t="s">
        <v>93</v>
      </c>
      <c r="GP41" s="409"/>
      <c r="GQ41" s="409"/>
      <c r="GR41" s="409"/>
      <c r="GS41" s="409"/>
      <c r="GT41" s="409"/>
      <c r="GU41" s="409"/>
      <c r="GV41" s="409"/>
      <c r="GW41" s="409" t="s">
        <v>93</v>
      </c>
      <c r="GX41" s="409"/>
      <c r="GY41" s="409"/>
      <c r="GZ41" s="409"/>
      <c r="HA41" s="410" t="s">
        <v>93</v>
      </c>
      <c r="HB41" s="409"/>
      <c r="HC41" s="409"/>
      <c r="HD41" s="409"/>
      <c r="HE41" s="409"/>
      <c r="HF41" s="409" t="s">
        <v>93</v>
      </c>
      <c r="HG41" s="409"/>
      <c r="HH41" s="409"/>
      <c r="HI41" s="409"/>
      <c r="HJ41" s="409"/>
      <c r="HK41" s="409"/>
      <c r="HL41" s="409"/>
      <c r="HM41" s="410" t="s">
        <v>93</v>
      </c>
      <c r="HN41" s="409"/>
      <c r="HO41" s="409"/>
      <c r="HP41" s="409" t="s">
        <v>93</v>
      </c>
      <c r="HQ41" s="409"/>
      <c r="HR41" s="409" t="s">
        <v>93</v>
      </c>
      <c r="HS41" s="409"/>
      <c r="HT41" s="409"/>
      <c r="HU41" s="409"/>
      <c r="HV41" s="409"/>
      <c r="HW41" s="409"/>
      <c r="HX41" s="409"/>
    </row>
    <row r="42" spans="1:232" s="398" customFormat="1" ht="11.55" customHeight="1">
      <c r="A42" s="429" t="s">
        <v>63</v>
      </c>
      <c r="B42" s="430"/>
      <c r="C42" s="409" t="str">
        <f>IF(ISTEXT(IFERROR(VLOOKUP(A42,职业列表!I3:J10,1,FALSE),0)),"★","")</f>
        <v/>
      </c>
      <c r="D42" s="430" t="s">
        <v>93</v>
      </c>
      <c r="E42" s="430"/>
      <c r="F42" s="430"/>
      <c r="G42" s="430"/>
      <c r="H42" s="430" t="s">
        <v>93</v>
      </c>
      <c r="I42" s="430"/>
      <c r="J42" s="430"/>
      <c r="K42" s="430" t="s">
        <v>93</v>
      </c>
      <c r="L42" s="430" t="s">
        <v>93</v>
      </c>
      <c r="M42" s="430" t="s">
        <v>93</v>
      </c>
      <c r="N42" s="430" t="s">
        <v>1355</v>
      </c>
      <c r="O42" s="430"/>
      <c r="P42" s="430"/>
      <c r="Q42" s="430"/>
      <c r="R42" s="430" t="s">
        <v>93</v>
      </c>
      <c r="S42" s="430"/>
      <c r="T42" s="430"/>
      <c r="U42" s="430" t="s">
        <v>93</v>
      </c>
      <c r="V42" s="430"/>
      <c r="W42" s="430"/>
      <c r="X42" s="430"/>
      <c r="Y42" s="430" t="s">
        <v>93</v>
      </c>
      <c r="Z42" s="430" t="s">
        <v>93</v>
      </c>
      <c r="AA42" s="430" t="s">
        <v>93</v>
      </c>
      <c r="AB42" s="430"/>
      <c r="AC42" s="430"/>
      <c r="AD42" s="430"/>
      <c r="AE42" s="430"/>
      <c r="AF42" s="430"/>
      <c r="AG42" s="430"/>
      <c r="AH42" s="430"/>
      <c r="AI42" s="430"/>
      <c r="AJ42" s="430"/>
      <c r="AK42" s="430" t="s">
        <v>93</v>
      </c>
      <c r="AL42" s="430" t="s">
        <v>93</v>
      </c>
      <c r="AM42" s="430"/>
      <c r="AN42" s="430"/>
      <c r="AO42" s="430"/>
      <c r="AP42" s="430"/>
      <c r="AQ42" s="430" t="s">
        <v>1355</v>
      </c>
      <c r="AR42" s="430"/>
      <c r="AS42" s="430"/>
      <c r="AT42" s="430"/>
      <c r="AU42" s="430"/>
      <c r="AV42" s="430"/>
      <c r="AW42" s="430"/>
      <c r="AX42" s="430"/>
      <c r="AY42" s="430"/>
      <c r="AZ42" s="430"/>
      <c r="BA42" s="430" t="s">
        <v>93</v>
      </c>
      <c r="BB42" s="430"/>
      <c r="BC42" s="430"/>
      <c r="BD42" s="430"/>
      <c r="BE42" s="430"/>
      <c r="BF42" s="430"/>
      <c r="BG42" s="430"/>
      <c r="BH42" s="430" t="s">
        <v>93</v>
      </c>
      <c r="BI42" s="430"/>
      <c r="BJ42" s="430"/>
      <c r="BK42" s="430"/>
      <c r="BL42" s="430"/>
      <c r="BM42" s="430"/>
      <c r="BN42" s="430"/>
      <c r="BO42" s="430" t="s">
        <v>93</v>
      </c>
      <c r="BP42" s="430"/>
      <c r="BQ42" s="430" t="s">
        <v>93</v>
      </c>
      <c r="BR42" s="430" t="s">
        <v>1355</v>
      </c>
      <c r="BS42" s="430"/>
      <c r="BT42" s="430"/>
      <c r="BU42" s="430"/>
      <c r="BV42" s="430" t="s">
        <v>93</v>
      </c>
      <c r="BW42" s="430" t="s">
        <v>93</v>
      </c>
      <c r="BX42" s="430"/>
      <c r="BY42" s="430"/>
      <c r="BZ42" s="430"/>
      <c r="CA42" s="430"/>
      <c r="CB42" s="430" t="s">
        <v>93</v>
      </c>
      <c r="CC42" s="430"/>
      <c r="CD42" s="430"/>
      <c r="CE42" s="430" t="s">
        <v>93</v>
      </c>
      <c r="CF42" s="430"/>
      <c r="CG42" s="430" t="s">
        <v>93</v>
      </c>
      <c r="CH42" s="430" t="s">
        <v>93</v>
      </c>
      <c r="CI42" s="430"/>
      <c r="CJ42" s="430"/>
      <c r="CK42" s="430"/>
      <c r="CL42" s="430"/>
      <c r="CM42" s="430"/>
      <c r="CN42" s="430"/>
      <c r="CO42" s="430" t="s">
        <v>93</v>
      </c>
      <c r="CP42" s="430" t="s">
        <v>93</v>
      </c>
      <c r="CQ42" s="430"/>
      <c r="CR42" s="430"/>
      <c r="CS42" s="430"/>
      <c r="CT42" s="430" t="s">
        <v>93</v>
      </c>
      <c r="CU42" s="430" t="s">
        <v>93</v>
      </c>
      <c r="CV42" s="430"/>
      <c r="CW42" s="430"/>
      <c r="CX42" s="430"/>
      <c r="CY42" s="430" t="s">
        <v>1355</v>
      </c>
      <c r="CZ42" s="430" t="s">
        <v>1356</v>
      </c>
      <c r="DA42" s="430"/>
      <c r="DB42" s="430"/>
      <c r="DC42" s="430"/>
      <c r="DD42" s="430" t="s">
        <v>93</v>
      </c>
      <c r="DE42" s="430"/>
      <c r="DF42" s="430"/>
      <c r="DG42" s="430"/>
      <c r="DH42" s="430"/>
      <c r="DI42" s="430"/>
      <c r="DJ42" s="430" t="s">
        <v>1355</v>
      </c>
      <c r="DK42" s="430"/>
      <c r="DL42" s="430"/>
      <c r="DM42" s="430"/>
      <c r="DN42" s="430"/>
      <c r="DO42" s="430"/>
      <c r="DP42" s="430"/>
      <c r="DQ42" s="430"/>
      <c r="DR42" s="430"/>
      <c r="DS42" s="430"/>
      <c r="DT42" s="430" t="s">
        <v>93</v>
      </c>
      <c r="DU42" s="430" t="s">
        <v>93</v>
      </c>
      <c r="DV42" s="430" t="s">
        <v>93</v>
      </c>
      <c r="DW42" s="430" t="s">
        <v>93</v>
      </c>
      <c r="DX42" s="430" t="s">
        <v>93</v>
      </c>
      <c r="DY42" s="430"/>
      <c r="DZ42" s="430" t="s">
        <v>93</v>
      </c>
      <c r="EA42" s="430"/>
      <c r="EB42" s="430"/>
      <c r="EC42" s="430"/>
      <c r="ED42" s="430" t="s">
        <v>93</v>
      </c>
      <c r="EE42" s="430" t="s">
        <v>93</v>
      </c>
      <c r="EF42" s="430"/>
      <c r="EG42" s="430"/>
      <c r="EH42" s="430"/>
      <c r="EI42" s="430"/>
      <c r="EJ42" s="430" t="s">
        <v>93</v>
      </c>
      <c r="EK42" s="430"/>
      <c r="EL42" s="430"/>
      <c r="EM42" s="430"/>
      <c r="EN42" s="430"/>
      <c r="EO42" s="430"/>
      <c r="EP42" s="430"/>
      <c r="EQ42" s="430"/>
      <c r="ER42" s="430"/>
      <c r="ES42" s="430"/>
      <c r="ET42" s="430"/>
      <c r="EU42" s="430"/>
      <c r="EV42" s="430"/>
      <c r="EW42" s="430" t="s">
        <v>93</v>
      </c>
      <c r="EX42" s="430"/>
      <c r="EY42" s="430"/>
      <c r="EZ42" s="430" t="s">
        <v>93</v>
      </c>
      <c r="FA42" s="430"/>
      <c r="FB42" s="430"/>
      <c r="FC42" s="430"/>
      <c r="FD42" s="430"/>
      <c r="FE42" s="430" t="s">
        <v>1355</v>
      </c>
      <c r="FF42" s="430" t="s">
        <v>93</v>
      </c>
      <c r="FG42" s="430" t="s">
        <v>93</v>
      </c>
      <c r="FH42" s="430"/>
      <c r="FI42" s="430" t="s">
        <v>93</v>
      </c>
      <c r="FJ42" s="430"/>
      <c r="FK42" s="430" t="s">
        <v>1355</v>
      </c>
      <c r="FL42" s="430" t="s">
        <v>93</v>
      </c>
      <c r="FM42" s="430"/>
      <c r="FN42" s="430"/>
      <c r="FO42" s="430"/>
      <c r="FP42" s="430"/>
      <c r="FQ42" s="430"/>
      <c r="FR42" s="430" t="s">
        <v>93</v>
      </c>
      <c r="FS42" s="430" t="s">
        <v>93</v>
      </c>
      <c r="FT42" s="430"/>
      <c r="FU42" s="430"/>
      <c r="FV42" s="430"/>
      <c r="FW42" s="430"/>
      <c r="FX42" s="430"/>
      <c r="FY42" s="430"/>
      <c r="FZ42" s="430" t="s">
        <v>1355</v>
      </c>
      <c r="GA42" s="430"/>
      <c r="GB42" s="430"/>
      <c r="GC42" s="430"/>
      <c r="GD42" s="430"/>
      <c r="GE42" s="430"/>
      <c r="GF42" s="430" t="s">
        <v>1355</v>
      </c>
      <c r="GG42" s="430"/>
      <c r="GH42" s="430"/>
      <c r="GI42" s="430"/>
      <c r="GJ42" s="430"/>
      <c r="GK42" s="430"/>
      <c r="GL42" s="430"/>
      <c r="GM42" s="430"/>
      <c r="GN42" s="430"/>
      <c r="GO42" s="430"/>
      <c r="GP42" s="430"/>
      <c r="GQ42" s="430" t="s">
        <v>93</v>
      </c>
      <c r="GR42" s="430"/>
      <c r="GS42" s="430"/>
      <c r="GT42" s="430" t="s">
        <v>93</v>
      </c>
      <c r="GU42" s="430"/>
      <c r="GV42" s="430" t="s">
        <v>93</v>
      </c>
      <c r="GW42" s="430"/>
      <c r="GX42" s="430"/>
      <c r="GY42" s="430"/>
      <c r="GZ42" s="430" t="s">
        <v>93</v>
      </c>
      <c r="HA42" s="430"/>
      <c r="HB42" s="441" t="s">
        <v>93</v>
      </c>
      <c r="HC42" s="430" t="s">
        <v>93</v>
      </c>
      <c r="HD42" s="430"/>
      <c r="HE42" s="430" t="s">
        <v>93</v>
      </c>
      <c r="HF42" s="430" t="s">
        <v>93</v>
      </c>
      <c r="HG42" s="430"/>
      <c r="HH42" s="430"/>
      <c r="HI42" s="430"/>
      <c r="HJ42" s="430"/>
      <c r="HK42" s="430"/>
      <c r="HL42" s="430"/>
      <c r="HM42" s="430" t="s">
        <v>93</v>
      </c>
      <c r="HN42" s="430" t="s">
        <v>93</v>
      </c>
      <c r="HO42" s="430"/>
      <c r="HP42" s="430" t="s">
        <v>93</v>
      </c>
      <c r="HQ42" s="430" t="s">
        <v>93</v>
      </c>
      <c r="HR42" s="430"/>
      <c r="HS42" s="441" t="s">
        <v>93</v>
      </c>
      <c r="HT42" s="441" t="s">
        <v>93</v>
      </c>
      <c r="HU42" s="430"/>
      <c r="HV42" s="430"/>
      <c r="HW42" s="430"/>
      <c r="HX42" s="430" t="s">
        <v>93</v>
      </c>
    </row>
    <row r="43" spans="1:232" s="398" customFormat="1" ht="11.55" customHeight="1">
      <c r="A43" s="429" t="s">
        <v>67</v>
      </c>
      <c r="B43" s="430"/>
      <c r="C43" s="409" t="str">
        <f>IF(ISTEXT(IFERROR(VLOOKUP(A43,职业列表!I3:J10,1,FALSE),0)),"★","")</f>
        <v/>
      </c>
      <c r="D43" s="430" t="s">
        <v>93</v>
      </c>
      <c r="E43" s="430"/>
      <c r="F43" s="430"/>
      <c r="G43" s="430"/>
      <c r="H43" s="430"/>
      <c r="I43" s="430" t="s">
        <v>93</v>
      </c>
      <c r="J43" s="430" t="s">
        <v>93</v>
      </c>
      <c r="K43" s="430"/>
      <c r="L43" s="430"/>
      <c r="M43" s="430"/>
      <c r="N43" s="430"/>
      <c r="O43" s="430"/>
      <c r="P43" s="430" t="s">
        <v>93</v>
      </c>
      <c r="Q43" s="430"/>
      <c r="R43" s="430"/>
      <c r="S43" s="430" t="s">
        <v>93</v>
      </c>
      <c r="T43" s="430" t="s">
        <v>1355</v>
      </c>
      <c r="U43" s="430"/>
      <c r="V43" s="430"/>
      <c r="W43" s="430"/>
      <c r="X43" s="430" t="s">
        <v>93</v>
      </c>
      <c r="Y43" s="430" t="s">
        <v>93</v>
      </c>
      <c r="Z43" s="430"/>
      <c r="AA43" s="430"/>
      <c r="AB43" s="430"/>
      <c r="AC43" s="430"/>
      <c r="AD43" s="430"/>
      <c r="AE43" s="430"/>
      <c r="AF43" s="430"/>
      <c r="AG43" s="430" t="s">
        <v>93</v>
      </c>
      <c r="AH43" s="430" t="s">
        <v>93</v>
      </c>
      <c r="AI43" s="430"/>
      <c r="AJ43" s="430" t="s">
        <v>93</v>
      </c>
      <c r="AK43" s="430"/>
      <c r="AL43" s="430"/>
      <c r="AM43" s="430" t="s">
        <v>93</v>
      </c>
      <c r="AN43" s="430"/>
      <c r="AO43" s="430"/>
      <c r="AP43" s="430"/>
      <c r="AQ43" s="430"/>
      <c r="AR43" s="430"/>
      <c r="AS43" s="430"/>
      <c r="AT43" s="430"/>
      <c r="AU43" s="430" t="s">
        <v>93</v>
      </c>
      <c r="AV43" s="430" t="s">
        <v>93</v>
      </c>
      <c r="AW43" s="430" t="s">
        <v>93</v>
      </c>
      <c r="AX43" s="430"/>
      <c r="AY43" s="430"/>
      <c r="AZ43" s="430" t="s">
        <v>93</v>
      </c>
      <c r="BA43" s="430"/>
      <c r="BB43" s="430" t="s">
        <v>93</v>
      </c>
      <c r="BC43" s="430"/>
      <c r="BD43" s="430"/>
      <c r="BE43" s="430"/>
      <c r="BF43" s="430"/>
      <c r="BG43" s="430" t="s">
        <v>93</v>
      </c>
      <c r="BH43" s="430"/>
      <c r="BI43" s="430" t="s">
        <v>93</v>
      </c>
      <c r="BJ43" s="430" t="s">
        <v>93</v>
      </c>
      <c r="BK43" s="430"/>
      <c r="BL43" s="430"/>
      <c r="BM43" s="430" t="s">
        <v>93</v>
      </c>
      <c r="BN43" s="430" t="s">
        <v>93</v>
      </c>
      <c r="BO43" s="448"/>
      <c r="BP43" s="430" t="s">
        <v>93</v>
      </c>
      <c r="BQ43" s="430" t="s">
        <v>93</v>
      </c>
      <c r="BR43" s="430"/>
      <c r="BS43" s="430"/>
      <c r="BT43" s="430"/>
      <c r="BU43" s="430"/>
      <c r="BV43" s="430"/>
      <c r="BW43" s="430"/>
      <c r="BX43" s="430"/>
      <c r="BY43" s="430"/>
      <c r="BZ43" s="430"/>
      <c r="CA43" s="430" t="s">
        <v>93</v>
      </c>
      <c r="CB43" s="430"/>
      <c r="CC43" s="430" t="s">
        <v>93</v>
      </c>
      <c r="CD43" s="430" t="s">
        <v>93</v>
      </c>
      <c r="CE43" s="430"/>
      <c r="CF43" s="430" t="s">
        <v>93</v>
      </c>
      <c r="CG43" s="430"/>
      <c r="CH43" s="430"/>
      <c r="CI43" s="430"/>
      <c r="CJ43" s="430"/>
      <c r="CK43" s="430"/>
      <c r="CL43" s="430" t="s">
        <v>93</v>
      </c>
      <c r="CM43" s="430" t="s">
        <v>93</v>
      </c>
      <c r="CN43" s="430"/>
      <c r="CO43" s="430"/>
      <c r="CP43" s="430"/>
      <c r="CQ43" s="430"/>
      <c r="CR43" s="430"/>
      <c r="CS43" s="430" t="s">
        <v>93</v>
      </c>
      <c r="CT43" s="430" t="s">
        <v>93</v>
      </c>
      <c r="CU43" s="430"/>
      <c r="CV43" s="430"/>
      <c r="CW43" s="430"/>
      <c r="CX43" s="430" t="s">
        <v>93</v>
      </c>
      <c r="CY43" s="430"/>
      <c r="CZ43" s="430"/>
      <c r="DA43" s="430" t="s">
        <v>93</v>
      </c>
      <c r="DB43" s="430"/>
      <c r="DC43" s="430" t="s">
        <v>93</v>
      </c>
      <c r="DD43" s="430" t="s">
        <v>93</v>
      </c>
      <c r="DE43" s="430"/>
      <c r="DF43" s="430" t="s">
        <v>93</v>
      </c>
      <c r="DG43" s="430"/>
      <c r="DH43" s="430" t="s">
        <v>93</v>
      </c>
      <c r="DI43" s="430" t="s">
        <v>93</v>
      </c>
      <c r="DJ43" s="430" t="s">
        <v>93</v>
      </c>
      <c r="DK43" s="430"/>
      <c r="DL43" s="430"/>
      <c r="DM43" s="430"/>
      <c r="DN43" s="430" t="s">
        <v>93</v>
      </c>
      <c r="DO43" s="430"/>
      <c r="DP43" s="430"/>
      <c r="DQ43" s="430"/>
      <c r="DR43" s="430"/>
      <c r="DS43" s="430"/>
      <c r="DT43" s="430"/>
      <c r="DU43" s="430"/>
      <c r="DV43" s="430" t="s">
        <v>93</v>
      </c>
      <c r="DW43" s="430"/>
      <c r="DX43" s="430"/>
      <c r="DY43" s="430"/>
      <c r="DZ43" s="430" t="s">
        <v>93</v>
      </c>
      <c r="EA43" s="430"/>
      <c r="EB43" s="430"/>
      <c r="EC43" s="430" t="s">
        <v>93</v>
      </c>
      <c r="ED43" s="430" t="s">
        <v>93</v>
      </c>
      <c r="EE43" s="430"/>
      <c r="EF43" s="430"/>
      <c r="EG43" s="430"/>
      <c r="EH43" s="430"/>
      <c r="EI43" s="430"/>
      <c r="EJ43" s="430"/>
      <c r="EK43" s="430"/>
      <c r="EL43" s="430"/>
      <c r="EM43" s="430"/>
      <c r="EN43" s="430"/>
      <c r="EO43" s="430" t="s">
        <v>93</v>
      </c>
      <c r="EP43" s="430"/>
      <c r="EQ43" s="430"/>
      <c r="ER43" s="430" t="s">
        <v>93</v>
      </c>
      <c r="ES43" s="430" t="s">
        <v>93</v>
      </c>
      <c r="ET43" s="430"/>
      <c r="EU43" s="430"/>
      <c r="EV43" s="430"/>
      <c r="EW43" s="430"/>
      <c r="EX43" s="430" t="s">
        <v>93</v>
      </c>
      <c r="EY43" s="430"/>
      <c r="EZ43" s="430"/>
      <c r="FA43" s="430"/>
      <c r="FB43" s="430"/>
      <c r="FC43" s="430"/>
      <c r="FD43" s="430"/>
      <c r="FE43" s="430" t="s">
        <v>93</v>
      </c>
      <c r="FF43" s="430"/>
      <c r="FG43" s="430"/>
      <c r="FH43" s="430"/>
      <c r="FI43" s="430"/>
      <c r="FJ43" s="430" t="s">
        <v>93</v>
      </c>
      <c r="FK43" s="430"/>
      <c r="FL43" s="430"/>
      <c r="FM43" s="430" t="s">
        <v>93</v>
      </c>
      <c r="FN43" s="430" t="s">
        <v>93</v>
      </c>
      <c r="FO43" s="430"/>
      <c r="FP43" s="430"/>
      <c r="FQ43" s="430"/>
      <c r="FR43" s="430" t="s">
        <v>93</v>
      </c>
      <c r="FS43" s="430"/>
      <c r="FT43" s="430" t="s">
        <v>93</v>
      </c>
      <c r="FU43" s="430"/>
      <c r="FV43" s="430"/>
      <c r="FW43" s="430"/>
      <c r="FX43" s="430" t="s">
        <v>93</v>
      </c>
      <c r="FY43" s="430" t="s">
        <v>93</v>
      </c>
      <c r="FZ43" s="430"/>
      <c r="GA43" s="430"/>
      <c r="GB43" s="430"/>
      <c r="GC43" s="430"/>
      <c r="GD43" s="430"/>
      <c r="GE43" s="430"/>
      <c r="GF43" s="430"/>
      <c r="GG43" s="430" t="s">
        <v>93</v>
      </c>
      <c r="GH43" s="430" t="s">
        <v>93</v>
      </c>
      <c r="GI43" s="430" t="s">
        <v>93</v>
      </c>
      <c r="GJ43" s="430"/>
      <c r="GK43" s="430"/>
      <c r="GL43" s="430"/>
      <c r="GM43" s="430"/>
      <c r="GN43" s="430" t="s">
        <v>93</v>
      </c>
      <c r="GO43" s="430" t="s">
        <v>93</v>
      </c>
      <c r="GP43" s="430"/>
      <c r="GQ43" s="430"/>
      <c r="GR43" s="430"/>
      <c r="GS43" s="430"/>
      <c r="GT43" s="430"/>
      <c r="GU43" s="430"/>
      <c r="GV43" s="430" t="s">
        <v>93</v>
      </c>
      <c r="GW43" s="430"/>
      <c r="GX43" s="430" t="s">
        <v>93</v>
      </c>
      <c r="GY43" s="430"/>
      <c r="GZ43" s="430"/>
      <c r="HA43" s="430"/>
      <c r="HB43" s="430"/>
      <c r="HC43" s="430"/>
      <c r="HD43" s="441" t="s">
        <v>93</v>
      </c>
      <c r="HE43" s="430"/>
      <c r="HF43" s="430" t="s">
        <v>93</v>
      </c>
      <c r="HG43" s="430"/>
      <c r="HH43" s="430"/>
      <c r="HI43" s="430"/>
      <c r="HJ43" s="430" t="s">
        <v>93</v>
      </c>
      <c r="HK43" s="430"/>
      <c r="HL43" s="430"/>
      <c r="HM43" s="430" t="s">
        <v>93</v>
      </c>
      <c r="HN43" s="441" t="s">
        <v>93</v>
      </c>
      <c r="HO43" s="430"/>
      <c r="HP43" s="430" t="s">
        <v>93</v>
      </c>
      <c r="HQ43" s="430"/>
      <c r="HR43" s="430" t="s">
        <v>93</v>
      </c>
      <c r="HS43" s="430"/>
      <c r="HT43" s="430"/>
      <c r="HU43" s="430" t="s">
        <v>93</v>
      </c>
      <c r="HV43" s="441" t="s">
        <v>93</v>
      </c>
      <c r="HW43" s="441" t="s">
        <v>93</v>
      </c>
      <c r="HX43" s="430" t="s">
        <v>93</v>
      </c>
    </row>
    <row r="44" spans="1:232" ht="11.55" customHeight="1">
      <c r="A44" s="408" t="s">
        <v>70</v>
      </c>
      <c r="B44" s="409"/>
      <c r="C44" s="409" t="str">
        <f>IF(ISTEXT(IFERROR(VLOOKUP(A44,职业列表!I3:J10,1,FALSE),0)),"★","")</f>
        <v/>
      </c>
      <c r="D44" s="409"/>
      <c r="E44" s="409"/>
      <c r="F44" s="409"/>
      <c r="G44" s="409"/>
      <c r="H44" s="409"/>
      <c r="I44" s="409"/>
      <c r="J44" s="409"/>
      <c r="K44" s="409"/>
      <c r="L44" s="409"/>
      <c r="M44" s="409"/>
      <c r="N44" s="409"/>
      <c r="O44" s="409"/>
      <c r="P44" s="409"/>
      <c r="Q44" s="409"/>
      <c r="R44" s="409"/>
      <c r="S44" s="409"/>
      <c r="T44" s="409"/>
      <c r="U44" s="409"/>
      <c r="V44" s="409"/>
      <c r="W44" s="409"/>
      <c r="X44" s="409"/>
      <c r="Y44" s="409"/>
      <c r="Z44" s="409"/>
      <c r="AA44" s="409"/>
      <c r="AB44" s="409"/>
      <c r="AC44" s="409"/>
      <c r="AD44" s="409" t="s">
        <v>93</v>
      </c>
      <c r="AE44" s="409" t="s">
        <v>93</v>
      </c>
      <c r="AF44" s="409"/>
      <c r="AG44" s="409" t="s">
        <v>93</v>
      </c>
      <c r="AH44" s="409"/>
      <c r="AI44" s="409" t="s">
        <v>1358</v>
      </c>
      <c r="AJ44" s="409"/>
      <c r="AK44" s="409"/>
      <c r="AL44" s="409"/>
      <c r="AM44" s="409"/>
      <c r="AN44" s="409"/>
      <c r="AO44" s="409"/>
      <c r="AP44" s="409"/>
      <c r="AQ44" s="409"/>
      <c r="AR44" s="409"/>
      <c r="AS44" s="409"/>
      <c r="AT44" s="409"/>
      <c r="AU44" s="409"/>
      <c r="AV44" s="409"/>
      <c r="AW44" s="409"/>
      <c r="AX44" s="409"/>
      <c r="AY44" s="409"/>
      <c r="AZ44" s="409"/>
      <c r="BA44" s="409"/>
      <c r="BB44" s="409"/>
      <c r="BC44" s="409"/>
      <c r="BD44" s="409"/>
      <c r="BE44" s="409"/>
      <c r="BF44" s="409"/>
      <c r="BG44" s="409"/>
      <c r="BH44" s="409"/>
      <c r="BI44" s="409"/>
      <c r="BJ44" s="409"/>
      <c r="BK44" s="409"/>
      <c r="BL44" s="409"/>
      <c r="BM44" s="409" t="s">
        <v>1355</v>
      </c>
      <c r="BN44" s="409"/>
      <c r="BO44" s="409"/>
      <c r="BP44" s="409"/>
      <c r="BQ44" s="409"/>
      <c r="BR44" s="409"/>
      <c r="BS44" s="409"/>
      <c r="BT44" s="409"/>
      <c r="BU44" s="409"/>
      <c r="BV44" s="409"/>
      <c r="BW44" s="409"/>
      <c r="BX44" s="409"/>
      <c r="BY44" s="409"/>
      <c r="BZ44" s="409"/>
      <c r="CA44" s="409"/>
      <c r="CB44" s="409"/>
      <c r="CC44" s="409"/>
      <c r="CD44" s="409"/>
      <c r="CE44" s="409"/>
      <c r="CF44" s="409"/>
      <c r="CG44" s="409"/>
      <c r="CH44" s="409"/>
      <c r="CI44" s="409"/>
      <c r="CJ44" s="409"/>
      <c r="CK44" s="409"/>
      <c r="CL44" s="409"/>
      <c r="CM44" s="409"/>
      <c r="CN44" s="409"/>
      <c r="CO44" s="409"/>
      <c r="CP44" s="409"/>
      <c r="CQ44" s="409"/>
      <c r="CR44" s="409"/>
      <c r="CS44" s="409"/>
      <c r="CT44" s="409"/>
      <c r="CU44" s="409"/>
      <c r="CV44" s="409"/>
      <c r="CW44" s="409"/>
      <c r="CX44" s="409"/>
      <c r="CY44" s="409"/>
      <c r="CZ44" s="409"/>
      <c r="DA44" s="409"/>
      <c r="DB44" s="409"/>
      <c r="DC44" s="409"/>
      <c r="DD44" s="409"/>
      <c r="DE44" s="409"/>
      <c r="DF44" s="409"/>
      <c r="DG44" s="409"/>
      <c r="DH44" s="409"/>
      <c r="DI44" s="409"/>
      <c r="DJ44" s="409"/>
      <c r="DK44" s="409"/>
      <c r="DL44" s="409"/>
      <c r="DM44" s="409"/>
      <c r="DN44" s="409"/>
      <c r="DO44" s="409"/>
      <c r="DP44" s="409"/>
      <c r="DQ44" s="409"/>
      <c r="DR44" s="409"/>
      <c r="DS44" s="409"/>
      <c r="DT44" s="409"/>
      <c r="DU44" s="409"/>
      <c r="DV44" s="409"/>
      <c r="DW44" s="409"/>
      <c r="DX44" s="409"/>
      <c r="DY44" s="409"/>
      <c r="DZ44" s="409"/>
      <c r="EA44" s="409"/>
      <c r="EB44" s="409"/>
      <c r="EC44" s="409"/>
      <c r="ED44" s="409"/>
      <c r="EE44" s="409"/>
      <c r="EF44" s="409"/>
      <c r="EG44" s="409"/>
      <c r="EH44" s="409"/>
      <c r="EI44" s="409"/>
      <c r="EJ44" s="409"/>
      <c r="EK44" s="409"/>
      <c r="EL44" s="409"/>
      <c r="EM44" s="409"/>
      <c r="EN44" s="409"/>
      <c r="EO44" s="409"/>
      <c r="EP44" s="409"/>
      <c r="EQ44" s="409"/>
      <c r="ER44" s="409"/>
      <c r="ES44" s="409"/>
      <c r="ET44" s="409"/>
      <c r="EU44" s="409"/>
      <c r="EV44" s="409"/>
      <c r="EW44" s="409"/>
      <c r="EX44" s="409"/>
      <c r="EY44" s="409"/>
      <c r="EZ44" s="409"/>
      <c r="FA44" s="409"/>
      <c r="FB44" s="409"/>
      <c r="FC44" s="409"/>
      <c r="FD44" s="409"/>
      <c r="FE44" s="409"/>
      <c r="FF44" s="409"/>
      <c r="FG44" s="409"/>
      <c r="FH44" s="409"/>
      <c r="FI44" s="409"/>
      <c r="FJ44" s="409"/>
      <c r="FK44" s="409"/>
      <c r="FL44" s="409"/>
      <c r="FM44" s="409"/>
      <c r="FN44" s="409"/>
      <c r="FO44" s="409"/>
      <c r="FP44" s="409"/>
      <c r="FQ44" s="409"/>
      <c r="FR44" s="409"/>
      <c r="FS44" s="409"/>
      <c r="FT44" s="409"/>
      <c r="FU44" s="409" t="s">
        <v>93</v>
      </c>
      <c r="FV44" s="409"/>
      <c r="FW44" s="409"/>
      <c r="FX44" s="409"/>
      <c r="FY44" s="409"/>
      <c r="FZ44" s="409"/>
      <c r="GA44" s="409"/>
      <c r="GB44" s="409"/>
      <c r="GC44" s="409"/>
      <c r="GD44" s="409"/>
      <c r="GE44" s="409"/>
      <c r="GF44" s="409"/>
      <c r="GG44" s="409"/>
      <c r="GH44" s="409"/>
      <c r="GI44" s="409"/>
      <c r="GJ44" s="409"/>
      <c r="GK44" s="409"/>
      <c r="GL44" s="409"/>
      <c r="GM44" s="409"/>
      <c r="GN44" s="409"/>
      <c r="GO44" s="409"/>
      <c r="GP44" s="409"/>
      <c r="GQ44" s="409"/>
      <c r="GR44" s="409"/>
      <c r="GS44" s="409"/>
      <c r="GT44" s="409"/>
      <c r="GU44" s="409"/>
      <c r="GV44" s="409"/>
      <c r="GW44" s="409"/>
      <c r="GX44" s="409"/>
      <c r="GY44" s="409" t="s">
        <v>1355</v>
      </c>
      <c r="GZ44" s="409"/>
      <c r="HA44" s="409"/>
      <c r="HB44" s="409"/>
      <c r="HC44" s="409"/>
      <c r="HD44" s="409"/>
      <c r="HE44" s="409"/>
      <c r="HF44" s="409"/>
      <c r="HG44" s="409"/>
      <c r="HH44" s="409" t="s">
        <v>93</v>
      </c>
      <c r="HI44" s="409"/>
      <c r="HJ44" s="409"/>
      <c r="HK44" s="409"/>
      <c r="HL44" s="409"/>
      <c r="HM44" s="410" t="s">
        <v>93</v>
      </c>
      <c r="HN44" s="409"/>
      <c r="HO44" s="409"/>
      <c r="HP44" s="409"/>
      <c r="HQ44" s="409"/>
      <c r="HR44" s="409"/>
      <c r="HS44" s="409"/>
      <c r="HT44" s="409"/>
      <c r="HU44" s="409"/>
      <c r="HV44" s="409"/>
      <c r="HW44" s="409"/>
      <c r="HX44" s="409" t="s">
        <v>93</v>
      </c>
    </row>
    <row r="45" spans="1:232" ht="11.55" customHeight="1">
      <c r="A45" s="408" t="s">
        <v>72</v>
      </c>
      <c r="B45" s="409"/>
      <c r="C45" s="409" t="str">
        <f>IF(ISTEXT(IFERROR(VLOOKUP(A45,职业列表!I3:J10,1,FALSE),0)),"★","")</f>
        <v/>
      </c>
      <c r="D45" s="409"/>
      <c r="E45" s="409"/>
      <c r="F45" s="409"/>
      <c r="G45" s="409"/>
      <c r="H45" s="409"/>
      <c r="I45" s="409"/>
      <c r="J45" s="409"/>
      <c r="K45" s="409"/>
      <c r="L45" s="409"/>
      <c r="M45" s="409" t="s">
        <v>93</v>
      </c>
      <c r="N45" s="409"/>
      <c r="O45" s="409"/>
      <c r="P45" s="409"/>
      <c r="Q45" s="409"/>
      <c r="R45" s="409"/>
      <c r="S45" s="409"/>
      <c r="T45" s="409"/>
      <c r="U45" s="409"/>
      <c r="V45" s="409"/>
      <c r="W45" s="409"/>
      <c r="X45" s="409"/>
      <c r="Y45" s="409"/>
      <c r="Z45" s="409"/>
      <c r="AA45" s="409"/>
      <c r="AB45" s="409"/>
      <c r="AC45" s="409" t="s">
        <v>93</v>
      </c>
      <c r="AD45" s="409" t="s">
        <v>93</v>
      </c>
      <c r="AE45" s="409" t="s">
        <v>1355</v>
      </c>
      <c r="AF45" s="409"/>
      <c r="AG45" s="409" t="s">
        <v>1355</v>
      </c>
      <c r="AH45" s="409"/>
      <c r="AI45" s="410" t="s">
        <v>1358</v>
      </c>
      <c r="AJ45" s="409"/>
      <c r="AK45" s="409"/>
      <c r="AL45" s="409"/>
      <c r="AM45" s="409"/>
      <c r="AN45" s="409"/>
      <c r="AO45" s="409"/>
      <c r="AP45" s="409"/>
      <c r="AQ45" s="409" t="s">
        <v>93</v>
      </c>
      <c r="AR45" s="409"/>
      <c r="AS45" s="409" t="s">
        <v>93</v>
      </c>
      <c r="AT45" s="409"/>
      <c r="AU45" s="409"/>
      <c r="AV45" s="409" t="s">
        <v>93</v>
      </c>
      <c r="AW45" s="409" t="s">
        <v>93</v>
      </c>
      <c r="AX45" s="409" t="s">
        <v>93</v>
      </c>
      <c r="AY45" s="409"/>
      <c r="AZ45" s="409"/>
      <c r="BA45" s="409" t="s">
        <v>93</v>
      </c>
      <c r="BB45" s="409"/>
      <c r="BC45" s="409"/>
      <c r="BD45" s="409" t="s">
        <v>93</v>
      </c>
      <c r="BE45" s="409"/>
      <c r="BF45" s="409" t="s">
        <v>93</v>
      </c>
      <c r="BG45" s="409"/>
      <c r="BH45" s="409"/>
      <c r="BI45" s="409"/>
      <c r="BJ45" s="409"/>
      <c r="BK45" s="409"/>
      <c r="BL45" s="409"/>
      <c r="BM45" s="409"/>
      <c r="BN45" s="409" t="s">
        <v>93</v>
      </c>
      <c r="BO45" s="409"/>
      <c r="BP45" s="409"/>
      <c r="BQ45" s="409"/>
      <c r="BR45" s="409"/>
      <c r="BS45" s="409" t="s">
        <v>93</v>
      </c>
      <c r="BT45" s="409" t="s">
        <v>93</v>
      </c>
      <c r="BU45" s="409" t="s">
        <v>93</v>
      </c>
      <c r="BV45" s="409"/>
      <c r="BW45" s="409"/>
      <c r="BX45" s="409" t="s">
        <v>93</v>
      </c>
      <c r="BY45" s="409"/>
      <c r="BZ45" s="409" t="s">
        <v>93</v>
      </c>
      <c r="CA45" s="409"/>
      <c r="CB45" s="409"/>
      <c r="CC45" s="409"/>
      <c r="CD45" s="409"/>
      <c r="CE45" s="409"/>
      <c r="CF45" s="409"/>
      <c r="CG45" s="409"/>
      <c r="CH45" s="409"/>
      <c r="CI45" s="409"/>
      <c r="CJ45" s="409"/>
      <c r="CK45" s="409" t="s">
        <v>93</v>
      </c>
      <c r="CL45" s="409" t="s">
        <v>93</v>
      </c>
      <c r="CM45" s="409"/>
      <c r="CN45" s="409"/>
      <c r="CO45" s="409"/>
      <c r="CP45" s="409"/>
      <c r="CQ45" s="409" t="s">
        <v>93</v>
      </c>
      <c r="CR45" s="409"/>
      <c r="CS45" s="409"/>
      <c r="CT45" s="409"/>
      <c r="CU45" s="409"/>
      <c r="CV45" s="409" t="s">
        <v>1355</v>
      </c>
      <c r="CW45" s="409" t="s">
        <v>93</v>
      </c>
      <c r="CX45" s="409"/>
      <c r="CY45" s="409"/>
      <c r="CZ45" s="409"/>
      <c r="DA45" s="409" t="s">
        <v>93</v>
      </c>
      <c r="DB45" s="410" t="s">
        <v>1358</v>
      </c>
      <c r="DC45" s="409"/>
      <c r="DD45" s="409"/>
      <c r="DE45" s="409" t="s">
        <v>1355</v>
      </c>
      <c r="DF45" s="409"/>
      <c r="DG45" s="409"/>
      <c r="DH45" s="409"/>
      <c r="DI45" s="409"/>
      <c r="DJ45" s="409"/>
      <c r="DK45" s="409"/>
      <c r="DL45" s="409"/>
      <c r="DM45" s="409"/>
      <c r="DN45" s="409"/>
      <c r="DO45" s="409"/>
      <c r="DP45" s="409"/>
      <c r="DQ45" s="409"/>
      <c r="DR45" s="409"/>
      <c r="DS45" s="409"/>
      <c r="DT45" s="409"/>
      <c r="DU45" s="409"/>
      <c r="DV45" s="409"/>
      <c r="DW45" s="409"/>
      <c r="DX45" s="409"/>
      <c r="DY45" s="409"/>
      <c r="DZ45" s="409"/>
      <c r="EA45" s="409"/>
      <c r="EB45" s="409"/>
      <c r="EC45" s="409"/>
      <c r="ED45" s="409"/>
      <c r="EE45" s="409"/>
      <c r="EF45" s="409"/>
      <c r="EG45" s="409"/>
      <c r="EH45" s="409"/>
      <c r="EI45" s="409" t="s">
        <v>93</v>
      </c>
      <c r="EJ45" s="409"/>
      <c r="EK45" s="409" t="s">
        <v>93</v>
      </c>
      <c r="EL45" s="409"/>
      <c r="EM45" s="409"/>
      <c r="EN45" s="409" t="s">
        <v>1355</v>
      </c>
      <c r="EO45" s="409"/>
      <c r="EP45" s="409" t="s">
        <v>93</v>
      </c>
      <c r="EQ45" s="409"/>
      <c r="ER45" s="409"/>
      <c r="ES45" s="409"/>
      <c r="ET45" s="409"/>
      <c r="EU45" s="409"/>
      <c r="EV45" s="409"/>
      <c r="EW45" s="409"/>
      <c r="EX45" s="409"/>
      <c r="EY45" s="409"/>
      <c r="EZ45" s="409" t="s">
        <v>93</v>
      </c>
      <c r="FA45" s="409"/>
      <c r="FB45" s="409" t="s">
        <v>1355</v>
      </c>
      <c r="FC45" s="409"/>
      <c r="FD45" s="409" t="s">
        <v>93</v>
      </c>
      <c r="FE45" s="409"/>
      <c r="FF45" s="409"/>
      <c r="FG45" s="409"/>
      <c r="FH45" s="409"/>
      <c r="FI45" s="409"/>
      <c r="FJ45" s="409"/>
      <c r="FK45" s="409"/>
      <c r="FL45" s="409"/>
      <c r="FM45" s="409"/>
      <c r="FN45" s="409"/>
      <c r="FO45" s="409"/>
      <c r="FP45" s="409" t="s">
        <v>93</v>
      </c>
      <c r="FQ45" s="409"/>
      <c r="FR45" s="409"/>
      <c r="FS45" s="409"/>
      <c r="FT45" s="409"/>
      <c r="FU45" s="409" t="s">
        <v>93</v>
      </c>
      <c r="FV45" s="409"/>
      <c r="FW45" s="409"/>
      <c r="FX45" s="409"/>
      <c r="FY45" s="409"/>
      <c r="FZ45" s="409"/>
      <c r="GA45" s="409" t="s">
        <v>93</v>
      </c>
      <c r="GB45" s="409" t="s">
        <v>93</v>
      </c>
      <c r="GC45" s="409" t="s">
        <v>1358</v>
      </c>
      <c r="GD45" s="409" t="s">
        <v>1358</v>
      </c>
      <c r="GE45" s="409"/>
      <c r="GF45" s="409"/>
      <c r="GG45" s="409"/>
      <c r="GH45" s="409"/>
      <c r="GI45" s="409"/>
      <c r="GJ45" s="409"/>
      <c r="GK45" s="409"/>
      <c r="GL45" s="409"/>
      <c r="GM45" s="409"/>
      <c r="GN45" s="409"/>
      <c r="GO45" s="409"/>
      <c r="GP45" s="409" t="s">
        <v>93</v>
      </c>
      <c r="GQ45" s="409"/>
      <c r="GR45" s="409" t="s">
        <v>93</v>
      </c>
      <c r="GS45" s="409"/>
      <c r="GT45" s="409"/>
      <c r="GU45" s="409" t="s">
        <v>1358</v>
      </c>
      <c r="GV45" s="409"/>
      <c r="GW45" s="409"/>
      <c r="GX45" s="409"/>
      <c r="GY45" s="409"/>
      <c r="GZ45" s="409"/>
      <c r="HA45" s="409"/>
      <c r="HB45" s="409"/>
      <c r="HC45" s="409"/>
      <c r="HD45" s="409" t="s">
        <v>93</v>
      </c>
      <c r="HE45" s="409"/>
      <c r="HF45" s="409"/>
      <c r="HG45" s="410" t="s">
        <v>93</v>
      </c>
      <c r="HH45" s="409"/>
      <c r="HI45" s="409"/>
      <c r="HJ45" s="409"/>
      <c r="HK45" s="409"/>
      <c r="HL45" s="409"/>
      <c r="HM45" s="409"/>
      <c r="HN45" s="409"/>
      <c r="HO45" s="409" t="s">
        <v>93</v>
      </c>
      <c r="HP45" s="409"/>
      <c r="HQ45" s="409"/>
      <c r="HR45" s="409"/>
      <c r="HS45" s="409"/>
      <c r="HT45" s="409" t="s">
        <v>93</v>
      </c>
      <c r="HU45" s="409"/>
      <c r="HV45" s="409"/>
      <c r="HW45" s="409" t="s">
        <v>93</v>
      </c>
      <c r="HX45" s="409"/>
    </row>
    <row r="46" spans="1:232" ht="11.55" customHeight="1">
      <c r="A46" s="408" t="s">
        <v>74</v>
      </c>
      <c r="B46" s="409"/>
      <c r="C46" s="409" t="str">
        <f>IF(ISTEXT(IFERROR(VLOOKUP(A46,职业列表!I3:J10,1,FALSE),0)),"★","")</f>
        <v/>
      </c>
      <c r="D46" s="409"/>
      <c r="E46" s="409"/>
      <c r="F46" s="409"/>
      <c r="G46" s="409"/>
      <c r="H46" s="409"/>
      <c r="I46" s="409" t="s">
        <v>93</v>
      </c>
      <c r="J46" s="409"/>
      <c r="K46" s="409"/>
      <c r="L46" s="409"/>
      <c r="M46" s="409"/>
      <c r="N46" s="409"/>
      <c r="O46" s="409"/>
      <c r="P46" s="409"/>
      <c r="Q46" s="409"/>
      <c r="R46" s="409"/>
      <c r="S46" s="409"/>
      <c r="T46" s="409"/>
      <c r="U46" s="409"/>
      <c r="V46" s="409"/>
      <c r="W46" s="409"/>
      <c r="X46" s="409"/>
      <c r="Y46" s="409"/>
      <c r="Z46" s="409"/>
      <c r="AA46" s="409"/>
      <c r="AB46" s="409"/>
      <c r="AC46" s="409"/>
      <c r="AD46" s="409"/>
      <c r="AE46" s="409"/>
      <c r="AF46" s="409"/>
      <c r="AG46" s="409"/>
      <c r="AH46" s="409"/>
      <c r="AI46" s="409"/>
      <c r="AJ46" s="409"/>
      <c r="AK46" s="409"/>
      <c r="AL46" s="409"/>
      <c r="AM46" s="409"/>
      <c r="AN46" s="409"/>
      <c r="AO46" s="409"/>
      <c r="AP46" s="409"/>
      <c r="AQ46" s="409"/>
      <c r="AR46" s="409"/>
      <c r="AS46" s="409"/>
      <c r="AT46" s="409" t="s">
        <v>93</v>
      </c>
      <c r="AU46" s="409"/>
      <c r="AV46" s="409"/>
      <c r="AW46" s="409"/>
      <c r="AX46" s="409"/>
      <c r="AY46" s="409"/>
      <c r="AZ46" s="409"/>
      <c r="BA46" s="409"/>
      <c r="BB46" s="409"/>
      <c r="BC46" s="409"/>
      <c r="BD46" s="409"/>
      <c r="BE46" s="409"/>
      <c r="BF46" s="409"/>
      <c r="BG46" s="409"/>
      <c r="BH46" s="409" t="s">
        <v>93</v>
      </c>
      <c r="BI46" s="409"/>
      <c r="BJ46" s="409"/>
      <c r="BK46" s="409"/>
      <c r="BL46" s="409"/>
      <c r="BM46" s="409"/>
      <c r="BN46" s="409"/>
      <c r="BO46" s="409"/>
      <c r="BP46" s="409"/>
      <c r="BQ46" s="409"/>
      <c r="BR46" s="409"/>
      <c r="BS46" s="409"/>
      <c r="BT46" s="409"/>
      <c r="BU46" s="409"/>
      <c r="BV46" s="409"/>
      <c r="BW46" s="409"/>
      <c r="BX46" s="409"/>
      <c r="BY46" s="409"/>
      <c r="BZ46" s="409" t="s">
        <v>93</v>
      </c>
      <c r="CA46" s="409"/>
      <c r="CB46" s="409"/>
      <c r="CC46" s="409"/>
      <c r="CD46" s="409" t="s">
        <v>93</v>
      </c>
      <c r="CE46" s="409"/>
      <c r="CF46" s="409"/>
      <c r="CG46" s="409"/>
      <c r="CH46" s="409"/>
      <c r="CI46" s="409"/>
      <c r="CJ46" s="409"/>
      <c r="CK46" s="409"/>
      <c r="CL46" s="409"/>
      <c r="CM46" s="409"/>
      <c r="CN46" s="409"/>
      <c r="CO46" s="409"/>
      <c r="CP46" s="409"/>
      <c r="CQ46" s="409"/>
      <c r="CR46" s="409"/>
      <c r="CS46" s="409" t="s">
        <v>93</v>
      </c>
      <c r="CT46" s="409"/>
      <c r="CU46" s="409"/>
      <c r="CV46" s="409"/>
      <c r="CW46" s="409"/>
      <c r="CX46" s="409"/>
      <c r="CY46" s="409"/>
      <c r="CZ46" s="409"/>
      <c r="DA46" s="409"/>
      <c r="DB46" s="409"/>
      <c r="DC46" s="409"/>
      <c r="DD46" s="409"/>
      <c r="DE46" s="409"/>
      <c r="DF46" s="409"/>
      <c r="DG46" s="409"/>
      <c r="DH46" s="409"/>
      <c r="DI46" s="409"/>
      <c r="DJ46" s="409"/>
      <c r="DK46" s="409"/>
      <c r="DL46" s="409"/>
      <c r="DM46" s="409" t="s">
        <v>93</v>
      </c>
      <c r="DN46" s="409"/>
      <c r="DO46" s="409"/>
      <c r="DP46" s="409"/>
      <c r="DQ46" s="409"/>
      <c r="DR46" s="409"/>
      <c r="DS46" s="409"/>
      <c r="DT46" s="409"/>
      <c r="DU46" s="409"/>
      <c r="DV46" s="409"/>
      <c r="DW46" s="409"/>
      <c r="DX46" s="409"/>
      <c r="DY46" s="409"/>
      <c r="DZ46" s="409"/>
      <c r="EA46" s="409"/>
      <c r="EB46" s="409"/>
      <c r="EC46" s="409"/>
      <c r="ED46" s="409"/>
      <c r="EE46" s="409"/>
      <c r="EF46" s="409" t="s">
        <v>93</v>
      </c>
      <c r="EG46" s="409" t="s">
        <v>93</v>
      </c>
      <c r="EH46" s="409" t="s">
        <v>93</v>
      </c>
      <c r="EI46" s="409"/>
      <c r="EJ46" s="409"/>
      <c r="EK46" s="409"/>
      <c r="EL46" s="409" t="s">
        <v>93</v>
      </c>
      <c r="EM46" s="409"/>
      <c r="EN46" s="409"/>
      <c r="EO46" s="409"/>
      <c r="EP46" s="409"/>
      <c r="EQ46" s="409"/>
      <c r="ER46" s="409"/>
      <c r="ES46" s="409"/>
      <c r="ET46" s="409"/>
      <c r="EU46" s="409"/>
      <c r="EV46" s="409"/>
      <c r="EW46" s="409"/>
      <c r="EX46" s="409"/>
      <c r="EY46" s="409"/>
      <c r="EZ46" s="409" t="s">
        <v>93</v>
      </c>
      <c r="FA46" s="409" t="s">
        <v>93</v>
      </c>
      <c r="FB46" s="409"/>
      <c r="FC46" s="409"/>
      <c r="FD46" s="409"/>
      <c r="FE46" s="409"/>
      <c r="FF46" s="409"/>
      <c r="FG46" s="409"/>
      <c r="FH46" s="409"/>
      <c r="FI46" s="409"/>
      <c r="FJ46" s="409"/>
      <c r="FK46" s="409"/>
      <c r="FL46" s="409" t="s">
        <v>93</v>
      </c>
      <c r="FM46" s="409"/>
      <c r="FN46" s="409"/>
      <c r="FO46" s="409"/>
      <c r="FP46" s="409"/>
      <c r="FQ46" s="409"/>
      <c r="FR46" s="409"/>
      <c r="FS46" s="409"/>
      <c r="FT46" s="409"/>
      <c r="FU46" s="409" t="s">
        <v>93</v>
      </c>
      <c r="FV46" s="409" t="s">
        <v>93</v>
      </c>
      <c r="FW46" s="409" t="s">
        <v>93</v>
      </c>
      <c r="FX46" s="409"/>
      <c r="FY46" s="409"/>
      <c r="FZ46" s="409"/>
      <c r="GA46" s="409"/>
      <c r="GB46" s="409"/>
      <c r="GC46" s="409"/>
      <c r="GD46" s="409"/>
      <c r="GE46" s="409"/>
      <c r="GF46" s="409"/>
      <c r="GG46" s="409"/>
      <c r="GH46" s="409"/>
      <c r="GI46" s="409"/>
      <c r="GJ46" s="409"/>
      <c r="GK46" s="409"/>
      <c r="GL46" s="409"/>
      <c r="GM46" s="409"/>
      <c r="GN46" s="409"/>
      <c r="GO46" s="409"/>
      <c r="GP46" s="409"/>
      <c r="GQ46" s="409"/>
      <c r="GR46" s="409"/>
      <c r="GS46" s="409"/>
      <c r="GT46" s="409"/>
      <c r="GU46" s="409"/>
      <c r="GV46" s="409"/>
      <c r="GW46" s="409"/>
      <c r="GX46" s="409"/>
      <c r="GY46" s="409"/>
      <c r="GZ46" s="409"/>
      <c r="HA46" s="409"/>
      <c r="HB46" s="409"/>
      <c r="HC46" s="409"/>
      <c r="HD46" s="409"/>
      <c r="HE46" s="409"/>
      <c r="HF46" s="409"/>
      <c r="HG46" s="409"/>
      <c r="HH46" s="409"/>
      <c r="HI46" s="409"/>
      <c r="HJ46" s="409"/>
      <c r="HK46" s="409"/>
      <c r="HL46" s="409"/>
      <c r="HM46" s="409"/>
      <c r="HN46" s="409"/>
      <c r="HO46" s="409"/>
      <c r="HP46" s="409"/>
      <c r="HQ46" s="409" t="s">
        <v>93</v>
      </c>
      <c r="HR46" s="409"/>
      <c r="HS46" s="409"/>
      <c r="HT46" s="409"/>
      <c r="HU46" s="409"/>
      <c r="HV46" s="409"/>
      <c r="HW46" s="409"/>
      <c r="HX46" s="409"/>
    </row>
    <row r="47" spans="1:232" ht="11.55" customHeight="1">
      <c r="A47" s="408" t="s">
        <v>76</v>
      </c>
      <c r="B47" s="409"/>
      <c r="C47" s="410" t="str">
        <f>IF(ISTEXT(IFERROR(VLOOKUP(A47,职业列表!I3:J10,1,FALSE),0)),"★","")</f>
        <v/>
      </c>
      <c r="D47" s="409"/>
      <c r="E47" s="409"/>
      <c r="F47" s="409"/>
      <c r="G47" s="409"/>
      <c r="H47" s="409"/>
      <c r="I47" s="409"/>
      <c r="J47" s="409" t="s">
        <v>93</v>
      </c>
      <c r="K47" s="409"/>
      <c r="L47" s="409"/>
      <c r="M47" s="409"/>
      <c r="N47" s="409"/>
      <c r="O47" s="409" t="s">
        <v>1355</v>
      </c>
      <c r="P47" s="409"/>
      <c r="Q47" s="409"/>
      <c r="R47" s="409" t="s">
        <v>1355</v>
      </c>
      <c r="S47" s="409"/>
      <c r="T47" s="409" t="s">
        <v>93</v>
      </c>
      <c r="U47" s="409"/>
      <c r="V47" s="409"/>
      <c r="W47" s="409"/>
      <c r="X47" s="409"/>
      <c r="Y47" s="409"/>
      <c r="Z47" s="409"/>
      <c r="AA47" s="409"/>
      <c r="AB47" s="409" t="s">
        <v>1355</v>
      </c>
      <c r="AC47" s="409" t="s">
        <v>93</v>
      </c>
      <c r="AD47" s="409"/>
      <c r="AE47" s="409"/>
      <c r="AF47" s="409"/>
      <c r="AG47" s="409"/>
      <c r="AH47" s="409"/>
      <c r="AI47" s="409"/>
      <c r="AJ47" s="409"/>
      <c r="AK47" s="409"/>
      <c r="AL47" s="409"/>
      <c r="AM47" s="409"/>
      <c r="AN47" s="409"/>
      <c r="AO47" s="409"/>
      <c r="AP47" s="409"/>
      <c r="AQ47" s="409"/>
      <c r="AR47" s="409"/>
      <c r="AS47" s="409"/>
      <c r="AT47" s="409"/>
      <c r="AU47" s="409"/>
      <c r="AV47" s="409"/>
      <c r="AW47" s="409"/>
      <c r="AX47" s="409"/>
      <c r="AY47" s="409"/>
      <c r="AZ47" s="409"/>
      <c r="BA47" s="409"/>
      <c r="BB47" s="409"/>
      <c r="BC47" s="409" t="s">
        <v>93</v>
      </c>
      <c r="BD47" s="409" t="s">
        <v>93</v>
      </c>
      <c r="BE47" s="409"/>
      <c r="BF47" s="409"/>
      <c r="BG47" s="409"/>
      <c r="BH47" s="409"/>
      <c r="BI47" s="409"/>
      <c r="BJ47" s="409"/>
      <c r="BK47" s="409"/>
      <c r="BL47" s="409"/>
      <c r="BM47" s="409"/>
      <c r="BN47" s="409"/>
      <c r="BO47" s="409"/>
      <c r="BP47" s="409"/>
      <c r="BQ47" s="409"/>
      <c r="BR47" s="409"/>
      <c r="BS47" s="414"/>
      <c r="BT47" s="409" t="s">
        <v>1355</v>
      </c>
      <c r="BU47" s="409"/>
      <c r="BV47" s="409"/>
      <c r="BW47" s="409"/>
      <c r="BX47" s="409"/>
      <c r="BY47" s="409"/>
      <c r="BZ47" s="409" t="s">
        <v>93</v>
      </c>
      <c r="CA47" s="409"/>
      <c r="CB47" s="409"/>
      <c r="CC47" s="409"/>
      <c r="CD47" s="409"/>
      <c r="CE47" s="409"/>
      <c r="CF47" s="409" t="s">
        <v>93</v>
      </c>
      <c r="CG47" s="409"/>
      <c r="CH47" s="409"/>
      <c r="CI47" s="409"/>
      <c r="CJ47" s="409"/>
      <c r="CK47" s="409"/>
      <c r="CL47" s="409"/>
      <c r="CM47" s="409"/>
      <c r="CN47" s="409"/>
      <c r="CO47" s="409"/>
      <c r="CP47" s="409"/>
      <c r="CQ47" s="409"/>
      <c r="CR47" s="409"/>
      <c r="CS47" s="409"/>
      <c r="CT47" s="409"/>
      <c r="CU47" s="409"/>
      <c r="CV47" s="409"/>
      <c r="CW47" s="409" t="s">
        <v>93</v>
      </c>
      <c r="CX47" s="409"/>
      <c r="CY47" s="409"/>
      <c r="CZ47" s="409"/>
      <c r="DA47" s="409"/>
      <c r="DB47" s="409"/>
      <c r="DC47" s="409"/>
      <c r="DD47" s="409"/>
      <c r="DE47" s="409"/>
      <c r="DF47" s="409" t="s">
        <v>93</v>
      </c>
      <c r="DG47" s="409"/>
      <c r="DH47" s="409"/>
      <c r="DI47" s="409"/>
      <c r="DJ47" s="409"/>
      <c r="DK47" s="409"/>
      <c r="DL47" s="409"/>
      <c r="DM47" s="409" t="s">
        <v>93</v>
      </c>
      <c r="DN47" s="409"/>
      <c r="DO47" s="409"/>
      <c r="DP47" s="409"/>
      <c r="DQ47" s="409"/>
      <c r="DR47" s="409"/>
      <c r="DS47" s="409"/>
      <c r="DT47" s="409"/>
      <c r="DU47" s="409"/>
      <c r="DV47" s="409"/>
      <c r="DW47" s="409"/>
      <c r="DX47" s="409"/>
      <c r="DY47" s="409"/>
      <c r="DZ47" s="409"/>
      <c r="EA47" s="409"/>
      <c r="EB47" s="409"/>
      <c r="EC47" s="409"/>
      <c r="ED47" s="409"/>
      <c r="EE47" s="409"/>
      <c r="EF47" s="409"/>
      <c r="EG47" s="409"/>
      <c r="EH47" s="409"/>
      <c r="EI47" s="409"/>
      <c r="EJ47" s="409"/>
      <c r="EK47" s="409"/>
      <c r="EL47" s="409"/>
      <c r="EM47" s="409"/>
      <c r="EN47" s="409"/>
      <c r="EO47" s="409"/>
      <c r="EP47" s="409"/>
      <c r="EQ47" s="409"/>
      <c r="ER47" s="409"/>
      <c r="ES47" s="409"/>
      <c r="ET47" s="409"/>
      <c r="EU47" s="409"/>
      <c r="EV47" s="409"/>
      <c r="EW47" s="409" t="s">
        <v>93</v>
      </c>
      <c r="EX47" s="409"/>
      <c r="EY47" s="409"/>
      <c r="EZ47" s="409"/>
      <c r="FA47" s="409"/>
      <c r="FB47" s="409"/>
      <c r="FC47" s="409"/>
      <c r="FD47" s="409"/>
      <c r="FE47" s="409"/>
      <c r="FF47" s="409"/>
      <c r="FG47" s="409"/>
      <c r="FH47" s="409" t="s">
        <v>93</v>
      </c>
      <c r="FI47" s="409"/>
      <c r="FJ47" s="409"/>
      <c r="FK47" s="409"/>
      <c r="FL47" s="409" t="s">
        <v>93</v>
      </c>
      <c r="FM47" s="409"/>
      <c r="FN47" s="409"/>
      <c r="FO47" s="409"/>
      <c r="FP47" s="409" t="s">
        <v>93</v>
      </c>
      <c r="FQ47" s="409"/>
      <c r="FR47" s="409"/>
      <c r="FS47" s="409"/>
      <c r="FT47" s="409" t="s">
        <v>93</v>
      </c>
      <c r="FU47" s="409"/>
      <c r="FV47" s="409"/>
      <c r="FW47" s="409"/>
      <c r="FX47" s="409"/>
      <c r="FY47" s="409"/>
      <c r="FZ47" s="409"/>
      <c r="GA47" s="409"/>
      <c r="GB47" s="409" t="s">
        <v>93</v>
      </c>
      <c r="GC47" s="409"/>
      <c r="GD47" s="409"/>
      <c r="GE47" s="409" t="s">
        <v>93</v>
      </c>
      <c r="GF47" s="409"/>
      <c r="GG47" s="409"/>
      <c r="GH47" s="409"/>
      <c r="GI47" s="409"/>
      <c r="GJ47" s="409"/>
      <c r="GK47" s="409"/>
      <c r="GL47" s="409"/>
      <c r="GM47" s="409"/>
      <c r="GN47" s="409"/>
      <c r="GO47" s="409"/>
      <c r="GP47" s="409"/>
      <c r="GQ47" s="409"/>
      <c r="GR47" s="409"/>
      <c r="GS47" s="409" t="s">
        <v>93</v>
      </c>
      <c r="GT47" s="409"/>
      <c r="GU47" s="409"/>
      <c r="GV47" s="409"/>
      <c r="GW47" s="409"/>
      <c r="GX47" s="409"/>
      <c r="GY47" s="409"/>
      <c r="GZ47" s="409"/>
      <c r="HA47" s="409"/>
      <c r="HB47" s="409"/>
      <c r="HC47" s="409"/>
      <c r="HD47" s="409" t="s">
        <v>93</v>
      </c>
      <c r="HE47" s="409"/>
      <c r="HF47" s="409"/>
      <c r="HG47" s="409"/>
      <c r="HH47" s="409"/>
      <c r="HI47" s="409"/>
      <c r="HJ47" s="409"/>
      <c r="HK47" s="409"/>
      <c r="HL47" s="409" t="s">
        <v>93</v>
      </c>
      <c r="HM47" s="409"/>
      <c r="HN47" s="409"/>
      <c r="HO47" s="409"/>
      <c r="HP47" s="409"/>
      <c r="HQ47" s="409"/>
      <c r="HR47" s="409"/>
      <c r="HS47" s="409"/>
      <c r="HT47" s="409"/>
      <c r="HU47" s="409"/>
      <c r="HV47" s="409"/>
      <c r="HW47" s="409"/>
      <c r="HX47" s="409"/>
    </row>
    <row r="48" spans="1:232" ht="11.55" customHeight="1">
      <c r="A48" s="408" t="s">
        <v>79</v>
      </c>
      <c r="B48" s="409"/>
      <c r="C48" s="409" t="str">
        <f>IF(ISTEXT(IFERROR(VLOOKUP(A48,职业列表!I3:J10,1,FALSE),0)),"★","")</f>
        <v/>
      </c>
      <c r="D48" s="409"/>
      <c r="E48" s="409"/>
      <c r="F48" s="409"/>
      <c r="G48" s="409"/>
      <c r="H48" s="409"/>
      <c r="I48" s="409"/>
      <c r="J48" s="409"/>
      <c r="K48" s="409"/>
      <c r="L48" s="409" t="s">
        <v>93</v>
      </c>
      <c r="M48" s="409" t="s">
        <v>1355</v>
      </c>
      <c r="N48" s="409"/>
      <c r="O48" s="409"/>
      <c r="P48" s="409"/>
      <c r="Q48" s="409"/>
      <c r="R48" s="409"/>
      <c r="S48" s="409"/>
      <c r="T48" s="409" t="s">
        <v>93</v>
      </c>
      <c r="U48" s="409"/>
      <c r="V48" s="409"/>
      <c r="W48" s="409"/>
      <c r="X48" s="409"/>
      <c r="Y48" s="409"/>
      <c r="Z48" s="409"/>
      <c r="AA48" s="409"/>
      <c r="AB48" s="409"/>
      <c r="AC48" s="409"/>
      <c r="AD48" s="409"/>
      <c r="AE48" s="409"/>
      <c r="AF48" s="409"/>
      <c r="AG48" s="409"/>
      <c r="AH48" s="409"/>
      <c r="AI48" s="409"/>
      <c r="AJ48" s="409"/>
      <c r="AK48" s="409"/>
      <c r="AL48" s="409"/>
      <c r="AM48" s="409" t="s">
        <v>93</v>
      </c>
      <c r="AN48" s="409"/>
      <c r="AO48" s="409"/>
      <c r="AP48" s="409"/>
      <c r="AQ48" s="409"/>
      <c r="AR48" s="409"/>
      <c r="AS48" s="409"/>
      <c r="AT48" s="409"/>
      <c r="AU48" s="409" t="s">
        <v>93</v>
      </c>
      <c r="AV48" s="409" t="s">
        <v>93</v>
      </c>
      <c r="AW48" s="409" t="s">
        <v>93</v>
      </c>
      <c r="AX48" s="409" t="s">
        <v>93</v>
      </c>
      <c r="AY48" s="409"/>
      <c r="AZ48" s="409"/>
      <c r="BA48" s="409"/>
      <c r="BB48" s="409"/>
      <c r="BC48" s="409" t="s">
        <v>93</v>
      </c>
      <c r="BD48" s="414"/>
      <c r="BE48" s="409"/>
      <c r="BF48" s="409"/>
      <c r="BG48" s="409"/>
      <c r="BH48" s="409"/>
      <c r="BI48" s="409"/>
      <c r="BJ48" s="409"/>
      <c r="BK48" s="409"/>
      <c r="BL48" s="409" t="s">
        <v>93</v>
      </c>
      <c r="BM48" s="409" t="s">
        <v>93</v>
      </c>
      <c r="BN48" s="409"/>
      <c r="BO48" s="409"/>
      <c r="BP48" s="409"/>
      <c r="BQ48" s="409"/>
      <c r="BR48" s="409"/>
      <c r="BS48" s="409"/>
      <c r="BT48" s="409"/>
      <c r="BU48" s="409"/>
      <c r="BV48" s="409"/>
      <c r="BW48" s="409"/>
      <c r="BX48" s="409"/>
      <c r="BY48" s="409" t="s">
        <v>93</v>
      </c>
      <c r="BZ48" s="409"/>
      <c r="CA48" s="409" t="s">
        <v>93</v>
      </c>
      <c r="CB48" s="409"/>
      <c r="CC48" s="409"/>
      <c r="CD48" s="409"/>
      <c r="CE48" s="409"/>
      <c r="CF48" s="409" t="s">
        <v>93</v>
      </c>
      <c r="CG48" s="409"/>
      <c r="CH48" s="409"/>
      <c r="CI48" s="409"/>
      <c r="CJ48" s="409"/>
      <c r="CK48" s="409" t="s">
        <v>93</v>
      </c>
      <c r="CL48" s="409" t="s">
        <v>93</v>
      </c>
      <c r="CM48" s="409"/>
      <c r="CN48" s="409"/>
      <c r="CO48" s="409"/>
      <c r="CP48" s="409"/>
      <c r="CQ48" s="409" t="s">
        <v>93</v>
      </c>
      <c r="CR48" s="409"/>
      <c r="CS48" s="409"/>
      <c r="CT48" s="409"/>
      <c r="CU48" s="409"/>
      <c r="CV48" s="409" t="s">
        <v>93</v>
      </c>
      <c r="CW48" s="409" t="s">
        <v>93</v>
      </c>
      <c r="CX48" s="409"/>
      <c r="CY48" s="409"/>
      <c r="CZ48" s="409"/>
      <c r="DA48" s="409"/>
      <c r="DB48" s="409"/>
      <c r="DC48" s="409"/>
      <c r="DD48" s="409"/>
      <c r="DE48" s="409"/>
      <c r="DF48" s="409"/>
      <c r="DG48" s="409"/>
      <c r="DH48" s="409"/>
      <c r="DI48" s="409"/>
      <c r="DJ48" s="409"/>
      <c r="DK48" s="409"/>
      <c r="DL48" s="409"/>
      <c r="DM48" s="409"/>
      <c r="DN48" s="409"/>
      <c r="DO48" s="409"/>
      <c r="DP48" s="409"/>
      <c r="DQ48" s="409"/>
      <c r="DR48" s="409"/>
      <c r="DS48" s="409"/>
      <c r="DT48" s="409"/>
      <c r="DU48" s="409"/>
      <c r="DV48" s="409"/>
      <c r="DW48" s="409"/>
      <c r="DX48" s="409"/>
      <c r="DY48" s="409"/>
      <c r="DZ48" s="409"/>
      <c r="EA48" s="409"/>
      <c r="EB48" s="409"/>
      <c r="EC48" s="409"/>
      <c r="ED48" s="409"/>
      <c r="EE48" s="409"/>
      <c r="EF48" s="409"/>
      <c r="EG48" s="409"/>
      <c r="EH48" s="409"/>
      <c r="EI48" s="409" t="s">
        <v>93</v>
      </c>
      <c r="EJ48" s="409"/>
      <c r="EK48" s="409"/>
      <c r="EL48" s="409"/>
      <c r="EM48" s="409"/>
      <c r="EN48" s="409"/>
      <c r="EO48" s="409"/>
      <c r="EP48" s="409"/>
      <c r="EQ48" s="409"/>
      <c r="ER48" s="409"/>
      <c r="ES48" s="409" t="s">
        <v>93</v>
      </c>
      <c r="ET48" s="409"/>
      <c r="EU48" s="409"/>
      <c r="EV48" s="409"/>
      <c r="EW48" s="409" t="s">
        <v>93</v>
      </c>
      <c r="EX48" s="409"/>
      <c r="EY48" s="409"/>
      <c r="EZ48" s="409"/>
      <c r="FA48" s="409"/>
      <c r="FB48" s="409"/>
      <c r="FC48" s="409"/>
      <c r="FD48" s="409"/>
      <c r="FE48" s="409"/>
      <c r="FF48" s="409"/>
      <c r="FG48" s="409"/>
      <c r="FH48" s="409"/>
      <c r="FI48" s="409"/>
      <c r="FJ48" s="409"/>
      <c r="FK48" s="409"/>
      <c r="FL48" s="409"/>
      <c r="FM48" s="409"/>
      <c r="FN48" s="409"/>
      <c r="FO48" s="409"/>
      <c r="FP48" s="409" t="s">
        <v>93</v>
      </c>
      <c r="FQ48" s="409"/>
      <c r="FR48" s="409"/>
      <c r="FS48" s="409"/>
      <c r="FT48" s="409"/>
      <c r="FU48" s="409"/>
      <c r="FV48" s="409"/>
      <c r="FW48" s="409"/>
      <c r="FX48" s="409" t="s">
        <v>93</v>
      </c>
      <c r="FY48" s="409"/>
      <c r="FZ48" s="409"/>
      <c r="GA48" s="409" t="s">
        <v>93</v>
      </c>
      <c r="GB48" s="409" t="s">
        <v>93</v>
      </c>
      <c r="GC48" s="409"/>
      <c r="GD48" s="409"/>
      <c r="GE48" s="409" t="s">
        <v>93</v>
      </c>
      <c r="GF48" s="409"/>
      <c r="GG48" s="409"/>
      <c r="GH48" s="409"/>
      <c r="GI48" s="409"/>
      <c r="GJ48" s="409"/>
      <c r="GK48" s="409"/>
      <c r="GL48" s="409"/>
      <c r="GM48" s="409"/>
      <c r="GN48" s="409"/>
      <c r="GO48" s="409"/>
      <c r="GP48" s="409"/>
      <c r="GQ48" s="409"/>
      <c r="GR48" s="409"/>
      <c r="GS48" s="409"/>
      <c r="GT48" s="409"/>
      <c r="GU48" s="409"/>
      <c r="GV48" s="409"/>
      <c r="GW48" s="409"/>
      <c r="GX48" s="409"/>
      <c r="GY48" s="409"/>
      <c r="GZ48" s="409"/>
      <c r="HA48" s="409"/>
      <c r="HB48" s="409"/>
      <c r="HC48" s="409"/>
      <c r="HD48" s="409" t="s">
        <v>93</v>
      </c>
      <c r="HE48" s="409"/>
      <c r="HF48" s="409"/>
      <c r="HG48" s="409"/>
      <c r="HH48" s="409"/>
      <c r="HI48" s="409"/>
      <c r="HJ48" s="409"/>
      <c r="HK48" s="410" t="s">
        <v>93</v>
      </c>
      <c r="HL48" s="409" t="s">
        <v>93</v>
      </c>
      <c r="HM48" s="409"/>
      <c r="HN48" s="409"/>
      <c r="HO48" s="409"/>
      <c r="HP48" s="409"/>
      <c r="HQ48" s="409"/>
      <c r="HR48" s="409"/>
      <c r="HS48" s="409"/>
      <c r="HT48" s="409"/>
      <c r="HU48" s="409"/>
      <c r="HV48" s="409"/>
      <c r="HW48" s="409"/>
      <c r="HX48" s="410" t="s">
        <v>93</v>
      </c>
    </row>
    <row r="49" spans="1:232" ht="11.55" customHeight="1">
      <c r="A49" s="408" t="s">
        <v>82</v>
      </c>
      <c r="B49" s="409"/>
      <c r="C49" s="409" t="str">
        <f>IF(ISTEXT(IFERROR(VLOOKUP(A49,职业列表!I3:J10,1,FALSE),0)),"★","")</f>
        <v/>
      </c>
      <c r="D49" s="409"/>
      <c r="E49" s="409"/>
      <c r="F49" s="409"/>
      <c r="G49" s="409"/>
      <c r="H49" s="409"/>
      <c r="I49" s="409"/>
      <c r="J49" s="409"/>
      <c r="K49" s="409"/>
      <c r="L49" s="409"/>
      <c r="M49" s="409"/>
      <c r="N49" s="409"/>
      <c r="O49" s="409"/>
      <c r="P49" s="409"/>
      <c r="Q49" s="409"/>
      <c r="R49" s="409" t="s">
        <v>1355</v>
      </c>
      <c r="S49" s="409"/>
      <c r="T49" s="409"/>
      <c r="U49" s="409"/>
      <c r="V49" s="409"/>
      <c r="W49" s="409"/>
      <c r="X49" s="409"/>
      <c r="Y49" s="409"/>
      <c r="Z49" s="409"/>
      <c r="AA49" s="409"/>
      <c r="AB49" s="409"/>
      <c r="AC49" s="409"/>
      <c r="AD49" s="409"/>
      <c r="AE49" s="409"/>
      <c r="AF49" s="409"/>
      <c r="AG49" s="409"/>
      <c r="AH49" s="409"/>
      <c r="AI49" s="409"/>
      <c r="AJ49" s="409"/>
      <c r="AK49" s="409"/>
      <c r="AL49" s="409"/>
      <c r="AM49" s="409"/>
      <c r="AN49" s="409"/>
      <c r="AO49" s="409" t="s">
        <v>93</v>
      </c>
      <c r="AP49" s="409" t="s">
        <v>93</v>
      </c>
      <c r="AQ49" s="409"/>
      <c r="AR49" s="409"/>
      <c r="AS49" s="409"/>
      <c r="AT49" s="409"/>
      <c r="AU49" s="409"/>
      <c r="AV49" s="409"/>
      <c r="AW49" s="409"/>
      <c r="AX49" s="409"/>
      <c r="AY49" s="409"/>
      <c r="AZ49" s="409"/>
      <c r="BA49" s="409"/>
      <c r="BB49" s="409"/>
      <c r="BC49" s="409"/>
      <c r="BD49" s="409"/>
      <c r="BE49" s="409"/>
      <c r="BF49" s="409"/>
      <c r="BG49" s="409"/>
      <c r="BH49" s="409"/>
      <c r="BI49" s="409"/>
      <c r="BJ49" s="409"/>
      <c r="BK49" s="409"/>
      <c r="BL49" s="409"/>
      <c r="BM49" s="409"/>
      <c r="BN49" s="409"/>
      <c r="BO49" s="409"/>
      <c r="BP49" s="409"/>
      <c r="BQ49" s="409"/>
      <c r="BR49" s="409"/>
      <c r="BS49" s="409"/>
      <c r="BT49" s="409"/>
      <c r="BU49" s="409"/>
      <c r="BV49" s="409"/>
      <c r="BW49" s="409"/>
      <c r="BX49" s="409"/>
      <c r="BY49" s="409"/>
      <c r="BZ49" s="409"/>
      <c r="CA49" s="409"/>
      <c r="CB49" s="409" t="s">
        <v>93</v>
      </c>
      <c r="CC49" s="409"/>
      <c r="CD49" s="409"/>
      <c r="CE49" s="409" t="s">
        <v>93</v>
      </c>
      <c r="CF49" s="409"/>
      <c r="CG49" s="409" t="s">
        <v>93</v>
      </c>
      <c r="CH49" s="409"/>
      <c r="CI49" s="409"/>
      <c r="CJ49" s="409"/>
      <c r="CK49" s="409"/>
      <c r="CL49" s="409"/>
      <c r="CM49" s="409"/>
      <c r="CN49" s="409"/>
      <c r="CO49" s="409"/>
      <c r="CP49" s="409"/>
      <c r="CQ49" s="409"/>
      <c r="CR49" s="409"/>
      <c r="CS49" s="409"/>
      <c r="CT49" s="409"/>
      <c r="CU49" s="409"/>
      <c r="CV49" s="409"/>
      <c r="CW49" s="409"/>
      <c r="CX49" s="409"/>
      <c r="CY49" s="409"/>
      <c r="CZ49" s="409"/>
      <c r="DA49" s="409"/>
      <c r="DB49" s="409"/>
      <c r="DC49" s="409"/>
      <c r="DD49" s="409"/>
      <c r="DE49" s="409"/>
      <c r="DF49" s="409" t="s">
        <v>93</v>
      </c>
      <c r="DG49" s="409" t="s">
        <v>93</v>
      </c>
      <c r="DH49" s="409"/>
      <c r="DI49" s="409"/>
      <c r="DJ49" s="409"/>
      <c r="DK49" s="409"/>
      <c r="DL49" s="409"/>
      <c r="DM49" s="409"/>
      <c r="DN49" s="409"/>
      <c r="DO49" s="409"/>
      <c r="DP49" s="409"/>
      <c r="DQ49" s="409"/>
      <c r="DR49" s="409"/>
      <c r="DS49" s="409"/>
      <c r="DT49" s="409"/>
      <c r="DU49" s="409" t="s">
        <v>93</v>
      </c>
      <c r="DV49" s="409"/>
      <c r="DW49" s="409" t="s">
        <v>93</v>
      </c>
      <c r="DX49" s="409"/>
      <c r="DY49" s="409"/>
      <c r="DZ49" s="409"/>
      <c r="EA49" s="409"/>
      <c r="EB49" s="409"/>
      <c r="EC49" s="409"/>
      <c r="ED49" s="409"/>
      <c r="EE49" s="409"/>
      <c r="EF49" s="409"/>
      <c r="EG49" s="409"/>
      <c r="EH49" s="409"/>
      <c r="EI49" s="409"/>
      <c r="EJ49" s="409"/>
      <c r="EK49" s="409"/>
      <c r="EL49" s="409"/>
      <c r="EM49" s="409"/>
      <c r="EN49" s="409"/>
      <c r="EO49" s="409"/>
      <c r="EP49" s="409"/>
      <c r="EQ49" s="409"/>
      <c r="ER49" s="409"/>
      <c r="ES49" s="409"/>
      <c r="ET49" s="409"/>
      <c r="EU49" s="409"/>
      <c r="EV49" s="409"/>
      <c r="EW49" s="409"/>
      <c r="EX49" s="409"/>
      <c r="EY49" s="409"/>
      <c r="EZ49" s="409"/>
      <c r="FA49" s="409"/>
      <c r="FB49" s="409"/>
      <c r="FC49" s="409"/>
      <c r="FD49" s="409"/>
      <c r="FE49" s="409"/>
      <c r="FF49" s="409" t="s">
        <v>93</v>
      </c>
      <c r="FG49" s="409" t="s">
        <v>93</v>
      </c>
      <c r="FH49" s="409" t="s">
        <v>93</v>
      </c>
      <c r="FI49" s="409"/>
      <c r="FJ49" s="409" t="s">
        <v>93</v>
      </c>
      <c r="FK49" s="409" t="s">
        <v>93</v>
      </c>
      <c r="FL49" s="409" t="s">
        <v>93</v>
      </c>
      <c r="FM49" s="409"/>
      <c r="FN49" s="409"/>
      <c r="FO49" s="409"/>
      <c r="FP49" s="409"/>
      <c r="FQ49" s="409"/>
      <c r="FR49" s="409"/>
      <c r="FS49" s="409"/>
      <c r="FT49" s="409"/>
      <c r="FU49" s="409"/>
      <c r="FV49" s="409"/>
      <c r="FW49" s="409"/>
      <c r="FX49" s="409"/>
      <c r="FY49" s="409"/>
      <c r="FZ49" s="409"/>
      <c r="GA49" s="409"/>
      <c r="GB49" s="409"/>
      <c r="GC49" s="409"/>
      <c r="GD49" s="409"/>
      <c r="GE49" s="409"/>
      <c r="GF49" s="409"/>
      <c r="GG49" s="409"/>
      <c r="GH49" s="409"/>
      <c r="GI49" s="409"/>
      <c r="GJ49" s="409"/>
      <c r="GK49" s="409"/>
      <c r="GL49" s="409"/>
      <c r="GM49" s="409"/>
      <c r="GN49" s="409"/>
      <c r="GO49" s="409"/>
      <c r="GP49" s="409" t="s">
        <v>93</v>
      </c>
      <c r="GQ49" s="409" t="s">
        <v>93</v>
      </c>
      <c r="GR49" s="409"/>
      <c r="GS49" s="409"/>
      <c r="GT49" s="409"/>
      <c r="GU49" s="409"/>
      <c r="GV49" s="409"/>
      <c r="GW49" s="409"/>
      <c r="GX49" s="409"/>
      <c r="GY49" s="409"/>
      <c r="GZ49" s="409"/>
      <c r="HA49" s="409"/>
      <c r="HB49" s="409"/>
      <c r="HC49" s="409"/>
      <c r="HD49" s="409"/>
      <c r="HE49" s="409"/>
      <c r="HF49" s="409"/>
      <c r="HG49" s="409"/>
      <c r="HH49" s="409"/>
      <c r="HI49" s="409"/>
      <c r="HJ49" s="409"/>
      <c r="HK49" s="409"/>
      <c r="HL49" s="409"/>
      <c r="HM49" s="409"/>
      <c r="HN49" s="409"/>
      <c r="HO49" s="409"/>
      <c r="HP49" s="409"/>
      <c r="HQ49" s="409"/>
      <c r="HR49" s="409"/>
      <c r="HS49" s="409"/>
      <c r="HT49" s="409"/>
      <c r="HU49" s="409"/>
      <c r="HV49" s="409"/>
      <c r="HW49" s="409"/>
      <c r="HX49" s="409"/>
    </row>
    <row r="50" spans="1:232" ht="11.55" customHeight="1">
      <c r="A50" s="408" t="s">
        <v>87</v>
      </c>
      <c r="B50" s="409"/>
      <c r="C50" s="409" t="str">
        <f>IF(ISTEXT(IFERROR(VLOOKUP(A50,职业列表!I3:J10,1,FALSE),0)),"★","")</f>
        <v/>
      </c>
      <c r="D50" s="409"/>
      <c r="E50" s="409"/>
      <c r="F50" s="409"/>
      <c r="G50" s="409"/>
      <c r="H50" s="409"/>
      <c r="I50" s="409"/>
      <c r="J50" s="409"/>
      <c r="K50" s="409"/>
      <c r="L50" s="409"/>
      <c r="M50" s="409"/>
      <c r="N50" s="409"/>
      <c r="O50" s="409"/>
      <c r="P50" s="409"/>
      <c r="Q50" s="409"/>
      <c r="R50" s="409"/>
      <c r="S50" s="409"/>
      <c r="T50" s="409"/>
      <c r="U50" s="409"/>
      <c r="V50" s="409"/>
      <c r="W50" s="409"/>
      <c r="X50" s="409"/>
      <c r="Y50" s="409"/>
      <c r="Z50" s="409"/>
      <c r="AA50" s="409"/>
      <c r="AB50" s="409"/>
      <c r="AC50" s="409"/>
      <c r="AD50" s="409"/>
      <c r="AE50" s="409" t="s">
        <v>93</v>
      </c>
      <c r="AF50" s="409"/>
      <c r="AG50" s="409"/>
      <c r="AH50" s="409"/>
      <c r="AI50" s="409"/>
      <c r="AJ50" s="409"/>
      <c r="AK50" s="409"/>
      <c r="AL50" s="409"/>
      <c r="AM50" s="409"/>
      <c r="AN50" s="409"/>
      <c r="AO50" s="409"/>
      <c r="AP50" s="409"/>
      <c r="AQ50" s="409"/>
      <c r="AR50" s="409"/>
      <c r="AS50" s="409"/>
      <c r="AT50" s="409"/>
      <c r="AU50" s="409"/>
      <c r="AV50" s="409"/>
      <c r="AW50" s="409"/>
      <c r="AX50" s="409"/>
      <c r="AY50" s="409"/>
      <c r="AZ50" s="409"/>
      <c r="BA50" s="409" t="s">
        <v>93</v>
      </c>
      <c r="BB50" s="409"/>
      <c r="BC50" s="409"/>
      <c r="BD50" s="409" t="s">
        <v>93</v>
      </c>
      <c r="BE50" s="409"/>
      <c r="BF50" s="409" t="s">
        <v>93</v>
      </c>
      <c r="BG50" s="409"/>
      <c r="BH50" s="409"/>
      <c r="BI50" s="409"/>
      <c r="BJ50" s="409"/>
      <c r="BK50" s="409"/>
      <c r="BL50" s="409"/>
      <c r="BM50" s="409"/>
      <c r="BN50" s="409"/>
      <c r="BO50" s="409"/>
      <c r="BP50" s="409"/>
      <c r="BQ50" s="409"/>
      <c r="BR50" s="409"/>
      <c r="BS50" s="409" t="s">
        <v>93</v>
      </c>
      <c r="BT50" s="409"/>
      <c r="BU50" s="409" t="s">
        <v>93</v>
      </c>
      <c r="BV50" s="409"/>
      <c r="BW50" s="409"/>
      <c r="BX50" s="409" t="s">
        <v>93</v>
      </c>
      <c r="BY50" s="409"/>
      <c r="BZ50" s="409"/>
      <c r="CA50" s="409"/>
      <c r="CB50" s="409"/>
      <c r="CC50" s="409"/>
      <c r="CD50" s="409"/>
      <c r="CE50" s="409"/>
      <c r="CF50" s="409"/>
      <c r="CG50" s="409"/>
      <c r="CH50" s="409"/>
      <c r="CI50" s="409"/>
      <c r="CJ50" s="409"/>
      <c r="CK50" s="409" t="s">
        <v>93</v>
      </c>
      <c r="CL50" s="409"/>
      <c r="CM50" s="409"/>
      <c r="CN50" s="409"/>
      <c r="CO50" s="409"/>
      <c r="CP50" s="409"/>
      <c r="CQ50" s="409"/>
      <c r="CR50" s="409"/>
      <c r="CS50" s="409"/>
      <c r="CT50" s="409"/>
      <c r="CU50" s="409"/>
      <c r="CV50" s="409"/>
      <c r="CW50" s="409"/>
      <c r="CX50" s="409"/>
      <c r="CY50" s="409"/>
      <c r="CZ50" s="409"/>
      <c r="DA50" s="409"/>
      <c r="DB50" s="409"/>
      <c r="DC50" s="409"/>
      <c r="DD50" s="409"/>
      <c r="DE50" s="409"/>
      <c r="DF50" s="409"/>
      <c r="DG50" s="409"/>
      <c r="DH50" s="409" t="s">
        <v>93</v>
      </c>
      <c r="DI50" s="409"/>
      <c r="DJ50" s="409"/>
      <c r="DK50" s="409"/>
      <c r="DL50" s="409"/>
      <c r="DM50" s="409"/>
      <c r="DN50" s="409"/>
      <c r="DO50" s="409"/>
      <c r="DP50" s="409"/>
      <c r="DQ50" s="409"/>
      <c r="DR50" s="409"/>
      <c r="DS50" s="409"/>
      <c r="DT50" s="409"/>
      <c r="DU50" s="409"/>
      <c r="DV50" s="409"/>
      <c r="DW50" s="409"/>
      <c r="DX50" s="409"/>
      <c r="DY50" s="409"/>
      <c r="DZ50" s="409"/>
      <c r="EA50" s="409"/>
      <c r="EB50" s="409"/>
      <c r="EC50" s="409"/>
      <c r="ED50" s="409"/>
      <c r="EE50" s="409"/>
      <c r="EF50" s="409"/>
      <c r="EG50" s="409"/>
      <c r="EH50" s="409"/>
      <c r="EI50" s="409"/>
      <c r="EJ50" s="409"/>
      <c r="EK50" s="409"/>
      <c r="EL50" s="409"/>
      <c r="EM50" s="409"/>
      <c r="EN50" s="409" t="s">
        <v>93</v>
      </c>
      <c r="EO50" s="409"/>
      <c r="EP50" s="409"/>
      <c r="EQ50" s="409"/>
      <c r="ER50" s="409"/>
      <c r="ES50" s="409"/>
      <c r="ET50" s="409"/>
      <c r="EU50" s="409"/>
      <c r="EV50" s="409"/>
      <c r="EW50" s="409"/>
      <c r="EX50" s="409"/>
      <c r="EY50" s="409"/>
      <c r="EZ50" s="409"/>
      <c r="FA50" s="409"/>
      <c r="FB50" s="409"/>
      <c r="FC50" s="409"/>
      <c r="FD50" s="409"/>
      <c r="FE50" s="409"/>
      <c r="FF50" s="409"/>
      <c r="FG50" s="409"/>
      <c r="FH50" s="409"/>
      <c r="FI50" s="409"/>
      <c r="FJ50" s="409"/>
      <c r="FK50" s="409"/>
      <c r="FL50" s="409"/>
      <c r="FM50" s="409"/>
      <c r="FN50" s="409"/>
      <c r="FO50" s="409"/>
      <c r="FP50" s="409" t="s">
        <v>93</v>
      </c>
      <c r="FQ50" s="409"/>
      <c r="FR50" s="409"/>
      <c r="FS50" s="409"/>
      <c r="FT50" s="409"/>
      <c r="FU50" s="409"/>
      <c r="FV50" s="409"/>
      <c r="FW50" s="409"/>
      <c r="FX50" s="409"/>
      <c r="FY50" s="409"/>
      <c r="FZ50" s="409"/>
      <c r="GA50" s="409"/>
      <c r="GB50" s="409"/>
      <c r="GC50" s="409"/>
      <c r="GD50" s="409"/>
      <c r="GE50" s="409"/>
      <c r="GF50" s="409"/>
      <c r="GG50" s="409"/>
      <c r="GH50" s="409"/>
      <c r="GI50" s="409"/>
      <c r="GJ50" s="409"/>
      <c r="GK50" s="409"/>
      <c r="GL50" s="409"/>
      <c r="GM50" s="409"/>
      <c r="GN50" s="409"/>
      <c r="GO50" s="409"/>
      <c r="GP50" s="409"/>
      <c r="GQ50" s="409"/>
      <c r="GR50" s="409" t="s">
        <v>93</v>
      </c>
      <c r="GS50" s="409"/>
      <c r="GT50" s="409"/>
      <c r="GU50" s="409"/>
      <c r="GV50" s="409"/>
      <c r="GW50" s="409"/>
      <c r="GX50" s="409"/>
      <c r="GY50" s="409"/>
      <c r="GZ50" s="409"/>
      <c r="HA50" s="409"/>
      <c r="HB50" s="409"/>
      <c r="HC50" s="409"/>
      <c r="HD50" s="409"/>
      <c r="HE50" s="409"/>
      <c r="HF50" s="409"/>
      <c r="HG50" s="409"/>
      <c r="HH50" s="409"/>
      <c r="HI50" s="409"/>
      <c r="HJ50" s="409"/>
      <c r="HK50" s="409"/>
      <c r="HL50" s="409"/>
      <c r="HM50" s="409"/>
      <c r="HN50" s="409"/>
      <c r="HO50" s="410" t="s">
        <v>93</v>
      </c>
      <c r="HP50" s="409"/>
      <c r="HQ50" s="409"/>
      <c r="HR50" s="409"/>
      <c r="HS50" s="409"/>
      <c r="HT50" s="409"/>
      <c r="HU50" s="409"/>
      <c r="HV50" s="409"/>
      <c r="HW50" s="409"/>
      <c r="HX50" s="409"/>
    </row>
    <row r="51" spans="1:232" s="393" customFormat="1" ht="11.55" customHeight="1">
      <c r="A51" s="415" t="s">
        <v>95</v>
      </c>
      <c r="B51" s="416"/>
      <c r="C51" s="409" t="str">
        <f>IF(ISTEXT(IFERROR(VLOOKUP(A51,职业列表!I3:J10,1,FALSE),0)),"★","")</f>
        <v/>
      </c>
      <c r="D51" s="416" t="s">
        <v>93</v>
      </c>
      <c r="E51" s="416"/>
      <c r="F51" s="416" t="s">
        <v>1357</v>
      </c>
      <c r="G51" s="416" t="s">
        <v>1357</v>
      </c>
      <c r="H51" s="416" t="s">
        <v>1357</v>
      </c>
      <c r="I51" s="416"/>
      <c r="J51" s="416"/>
      <c r="K51" s="416" t="s">
        <v>1357</v>
      </c>
      <c r="L51" s="416" t="s">
        <v>1357</v>
      </c>
      <c r="M51" s="416"/>
      <c r="N51" s="416" t="s">
        <v>93</v>
      </c>
      <c r="O51" s="416" t="s">
        <v>1357</v>
      </c>
      <c r="P51" s="416" t="s">
        <v>1357</v>
      </c>
      <c r="Q51" s="416" t="s">
        <v>1357</v>
      </c>
      <c r="R51" s="416"/>
      <c r="S51" s="416" t="s">
        <v>1357</v>
      </c>
      <c r="T51" s="416"/>
      <c r="U51" s="416" t="s">
        <v>1357</v>
      </c>
      <c r="V51" s="416" t="s">
        <v>1357</v>
      </c>
      <c r="W51" s="416"/>
      <c r="X51" s="416"/>
      <c r="Y51" s="416" t="s">
        <v>1357</v>
      </c>
      <c r="Z51" s="416"/>
      <c r="AA51" s="417" t="s">
        <v>1357</v>
      </c>
      <c r="AB51" s="416"/>
      <c r="AC51" s="416"/>
      <c r="AD51" s="416"/>
      <c r="AE51" s="416"/>
      <c r="AF51" s="416" t="s">
        <v>1357</v>
      </c>
      <c r="AG51" s="416"/>
      <c r="AH51" s="416" t="s">
        <v>1357</v>
      </c>
      <c r="AI51" s="416" t="s">
        <v>1357</v>
      </c>
      <c r="AJ51" s="416" t="s">
        <v>1357</v>
      </c>
      <c r="AK51" s="416" t="s">
        <v>1357</v>
      </c>
      <c r="AL51" s="416"/>
      <c r="AM51" s="416" t="s">
        <v>1357</v>
      </c>
      <c r="AN51" s="416" t="s">
        <v>1357</v>
      </c>
      <c r="AO51" s="416" t="s">
        <v>1357</v>
      </c>
      <c r="AP51" s="416" t="s">
        <v>1357</v>
      </c>
      <c r="AQ51" s="442"/>
      <c r="AR51" s="416" t="s">
        <v>1357</v>
      </c>
      <c r="AS51" s="416"/>
      <c r="AT51" s="416"/>
      <c r="AU51" s="416" t="s">
        <v>1357</v>
      </c>
      <c r="AV51" s="416" t="s">
        <v>1357</v>
      </c>
      <c r="AW51" s="416" t="s">
        <v>1357</v>
      </c>
      <c r="AX51" s="416"/>
      <c r="AY51" s="416" t="s">
        <v>1357</v>
      </c>
      <c r="AZ51" s="416" t="s">
        <v>93</v>
      </c>
      <c r="BA51" s="416"/>
      <c r="BB51" s="416" t="s">
        <v>1357</v>
      </c>
      <c r="BC51" s="416"/>
      <c r="BD51" s="416" t="s">
        <v>1357</v>
      </c>
      <c r="BE51" s="416" t="s">
        <v>93</v>
      </c>
      <c r="BF51" s="416"/>
      <c r="BG51" s="416" t="s">
        <v>1357</v>
      </c>
      <c r="BH51" s="416" t="s">
        <v>93</v>
      </c>
      <c r="BI51" s="416" t="s">
        <v>1357</v>
      </c>
      <c r="BJ51" s="416" t="s">
        <v>1357</v>
      </c>
      <c r="BK51" s="416" t="s">
        <v>1357</v>
      </c>
      <c r="BL51" s="416" t="s">
        <v>1357</v>
      </c>
      <c r="BM51" s="416"/>
      <c r="BN51" s="416" t="s">
        <v>1357</v>
      </c>
      <c r="BO51" s="416" t="s">
        <v>1357</v>
      </c>
      <c r="BP51" s="416" t="s">
        <v>1357</v>
      </c>
      <c r="BQ51" s="416" t="s">
        <v>93</v>
      </c>
      <c r="BR51" s="416"/>
      <c r="BS51" s="416"/>
      <c r="BT51" s="416"/>
      <c r="BU51" s="442"/>
      <c r="BV51" s="416" t="s">
        <v>1357</v>
      </c>
      <c r="BW51" s="416"/>
      <c r="BX51" s="416"/>
      <c r="BY51" s="416" t="s">
        <v>1357</v>
      </c>
      <c r="BZ51" s="416" t="s">
        <v>1357</v>
      </c>
      <c r="CA51" s="416"/>
      <c r="CB51" s="416"/>
      <c r="CC51" s="416" t="s">
        <v>1357</v>
      </c>
      <c r="CD51" s="416" t="s">
        <v>1357</v>
      </c>
      <c r="CE51" s="416" t="s">
        <v>1357</v>
      </c>
      <c r="CF51" s="416"/>
      <c r="CG51" s="416"/>
      <c r="CH51" s="416" t="s">
        <v>1357</v>
      </c>
      <c r="CI51" s="416" t="s">
        <v>1357</v>
      </c>
      <c r="CJ51" s="416" t="s">
        <v>1357</v>
      </c>
      <c r="CK51" s="416"/>
      <c r="CL51" s="416"/>
      <c r="CM51" s="416" t="s">
        <v>1357</v>
      </c>
      <c r="CN51" s="416" t="s">
        <v>1357</v>
      </c>
      <c r="CO51" s="416" t="s">
        <v>1357</v>
      </c>
      <c r="CP51" s="416"/>
      <c r="CQ51" s="416"/>
      <c r="CR51" s="416" t="s">
        <v>1357</v>
      </c>
      <c r="CS51" s="416" t="s">
        <v>93</v>
      </c>
      <c r="CT51" s="416" t="s">
        <v>93</v>
      </c>
      <c r="CU51" s="416" t="s">
        <v>1357</v>
      </c>
      <c r="CV51" s="416"/>
      <c r="CW51" s="416" t="s">
        <v>1357</v>
      </c>
      <c r="CX51" s="416" t="s">
        <v>1357</v>
      </c>
      <c r="CY51" s="416" t="s">
        <v>1357</v>
      </c>
      <c r="CZ51" s="416" t="s">
        <v>1357</v>
      </c>
      <c r="DA51" s="416" t="s">
        <v>1357</v>
      </c>
      <c r="DB51" s="416"/>
      <c r="DC51" s="416" t="s">
        <v>1357</v>
      </c>
      <c r="DD51" s="416"/>
      <c r="DE51" s="416"/>
      <c r="DF51" s="416"/>
      <c r="DG51" s="416" t="s">
        <v>1357</v>
      </c>
      <c r="DH51" s="416" t="s">
        <v>1357</v>
      </c>
      <c r="DI51" s="416" t="s">
        <v>1357</v>
      </c>
      <c r="DJ51" s="416" t="s">
        <v>1357</v>
      </c>
      <c r="DK51" s="416" t="s">
        <v>1357</v>
      </c>
      <c r="DL51" s="416" t="s">
        <v>1357</v>
      </c>
      <c r="DM51" s="416"/>
      <c r="DN51" s="416" t="s">
        <v>93</v>
      </c>
      <c r="DO51" s="416" t="s">
        <v>1357</v>
      </c>
      <c r="DP51" s="416" t="s">
        <v>1357</v>
      </c>
      <c r="DQ51" s="416" t="s">
        <v>1357</v>
      </c>
      <c r="DR51" s="416" t="s">
        <v>1357</v>
      </c>
      <c r="DS51" s="416" t="s">
        <v>1357</v>
      </c>
      <c r="DT51" s="416" t="s">
        <v>1357</v>
      </c>
      <c r="DU51" s="416" t="s">
        <v>1357</v>
      </c>
      <c r="DV51" s="416" t="s">
        <v>1357</v>
      </c>
      <c r="DW51" s="416" t="s">
        <v>1357</v>
      </c>
      <c r="DX51" s="416" t="s">
        <v>1357</v>
      </c>
      <c r="DY51" s="416" t="s">
        <v>1357</v>
      </c>
      <c r="DZ51" s="416" t="s">
        <v>1357</v>
      </c>
      <c r="EA51" s="416" t="s">
        <v>1357</v>
      </c>
      <c r="EB51" s="416" t="s">
        <v>1357</v>
      </c>
      <c r="EC51" s="416" t="s">
        <v>1357</v>
      </c>
      <c r="ED51" s="416" t="s">
        <v>93</v>
      </c>
      <c r="EE51" s="416" t="s">
        <v>1357</v>
      </c>
      <c r="EF51" s="416"/>
      <c r="EG51" s="416"/>
      <c r="EH51" s="416"/>
      <c r="EI51" s="416" t="s">
        <v>1357</v>
      </c>
      <c r="EJ51" s="416" t="s">
        <v>1357</v>
      </c>
      <c r="EK51" s="416" t="s">
        <v>1357</v>
      </c>
      <c r="EL51" s="416"/>
      <c r="EM51" s="416" t="s">
        <v>1357</v>
      </c>
      <c r="EN51" s="416"/>
      <c r="EO51" s="416" t="s">
        <v>1357</v>
      </c>
      <c r="EP51" s="416"/>
      <c r="EQ51" s="416" t="s">
        <v>93</v>
      </c>
      <c r="ER51" s="416" t="s">
        <v>1357</v>
      </c>
      <c r="ES51" s="416" t="s">
        <v>1357</v>
      </c>
      <c r="ET51" s="416" t="s">
        <v>1357</v>
      </c>
      <c r="EU51" s="416" t="s">
        <v>1357</v>
      </c>
      <c r="EV51" s="416" t="s">
        <v>1357</v>
      </c>
      <c r="EW51" s="416"/>
      <c r="EX51" s="416" t="s">
        <v>1357</v>
      </c>
      <c r="EY51" s="416" t="s">
        <v>1357</v>
      </c>
      <c r="EZ51" s="416"/>
      <c r="FA51" s="416" t="s">
        <v>1357</v>
      </c>
      <c r="FB51" s="416" t="s">
        <v>1357</v>
      </c>
      <c r="FC51" s="416" t="s">
        <v>1355</v>
      </c>
      <c r="FD51" s="416"/>
      <c r="FE51" s="416" t="s">
        <v>1357</v>
      </c>
      <c r="FF51" s="416" t="s">
        <v>1357</v>
      </c>
      <c r="FG51" s="416" t="s">
        <v>1357</v>
      </c>
      <c r="FH51" s="416"/>
      <c r="FI51" s="416"/>
      <c r="FJ51" s="416" t="s">
        <v>1355</v>
      </c>
      <c r="FK51" s="416"/>
      <c r="FL51" s="416"/>
      <c r="FM51" s="416" t="s">
        <v>1357</v>
      </c>
      <c r="FN51" s="416"/>
      <c r="FO51" s="416"/>
      <c r="FP51" s="416"/>
      <c r="FQ51" s="416" t="s">
        <v>1357</v>
      </c>
      <c r="FR51" s="416" t="s">
        <v>1357</v>
      </c>
      <c r="FS51" s="416" t="s">
        <v>93</v>
      </c>
      <c r="FT51" s="416"/>
      <c r="FU51" s="416"/>
      <c r="FV51" s="416" t="s">
        <v>1357</v>
      </c>
      <c r="FW51" s="416"/>
      <c r="FX51" s="416"/>
      <c r="FY51" s="416" t="s">
        <v>1357</v>
      </c>
      <c r="FZ51" s="416"/>
      <c r="GA51" s="416"/>
      <c r="GB51" s="416" t="s">
        <v>1357</v>
      </c>
      <c r="GC51" s="416"/>
      <c r="GD51" s="416"/>
      <c r="GE51" s="416"/>
      <c r="GF51" s="416" t="s">
        <v>1357</v>
      </c>
      <c r="GG51" s="416" t="s">
        <v>1357</v>
      </c>
      <c r="GH51" s="416" t="s">
        <v>1357</v>
      </c>
      <c r="GI51" s="416" t="s">
        <v>1357</v>
      </c>
      <c r="GJ51" s="416"/>
      <c r="GK51" s="416" t="s">
        <v>93</v>
      </c>
      <c r="GL51" s="416" t="s">
        <v>93</v>
      </c>
      <c r="GM51" s="416" t="s">
        <v>93</v>
      </c>
      <c r="GN51" s="416" t="s">
        <v>1357</v>
      </c>
      <c r="GO51" s="416" t="s">
        <v>1357</v>
      </c>
      <c r="GP51" s="416" t="s">
        <v>1357</v>
      </c>
      <c r="GQ51" s="416" t="s">
        <v>1357</v>
      </c>
      <c r="GR51" s="416"/>
      <c r="GS51" s="416"/>
      <c r="GT51" s="416" t="s">
        <v>1357</v>
      </c>
      <c r="GU51" s="416"/>
      <c r="GV51" s="416"/>
      <c r="GW51" s="416" t="s">
        <v>1357</v>
      </c>
      <c r="GX51" s="416" t="s">
        <v>1357</v>
      </c>
      <c r="GY51" s="416" t="s">
        <v>1357</v>
      </c>
      <c r="GZ51" s="416" t="s">
        <v>1357</v>
      </c>
      <c r="HA51" s="416" t="s">
        <v>1357</v>
      </c>
      <c r="HB51" s="416"/>
      <c r="HC51" s="416" t="s">
        <v>1357</v>
      </c>
      <c r="HD51" s="416"/>
      <c r="HE51" s="416" t="s">
        <v>1357</v>
      </c>
      <c r="HF51" s="416"/>
      <c r="HG51" s="416" t="s">
        <v>1357</v>
      </c>
      <c r="HH51" s="416" t="s">
        <v>1357</v>
      </c>
      <c r="HI51" s="416"/>
      <c r="HJ51" s="417" t="s">
        <v>1357</v>
      </c>
      <c r="HK51" s="416" t="s">
        <v>1357</v>
      </c>
      <c r="HL51" s="416"/>
      <c r="HM51" s="416" t="s">
        <v>1357</v>
      </c>
      <c r="HN51" s="416" t="s">
        <v>1357</v>
      </c>
      <c r="HO51" s="416" t="s">
        <v>1357</v>
      </c>
      <c r="HP51" s="416" t="s">
        <v>1357</v>
      </c>
      <c r="HQ51" s="416"/>
      <c r="HR51" s="417" t="s">
        <v>1357</v>
      </c>
      <c r="HS51" s="416" t="s">
        <v>1357</v>
      </c>
      <c r="HT51" s="416" t="s">
        <v>1357</v>
      </c>
      <c r="HU51" s="416" t="s">
        <v>1358</v>
      </c>
      <c r="HV51" s="416" t="s">
        <v>1357</v>
      </c>
      <c r="HW51" s="416"/>
      <c r="HX51" s="416" t="s">
        <v>1357</v>
      </c>
    </row>
    <row r="52" spans="1:232" ht="11.55" customHeight="1">
      <c r="A52" s="431" t="s">
        <v>97</v>
      </c>
      <c r="B52" s="409"/>
      <c r="C52" s="409" t="str">
        <f>IF(ISTEXT(IFERROR(VLOOKUP(A52,职业列表!I3:J10,1,FALSE),0)),"★","")</f>
        <v/>
      </c>
      <c r="D52" s="409"/>
      <c r="E52" s="409"/>
      <c r="F52" s="409"/>
      <c r="G52" s="409"/>
      <c r="H52" s="409"/>
      <c r="I52" s="409"/>
      <c r="J52" s="409"/>
      <c r="K52" s="409"/>
      <c r="L52" s="409"/>
      <c r="M52" s="409"/>
      <c r="N52" s="409"/>
      <c r="O52" s="409"/>
      <c r="P52" s="409"/>
      <c r="Q52" s="409"/>
      <c r="R52" s="409"/>
      <c r="S52" s="409"/>
      <c r="T52" s="409"/>
      <c r="U52" s="409"/>
      <c r="V52" s="409"/>
      <c r="W52" s="409"/>
      <c r="X52" s="409"/>
      <c r="Y52" s="409"/>
      <c r="Z52" s="409"/>
      <c r="AA52" s="409"/>
      <c r="AB52" s="409"/>
      <c r="AC52" s="409"/>
      <c r="AD52" s="409"/>
      <c r="AE52" s="409"/>
      <c r="AF52" s="409"/>
      <c r="AG52" s="409"/>
      <c r="AH52" s="409"/>
      <c r="AI52" s="409"/>
      <c r="AJ52" s="409"/>
      <c r="AK52" s="409"/>
      <c r="AL52" s="409"/>
      <c r="AM52" s="409" t="s">
        <v>1355</v>
      </c>
      <c r="AN52" s="409"/>
      <c r="AO52" s="409"/>
      <c r="AP52" s="409"/>
      <c r="AQ52" s="409"/>
      <c r="AR52" s="409"/>
      <c r="AS52" s="409" t="s">
        <v>1400</v>
      </c>
      <c r="AT52" s="409"/>
      <c r="AU52" s="409"/>
      <c r="AV52" s="409"/>
      <c r="AW52" s="409"/>
      <c r="AX52" s="409"/>
      <c r="AY52" s="409"/>
      <c r="AZ52" s="409"/>
      <c r="BA52" s="409"/>
      <c r="BB52" s="409"/>
      <c r="BC52" s="409"/>
      <c r="BD52" s="409"/>
      <c r="BE52" s="409"/>
      <c r="BF52" s="409"/>
      <c r="BG52" s="409"/>
      <c r="BH52" s="409"/>
      <c r="BI52" s="409"/>
      <c r="BJ52" s="409"/>
      <c r="BK52" s="409"/>
      <c r="BL52" s="409"/>
      <c r="BM52" s="409"/>
      <c r="BN52" s="409"/>
      <c r="BO52" s="409"/>
      <c r="BP52" s="409"/>
      <c r="BQ52" s="409"/>
      <c r="BR52" s="409"/>
      <c r="BS52" s="409"/>
      <c r="BT52" s="409"/>
      <c r="BU52" s="409"/>
      <c r="BV52" s="409"/>
      <c r="BW52" s="409"/>
      <c r="BX52" s="409"/>
      <c r="BY52" s="409"/>
      <c r="BZ52" s="409"/>
      <c r="CA52" s="409"/>
      <c r="CB52" s="409"/>
      <c r="CC52" s="409"/>
      <c r="CD52" s="409"/>
      <c r="CE52" s="409"/>
      <c r="CF52" s="409"/>
      <c r="CG52" s="409"/>
      <c r="CH52" s="409"/>
      <c r="CI52" s="409"/>
      <c r="CJ52" s="409"/>
      <c r="CK52" s="410" t="s">
        <v>1401</v>
      </c>
      <c r="CL52" s="410" t="s">
        <v>1401</v>
      </c>
      <c r="CM52" s="409"/>
      <c r="CN52" s="409"/>
      <c r="CO52" s="409"/>
      <c r="CP52" s="409"/>
      <c r="CQ52" s="409"/>
      <c r="CR52" s="409"/>
      <c r="CS52" s="409"/>
      <c r="CT52" s="409"/>
      <c r="CU52" s="409"/>
      <c r="CV52" s="409" t="s">
        <v>1400</v>
      </c>
      <c r="CW52" s="409" t="s">
        <v>1400</v>
      </c>
      <c r="CX52" s="409"/>
      <c r="CY52" s="409"/>
      <c r="CZ52" s="409"/>
      <c r="DA52" s="409"/>
      <c r="DB52" s="409"/>
      <c r="DC52" s="409"/>
      <c r="DD52" s="409"/>
      <c r="DE52" s="409" t="s">
        <v>1358</v>
      </c>
      <c r="DF52" s="409"/>
      <c r="DG52" s="409"/>
      <c r="DH52" s="409"/>
      <c r="DI52" s="409"/>
      <c r="DJ52" s="409"/>
      <c r="DK52" s="409"/>
      <c r="DL52" s="409"/>
      <c r="DM52" s="409"/>
      <c r="DN52" s="409"/>
      <c r="DO52" s="409"/>
      <c r="DP52" s="409"/>
      <c r="DQ52" s="409"/>
      <c r="DR52" s="409"/>
      <c r="DS52" s="409"/>
      <c r="DT52" s="409"/>
      <c r="DU52" s="409"/>
      <c r="DV52" s="409"/>
      <c r="DW52" s="409"/>
      <c r="DX52" s="409"/>
      <c r="DY52" s="409"/>
      <c r="DZ52" s="409"/>
      <c r="EA52" s="409"/>
      <c r="EB52" s="409"/>
      <c r="EC52" s="409"/>
      <c r="ED52" s="409"/>
      <c r="EE52" s="409"/>
      <c r="EF52" s="409"/>
      <c r="EG52" s="409"/>
      <c r="EH52" s="409"/>
      <c r="EI52" s="409"/>
      <c r="EJ52" s="409"/>
      <c r="EK52" s="409"/>
      <c r="EL52" s="409"/>
      <c r="EM52" s="409"/>
      <c r="EN52" s="409"/>
      <c r="EO52" s="409"/>
      <c r="EP52" s="409" t="s">
        <v>1400</v>
      </c>
      <c r="EQ52" s="409"/>
      <c r="ER52" s="409"/>
      <c r="ES52" s="409"/>
      <c r="ET52" s="409"/>
      <c r="EU52" s="409"/>
      <c r="EV52" s="409"/>
      <c r="EW52" s="409"/>
      <c r="EX52" s="409"/>
      <c r="EY52" s="409"/>
      <c r="EZ52" s="409"/>
      <c r="FA52" s="409"/>
      <c r="FB52" s="409" t="s">
        <v>93</v>
      </c>
      <c r="FC52" s="409"/>
      <c r="FD52" s="409"/>
      <c r="FE52" s="409"/>
      <c r="FF52" s="409"/>
      <c r="FG52" s="409"/>
      <c r="FH52" s="409"/>
      <c r="FI52" s="409"/>
      <c r="FJ52" s="409"/>
      <c r="FK52" s="409"/>
      <c r="FL52" s="409"/>
      <c r="FM52" s="409"/>
      <c r="FN52" s="409"/>
      <c r="FO52" s="409"/>
      <c r="FP52" s="409" t="s">
        <v>1400</v>
      </c>
      <c r="FQ52" s="409"/>
      <c r="FR52" s="409"/>
      <c r="FS52" s="409"/>
      <c r="FT52" s="409"/>
      <c r="FU52" s="409"/>
      <c r="FV52" s="409"/>
      <c r="FW52" s="409"/>
      <c r="FX52" s="409"/>
      <c r="FY52" s="409"/>
      <c r="FZ52" s="409"/>
      <c r="GA52" s="409" t="s">
        <v>1400</v>
      </c>
      <c r="GB52" s="409" t="s">
        <v>1400</v>
      </c>
      <c r="GC52" s="409"/>
      <c r="GD52" s="409"/>
      <c r="GE52" s="409"/>
      <c r="GF52" s="409"/>
      <c r="GG52" s="409"/>
      <c r="GH52" s="409"/>
      <c r="GI52" s="409"/>
      <c r="GJ52" s="409"/>
      <c r="GK52" s="409"/>
      <c r="GL52" s="409"/>
      <c r="GM52" s="409"/>
      <c r="GN52" s="409"/>
      <c r="GO52" s="409"/>
      <c r="GP52" s="409"/>
      <c r="GQ52" s="409"/>
      <c r="GR52" s="409"/>
      <c r="GS52" s="409"/>
      <c r="GT52" s="409"/>
      <c r="GU52" s="409"/>
      <c r="GV52" s="409"/>
      <c r="GW52" s="409"/>
      <c r="GX52" s="409"/>
      <c r="GY52" s="409"/>
      <c r="GZ52" s="409"/>
      <c r="HA52" s="409"/>
      <c r="HB52" s="409"/>
      <c r="HC52" s="409"/>
      <c r="HD52" s="409"/>
      <c r="HE52" s="409"/>
      <c r="HF52" s="409"/>
      <c r="HG52" s="409"/>
      <c r="HH52" s="409"/>
      <c r="HI52" s="409"/>
      <c r="HJ52" s="409"/>
      <c r="HK52" s="409"/>
      <c r="HL52" s="410" t="s">
        <v>1402</v>
      </c>
      <c r="HM52" s="409"/>
      <c r="HN52" s="409"/>
      <c r="HO52" s="410" t="s">
        <v>1358</v>
      </c>
      <c r="HP52" s="409"/>
      <c r="HQ52" s="409"/>
      <c r="HR52" s="409"/>
      <c r="HS52" s="409"/>
      <c r="HT52" s="409"/>
      <c r="HU52" s="409"/>
      <c r="HV52" s="409"/>
      <c r="HW52" s="409"/>
      <c r="HX52" s="409"/>
    </row>
    <row r="53" spans="1:232" ht="11.55" customHeight="1">
      <c r="A53" s="432" t="s">
        <v>104</v>
      </c>
      <c r="B53" s="409"/>
      <c r="C53" s="409" t="str">
        <f>IF(ISTEXT(IFERROR(VLOOKUP(A53,职业列表!I3:J10,1,FALSE),0)),"★","")</f>
        <v/>
      </c>
      <c r="D53" s="409"/>
      <c r="E53" s="409"/>
      <c r="F53" s="409"/>
      <c r="G53" s="409"/>
      <c r="H53" s="409"/>
      <c r="I53" s="409" t="s">
        <v>93</v>
      </c>
      <c r="J53" s="409"/>
      <c r="K53" s="409"/>
      <c r="L53" s="409"/>
      <c r="M53" s="409"/>
      <c r="N53" s="409"/>
      <c r="O53" s="409"/>
      <c r="P53" s="409"/>
      <c r="Q53" s="409"/>
      <c r="R53" s="409"/>
      <c r="S53" s="409"/>
      <c r="T53" s="409"/>
      <c r="U53" s="409"/>
      <c r="V53" s="409"/>
      <c r="W53" s="409"/>
      <c r="X53" s="409"/>
      <c r="Y53" s="409"/>
      <c r="Z53" s="409"/>
      <c r="AA53" s="409"/>
      <c r="AB53" s="409"/>
      <c r="AC53" s="409"/>
      <c r="AD53" s="409"/>
      <c r="AE53" s="409"/>
      <c r="AF53" s="409"/>
      <c r="AG53" s="409"/>
      <c r="AH53" s="409"/>
      <c r="AI53" s="409"/>
      <c r="AJ53" s="409"/>
      <c r="AK53" s="409"/>
      <c r="AL53" s="409"/>
      <c r="AM53" s="409"/>
      <c r="AN53" s="409"/>
      <c r="AO53" s="409"/>
      <c r="AP53" s="409"/>
      <c r="AQ53" s="409"/>
      <c r="AR53" s="409"/>
      <c r="AS53" s="409"/>
      <c r="AT53" s="409"/>
      <c r="AU53" s="409"/>
      <c r="AV53" s="409"/>
      <c r="AW53" s="409"/>
      <c r="AX53" s="409"/>
      <c r="AY53" s="409"/>
      <c r="AZ53" s="409"/>
      <c r="BA53" s="409"/>
      <c r="BB53" s="409"/>
      <c r="BC53" s="409"/>
      <c r="BD53" s="409"/>
      <c r="BE53" s="409"/>
      <c r="BF53" s="409"/>
      <c r="BG53" s="409"/>
      <c r="BH53" s="409"/>
      <c r="BI53" s="409"/>
      <c r="BJ53" s="409"/>
      <c r="BK53" s="409"/>
      <c r="BL53" s="409"/>
      <c r="BM53" s="409"/>
      <c r="BN53" s="409"/>
      <c r="BO53" s="409"/>
      <c r="BP53" s="409"/>
      <c r="BQ53" s="409"/>
      <c r="BR53" s="409"/>
      <c r="BS53" s="409"/>
      <c r="BT53" s="409"/>
      <c r="BU53" s="409"/>
      <c r="BV53" s="409"/>
      <c r="BW53" s="409"/>
      <c r="BX53" s="409"/>
      <c r="BY53" s="409"/>
      <c r="BZ53" s="409"/>
      <c r="CA53" s="409"/>
      <c r="CB53" s="409"/>
      <c r="CC53" s="409"/>
      <c r="CD53" s="409"/>
      <c r="CE53" s="409"/>
      <c r="CF53" s="409"/>
      <c r="CG53" s="409"/>
      <c r="CH53" s="409"/>
      <c r="CI53" s="409"/>
      <c r="CJ53" s="409"/>
      <c r="CK53" s="409"/>
      <c r="CL53" s="409"/>
      <c r="CM53" s="409"/>
      <c r="CN53" s="409"/>
      <c r="CO53" s="409"/>
      <c r="CP53" s="409"/>
      <c r="CQ53" s="409"/>
      <c r="CR53" s="409"/>
      <c r="CS53" s="409" t="s">
        <v>93</v>
      </c>
      <c r="CT53" s="409" t="s">
        <v>93</v>
      </c>
      <c r="CU53" s="409"/>
      <c r="CV53" s="409"/>
      <c r="CW53" s="409"/>
      <c r="CX53" s="409"/>
      <c r="CY53" s="409"/>
      <c r="CZ53" s="409"/>
      <c r="DA53" s="409"/>
      <c r="DB53" s="409"/>
      <c r="DC53" s="409"/>
      <c r="DD53" s="409"/>
      <c r="DE53" s="409"/>
      <c r="DF53" s="409"/>
      <c r="DG53" s="409"/>
      <c r="DH53" s="409"/>
      <c r="DI53" s="409"/>
      <c r="DJ53" s="409"/>
      <c r="DK53" s="409"/>
      <c r="DL53" s="409"/>
      <c r="DM53" s="409"/>
      <c r="DN53" s="409"/>
      <c r="DO53" s="409"/>
      <c r="DP53" s="409"/>
      <c r="DQ53" s="409"/>
      <c r="DR53" s="409"/>
      <c r="DS53" s="409"/>
      <c r="DT53" s="409"/>
      <c r="DU53" s="409"/>
      <c r="DV53" s="409"/>
      <c r="DW53" s="409"/>
      <c r="DX53" s="409"/>
      <c r="DY53" s="409"/>
      <c r="DZ53" s="409"/>
      <c r="EA53" s="409"/>
      <c r="EB53" s="409"/>
      <c r="EC53" s="409"/>
      <c r="ED53" s="409"/>
      <c r="EE53" s="409"/>
      <c r="EF53" s="409"/>
      <c r="EG53" s="409"/>
      <c r="EH53" s="409"/>
      <c r="EI53" s="409"/>
      <c r="EJ53" s="409"/>
      <c r="EK53" s="409"/>
      <c r="EL53" s="409"/>
      <c r="EM53" s="409"/>
      <c r="EN53" s="409"/>
      <c r="EO53" s="409"/>
      <c r="EP53" s="409"/>
      <c r="EQ53" s="409"/>
      <c r="ER53" s="409"/>
      <c r="ES53" s="409"/>
      <c r="ET53" s="409"/>
      <c r="EU53" s="409"/>
      <c r="EV53" s="409"/>
      <c r="EW53" s="409"/>
      <c r="EX53" s="409"/>
      <c r="EY53" s="409"/>
      <c r="EZ53" s="409"/>
      <c r="FA53" s="409"/>
      <c r="FB53" s="409"/>
      <c r="FC53" s="409"/>
      <c r="FD53" s="409"/>
      <c r="FE53" s="409"/>
      <c r="FF53" s="409"/>
      <c r="FG53" s="409"/>
      <c r="FH53" s="409"/>
      <c r="FI53" s="409"/>
      <c r="FJ53" s="409"/>
      <c r="FK53" s="409"/>
      <c r="FL53" s="409" t="s">
        <v>1355</v>
      </c>
      <c r="FM53" s="409"/>
      <c r="FN53" s="409"/>
      <c r="FO53" s="409"/>
      <c r="FP53" s="409"/>
      <c r="FQ53" s="409" t="s">
        <v>93</v>
      </c>
      <c r="FR53" s="409"/>
      <c r="FS53" s="409"/>
      <c r="FT53" s="409" t="s">
        <v>93</v>
      </c>
      <c r="FU53" s="409"/>
      <c r="FV53" s="409"/>
      <c r="FW53" s="409"/>
      <c r="FX53" s="409"/>
      <c r="FY53" s="409"/>
      <c r="FZ53" s="409"/>
      <c r="GA53" s="409"/>
      <c r="GB53" s="409"/>
      <c r="GC53" s="409"/>
      <c r="GD53" s="409"/>
      <c r="GE53" s="409"/>
      <c r="GF53" s="409"/>
      <c r="GG53" s="409"/>
      <c r="GH53" s="409"/>
      <c r="GI53" s="409"/>
      <c r="GJ53" s="409"/>
      <c r="GK53" s="409"/>
      <c r="GL53" s="409"/>
      <c r="GM53" s="409"/>
      <c r="GN53" s="409"/>
      <c r="GO53" s="409"/>
      <c r="GP53" s="409"/>
      <c r="GQ53" s="409"/>
      <c r="GR53" s="409"/>
      <c r="GS53" s="409"/>
      <c r="GT53" s="409"/>
      <c r="GU53" s="409"/>
      <c r="GV53" s="409"/>
      <c r="GW53" s="409"/>
      <c r="GX53" s="409"/>
      <c r="GY53" s="409"/>
      <c r="GZ53" s="409"/>
      <c r="HA53" s="409"/>
      <c r="HB53" s="409"/>
      <c r="HC53" s="409"/>
      <c r="HD53" s="409"/>
      <c r="HE53" s="409"/>
      <c r="HF53" s="409"/>
      <c r="HG53" s="409"/>
      <c r="HH53" s="409"/>
      <c r="HI53" s="409"/>
      <c r="HJ53" s="409"/>
      <c r="HK53" s="409"/>
      <c r="HL53" s="409"/>
      <c r="HM53" s="409"/>
      <c r="HN53" s="409"/>
      <c r="HO53" s="409"/>
      <c r="HP53" s="409"/>
      <c r="HQ53" s="409"/>
      <c r="HR53" s="409"/>
      <c r="HS53" s="409"/>
      <c r="HT53" s="409"/>
      <c r="HU53" s="409"/>
      <c r="HV53" s="409"/>
      <c r="HW53" s="409"/>
      <c r="HX53" s="409"/>
    </row>
    <row r="54" spans="1:232" s="399" customFormat="1" ht="11.55" customHeight="1">
      <c r="A54" s="433" t="s">
        <v>106</v>
      </c>
      <c r="B54" s="434"/>
      <c r="C54" s="409" t="str">
        <f>IF(ISTEXT(IFERROR(VLOOKUP(A54,职业列表!I3:J10,1,FALSE),0)),"★","")</f>
        <v/>
      </c>
      <c r="D54" s="434"/>
      <c r="E54" s="434"/>
      <c r="F54" s="434" t="s">
        <v>93</v>
      </c>
      <c r="G54" s="434" t="s">
        <v>93</v>
      </c>
      <c r="H54" s="434" t="s">
        <v>93</v>
      </c>
      <c r="I54" s="434" t="s">
        <v>93</v>
      </c>
      <c r="J54" s="434" t="s">
        <v>93</v>
      </c>
      <c r="K54" s="434"/>
      <c r="L54" s="434"/>
      <c r="M54" s="434"/>
      <c r="N54" s="434" t="s">
        <v>93</v>
      </c>
      <c r="O54" s="434" t="s">
        <v>93</v>
      </c>
      <c r="P54" s="434" t="s">
        <v>93</v>
      </c>
      <c r="Q54" s="434"/>
      <c r="R54" s="434" t="s">
        <v>93</v>
      </c>
      <c r="S54" s="434" t="s">
        <v>93</v>
      </c>
      <c r="T54" s="434"/>
      <c r="U54" s="434"/>
      <c r="V54" s="434" t="s">
        <v>93</v>
      </c>
      <c r="W54" s="434" t="s">
        <v>93</v>
      </c>
      <c r="X54" s="434" t="s">
        <v>93</v>
      </c>
      <c r="Y54" s="434" t="s">
        <v>93</v>
      </c>
      <c r="Z54" s="434"/>
      <c r="AA54" s="434"/>
      <c r="AB54" s="434"/>
      <c r="AC54" s="434"/>
      <c r="AD54" s="434" t="s">
        <v>93</v>
      </c>
      <c r="AE54" s="434"/>
      <c r="AF54" s="434" t="s">
        <v>93</v>
      </c>
      <c r="AG54" s="434"/>
      <c r="AH54" s="434" t="s">
        <v>93</v>
      </c>
      <c r="AI54" s="434" t="s">
        <v>93</v>
      </c>
      <c r="AJ54" s="434"/>
      <c r="AK54" s="434"/>
      <c r="AL54" s="434"/>
      <c r="AM54" s="434" t="s">
        <v>93</v>
      </c>
      <c r="AN54" s="434"/>
      <c r="AO54" s="434" t="s">
        <v>93</v>
      </c>
      <c r="AP54" s="434" t="s">
        <v>93</v>
      </c>
      <c r="AQ54" s="434" t="s">
        <v>93</v>
      </c>
      <c r="AR54" s="434"/>
      <c r="AS54" s="434"/>
      <c r="AT54" s="434" t="s">
        <v>93</v>
      </c>
      <c r="AU54" s="434"/>
      <c r="AV54" s="434"/>
      <c r="AW54" s="434" t="s">
        <v>93</v>
      </c>
      <c r="AX54" s="434"/>
      <c r="AY54" s="434" t="s">
        <v>93</v>
      </c>
      <c r="AZ54" s="434" t="s">
        <v>93</v>
      </c>
      <c r="BA54" s="434"/>
      <c r="BB54" s="434" t="s">
        <v>93</v>
      </c>
      <c r="BC54" s="434"/>
      <c r="BD54" s="434"/>
      <c r="BE54" s="434"/>
      <c r="BF54" s="434"/>
      <c r="BG54" s="434" t="s">
        <v>93</v>
      </c>
      <c r="BH54" s="434"/>
      <c r="BI54" s="434" t="s">
        <v>93</v>
      </c>
      <c r="BJ54" s="434" t="s">
        <v>93</v>
      </c>
      <c r="BK54" s="434" t="s">
        <v>93</v>
      </c>
      <c r="BL54" s="434"/>
      <c r="BM54" s="434"/>
      <c r="BN54" s="434" t="s">
        <v>93</v>
      </c>
      <c r="BO54" s="434" t="s">
        <v>93</v>
      </c>
      <c r="BP54" s="434" t="s">
        <v>93</v>
      </c>
      <c r="BQ54" s="434" t="s">
        <v>93</v>
      </c>
      <c r="BR54" s="434"/>
      <c r="BS54" s="434"/>
      <c r="BT54" s="434"/>
      <c r="BU54" s="434"/>
      <c r="BV54" s="434" t="s">
        <v>93</v>
      </c>
      <c r="BW54" s="434"/>
      <c r="BX54" s="434"/>
      <c r="BY54" s="434" t="s">
        <v>93</v>
      </c>
      <c r="BZ54" s="434"/>
      <c r="CA54" s="434"/>
      <c r="CB54" s="434"/>
      <c r="CC54" s="434" t="s">
        <v>93</v>
      </c>
      <c r="CD54" s="434" t="s">
        <v>93</v>
      </c>
      <c r="CE54" s="434"/>
      <c r="CF54" s="434"/>
      <c r="CG54" s="434" t="s">
        <v>93</v>
      </c>
      <c r="CH54" s="434" t="s">
        <v>93</v>
      </c>
      <c r="CI54" s="434" t="s">
        <v>93</v>
      </c>
      <c r="CJ54" s="434" t="s">
        <v>93</v>
      </c>
      <c r="CK54" s="434"/>
      <c r="CL54" s="434"/>
      <c r="CM54" s="434" t="s">
        <v>93</v>
      </c>
      <c r="CN54" s="434" t="s">
        <v>93</v>
      </c>
      <c r="CO54" s="434" t="s">
        <v>93</v>
      </c>
      <c r="CP54" s="434" t="s">
        <v>93</v>
      </c>
      <c r="CQ54" s="434"/>
      <c r="CR54" s="434" t="s">
        <v>93</v>
      </c>
      <c r="CS54" s="434" t="s">
        <v>93</v>
      </c>
      <c r="CT54" s="434" t="s">
        <v>93</v>
      </c>
      <c r="CU54" s="434"/>
      <c r="CV54" s="434"/>
      <c r="CW54" s="434"/>
      <c r="CX54" s="434" t="s">
        <v>93</v>
      </c>
      <c r="CY54" s="434"/>
      <c r="CZ54" s="434" t="s">
        <v>93</v>
      </c>
      <c r="DA54" s="434" t="s">
        <v>93</v>
      </c>
      <c r="DB54" s="434"/>
      <c r="DC54" s="434" t="s">
        <v>93</v>
      </c>
      <c r="DD54" s="434"/>
      <c r="DE54" s="434"/>
      <c r="DF54" s="434"/>
      <c r="DG54" s="434" t="s">
        <v>93</v>
      </c>
      <c r="DH54" s="434" t="s">
        <v>93</v>
      </c>
      <c r="DI54" s="434" t="s">
        <v>93</v>
      </c>
      <c r="DJ54" s="434"/>
      <c r="DK54" s="434" t="s">
        <v>93</v>
      </c>
      <c r="DL54" s="434" t="s">
        <v>93</v>
      </c>
      <c r="DM54" s="434"/>
      <c r="DN54" s="434" t="s">
        <v>93</v>
      </c>
      <c r="DO54" s="434"/>
      <c r="DP54" s="434"/>
      <c r="DQ54" s="434" t="s">
        <v>93</v>
      </c>
      <c r="DR54" s="434"/>
      <c r="DS54" s="434" t="s">
        <v>93</v>
      </c>
      <c r="DT54" s="434" t="s">
        <v>93</v>
      </c>
      <c r="DU54" s="434" t="s">
        <v>93</v>
      </c>
      <c r="DV54" s="434" t="s">
        <v>93</v>
      </c>
      <c r="DW54" s="434" t="s">
        <v>93</v>
      </c>
      <c r="DX54" s="434" t="s">
        <v>93</v>
      </c>
      <c r="DY54" s="434" t="s">
        <v>93</v>
      </c>
      <c r="DZ54" s="434" t="s">
        <v>93</v>
      </c>
      <c r="EA54" s="434" t="s">
        <v>93</v>
      </c>
      <c r="EB54" s="434" t="s">
        <v>93</v>
      </c>
      <c r="EC54" s="434" t="s">
        <v>93</v>
      </c>
      <c r="ED54" s="434"/>
      <c r="EE54" s="434" t="s">
        <v>93</v>
      </c>
      <c r="EF54" s="434" t="s">
        <v>93</v>
      </c>
      <c r="EG54" s="434" t="s">
        <v>93</v>
      </c>
      <c r="EH54" s="434" t="s">
        <v>93</v>
      </c>
      <c r="EI54" s="434" t="s">
        <v>93</v>
      </c>
      <c r="EJ54" s="434"/>
      <c r="EK54" s="434"/>
      <c r="EL54" s="434"/>
      <c r="EM54" s="434" t="s">
        <v>93</v>
      </c>
      <c r="EN54" s="434"/>
      <c r="EO54" s="434" t="s">
        <v>93</v>
      </c>
      <c r="EP54" s="434" t="s">
        <v>93</v>
      </c>
      <c r="EQ54" s="434" t="s">
        <v>93</v>
      </c>
      <c r="ER54" s="434" t="s">
        <v>93</v>
      </c>
      <c r="ES54" s="434" t="s">
        <v>93</v>
      </c>
      <c r="ET54" s="434" t="s">
        <v>93</v>
      </c>
      <c r="EU54" s="434" t="s">
        <v>93</v>
      </c>
      <c r="EV54" s="434" t="s">
        <v>93</v>
      </c>
      <c r="EW54" s="434"/>
      <c r="EX54" s="434" t="s">
        <v>93</v>
      </c>
      <c r="EY54" s="434" t="s">
        <v>93</v>
      </c>
      <c r="EZ54" s="434"/>
      <c r="FA54" s="434" t="s">
        <v>93</v>
      </c>
      <c r="FB54" s="434"/>
      <c r="FC54" s="434" t="s">
        <v>1355</v>
      </c>
      <c r="FD54" s="434"/>
      <c r="FE54" s="434" t="s">
        <v>93</v>
      </c>
      <c r="FF54" s="434" t="s">
        <v>93</v>
      </c>
      <c r="FG54" s="434"/>
      <c r="FH54" s="434" t="s">
        <v>93</v>
      </c>
      <c r="FI54" s="434"/>
      <c r="FJ54" s="434" t="s">
        <v>93</v>
      </c>
      <c r="FK54" s="434"/>
      <c r="FL54" s="434"/>
      <c r="FM54" s="434" t="s">
        <v>93</v>
      </c>
      <c r="FN54" s="434" t="s">
        <v>93</v>
      </c>
      <c r="FO54" s="434" t="s">
        <v>93</v>
      </c>
      <c r="FP54" s="434"/>
      <c r="FQ54" s="434" t="s">
        <v>93</v>
      </c>
      <c r="FR54" s="434"/>
      <c r="FS54" s="434"/>
      <c r="FT54" s="434" t="s">
        <v>93</v>
      </c>
      <c r="FU54" s="434"/>
      <c r="FV54" s="434"/>
      <c r="FW54" s="434"/>
      <c r="FX54" s="434"/>
      <c r="FY54" s="434" t="s">
        <v>93</v>
      </c>
      <c r="FZ54" s="434" t="s">
        <v>93</v>
      </c>
      <c r="GA54" s="434"/>
      <c r="GB54" s="434"/>
      <c r="GC54" s="434"/>
      <c r="GD54" s="434"/>
      <c r="GE54" s="434"/>
      <c r="GF54" s="434" t="s">
        <v>93</v>
      </c>
      <c r="GG54" s="434" t="s">
        <v>93</v>
      </c>
      <c r="GH54" s="434" t="s">
        <v>93</v>
      </c>
      <c r="GI54" s="434" t="s">
        <v>93</v>
      </c>
      <c r="GJ54" s="434"/>
      <c r="GK54" s="434" t="s">
        <v>93</v>
      </c>
      <c r="GL54" s="434" t="s">
        <v>93</v>
      </c>
      <c r="GM54" s="434" t="s">
        <v>93</v>
      </c>
      <c r="GN54" s="434" t="s">
        <v>93</v>
      </c>
      <c r="GO54" s="434"/>
      <c r="GP54" s="434"/>
      <c r="GQ54" s="434" t="s">
        <v>93</v>
      </c>
      <c r="GR54" s="434"/>
      <c r="GS54" s="434"/>
      <c r="GT54" s="434"/>
      <c r="GU54" s="434"/>
      <c r="GV54" s="434"/>
      <c r="GW54" s="434" t="s">
        <v>93</v>
      </c>
      <c r="GX54" s="434"/>
      <c r="GY54" s="434" t="s">
        <v>93</v>
      </c>
      <c r="GZ54" s="434" t="s">
        <v>93</v>
      </c>
      <c r="HA54" s="434"/>
      <c r="HB54" s="434"/>
      <c r="HC54" s="434" t="s">
        <v>93</v>
      </c>
      <c r="HD54" s="452" t="s">
        <v>93</v>
      </c>
      <c r="HE54" s="453" t="s">
        <v>93</v>
      </c>
      <c r="HF54" s="434" t="s">
        <v>93</v>
      </c>
      <c r="HG54" s="434"/>
      <c r="HH54" s="434"/>
      <c r="HI54" s="434"/>
      <c r="HJ54" s="434" t="s">
        <v>93</v>
      </c>
      <c r="HK54" s="453" t="s">
        <v>93</v>
      </c>
      <c r="HL54" s="434"/>
      <c r="HM54" s="434"/>
      <c r="HN54" s="453" t="s">
        <v>93</v>
      </c>
      <c r="HO54" s="434"/>
      <c r="HP54" s="453" t="s">
        <v>93</v>
      </c>
      <c r="HQ54" s="434" t="s">
        <v>93</v>
      </c>
      <c r="HR54" s="434" t="s">
        <v>93</v>
      </c>
      <c r="HS54" s="434" t="s">
        <v>93</v>
      </c>
      <c r="HT54" s="434"/>
      <c r="HU54" s="434"/>
      <c r="HV54" s="434" t="s">
        <v>93</v>
      </c>
      <c r="HW54" s="434"/>
      <c r="HX54" s="434" t="s">
        <v>93</v>
      </c>
    </row>
    <row r="55" spans="1:232" ht="11.55" customHeight="1">
      <c r="A55" s="432" t="s">
        <v>110</v>
      </c>
      <c r="B55" s="409"/>
      <c r="C55" s="410" t="str">
        <f>IF(ISTEXT(IFERROR(VLOOKUP(A55,职业列表!I3:J10,1,FALSE),0)),"★","")</f>
        <v/>
      </c>
      <c r="D55" s="409"/>
      <c r="E55" s="409"/>
      <c r="F55" s="409"/>
      <c r="G55" s="409"/>
      <c r="H55" s="409"/>
      <c r="I55" s="409"/>
      <c r="J55" s="409"/>
      <c r="K55" s="409"/>
      <c r="L55" s="409"/>
      <c r="M55" s="409"/>
      <c r="N55" s="409"/>
      <c r="O55" s="409"/>
      <c r="P55" s="409"/>
      <c r="Q55" s="409" t="s">
        <v>93</v>
      </c>
      <c r="R55" s="409"/>
      <c r="S55" s="409"/>
      <c r="T55" s="409"/>
      <c r="U55" s="409"/>
      <c r="V55" s="409"/>
      <c r="W55" s="409"/>
      <c r="X55" s="409"/>
      <c r="Y55" s="409"/>
      <c r="Z55" s="409"/>
      <c r="AA55" s="409"/>
      <c r="AB55" s="409" t="s">
        <v>93</v>
      </c>
      <c r="AC55" s="409"/>
      <c r="AD55" s="409"/>
      <c r="AE55" s="409"/>
      <c r="AF55" s="409"/>
      <c r="AG55" s="409"/>
      <c r="AH55" s="409"/>
      <c r="AI55" s="409"/>
      <c r="AJ55" s="409"/>
      <c r="AK55" s="409"/>
      <c r="AL55" s="409"/>
      <c r="AM55" s="409"/>
      <c r="AN55" s="409"/>
      <c r="AO55" s="409"/>
      <c r="AP55" s="409"/>
      <c r="AQ55" s="414"/>
      <c r="AR55" s="409" t="s">
        <v>93</v>
      </c>
      <c r="AS55" s="409"/>
      <c r="AT55" s="409"/>
      <c r="AU55" s="409"/>
      <c r="AV55" s="409"/>
      <c r="AW55" s="409"/>
      <c r="AX55" s="409"/>
      <c r="AY55" s="409"/>
      <c r="AZ55" s="409"/>
      <c r="BA55" s="409"/>
      <c r="BB55" s="409"/>
      <c r="BC55" s="409"/>
      <c r="BD55" s="409"/>
      <c r="BE55" s="409"/>
      <c r="BF55" s="409"/>
      <c r="BG55" s="409"/>
      <c r="BH55" s="409"/>
      <c r="BI55" s="409"/>
      <c r="BJ55" s="409"/>
      <c r="BK55" s="409"/>
      <c r="BL55" s="409" t="s">
        <v>93</v>
      </c>
      <c r="BM55" s="409"/>
      <c r="BN55" s="409"/>
      <c r="BO55" s="409"/>
      <c r="BP55" s="409"/>
      <c r="BQ55" s="409"/>
      <c r="BR55" s="409"/>
      <c r="BS55" s="409"/>
      <c r="BT55" s="409"/>
      <c r="BU55" s="409"/>
      <c r="BV55" s="409"/>
      <c r="BW55" s="409"/>
      <c r="BX55" s="409"/>
      <c r="BY55" s="409"/>
      <c r="BZ55" s="409"/>
      <c r="CA55" s="409"/>
      <c r="CB55" s="409"/>
      <c r="CC55" s="409"/>
      <c r="CD55" s="409"/>
      <c r="CE55" s="409"/>
      <c r="CF55" s="409"/>
      <c r="CG55" s="409"/>
      <c r="CH55" s="409"/>
      <c r="CI55" s="409"/>
      <c r="CJ55" s="409"/>
      <c r="CK55" s="409"/>
      <c r="CL55" s="409"/>
      <c r="CM55" s="409"/>
      <c r="CN55" s="409" t="s">
        <v>1355</v>
      </c>
      <c r="CO55" s="409"/>
      <c r="CP55" s="409"/>
      <c r="CQ55" s="409"/>
      <c r="CR55" s="409"/>
      <c r="CS55" s="409"/>
      <c r="CT55" s="409"/>
      <c r="CU55" s="409"/>
      <c r="CV55" s="409"/>
      <c r="CW55" s="409"/>
      <c r="CX55" s="409"/>
      <c r="CY55" s="409"/>
      <c r="CZ55" s="409"/>
      <c r="DA55" s="409"/>
      <c r="DB55" s="409"/>
      <c r="DC55" s="409"/>
      <c r="DD55" s="409"/>
      <c r="DE55" s="409" t="s">
        <v>1358</v>
      </c>
      <c r="DF55" s="409"/>
      <c r="DG55" s="409"/>
      <c r="DH55" s="409"/>
      <c r="DI55" s="409"/>
      <c r="DJ55" s="409"/>
      <c r="DK55" s="409"/>
      <c r="DL55" s="409"/>
      <c r="DM55" s="409"/>
      <c r="DN55" s="409"/>
      <c r="DO55" s="409"/>
      <c r="DP55" s="409" t="s">
        <v>93</v>
      </c>
      <c r="DQ55" s="409"/>
      <c r="DR55" s="409"/>
      <c r="DS55" s="409"/>
      <c r="DT55" s="409"/>
      <c r="DU55" s="409"/>
      <c r="DV55" s="409"/>
      <c r="DW55" s="409"/>
      <c r="DX55" s="409"/>
      <c r="DY55" s="409"/>
      <c r="DZ55" s="409"/>
      <c r="EA55" s="409"/>
      <c r="EB55" s="409"/>
      <c r="EC55" s="409"/>
      <c r="ED55" s="409"/>
      <c r="EE55" s="409"/>
      <c r="EF55" s="409"/>
      <c r="EG55" s="409"/>
      <c r="EH55" s="409"/>
      <c r="EI55" s="409"/>
      <c r="EJ55" s="409"/>
      <c r="EK55" s="409"/>
      <c r="EL55" s="409"/>
      <c r="EM55" s="409"/>
      <c r="EN55" s="409"/>
      <c r="EO55" s="409"/>
      <c r="EP55" s="409"/>
      <c r="EQ55" s="409"/>
      <c r="ER55" s="409"/>
      <c r="ES55" s="409"/>
      <c r="ET55" s="409"/>
      <c r="EU55" s="409"/>
      <c r="EV55" s="409"/>
      <c r="EW55" s="409"/>
      <c r="EX55" s="409"/>
      <c r="EY55" s="409"/>
      <c r="EZ55" s="409"/>
      <c r="FA55" s="409"/>
      <c r="FB55" s="409"/>
      <c r="FC55" s="409" t="s">
        <v>93</v>
      </c>
      <c r="FD55" s="409"/>
      <c r="FE55" s="409"/>
      <c r="FF55" s="409"/>
      <c r="FG55" s="409"/>
      <c r="FH55" s="409"/>
      <c r="FI55" s="409"/>
      <c r="FJ55" s="409"/>
      <c r="FK55" s="409"/>
      <c r="FL55" s="409"/>
      <c r="FM55" s="409"/>
      <c r="FN55" s="409"/>
      <c r="FO55" s="409"/>
      <c r="FP55" s="409"/>
      <c r="FQ55" s="409"/>
      <c r="FR55" s="409" t="s">
        <v>93</v>
      </c>
      <c r="FS55" s="409"/>
      <c r="FT55" s="409"/>
      <c r="FU55" s="409"/>
      <c r="FV55" s="409"/>
      <c r="FW55" s="409"/>
      <c r="FX55" s="409"/>
      <c r="FY55" s="409"/>
      <c r="FZ55" s="409"/>
      <c r="GA55" s="409"/>
      <c r="GB55" s="409"/>
      <c r="GC55" s="409"/>
      <c r="GD55" s="409"/>
      <c r="GE55" s="409"/>
      <c r="GF55" s="409"/>
      <c r="GG55" s="409"/>
      <c r="GH55" s="409"/>
      <c r="GI55" s="409"/>
      <c r="GJ55" s="409"/>
      <c r="GK55" s="409"/>
      <c r="GL55" s="409"/>
      <c r="GM55" s="409"/>
      <c r="GN55" s="409"/>
      <c r="GO55" s="409"/>
      <c r="GP55" s="409"/>
      <c r="GQ55" s="409"/>
      <c r="GR55" s="409"/>
      <c r="GS55" s="409"/>
      <c r="GT55" s="409"/>
      <c r="GU55" s="409"/>
      <c r="GV55" s="409"/>
      <c r="GW55" s="409" t="s">
        <v>1355</v>
      </c>
      <c r="GX55" s="409"/>
      <c r="GY55" s="409" t="s">
        <v>93</v>
      </c>
      <c r="GZ55" s="409"/>
      <c r="HA55" s="409" t="s">
        <v>93</v>
      </c>
      <c r="HB55" s="409"/>
      <c r="HC55" s="409"/>
      <c r="HD55" s="409"/>
      <c r="HE55" s="409"/>
      <c r="HF55" s="409"/>
      <c r="HG55" s="409"/>
      <c r="HH55" s="409"/>
      <c r="HI55" s="409"/>
      <c r="HJ55" s="409"/>
      <c r="HK55" s="409" t="s">
        <v>93</v>
      </c>
      <c r="HL55" s="409" t="s">
        <v>93</v>
      </c>
      <c r="HM55" s="409"/>
      <c r="HN55" s="409"/>
      <c r="HO55" s="409"/>
      <c r="HP55" s="409"/>
      <c r="HQ55" s="409"/>
      <c r="HR55" s="409"/>
      <c r="HS55" s="409"/>
      <c r="HT55" s="409"/>
      <c r="HU55" s="409"/>
      <c r="HV55" s="409"/>
      <c r="HW55" s="409"/>
      <c r="HX55" s="409"/>
    </row>
    <row r="56" spans="1:232" s="400" customFormat="1" ht="11.55" customHeight="1">
      <c r="A56" s="435" t="s">
        <v>112</v>
      </c>
      <c r="B56" s="436"/>
      <c r="C56" s="409" t="str">
        <f>IF(ISTEXT(IFERROR(VLOOKUP(A56,职业列表!I3:J10,1,FALSE),0)),"★","")</f>
        <v/>
      </c>
      <c r="D56" s="436"/>
      <c r="E56" s="436"/>
      <c r="F56" s="436"/>
      <c r="G56" s="436"/>
      <c r="H56" s="436"/>
      <c r="I56" s="436" t="s">
        <v>1403</v>
      </c>
      <c r="J56" s="436" t="s">
        <v>1404</v>
      </c>
      <c r="K56" s="436"/>
      <c r="L56" s="436"/>
      <c r="M56" s="438" t="s">
        <v>1355</v>
      </c>
      <c r="N56" s="436" t="s">
        <v>1405</v>
      </c>
      <c r="O56" s="436"/>
      <c r="P56" s="436"/>
      <c r="Q56" s="436"/>
      <c r="R56" s="436"/>
      <c r="S56" s="436"/>
      <c r="T56" s="436" t="s">
        <v>1403</v>
      </c>
      <c r="U56" s="436"/>
      <c r="V56" s="436"/>
      <c r="W56" s="436"/>
      <c r="X56" s="436"/>
      <c r="Y56" s="436"/>
      <c r="Z56" s="436" t="s">
        <v>1405</v>
      </c>
      <c r="AA56" s="436"/>
      <c r="AB56" s="436"/>
      <c r="AC56" s="436"/>
      <c r="AD56" s="436"/>
      <c r="AE56" s="436"/>
      <c r="AF56" s="436"/>
      <c r="AG56" s="436"/>
      <c r="AH56" s="436"/>
      <c r="AI56" s="436"/>
      <c r="AJ56" s="436"/>
      <c r="AK56" s="436"/>
      <c r="AL56" s="436"/>
      <c r="AM56" s="436"/>
      <c r="AN56" s="436"/>
      <c r="AO56" s="436"/>
      <c r="AP56" s="436"/>
      <c r="AQ56" s="436"/>
      <c r="AR56" s="436"/>
      <c r="AS56" s="436" t="s">
        <v>1403</v>
      </c>
      <c r="AT56" s="436" t="s">
        <v>1403</v>
      </c>
      <c r="AU56" s="436"/>
      <c r="AV56" s="436"/>
      <c r="AW56" s="436"/>
      <c r="AX56" s="436"/>
      <c r="AY56" s="436"/>
      <c r="AZ56" s="436"/>
      <c r="BA56" s="436" t="s">
        <v>1406</v>
      </c>
      <c r="BB56" s="436"/>
      <c r="BC56" s="436"/>
      <c r="BD56" s="436"/>
      <c r="BE56" s="436"/>
      <c r="BF56" s="436"/>
      <c r="BG56" s="436"/>
      <c r="BH56" s="436" t="s">
        <v>1403</v>
      </c>
      <c r="BI56" s="436"/>
      <c r="BJ56" s="436"/>
      <c r="BK56" s="436"/>
      <c r="BL56" s="436"/>
      <c r="BM56" s="436"/>
      <c r="BN56" s="436"/>
      <c r="BO56" s="436"/>
      <c r="BP56" s="436"/>
      <c r="BQ56" s="436"/>
      <c r="BR56" s="436" t="s">
        <v>1407</v>
      </c>
      <c r="BS56" s="449"/>
      <c r="BT56" s="436" t="s">
        <v>1408</v>
      </c>
      <c r="BU56" s="436" t="s">
        <v>1409</v>
      </c>
      <c r="BV56" s="436"/>
      <c r="BW56" s="436"/>
      <c r="BX56" s="436"/>
      <c r="BY56" s="436"/>
      <c r="BZ56" s="436"/>
      <c r="CA56" s="436"/>
      <c r="CB56" s="436"/>
      <c r="CC56" s="436"/>
      <c r="CD56" s="436" t="s">
        <v>1403</v>
      </c>
      <c r="CE56" s="438" t="s">
        <v>1410</v>
      </c>
      <c r="CF56" s="436"/>
      <c r="CG56" s="436"/>
      <c r="CH56" s="436" t="s">
        <v>1407</v>
      </c>
      <c r="CI56" s="436" t="s">
        <v>1407</v>
      </c>
      <c r="CJ56" s="436" t="s">
        <v>1407</v>
      </c>
      <c r="CK56" s="436" t="s">
        <v>1411</v>
      </c>
      <c r="CL56" s="436"/>
      <c r="CM56" s="436"/>
      <c r="CN56" s="436"/>
      <c r="CO56" s="436"/>
      <c r="CP56" s="436"/>
      <c r="CQ56" s="436" t="s">
        <v>1409</v>
      </c>
      <c r="CR56" s="436"/>
      <c r="CS56" s="436" t="s">
        <v>1403</v>
      </c>
      <c r="CT56" s="436"/>
      <c r="CU56" s="436"/>
      <c r="CV56" s="436"/>
      <c r="CW56" s="436"/>
      <c r="CX56" s="436"/>
      <c r="CY56" s="436" t="s">
        <v>93</v>
      </c>
      <c r="CZ56" s="436"/>
      <c r="DA56" s="436"/>
      <c r="DB56" s="436"/>
      <c r="DC56" s="436"/>
      <c r="DD56" s="436"/>
      <c r="DE56" s="436"/>
      <c r="DF56" s="436"/>
      <c r="DG56" s="436" t="s">
        <v>1403</v>
      </c>
      <c r="DH56" s="436"/>
      <c r="DI56" s="436"/>
      <c r="DJ56" s="436"/>
      <c r="DK56" s="436"/>
      <c r="DL56" s="436"/>
      <c r="DM56" s="436" t="s">
        <v>1412</v>
      </c>
      <c r="DN56" s="436"/>
      <c r="DO56" s="436"/>
      <c r="DP56" s="436"/>
      <c r="DQ56" s="436"/>
      <c r="DR56" s="436"/>
      <c r="DS56" s="436"/>
      <c r="DT56" s="436"/>
      <c r="DU56" s="436"/>
      <c r="DV56" s="436"/>
      <c r="DW56" s="436"/>
      <c r="DX56" s="436"/>
      <c r="DY56" s="436"/>
      <c r="DZ56" s="436"/>
      <c r="EA56" s="436"/>
      <c r="EB56" s="436"/>
      <c r="EC56" s="436"/>
      <c r="ED56" s="436"/>
      <c r="EE56" s="436"/>
      <c r="EF56" s="436" t="s">
        <v>1403</v>
      </c>
      <c r="EG56" s="436" t="s">
        <v>1403</v>
      </c>
      <c r="EH56" s="436" t="s">
        <v>1403</v>
      </c>
      <c r="EI56" s="436"/>
      <c r="EJ56" s="436"/>
      <c r="EK56" s="436"/>
      <c r="EL56" s="436" t="s">
        <v>1407</v>
      </c>
      <c r="EM56" s="436"/>
      <c r="EN56" s="436"/>
      <c r="EO56" s="436"/>
      <c r="EP56" s="436"/>
      <c r="EQ56" s="436"/>
      <c r="ER56" s="436"/>
      <c r="ES56" s="436"/>
      <c r="ET56" s="436"/>
      <c r="EU56" s="436"/>
      <c r="EV56" s="436"/>
      <c r="EW56" s="436"/>
      <c r="EX56" s="436"/>
      <c r="EY56" s="436"/>
      <c r="EZ56" s="436" t="s">
        <v>1403</v>
      </c>
      <c r="FA56" s="436" t="s">
        <v>1412</v>
      </c>
      <c r="FB56" s="436"/>
      <c r="FC56" s="436"/>
      <c r="FD56" s="436"/>
      <c r="FE56" s="436"/>
      <c r="FF56" s="436"/>
      <c r="FG56" s="436" t="s">
        <v>1411</v>
      </c>
      <c r="FH56" s="436"/>
      <c r="FI56" s="436" t="s">
        <v>1355</v>
      </c>
      <c r="FJ56" s="436"/>
      <c r="FK56" s="436" t="s">
        <v>1411</v>
      </c>
      <c r="FL56" s="436" t="s">
        <v>1407</v>
      </c>
      <c r="FM56" s="436"/>
      <c r="FN56" s="436"/>
      <c r="FO56" s="436"/>
      <c r="FP56" s="436" t="s">
        <v>1411</v>
      </c>
      <c r="FQ56" s="436"/>
      <c r="FR56" s="436"/>
      <c r="FS56" s="436"/>
      <c r="FT56" s="436" t="s">
        <v>1404</v>
      </c>
      <c r="FU56" s="436" t="s">
        <v>1407</v>
      </c>
      <c r="FV56" s="436" t="s">
        <v>1412</v>
      </c>
      <c r="FW56" s="436" t="s">
        <v>1407</v>
      </c>
      <c r="FX56" s="436"/>
      <c r="FY56" s="436"/>
      <c r="FZ56" s="436"/>
      <c r="GA56" s="436"/>
      <c r="GB56" s="436"/>
      <c r="GC56" s="436"/>
      <c r="GD56" s="436"/>
      <c r="GE56" s="436"/>
      <c r="GF56" s="436"/>
      <c r="GG56" s="436"/>
      <c r="GH56" s="436"/>
      <c r="GI56" s="436"/>
      <c r="GJ56" s="436"/>
      <c r="GK56" s="436"/>
      <c r="GL56" s="436"/>
      <c r="GM56" s="436"/>
      <c r="GN56" s="436"/>
      <c r="GO56" s="436"/>
      <c r="GP56" s="436" t="s">
        <v>1413</v>
      </c>
      <c r="GQ56" s="436"/>
      <c r="GR56" s="436"/>
      <c r="GS56" s="436" t="s">
        <v>1403</v>
      </c>
      <c r="GT56" s="436"/>
      <c r="GU56" s="436"/>
      <c r="GV56" s="436"/>
      <c r="GW56" s="436"/>
      <c r="GX56" s="436"/>
      <c r="GY56" s="436"/>
      <c r="GZ56" s="436"/>
      <c r="HA56" s="436"/>
      <c r="HB56" s="436"/>
      <c r="HC56" s="436"/>
      <c r="HD56" s="436"/>
      <c r="HE56" s="436"/>
      <c r="HF56" s="438" t="s">
        <v>1407</v>
      </c>
      <c r="HG56" s="436"/>
      <c r="HH56" s="436"/>
      <c r="HI56" s="436"/>
      <c r="HJ56" s="436"/>
      <c r="HK56" s="436"/>
      <c r="HL56" s="436" t="s">
        <v>1403</v>
      </c>
      <c r="HM56" s="436"/>
      <c r="HN56" s="436"/>
      <c r="HO56" s="436"/>
      <c r="HP56" s="436"/>
      <c r="HQ56" s="438" t="s">
        <v>1403</v>
      </c>
      <c r="HR56" s="436"/>
      <c r="HS56" s="436"/>
      <c r="HT56" s="436"/>
      <c r="HU56" s="436"/>
      <c r="HV56" s="436"/>
      <c r="HW56" s="436"/>
      <c r="HX56" s="436"/>
    </row>
    <row r="57" spans="1:232" ht="11.55" customHeight="1">
      <c r="A57" s="413" t="s">
        <v>115</v>
      </c>
      <c r="B57" s="409"/>
      <c r="C57" s="409" t="str">
        <f>IF(ISTEXT(IFERROR(VLOOKUP(A57,职业列表!I3:J10,1,FALSE),0)),"★","")</f>
        <v/>
      </c>
      <c r="D57" s="414"/>
      <c r="E57" s="414"/>
      <c r="F57" s="414"/>
      <c r="G57" s="414"/>
      <c r="H57" s="414"/>
      <c r="I57" s="414" t="s">
        <v>1407</v>
      </c>
      <c r="J57" s="414"/>
      <c r="K57" s="414"/>
      <c r="L57" s="414"/>
      <c r="M57" s="414"/>
      <c r="N57" s="414"/>
      <c r="O57" s="414"/>
      <c r="P57" s="414"/>
      <c r="Q57" s="414"/>
      <c r="R57" s="414"/>
      <c r="S57" s="414"/>
      <c r="T57" s="414" t="s">
        <v>1414</v>
      </c>
      <c r="U57" s="414"/>
      <c r="V57" s="414"/>
      <c r="W57" s="414"/>
      <c r="X57" s="414"/>
      <c r="Y57" s="414"/>
      <c r="Z57" s="414"/>
      <c r="AA57" s="414"/>
      <c r="AB57" s="414"/>
      <c r="AC57" s="414"/>
      <c r="AD57" s="414"/>
      <c r="AE57" s="414"/>
      <c r="AF57" s="414"/>
      <c r="AG57" s="414"/>
      <c r="AH57" s="414"/>
      <c r="AI57" s="414"/>
      <c r="AJ57" s="414"/>
      <c r="AK57" s="414"/>
      <c r="AL57" s="414"/>
      <c r="AM57" s="414"/>
      <c r="AN57" s="414"/>
      <c r="AO57" s="414"/>
      <c r="AP57" s="414"/>
      <c r="AQ57" s="414"/>
      <c r="AR57" s="414"/>
      <c r="AS57" s="414"/>
      <c r="AT57" s="414" t="s">
        <v>1412</v>
      </c>
      <c r="AU57" s="414"/>
      <c r="AV57" s="414"/>
      <c r="AW57" s="414"/>
      <c r="AX57" s="414"/>
      <c r="AY57" s="414"/>
      <c r="AZ57" s="414"/>
      <c r="BA57" s="414" t="s">
        <v>1413</v>
      </c>
      <c r="BB57" s="414"/>
      <c r="BC57" s="414"/>
      <c r="BD57" s="414"/>
      <c r="BE57" s="414"/>
      <c r="BF57" s="414"/>
      <c r="BG57" s="414"/>
      <c r="BH57" s="414" t="s">
        <v>1415</v>
      </c>
      <c r="BI57" s="414"/>
      <c r="BJ57" s="414"/>
      <c r="BK57" s="414"/>
      <c r="BL57" s="414"/>
      <c r="BM57" s="414"/>
      <c r="BN57" s="414"/>
      <c r="BO57" s="414"/>
      <c r="BP57" s="414"/>
      <c r="BQ57" s="414"/>
      <c r="BR57" s="409" t="s">
        <v>93</v>
      </c>
      <c r="BS57" s="414"/>
      <c r="BT57" s="440" t="s">
        <v>1416</v>
      </c>
      <c r="BU57" s="414"/>
      <c r="BV57" s="414"/>
      <c r="BW57" s="414"/>
      <c r="BX57" s="414"/>
      <c r="BY57" s="414"/>
      <c r="BZ57" s="414"/>
      <c r="CA57" s="414"/>
      <c r="CB57" s="414"/>
      <c r="CC57" s="414"/>
      <c r="CD57" s="414" t="s">
        <v>1407</v>
      </c>
      <c r="CE57" s="414"/>
      <c r="CF57" s="414"/>
      <c r="CG57" s="414"/>
      <c r="CH57" s="414" t="s">
        <v>1417</v>
      </c>
      <c r="CI57" s="414"/>
      <c r="CJ57" s="414"/>
      <c r="CK57" s="414"/>
      <c r="CL57" s="414"/>
      <c r="CM57" s="414"/>
      <c r="CN57" s="414"/>
      <c r="CO57" s="414"/>
      <c r="CP57" s="414"/>
      <c r="CQ57" s="414"/>
      <c r="CR57" s="414"/>
      <c r="CS57" s="414" t="s">
        <v>1407</v>
      </c>
      <c r="CT57" s="414"/>
      <c r="CU57" s="414"/>
      <c r="CV57" s="414"/>
      <c r="CW57" s="414"/>
      <c r="CX57" s="414"/>
      <c r="CY57" s="409" t="s">
        <v>93</v>
      </c>
      <c r="CZ57" s="414"/>
      <c r="DA57" s="414"/>
      <c r="DB57" s="414"/>
      <c r="DC57" s="414"/>
      <c r="DD57" s="414"/>
      <c r="DE57" s="414"/>
      <c r="DF57" s="414"/>
      <c r="DG57" s="414" t="s">
        <v>1407</v>
      </c>
      <c r="DH57" s="414"/>
      <c r="DI57" s="414"/>
      <c r="DJ57" s="414"/>
      <c r="DK57" s="414"/>
      <c r="DL57" s="414"/>
      <c r="DM57" s="414" t="s">
        <v>1404</v>
      </c>
      <c r="DN57" s="409"/>
      <c r="DO57" s="409"/>
      <c r="DP57" s="409"/>
      <c r="DQ57" s="409"/>
      <c r="DR57" s="409"/>
      <c r="DS57" s="409"/>
      <c r="DT57" s="409"/>
      <c r="DU57" s="409"/>
      <c r="DV57" s="409"/>
      <c r="DW57" s="409"/>
      <c r="DX57" s="409"/>
      <c r="DY57" s="409"/>
      <c r="DZ57" s="409"/>
      <c r="EA57" s="409"/>
      <c r="EB57" s="409"/>
      <c r="EC57" s="409"/>
      <c r="ED57" s="409"/>
      <c r="EE57" s="409"/>
      <c r="EF57" s="409" t="s">
        <v>1412</v>
      </c>
      <c r="EG57" s="409" t="s">
        <v>1412</v>
      </c>
      <c r="EH57" s="409" t="s">
        <v>1412</v>
      </c>
      <c r="EI57" s="409"/>
      <c r="EJ57" s="409"/>
      <c r="EK57" s="409"/>
      <c r="EL57" s="409" t="s">
        <v>1415</v>
      </c>
      <c r="EM57" s="409"/>
      <c r="EN57" s="409"/>
      <c r="EO57" s="409"/>
      <c r="EP57" s="409"/>
      <c r="EQ57" s="409"/>
      <c r="ER57" s="409"/>
      <c r="ES57" s="409"/>
      <c r="ET57" s="409"/>
      <c r="EU57" s="409"/>
      <c r="EV57" s="409"/>
      <c r="EW57" s="409"/>
      <c r="EX57" s="409"/>
      <c r="EY57" s="409"/>
      <c r="EZ57" s="409" t="s">
        <v>1407</v>
      </c>
      <c r="FA57" s="409"/>
      <c r="FB57" s="409"/>
      <c r="FC57" s="409"/>
      <c r="FD57" s="409"/>
      <c r="FE57" s="409"/>
      <c r="FF57" s="409"/>
      <c r="FG57" s="409" t="s">
        <v>1409</v>
      </c>
      <c r="FH57" s="409"/>
      <c r="FI57" s="409"/>
      <c r="FJ57" s="409"/>
      <c r="FK57" s="409"/>
      <c r="FL57" s="409"/>
      <c r="FM57" s="409"/>
      <c r="FN57" s="409"/>
      <c r="FO57" s="409"/>
      <c r="FP57" s="409"/>
      <c r="FQ57" s="409"/>
      <c r="FR57" s="409"/>
      <c r="FS57" s="409"/>
      <c r="FT57" s="409"/>
      <c r="FU57" s="409"/>
      <c r="FV57" s="409"/>
      <c r="FW57" s="409" t="s">
        <v>1415</v>
      </c>
      <c r="FX57" s="409"/>
      <c r="FY57" s="409"/>
      <c r="FZ57" s="409"/>
      <c r="GA57" s="409"/>
      <c r="GB57" s="409"/>
      <c r="GC57" s="409"/>
      <c r="GD57" s="409"/>
      <c r="GE57" s="409"/>
      <c r="GF57" s="409"/>
      <c r="GG57" s="409"/>
      <c r="GH57" s="409"/>
      <c r="GI57" s="409"/>
      <c r="GJ57" s="409"/>
      <c r="GK57" s="409"/>
      <c r="GL57" s="409"/>
      <c r="GM57" s="409"/>
      <c r="GN57" s="409"/>
      <c r="GO57" s="409"/>
      <c r="GP57" s="409" t="s">
        <v>1407</v>
      </c>
      <c r="GQ57" s="409"/>
      <c r="GR57" s="409"/>
      <c r="GS57" s="409" t="s">
        <v>1407</v>
      </c>
      <c r="GT57" s="409"/>
      <c r="GU57" s="409"/>
      <c r="GV57" s="409"/>
      <c r="GW57" s="409"/>
      <c r="GX57" s="409"/>
      <c r="GY57" s="414"/>
      <c r="GZ57" s="414"/>
      <c r="HA57" s="414"/>
      <c r="HB57" s="414"/>
      <c r="HC57" s="414"/>
      <c r="HD57" s="414"/>
      <c r="HE57" s="414"/>
      <c r="HF57" s="414"/>
      <c r="HG57" s="414"/>
      <c r="HH57" s="414"/>
      <c r="HI57" s="414"/>
      <c r="HJ57" s="414"/>
      <c r="HK57" s="414"/>
      <c r="HL57" s="414"/>
      <c r="HM57" s="414"/>
      <c r="HN57" s="414"/>
      <c r="HO57" s="414"/>
      <c r="HP57" s="414"/>
      <c r="HQ57" s="440" t="s">
        <v>1412</v>
      </c>
      <c r="HR57" s="414"/>
      <c r="HS57" s="414"/>
      <c r="HT57" s="414"/>
      <c r="HU57" s="414"/>
      <c r="HV57" s="414"/>
      <c r="HW57" s="414"/>
      <c r="HX57" s="414"/>
    </row>
    <row r="58" spans="1:232" ht="11.55" customHeight="1">
      <c r="A58" s="413" t="s">
        <v>117</v>
      </c>
      <c r="B58" s="409"/>
      <c r="C58" s="409" t="str">
        <f>IF(ISTEXT(IFERROR(VLOOKUP(A58,职业列表!I3:J10,1,FALSE),0)),"★","")</f>
        <v/>
      </c>
      <c r="D58" s="414"/>
      <c r="E58" s="414"/>
      <c r="F58" s="414"/>
      <c r="G58" s="414"/>
      <c r="H58" s="414"/>
      <c r="I58" s="414"/>
      <c r="J58" s="414"/>
      <c r="K58" s="414"/>
      <c r="L58" s="414"/>
      <c r="M58" s="414"/>
      <c r="N58" s="414"/>
      <c r="O58" s="414"/>
      <c r="P58" s="414"/>
      <c r="Q58" s="414"/>
      <c r="R58" s="414"/>
      <c r="S58" s="414"/>
      <c r="T58" s="414"/>
      <c r="U58" s="414"/>
      <c r="V58" s="414"/>
      <c r="W58" s="414"/>
      <c r="X58" s="414"/>
      <c r="Y58" s="414"/>
      <c r="Z58" s="414"/>
      <c r="AA58" s="414"/>
      <c r="AB58" s="414"/>
      <c r="AC58" s="414"/>
      <c r="AD58" s="414"/>
      <c r="AE58" s="414"/>
      <c r="AF58" s="414"/>
      <c r="AG58" s="414"/>
      <c r="AH58" s="414"/>
      <c r="AI58" s="414"/>
      <c r="AJ58" s="414"/>
      <c r="AK58" s="414"/>
      <c r="AL58" s="414"/>
      <c r="AM58" s="414"/>
      <c r="AN58" s="414"/>
      <c r="AO58" s="414"/>
      <c r="AP58" s="414"/>
      <c r="AQ58" s="414"/>
      <c r="AR58" s="414"/>
      <c r="AS58" s="414"/>
      <c r="AT58" s="414"/>
      <c r="AU58" s="414"/>
      <c r="AV58" s="414"/>
      <c r="AW58" s="414"/>
      <c r="AX58" s="414"/>
      <c r="AY58" s="414"/>
      <c r="AZ58" s="414"/>
      <c r="BA58" s="414"/>
      <c r="BB58" s="414"/>
      <c r="BC58" s="414"/>
      <c r="BD58" s="414"/>
      <c r="BE58" s="414"/>
      <c r="BF58" s="414"/>
      <c r="BG58" s="414"/>
      <c r="BH58" s="414" t="s">
        <v>1412</v>
      </c>
      <c r="BI58" s="414"/>
      <c r="BJ58" s="414"/>
      <c r="BK58" s="414"/>
      <c r="BL58" s="414"/>
      <c r="BM58" s="414"/>
      <c r="BN58" s="414"/>
      <c r="BO58" s="414"/>
      <c r="BP58" s="414"/>
      <c r="BQ58" s="414"/>
      <c r="BR58" s="409" t="s">
        <v>93</v>
      </c>
      <c r="BS58" s="414"/>
      <c r="BT58" s="414"/>
      <c r="BU58" s="414"/>
      <c r="BV58" s="414"/>
      <c r="BW58" s="414"/>
      <c r="BX58" s="414"/>
      <c r="BY58" s="414"/>
      <c r="BZ58" s="414"/>
      <c r="CA58" s="414"/>
      <c r="CB58" s="414"/>
      <c r="CC58" s="414"/>
      <c r="CD58" s="414"/>
      <c r="CE58" s="414"/>
      <c r="CF58" s="414"/>
      <c r="CG58" s="414"/>
      <c r="CH58" s="414"/>
      <c r="CI58" s="414"/>
      <c r="CJ58" s="414"/>
      <c r="CK58" s="414"/>
      <c r="CL58" s="414"/>
      <c r="CM58" s="414"/>
      <c r="CN58" s="414"/>
      <c r="CO58" s="414"/>
      <c r="CP58" s="414"/>
      <c r="CQ58" s="414"/>
      <c r="CR58" s="414"/>
      <c r="CS58" s="414"/>
      <c r="CT58" s="414"/>
      <c r="CU58" s="414"/>
      <c r="CV58" s="414"/>
      <c r="CW58" s="414"/>
      <c r="CX58" s="414"/>
      <c r="CY58" s="409" t="s">
        <v>93</v>
      </c>
      <c r="CZ58" s="414"/>
      <c r="DA58" s="414"/>
      <c r="DB58" s="414"/>
      <c r="DC58" s="414"/>
      <c r="DD58" s="414"/>
      <c r="DE58" s="414"/>
      <c r="DF58" s="414"/>
      <c r="DG58" s="414"/>
      <c r="DH58" s="414"/>
      <c r="DI58" s="414"/>
      <c r="DJ58" s="414"/>
      <c r="DK58" s="414"/>
      <c r="DL58" s="414"/>
      <c r="DM58" s="414"/>
      <c r="DN58" s="409"/>
      <c r="DO58" s="409"/>
      <c r="DP58" s="409"/>
      <c r="DQ58" s="409"/>
      <c r="DR58" s="409"/>
      <c r="DS58" s="409"/>
      <c r="DT58" s="409"/>
      <c r="DU58" s="409"/>
      <c r="DV58" s="409"/>
      <c r="DW58" s="409"/>
      <c r="DX58" s="409"/>
      <c r="DY58" s="409"/>
      <c r="DZ58" s="409"/>
      <c r="EA58" s="409"/>
      <c r="EB58" s="409"/>
      <c r="EC58" s="409"/>
      <c r="ED58" s="409"/>
      <c r="EE58" s="409"/>
      <c r="EF58" s="409"/>
      <c r="EG58" s="409"/>
      <c r="EH58" s="409"/>
      <c r="EI58" s="409"/>
      <c r="EJ58" s="409"/>
      <c r="EK58" s="409"/>
      <c r="EL58" s="409" t="s">
        <v>1412</v>
      </c>
      <c r="EM58" s="409"/>
      <c r="EN58" s="409"/>
      <c r="EO58" s="409"/>
      <c r="EP58" s="409"/>
      <c r="EQ58" s="409"/>
      <c r="ER58" s="409"/>
      <c r="ES58" s="409"/>
      <c r="ET58" s="409"/>
      <c r="EU58" s="409"/>
      <c r="EV58" s="409"/>
      <c r="EW58" s="409"/>
      <c r="EX58" s="409"/>
      <c r="EY58" s="409"/>
      <c r="EZ58" s="409" t="s">
        <v>1412</v>
      </c>
      <c r="FA58" s="409"/>
      <c r="FB58" s="409"/>
      <c r="FC58" s="409"/>
      <c r="FD58" s="409"/>
      <c r="FE58" s="409"/>
      <c r="FF58" s="409"/>
      <c r="FG58" s="409"/>
      <c r="FH58" s="409"/>
      <c r="FI58" s="409"/>
      <c r="FJ58" s="409"/>
      <c r="FK58" s="409"/>
      <c r="FL58" s="409"/>
      <c r="FM58" s="409"/>
      <c r="FN58" s="409"/>
      <c r="FO58" s="409"/>
      <c r="FP58" s="409"/>
      <c r="FQ58" s="409"/>
      <c r="FR58" s="409"/>
      <c r="FS58" s="409"/>
      <c r="FT58" s="409"/>
      <c r="FU58" s="409"/>
      <c r="FV58" s="409"/>
      <c r="FW58" s="409" t="s">
        <v>1412</v>
      </c>
      <c r="FX58" s="409"/>
      <c r="FY58" s="409"/>
      <c r="FZ58" s="409"/>
      <c r="GA58" s="409"/>
      <c r="GB58" s="409"/>
      <c r="GC58" s="409"/>
      <c r="GD58" s="409"/>
      <c r="GE58" s="409"/>
      <c r="GF58" s="409"/>
      <c r="GG58" s="409"/>
      <c r="GH58" s="409"/>
      <c r="GI58" s="409"/>
      <c r="GJ58" s="409"/>
      <c r="GK58" s="409"/>
      <c r="GL58" s="409"/>
      <c r="GM58" s="409"/>
      <c r="GN58" s="409"/>
      <c r="GO58" s="409"/>
      <c r="GP58" s="409" t="s">
        <v>1403</v>
      </c>
      <c r="GQ58" s="409"/>
      <c r="GR58" s="409"/>
      <c r="GS58" s="409"/>
      <c r="GT58" s="409"/>
      <c r="GU58" s="409"/>
      <c r="GV58" s="409"/>
      <c r="GW58" s="409"/>
      <c r="GX58" s="409"/>
      <c r="GY58" s="414"/>
      <c r="GZ58" s="414"/>
      <c r="HA58" s="414"/>
      <c r="HB58" s="414"/>
      <c r="HC58" s="414"/>
      <c r="HD58" s="414"/>
      <c r="HE58" s="414"/>
      <c r="HF58" s="414"/>
      <c r="HG58" s="414"/>
      <c r="HH58" s="414"/>
      <c r="HI58" s="414"/>
      <c r="HJ58" s="414"/>
      <c r="HK58" s="414"/>
      <c r="HL58" s="414"/>
      <c r="HM58" s="414"/>
      <c r="HN58" s="414"/>
      <c r="HO58" s="414"/>
      <c r="HP58" s="414"/>
      <c r="HQ58" s="414"/>
      <c r="HR58" s="414"/>
      <c r="HS58" s="414"/>
      <c r="HT58" s="414"/>
      <c r="HU58" s="414"/>
      <c r="HV58" s="414"/>
      <c r="HW58" s="414"/>
      <c r="HX58" s="414"/>
    </row>
    <row r="59" spans="1:232" ht="11.55" customHeight="1">
      <c r="A59" s="432" t="s">
        <v>121</v>
      </c>
      <c r="B59" s="409"/>
      <c r="C59" s="409" t="str">
        <f>IF(ISTEXT(IFERROR(VLOOKUP(A59,职业列表!I3:J10,1,FALSE),0)),"★","")</f>
        <v/>
      </c>
      <c r="D59" s="409"/>
      <c r="E59" s="409"/>
      <c r="F59" s="409"/>
      <c r="G59" s="409"/>
      <c r="H59" s="409"/>
      <c r="I59" s="409"/>
      <c r="J59" s="409"/>
      <c r="K59" s="409"/>
      <c r="L59" s="409"/>
      <c r="M59" s="409"/>
      <c r="N59" s="409"/>
      <c r="O59" s="409"/>
      <c r="P59" s="409"/>
      <c r="Q59" s="409"/>
      <c r="R59" s="409"/>
      <c r="S59" s="409"/>
      <c r="T59" s="409"/>
      <c r="U59" s="409"/>
      <c r="V59" s="409"/>
      <c r="W59" s="409"/>
      <c r="X59" s="409"/>
      <c r="Y59" s="409"/>
      <c r="Z59" s="409"/>
      <c r="AA59" s="409"/>
      <c r="AB59" s="409"/>
      <c r="AC59" s="409"/>
      <c r="AD59" s="409"/>
      <c r="AE59" s="409"/>
      <c r="AF59" s="409"/>
      <c r="AG59" s="409" t="s">
        <v>93</v>
      </c>
      <c r="AH59" s="409" t="s">
        <v>93</v>
      </c>
      <c r="AI59" s="409"/>
      <c r="AJ59" s="409"/>
      <c r="AK59" s="409"/>
      <c r="AL59" s="409" t="s">
        <v>93</v>
      </c>
      <c r="AM59" s="409" t="s">
        <v>93</v>
      </c>
      <c r="AN59" s="409" t="s">
        <v>93</v>
      </c>
      <c r="AO59" s="409"/>
      <c r="AP59" s="409"/>
      <c r="AQ59" s="409"/>
      <c r="AR59" s="409"/>
      <c r="AS59" s="409"/>
      <c r="AT59" s="409"/>
      <c r="AU59" s="409"/>
      <c r="AV59" s="409"/>
      <c r="AW59" s="409"/>
      <c r="AX59" s="409"/>
      <c r="AY59" s="409"/>
      <c r="AZ59" s="409"/>
      <c r="BA59" s="409"/>
      <c r="BB59" s="409"/>
      <c r="BC59" s="409"/>
      <c r="BD59" s="409"/>
      <c r="BE59" s="409"/>
      <c r="BF59" s="409"/>
      <c r="BG59" s="409"/>
      <c r="BH59" s="409"/>
      <c r="BI59" s="409" t="s">
        <v>93</v>
      </c>
      <c r="BJ59" s="409"/>
      <c r="BK59" s="409"/>
      <c r="BL59" s="409"/>
      <c r="BM59" s="410" t="s">
        <v>1355</v>
      </c>
      <c r="BN59" s="409"/>
      <c r="BO59" s="409"/>
      <c r="BP59" s="409"/>
      <c r="BQ59" s="409"/>
      <c r="BR59" s="409"/>
      <c r="BS59" s="409"/>
      <c r="BT59" s="409"/>
      <c r="BU59" s="409"/>
      <c r="BV59" s="409"/>
      <c r="BW59" s="409"/>
      <c r="BX59" s="409"/>
      <c r="BY59" s="409"/>
      <c r="BZ59" s="409"/>
      <c r="CA59" s="409"/>
      <c r="CB59" s="409"/>
      <c r="CC59" s="409"/>
      <c r="CD59" s="409"/>
      <c r="CE59" s="409"/>
      <c r="CF59" s="409"/>
      <c r="CG59" s="409"/>
      <c r="CH59" s="409"/>
      <c r="CI59" s="409"/>
      <c r="CJ59" s="409"/>
      <c r="CK59" s="409"/>
      <c r="CL59" s="409"/>
      <c r="CM59" s="409"/>
      <c r="CN59" s="409"/>
      <c r="CO59" s="409"/>
      <c r="CP59" s="409"/>
      <c r="CQ59" s="409"/>
      <c r="CR59" s="409" t="s">
        <v>93</v>
      </c>
      <c r="CS59" s="409"/>
      <c r="CT59" s="409"/>
      <c r="CU59" s="409"/>
      <c r="CV59" s="409"/>
      <c r="CW59" s="409"/>
      <c r="CX59" s="409" t="s">
        <v>1355</v>
      </c>
      <c r="CY59" s="409"/>
      <c r="CZ59" s="409"/>
      <c r="DA59" s="409"/>
      <c r="DB59" s="409"/>
      <c r="DC59" s="409" t="s">
        <v>93</v>
      </c>
      <c r="DD59" s="409"/>
      <c r="DE59" s="409"/>
      <c r="DF59" s="409"/>
      <c r="DG59" s="409"/>
      <c r="DH59" s="409"/>
      <c r="DI59" s="409"/>
      <c r="DJ59" s="409"/>
      <c r="DK59" s="409"/>
      <c r="DL59" s="409"/>
      <c r="DM59" s="409"/>
      <c r="DN59" s="409"/>
      <c r="DO59" s="409"/>
      <c r="DP59" s="409"/>
      <c r="DQ59" s="409"/>
      <c r="DR59" s="409"/>
      <c r="DS59" s="409"/>
      <c r="DT59" s="409"/>
      <c r="DU59" s="409"/>
      <c r="DV59" s="409"/>
      <c r="DW59" s="409"/>
      <c r="DX59" s="409"/>
      <c r="DY59" s="409"/>
      <c r="DZ59" s="409"/>
      <c r="EA59" s="409" t="s">
        <v>93</v>
      </c>
      <c r="EB59" s="409"/>
      <c r="EC59" s="409" t="s">
        <v>93</v>
      </c>
      <c r="ED59" s="409"/>
      <c r="EE59" s="409"/>
      <c r="EF59" s="409"/>
      <c r="EG59" s="409"/>
      <c r="EH59" s="409"/>
      <c r="EI59" s="409"/>
      <c r="EJ59" s="409"/>
      <c r="EK59" s="409"/>
      <c r="EL59" s="409"/>
      <c r="EM59" s="409"/>
      <c r="EN59" s="409"/>
      <c r="EO59" s="409"/>
      <c r="EP59" s="409"/>
      <c r="EQ59" s="409"/>
      <c r="ER59" s="409" t="s">
        <v>1355</v>
      </c>
      <c r="ES59" s="409"/>
      <c r="ET59" s="409"/>
      <c r="EU59" s="409"/>
      <c r="EV59" s="409"/>
      <c r="EW59" s="409"/>
      <c r="EX59" s="409"/>
      <c r="EY59" s="409"/>
      <c r="EZ59" s="409"/>
      <c r="FA59" s="409"/>
      <c r="FB59" s="409"/>
      <c r="FC59" s="409"/>
      <c r="FD59" s="409"/>
      <c r="FE59" s="409"/>
      <c r="FF59" s="409"/>
      <c r="FG59" s="409"/>
      <c r="FH59" s="409"/>
      <c r="FI59" s="409"/>
      <c r="FJ59" s="410"/>
      <c r="FK59" s="409"/>
      <c r="FL59" s="409"/>
      <c r="FM59" s="409"/>
      <c r="FN59" s="409" t="s">
        <v>93</v>
      </c>
      <c r="FO59" s="409"/>
      <c r="FP59" s="409"/>
      <c r="FQ59" s="409"/>
      <c r="FR59" s="409"/>
      <c r="FS59" s="409"/>
      <c r="FT59" s="409"/>
      <c r="FU59" s="409"/>
      <c r="FV59" s="409"/>
      <c r="FW59" s="409"/>
      <c r="FX59" s="409"/>
      <c r="FY59" s="409"/>
      <c r="FZ59" s="409"/>
      <c r="GA59" s="409"/>
      <c r="GB59" s="409"/>
      <c r="GC59" s="409"/>
      <c r="GD59" s="409"/>
      <c r="GE59" s="409"/>
      <c r="GF59" s="409"/>
      <c r="GG59" s="409"/>
      <c r="GH59" s="409"/>
      <c r="GI59" s="409"/>
      <c r="GJ59" s="409"/>
      <c r="GK59" s="409"/>
      <c r="GL59" s="409"/>
      <c r="GM59" s="409"/>
      <c r="GN59" s="409"/>
      <c r="GO59" s="409"/>
      <c r="GP59" s="409"/>
      <c r="GQ59" s="409"/>
      <c r="GR59" s="409"/>
      <c r="GS59" s="409"/>
      <c r="GT59" s="409"/>
      <c r="GU59" s="409"/>
      <c r="GV59" s="409"/>
      <c r="GW59" s="409"/>
      <c r="GX59" s="409"/>
      <c r="GY59" s="409"/>
      <c r="GZ59" s="409"/>
      <c r="HA59" s="409"/>
      <c r="HB59" s="409"/>
      <c r="HC59" s="409"/>
      <c r="HD59" s="409"/>
      <c r="HE59" s="409"/>
      <c r="HF59" s="409"/>
      <c r="HG59" s="409"/>
      <c r="HH59" s="409"/>
      <c r="HI59" s="409"/>
      <c r="HJ59" s="409"/>
      <c r="HK59" s="409"/>
      <c r="HL59" s="409"/>
      <c r="HM59" s="409"/>
      <c r="HN59" s="409"/>
      <c r="HO59" s="409"/>
      <c r="HP59" s="409"/>
      <c r="HQ59" s="409"/>
      <c r="HR59" s="409"/>
      <c r="HS59" s="409"/>
      <c r="HT59" s="409"/>
      <c r="HU59" s="409"/>
      <c r="HV59" s="409"/>
      <c r="HW59" s="409"/>
      <c r="HX59" s="409"/>
    </row>
    <row r="60" spans="1:232" s="398" customFormat="1" ht="11.55" customHeight="1">
      <c r="A60" s="437" t="s">
        <v>123</v>
      </c>
      <c r="B60" s="430"/>
      <c r="C60" s="409" t="str">
        <f>IF(ISTEXT(IFERROR(VLOOKUP(A60,职业列表!I3:J10,1,FALSE),0)),"★","")</f>
        <v/>
      </c>
      <c r="D60" s="430" t="s">
        <v>93</v>
      </c>
      <c r="E60" s="430" t="s">
        <v>93</v>
      </c>
      <c r="F60" s="430"/>
      <c r="G60" s="430"/>
      <c r="H60" s="430"/>
      <c r="I60" s="430"/>
      <c r="J60" s="430"/>
      <c r="K60" s="430" t="s">
        <v>93</v>
      </c>
      <c r="L60" s="430"/>
      <c r="M60" s="430" t="s">
        <v>93</v>
      </c>
      <c r="N60" s="430"/>
      <c r="O60" s="430" t="s">
        <v>93</v>
      </c>
      <c r="P60" s="430"/>
      <c r="Q60" s="430"/>
      <c r="R60" s="430"/>
      <c r="S60" s="430" t="s">
        <v>93</v>
      </c>
      <c r="T60" s="430" t="s">
        <v>1355</v>
      </c>
      <c r="U60" s="430"/>
      <c r="V60" s="430"/>
      <c r="W60" s="430" t="s">
        <v>93</v>
      </c>
      <c r="X60" s="430" t="s">
        <v>93</v>
      </c>
      <c r="Y60" s="430"/>
      <c r="Z60" s="430" t="s">
        <v>93</v>
      </c>
      <c r="AA60" s="430" t="s">
        <v>93</v>
      </c>
      <c r="AB60" s="430"/>
      <c r="AC60" s="441" t="s">
        <v>93</v>
      </c>
      <c r="AD60" s="430"/>
      <c r="AE60" s="430"/>
      <c r="AF60" s="430" t="s">
        <v>93</v>
      </c>
      <c r="AG60" s="430" t="s">
        <v>93</v>
      </c>
      <c r="AH60" s="430"/>
      <c r="AI60" s="430" t="s">
        <v>93</v>
      </c>
      <c r="AJ60" s="430"/>
      <c r="AK60" s="430" t="s">
        <v>93</v>
      </c>
      <c r="AL60" s="430" t="s">
        <v>93</v>
      </c>
      <c r="AM60" s="430" t="s">
        <v>93</v>
      </c>
      <c r="AN60" s="430"/>
      <c r="AO60" s="430" t="s">
        <v>93</v>
      </c>
      <c r="AP60" s="430"/>
      <c r="AQ60" s="430" t="s">
        <v>93</v>
      </c>
      <c r="AR60" s="430"/>
      <c r="AS60" s="430" t="s">
        <v>93</v>
      </c>
      <c r="AT60" s="430"/>
      <c r="AU60" s="430"/>
      <c r="AV60" s="430" t="s">
        <v>93</v>
      </c>
      <c r="AW60" s="430"/>
      <c r="AX60" s="430" t="s">
        <v>93</v>
      </c>
      <c r="AY60" s="430" t="s">
        <v>93</v>
      </c>
      <c r="AZ60" s="430"/>
      <c r="BA60" s="430"/>
      <c r="BB60" s="430"/>
      <c r="BC60" s="430"/>
      <c r="BD60" s="430"/>
      <c r="BE60" s="430" t="s">
        <v>93</v>
      </c>
      <c r="BF60" s="430"/>
      <c r="BG60" s="430"/>
      <c r="BH60" s="430" t="s">
        <v>93</v>
      </c>
      <c r="BI60" s="430" t="s">
        <v>93</v>
      </c>
      <c r="BJ60" s="430" t="s">
        <v>93</v>
      </c>
      <c r="BK60" s="430"/>
      <c r="BL60" s="430"/>
      <c r="BM60" s="430"/>
      <c r="BN60" s="430"/>
      <c r="BO60" s="448"/>
      <c r="BP60" s="430" t="s">
        <v>93</v>
      </c>
      <c r="BQ60" s="430"/>
      <c r="BR60" s="430" t="s">
        <v>93</v>
      </c>
      <c r="BS60" s="430"/>
      <c r="BT60" s="430"/>
      <c r="BU60" s="430" t="s">
        <v>93</v>
      </c>
      <c r="BV60" s="430"/>
      <c r="BW60" s="430"/>
      <c r="BX60" s="430"/>
      <c r="BY60" s="430"/>
      <c r="BZ60" s="430"/>
      <c r="CA60" s="430"/>
      <c r="CB60" s="430" t="s">
        <v>93</v>
      </c>
      <c r="CC60" s="430"/>
      <c r="CD60" s="430" t="s">
        <v>93</v>
      </c>
      <c r="CE60" s="430"/>
      <c r="CF60" s="430" t="s">
        <v>93</v>
      </c>
      <c r="CG60" s="430"/>
      <c r="CH60" s="430"/>
      <c r="CI60" s="430" t="s">
        <v>93</v>
      </c>
      <c r="CJ60" s="430"/>
      <c r="CK60" s="430"/>
      <c r="CL60" s="430" t="s">
        <v>93</v>
      </c>
      <c r="CM60" s="430" t="s">
        <v>93</v>
      </c>
      <c r="CN60" s="430" t="s">
        <v>93</v>
      </c>
      <c r="CO60" s="430" t="s">
        <v>93</v>
      </c>
      <c r="CP60" s="430"/>
      <c r="CQ60" s="430" t="s">
        <v>93</v>
      </c>
      <c r="CR60" s="430"/>
      <c r="CS60" s="430"/>
      <c r="CT60" s="430"/>
      <c r="CU60" s="430" t="s">
        <v>93</v>
      </c>
      <c r="CV60" s="430"/>
      <c r="CW60" s="430" t="s">
        <v>93</v>
      </c>
      <c r="CX60" s="430"/>
      <c r="CY60" s="430" t="s">
        <v>93</v>
      </c>
      <c r="CZ60" s="430"/>
      <c r="DA60" s="430" t="s">
        <v>93</v>
      </c>
      <c r="DB60" s="430"/>
      <c r="DC60" s="430"/>
      <c r="DD60" s="430"/>
      <c r="DE60" s="430"/>
      <c r="DF60" s="430" t="s">
        <v>93</v>
      </c>
      <c r="DG60" s="430"/>
      <c r="DH60" s="430"/>
      <c r="DI60" s="430"/>
      <c r="DJ60" s="430"/>
      <c r="DK60" s="430"/>
      <c r="DL60" s="430"/>
      <c r="DM60" s="430"/>
      <c r="DN60" s="430"/>
      <c r="DO60" s="430"/>
      <c r="DP60" s="430"/>
      <c r="DQ60" s="430" t="s">
        <v>93</v>
      </c>
      <c r="DR60" s="430"/>
      <c r="DS60" s="430"/>
      <c r="DT60" s="430"/>
      <c r="DU60" s="430"/>
      <c r="DV60" s="430"/>
      <c r="DW60" s="430"/>
      <c r="DX60" s="430"/>
      <c r="DY60" s="430"/>
      <c r="DZ60" s="430"/>
      <c r="EA60" s="430" t="s">
        <v>93</v>
      </c>
      <c r="EB60" s="430" t="s">
        <v>93</v>
      </c>
      <c r="EC60" s="430" t="s">
        <v>93</v>
      </c>
      <c r="ED60" s="430" t="s">
        <v>93</v>
      </c>
      <c r="EE60" s="430"/>
      <c r="EF60" s="430"/>
      <c r="EG60" s="430"/>
      <c r="EH60" s="430"/>
      <c r="EI60" s="430"/>
      <c r="EJ60" s="430"/>
      <c r="EK60" s="430"/>
      <c r="EL60" s="430" t="s">
        <v>93</v>
      </c>
      <c r="EM60" s="430"/>
      <c r="EN60" s="430"/>
      <c r="EO60" s="430"/>
      <c r="EP60" s="430" t="s">
        <v>93</v>
      </c>
      <c r="EQ60" s="430"/>
      <c r="ER60" s="430"/>
      <c r="ES60" s="430"/>
      <c r="ET60" s="430"/>
      <c r="EU60" s="430"/>
      <c r="EV60" s="430"/>
      <c r="EW60" s="430" t="s">
        <v>93</v>
      </c>
      <c r="EX60" s="430"/>
      <c r="EY60" s="430" t="s">
        <v>93</v>
      </c>
      <c r="EZ60" s="430"/>
      <c r="FA60" s="430" t="s">
        <v>93</v>
      </c>
      <c r="FB60" s="430" t="s">
        <v>93</v>
      </c>
      <c r="FC60" s="430"/>
      <c r="FD60" s="430"/>
      <c r="FE60" s="430"/>
      <c r="FF60" s="430"/>
      <c r="FG60" s="430"/>
      <c r="FH60" s="430"/>
      <c r="FI60" s="430"/>
      <c r="FJ60" s="430"/>
      <c r="FK60" s="430"/>
      <c r="FL60" s="430"/>
      <c r="FM60" s="430"/>
      <c r="FN60" s="430" t="s">
        <v>93</v>
      </c>
      <c r="FO60" s="430" t="s">
        <v>93</v>
      </c>
      <c r="FP60" s="430" t="s">
        <v>93</v>
      </c>
      <c r="FQ60" s="430"/>
      <c r="FR60" s="430"/>
      <c r="FS60" s="430"/>
      <c r="FT60" s="430"/>
      <c r="FU60" s="430"/>
      <c r="FV60" s="430"/>
      <c r="FW60" s="430" t="s">
        <v>93</v>
      </c>
      <c r="FX60" s="430"/>
      <c r="FY60" s="430"/>
      <c r="FZ60" s="430" t="s">
        <v>93</v>
      </c>
      <c r="GA60" s="430"/>
      <c r="GB60" s="430" t="s">
        <v>93</v>
      </c>
      <c r="GC60" s="430"/>
      <c r="GD60" s="430"/>
      <c r="GE60" s="430"/>
      <c r="GF60" s="430"/>
      <c r="GG60" s="430"/>
      <c r="GH60" s="430"/>
      <c r="GI60" s="430"/>
      <c r="GJ60" s="430" t="s">
        <v>93</v>
      </c>
      <c r="GK60" s="430"/>
      <c r="GL60" s="430"/>
      <c r="GM60" s="430"/>
      <c r="GN60" s="430"/>
      <c r="GO60" s="430"/>
      <c r="GP60" s="430"/>
      <c r="GQ60" s="430"/>
      <c r="GR60" s="430"/>
      <c r="GS60" s="430" t="s">
        <v>93</v>
      </c>
      <c r="GT60" s="430" t="s">
        <v>93</v>
      </c>
      <c r="GU60" s="430"/>
      <c r="GV60" s="430"/>
      <c r="GW60" s="430" t="s">
        <v>93</v>
      </c>
      <c r="GX60" s="430"/>
      <c r="GY60" s="430"/>
      <c r="GZ60" s="430" t="s">
        <v>93</v>
      </c>
      <c r="HA60" s="430"/>
      <c r="HB60" s="430" t="s">
        <v>93</v>
      </c>
      <c r="HC60" s="430"/>
      <c r="HD60" s="430"/>
      <c r="HE60" s="430"/>
      <c r="HF60" s="430" t="s">
        <v>93</v>
      </c>
      <c r="HG60" s="430" t="s">
        <v>93</v>
      </c>
      <c r="HH60" s="430"/>
      <c r="HI60" s="430"/>
      <c r="HJ60" s="430"/>
      <c r="HK60" s="430" t="s">
        <v>93</v>
      </c>
      <c r="HL60" s="430" t="s">
        <v>93</v>
      </c>
      <c r="HM60" s="430" t="s">
        <v>93</v>
      </c>
      <c r="HN60" s="430" t="s">
        <v>93</v>
      </c>
      <c r="HO60" s="430"/>
      <c r="HP60" s="430"/>
      <c r="HQ60" s="430"/>
      <c r="HR60" s="430" t="s">
        <v>93</v>
      </c>
      <c r="HS60" s="430"/>
      <c r="HT60" s="430" t="s">
        <v>93</v>
      </c>
      <c r="HU60" s="430"/>
      <c r="HV60" s="430" t="s">
        <v>93</v>
      </c>
      <c r="HW60" s="430" t="s">
        <v>93</v>
      </c>
      <c r="HX60" s="430" t="s">
        <v>93</v>
      </c>
    </row>
    <row r="61" spans="1:232" ht="11.55" customHeight="1">
      <c r="A61" s="432" t="s">
        <v>127</v>
      </c>
      <c r="B61" s="409"/>
      <c r="C61" s="409" t="str">
        <f>IF(ISTEXT(IFERROR(VLOOKUP(A61,职业列表!I3:J10,1,FALSE),0)),"★","")</f>
        <v/>
      </c>
      <c r="D61" s="409"/>
      <c r="E61" s="409"/>
      <c r="F61" s="409"/>
      <c r="G61" s="409"/>
      <c r="H61" s="409" t="s">
        <v>93</v>
      </c>
      <c r="I61" s="409"/>
      <c r="J61" s="409" t="s">
        <v>93</v>
      </c>
      <c r="K61" s="409"/>
      <c r="L61" s="409"/>
      <c r="M61" s="409"/>
      <c r="N61" s="409"/>
      <c r="O61" s="409"/>
      <c r="P61" s="409" t="s">
        <v>93</v>
      </c>
      <c r="Q61" s="409"/>
      <c r="R61" s="409"/>
      <c r="S61" s="409"/>
      <c r="T61" s="409" t="s">
        <v>93</v>
      </c>
      <c r="U61" s="409"/>
      <c r="V61" s="409" t="s">
        <v>93</v>
      </c>
      <c r="W61" s="409"/>
      <c r="X61" s="409"/>
      <c r="Y61" s="409"/>
      <c r="Z61" s="409"/>
      <c r="AA61" s="409"/>
      <c r="AB61" s="409"/>
      <c r="AC61" s="409"/>
      <c r="AD61" s="409" t="s">
        <v>93</v>
      </c>
      <c r="AE61" s="409"/>
      <c r="AF61" s="409" t="s">
        <v>93</v>
      </c>
      <c r="AG61" s="409" t="s">
        <v>93</v>
      </c>
      <c r="AH61" s="409"/>
      <c r="AI61" s="409" t="s">
        <v>93</v>
      </c>
      <c r="AJ61" s="409" t="s">
        <v>93</v>
      </c>
      <c r="AK61" s="409"/>
      <c r="AL61" s="409"/>
      <c r="AM61" s="409"/>
      <c r="AN61" s="409" t="s">
        <v>93</v>
      </c>
      <c r="AO61" s="409"/>
      <c r="AP61" s="409" t="s">
        <v>93</v>
      </c>
      <c r="AQ61" s="409"/>
      <c r="AR61" s="409"/>
      <c r="AS61" s="409"/>
      <c r="AT61" s="409"/>
      <c r="AU61" s="409" t="s">
        <v>93</v>
      </c>
      <c r="AV61" s="409"/>
      <c r="AW61" s="409"/>
      <c r="AX61" s="409"/>
      <c r="AY61" s="409"/>
      <c r="AZ61" s="409"/>
      <c r="BA61" s="409"/>
      <c r="BB61" s="409"/>
      <c r="BC61" s="409"/>
      <c r="BD61" s="409"/>
      <c r="BE61" s="409" t="s">
        <v>93</v>
      </c>
      <c r="BF61" s="409"/>
      <c r="BG61" s="409"/>
      <c r="BH61" s="409"/>
      <c r="BI61" s="409"/>
      <c r="BJ61" s="409"/>
      <c r="BK61" s="409"/>
      <c r="BL61" s="409"/>
      <c r="BM61" s="409" t="s">
        <v>93</v>
      </c>
      <c r="BN61" s="409" t="s">
        <v>93</v>
      </c>
      <c r="BO61" s="414"/>
      <c r="BP61" s="409" t="s">
        <v>93</v>
      </c>
      <c r="BQ61" s="409"/>
      <c r="BR61" s="409"/>
      <c r="BS61" s="409"/>
      <c r="BT61" s="409"/>
      <c r="BU61" s="409" t="s">
        <v>93</v>
      </c>
      <c r="BV61" s="409"/>
      <c r="BW61" s="409"/>
      <c r="BX61" s="409"/>
      <c r="BY61" s="409"/>
      <c r="BZ61" s="409"/>
      <c r="CA61" s="409"/>
      <c r="CB61" s="409"/>
      <c r="CC61" s="409"/>
      <c r="CD61" s="409"/>
      <c r="CE61" s="409"/>
      <c r="CF61" s="409"/>
      <c r="CG61" s="409"/>
      <c r="CH61" s="409"/>
      <c r="CI61" s="409" t="s">
        <v>93</v>
      </c>
      <c r="CJ61" s="409"/>
      <c r="CK61" s="409"/>
      <c r="CL61" s="409"/>
      <c r="CM61" s="409"/>
      <c r="CN61" s="409"/>
      <c r="CO61" s="409"/>
      <c r="CP61" s="409"/>
      <c r="CQ61" s="409"/>
      <c r="CR61" s="409" t="s">
        <v>93</v>
      </c>
      <c r="CS61" s="409"/>
      <c r="CT61" s="409"/>
      <c r="CU61" s="409"/>
      <c r="CV61" s="409"/>
      <c r="CW61" s="409"/>
      <c r="CX61" s="409" t="s">
        <v>1355</v>
      </c>
      <c r="CY61" s="409"/>
      <c r="CZ61" s="409"/>
      <c r="DA61" s="409"/>
      <c r="DB61" s="409" t="s">
        <v>93</v>
      </c>
      <c r="DC61" s="409" t="s">
        <v>93</v>
      </c>
      <c r="DD61" s="409"/>
      <c r="DE61" s="409"/>
      <c r="DF61" s="409"/>
      <c r="DG61" s="409"/>
      <c r="DH61" s="409"/>
      <c r="DI61" s="409"/>
      <c r="DJ61" s="409"/>
      <c r="DK61" s="409"/>
      <c r="DL61" s="409" t="s">
        <v>93</v>
      </c>
      <c r="DM61" s="409"/>
      <c r="DN61" s="409"/>
      <c r="DO61" s="409"/>
      <c r="DP61" s="409"/>
      <c r="DQ61" s="409"/>
      <c r="DR61" s="409"/>
      <c r="DS61" s="409"/>
      <c r="DT61" s="409"/>
      <c r="DU61" s="409"/>
      <c r="DV61" s="409"/>
      <c r="DW61" s="409"/>
      <c r="DX61" s="409" t="s">
        <v>93</v>
      </c>
      <c r="DY61" s="409"/>
      <c r="DZ61" s="409"/>
      <c r="EA61" s="409"/>
      <c r="EB61" s="409"/>
      <c r="EC61" s="409" t="s">
        <v>93</v>
      </c>
      <c r="ED61" s="409"/>
      <c r="EE61" s="409"/>
      <c r="EF61" s="409"/>
      <c r="EG61" s="409"/>
      <c r="EH61" s="409"/>
      <c r="EI61" s="409"/>
      <c r="EJ61" s="409"/>
      <c r="EK61" s="409"/>
      <c r="EL61" s="409"/>
      <c r="EM61" s="409"/>
      <c r="EN61" s="409"/>
      <c r="EO61" s="409"/>
      <c r="EP61" s="409"/>
      <c r="EQ61" s="409"/>
      <c r="ER61" s="409" t="s">
        <v>1355</v>
      </c>
      <c r="ES61" s="409"/>
      <c r="ET61" s="409"/>
      <c r="EU61" s="409"/>
      <c r="EV61" s="409"/>
      <c r="EW61" s="409"/>
      <c r="EX61" s="409"/>
      <c r="EY61" s="409"/>
      <c r="EZ61" s="409"/>
      <c r="FA61" s="409"/>
      <c r="FB61" s="409"/>
      <c r="FC61" s="409"/>
      <c r="FD61" s="409"/>
      <c r="FE61" s="409"/>
      <c r="FF61" s="409"/>
      <c r="FG61" s="409"/>
      <c r="FH61" s="409" t="s">
        <v>93</v>
      </c>
      <c r="FI61" s="409" t="s">
        <v>93</v>
      </c>
      <c r="FJ61" s="409"/>
      <c r="FK61" s="409"/>
      <c r="FL61" s="409"/>
      <c r="FM61" s="409"/>
      <c r="FN61" s="409" t="s">
        <v>93</v>
      </c>
      <c r="FO61" s="409"/>
      <c r="FP61" s="409"/>
      <c r="FQ61" s="409"/>
      <c r="FR61" s="409"/>
      <c r="FS61" s="409"/>
      <c r="FT61" s="409"/>
      <c r="FU61" s="409"/>
      <c r="FV61" s="409"/>
      <c r="FW61" s="409"/>
      <c r="FX61" s="409"/>
      <c r="FY61" s="409"/>
      <c r="FZ61" s="409"/>
      <c r="GA61" s="409"/>
      <c r="GB61" s="409"/>
      <c r="GC61" s="409" t="s">
        <v>93</v>
      </c>
      <c r="GD61" s="409" t="s">
        <v>93</v>
      </c>
      <c r="GE61" s="409"/>
      <c r="GF61" s="409" t="s">
        <v>93</v>
      </c>
      <c r="GG61" s="409"/>
      <c r="GH61" s="409"/>
      <c r="GI61" s="409"/>
      <c r="GJ61" s="409"/>
      <c r="GK61" s="409"/>
      <c r="GL61" s="409"/>
      <c r="GM61" s="409"/>
      <c r="GN61" s="409"/>
      <c r="GO61" s="409" t="s">
        <v>93</v>
      </c>
      <c r="GP61" s="409"/>
      <c r="GQ61" s="409"/>
      <c r="GR61" s="409"/>
      <c r="GS61" s="409"/>
      <c r="GT61" s="409"/>
      <c r="GU61" s="409" t="s">
        <v>93</v>
      </c>
      <c r="GV61" s="409" t="s">
        <v>93</v>
      </c>
      <c r="GW61" s="409"/>
      <c r="GX61" s="409"/>
      <c r="GY61" s="409" t="s">
        <v>93</v>
      </c>
      <c r="GZ61" s="409"/>
      <c r="HA61" s="409"/>
      <c r="HB61" s="409"/>
      <c r="HC61" s="409"/>
      <c r="HD61" s="409"/>
      <c r="HE61" s="409"/>
      <c r="HF61" s="409"/>
      <c r="HG61" s="409"/>
      <c r="HH61" s="409" t="s">
        <v>93</v>
      </c>
      <c r="HI61" s="409"/>
      <c r="HJ61" s="409"/>
      <c r="HK61" s="409" t="s">
        <v>93</v>
      </c>
      <c r="HL61" s="409" t="s">
        <v>93</v>
      </c>
      <c r="HM61" s="409"/>
      <c r="HN61" s="409"/>
      <c r="HO61" s="409"/>
      <c r="HP61" s="409"/>
      <c r="HQ61" s="409"/>
      <c r="HR61" s="409" t="s">
        <v>93</v>
      </c>
      <c r="HS61" s="409"/>
      <c r="HT61" s="409"/>
      <c r="HU61" s="409" t="s">
        <v>93</v>
      </c>
      <c r="HV61" s="409"/>
      <c r="HW61" s="409" t="s">
        <v>93</v>
      </c>
      <c r="HX61" s="409" t="s">
        <v>93</v>
      </c>
    </row>
    <row r="62" spans="1:232" ht="11.55" customHeight="1">
      <c r="A62" s="431" t="s">
        <v>132</v>
      </c>
      <c r="B62" s="409"/>
      <c r="C62" s="409" t="str">
        <f>IF(ISTEXT(IFERROR(VLOOKUP(A62,职业列表!I3:J10,1,FALSE),0)),"★","")</f>
        <v/>
      </c>
      <c r="D62" s="409"/>
      <c r="E62" s="409"/>
      <c r="F62" s="409"/>
      <c r="G62" s="409"/>
      <c r="H62" s="409"/>
      <c r="I62" s="409"/>
      <c r="J62" s="409"/>
      <c r="K62" s="409"/>
      <c r="L62" s="409"/>
      <c r="M62" s="409"/>
      <c r="N62" s="409"/>
      <c r="O62" s="409"/>
      <c r="P62" s="409"/>
      <c r="Q62" s="409"/>
      <c r="R62" s="409"/>
      <c r="S62" s="409"/>
      <c r="T62" s="440" t="s">
        <v>1356</v>
      </c>
      <c r="U62" s="409"/>
      <c r="V62" s="409"/>
      <c r="W62" s="409"/>
      <c r="X62" s="409"/>
      <c r="Y62" s="409"/>
      <c r="Z62" s="409"/>
      <c r="AA62" s="409"/>
      <c r="AB62" s="440" t="s">
        <v>93</v>
      </c>
      <c r="AC62" s="409"/>
      <c r="AD62" s="409"/>
      <c r="AE62" s="409"/>
      <c r="AF62" s="409"/>
      <c r="AG62" s="409"/>
      <c r="AH62" s="409"/>
      <c r="AI62" s="409"/>
      <c r="AJ62" s="409"/>
      <c r="AK62" s="409"/>
      <c r="AL62" s="409"/>
      <c r="AM62" s="409"/>
      <c r="AN62" s="409"/>
      <c r="AO62" s="409"/>
      <c r="AP62" s="409"/>
      <c r="AQ62" s="409"/>
      <c r="AR62" s="409"/>
      <c r="AS62" s="409"/>
      <c r="AT62" s="409"/>
      <c r="AU62" s="409"/>
      <c r="AV62" s="409"/>
      <c r="AW62" s="409"/>
      <c r="AX62" s="409"/>
      <c r="AY62" s="409"/>
      <c r="AZ62" s="409"/>
      <c r="BA62" s="409"/>
      <c r="BB62" s="409"/>
      <c r="BC62" s="409" t="s">
        <v>93</v>
      </c>
      <c r="BD62" s="414"/>
      <c r="BE62" s="409"/>
      <c r="BF62" s="409"/>
      <c r="BG62" s="409"/>
      <c r="BH62" s="409"/>
      <c r="BI62" s="409"/>
      <c r="BJ62" s="409"/>
      <c r="BK62" s="409"/>
      <c r="BL62" s="409"/>
      <c r="BM62" s="409"/>
      <c r="BN62" s="409"/>
      <c r="BO62" s="409"/>
      <c r="BP62" s="409"/>
      <c r="BQ62" s="409"/>
      <c r="BR62" s="409"/>
      <c r="BS62" s="409"/>
      <c r="BT62" s="409"/>
      <c r="BU62" s="409"/>
      <c r="BV62" s="409"/>
      <c r="BW62" s="409"/>
      <c r="BX62" s="409"/>
      <c r="BY62" s="409"/>
      <c r="BZ62" s="409"/>
      <c r="CA62" s="410" t="s">
        <v>1418</v>
      </c>
      <c r="CB62" s="409"/>
      <c r="CC62" s="409"/>
      <c r="CD62" s="409"/>
      <c r="CE62" s="409"/>
      <c r="CF62" s="410" t="s">
        <v>93</v>
      </c>
      <c r="CG62" s="409"/>
      <c r="CH62" s="409"/>
      <c r="CI62" s="409"/>
      <c r="CJ62" s="409"/>
      <c r="CK62" s="409"/>
      <c r="CL62" s="409"/>
      <c r="CM62" s="409"/>
      <c r="CN62" s="409"/>
      <c r="CO62" s="409"/>
      <c r="CP62" s="409"/>
      <c r="CQ62" s="409"/>
      <c r="CR62" s="409"/>
      <c r="CS62" s="409"/>
      <c r="CT62" s="409"/>
      <c r="CU62" s="409"/>
      <c r="CV62" s="409" t="s">
        <v>1419</v>
      </c>
      <c r="CW62" s="409"/>
      <c r="CX62" s="409"/>
      <c r="CY62" s="409"/>
      <c r="CZ62" s="409"/>
      <c r="DA62" s="409"/>
      <c r="DB62" s="409" t="s">
        <v>93</v>
      </c>
      <c r="DC62" s="409"/>
      <c r="DD62" s="409"/>
      <c r="DE62" s="409"/>
      <c r="DF62" s="440" t="s">
        <v>93</v>
      </c>
      <c r="DG62" s="409"/>
      <c r="DH62" s="409"/>
      <c r="DI62" s="409"/>
      <c r="DJ62" s="409"/>
      <c r="DK62" s="409"/>
      <c r="DL62" s="409"/>
      <c r="DM62" s="409"/>
      <c r="DN62" s="409"/>
      <c r="DO62" s="409"/>
      <c r="DP62" s="409"/>
      <c r="DQ62" s="409"/>
      <c r="DR62" s="409"/>
      <c r="DS62" s="409"/>
      <c r="DT62" s="409"/>
      <c r="DU62" s="409"/>
      <c r="DV62" s="409"/>
      <c r="DW62" s="409"/>
      <c r="DX62" s="409"/>
      <c r="DY62" s="409"/>
      <c r="DZ62" s="409"/>
      <c r="EA62" s="409"/>
      <c r="EB62" s="409"/>
      <c r="EC62" s="409"/>
      <c r="ED62" s="409"/>
      <c r="EE62" s="409"/>
      <c r="EF62" s="409"/>
      <c r="EG62" s="409"/>
      <c r="EH62" s="409"/>
      <c r="EI62" s="409"/>
      <c r="EJ62" s="409"/>
      <c r="EK62" s="409"/>
      <c r="EL62" s="409"/>
      <c r="EM62" s="409"/>
      <c r="EN62" s="409" t="s">
        <v>1420</v>
      </c>
      <c r="EO62" s="409"/>
      <c r="EP62" s="409"/>
      <c r="EQ62" s="409"/>
      <c r="ER62" s="409"/>
      <c r="ES62" s="409"/>
      <c r="ET62" s="409"/>
      <c r="EU62" s="409"/>
      <c r="EV62" s="409"/>
      <c r="EW62" s="409" t="s">
        <v>93</v>
      </c>
      <c r="EX62" s="409"/>
      <c r="EY62" s="409"/>
      <c r="EZ62" s="409"/>
      <c r="FA62" s="409"/>
      <c r="FB62" s="409"/>
      <c r="FC62" s="409"/>
      <c r="FD62" s="409"/>
      <c r="FE62" s="409"/>
      <c r="FF62" s="409"/>
      <c r="FG62" s="409"/>
      <c r="FH62" s="409"/>
      <c r="FI62" s="409"/>
      <c r="FJ62" s="409"/>
      <c r="FK62" s="409"/>
      <c r="FL62" s="409"/>
      <c r="FM62" s="409"/>
      <c r="FN62" s="409"/>
      <c r="FO62" s="409"/>
      <c r="FP62" s="409"/>
      <c r="FQ62" s="409"/>
      <c r="FR62" s="409"/>
      <c r="FS62" s="409"/>
      <c r="FT62" s="409"/>
      <c r="FU62" s="409"/>
      <c r="FV62" s="409"/>
      <c r="FW62" s="409"/>
      <c r="FX62" s="409" t="s">
        <v>1418</v>
      </c>
      <c r="FY62" s="409"/>
      <c r="FZ62" s="409"/>
      <c r="GA62" s="409" t="s">
        <v>1421</v>
      </c>
      <c r="GB62" s="409"/>
      <c r="GC62" s="409" t="s">
        <v>93</v>
      </c>
      <c r="GD62" s="409" t="s">
        <v>93</v>
      </c>
      <c r="GE62" s="409" t="s">
        <v>93</v>
      </c>
      <c r="GF62" s="409"/>
      <c r="GG62" s="409"/>
      <c r="GH62" s="409"/>
      <c r="GI62" s="409"/>
      <c r="GJ62" s="409"/>
      <c r="GK62" s="409"/>
      <c r="GL62" s="409"/>
      <c r="GM62" s="409"/>
      <c r="GN62" s="409"/>
      <c r="GO62" s="409"/>
      <c r="GP62" s="409"/>
      <c r="GQ62" s="409"/>
      <c r="GR62" s="409"/>
      <c r="GS62" s="409"/>
      <c r="GT62" s="409"/>
      <c r="GU62" s="409" t="s">
        <v>93</v>
      </c>
      <c r="GV62" s="409"/>
      <c r="GW62" s="409"/>
      <c r="GX62" s="409"/>
      <c r="GY62" s="409"/>
      <c r="GZ62" s="409"/>
      <c r="HA62" s="409"/>
      <c r="HB62" s="409"/>
      <c r="HC62" s="409"/>
      <c r="HD62" s="409"/>
      <c r="HE62" s="409"/>
      <c r="HF62" s="409"/>
      <c r="HG62" s="409"/>
      <c r="HH62" s="409"/>
      <c r="HI62" s="409"/>
      <c r="HJ62" s="409"/>
      <c r="HK62" s="409"/>
      <c r="HL62" s="414"/>
      <c r="HM62" s="409"/>
      <c r="HN62" s="409"/>
      <c r="HO62" s="409"/>
      <c r="HP62" s="409"/>
      <c r="HQ62" s="409"/>
      <c r="HR62" s="409"/>
      <c r="HS62" s="409"/>
      <c r="HT62" s="440"/>
      <c r="HU62" s="409"/>
      <c r="HV62" s="409"/>
      <c r="HW62" s="409"/>
      <c r="HX62" s="409"/>
    </row>
    <row r="63" spans="1:232" ht="11.55" customHeight="1">
      <c r="A63" s="432" t="s">
        <v>135</v>
      </c>
      <c r="B63" s="409"/>
      <c r="C63" s="409" t="str">
        <f>IF(ISTEXT(IFERROR(VLOOKUP(A63,职业列表!I3:J10,1,FALSE),0)),"★","")</f>
        <v/>
      </c>
      <c r="D63" s="409"/>
      <c r="E63" s="409" t="s">
        <v>93</v>
      </c>
      <c r="F63" s="409"/>
      <c r="G63" s="409"/>
      <c r="H63" s="409"/>
      <c r="I63" s="409"/>
      <c r="J63" s="409"/>
      <c r="K63" s="409"/>
      <c r="L63" s="409"/>
      <c r="M63" s="409"/>
      <c r="N63" s="409"/>
      <c r="O63" s="409"/>
      <c r="P63" s="409"/>
      <c r="Q63" s="409" t="s">
        <v>93</v>
      </c>
      <c r="R63" s="409"/>
      <c r="S63" s="409"/>
      <c r="T63" s="409"/>
      <c r="U63" s="409"/>
      <c r="V63" s="409"/>
      <c r="W63" s="409"/>
      <c r="X63" s="409"/>
      <c r="Y63" s="409"/>
      <c r="Z63" s="409"/>
      <c r="AA63" s="409"/>
      <c r="AB63" s="409"/>
      <c r="AC63" s="409"/>
      <c r="AD63" s="409"/>
      <c r="AE63" s="409"/>
      <c r="AF63" s="409"/>
      <c r="AG63" s="409"/>
      <c r="AH63" s="409"/>
      <c r="AI63" s="409"/>
      <c r="AJ63" s="409"/>
      <c r="AK63" s="409"/>
      <c r="AL63" s="409"/>
      <c r="AM63" s="409"/>
      <c r="AN63" s="409"/>
      <c r="AO63" s="409"/>
      <c r="AP63" s="409"/>
      <c r="AQ63" s="409"/>
      <c r="AR63" s="409"/>
      <c r="AS63" s="409" t="s">
        <v>93</v>
      </c>
      <c r="AT63" s="409"/>
      <c r="AU63" s="409"/>
      <c r="AV63" s="409"/>
      <c r="AW63" s="409"/>
      <c r="AX63" s="409"/>
      <c r="AY63" s="409"/>
      <c r="AZ63" s="409"/>
      <c r="BA63" s="409"/>
      <c r="BB63" s="409"/>
      <c r="BC63" s="409" t="s">
        <v>1355</v>
      </c>
      <c r="BD63" s="409"/>
      <c r="BE63" s="409"/>
      <c r="BF63" s="409"/>
      <c r="BG63" s="409"/>
      <c r="BH63" s="409"/>
      <c r="BI63" s="409"/>
      <c r="BJ63" s="409"/>
      <c r="BK63" s="409"/>
      <c r="BL63" s="409"/>
      <c r="BM63" s="409"/>
      <c r="BN63" s="409"/>
      <c r="BO63" s="409"/>
      <c r="BP63" s="409"/>
      <c r="BQ63" s="409"/>
      <c r="BR63" s="409"/>
      <c r="BS63" s="409"/>
      <c r="BT63" s="409"/>
      <c r="BU63" s="409"/>
      <c r="BV63" s="409"/>
      <c r="BW63" s="409"/>
      <c r="BX63" s="409"/>
      <c r="BY63" s="409"/>
      <c r="BZ63" s="409"/>
      <c r="CA63" s="409"/>
      <c r="CB63" s="409"/>
      <c r="CC63" s="409"/>
      <c r="CD63" s="409"/>
      <c r="CE63" s="409"/>
      <c r="CF63" s="409"/>
      <c r="CG63" s="409"/>
      <c r="CH63" s="409"/>
      <c r="CI63" s="409"/>
      <c r="CJ63" s="409"/>
      <c r="CK63" s="409"/>
      <c r="CL63" s="409"/>
      <c r="CM63" s="409"/>
      <c r="CN63" s="409"/>
      <c r="CO63" s="409"/>
      <c r="CP63" s="409"/>
      <c r="CQ63" s="409"/>
      <c r="CR63" s="409"/>
      <c r="CS63" s="409"/>
      <c r="CT63" s="409"/>
      <c r="CU63" s="409"/>
      <c r="CV63" s="409" t="s">
        <v>93</v>
      </c>
      <c r="CW63" s="409" t="s">
        <v>93</v>
      </c>
      <c r="CX63" s="409"/>
      <c r="CY63" s="409"/>
      <c r="CZ63" s="409"/>
      <c r="DA63" s="409"/>
      <c r="DB63" s="409" t="s">
        <v>1355</v>
      </c>
      <c r="DC63" s="409"/>
      <c r="DD63" s="409"/>
      <c r="DE63" s="410" t="s">
        <v>93</v>
      </c>
      <c r="DF63" s="409" t="s">
        <v>93</v>
      </c>
      <c r="DG63" s="409"/>
      <c r="DH63" s="409"/>
      <c r="DI63" s="409"/>
      <c r="DJ63" s="409"/>
      <c r="DK63" s="409"/>
      <c r="DL63" s="409"/>
      <c r="DM63" s="409"/>
      <c r="DN63" s="409"/>
      <c r="DO63" s="409" t="s">
        <v>93</v>
      </c>
      <c r="DP63" s="409" t="s">
        <v>93</v>
      </c>
      <c r="DQ63" s="409"/>
      <c r="DR63" s="409"/>
      <c r="DS63" s="409"/>
      <c r="DT63" s="409"/>
      <c r="DU63" s="409"/>
      <c r="DV63" s="409"/>
      <c r="DW63" s="409"/>
      <c r="DX63" s="409"/>
      <c r="DY63" s="409"/>
      <c r="DZ63" s="409"/>
      <c r="EA63" s="409"/>
      <c r="EB63" s="409"/>
      <c r="EC63" s="409"/>
      <c r="ED63" s="409"/>
      <c r="EE63" s="409"/>
      <c r="EF63" s="409"/>
      <c r="EG63" s="409"/>
      <c r="EH63" s="409"/>
      <c r="EI63" s="409"/>
      <c r="EJ63" s="409"/>
      <c r="EK63" s="409"/>
      <c r="EL63" s="409"/>
      <c r="EM63" s="409"/>
      <c r="EN63" s="409"/>
      <c r="EO63" s="409"/>
      <c r="EP63" s="409"/>
      <c r="EQ63" s="409"/>
      <c r="ER63" s="409"/>
      <c r="ES63" s="409"/>
      <c r="ET63" s="409"/>
      <c r="EU63" s="409"/>
      <c r="EV63" s="409"/>
      <c r="EW63" s="409"/>
      <c r="EX63" s="409"/>
      <c r="EY63" s="409"/>
      <c r="EZ63" s="409"/>
      <c r="FA63" s="409"/>
      <c r="FB63" s="409"/>
      <c r="FC63" s="409"/>
      <c r="FD63" s="409"/>
      <c r="FE63" s="409"/>
      <c r="FF63" s="409"/>
      <c r="FG63" s="409"/>
      <c r="FH63" s="409"/>
      <c r="FI63" s="409"/>
      <c r="FJ63" s="409"/>
      <c r="FK63" s="409"/>
      <c r="FL63" s="409"/>
      <c r="FM63" s="409"/>
      <c r="FN63" s="409"/>
      <c r="FO63" s="409"/>
      <c r="FP63" s="409" t="s">
        <v>93</v>
      </c>
      <c r="FQ63" s="409"/>
      <c r="FR63" s="409"/>
      <c r="FS63" s="409"/>
      <c r="FT63" s="409"/>
      <c r="FU63" s="409"/>
      <c r="FV63" s="409"/>
      <c r="FW63" s="409"/>
      <c r="FX63" s="409"/>
      <c r="FY63" s="409"/>
      <c r="FZ63" s="409"/>
      <c r="GA63" s="409" t="s">
        <v>93</v>
      </c>
      <c r="GB63" s="409" t="s">
        <v>93</v>
      </c>
      <c r="GC63" s="409" t="s">
        <v>1355</v>
      </c>
      <c r="GD63" s="409" t="s">
        <v>1355</v>
      </c>
      <c r="GE63" s="409" t="s">
        <v>1355</v>
      </c>
      <c r="GF63" s="409"/>
      <c r="GG63" s="409"/>
      <c r="GH63" s="409"/>
      <c r="GI63" s="409"/>
      <c r="GJ63" s="409" t="s">
        <v>93</v>
      </c>
      <c r="GK63" s="409"/>
      <c r="GL63" s="409"/>
      <c r="GM63" s="409"/>
      <c r="GN63" s="409"/>
      <c r="GO63" s="409"/>
      <c r="GP63" s="409"/>
      <c r="GQ63" s="409"/>
      <c r="GR63" s="409"/>
      <c r="GS63" s="409"/>
      <c r="GT63" s="409"/>
      <c r="GU63" s="409" t="s">
        <v>1355</v>
      </c>
      <c r="GV63" s="409"/>
      <c r="GW63" s="409"/>
      <c r="GX63" s="409"/>
      <c r="GY63" s="409"/>
      <c r="GZ63" s="409"/>
      <c r="HA63" s="409"/>
      <c r="HB63" s="409"/>
      <c r="HC63" s="409"/>
      <c r="HD63" s="409"/>
      <c r="HE63" s="409"/>
      <c r="HF63" s="409"/>
      <c r="HG63" s="409"/>
      <c r="HH63" s="409"/>
      <c r="HI63" s="409"/>
      <c r="HJ63" s="409"/>
      <c r="HK63" s="409" t="s">
        <v>1355</v>
      </c>
      <c r="HL63" s="409" t="s">
        <v>93</v>
      </c>
      <c r="HM63" s="409"/>
      <c r="HN63" s="409"/>
      <c r="HO63" s="409"/>
      <c r="HP63" s="409"/>
      <c r="HQ63" s="409"/>
      <c r="HR63" s="409"/>
      <c r="HS63" s="409"/>
      <c r="HT63" s="409"/>
      <c r="HU63" s="409"/>
      <c r="HV63" s="409"/>
      <c r="HW63" s="409"/>
      <c r="HX63" s="409"/>
    </row>
    <row r="64" spans="1:232" ht="11.55" customHeight="1">
      <c r="A64" s="432" t="s">
        <v>138</v>
      </c>
      <c r="B64" s="409"/>
      <c r="C64" s="409" t="str">
        <f>IF(ISTEXT(IFERROR(VLOOKUP(A64,职业列表!I3:J10,1,FALSE),0)),"★","")</f>
        <v/>
      </c>
      <c r="D64" s="409"/>
      <c r="E64" s="409" t="s">
        <v>93</v>
      </c>
      <c r="F64" s="409"/>
      <c r="G64" s="409"/>
      <c r="H64" s="409"/>
      <c r="I64" s="409"/>
      <c r="J64" s="409"/>
      <c r="K64" s="409"/>
      <c r="L64" s="409"/>
      <c r="M64" s="409"/>
      <c r="N64" s="409"/>
      <c r="O64" s="409"/>
      <c r="P64" s="409"/>
      <c r="Q64" s="409" t="s">
        <v>93</v>
      </c>
      <c r="R64" s="409"/>
      <c r="S64" s="409"/>
      <c r="T64" s="409"/>
      <c r="U64" s="409"/>
      <c r="V64" s="409"/>
      <c r="W64" s="409"/>
      <c r="X64" s="409"/>
      <c r="Y64" s="409"/>
      <c r="Z64" s="409"/>
      <c r="AA64" s="409"/>
      <c r="AB64" s="409" t="s">
        <v>93</v>
      </c>
      <c r="AC64" s="409"/>
      <c r="AD64" s="409"/>
      <c r="AE64" s="409"/>
      <c r="AF64" s="409"/>
      <c r="AG64" s="409"/>
      <c r="AH64" s="409"/>
      <c r="AI64" s="409"/>
      <c r="AJ64" s="409"/>
      <c r="AK64" s="409"/>
      <c r="AL64" s="409"/>
      <c r="AM64" s="409"/>
      <c r="AN64" s="409" t="s">
        <v>93</v>
      </c>
      <c r="AO64" s="409"/>
      <c r="AP64" s="409"/>
      <c r="AQ64" s="409"/>
      <c r="AR64" s="409"/>
      <c r="AS64" s="409"/>
      <c r="AT64" s="409"/>
      <c r="AU64" s="409"/>
      <c r="AV64" s="409"/>
      <c r="AW64" s="409"/>
      <c r="AX64" s="409"/>
      <c r="AY64" s="409"/>
      <c r="AZ64" s="409"/>
      <c r="BA64" s="409"/>
      <c r="BB64" s="409"/>
      <c r="BC64" s="409"/>
      <c r="BD64" s="409"/>
      <c r="BE64" s="409"/>
      <c r="BF64" s="409" t="s">
        <v>93</v>
      </c>
      <c r="BG64" s="409"/>
      <c r="BH64" s="409"/>
      <c r="BI64" s="409"/>
      <c r="BJ64" s="409"/>
      <c r="BK64" s="409"/>
      <c r="BL64" s="409"/>
      <c r="BM64" s="409"/>
      <c r="BN64" s="409"/>
      <c r="BO64" s="409"/>
      <c r="BP64" s="409"/>
      <c r="BQ64" s="409"/>
      <c r="BR64" s="409"/>
      <c r="BS64" s="409" t="s">
        <v>93</v>
      </c>
      <c r="BT64" s="409" t="s">
        <v>93</v>
      </c>
      <c r="BU64" s="409"/>
      <c r="BV64" s="409"/>
      <c r="BW64" s="409"/>
      <c r="BX64" s="409"/>
      <c r="BY64" s="409"/>
      <c r="BZ64" s="409"/>
      <c r="CA64" s="409"/>
      <c r="CB64" s="409"/>
      <c r="CC64" s="409"/>
      <c r="CD64" s="409"/>
      <c r="CE64" s="409"/>
      <c r="CF64" s="409"/>
      <c r="CG64" s="409"/>
      <c r="CH64" s="409"/>
      <c r="CI64" s="409"/>
      <c r="CJ64" s="409"/>
      <c r="CK64" s="409"/>
      <c r="CL64" s="409"/>
      <c r="CM64" s="409"/>
      <c r="CN64" s="409"/>
      <c r="CO64" s="409"/>
      <c r="CP64" s="409"/>
      <c r="CQ64" s="409"/>
      <c r="CR64" s="409"/>
      <c r="CS64" s="409"/>
      <c r="CT64" s="409"/>
      <c r="CU64" s="409"/>
      <c r="CV64" s="409"/>
      <c r="CW64" s="409"/>
      <c r="CX64" s="409"/>
      <c r="CY64" s="409"/>
      <c r="CZ64" s="409"/>
      <c r="DA64" s="409"/>
      <c r="DB64" s="409"/>
      <c r="DC64" s="409"/>
      <c r="DD64" s="409"/>
      <c r="DE64" s="409"/>
      <c r="DF64" s="409" t="s">
        <v>1355</v>
      </c>
      <c r="DG64" s="409"/>
      <c r="DH64" s="409"/>
      <c r="DI64" s="409"/>
      <c r="DJ64" s="409"/>
      <c r="DK64" s="409"/>
      <c r="DL64" s="409"/>
      <c r="DM64" s="409"/>
      <c r="DN64" s="409"/>
      <c r="DO64" s="409" t="s">
        <v>93</v>
      </c>
      <c r="DP64" s="409" t="s">
        <v>93</v>
      </c>
      <c r="DQ64" s="409" t="s">
        <v>93</v>
      </c>
      <c r="DR64" s="409" t="s">
        <v>93</v>
      </c>
      <c r="DS64" s="409"/>
      <c r="DT64" s="409"/>
      <c r="DU64" s="409"/>
      <c r="DV64" s="409"/>
      <c r="DW64" s="409"/>
      <c r="DX64" s="409"/>
      <c r="DY64" s="409"/>
      <c r="DZ64" s="409"/>
      <c r="EA64" s="409"/>
      <c r="EB64" s="409"/>
      <c r="EC64" s="409"/>
      <c r="ED64" s="409"/>
      <c r="EE64" s="409"/>
      <c r="EF64" s="409"/>
      <c r="EG64" s="409"/>
      <c r="EH64" s="409"/>
      <c r="EI64" s="409"/>
      <c r="EJ64" s="409"/>
      <c r="EK64" s="409"/>
      <c r="EL64" s="409"/>
      <c r="EM64" s="409"/>
      <c r="EN64" s="409"/>
      <c r="EO64" s="409"/>
      <c r="EP64" s="409"/>
      <c r="EQ64" s="409"/>
      <c r="ER64" s="409"/>
      <c r="ES64" s="409"/>
      <c r="ET64" s="409"/>
      <c r="EU64" s="409"/>
      <c r="EV64" s="409"/>
      <c r="EW64" s="409"/>
      <c r="EX64" s="409"/>
      <c r="EY64" s="409"/>
      <c r="EZ64" s="409"/>
      <c r="FA64" s="409"/>
      <c r="FB64" s="409"/>
      <c r="FC64" s="409"/>
      <c r="FD64" s="409"/>
      <c r="FE64" s="409"/>
      <c r="FF64" s="409"/>
      <c r="FG64" s="409"/>
      <c r="FH64" s="409"/>
      <c r="FI64" s="409"/>
      <c r="FJ64" s="409"/>
      <c r="FK64" s="409"/>
      <c r="FL64" s="409"/>
      <c r="FM64" s="409"/>
      <c r="FN64" s="409"/>
      <c r="FO64" s="409"/>
      <c r="FP64" s="409"/>
      <c r="FQ64" s="409"/>
      <c r="FR64" s="409"/>
      <c r="FS64" s="409"/>
      <c r="FT64" s="409"/>
      <c r="FU64" s="409"/>
      <c r="FV64" s="409"/>
      <c r="FW64" s="409"/>
      <c r="FX64" s="409"/>
      <c r="FY64" s="409"/>
      <c r="FZ64" s="409"/>
      <c r="GA64" s="409"/>
      <c r="GB64" s="409"/>
      <c r="GC64" s="409"/>
      <c r="GD64" s="409"/>
      <c r="GE64" s="409"/>
      <c r="GF64" s="409"/>
      <c r="GG64" s="409"/>
      <c r="GH64" s="409"/>
      <c r="GI64" s="409"/>
      <c r="GJ64" s="409" t="s">
        <v>93</v>
      </c>
      <c r="GK64" s="409"/>
      <c r="GL64" s="409"/>
      <c r="GM64" s="409"/>
      <c r="GN64" s="409"/>
      <c r="GO64" s="409"/>
      <c r="GP64" s="409"/>
      <c r="GQ64" s="409"/>
      <c r="GR64" s="409"/>
      <c r="GS64" s="409"/>
      <c r="GT64" s="409"/>
      <c r="GU64" s="409"/>
      <c r="GV64" s="409"/>
      <c r="GW64" s="409"/>
      <c r="GX64" s="409"/>
      <c r="GY64" s="409"/>
      <c r="GZ64" s="409"/>
      <c r="HA64" s="409"/>
      <c r="HB64" s="409"/>
      <c r="HC64" s="409"/>
      <c r="HD64" s="409"/>
      <c r="HE64" s="409"/>
      <c r="HF64" s="409"/>
      <c r="HG64" s="409"/>
      <c r="HH64" s="409"/>
      <c r="HI64" s="409"/>
      <c r="HJ64" s="409"/>
      <c r="HK64" s="409"/>
      <c r="HL64" s="409"/>
      <c r="HM64" s="409"/>
      <c r="HN64" s="409"/>
      <c r="HO64" s="409"/>
      <c r="HP64" s="409"/>
      <c r="HQ64" s="409"/>
      <c r="HR64" s="409"/>
      <c r="HS64" s="409"/>
      <c r="HT64" s="409"/>
      <c r="HU64" s="409"/>
      <c r="HV64" s="409"/>
      <c r="HW64" s="409"/>
      <c r="HX64" s="409"/>
    </row>
    <row r="65" spans="1:232" ht="11.55" customHeight="1">
      <c r="A65" s="432" t="s">
        <v>140</v>
      </c>
      <c r="B65" s="409"/>
      <c r="C65" s="409" t="str">
        <f>IF(ISTEXT(IFERROR(VLOOKUP(A65,职业列表!I3:J10,1,FALSE),0)),"★","")</f>
        <v/>
      </c>
      <c r="D65" s="409"/>
      <c r="E65" s="409"/>
      <c r="F65" s="409"/>
      <c r="G65" s="409"/>
      <c r="H65" s="409" t="s">
        <v>93</v>
      </c>
      <c r="I65" s="409"/>
      <c r="J65" s="410" t="s">
        <v>93</v>
      </c>
      <c r="K65" s="409"/>
      <c r="L65" s="409"/>
      <c r="M65" s="409"/>
      <c r="N65" s="409"/>
      <c r="O65" s="409"/>
      <c r="P65" s="409"/>
      <c r="Q65" s="409"/>
      <c r="R65" s="409"/>
      <c r="S65" s="409"/>
      <c r="T65" s="410" t="s">
        <v>93</v>
      </c>
      <c r="U65" s="409"/>
      <c r="V65" s="409" t="s">
        <v>93</v>
      </c>
      <c r="W65" s="409"/>
      <c r="X65" s="409"/>
      <c r="Y65" s="409"/>
      <c r="Z65" s="409"/>
      <c r="AA65" s="409"/>
      <c r="AB65" s="409" t="s">
        <v>93</v>
      </c>
      <c r="AC65" s="409"/>
      <c r="AD65" s="409"/>
      <c r="AE65" s="409"/>
      <c r="AF65" s="409"/>
      <c r="AG65" s="409"/>
      <c r="AH65" s="409"/>
      <c r="AI65" s="409"/>
      <c r="AJ65" s="409"/>
      <c r="AK65" s="409"/>
      <c r="AL65" s="409"/>
      <c r="AM65" s="409"/>
      <c r="AN65" s="409"/>
      <c r="AO65" s="409"/>
      <c r="AP65" s="409"/>
      <c r="AQ65" s="409"/>
      <c r="AR65" s="409"/>
      <c r="AS65" s="409"/>
      <c r="AT65" s="409"/>
      <c r="AU65" s="409"/>
      <c r="AV65" s="409"/>
      <c r="AW65" s="409"/>
      <c r="AX65" s="409"/>
      <c r="AY65" s="409"/>
      <c r="AZ65" s="409"/>
      <c r="BA65" s="409"/>
      <c r="BB65" s="409"/>
      <c r="BC65" s="409"/>
      <c r="BD65" s="409" t="s">
        <v>93</v>
      </c>
      <c r="BE65" s="409"/>
      <c r="BF65" s="409"/>
      <c r="BG65" s="409"/>
      <c r="BH65" s="409"/>
      <c r="BI65" s="409"/>
      <c r="BJ65" s="409"/>
      <c r="BK65" s="409"/>
      <c r="BL65" s="409"/>
      <c r="BM65" s="409"/>
      <c r="BN65" s="409"/>
      <c r="BO65" s="409"/>
      <c r="BP65" s="409"/>
      <c r="BQ65" s="409"/>
      <c r="BR65" s="409"/>
      <c r="BS65" s="409"/>
      <c r="BT65" s="409"/>
      <c r="BU65" s="409"/>
      <c r="BV65" s="409"/>
      <c r="BW65" s="409"/>
      <c r="BX65" s="409"/>
      <c r="BY65" s="409"/>
      <c r="BZ65" s="409"/>
      <c r="CA65" s="409" t="s">
        <v>93</v>
      </c>
      <c r="CB65" s="409"/>
      <c r="CC65" s="409"/>
      <c r="CD65" s="409"/>
      <c r="CE65" s="409"/>
      <c r="CF65" s="409" t="s">
        <v>93</v>
      </c>
      <c r="CG65" s="409"/>
      <c r="CH65" s="409"/>
      <c r="CI65" s="409"/>
      <c r="CJ65" s="409"/>
      <c r="CK65" s="409"/>
      <c r="CL65" s="409"/>
      <c r="CM65" s="409"/>
      <c r="CN65" s="409"/>
      <c r="CO65" s="409"/>
      <c r="CP65" s="409"/>
      <c r="CQ65" s="409"/>
      <c r="CR65" s="409"/>
      <c r="CS65" s="409"/>
      <c r="CT65" s="409"/>
      <c r="CU65" s="409"/>
      <c r="CV65" s="409"/>
      <c r="CW65" s="409"/>
      <c r="CX65" s="409"/>
      <c r="CY65" s="409"/>
      <c r="CZ65" s="409"/>
      <c r="DA65" s="409"/>
      <c r="DB65" s="409"/>
      <c r="DC65" s="409"/>
      <c r="DD65" s="409"/>
      <c r="DE65" s="409"/>
      <c r="DF65" s="409"/>
      <c r="DG65" s="409"/>
      <c r="DH65" s="409"/>
      <c r="DI65" s="409"/>
      <c r="DJ65" s="409"/>
      <c r="DK65" s="409"/>
      <c r="DL65" s="409"/>
      <c r="DM65" s="409"/>
      <c r="DN65" s="409"/>
      <c r="DO65" s="409"/>
      <c r="DP65" s="409"/>
      <c r="DQ65" s="409"/>
      <c r="DR65" s="409"/>
      <c r="DS65" s="409"/>
      <c r="DT65" s="409"/>
      <c r="DU65" s="409"/>
      <c r="DV65" s="409"/>
      <c r="DW65" s="409"/>
      <c r="DX65" s="409"/>
      <c r="DY65" s="409"/>
      <c r="DZ65" s="409"/>
      <c r="EA65" s="409"/>
      <c r="EB65" s="409"/>
      <c r="EC65" s="409"/>
      <c r="ED65" s="409"/>
      <c r="EE65" s="409"/>
      <c r="EF65" s="409"/>
      <c r="EG65" s="409"/>
      <c r="EH65" s="409"/>
      <c r="EI65" s="409"/>
      <c r="EJ65" s="409"/>
      <c r="EK65" s="409"/>
      <c r="EL65" s="409"/>
      <c r="EM65" s="409"/>
      <c r="EN65" s="409"/>
      <c r="EO65" s="409"/>
      <c r="EP65" s="409"/>
      <c r="EQ65" s="409"/>
      <c r="ER65" s="409"/>
      <c r="ES65" s="409"/>
      <c r="ET65" s="409"/>
      <c r="EU65" s="409"/>
      <c r="EV65" s="409"/>
      <c r="EW65" s="409"/>
      <c r="EX65" s="409"/>
      <c r="EY65" s="409"/>
      <c r="EZ65" s="409"/>
      <c r="FA65" s="409"/>
      <c r="FB65" s="409"/>
      <c r="FC65" s="409" t="s">
        <v>93</v>
      </c>
      <c r="FD65" s="409"/>
      <c r="FE65" s="409"/>
      <c r="FF65" s="409"/>
      <c r="FG65" s="409"/>
      <c r="FH65" s="409"/>
      <c r="FI65" s="409"/>
      <c r="FJ65" s="409"/>
      <c r="FK65" s="409"/>
      <c r="FL65" s="409"/>
      <c r="FM65" s="409"/>
      <c r="FN65" s="409"/>
      <c r="FO65" s="409"/>
      <c r="FP65" s="409"/>
      <c r="FQ65" s="409"/>
      <c r="FR65" s="409"/>
      <c r="FS65" s="409"/>
      <c r="FT65" s="409" t="s">
        <v>93</v>
      </c>
      <c r="FU65" s="409"/>
      <c r="FV65" s="409"/>
      <c r="FW65" s="409"/>
      <c r="FX65" s="409" t="s">
        <v>93</v>
      </c>
      <c r="FY65" s="409"/>
      <c r="FZ65" s="409"/>
      <c r="GA65" s="409"/>
      <c r="GB65" s="409"/>
      <c r="GC65" s="409"/>
      <c r="GD65" s="409"/>
      <c r="GE65" s="409"/>
      <c r="GF65" s="409"/>
      <c r="GG65" s="409"/>
      <c r="GH65" s="409"/>
      <c r="GI65" s="409"/>
      <c r="GJ65" s="409"/>
      <c r="GK65" s="409"/>
      <c r="GL65" s="409"/>
      <c r="GM65" s="409"/>
      <c r="GN65" s="409"/>
      <c r="GO65" s="409"/>
      <c r="GP65" s="409"/>
      <c r="GQ65" s="409"/>
      <c r="GR65" s="409"/>
      <c r="GS65" s="409"/>
      <c r="GT65" s="409"/>
      <c r="GU65" s="409"/>
      <c r="GV65" s="409"/>
      <c r="GW65" s="409"/>
      <c r="GX65" s="409"/>
      <c r="GY65" s="409"/>
      <c r="GZ65" s="409"/>
      <c r="HA65" s="409"/>
      <c r="HB65" s="410"/>
      <c r="HC65" s="409"/>
      <c r="HD65" s="409"/>
      <c r="HE65" s="409"/>
      <c r="HF65" s="409" t="s">
        <v>93</v>
      </c>
      <c r="HG65" s="409"/>
      <c r="HH65" s="409"/>
      <c r="HI65" s="409"/>
      <c r="HJ65" s="409"/>
      <c r="HK65" s="409"/>
      <c r="HL65" s="409" t="s">
        <v>93</v>
      </c>
      <c r="HM65" s="409"/>
      <c r="HN65" s="409"/>
      <c r="HO65" s="409"/>
      <c r="HP65" s="409"/>
      <c r="HQ65" s="409"/>
      <c r="HR65" s="409"/>
      <c r="HS65" s="409"/>
      <c r="HT65" s="409"/>
      <c r="HU65" s="409"/>
      <c r="HV65" s="409"/>
      <c r="HW65" s="409"/>
      <c r="HX65" s="409"/>
    </row>
    <row r="66" spans="1:232" s="401" customFormat="1" ht="11.55" customHeight="1">
      <c r="A66" s="868" t="s">
        <v>142</v>
      </c>
      <c r="B66" s="456"/>
      <c r="C66" s="410" t="str">
        <f>IF(ISTEXT(IFERROR(VLOOKUP(A66,职业列表!I3:J10,1,FALSE),0)),"★","")</f>
        <v/>
      </c>
      <c r="D66" s="456"/>
      <c r="E66" s="456"/>
      <c r="F66" s="456"/>
      <c r="G66" s="456"/>
      <c r="H66" s="456"/>
      <c r="I66" s="456"/>
      <c r="J66" s="456" t="s">
        <v>93</v>
      </c>
      <c r="K66" s="456"/>
      <c r="L66" s="456"/>
      <c r="M66" s="456"/>
      <c r="N66" s="456"/>
      <c r="O66" s="456"/>
      <c r="P66" s="456"/>
      <c r="Q66" s="456"/>
      <c r="R66" s="456"/>
      <c r="S66" s="456"/>
      <c r="T66" s="456"/>
      <c r="U66" s="456"/>
      <c r="V66" s="456"/>
      <c r="W66" s="456"/>
      <c r="X66" s="456"/>
      <c r="Y66" s="456"/>
      <c r="Z66" s="456"/>
      <c r="AA66" s="456"/>
      <c r="AB66" s="456"/>
      <c r="AC66" s="456"/>
      <c r="AD66" s="456"/>
      <c r="AE66" s="456"/>
      <c r="AF66" s="456"/>
      <c r="AG66" s="456"/>
      <c r="AH66" s="456"/>
      <c r="AI66" s="456"/>
      <c r="AJ66" s="456"/>
      <c r="AK66" s="456"/>
      <c r="AL66" s="456"/>
      <c r="AM66" s="456"/>
      <c r="AN66" s="456"/>
      <c r="AO66" s="456"/>
      <c r="AP66" s="459"/>
      <c r="AQ66" s="456"/>
      <c r="AR66" s="456"/>
      <c r="AS66" s="459"/>
      <c r="AT66" s="456"/>
      <c r="AU66" s="456"/>
      <c r="AV66" s="456"/>
      <c r="AW66" s="456"/>
      <c r="AX66" s="456"/>
      <c r="AY66" s="456"/>
      <c r="AZ66" s="456"/>
      <c r="BA66" s="456"/>
      <c r="BB66" s="456"/>
      <c r="BC66" s="456"/>
      <c r="BD66" s="456"/>
      <c r="BE66" s="456"/>
      <c r="BF66" s="456"/>
      <c r="BG66" s="456"/>
      <c r="BH66" s="456"/>
      <c r="BI66" s="456"/>
      <c r="BJ66" s="456"/>
      <c r="BK66" s="456"/>
      <c r="BL66" s="456"/>
      <c r="BM66" s="456"/>
      <c r="BN66" s="456"/>
      <c r="BO66" s="456"/>
      <c r="BP66" s="456"/>
      <c r="BQ66" s="456"/>
      <c r="BR66" s="456"/>
      <c r="BS66" s="456"/>
      <c r="BT66" s="456"/>
      <c r="BU66" s="456"/>
      <c r="BV66" s="456"/>
      <c r="BW66" s="456"/>
      <c r="BX66" s="456"/>
      <c r="BY66" s="456"/>
      <c r="BZ66" s="456"/>
      <c r="CA66" s="456"/>
      <c r="CB66" s="456"/>
      <c r="CC66" s="456"/>
      <c r="CD66" s="456"/>
      <c r="CE66" s="456"/>
      <c r="CF66" s="456"/>
      <c r="CG66" s="456"/>
      <c r="CH66" s="456"/>
      <c r="CI66" s="456"/>
      <c r="CJ66" s="456"/>
      <c r="CK66" s="456"/>
      <c r="CL66" s="456"/>
      <c r="CM66" s="456"/>
      <c r="CN66" s="456"/>
      <c r="CO66" s="456"/>
      <c r="CP66" s="456"/>
      <c r="CQ66" s="456"/>
      <c r="CR66" s="456"/>
      <c r="CS66" s="456"/>
      <c r="CT66" s="456"/>
      <c r="CU66" s="456"/>
      <c r="CV66" s="456"/>
      <c r="CW66" s="456"/>
      <c r="CX66" s="456"/>
      <c r="CY66" s="456"/>
      <c r="CZ66" s="456"/>
      <c r="DA66" s="456"/>
      <c r="DB66" s="456"/>
      <c r="DC66" s="456"/>
      <c r="DD66" s="456"/>
      <c r="DE66" s="459"/>
      <c r="DF66" s="456"/>
      <c r="DG66" s="456"/>
      <c r="DH66" s="456"/>
      <c r="DI66" s="456"/>
      <c r="DJ66" s="456"/>
      <c r="DK66" s="456"/>
      <c r="DL66" s="456"/>
      <c r="DM66" s="456" t="s">
        <v>93</v>
      </c>
      <c r="DN66" s="456"/>
      <c r="DO66" s="456"/>
      <c r="DP66" s="456"/>
      <c r="DQ66" s="456"/>
      <c r="DR66" s="456"/>
      <c r="DS66" s="456"/>
      <c r="DT66" s="456"/>
      <c r="DU66" s="456"/>
      <c r="DV66" s="456"/>
      <c r="DW66" s="456"/>
      <c r="DX66" s="456"/>
      <c r="DY66" s="456"/>
      <c r="DZ66" s="456"/>
      <c r="EA66" s="456"/>
      <c r="EB66" s="456"/>
      <c r="EC66" s="456"/>
      <c r="ED66" s="456"/>
      <c r="EE66" s="456"/>
      <c r="EF66" s="456"/>
      <c r="EG66" s="456"/>
      <c r="EH66" s="456"/>
      <c r="EI66" s="456"/>
      <c r="EJ66" s="456"/>
      <c r="EK66" s="456"/>
      <c r="EL66" s="456"/>
      <c r="EM66" s="456"/>
      <c r="EN66" s="456"/>
      <c r="EO66" s="456"/>
      <c r="EP66" s="456"/>
      <c r="EQ66" s="456"/>
      <c r="ER66" s="456"/>
      <c r="ES66" s="456"/>
      <c r="ET66" s="456"/>
      <c r="EU66" s="456"/>
      <c r="EV66" s="456"/>
      <c r="EW66" s="456"/>
      <c r="EX66" s="456"/>
      <c r="EY66" s="456"/>
      <c r="EZ66" s="456"/>
      <c r="FA66" s="456"/>
      <c r="FB66" s="456"/>
      <c r="FC66" s="456"/>
      <c r="FD66" s="456"/>
      <c r="FE66" s="456"/>
      <c r="FF66" s="456"/>
      <c r="FG66" s="456"/>
      <c r="FH66" s="456"/>
      <c r="FI66" s="456"/>
      <c r="FJ66" s="456"/>
      <c r="FK66" s="456"/>
      <c r="FL66" s="456"/>
      <c r="FM66" s="456"/>
      <c r="FN66" s="456"/>
      <c r="FO66" s="456"/>
      <c r="FP66" s="456"/>
      <c r="FQ66" s="456"/>
      <c r="FR66" s="456"/>
      <c r="FS66" s="456"/>
      <c r="FT66" s="456"/>
      <c r="FU66" s="456"/>
      <c r="FV66" s="456"/>
      <c r="FW66" s="456"/>
      <c r="FX66" s="456"/>
      <c r="FY66" s="456"/>
      <c r="FZ66" s="456"/>
      <c r="GA66" s="456"/>
      <c r="GB66" s="456"/>
      <c r="GC66" s="456"/>
      <c r="GD66" s="456"/>
      <c r="GE66" s="456"/>
      <c r="GF66" s="456"/>
      <c r="GG66" s="456"/>
      <c r="GH66" s="456"/>
      <c r="GI66" s="456"/>
      <c r="GJ66" s="456"/>
      <c r="GK66" s="456"/>
      <c r="GL66" s="456"/>
      <c r="GM66" s="456"/>
      <c r="GN66" s="456"/>
      <c r="GO66" s="456"/>
      <c r="GP66" s="456"/>
      <c r="GQ66" s="456"/>
      <c r="GR66" s="456"/>
      <c r="GS66" s="456"/>
      <c r="GT66" s="456"/>
      <c r="GU66" s="456"/>
      <c r="GV66" s="456"/>
      <c r="GW66" s="456"/>
      <c r="GX66" s="456"/>
      <c r="GY66" s="456"/>
      <c r="GZ66" s="456"/>
      <c r="HA66" s="456"/>
      <c r="HB66" s="456"/>
      <c r="HC66" s="456"/>
      <c r="HD66" s="456"/>
      <c r="HE66" s="456"/>
      <c r="HF66" s="456"/>
      <c r="HG66" s="456"/>
      <c r="HH66" s="456"/>
      <c r="HI66" s="456"/>
      <c r="HJ66" s="456"/>
      <c r="HK66" s="456"/>
      <c r="HL66" s="456"/>
      <c r="HM66" s="456"/>
      <c r="HN66" s="456"/>
      <c r="HO66" s="456"/>
      <c r="HP66" s="456"/>
      <c r="HQ66" s="456"/>
      <c r="HR66" s="456"/>
      <c r="HS66" s="456"/>
      <c r="HT66" s="456"/>
      <c r="HU66" s="456"/>
      <c r="HV66" s="456"/>
      <c r="HW66" s="456"/>
      <c r="HX66" s="456"/>
    </row>
    <row r="67" spans="1:232" ht="11.55" customHeight="1">
      <c r="A67" s="425" t="s">
        <v>144</v>
      </c>
      <c r="B67" s="409"/>
      <c r="C67" s="409" t="str">
        <f>IF(ISTEXT(IFERROR(VLOOKUP(A67,职业列表!I3:J10,1,FALSE),0)),"★","")</f>
        <v/>
      </c>
      <c r="D67" s="409"/>
      <c r="E67" s="409"/>
      <c r="F67" s="409"/>
      <c r="G67" s="409"/>
      <c r="H67" s="409"/>
      <c r="I67" s="409"/>
      <c r="J67" s="409"/>
      <c r="K67" s="409"/>
      <c r="L67" s="409"/>
      <c r="M67" s="409"/>
      <c r="N67" s="409"/>
      <c r="O67" s="409"/>
      <c r="P67" s="409"/>
      <c r="Q67" s="409"/>
      <c r="R67" s="409"/>
      <c r="S67" s="409"/>
      <c r="T67" s="409"/>
      <c r="U67" s="409"/>
      <c r="V67" s="409"/>
      <c r="W67" s="409"/>
      <c r="X67" s="409"/>
      <c r="Y67" s="409"/>
      <c r="Z67" s="409"/>
      <c r="AA67" s="409"/>
      <c r="AB67" s="409"/>
      <c r="AC67" s="409"/>
      <c r="AD67" s="409"/>
      <c r="AE67" s="409"/>
      <c r="AF67" s="409"/>
      <c r="AG67" s="409"/>
      <c r="AH67" s="409"/>
      <c r="AI67" s="409"/>
      <c r="AJ67" s="409"/>
      <c r="AK67" s="409"/>
      <c r="AL67" s="409"/>
      <c r="AM67" s="409"/>
      <c r="AN67" s="409"/>
      <c r="AO67" s="409"/>
      <c r="AP67" s="409"/>
      <c r="AQ67" s="409"/>
      <c r="AR67" s="409"/>
      <c r="AS67" s="410" t="s">
        <v>93</v>
      </c>
      <c r="AT67" s="409"/>
      <c r="AU67" s="409"/>
      <c r="AV67" s="409"/>
      <c r="AW67" s="409"/>
      <c r="AX67" s="409"/>
      <c r="AY67" s="409"/>
      <c r="AZ67" s="409"/>
      <c r="BA67" s="409"/>
      <c r="BB67" s="409"/>
      <c r="BC67" s="409"/>
      <c r="BD67" s="409"/>
      <c r="BE67" s="409"/>
      <c r="BF67" s="409"/>
      <c r="BG67" s="409"/>
      <c r="BH67" s="409"/>
      <c r="BI67" s="409"/>
      <c r="BJ67" s="409"/>
      <c r="BK67" s="409"/>
      <c r="BL67" s="409"/>
      <c r="BM67" s="409"/>
      <c r="BN67" s="409"/>
      <c r="BO67" s="409"/>
      <c r="BP67" s="409"/>
      <c r="BQ67" s="409"/>
      <c r="BR67" s="409"/>
      <c r="BS67" s="409"/>
      <c r="BT67" s="409"/>
      <c r="BU67" s="409"/>
      <c r="BV67" s="409"/>
      <c r="BW67" s="409"/>
      <c r="BX67" s="409"/>
      <c r="BY67" s="409"/>
      <c r="BZ67" s="409"/>
      <c r="CA67" s="409"/>
      <c r="CB67" s="409"/>
      <c r="CC67" s="409"/>
      <c r="CD67" s="409"/>
      <c r="CE67" s="409"/>
      <c r="CF67" s="409"/>
      <c r="CG67" s="409"/>
      <c r="CH67" s="409"/>
      <c r="CI67" s="409"/>
      <c r="CJ67" s="409"/>
      <c r="CK67" s="409"/>
      <c r="CL67" s="409"/>
      <c r="CM67" s="409"/>
      <c r="CN67" s="409"/>
      <c r="CO67" s="409"/>
      <c r="CP67" s="409"/>
      <c r="CQ67" s="409"/>
      <c r="CR67" s="409"/>
      <c r="CS67" s="409"/>
      <c r="CT67" s="409"/>
      <c r="CU67" s="409"/>
      <c r="CV67" s="409"/>
      <c r="CW67" s="409"/>
      <c r="CX67" s="409"/>
      <c r="CY67" s="409"/>
      <c r="CZ67" s="409"/>
      <c r="DA67" s="409"/>
      <c r="DB67" s="409"/>
      <c r="DC67" s="409"/>
      <c r="DD67" s="409"/>
      <c r="DE67" s="410" t="s">
        <v>1358</v>
      </c>
      <c r="DF67" s="409"/>
      <c r="DG67" s="409"/>
      <c r="DH67" s="409"/>
      <c r="DI67" s="409"/>
      <c r="DJ67" s="409"/>
      <c r="DK67" s="409"/>
      <c r="DL67" s="409"/>
      <c r="DM67" s="409"/>
      <c r="DN67" s="409"/>
      <c r="DO67" s="409"/>
      <c r="DP67" s="409"/>
      <c r="DQ67" s="409"/>
      <c r="DR67" s="409"/>
      <c r="DS67" s="409"/>
      <c r="DT67" s="409"/>
      <c r="DU67" s="409"/>
      <c r="DV67" s="409"/>
      <c r="DW67" s="409"/>
      <c r="DX67" s="409"/>
      <c r="DY67" s="409"/>
      <c r="DZ67" s="409"/>
      <c r="EA67" s="409"/>
      <c r="EB67" s="409"/>
      <c r="EC67" s="409"/>
      <c r="ED67" s="409"/>
      <c r="EE67" s="409"/>
      <c r="EF67" s="409"/>
      <c r="EG67" s="409"/>
      <c r="EH67" s="409"/>
      <c r="EI67" s="409"/>
      <c r="EJ67" s="409"/>
      <c r="EK67" s="409"/>
      <c r="EL67" s="409"/>
      <c r="EM67" s="409"/>
      <c r="EN67" s="409"/>
      <c r="EO67" s="409"/>
      <c r="EP67" s="409"/>
      <c r="EQ67" s="409"/>
      <c r="ER67" s="409"/>
      <c r="ES67" s="409"/>
      <c r="ET67" s="409"/>
      <c r="EU67" s="409"/>
      <c r="EV67" s="409"/>
      <c r="EW67" s="409"/>
      <c r="EX67" s="409"/>
      <c r="EY67" s="409"/>
      <c r="EZ67" s="409"/>
      <c r="FA67" s="409"/>
      <c r="FB67" s="409"/>
      <c r="FC67" s="409"/>
      <c r="FD67" s="409"/>
      <c r="FE67" s="426"/>
      <c r="FF67" s="426"/>
      <c r="FG67" s="426"/>
      <c r="FH67" s="426"/>
      <c r="FI67" s="426"/>
      <c r="FJ67" s="426"/>
      <c r="FK67" s="426"/>
      <c r="FL67" s="426"/>
      <c r="FM67" s="409"/>
      <c r="FN67" s="409"/>
      <c r="FO67" s="409"/>
      <c r="FP67" s="409"/>
      <c r="FQ67" s="409"/>
      <c r="FR67" s="409"/>
      <c r="FS67" s="409"/>
      <c r="FT67" s="409"/>
      <c r="FU67" s="409"/>
      <c r="FV67" s="409"/>
      <c r="FW67" s="409"/>
      <c r="FX67" s="409"/>
      <c r="FY67" s="409"/>
      <c r="FZ67" s="409"/>
      <c r="GA67" s="409"/>
      <c r="GB67" s="409"/>
      <c r="GC67" s="409"/>
      <c r="GD67" s="409"/>
      <c r="GE67" s="409"/>
      <c r="GF67" s="409"/>
      <c r="GG67" s="409"/>
      <c r="GH67" s="409"/>
      <c r="GI67" s="409"/>
      <c r="GJ67" s="409"/>
      <c r="GK67" s="409"/>
      <c r="GL67" s="409"/>
      <c r="GM67" s="409"/>
      <c r="GN67" s="409"/>
      <c r="GO67" s="409"/>
      <c r="GP67" s="409"/>
      <c r="GQ67" s="409"/>
      <c r="GR67" s="409"/>
      <c r="GS67" s="409"/>
      <c r="GT67" s="409"/>
      <c r="GU67" s="409"/>
      <c r="GV67" s="409"/>
      <c r="GW67" s="409"/>
      <c r="GX67" s="409"/>
      <c r="GY67" s="409"/>
      <c r="GZ67" s="409"/>
      <c r="HA67" s="409"/>
      <c r="HB67" s="409"/>
      <c r="HC67" s="409"/>
      <c r="HD67" s="409"/>
      <c r="HE67" s="409"/>
      <c r="HF67" s="409"/>
      <c r="HG67" s="409"/>
      <c r="HH67" s="409"/>
      <c r="HI67" s="409"/>
      <c r="HJ67" s="409"/>
      <c r="HK67" s="409"/>
      <c r="HL67" s="409"/>
      <c r="HM67" s="409"/>
      <c r="HN67" s="409"/>
      <c r="HO67" s="409"/>
      <c r="HP67" s="409"/>
      <c r="HQ67" s="409"/>
      <c r="HR67" s="409"/>
      <c r="HS67" s="409"/>
      <c r="HT67" s="409"/>
      <c r="HU67" s="409"/>
      <c r="HV67" s="409"/>
      <c r="HW67" s="409"/>
      <c r="HX67" s="409"/>
    </row>
    <row r="68" spans="1:232" ht="11.55" customHeight="1">
      <c r="A68" s="425" t="s">
        <v>146</v>
      </c>
      <c r="B68" s="409"/>
      <c r="C68" s="410" t="str">
        <f>IF(ISTEXT(IFERROR(VLOOKUP(A68,职业列表!I3:J10,1,FALSE),0)),"★","")</f>
        <v/>
      </c>
      <c r="D68" s="409"/>
      <c r="E68" s="409"/>
      <c r="F68" s="409"/>
      <c r="G68" s="409"/>
      <c r="H68" s="409"/>
      <c r="I68" s="409"/>
      <c r="J68" s="409"/>
      <c r="K68" s="409"/>
      <c r="L68" s="409"/>
      <c r="M68" s="409"/>
      <c r="N68" s="409"/>
      <c r="O68" s="409"/>
      <c r="P68" s="409"/>
      <c r="Q68" s="409"/>
      <c r="R68" s="409"/>
      <c r="S68" s="409"/>
      <c r="T68" s="409"/>
      <c r="U68" s="409"/>
      <c r="V68" s="409"/>
      <c r="W68" s="409"/>
      <c r="X68" s="409"/>
      <c r="Y68" s="409"/>
      <c r="Z68" s="409"/>
      <c r="AA68" s="409"/>
      <c r="AB68" s="409"/>
      <c r="AC68" s="409"/>
      <c r="AD68" s="409"/>
      <c r="AE68" s="409"/>
      <c r="AF68" s="409"/>
      <c r="AG68" s="409"/>
      <c r="AH68" s="409"/>
      <c r="AI68" s="409"/>
      <c r="AJ68" s="409"/>
      <c r="AK68" s="409"/>
      <c r="AL68" s="409"/>
      <c r="AM68" s="409"/>
      <c r="AN68" s="409"/>
      <c r="AO68" s="409"/>
      <c r="AP68" s="426"/>
      <c r="AQ68" s="409"/>
      <c r="AR68" s="409"/>
      <c r="AS68" s="409"/>
      <c r="AT68" s="409"/>
      <c r="AU68" s="409"/>
      <c r="AV68" s="409"/>
      <c r="AW68" s="409"/>
      <c r="AX68" s="409"/>
      <c r="AY68" s="409"/>
      <c r="AZ68" s="409"/>
      <c r="BA68" s="409"/>
      <c r="BB68" s="409"/>
      <c r="BC68" s="409"/>
      <c r="BD68" s="409"/>
      <c r="BE68" s="409"/>
      <c r="BF68" s="409"/>
      <c r="BG68" s="409"/>
      <c r="BH68" s="409"/>
      <c r="BI68" s="409"/>
      <c r="BJ68" s="409"/>
      <c r="BK68" s="409"/>
      <c r="BL68" s="409"/>
      <c r="BM68" s="409"/>
      <c r="BN68" s="409"/>
      <c r="BO68" s="409"/>
      <c r="BP68" s="409"/>
      <c r="BQ68" s="409"/>
      <c r="BR68" s="409"/>
      <c r="BS68" s="409"/>
      <c r="BT68" s="409"/>
      <c r="BU68" s="409"/>
      <c r="BV68" s="409"/>
      <c r="BW68" s="409"/>
      <c r="BX68" s="409"/>
      <c r="BY68" s="409"/>
      <c r="BZ68" s="409"/>
      <c r="CA68" s="409"/>
      <c r="CB68" s="409"/>
      <c r="CC68" s="409"/>
      <c r="CD68" s="409"/>
      <c r="CE68" s="409"/>
      <c r="CF68" s="409"/>
      <c r="CG68" s="409"/>
      <c r="CH68" s="409"/>
      <c r="CI68" s="409"/>
      <c r="CJ68" s="409"/>
      <c r="CK68" s="409"/>
      <c r="CL68" s="409"/>
      <c r="CM68" s="409"/>
      <c r="CN68" s="409"/>
      <c r="CO68" s="409"/>
      <c r="CP68" s="409"/>
      <c r="CQ68" s="409"/>
      <c r="CR68" s="409"/>
      <c r="CS68" s="409"/>
      <c r="CT68" s="409"/>
      <c r="CU68" s="409"/>
      <c r="CV68" s="409"/>
      <c r="CW68" s="409"/>
      <c r="CX68" s="409"/>
      <c r="CY68" s="409"/>
      <c r="CZ68" s="409"/>
      <c r="DA68" s="409"/>
      <c r="DB68" s="409"/>
      <c r="DC68" s="409"/>
      <c r="DD68" s="409"/>
      <c r="DE68" s="409"/>
      <c r="DF68" s="409"/>
      <c r="DG68" s="409"/>
      <c r="DH68" s="409"/>
      <c r="DI68" s="409"/>
      <c r="DJ68" s="409"/>
      <c r="DK68" s="409"/>
      <c r="DL68" s="409"/>
      <c r="DM68" s="409"/>
      <c r="DN68" s="409"/>
      <c r="DO68" s="409"/>
      <c r="DP68" s="409"/>
      <c r="DQ68" s="409"/>
      <c r="DR68" s="409"/>
      <c r="DS68" s="409"/>
      <c r="DT68" s="409"/>
      <c r="DU68" s="409"/>
      <c r="DV68" s="409"/>
      <c r="DW68" s="409"/>
      <c r="DX68" s="409"/>
      <c r="DY68" s="409"/>
      <c r="DZ68" s="409"/>
      <c r="EA68" s="409"/>
      <c r="EB68" s="409"/>
      <c r="EC68" s="409"/>
      <c r="ED68" s="409"/>
      <c r="EE68" s="409"/>
      <c r="EF68" s="409"/>
      <c r="EG68" s="409"/>
      <c r="EH68" s="409"/>
      <c r="EI68" s="409"/>
      <c r="EJ68" s="409"/>
      <c r="EK68" s="409"/>
      <c r="EL68" s="409"/>
      <c r="EM68" s="409"/>
      <c r="EN68" s="409"/>
      <c r="EO68" s="409"/>
      <c r="EP68" s="409"/>
      <c r="EQ68" s="409"/>
      <c r="ER68" s="409"/>
      <c r="ES68" s="409"/>
      <c r="ET68" s="409"/>
      <c r="EU68" s="409"/>
      <c r="EV68" s="409"/>
      <c r="EW68" s="409"/>
      <c r="EX68" s="409"/>
      <c r="EY68" s="409"/>
      <c r="EZ68" s="409"/>
      <c r="FA68" s="409"/>
      <c r="FB68" s="409"/>
      <c r="FC68" s="409"/>
      <c r="FD68" s="409"/>
      <c r="FE68" s="409"/>
      <c r="FF68" s="409"/>
      <c r="FG68" s="409"/>
      <c r="FH68" s="409"/>
      <c r="FI68" s="409"/>
      <c r="FJ68" s="409"/>
      <c r="FK68" s="409"/>
      <c r="FL68" s="409"/>
      <c r="FM68" s="409"/>
      <c r="FN68" s="409"/>
      <c r="FO68" s="409"/>
      <c r="FP68" s="409"/>
      <c r="FQ68" s="409"/>
      <c r="FR68" s="409"/>
      <c r="FS68" s="409"/>
      <c r="FT68" s="409"/>
      <c r="FU68" s="409"/>
      <c r="FV68" s="409"/>
      <c r="FW68" s="409"/>
      <c r="FX68" s="409"/>
      <c r="FY68" s="409"/>
      <c r="FZ68" s="409"/>
      <c r="GA68" s="409"/>
      <c r="GB68" s="409"/>
      <c r="GC68" s="409"/>
      <c r="GD68" s="409"/>
      <c r="GE68" s="409"/>
      <c r="GF68" s="409"/>
      <c r="GG68" s="409"/>
      <c r="GH68" s="409"/>
      <c r="GI68" s="409"/>
      <c r="GJ68" s="409"/>
      <c r="GK68" s="409"/>
      <c r="GL68" s="409"/>
      <c r="GM68" s="409"/>
      <c r="GN68" s="409"/>
      <c r="GO68" s="409"/>
      <c r="GP68" s="409"/>
      <c r="GQ68" s="409"/>
      <c r="GR68" s="409"/>
      <c r="GS68" s="409"/>
      <c r="GT68" s="409"/>
      <c r="GU68" s="409"/>
      <c r="GV68" s="409"/>
      <c r="GW68" s="409"/>
      <c r="GX68" s="409"/>
      <c r="GY68" s="409"/>
      <c r="GZ68" s="409"/>
      <c r="HA68" s="409"/>
      <c r="HB68" s="409"/>
      <c r="HC68" s="409"/>
      <c r="HD68" s="409"/>
      <c r="HE68" s="409"/>
      <c r="HF68" s="409"/>
      <c r="HG68" s="409"/>
      <c r="HH68" s="409"/>
      <c r="HI68" s="409"/>
      <c r="HJ68" s="409"/>
      <c r="HK68" s="409"/>
      <c r="HL68" s="409"/>
      <c r="HM68" s="409"/>
      <c r="HN68" s="409"/>
      <c r="HO68" s="409"/>
      <c r="HP68" s="409"/>
      <c r="HQ68" s="409"/>
      <c r="HR68" s="409"/>
      <c r="HS68" s="409"/>
      <c r="HT68" s="409"/>
      <c r="HU68" s="409"/>
      <c r="HV68" s="409"/>
      <c r="HW68" s="409"/>
      <c r="HX68" s="409"/>
    </row>
    <row r="69" spans="1:232" ht="11.55" customHeight="1">
      <c r="A69" s="425" t="s">
        <v>149</v>
      </c>
      <c r="B69" s="409"/>
      <c r="C69" s="409" t="str">
        <f>IF(ISTEXT(IFERROR(VLOOKUP(A69,职业列表!I3:J10,1,FALSE),0)),"★","")</f>
        <v/>
      </c>
      <c r="D69" s="409"/>
      <c r="E69" s="409"/>
      <c r="F69" s="409"/>
      <c r="G69" s="409"/>
      <c r="H69" s="409"/>
      <c r="I69" s="409"/>
      <c r="J69" s="409"/>
      <c r="K69" s="409"/>
      <c r="L69" s="409"/>
      <c r="M69" s="409"/>
      <c r="N69" s="409"/>
      <c r="O69" s="409"/>
      <c r="P69" s="409"/>
      <c r="Q69" s="409"/>
      <c r="R69" s="409"/>
      <c r="S69" s="409"/>
      <c r="T69" s="409"/>
      <c r="U69" s="409"/>
      <c r="V69" s="409"/>
      <c r="W69" s="409"/>
      <c r="X69" s="409"/>
      <c r="Y69" s="409"/>
      <c r="Z69" s="409"/>
      <c r="AA69" s="409"/>
      <c r="AB69" s="409"/>
      <c r="AC69" s="409"/>
      <c r="AD69" s="409"/>
      <c r="AE69" s="409"/>
      <c r="AF69" s="409"/>
      <c r="AG69" s="409"/>
      <c r="AH69" s="409"/>
      <c r="AI69" s="409"/>
      <c r="AJ69" s="409"/>
      <c r="AK69" s="409"/>
      <c r="AL69" s="409"/>
      <c r="AM69" s="409"/>
      <c r="AN69" s="409"/>
      <c r="AO69" s="409"/>
      <c r="AP69" s="409"/>
      <c r="AQ69" s="409"/>
      <c r="AR69" s="409"/>
      <c r="AS69" s="426"/>
      <c r="AT69" s="409"/>
      <c r="AU69" s="409"/>
      <c r="AV69" s="409"/>
      <c r="AW69" s="409"/>
      <c r="AX69" s="409"/>
      <c r="AY69" s="409"/>
      <c r="AZ69" s="409"/>
      <c r="BA69" s="409"/>
      <c r="BB69" s="409"/>
      <c r="BC69" s="409"/>
      <c r="BD69" s="409"/>
      <c r="BE69" s="409"/>
      <c r="BF69" s="409"/>
      <c r="BG69" s="409"/>
      <c r="BH69" s="409"/>
      <c r="BI69" s="409"/>
      <c r="BJ69" s="409"/>
      <c r="BK69" s="409"/>
      <c r="BL69" s="409"/>
      <c r="BM69" s="409"/>
      <c r="BN69" s="409"/>
      <c r="BO69" s="409"/>
      <c r="BP69" s="409"/>
      <c r="BQ69" s="409"/>
      <c r="BR69" s="409"/>
      <c r="BS69" s="409"/>
      <c r="BT69" s="409"/>
      <c r="BU69" s="409"/>
      <c r="BV69" s="409"/>
      <c r="BW69" s="409"/>
      <c r="BX69" s="409"/>
      <c r="BY69" s="409"/>
      <c r="BZ69" s="409"/>
      <c r="CA69" s="409"/>
      <c r="CB69" s="409"/>
      <c r="CC69" s="409"/>
      <c r="CD69" s="409"/>
      <c r="CE69" s="409"/>
      <c r="CF69" s="409"/>
      <c r="CG69" s="409"/>
      <c r="CH69" s="409"/>
      <c r="CI69" s="409"/>
      <c r="CJ69" s="409"/>
      <c r="CK69" s="409"/>
      <c r="CL69" s="409"/>
      <c r="CM69" s="409"/>
      <c r="CN69" s="409"/>
      <c r="CO69" s="409"/>
      <c r="CP69" s="409"/>
      <c r="CQ69" s="409"/>
      <c r="CR69" s="409"/>
      <c r="CS69" s="409"/>
      <c r="CT69" s="409"/>
      <c r="CU69" s="409"/>
      <c r="CV69" s="409"/>
      <c r="CW69" s="409"/>
      <c r="CX69" s="409"/>
      <c r="CY69" s="409"/>
      <c r="CZ69" s="409"/>
      <c r="DA69" s="409"/>
      <c r="DB69" s="409"/>
      <c r="DC69" s="409"/>
      <c r="DD69" s="409"/>
      <c r="DE69" s="410"/>
      <c r="DF69" s="409"/>
      <c r="DG69" s="409"/>
      <c r="DH69" s="409"/>
      <c r="DI69" s="409"/>
      <c r="DJ69" s="409"/>
      <c r="DK69" s="409"/>
      <c r="DL69" s="409"/>
      <c r="DM69" s="409"/>
      <c r="DN69" s="409"/>
      <c r="DO69" s="409"/>
      <c r="DP69" s="409"/>
      <c r="DQ69" s="409"/>
      <c r="DR69" s="409"/>
      <c r="DS69" s="409"/>
      <c r="DT69" s="409"/>
      <c r="DU69" s="409"/>
      <c r="DV69" s="409"/>
      <c r="DW69" s="409"/>
      <c r="DX69" s="409"/>
      <c r="DY69" s="409"/>
      <c r="DZ69" s="409"/>
      <c r="EA69" s="409"/>
      <c r="EB69" s="409"/>
      <c r="EC69" s="409"/>
      <c r="ED69" s="409"/>
      <c r="EE69" s="409"/>
      <c r="EF69" s="409"/>
      <c r="EG69" s="409"/>
      <c r="EH69" s="409"/>
      <c r="EI69" s="409"/>
      <c r="EJ69" s="409"/>
      <c r="EK69" s="409"/>
      <c r="EL69" s="409"/>
      <c r="EM69" s="409"/>
      <c r="EN69" s="409"/>
      <c r="EO69" s="409"/>
      <c r="EP69" s="409"/>
      <c r="EQ69" s="409"/>
      <c r="ER69" s="409"/>
      <c r="ES69" s="409"/>
      <c r="ET69" s="409"/>
      <c r="EU69" s="409"/>
      <c r="EV69" s="409"/>
      <c r="EW69" s="409"/>
      <c r="EX69" s="409"/>
      <c r="EY69" s="409"/>
      <c r="EZ69" s="409"/>
      <c r="FA69" s="409"/>
      <c r="FB69" s="409"/>
      <c r="FC69" s="409"/>
      <c r="FD69" s="409"/>
      <c r="FE69" s="409"/>
      <c r="FF69" s="409"/>
      <c r="FG69" s="409"/>
      <c r="FH69" s="409"/>
      <c r="FI69" s="409"/>
      <c r="FJ69" s="409"/>
      <c r="FK69" s="409"/>
      <c r="FL69" s="409"/>
      <c r="FM69" s="409"/>
      <c r="FN69" s="409"/>
      <c r="FO69" s="409"/>
      <c r="FP69" s="409"/>
      <c r="FQ69" s="409"/>
      <c r="FR69" s="409"/>
      <c r="FS69" s="409"/>
      <c r="FT69" s="409"/>
      <c r="FU69" s="409"/>
      <c r="FV69" s="409"/>
      <c r="FW69" s="409"/>
      <c r="FX69" s="409"/>
      <c r="FY69" s="409"/>
      <c r="FZ69" s="409"/>
      <c r="GA69" s="409"/>
      <c r="GB69" s="409"/>
      <c r="GC69" s="409"/>
      <c r="GD69" s="409"/>
      <c r="GE69" s="409"/>
      <c r="GF69" s="409"/>
      <c r="GG69" s="409"/>
      <c r="GH69" s="409"/>
      <c r="GI69" s="409"/>
      <c r="GJ69" s="409"/>
      <c r="GK69" s="409"/>
      <c r="GL69" s="409"/>
      <c r="GM69" s="409"/>
      <c r="GN69" s="409"/>
      <c r="GO69" s="409"/>
      <c r="GP69" s="409"/>
      <c r="GQ69" s="409"/>
      <c r="GR69" s="409"/>
      <c r="GS69" s="409"/>
      <c r="GT69" s="409"/>
      <c r="GU69" s="409"/>
      <c r="GV69" s="409"/>
      <c r="GW69" s="409"/>
      <c r="GX69" s="409"/>
      <c r="GY69" s="409"/>
      <c r="GZ69" s="409"/>
      <c r="HA69" s="409"/>
      <c r="HB69" s="409"/>
      <c r="HC69" s="409"/>
      <c r="HD69" s="409"/>
      <c r="HE69" s="409"/>
      <c r="HF69" s="409"/>
      <c r="HG69" s="409"/>
      <c r="HH69" s="409"/>
      <c r="HI69" s="409"/>
      <c r="HJ69" s="409"/>
      <c r="HK69" s="409"/>
      <c r="HL69" s="409"/>
      <c r="HM69" s="409"/>
      <c r="HN69" s="409"/>
      <c r="HO69" s="409"/>
      <c r="HP69" s="409"/>
      <c r="HQ69" s="409"/>
      <c r="HR69" s="409"/>
      <c r="HS69" s="409"/>
      <c r="HT69" s="409"/>
      <c r="HU69" s="409"/>
      <c r="HV69" s="409"/>
      <c r="HW69" s="409"/>
      <c r="HX69" s="409"/>
    </row>
    <row r="70" spans="1:232" ht="11.55" customHeight="1">
      <c r="A70" s="425" t="s">
        <v>151</v>
      </c>
      <c r="B70" s="426"/>
      <c r="C70" s="426" t="str">
        <f>IF(ISTEXT(IFERROR(VLOOKUP(A70,职业列表!I3:J10,1,FALSE),0)),"★","")</f>
        <v/>
      </c>
      <c r="D70" s="426"/>
      <c r="E70" s="426"/>
      <c r="F70" s="426"/>
      <c r="G70" s="426"/>
      <c r="H70" s="426"/>
      <c r="I70" s="426"/>
      <c r="J70" s="426"/>
      <c r="K70" s="426"/>
      <c r="L70" s="426"/>
      <c r="M70" s="426"/>
      <c r="N70" s="426"/>
      <c r="O70" s="426"/>
      <c r="P70" s="426"/>
      <c r="Q70" s="426"/>
      <c r="R70" s="426"/>
      <c r="S70" s="426"/>
      <c r="T70" s="426"/>
      <c r="U70" s="426"/>
      <c r="V70" s="426"/>
      <c r="W70" s="426"/>
      <c r="X70" s="426"/>
      <c r="Y70" s="426"/>
      <c r="Z70" s="426"/>
      <c r="AA70" s="426"/>
      <c r="AB70" s="426"/>
      <c r="AC70" s="426"/>
      <c r="AD70" s="426"/>
      <c r="AE70" s="426"/>
      <c r="AF70" s="426"/>
      <c r="AG70" s="426"/>
      <c r="AH70" s="426"/>
      <c r="AI70" s="426"/>
      <c r="AJ70" s="426"/>
      <c r="AK70" s="426"/>
      <c r="AL70" s="426"/>
      <c r="AM70" s="426"/>
      <c r="AN70" s="426"/>
      <c r="AO70" s="426"/>
      <c r="AP70" s="410" t="s">
        <v>93</v>
      </c>
      <c r="AQ70" s="426"/>
      <c r="AR70" s="426"/>
      <c r="AS70" s="426"/>
      <c r="AT70" s="426"/>
      <c r="AU70" s="426"/>
      <c r="AV70" s="426"/>
      <c r="AW70" s="426"/>
      <c r="AX70" s="426"/>
      <c r="AY70" s="426"/>
      <c r="AZ70" s="426"/>
      <c r="BA70" s="426"/>
      <c r="BB70" s="426"/>
      <c r="BC70" s="426"/>
      <c r="BD70" s="426"/>
      <c r="BE70" s="426"/>
      <c r="BF70" s="426"/>
      <c r="BG70" s="426"/>
      <c r="BH70" s="426"/>
      <c r="BI70" s="426"/>
      <c r="BJ70" s="426"/>
      <c r="BK70" s="426"/>
      <c r="BL70" s="426"/>
      <c r="BM70" s="426"/>
      <c r="BN70" s="426"/>
      <c r="BO70" s="426"/>
      <c r="BP70" s="426"/>
      <c r="BQ70" s="426"/>
      <c r="BR70" s="426"/>
      <c r="BS70" s="426"/>
      <c r="BT70" s="426"/>
      <c r="BU70" s="426"/>
      <c r="BV70" s="426"/>
      <c r="BW70" s="426"/>
      <c r="BX70" s="426"/>
      <c r="BY70" s="426"/>
      <c r="BZ70" s="426"/>
      <c r="CA70" s="426"/>
      <c r="CB70" s="426"/>
      <c r="CC70" s="426"/>
      <c r="CD70" s="426"/>
      <c r="CE70" s="426"/>
      <c r="CF70" s="426"/>
      <c r="CG70" s="426"/>
      <c r="CH70" s="426"/>
      <c r="CI70" s="426"/>
      <c r="CJ70" s="426"/>
      <c r="CK70" s="426"/>
      <c r="CL70" s="426"/>
      <c r="CM70" s="426"/>
      <c r="CN70" s="426"/>
      <c r="CO70" s="426"/>
      <c r="CP70" s="426"/>
      <c r="CQ70" s="426"/>
      <c r="CR70" s="426"/>
      <c r="CS70" s="426"/>
      <c r="CT70" s="426"/>
      <c r="CU70" s="426"/>
      <c r="CV70" s="426"/>
      <c r="CW70" s="426"/>
      <c r="CX70" s="426"/>
      <c r="CY70" s="426"/>
      <c r="CZ70" s="426"/>
      <c r="DA70" s="426"/>
      <c r="DB70" s="426"/>
      <c r="DC70" s="426"/>
      <c r="DD70" s="426"/>
      <c r="DE70" s="426"/>
      <c r="DF70" s="426"/>
      <c r="DG70" s="426"/>
      <c r="DH70" s="426"/>
      <c r="DI70" s="426"/>
      <c r="DJ70" s="426"/>
      <c r="DK70" s="426"/>
      <c r="DL70" s="426"/>
      <c r="DM70" s="426"/>
      <c r="DN70" s="426"/>
      <c r="DO70" s="426"/>
      <c r="DP70" s="426"/>
      <c r="DQ70" s="426"/>
      <c r="DR70" s="426"/>
      <c r="DS70" s="426"/>
      <c r="DT70" s="426"/>
      <c r="DU70" s="426"/>
      <c r="DV70" s="426"/>
      <c r="DW70" s="426"/>
      <c r="DX70" s="426"/>
      <c r="DY70" s="426"/>
      <c r="DZ70" s="426"/>
      <c r="EA70" s="426"/>
      <c r="EB70" s="426"/>
      <c r="EC70" s="426"/>
      <c r="ED70" s="426"/>
      <c r="EE70" s="426"/>
      <c r="EF70" s="426"/>
      <c r="EG70" s="426"/>
      <c r="EH70" s="426"/>
      <c r="EI70" s="426"/>
      <c r="EJ70" s="426"/>
      <c r="EK70" s="426"/>
      <c r="EL70" s="426"/>
      <c r="EM70" s="426"/>
      <c r="EN70" s="426"/>
      <c r="EO70" s="426"/>
      <c r="EP70" s="426"/>
      <c r="EQ70" s="426"/>
      <c r="ER70" s="426"/>
      <c r="ES70" s="426"/>
      <c r="ET70" s="426"/>
      <c r="EU70" s="426"/>
      <c r="EV70" s="426"/>
      <c r="EW70" s="426"/>
      <c r="EX70" s="426"/>
      <c r="EY70" s="426"/>
      <c r="EZ70" s="426"/>
      <c r="FA70" s="426"/>
      <c r="FB70" s="426"/>
      <c r="FC70" s="426"/>
      <c r="FD70" s="426"/>
      <c r="FE70" s="426"/>
      <c r="FF70" s="426"/>
      <c r="FG70" s="426"/>
      <c r="FH70" s="426"/>
      <c r="FI70" s="426"/>
      <c r="FJ70" s="426"/>
      <c r="FK70" s="426"/>
      <c r="FL70" s="426"/>
      <c r="FM70" s="426"/>
      <c r="FN70" s="426"/>
      <c r="FO70" s="426"/>
      <c r="FP70" s="426"/>
      <c r="FQ70" s="426"/>
      <c r="FR70" s="426"/>
      <c r="FS70" s="426"/>
      <c r="FT70" s="426"/>
      <c r="FU70" s="426"/>
      <c r="FV70" s="426"/>
      <c r="FW70" s="426"/>
      <c r="FX70" s="426"/>
      <c r="FY70" s="426"/>
      <c r="FZ70" s="426"/>
      <c r="GA70" s="426"/>
      <c r="GB70" s="426"/>
      <c r="GC70" s="426"/>
      <c r="GD70" s="426"/>
      <c r="GE70" s="426"/>
      <c r="GF70" s="426"/>
      <c r="GG70" s="426"/>
      <c r="GH70" s="426"/>
      <c r="GI70" s="426"/>
      <c r="GJ70" s="426"/>
      <c r="GK70" s="426"/>
      <c r="GL70" s="426"/>
      <c r="GM70" s="426"/>
      <c r="GN70" s="426"/>
      <c r="GO70" s="426"/>
      <c r="GP70" s="426"/>
      <c r="GQ70" s="426"/>
      <c r="GR70" s="426"/>
      <c r="GS70" s="426"/>
      <c r="GT70" s="426"/>
      <c r="GU70" s="426"/>
      <c r="GV70" s="426"/>
      <c r="GW70" s="426"/>
      <c r="GX70" s="426"/>
      <c r="GY70" s="426"/>
      <c r="GZ70" s="426"/>
      <c r="HA70" s="426"/>
      <c r="HB70" s="426"/>
      <c r="HC70" s="426"/>
      <c r="HD70" s="426"/>
      <c r="HE70" s="426"/>
      <c r="HF70" s="426"/>
      <c r="HG70" s="426"/>
      <c r="HH70" s="426"/>
      <c r="HI70" s="426"/>
      <c r="HJ70" s="426"/>
      <c r="HK70" s="426"/>
      <c r="HL70" s="426"/>
      <c r="HM70" s="426"/>
      <c r="HN70" s="426"/>
      <c r="HO70" s="426"/>
      <c r="HP70" s="426"/>
      <c r="HQ70" s="426"/>
      <c r="HR70" s="426"/>
      <c r="HS70" s="426"/>
      <c r="HT70" s="426"/>
      <c r="HU70" s="426"/>
      <c r="HV70" s="426"/>
      <c r="HW70" s="426"/>
      <c r="HX70" s="426"/>
    </row>
    <row r="71" spans="1:232" ht="11.55" customHeight="1">
      <c r="A71" s="413" t="s">
        <v>153</v>
      </c>
      <c r="B71" s="426"/>
      <c r="C71" s="426" t="str">
        <f>IF(ISTEXT(IFERROR(VLOOKUP(A71,职业列表!I3:J10,1,FALSE),0)),"★","")</f>
        <v/>
      </c>
      <c r="D71" s="426"/>
      <c r="E71" s="426"/>
      <c r="F71" s="426"/>
      <c r="G71" s="426"/>
      <c r="H71" s="426"/>
      <c r="I71" s="426"/>
      <c r="J71" s="426"/>
      <c r="K71" s="426"/>
      <c r="L71" s="426"/>
      <c r="M71" s="426"/>
      <c r="N71" s="426"/>
      <c r="O71" s="426"/>
      <c r="P71" s="426"/>
      <c r="Q71" s="426"/>
      <c r="R71" s="426"/>
      <c r="S71" s="426"/>
      <c r="T71" s="426"/>
      <c r="U71" s="426"/>
      <c r="V71" s="426"/>
      <c r="W71" s="426"/>
      <c r="X71" s="426"/>
      <c r="Y71" s="426"/>
      <c r="Z71" s="426"/>
      <c r="AA71" s="426"/>
      <c r="AB71" s="426"/>
      <c r="AC71" s="426"/>
      <c r="AD71" s="426"/>
      <c r="AE71" s="426"/>
      <c r="AF71" s="426"/>
      <c r="AG71" s="426"/>
      <c r="AH71" s="426"/>
      <c r="AI71" s="426"/>
      <c r="AJ71" s="426"/>
      <c r="AK71" s="426"/>
      <c r="AL71" s="426"/>
      <c r="AM71" s="426"/>
      <c r="AN71" s="426"/>
      <c r="AO71" s="426"/>
      <c r="AP71" s="426"/>
      <c r="AQ71" s="426"/>
      <c r="AR71" s="426"/>
      <c r="AS71" s="426"/>
      <c r="AT71" s="426"/>
      <c r="AU71" s="426"/>
      <c r="AV71" s="426"/>
      <c r="AW71" s="426"/>
      <c r="AX71" s="426"/>
      <c r="AY71" s="426"/>
      <c r="AZ71" s="426"/>
      <c r="BA71" s="426"/>
      <c r="BB71" s="426"/>
      <c r="BC71" s="426"/>
      <c r="BD71" s="426"/>
      <c r="BE71" s="426"/>
      <c r="BF71" s="426"/>
      <c r="BG71" s="426"/>
      <c r="BH71" s="426"/>
      <c r="BI71" s="426"/>
      <c r="BJ71" s="426"/>
      <c r="BK71" s="426"/>
      <c r="BL71" s="426"/>
      <c r="BM71" s="426"/>
      <c r="BN71" s="426"/>
      <c r="BO71" s="426"/>
      <c r="BP71" s="426"/>
      <c r="BQ71" s="426"/>
      <c r="BR71" s="426"/>
      <c r="BS71" s="426"/>
      <c r="BT71" s="426"/>
      <c r="BU71" s="426"/>
      <c r="BV71" s="426"/>
      <c r="BW71" s="426"/>
      <c r="BX71" s="426"/>
      <c r="BY71" s="426"/>
      <c r="BZ71" s="426"/>
      <c r="CA71" s="426"/>
      <c r="CB71" s="426"/>
      <c r="CC71" s="426"/>
      <c r="CD71" s="426"/>
      <c r="CE71" s="426"/>
      <c r="CF71" s="426"/>
      <c r="CG71" s="426"/>
      <c r="CH71" s="426"/>
      <c r="CI71" s="426"/>
      <c r="CJ71" s="426"/>
      <c r="CK71" s="426"/>
      <c r="CL71" s="426"/>
      <c r="CM71" s="426"/>
      <c r="CN71" s="426"/>
      <c r="CO71" s="426"/>
      <c r="CP71" s="426"/>
      <c r="CQ71" s="426"/>
      <c r="CR71" s="426"/>
      <c r="CS71" s="426"/>
      <c r="CT71" s="426"/>
      <c r="CU71" s="426"/>
      <c r="CV71" s="426"/>
      <c r="CW71" s="426"/>
      <c r="CX71" s="426"/>
      <c r="CY71" s="426"/>
      <c r="CZ71" s="426"/>
      <c r="DA71" s="426"/>
      <c r="DB71" s="426"/>
      <c r="DC71" s="426"/>
      <c r="DD71" s="426"/>
      <c r="DE71" s="426"/>
      <c r="DF71" s="426"/>
      <c r="DG71" s="426"/>
      <c r="DH71" s="426"/>
      <c r="DI71" s="426"/>
      <c r="DJ71" s="426"/>
      <c r="DK71" s="426"/>
      <c r="DL71" s="426"/>
      <c r="DM71" s="426"/>
      <c r="DN71" s="426"/>
      <c r="DO71" s="426"/>
      <c r="DP71" s="426"/>
      <c r="DQ71" s="426"/>
      <c r="DR71" s="426"/>
      <c r="DS71" s="426"/>
      <c r="DT71" s="426"/>
      <c r="DU71" s="426"/>
      <c r="DV71" s="426"/>
      <c r="DW71" s="426"/>
      <c r="DX71" s="426"/>
      <c r="DY71" s="426"/>
      <c r="DZ71" s="426"/>
      <c r="EA71" s="426"/>
      <c r="EB71" s="426"/>
      <c r="EC71" s="426"/>
      <c r="ED71" s="426"/>
      <c r="EE71" s="426"/>
      <c r="EF71" s="426"/>
      <c r="EG71" s="426"/>
      <c r="EH71" s="426"/>
      <c r="EI71" s="426"/>
      <c r="EJ71" s="426"/>
      <c r="EK71" s="426"/>
      <c r="EL71" s="426"/>
      <c r="EM71" s="426"/>
      <c r="EN71" s="426"/>
      <c r="EO71" s="426"/>
      <c r="EP71" s="426"/>
      <c r="EQ71" s="426"/>
      <c r="ER71" s="426"/>
      <c r="ES71" s="426"/>
      <c r="ET71" s="426"/>
      <c r="EU71" s="426"/>
      <c r="EV71" s="426"/>
      <c r="EW71" s="426"/>
      <c r="EX71" s="426"/>
      <c r="EY71" s="426"/>
      <c r="EZ71" s="426"/>
      <c r="FA71" s="426"/>
      <c r="FB71" s="426"/>
      <c r="FC71" s="426"/>
      <c r="FD71" s="426"/>
      <c r="FE71" s="426"/>
      <c r="FF71" s="426"/>
      <c r="FG71" s="426"/>
      <c r="FH71" s="426"/>
      <c r="FI71" s="426"/>
      <c r="FJ71" s="426"/>
      <c r="FK71" s="426"/>
      <c r="FL71" s="426"/>
      <c r="FM71" s="426"/>
      <c r="FN71" s="426"/>
      <c r="FO71" s="426"/>
      <c r="FP71" s="426"/>
      <c r="FQ71" s="426"/>
      <c r="FR71" s="426"/>
      <c r="FS71" s="426"/>
      <c r="FT71" s="426"/>
      <c r="FU71" s="426"/>
      <c r="FV71" s="426"/>
      <c r="FW71" s="426"/>
      <c r="FX71" s="426"/>
      <c r="FY71" s="426"/>
      <c r="FZ71" s="426"/>
      <c r="GA71" s="426"/>
      <c r="GB71" s="426"/>
      <c r="GC71" s="426"/>
      <c r="GD71" s="426"/>
      <c r="GE71" s="426"/>
      <c r="GF71" s="426"/>
      <c r="GG71" s="426"/>
      <c r="GH71" s="426"/>
      <c r="GI71" s="426"/>
      <c r="GJ71" s="426"/>
      <c r="GK71" s="426"/>
      <c r="GL71" s="426"/>
      <c r="GM71" s="426"/>
      <c r="GN71" s="426"/>
      <c r="GO71" s="426"/>
      <c r="GP71" s="426"/>
      <c r="GQ71" s="426"/>
      <c r="GR71" s="426"/>
      <c r="GS71" s="426"/>
      <c r="GT71" s="426"/>
      <c r="GU71" s="426"/>
      <c r="GV71" s="426"/>
      <c r="GW71" s="426"/>
      <c r="GX71" s="426"/>
      <c r="GY71" s="426"/>
      <c r="GZ71" s="426"/>
      <c r="HA71" s="426"/>
      <c r="HB71" s="426"/>
      <c r="HC71" s="426"/>
      <c r="HD71" s="426"/>
      <c r="HE71" s="426"/>
      <c r="HF71" s="426"/>
      <c r="HG71" s="426"/>
      <c r="HH71" s="426"/>
      <c r="HI71" s="426"/>
      <c r="HJ71" s="426"/>
      <c r="HK71" s="426"/>
      <c r="HL71" s="426"/>
      <c r="HM71" s="426"/>
      <c r="HN71" s="426"/>
      <c r="HO71" s="426"/>
      <c r="HP71" s="426"/>
      <c r="HQ71" s="426"/>
      <c r="HR71" s="426"/>
      <c r="HS71" s="426"/>
      <c r="HT71" s="426"/>
      <c r="HU71" s="426"/>
      <c r="HV71" s="426"/>
      <c r="HW71" s="426"/>
      <c r="HX71" s="426"/>
    </row>
    <row r="72" spans="1:232" ht="11.55" customHeight="1">
      <c r="A72" s="457" t="s">
        <v>155</v>
      </c>
      <c r="B72" s="426"/>
      <c r="C72" s="426" t="str">
        <f>IF(ISTEXT(IFERROR(VLOOKUP(A72,职业列表!I3:J10,1,FALSE),0)),"★","")</f>
        <v/>
      </c>
      <c r="D72" s="426"/>
      <c r="E72" s="426"/>
      <c r="F72" s="426"/>
      <c r="G72" s="426"/>
      <c r="H72" s="426"/>
      <c r="I72" s="426"/>
      <c r="J72" s="426"/>
      <c r="K72" s="426"/>
      <c r="L72" s="426"/>
      <c r="M72" s="426"/>
      <c r="N72" s="426"/>
      <c r="O72" s="426"/>
      <c r="P72" s="426"/>
      <c r="Q72" s="426"/>
      <c r="R72" s="426"/>
      <c r="S72" s="426"/>
      <c r="T72" s="426"/>
      <c r="U72" s="426"/>
      <c r="V72" s="426"/>
      <c r="W72" s="426"/>
      <c r="X72" s="426"/>
      <c r="Y72" s="426"/>
      <c r="Z72" s="426"/>
      <c r="AA72" s="426"/>
      <c r="AB72" s="426"/>
      <c r="AC72" s="426"/>
      <c r="AD72" s="426"/>
      <c r="AE72" s="426"/>
      <c r="AF72" s="426"/>
      <c r="AG72" s="426"/>
      <c r="AH72" s="426"/>
      <c r="AI72" s="426"/>
      <c r="AJ72" s="426"/>
      <c r="AK72" s="426"/>
      <c r="AL72" s="426"/>
      <c r="AM72" s="426"/>
      <c r="AN72" s="426"/>
      <c r="AO72" s="426"/>
      <c r="AP72" s="426"/>
      <c r="AQ72" s="426"/>
      <c r="AR72" s="426"/>
      <c r="AS72" s="426"/>
      <c r="AT72" s="426"/>
      <c r="AU72" s="426"/>
      <c r="AV72" s="426"/>
      <c r="AW72" s="426"/>
      <c r="AX72" s="426"/>
      <c r="AY72" s="426"/>
      <c r="AZ72" s="426"/>
      <c r="BA72" s="426"/>
      <c r="BB72" s="426"/>
      <c r="BC72" s="426"/>
      <c r="BD72" s="426"/>
      <c r="BE72" s="426"/>
      <c r="BF72" s="426"/>
      <c r="BG72" s="426"/>
      <c r="BH72" s="426"/>
      <c r="BI72" s="426"/>
      <c r="BJ72" s="426"/>
      <c r="BK72" s="426"/>
      <c r="BL72" s="426"/>
      <c r="BM72" s="426"/>
      <c r="BN72" s="426"/>
      <c r="BO72" s="426"/>
      <c r="BP72" s="426"/>
      <c r="BQ72" s="426"/>
      <c r="BR72" s="426"/>
      <c r="BS72" s="426"/>
      <c r="BT72" s="426"/>
      <c r="BU72" s="426"/>
      <c r="BV72" s="426"/>
      <c r="BW72" s="426"/>
      <c r="BX72" s="426"/>
      <c r="BY72" s="426"/>
      <c r="BZ72" s="426"/>
      <c r="CA72" s="426"/>
      <c r="CB72" s="426"/>
      <c r="CC72" s="426"/>
      <c r="CD72" s="426"/>
      <c r="CE72" s="426"/>
      <c r="CF72" s="426"/>
      <c r="CG72" s="426"/>
      <c r="CH72" s="426"/>
      <c r="CI72" s="426"/>
      <c r="CJ72" s="426"/>
      <c r="CK72" s="426"/>
      <c r="CL72" s="426"/>
      <c r="CM72" s="426"/>
      <c r="CN72" s="426"/>
      <c r="CO72" s="426"/>
      <c r="CP72" s="426"/>
      <c r="CQ72" s="426"/>
      <c r="CR72" s="426"/>
      <c r="CS72" s="426"/>
      <c r="CT72" s="426"/>
      <c r="CU72" s="426"/>
      <c r="CV72" s="426"/>
      <c r="CW72" s="426"/>
      <c r="CX72" s="426"/>
      <c r="CY72" s="426"/>
      <c r="CZ72" s="426"/>
      <c r="DA72" s="426"/>
      <c r="DB72" s="426"/>
      <c r="DC72" s="426"/>
      <c r="DD72" s="426"/>
      <c r="DE72" s="426"/>
      <c r="DF72" s="426"/>
      <c r="DG72" s="426"/>
      <c r="DH72" s="426"/>
      <c r="DI72" s="426"/>
      <c r="DJ72" s="426"/>
      <c r="DK72" s="426"/>
      <c r="DL72" s="426"/>
      <c r="DM72" s="426"/>
      <c r="DN72" s="426"/>
      <c r="DO72" s="426"/>
      <c r="DP72" s="426"/>
      <c r="DQ72" s="426"/>
      <c r="DR72" s="426"/>
      <c r="DS72" s="426"/>
      <c r="DT72" s="426"/>
      <c r="DU72" s="426"/>
      <c r="DV72" s="426"/>
      <c r="DW72" s="426"/>
      <c r="DX72" s="426"/>
      <c r="DY72" s="426"/>
      <c r="DZ72" s="426"/>
      <c r="EA72" s="426"/>
      <c r="EB72" s="426"/>
      <c r="EC72" s="426"/>
      <c r="ED72" s="426"/>
      <c r="EE72" s="426"/>
      <c r="EF72" s="426"/>
      <c r="EG72" s="426"/>
      <c r="EH72" s="426"/>
      <c r="EI72" s="426"/>
      <c r="EJ72" s="426"/>
      <c r="EK72" s="426"/>
      <c r="EL72" s="426"/>
      <c r="EM72" s="426"/>
      <c r="EN72" s="426"/>
      <c r="EO72" s="426"/>
      <c r="EP72" s="426"/>
      <c r="EQ72" s="426"/>
      <c r="ER72" s="426"/>
      <c r="ES72" s="426"/>
      <c r="ET72" s="426"/>
      <c r="EU72" s="426"/>
      <c r="EV72" s="426"/>
      <c r="EW72" s="426"/>
      <c r="EX72" s="426"/>
      <c r="EY72" s="426"/>
      <c r="EZ72" s="426"/>
      <c r="FA72" s="426"/>
      <c r="FB72" s="426"/>
      <c r="FC72" s="426"/>
      <c r="FD72" s="426"/>
      <c r="FE72" s="410" t="s">
        <v>93</v>
      </c>
      <c r="FF72" s="410" t="s">
        <v>93</v>
      </c>
      <c r="FG72" s="410" t="s">
        <v>93</v>
      </c>
      <c r="FH72" s="410" t="s">
        <v>93</v>
      </c>
      <c r="FI72" s="409"/>
      <c r="FJ72" s="410" t="s">
        <v>93</v>
      </c>
      <c r="FK72" s="410" t="s">
        <v>93</v>
      </c>
      <c r="FL72" s="410" t="s">
        <v>93</v>
      </c>
      <c r="FM72" s="426"/>
      <c r="FN72" s="426"/>
      <c r="FO72" s="426"/>
      <c r="FP72" s="426"/>
      <c r="FQ72" s="426"/>
      <c r="FR72" s="426"/>
      <c r="FS72" s="426"/>
      <c r="FT72" s="426"/>
      <c r="FU72" s="426"/>
      <c r="FV72" s="426"/>
      <c r="FW72" s="426"/>
      <c r="FX72" s="426"/>
      <c r="FY72" s="426"/>
      <c r="FZ72" s="426"/>
      <c r="GA72" s="426"/>
      <c r="GB72" s="426"/>
      <c r="GC72" s="426"/>
      <c r="GD72" s="426"/>
      <c r="GE72" s="426"/>
      <c r="GF72" s="426"/>
      <c r="GG72" s="426"/>
      <c r="GH72" s="426"/>
      <c r="GI72" s="426"/>
      <c r="GJ72" s="426"/>
      <c r="GK72" s="426"/>
      <c r="GL72" s="426"/>
      <c r="GM72" s="426"/>
      <c r="GN72" s="426"/>
      <c r="GO72" s="426"/>
      <c r="GP72" s="426"/>
      <c r="GQ72" s="426"/>
      <c r="GR72" s="426"/>
      <c r="GS72" s="426"/>
      <c r="GT72" s="426"/>
      <c r="GU72" s="426"/>
      <c r="GV72" s="426"/>
      <c r="GW72" s="426"/>
      <c r="GX72" s="426"/>
      <c r="GY72" s="426"/>
      <c r="GZ72" s="426"/>
      <c r="HA72" s="426"/>
      <c r="HB72" s="426"/>
      <c r="HC72" s="426"/>
      <c r="HD72" s="426"/>
      <c r="HE72" s="426"/>
      <c r="HF72" s="426"/>
      <c r="HG72" s="426"/>
      <c r="HH72" s="426"/>
      <c r="HI72" s="426"/>
      <c r="HJ72" s="426"/>
      <c r="HK72" s="426"/>
      <c r="HL72" s="426"/>
      <c r="HM72" s="426"/>
      <c r="HN72" s="426"/>
      <c r="HO72" s="426"/>
      <c r="HP72" s="426"/>
      <c r="HQ72" s="426"/>
      <c r="HR72" s="426"/>
      <c r="HS72" s="426"/>
      <c r="HT72" s="426"/>
      <c r="HU72" s="426"/>
      <c r="HV72" s="426"/>
      <c r="HW72" s="426"/>
      <c r="HX72" s="426"/>
    </row>
    <row r="73" spans="1:232" ht="11.55" customHeight="1">
      <c r="A73" s="458" t="str">
        <f>人物卡!AB48</f>
        <v>自定义技能</v>
      </c>
      <c r="B73" s="426"/>
      <c r="C73" s="426" t="str">
        <f>IF(ISTEXT(IFERROR(VLOOKUP(A73,职业列表!I3:J10,1,FALSE),0)),"★","")</f>
        <v/>
      </c>
      <c r="D73" s="426"/>
      <c r="E73" s="426"/>
      <c r="F73" s="426"/>
      <c r="G73" s="426"/>
      <c r="H73" s="426"/>
      <c r="I73" s="426"/>
      <c r="J73" s="426"/>
      <c r="K73" s="426"/>
      <c r="L73" s="426"/>
      <c r="M73" s="426"/>
      <c r="N73" s="426"/>
      <c r="O73" s="426"/>
      <c r="P73" s="426"/>
      <c r="Q73" s="426"/>
      <c r="R73" s="426"/>
      <c r="S73" s="426"/>
      <c r="T73" s="426"/>
      <c r="U73" s="426"/>
      <c r="V73" s="426"/>
      <c r="W73" s="426"/>
      <c r="X73" s="426"/>
      <c r="Y73" s="426"/>
      <c r="Z73" s="426"/>
      <c r="AA73" s="426"/>
      <c r="AB73" s="426"/>
      <c r="AC73" s="426"/>
      <c r="AD73" s="426"/>
      <c r="AE73" s="426"/>
      <c r="AF73" s="426"/>
      <c r="AG73" s="426"/>
      <c r="AH73" s="426"/>
      <c r="AI73" s="426"/>
      <c r="AJ73" s="426"/>
      <c r="AK73" s="426"/>
      <c r="AL73" s="426"/>
      <c r="AM73" s="426"/>
      <c r="AN73" s="426"/>
      <c r="AO73" s="426"/>
      <c r="AP73" s="426"/>
      <c r="AQ73" s="426"/>
      <c r="AR73" s="426"/>
      <c r="AS73" s="426"/>
      <c r="AT73" s="426"/>
      <c r="AU73" s="426"/>
      <c r="AV73" s="426"/>
      <c r="AW73" s="426"/>
      <c r="AX73" s="426"/>
      <c r="AY73" s="426"/>
      <c r="AZ73" s="426"/>
      <c r="BA73" s="426"/>
      <c r="BB73" s="426"/>
      <c r="BC73" s="426"/>
      <c r="BD73" s="426"/>
      <c r="BE73" s="426"/>
      <c r="BF73" s="426"/>
      <c r="BG73" s="426"/>
      <c r="BH73" s="426"/>
      <c r="BI73" s="426"/>
      <c r="BJ73" s="426"/>
      <c r="BK73" s="426"/>
      <c r="BL73" s="426"/>
      <c r="BM73" s="426"/>
      <c r="BN73" s="426"/>
      <c r="BO73" s="426"/>
      <c r="BP73" s="426"/>
      <c r="BQ73" s="426"/>
      <c r="BR73" s="426"/>
      <c r="BS73" s="426"/>
      <c r="BT73" s="426"/>
      <c r="BU73" s="426"/>
      <c r="BV73" s="426"/>
      <c r="BW73" s="426"/>
      <c r="BX73" s="426"/>
      <c r="BY73" s="426"/>
      <c r="BZ73" s="426"/>
      <c r="CA73" s="426"/>
      <c r="CB73" s="426"/>
      <c r="CC73" s="426"/>
      <c r="CD73" s="426"/>
      <c r="CE73" s="426"/>
      <c r="CF73" s="426"/>
      <c r="CG73" s="426"/>
      <c r="CH73" s="426"/>
      <c r="CI73" s="426"/>
      <c r="CJ73" s="426"/>
      <c r="CK73" s="426"/>
      <c r="CL73" s="426"/>
      <c r="CM73" s="426"/>
      <c r="CN73" s="426"/>
      <c r="CO73" s="426"/>
      <c r="CP73" s="426"/>
      <c r="CQ73" s="426"/>
      <c r="CR73" s="426"/>
      <c r="CS73" s="426"/>
      <c r="CT73" s="426"/>
      <c r="CU73" s="426"/>
      <c r="CV73" s="426"/>
      <c r="CW73" s="426"/>
      <c r="CX73" s="426"/>
      <c r="CY73" s="426"/>
      <c r="CZ73" s="426"/>
      <c r="DA73" s="426"/>
      <c r="DB73" s="426"/>
      <c r="DC73" s="426"/>
      <c r="DD73" s="426"/>
      <c r="DE73" s="426"/>
      <c r="DF73" s="426"/>
      <c r="DG73" s="426"/>
      <c r="DH73" s="426"/>
      <c r="DI73" s="426"/>
      <c r="DJ73" s="426"/>
      <c r="DK73" s="426"/>
      <c r="DL73" s="426"/>
      <c r="DM73" s="426"/>
      <c r="DN73" s="426"/>
      <c r="DO73" s="426"/>
      <c r="DP73" s="426"/>
      <c r="DQ73" s="426"/>
      <c r="DR73" s="426"/>
      <c r="DS73" s="426"/>
      <c r="DT73" s="426"/>
      <c r="DU73" s="426"/>
      <c r="DV73" s="426"/>
      <c r="DW73" s="426"/>
      <c r="DX73" s="426"/>
      <c r="DY73" s="426"/>
      <c r="DZ73" s="426"/>
      <c r="EA73" s="426"/>
      <c r="EB73" s="426"/>
      <c r="EC73" s="426"/>
      <c r="ED73" s="426"/>
      <c r="EE73" s="426"/>
      <c r="EF73" s="426"/>
      <c r="EG73" s="426"/>
      <c r="EH73" s="426"/>
      <c r="EI73" s="426"/>
      <c r="EJ73" s="426"/>
      <c r="EK73" s="426"/>
      <c r="EL73" s="426"/>
      <c r="EM73" s="426"/>
      <c r="EN73" s="426"/>
      <c r="EO73" s="426"/>
      <c r="EP73" s="426"/>
      <c r="EQ73" s="426"/>
      <c r="ER73" s="426"/>
      <c r="ES73" s="426"/>
      <c r="ET73" s="426"/>
      <c r="EU73" s="426"/>
      <c r="EV73" s="426"/>
      <c r="EW73" s="426"/>
      <c r="EX73" s="426"/>
      <c r="EY73" s="426"/>
      <c r="EZ73" s="426"/>
      <c r="FA73" s="426"/>
      <c r="FB73" s="426"/>
      <c r="FC73" s="426"/>
      <c r="FD73" s="426"/>
      <c r="FE73" s="426"/>
      <c r="FF73" s="426"/>
      <c r="FG73" s="426"/>
      <c r="FH73" s="426"/>
      <c r="FI73" s="426"/>
      <c r="FJ73" s="426"/>
      <c r="FK73" s="426"/>
      <c r="FL73" s="426"/>
      <c r="FM73" s="426"/>
      <c r="FN73" s="426"/>
      <c r="FO73" s="426"/>
      <c r="FP73" s="426"/>
      <c r="FQ73" s="426"/>
      <c r="FR73" s="426"/>
      <c r="FS73" s="426"/>
      <c r="FT73" s="426"/>
      <c r="FU73" s="426"/>
      <c r="FV73" s="426"/>
      <c r="FW73" s="426"/>
      <c r="FX73" s="426"/>
      <c r="FY73" s="426"/>
      <c r="FZ73" s="426"/>
      <c r="GA73" s="426"/>
      <c r="GB73" s="426"/>
      <c r="GC73" s="426"/>
      <c r="GD73" s="426"/>
      <c r="GE73" s="426"/>
      <c r="GF73" s="426"/>
      <c r="GG73" s="426"/>
      <c r="GH73" s="426"/>
      <c r="GI73" s="426"/>
      <c r="GJ73" s="426"/>
      <c r="GK73" s="426"/>
      <c r="GL73" s="426"/>
      <c r="GM73" s="426"/>
      <c r="GN73" s="426"/>
      <c r="GO73" s="426"/>
      <c r="GP73" s="426"/>
      <c r="GQ73" s="426"/>
      <c r="GR73" s="426"/>
      <c r="GS73" s="426"/>
      <c r="GT73" s="426"/>
      <c r="GU73" s="426"/>
      <c r="GV73" s="426"/>
      <c r="GW73" s="426"/>
      <c r="GX73" s="426"/>
      <c r="GY73" s="426"/>
      <c r="GZ73" s="426"/>
      <c r="HA73" s="426"/>
      <c r="HB73" s="426"/>
      <c r="HC73" s="426"/>
      <c r="HD73" s="426"/>
      <c r="HE73" s="426"/>
      <c r="HF73" s="426"/>
      <c r="HG73" s="426"/>
      <c r="HH73" s="426"/>
      <c r="HI73" s="426"/>
      <c r="HJ73" s="426"/>
      <c r="HK73" s="426"/>
      <c r="HL73" s="426"/>
      <c r="HM73" s="426"/>
      <c r="HN73" s="426"/>
      <c r="HO73" s="426"/>
      <c r="HP73" s="426"/>
      <c r="HQ73" s="426"/>
      <c r="HR73" s="426"/>
      <c r="HS73" s="426"/>
      <c r="HT73" s="426"/>
      <c r="HU73" s="426"/>
      <c r="HV73" s="426"/>
      <c r="HW73" s="426"/>
      <c r="HX73" s="426"/>
    </row>
    <row r="74" spans="1:232" ht="11.55" customHeight="1">
      <c r="A74" s="425" t="n">
        <f>人物卡!AB49</f>
        <v>0</v>
      </c>
      <c r="B74" s="426"/>
      <c r="C74" s="426" t="str">
        <f>IF(ISTEXT(IFERROR(VLOOKUP(A74,职业列表!I3:J10,1,FALSE),0)),"★","")</f>
        <v/>
      </c>
      <c r="D74" s="426"/>
      <c r="E74" s="426"/>
      <c r="F74" s="426"/>
      <c r="G74" s="426"/>
      <c r="H74" s="426"/>
      <c r="I74" s="426"/>
      <c r="J74" s="426"/>
      <c r="K74" s="426"/>
      <c r="L74" s="426"/>
      <c r="M74" s="426"/>
      <c r="N74" s="426"/>
      <c r="O74" s="426"/>
      <c r="P74" s="426"/>
      <c r="Q74" s="426"/>
      <c r="R74" s="426"/>
      <c r="S74" s="426"/>
      <c r="T74" s="426"/>
      <c r="U74" s="426"/>
      <c r="V74" s="426"/>
      <c r="W74" s="426"/>
      <c r="X74" s="426"/>
      <c r="Y74" s="426"/>
      <c r="Z74" s="426"/>
      <c r="AA74" s="426"/>
      <c r="AB74" s="426"/>
      <c r="AC74" s="426"/>
      <c r="AD74" s="426"/>
      <c r="AE74" s="426"/>
      <c r="AF74" s="426"/>
      <c r="AG74" s="426"/>
      <c r="AH74" s="426"/>
      <c r="AI74" s="426"/>
      <c r="AJ74" s="426"/>
      <c r="AK74" s="426"/>
      <c r="AL74" s="426"/>
      <c r="AM74" s="426"/>
      <c r="AN74" s="426"/>
      <c r="AO74" s="426"/>
      <c r="AP74" s="426"/>
      <c r="AQ74" s="426"/>
      <c r="AR74" s="426"/>
      <c r="AS74" s="426"/>
      <c r="AT74" s="426"/>
      <c r="AU74" s="426"/>
      <c r="AV74" s="426"/>
      <c r="AW74" s="426"/>
      <c r="AX74" s="426"/>
      <c r="AY74" s="426"/>
      <c r="AZ74" s="426"/>
      <c r="BA74" s="426"/>
      <c r="BB74" s="426"/>
      <c r="BC74" s="426"/>
      <c r="BD74" s="426"/>
      <c r="BE74" s="426"/>
      <c r="BF74" s="426"/>
      <c r="BG74" s="426"/>
      <c r="BH74" s="426"/>
      <c r="BI74" s="426"/>
      <c r="BJ74" s="426"/>
      <c r="BK74" s="426"/>
      <c r="BL74" s="426"/>
      <c r="BM74" s="426"/>
      <c r="BN74" s="426"/>
      <c r="BO74" s="426"/>
      <c r="BP74" s="426"/>
      <c r="BQ74" s="426"/>
      <c r="BR74" s="426"/>
      <c r="BS74" s="426"/>
      <c r="BT74" s="426"/>
      <c r="BU74" s="426"/>
      <c r="BV74" s="426"/>
      <c r="BW74" s="426"/>
      <c r="BX74" s="426"/>
      <c r="BY74" s="426"/>
      <c r="BZ74" s="426"/>
      <c r="CA74" s="426"/>
      <c r="CB74" s="426"/>
      <c r="CC74" s="426"/>
      <c r="CD74" s="426"/>
      <c r="CE74" s="426"/>
      <c r="CF74" s="426"/>
      <c r="CG74" s="426"/>
      <c r="CH74" s="426"/>
      <c r="CI74" s="426"/>
      <c r="CJ74" s="426"/>
      <c r="CK74" s="426"/>
      <c r="CL74" s="426"/>
      <c r="CM74" s="426"/>
      <c r="CN74" s="426"/>
      <c r="CO74" s="426"/>
      <c r="CP74" s="426"/>
      <c r="CQ74" s="426"/>
      <c r="CR74" s="426"/>
      <c r="CS74" s="426"/>
      <c r="CT74" s="426"/>
      <c r="CU74" s="426"/>
      <c r="CV74" s="426"/>
      <c r="CW74" s="426"/>
      <c r="CX74" s="426"/>
      <c r="CY74" s="426"/>
      <c r="CZ74" s="426"/>
      <c r="DA74" s="426"/>
      <c r="DB74" s="426"/>
      <c r="DC74" s="426"/>
      <c r="DD74" s="426"/>
      <c r="DE74" s="426"/>
      <c r="DF74" s="426"/>
      <c r="DG74" s="426"/>
      <c r="DH74" s="426"/>
      <c r="DI74" s="426"/>
      <c r="DJ74" s="426"/>
      <c r="DK74" s="426"/>
      <c r="DL74" s="426"/>
      <c r="DM74" s="426"/>
      <c r="DN74" s="426"/>
      <c r="DO74" s="426"/>
      <c r="DP74" s="426"/>
      <c r="DQ74" s="426"/>
      <c r="DR74" s="426"/>
      <c r="DS74" s="426"/>
      <c r="DT74" s="426"/>
      <c r="DU74" s="426"/>
      <c r="DV74" s="426"/>
      <c r="DW74" s="426"/>
      <c r="DX74" s="426"/>
      <c r="DY74" s="426"/>
      <c r="DZ74" s="426"/>
      <c r="EA74" s="426"/>
      <c r="EB74" s="426"/>
      <c r="EC74" s="426"/>
      <c r="ED74" s="426"/>
      <c r="EE74" s="426"/>
      <c r="EF74" s="426"/>
      <c r="EG74" s="426"/>
      <c r="EH74" s="426"/>
      <c r="EI74" s="426"/>
      <c r="EJ74" s="426"/>
      <c r="EK74" s="426"/>
      <c r="EL74" s="426"/>
      <c r="EM74" s="426"/>
      <c r="EN74" s="426"/>
      <c r="EO74" s="426"/>
      <c r="EP74" s="426"/>
      <c r="EQ74" s="426"/>
      <c r="ER74" s="426"/>
      <c r="ES74" s="426"/>
      <c r="ET74" s="426"/>
      <c r="EU74" s="426"/>
      <c r="EV74" s="426"/>
      <c r="EW74" s="426"/>
      <c r="EX74" s="426"/>
      <c r="EY74" s="426"/>
      <c r="EZ74" s="426"/>
      <c r="FA74" s="426"/>
      <c r="FB74" s="426"/>
      <c r="FC74" s="426"/>
      <c r="FD74" s="426"/>
      <c r="FE74" s="426"/>
      <c r="FF74" s="426"/>
      <c r="FG74" s="426"/>
      <c r="FH74" s="426"/>
      <c r="FI74" s="426"/>
      <c r="FJ74" s="426"/>
      <c r="FK74" s="426"/>
      <c r="FL74" s="426"/>
      <c r="FM74" s="426"/>
      <c r="FN74" s="426"/>
      <c r="FO74" s="426"/>
      <c r="FP74" s="426"/>
      <c r="FQ74" s="426"/>
      <c r="FR74" s="426"/>
      <c r="FS74" s="426"/>
      <c r="FT74" s="426"/>
      <c r="FU74" s="426"/>
      <c r="FV74" s="426"/>
      <c r="FW74" s="426"/>
      <c r="FX74" s="426"/>
      <c r="FY74" s="426"/>
      <c r="FZ74" s="426"/>
      <c r="GA74" s="426"/>
      <c r="GB74" s="426"/>
      <c r="GC74" s="426"/>
      <c r="GD74" s="426"/>
      <c r="GE74" s="426"/>
      <c r="GF74" s="426"/>
      <c r="GG74" s="426"/>
      <c r="GH74" s="426"/>
      <c r="GI74" s="426"/>
      <c r="GJ74" s="426"/>
      <c r="GK74" s="426"/>
      <c r="GL74" s="426"/>
      <c r="GM74" s="426"/>
      <c r="GN74" s="426"/>
      <c r="GO74" s="426"/>
      <c r="GP74" s="426"/>
      <c r="GQ74" s="426"/>
      <c r="GR74" s="426"/>
      <c r="GS74" s="426"/>
      <c r="GT74" s="426"/>
      <c r="GU74" s="426"/>
      <c r="GV74" s="426"/>
      <c r="GW74" s="426"/>
      <c r="GX74" s="426"/>
      <c r="GY74" s="426"/>
      <c r="GZ74" s="426"/>
      <c r="HA74" s="426"/>
      <c r="HB74" s="426"/>
      <c r="HC74" s="426"/>
      <c r="HD74" s="426"/>
      <c r="HE74" s="426"/>
      <c r="HF74" s="426"/>
      <c r="HG74" s="426"/>
      <c r="HH74" s="426"/>
      <c r="HI74" s="426"/>
      <c r="HJ74" s="426"/>
      <c r="HK74" s="426"/>
      <c r="HL74" s="426"/>
      <c r="HM74" s="426"/>
      <c r="HN74" s="426"/>
      <c r="HO74" s="426"/>
      <c r="HP74" s="426"/>
      <c r="HQ74" s="426"/>
      <c r="HR74" s="426"/>
      <c r="HS74" s="426"/>
      <c r="HT74" s="426"/>
      <c r="HU74" s="426"/>
      <c r="HV74" s="426"/>
      <c r="HW74" s="426"/>
      <c r="HX74" s="426"/>
    </row>
  </sheetData>
  <phoneticPr fontId="16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C491"/>
  <sheetViews>
    <sheetView workbookViewId="0">
      <selection activeCell="AO32" sqref="AO32"/>
    </sheetView>
  </sheetViews>
  <sheetFormatPr defaultColWidth="9" defaultRowHeight="15"/>
  <cols>
    <col min="1" max="3" width="9" style="374" customWidth="1"/>
    <col min="4" max="4" width="11.33203125" style="374" customWidth="1"/>
    <col min="5" max="5" width="8.77734375" style="374" customWidth="1"/>
    <col min="6" max="6" width="9.6640625" style="374" customWidth="1"/>
    <col min="7" max="7" width="11.21875" style="374" customWidth="1"/>
    <col min="8" max="8" width="10.21875" style="374" customWidth="1"/>
    <col min="9" max="9" width="9" style="374" customWidth="1"/>
    <col min="10" max="10" width="9.109375" style="374" customWidth="1"/>
    <col min="11" max="11" width="12.33203125" style="374" customWidth="1"/>
    <col min="12" max="26" width="9" style="374" customWidth="1"/>
    <col min="27" max="27" width="9.77734375" style="374" customWidth="1"/>
    <col min="28" max="29" width="9" style="374" customWidth="1"/>
    <col min="30" max="30" width="13.44140625" style="374" customWidth="1"/>
    <col min="31" max="31" width="10.6640625" style="374" customWidth="1"/>
    <col min="32" max="34" width="17.77734375" style="374" customWidth="1"/>
    <col min="35" max="37" width="14.6640625" style="374" customWidth="1"/>
    <col min="38" max="40" width="15.88671875" style="374" customWidth="1"/>
    <col min="41" max="41" width="37.6640625" style="374" customWidth="1"/>
    <col min="42" max="42" width="26.109375" style="374" customWidth="1"/>
    <col min="43" max="43" width="10.109375" style="374" customWidth="1"/>
    <col min="44" max="44" width="10.88671875" style="374" customWidth="1"/>
    <col min="45" max="45" width="16" style="374" customWidth="1"/>
    <col min="46" max="51" width="9" style="374" customWidth="1"/>
    <col min="52" max="52" width="14" style="374" customWidth="1"/>
    <col min="53" max="53" width="17.77734375" style="374" customWidth="1"/>
    <col min="54" max="54" width="19.6640625" style="374" customWidth="1"/>
    <col min="55" max="56" width="9" style="374" customWidth="1"/>
    <col min="57" max="16384" width="9" style="374"/>
  </cols>
  <sheetData>
    <row r="1" spans="1:53" ht="14.1" customHeight="1">
      <c r="AJ1" s="1567" t="s">
        <v>470</v>
      </c>
      <c r="AK1" s="1029"/>
      <c r="AL1" s="1029"/>
    </row>
    <row r="2" spans="1:53">
      <c r="B2" s="1449" t="s">
        <v>1422</v>
      </c>
      <c r="C2" s="1029"/>
      <c r="D2" s="1029"/>
      <c r="E2" s="1029"/>
      <c r="S2" s="1566" t="s">
        <v>1350</v>
      </c>
      <c r="T2" s="1088"/>
      <c r="U2" s="1088"/>
      <c r="V2" s="1088"/>
      <c r="W2" s="1088"/>
      <c r="X2" s="1088"/>
      <c r="Y2" s="1088"/>
      <c r="Z2" s="1088"/>
      <c r="AA2" s="1088"/>
      <c r="AB2" s="1088"/>
      <c r="AC2" s="1088"/>
      <c r="AD2" s="1088"/>
      <c r="AE2" s="1088"/>
      <c r="AF2" s="1088"/>
      <c r="AG2" s="1088"/>
      <c r="AH2" s="1088"/>
      <c r="AI2" s="1089"/>
    </row>
    <row r="3" spans="1:53" ht="16.350000000000001" customHeight="1">
      <c r="A3" s="1558" t="s">
        <v>1423</v>
      </c>
      <c r="B3" s="1575" t="s">
        <v>1424</v>
      </c>
      <c r="C3" s="1571" t="s">
        <v>1425</v>
      </c>
      <c r="D3" s="631" t="s">
        <v>1426</v>
      </c>
      <c r="E3" s="632" t="n">
        <f>G14-I14</f>
        <v>0</v>
      </c>
      <c r="G3" s="633" t="s">
        <v>1427</v>
      </c>
      <c r="H3" s="634" t="s">
        <v>1428</v>
      </c>
      <c r="I3" s="634" t="s">
        <v>1429</v>
      </c>
      <c r="J3" s="634" t="s">
        <v>1430</v>
      </c>
      <c r="K3" s="634"/>
      <c r="L3" s="632"/>
      <c r="N3" s="1566" t="s">
        <v>1431</v>
      </c>
      <c r="O3" s="1088"/>
      <c r="P3" s="1089"/>
      <c r="S3" s="635" t="s">
        <v>475</v>
      </c>
      <c r="T3" s="636" t="s">
        <v>1432</v>
      </c>
      <c r="U3" s="637" t="s">
        <v>477</v>
      </c>
      <c r="V3" s="638" t="s">
        <v>1433</v>
      </c>
      <c r="W3" s="638"/>
      <c r="X3" s="638"/>
      <c r="Y3" s="638"/>
      <c r="Z3" s="368"/>
      <c r="AA3" s="368"/>
      <c r="AB3" s="368"/>
      <c r="AD3" s="368"/>
      <c r="AE3" s="368"/>
      <c r="AF3" s="368"/>
      <c r="AI3" s="377"/>
    </row>
    <row r="4" spans="1:53" ht="16.350000000000001" customHeight="1">
      <c r="A4" s="1559"/>
      <c r="B4" s="1034"/>
      <c r="C4" s="1408"/>
      <c r="D4" s="639" t="s">
        <v>1434</v>
      </c>
      <c r="E4" s="377" t="n">
        <f>J14-I14</f>
        <v>0</v>
      </c>
      <c r="G4" s="376" t="s">
        <v>1435</v>
      </c>
      <c r="H4" s="374" t="s">
        <v>1436</v>
      </c>
      <c r="I4" s="374" t="s">
        <v>1437</v>
      </c>
      <c r="J4" s="374" t="s">
        <v>1438</v>
      </c>
      <c r="K4" s="374" t="s">
        <v>1439</v>
      </c>
      <c r="L4" s="377" t="s">
        <v>1440</v>
      </c>
      <c r="N4" s="376" t="s">
        <v>1441</v>
      </c>
      <c r="P4" s="377"/>
      <c r="S4" s="640" t="str">
        <f>"力量×"&amp;U4</f>
        <v>力量×0</v>
      </c>
      <c r="T4" s="641" t="str">
        <f>职业列表!I15</f>
        <v>×</v>
      </c>
      <c r="U4" s="642" t="n">
        <f>职业列表!J15</f>
        <v>0</v>
      </c>
      <c r="V4" s="368" t="n">
        <f>G14*U4</f>
        <v>0</v>
      </c>
      <c r="W4" s="368"/>
      <c r="X4" s="643" t="str">
        <f>IF(U4&gt;0,S4,"")</f>
        <v/>
      </c>
      <c r="Y4" s="644" t="str">
        <f>IF(AND(U5&gt;0,U4&gt;0),"+","")</f>
        <v/>
      </c>
      <c r="Z4" s="368" t="str">
        <f>IF(U5&gt;0,S5,"")</f>
        <v/>
      </c>
      <c r="AA4" s="368"/>
      <c r="AC4" s="368"/>
      <c r="AD4" s="368"/>
      <c r="AE4" s="368"/>
      <c r="AF4" s="368"/>
      <c r="AI4" s="377"/>
      <c r="AK4" s="463"/>
    </row>
    <row r="5" spans="1:53" ht="16.350000000000001" customHeight="1">
      <c r="A5" s="645" t="n">
        <f>IF(人物卡!AI12="开",1,IF(人物卡!AI12="关",0))</f>
        <v>0</v>
      </c>
      <c r="B5" s="376" t="n">
        <f>IF(人物卡!AN12=0,"0",VLOOKUP(人物卡!AN12,'防具表 载具表'!B2:I101,3,FALSE))</f>
        <v>0</v>
      </c>
      <c r="C5" s="639" t="n">
        <f>IF(人物卡!E6&lt;40,0,INT((人物卡!E6/10)-3))</f>
        <v>0</v>
      </c>
      <c r="D5" s="639" t="s">
        <v>1442</v>
      </c>
      <c r="E5" s="377" t="str">
        <f>IF(E3&gt;0,"1",IF(E3=0,"0",IF(E3&lt;0,"-1")))</f>
        <v>0</v>
      </c>
      <c r="G5" s="376" t="n">
        <f>AVERAGE(人物卡!AA7+人物卡!R16+人物卡!R17+人物卡!R18+人物卡!R19+人物卡!R25+人物卡!R27+人物卡!R46+人物卡!R47+人物卡!R48+人物卡!AN17+人物卡!AN18+人物卡!AN22+人物卡!AN24+人物卡!AN28+人物卡!AN29+人物卡!AN35+人物卡!AN40+人物卡!AN44-122)</f>
        <v>0</v>
      </c>
      <c r="H5" s="374" t="n">
        <f>AVERAGE(人物卡!AA5+人物卡!R17+人物卡!R18+人物卡!R23+人物卡!R26+人物卡!R28+人物卡!R33+人物卡!R44+人物卡!R46+人物卡!R47+人物卡!R48+人物卡!R49+人物卡!AN16+人物卡!AN26+人物卡!AN28+人物卡!AN29+人物卡!AN35+人物卡!AN40+人物卡!AN44-111-人物卡!J49)</f>
        <v>0</v>
      </c>
      <c r="I5" s="374" t="n">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0</v>
      </c>
      <c r="J5" s="374" t="n">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0</v>
      </c>
      <c r="K5" s="374" t="n">
        <f>AVERAGE(人物卡!R42+人物卡!AN21+人物卡!AN28+人物卡!R30+人物卡!AN27+人物卡!AN30+人物卡!AN23+人物卡!R26+人物卡!R17+人物卡!AN41+人物卡!AN45+人物卡!AN46-76)</f>
        <v>0</v>
      </c>
      <c r="L5" s="377" t="n">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0</v>
      </c>
      <c r="N5" s="376" t="n">
        <f>G14+I14</f>
        <v>0</v>
      </c>
      <c r="P5" s="377"/>
      <c r="R5" s="646"/>
      <c r="S5" s="640" t="str">
        <f>"敏捷×"&amp;U5</f>
        <v>敏捷×0</v>
      </c>
      <c r="T5" s="641" t="str">
        <f>职业列表!I16</f>
        <v>×</v>
      </c>
      <c r="U5" s="642" t="n">
        <f>职业列表!J16</f>
        <v>0</v>
      </c>
      <c r="V5" s="368" t="n">
        <f>J14*U5</f>
        <v>0</v>
      </c>
      <c r="W5" s="368"/>
      <c r="X5" s="376" t="str">
        <f>IF(U5&gt;0,S5,"")</f>
        <v/>
      </c>
      <c r="Y5" s="644" t="str">
        <f>IF(AND(U6&gt;0,U5&gt;0),"+","")</f>
        <v/>
      </c>
      <c r="Z5" s="368"/>
      <c r="AA5" s="368"/>
      <c r="AB5" s="368"/>
      <c r="AD5" s="368"/>
      <c r="AE5" s="368"/>
      <c r="AF5" s="368"/>
      <c r="AI5" s="377"/>
      <c r="AK5" s="463"/>
    </row>
    <row r="6" spans="1:53" ht="27.45" customHeight="1">
      <c r="A6" s="647"/>
      <c r="B6" s="630" t="s">
        <v>1443</v>
      </c>
      <c r="C6" s="648" t="s">
        <v>1444</v>
      </c>
      <c r="D6" s="639" t="s">
        <v>1445</v>
      </c>
      <c r="E6" s="377" t="str">
        <f>IF(E4&gt;0,"1",IF(E4=0,"0",IF(E4&lt;0,"-1")))</f>
        <v>0</v>
      </c>
      <c r="G6" s="376"/>
      <c r="J6" s="374" t="n">
        <f>G5+H5+I5+J5+K5+L5</f>
        <v>0</v>
      </c>
      <c r="L6" s="377"/>
      <c r="N6" s="630" t="s">
        <v>1446</v>
      </c>
      <c r="O6" s="373" t="s">
        <v>1447</v>
      </c>
      <c r="P6" s="649" t="s">
        <v>1448</v>
      </c>
      <c r="R6" s="646"/>
      <c r="S6" s="640" t="str">
        <f>"体质×"&amp;U6</f>
        <v>体质×0</v>
      </c>
      <c r="T6" s="641" t="str">
        <f>职业列表!I17</f>
        <v>×</v>
      </c>
      <c r="U6" s="642" t="n">
        <f>职业列表!J17</f>
        <v>0</v>
      </c>
      <c r="V6" s="368" t="n">
        <f>H14*U6</f>
        <v>0</v>
      </c>
      <c r="W6" s="368"/>
      <c r="X6" s="650" t="str">
        <f>IF(U6&gt;0,S6,"")</f>
        <v/>
      </c>
      <c r="Y6" s="644" t="str">
        <f>IF(AND(U7&gt;0,U6&gt;0),"+","")</f>
        <v/>
      </c>
      <c r="Z6" s="368"/>
      <c r="AA6" s="368"/>
      <c r="AB6" s="368"/>
      <c r="AC6" s="368"/>
      <c r="AD6" s="368"/>
      <c r="AE6" s="368"/>
      <c r="AF6" s="368"/>
      <c r="AI6" s="377"/>
      <c r="AK6" s="463"/>
    </row>
    <row r="7" spans="1:53" ht="16.350000000000001" customHeight="1">
      <c r="A7" s="647"/>
      <c r="B7" s="630" t="b">
        <f>ISNUMBER(B5)</f>
        <v>0</v>
      </c>
      <c r="C7" s="651" t="n">
        <f>IF(ISBLANK(人物卡!E6),0,IF(人物卡!E6&gt;=0,C5,0))</f>
        <v>0</v>
      </c>
      <c r="D7" s="639" t="s">
        <v>1449</v>
      </c>
      <c r="E7" s="377" t="n">
        <f>E6+E5</f>
        <v>0</v>
      </c>
      <c r="G7" s="376" t="s">
        <v>1435</v>
      </c>
      <c r="H7" s="374" t="s">
        <v>1436</v>
      </c>
      <c r="I7" s="374" t="s">
        <v>1437</v>
      </c>
      <c r="J7" s="374" t="s">
        <v>1438</v>
      </c>
      <c r="K7" s="374" t="s">
        <v>1439</v>
      </c>
      <c r="L7" s="377" t="s">
        <v>1440</v>
      </c>
      <c r="N7" s="376" t="str">
        <f>IF(N5&lt;=1,"0",IF(N5&lt;=64,"-2",IF(N5&lt;=84,"-1",IF(N5&lt;=124,"0",IF(N5&lt;=164,"1",IF(N5&lt;=204,"2",IF(N5&lt;=284,"3",IF(N5&gt;284,"4","0"))))))))</f>
        <v>0</v>
      </c>
      <c r="O7" s="374" t="n">
        <f>INT((N5-285)/80)</f>
        <v>-4</v>
      </c>
      <c r="P7" s="649" t="str">
        <f>IF(O7&gt;=0,O7+N7,N7)</f>
        <v>0</v>
      </c>
      <c r="R7" s="646"/>
      <c r="S7" s="640" t="str">
        <f>"体型×"&amp;U7</f>
        <v>体型×0</v>
      </c>
      <c r="T7" s="641" t="str">
        <f>职业列表!I18</f>
        <v>×</v>
      </c>
      <c r="U7" s="642" t="n">
        <f>职业列表!J18</f>
        <v>0</v>
      </c>
      <c r="V7" s="368" t="n">
        <f>I14*U7</f>
        <v>0</v>
      </c>
      <c r="W7" s="463"/>
      <c r="X7" s="650" t="str">
        <f>IF(U7&gt;0,S7,"")</f>
        <v/>
      </c>
      <c r="Y7" s="644" t="str">
        <f>IF(AND(U8&gt;0,U7&gt;0),"+","")</f>
        <v/>
      </c>
      <c r="Z7" s="368"/>
      <c r="AA7" s="368"/>
      <c r="AB7" s="368"/>
      <c r="AC7" s="368"/>
      <c r="AD7" s="368"/>
      <c r="AE7" s="368"/>
      <c r="AF7" s="368"/>
      <c r="AI7" s="377"/>
      <c r="AK7" s="463"/>
    </row>
    <row r="8" spans="1:53" ht="27.45" customHeight="1">
      <c r="A8" s="645"/>
      <c r="B8" s="652" t="s">
        <v>1450</v>
      </c>
      <c r="C8" s="629" t="str">
        <f>IF(B7=FALSE,"0",IF(A5=1,B5,0))</f>
        <v>0</v>
      </c>
      <c r="D8" s="653" t="s">
        <v>1451</v>
      </c>
      <c r="E8" s="654" t="n">
        <f>IF(E7=2,"1",IF(E7=-2,"-1",0))</f>
        <v>0</v>
      </c>
      <c r="G8" s="384" t="e">
        <f>G5/J6</f>
        <v>#DIV/0!</v>
      </c>
      <c r="H8" s="385" t="e">
        <f>H5/J6</f>
        <v>#DIV/0!</v>
      </c>
      <c r="I8" s="385" t="e">
        <f>I5/J6</f>
        <v>#DIV/0!</v>
      </c>
      <c r="J8" s="385" t="e">
        <f>J5/J6</f>
        <v>#DIV/0!</v>
      </c>
      <c r="K8" s="385" t="e">
        <f>K5/J6</f>
        <v>#DIV/0!</v>
      </c>
      <c r="L8" s="388" t="e">
        <f>L5/J6</f>
        <v>#DIV/0!</v>
      </c>
      <c r="N8" s="630" t="s">
        <v>1452</v>
      </c>
      <c r="O8" s="373" t="s">
        <v>1453</v>
      </c>
      <c r="P8" s="649" t="s">
        <v>1454</v>
      </c>
      <c r="R8" s="646"/>
      <c r="S8" s="640" t="str">
        <f>"外貌×"&amp;U8</f>
        <v>外貌×0</v>
      </c>
      <c r="T8" s="641" t="str">
        <f>职业列表!I19</f>
        <v>×</v>
      </c>
      <c r="U8" s="642" t="n">
        <f>职业列表!J19</f>
        <v>0</v>
      </c>
      <c r="V8" s="368" t="n">
        <f>K14*U8</f>
        <v>0</v>
      </c>
      <c r="W8" s="368"/>
      <c r="X8" s="650" t="str">
        <f>IF(U8&gt;0,S8,"")</f>
        <v/>
      </c>
      <c r="Y8" s="644" t="str">
        <f>IF(AND(U9&gt;0,U8&gt;0),"+","")</f>
        <v/>
      </c>
      <c r="Z8" s="368"/>
      <c r="AA8" s="368"/>
      <c r="AC8" s="368"/>
      <c r="AD8" s="368"/>
      <c r="AE8" s="368"/>
      <c r="AF8" s="368"/>
      <c r="AI8" s="377"/>
      <c r="AK8" s="463"/>
    </row>
    <row r="9" spans="1:53" ht="16.350000000000001" customHeight="1">
      <c r="B9" s="655" t="s">
        <v>1455</v>
      </c>
      <c r="C9" s="1573" t="n">
        <f>E8-C8-C7</f>
        <v>0</v>
      </c>
      <c r="D9" s="1121"/>
      <c r="E9" s="1122"/>
      <c r="N9" s="376" t="str">
        <f>IF(P7="-2","-2",IF(P7="-1","-1",IF(P7="0","0",IF(P7="1","+1D4",IF(P7=2,"+1D6",IF(P7&gt;2,"D6",0))))))</f>
        <v>0</v>
      </c>
      <c r="O9" s="374" t="str">
        <f>IF(N9="D6",P7-1,"0")</f>
        <v>0</v>
      </c>
      <c r="P9" s="654" t="str">
        <f>IF(N9="D6",O10,N9)</f>
        <v>0</v>
      </c>
      <c r="R9" s="646"/>
      <c r="S9" s="640" t="str">
        <f>"智力×"&amp;U9</f>
        <v>智力×0</v>
      </c>
      <c r="T9" s="641" t="str">
        <f>职业列表!I20</f>
        <v>×</v>
      </c>
      <c r="U9" s="642" t="n">
        <f>职业列表!J20</f>
        <v>0</v>
      </c>
      <c r="V9" s="368" t="n">
        <f>L14*U9</f>
        <v>0</v>
      </c>
      <c r="W9" s="368"/>
      <c r="X9" s="650" t="str">
        <f>IF(U9&gt;0,S9,"")</f>
        <v/>
      </c>
      <c r="Y9" s="644" t="str">
        <f>IF(AND(U10&gt;0,U9&gt;0),"+","")</f>
        <v/>
      </c>
      <c r="Z9" s="368"/>
      <c r="AA9" s="656" t="str">
        <f>X4&amp;Y4&amp;X5&amp;Y5&amp;X6&amp;Y6&amp;X7&amp;Y7&amp;X8&amp;Y8&amp;X9&amp;Y9&amp;X10&amp;Y10&amp;X11&amp;Y11&amp;X12</f>
        <v>教育×4</v>
      </c>
      <c r="AB9" s="657"/>
      <c r="AC9" s="369"/>
      <c r="AD9" s="369"/>
      <c r="AE9" s="658"/>
      <c r="AF9" s="368" t="s">
        <v>1456</v>
      </c>
      <c r="AI9" s="377"/>
      <c r="AK9" s="463"/>
    </row>
    <row r="10" spans="1:53" ht="16.350000000000001" customHeight="1">
      <c r="B10" s="1583" t="s">
        <v>1457</v>
      </c>
      <c r="C10" s="1088"/>
      <c r="D10" s="1088"/>
      <c r="E10" s="1089"/>
      <c r="N10" s="384"/>
      <c r="O10" s="385" t="str">
        <f>"+"&amp;O9&amp;"D6"</f>
        <v>+0D6</v>
      </c>
      <c r="P10" s="388"/>
      <c r="R10" s="646"/>
      <c r="S10" s="640" t="str">
        <f>"教育×"&amp;U10</f>
        <v>教育×4</v>
      </c>
      <c r="T10" s="641" t="str">
        <f>职业列表!I21</f>
        <v>√</v>
      </c>
      <c r="U10" s="642" t="n">
        <f>职业列表!J21</f>
        <v>4</v>
      </c>
      <c r="V10" s="368" t="n">
        <f>N14*U10</f>
        <v>0</v>
      </c>
      <c r="W10" s="368"/>
      <c r="X10" s="650" t="str">
        <f>IF(U10&gt;0,S10,"")</f>
        <v>教育×4</v>
      </c>
      <c r="Y10" s="644" t="str">
        <f>IF(AND(U11&gt;0,U10&gt;0),"+","")</f>
        <v/>
      </c>
      <c r="Z10" s="368"/>
      <c r="AA10" s="659" t="n">
        <f>IF(AB10=职业列表!H25,1,0)</f>
        <v>0</v>
      </c>
      <c r="AB10" s="370" t="s">
        <v>1458</v>
      </c>
      <c r="AC10" s="370"/>
      <c r="AD10" s="370"/>
      <c r="AE10" s="370"/>
      <c r="AF10" s="660" t="n">
        <f>IF(AA10=1,MAX(V4:V9,V11:V12)+V10,0)</f>
        <v>0</v>
      </c>
      <c r="AI10" s="377"/>
      <c r="AK10" s="463"/>
    </row>
    <row r="11" spans="1:53" ht="16.350000000000001" customHeight="1">
      <c r="B11" s="376" t="s">
        <v>1459</v>
      </c>
      <c r="C11" s="661" t="n">
        <f>IF(人物卡!H35="鞭子","5",IF(人物卡!H35="电锯","10",IF(人物卡!H35="斧","15",IF(人物卡!H35="剑","20",IF(人物卡!H35="绞具","15",IF(人物卡!H35="链枷","10",IF(人物卡!H35="矛","20",IF(人物卡!H35=人物卡!AU28,人物卡!BA28,0))))))))</f>
        <v>0</v>
      </c>
      <c r="D11" s="374" t="s">
        <v>1460</v>
      </c>
      <c r="E11" s="662" t="n">
        <f>IF(人物卡!H39="步枪/霰弹枪","25",IF(人物卡!H39="冲锋枪","15",IF(人物卡!H39="弓术","15",IF(人物卡!H39="喷射器","10",IF(人物卡!H39="机枪","10",IF(人物卡!H39="重武器","10",IF(人物卡!H39=人物卡!AU30,人物卡!BA30,0)))))))</f>
        <v>0</v>
      </c>
      <c r="R11" s="646"/>
      <c r="S11" s="640" t="str">
        <f>"意志×"&amp;U11</f>
        <v>意志×0</v>
      </c>
      <c r="T11" s="641" t="str">
        <f>职业列表!I22</f>
        <v>×</v>
      </c>
      <c r="U11" s="642" t="n">
        <f>职业列表!J22</f>
        <v>0</v>
      </c>
      <c r="V11" s="368" t="n">
        <f>M14*U11</f>
        <v>0</v>
      </c>
      <c r="W11" s="368"/>
      <c r="X11" s="650" t="str">
        <f>IF(U11&gt;0,S11,"")</f>
        <v/>
      </c>
      <c r="Y11" s="644" t="str">
        <f>IF(AND(U12&gt;0,U11&gt;0),"+","")</f>
        <v/>
      </c>
      <c r="Z11" s="463"/>
      <c r="AA11" s="650" t="n">
        <f>IF(AB11=职业列表!H25,1,0)</f>
        <v>0</v>
      </c>
      <c r="AB11" s="368" t="s">
        <v>1461</v>
      </c>
      <c r="AC11" s="368"/>
      <c r="AD11" s="463"/>
      <c r="AE11" s="368"/>
      <c r="AF11" s="478" t="n">
        <f>IF(AA11=1,V10+SUM(V4:V9,V11:V12),0)</f>
        <v>0</v>
      </c>
      <c r="AI11" s="377"/>
      <c r="AK11" s="463"/>
    </row>
    <row r="12" spans="1:53" ht="16.350000000000001" customHeight="1">
      <c r="B12" s="376" t="s">
        <v>1462</v>
      </c>
      <c r="C12" s="663" t="n">
        <f>IF(人物卡!H36="鞭子","5",IF(人物卡!H36="电锯","10",IF(人物卡!H36="斧","15",IF(人物卡!H36="剑","20",IF(人物卡!H36="绞具","15",IF(人物卡!H36="链枷","10",IF(人物卡!H36="矛","20",IF(人物卡!H36=人物卡!AU28,人物卡!BA28,0))))))))</f>
        <v>0</v>
      </c>
      <c r="D12" s="374" t="s">
        <v>1463</v>
      </c>
      <c r="E12" s="664" t="n">
        <f>IF(人物卡!H40="步枪/霰弹枪","25",IF(人物卡!H40="冲锋枪","15",IF(人物卡!H40="弓术","15",IF(人物卡!H40="喷射器","10",IF(人物卡!H40="机枪","10",IF(人物卡!H40="重武器","10",IF(人物卡!H40=人物卡!AU30,人物卡!BA30,0)))))))</f>
        <v>0</v>
      </c>
      <c r="G12" s="633" t="s">
        <v>1464</v>
      </c>
      <c r="H12" s="665" t="s">
        <v>1465</v>
      </c>
      <c r="I12" s="634" t="s">
        <v>1466</v>
      </c>
      <c r="J12" s="634"/>
      <c r="K12" s="634"/>
      <c r="L12" s="634"/>
      <c r="M12" s="634"/>
      <c r="N12" s="634"/>
      <c r="O12" s="632"/>
      <c r="R12" s="646"/>
      <c r="S12" s="666" t="str">
        <f>"幸运×"&amp;U12</f>
        <v>幸运×0</v>
      </c>
      <c r="T12" s="667" t="str">
        <f>职业列表!I23</f>
        <v>×</v>
      </c>
      <c r="U12" s="668" t="n">
        <f>职业列表!J23</f>
        <v>0</v>
      </c>
      <c r="V12" s="371" t="n">
        <f>O14*U12</f>
        <v>0</v>
      </c>
      <c r="W12" s="385"/>
      <c r="X12" s="669" t="str">
        <f>IF(U12&gt;0,S12,"")</f>
        <v/>
      </c>
      <c r="Y12" s="388"/>
      <c r="Z12" s="385"/>
      <c r="AA12" s="384" t="n">
        <f>IF(AB12=职业列表!H25,1,0)</f>
        <v>1</v>
      </c>
      <c r="AB12" s="371" t="s">
        <v>532</v>
      </c>
      <c r="AC12" s="385"/>
      <c r="AD12" s="385"/>
      <c r="AE12" s="385"/>
      <c r="AF12" s="670" t="n">
        <f>IF(AA12=1,SUM(V4:V12),0)</f>
        <v>0</v>
      </c>
      <c r="AG12" s="385"/>
      <c r="AH12" s="385"/>
      <c r="AI12" s="388"/>
      <c r="AK12" s="368"/>
    </row>
    <row r="13" spans="1:53" ht="17.850000000000001" customHeight="1">
      <c r="B13" s="384" t="s">
        <v>1467</v>
      </c>
      <c r="C13" s="671" t="n">
        <f>IF(人物卡!H37="鞭子","5",IF(人物卡!H37="电锯","10",IF(人物卡!H37="斧","15",IF(人物卡!H37="剑","20",IF(人物卡!H37="绞具","15",IF(人物卡!H37="链枷","10",IF(人物卡!H37="矛","20",IF(人物卡!H37=人物卡!AU28,人物卡!BA28,0))))))))</f>
        <v>0</v>
      </c>
      <c r="D13" s="385" t="s">
        <v>1468</v>
      </c>
      <c r="E13" s="672" t="n">
        <f>IF(人物卡!H41="步枪/霰弹枪","25",IF(人物卡!H41="冲锋枪","15",IF(人物卡!H41="弓术","15",IF(人物卡!H41="喷射器","10",IF(人物卡!H41="机枪","10",IF(人物卡!H41="重武器","10",IF(人物卡!H41=人物卡!AU30,人物卡!BA30,0)))))))</f>
        <v>0</v>
      </c>
      <c r="G13" s="673" t="s">
        <v>8</v>
      </c>
      <c r="H13" s="674" t="s">
        <v>16</v>
      </c>
      <c r="I13" s="675" t="s">
        <v>23</v>
      </c>
      <c r="J13" s="674" t="s">
        <v>9</v>
      </c>
      <c r="K13" s="675" t="s">
        <v>17</v>
      </c>
      <c r="L13" s="674" t="s">
        <v>24</v>
      </c>
      <c r="M13" s="675" t="s">
        <v>10</v>
      </c>
      <c r="N13" s="674" t="s">
        <v>1469</v>
      </c>
      <c r="O13" s="676" t="s">
        <v>25</v>
      </c>
    </row>
    <row r="14" spans="1:53" ht="16.05" customHeight="1">
      <c r="B14" s="374" t="s">
        <v>1470</v>
      </c>
      <c r="G14" s="677" t="n">
        <f>STR</f>
        <v>0</v>
      </c>
      <c r="H14" s="678" t="n">
        <f>CON</f>
        <v>0</v>
      </c>
      <c r="I14" s="679" t="n">
        <f>SIZ</f>
        <v>0</v>
      </c>
      <c r="J14" s="678" t="n">
        <f>DEX</f>
        <v>0</v>
      </c>
      <c r="K14" s="679" t="n">
        <f>APP</f>
        <v>0</v>
      </c>
      <c r="L14" s="678" t="n">
        <f>INT</f>
        <v>0</v>
      </c>
      <c r="M14" s="679" t="n">
        <f>POW</f>
        <v>0</v>
      </c>
      <c r="N14" s="678" t="n">
        <f>EDU</f>
        <v>0</v>
      </c>
      <c r="O14" s="680" t="n">
        <f>Luck</f>
        <v>0</v>
      </c>
      <c r="U14" s="681" t="s">
        <v>1471</v>
      </c>
      <c r="V14" s="682"/>
      <c r="W14" s="683"/>
      <c r="Z14" s="1449" t="s">
        <v>1437</v>
      </c>
      <c r="AA14" s="684" t="s">
        <v>1472</v>
      </c>
      <c r="AB14" s="685" t="s">
        <v>146</v>
      </c>
      <c r="AC14" s="685" t="s">
        <v>111</v>
      </c>
      <c r="AD14" s="685" t="s">
        <v>153</v>
      </c>
      <c r="AE14" s="685" t="s">
        <v>138</v>
      </c>
      <c r="AF14" s="685" t="s">
        <v>1459</v>
      </c>
      <c r="AG14" s="685"/>
      <c r="AH14" s="685"/>
      <c r="AI14" s="685" t="s">
        <v>1462</v>
      </c>
      <c r="AJ14" s="685"/>
      <c r="AK14" s="685"/>
      <c r="AL14" s="685" t="s">
        <v>1467</v>
      </c>
      <c r="AM14" s="685"/>
      <c r="AN14" s="685"/>
      <c r="AO14" s="685" t="s">
        <v>1460</v>
      </c>
      <c r="AP14" s="685" t="s">
        <v>1463</v>
      </c>
      <c r="AQ14" s="685" t="s">
        <v>1468</v>
      </c>
      <c r="AR14" s="685" t="s">
        <v>120</v>
      </c>
      <c r="AS14" s="685" t="s">
        <v>134</v>
      </c>
      <c r="AT14" s="685" t="s">
        <v>1473</v>
      </c>
      <c r="AU14" s="685" t="s">
        <v>1474</v>
      </c>
      <c r="AV14" s="686" t="s">
        <v>1475</v>
      </c>
      <c r="AZ14" s="687" t="s">
        <v>1466</v>
      </c>
      <c r="BA14" s="1555" t="str">
        <f>IF(AX27="仅显示1890_2026","",VLOOKUP(AX27,AZ25:BB29,3,FALSE))</f>
        <v>发明仅可查询至2016年</v>
      </c>
    </row>
    <row r="15" spans="1:53" ht="17.850000000000001" customHeight="1">
      <c r="B15" s="685" t="s">
        <v>93</v>
      </c>
      <c r="C15" s="373"/>
      <c r="O15" s="1570" t="s">
        <v>1476</v>
      </c>
      <c r="P15" s="1121"/>
      <c r="Q15" s="1122"/>
      <c r="U15" s="684">
        <v>1</v>
      </c>
      <c r="V15" s="688" t="n">
        <f>人物卡!H39</f>
        <v>0</v>
      </c>
      <c r="W15" s="632" t="n">
        <f>IF(V15="步枪/霰弹枪",1,0)</f>
        <v>0</v>
      </c>
      <c r="Z15" s="1029"/>
      <c r="AA15" s="384" t="str">
        <f>IF(人物卡!M54=AA14,"")</f>
        <v/>
      </c>
      <c r="AB15" s="645" t="b">
        <f>IF(人物卡!M54=人物卡!AB43,人物卡!AN43)</f>
        <v>0</v>
      </c>
      <c r="AC15" s="645" t="b">
        <f>IF(人物卡!M54=人物卡!F31,人物卡!R31)</f>
        <v>0</v>
      </c>
      <c r="AD15" s="645" t="b">
        <f>IF(人物卡!M54=人物卡!AB46,人物卡!AN46)</f>
        <v>0</v>
      </c>
      <c r="AE15" s="645" t="b">
        <f>IF(人物卡!M54=人物卡!AB39,人物卡!AN39)</f>
        <v>0</v>
      </c>
      <c r="AF15" s="645" t="b">
        <f>IF(人物卡!M54=人物卡!H35,人物卡!R35)</f>
        <v>0</v>
      </c>
      <c r="AG15" s="645"/>
      <c r="AH15" s="645"/>
      <c r="AI15" s="645" t="b">
        <f>IF(人物卡!M54=人物卡!H36,人物卡!R36)</f>
        <v>0</v>
      </c>
      <c r="AJ15" s="645"/>
      <c r="AK15" s="645"/>
      <c r="AL15" s="645" t="b">
        <f>IF(人物卡!M54=人物卡!H37,人物卡!R37)</f>
        <v>0</v>
      </c>
      <c r="AM15" s="645"/>
      <c r="AN15" s="645"/>
      <c r="AO15" s="645" t="b">
        <f>IF(人物卡!M54=人物卡!H39,人物卡!R39)</f>
        <v>0</v>
      </c>
      <c r="AP15" s="645" t="b">
        <f>IF(人物卡!M54=人物卡!H40,人物卡!R40)</f>
        <v>0</v>
      </c>
      <c r="AQ15" s="645" t="b">
        <f>IF(人物卡!M54=人物卡!H41,人物卡!R41)</f>
        <v>0</v>
      </c>
      <c r="AR15" s="645" t="b">
        <f>IF(人物卡!M54=人物卡!H34,人物卡!R34)</f>
        <v>0</v>
      </c>
      <c r="AS15" s="645" t="b">
        <f>IF(人物卡!M54=人物卡!H38,人物卡!R38)</f>
        <v>0</v>
      </c>
      <c r="AT15" s="647" t="str">
        <f>IF(AU15=0,IF(人物卡!M54=附表!U220,附表!V220,IF(人物卡!M54=附表!U221,附表!V221,IF(人物卡!M54=附表!U219,附表!V219,IF(人物卡!M54=附表!U224,附表!V224,IF(人物卡!M54=附表!U225,附表!V225,IF(人物卡!M54=附表!U223,附表!V223,IF(人物卡!M54=附表!U222,附表!V222,IF(人物卡!M54=附表!U226,附表!$V$226,IF(人物卡!M54=附表!Q220,附表!R220,IF(人物卡!M54=附表!Q221,附表!R221,IF(人物卡!M54=附表!Q222,附表!R222,IF(人物卡!M54=附表!Q223,附表!R223,IF(人物卡!M54=附表!Q224,附表!R224,IF(人物卡!M54=附表!Q219,附表!R219,IF(人物卡!M54=附表!Q225,附表!R225,""))))))))))))))))</f>
        <v/>
      </c>
      <c r="AU15" s="647" t="b">
        <f>MAX(AA15:AS15)</f>
        <v>0</v>
      </c>
      <c r="AV15" s="689" t="str">
        <f>IF(AU15=0,AT15,AU15)</f>
        <v/>
      </c>
      <c r="BA15" s="1029"/>
    </row>
    <row r="16" spans="1:53" ht="19.5" customHeight="1">
      <c r="B16" s="645"/>
      <c r="K16" s="373"/>
      <c r="L16" s="690" t="s">
        <v>1477</v>
      </c>
      <c r="M16" s="691"/>
      <c r="O16" s="684" t="s">
        <v>1478</v>
      </c>
      <c r="P16" s="634"/>
      <c r="Q16" s="632"/>
      <c r="U16" s="376">
        <v>2</v>
      </c>
      <c r="V16" s="373" t="n">
        <f>人物卡!H40</f>
        <v>0</v>
      </c>
      <c r="W16" s="377" t="n">
        <f>IF(V16="步枪/霰弹枪",1,0)</f>
        <v>0</v>
      </c>
      <c r="Z16" s="1029"/>
      <c r="AA16" s="384" t="b">
        <f>IF(人物卡!M55=AA14,"")</f>
        <v>0</v>
      </c>
      <c r="AB16" s="645" t="b">
        <f>IF(人物卡!M55=AB14,人物卡!AN43)</f>
        <v>0</v>
      </c>
      <c r="AC16" s="645" t="b">
        <f>IF(人物卡!M55=AC14,人物卡!R31)</f>
        <v>0</v>
      </c>
      <c r="AD16" s="645" t="b">
        <f>IF(人物卡!M55=AD14,人物卡!AN46)</f>
        <v>0</v>
      </c>
      <c r="AE16" s="645" t="b">
        <f>IF(人物卡!M55=AE14,人物卡!AN39)</f>
        <v>0</v>
      </c>
      <c r="AF16" s="645" t="b">
        <f>IF(ISBLANK(人物卡!H35),FALSE,IF(人物卡!M55=人物卡!H35,人物卡!R35))</f>
        <v>0</v>
      </c>
      <c r="AG16" s="645"/>
      <c r="AH16" s="645"/>
      <c r="AI16" s="645" t="b">
        <f>IF(ISBLANK(人物卡!H36),FALSE,IF(人物卡!M55=人物卡!H36,人物卡!R36))</f>
        <v>0</v>
      </c>
      <c r="AJ16" s="645"/>
      <c r="AK16" s="645"/>
      <c r="AL16" s="645" t="b">
        <f>IF(ISBLANK(人物卡!H37),FALSE,IF(人物卡!M55=人物卡!H37,人物卡!R37))</f>
        <v>0</v>
      </c>
      <c r="AM16" s="645"/>
      <c r="AN16" s="645"/>
      <c r="AO16" s="645" t="b">
        <f>IF(ISBLANK(人物卡!H39),FALSE,IF(人物卡!M55=人物卡!H39,人物卡!R39))</f>
        <v>0</v>
      </c>
      <c r="AP16" s="645" t="b">
        <f>IF(ISBLANK(人物卡!H40),FALSE,IF(人物卡!M55=人物卡!H40,人物卡!R40))</f>
        <v>0</v>
      </c>
      <c r="AQ16" s="645" t="b">
        <f>IF(ISBLANK(人物卡!H41),FALSE,IF(人物卡!M55=人物卡!H41,人物卡!R41))</f>
        <v>0</v>
      </c>
      <c r="AR16" s="645" t="b">
        <f>IF(人物卡!M55=AR14,人物卡!R34)</f>
        <v>0</v>
      </c>
      <c r="AS16" s="645" t="b">
        <f>IF(人物卡!M55=AS14,人物卡!R38)</f>
        <v>0</v>
      </c>
      <c r="AT16" s="692" t="str">
        <f>IF(AU16=0,IF(人物卡!M55=附表!U220,附表!V220,IF(人物卡!M55=附表!U221,附表!V221,IF(人物卡!M55=附表!U219,附表!V219,IF(人物卡!M55=附表!U224,附表!V224,IF(人物卡!M55=附表!U225,附表!V225,IF(人物卡!M55=附表!U223,附表!V223,IF(人物卡!M55=附表!U222,附表!V222,IF(人物卡!M55=附表!U226,附表!$V$226,IF(人物卡!M55=附表!Q220,附表!R220,IF(人物卡!M55=附表!Q221,附表!R221,IF(人物卡!M55=附表!Q222,附表!R222,IF(人物卡!M55=附表!Q223,附表!R223,IF(人物卡!M55=附表!Q224,附表!R224,IF(人物卡!M55=附表!Q219,附表!R219,IF(人物卡!M55=附表!Q225,附表!R225,""))))))))))))))))</f>
        <v/>
      </c>
      <c r="AU16" s="692" t="b">
        <f>MAX(AA16:AS16)</f>
        <v>0</v>
      </c>
      <c r="AV16" s="693" t="str">
        <f>IF(AU16=0,AT16,AU16)</f>
        <v/>
      </c>
      <c r="BA16" s="1029"/>
    </row>
    <row r="17" spans="2:54" ht="9.9" customHeight="1">
      <c r="L17" s="694" t="s">
        <v>379</v>
      </c>
      <c r="M17" s="695" t="s">
        <v>1474</v>
      </c>
      <c r="O17" s="376" t="s">
        <v>1479</v>
      </c>
      <c r="R17" s="684" t="s">
        <v>39</v>
      </c>
      <c r="S17" s="632" t="s">
        <v>40</v>
      </c>
      <c r="U17" s="376">
        <v>3</v>
      </c>
      <c r="V17" s="373" t="n">
        <f>人物卡!H41</f>
        <v>0</v>
      </c>
      <c r="W17" s="377" t="n">
        <f>IF(V17="步枪/霰弹枪",1,0)</f>
        <v>0</v>
      </c>
      <c r="Z17" s="1029"/>
      <c r="AA17" s="384" t="b">
        <f>IF(人物卡!M56=AA14,"")</f>
        <v>0</v>
      </c>
      <c r="AB17" s="645" t="b">
        <f>IF(人物卡!M56=AB14,人物卡!AN43)</f>
        <v>0</v>
      </c>
      <c r="AC17" s="645" t="b">
        <f>IF(人物卡!M56=AC14,人物卡!R31)</f>
        <v>0</v>
      </c>
      <c r="AD17" s="645" t="b">
        <f>IF(人物卡!M56=AD14,人物卡!AN46)</f>
        <v>0</v>
      </c>
      <c r="AE17" s="645" t="b">
        <f>IF(人物卡!M56=AE14,人物卡!AN39)</f>
        <v>0</v>
      </c>
      <c r="AF17" s="645" t="b">
        <f>IF(ISBLANK(人物卡!H35),FALSE,IF(人物卡!M56=人物卡!H35,人物卡!R35))</f>
        <v>0</v>
      </c>
      <c r="AG17" s="645"/>
      <c r="AH17" s="645"/>
      <c r="AI17" s="645" t="b">
        <f>IF(ISBLANK(人物卡!H36),FALSE,IF(人物卡!M56=人物卡!H36,人物卡!R36))</f>
        <v>0</v>
      </c>
      <c r="AJ17" s="645"/>
      <c r="AK17" s="645"/>
      <c r="AL17" s="645" t="b">
        <f>IF(ISBLANK(人物卡!H37),FALSE,IF(人物卡!M56=人物卡!H37,人物卡!R37))</f>
        <v>0</v>
      </c>
      <c r="AM17" s="645"/>
      <c r="AN17" s="645"/>
      <c r="AO17" s="645" t="b">
        <f>IF(ISBLANK(人物卡!H39),FALSE,IF(人物卡!M56=人物卡!H39,人物卡!R39))</f>
        <v>0</v>
      </c>
      <c r="AP17" s="645" t="b">
        <f>IF(ISBLANK(人物卡!H40),FALSE,IF(人物卡!M56=人物卡!H40,人物卡!R40))</f>
        <v>0</v>
      </c>
      <c r="AQ17" s="645" t="b">
        <f>IF(ISBLANK(人物卡!H41),FALSE,IF(人物卡!M56=人物卡!H41,人物卡!R41))</f>
        <v>0</v>
      </c>
      <c r="AR17" s="645" t="b">
        <f>IF(人物卡!M56=AR14,人物卡!R34)</f>
        <v>0</v>
      </c>
      <c r="AS17" s="645" t="b">
        <f>IF(人物卡!M56=AS14,人物卡!R38)</f>
        <v>0</v>
      </c>
      <c r="AT17" s="692" t="str">
        <f>IF(AU17=0,IF(人物卡!M56=附表!U220,附表!V220,IF(人物卡!M56=附表!U221,附表!V221,IF(人物卡!M56=附表!U219,附表!V219,IF(人物卡!M56=附表!U224,附表!V224,IF(人物卡!M56=附表!U225,附表!V225,IF(人物卡!M56=附表!U223,附表!V223,IF(人物卡!M56=附表!U222,附表!V222,IF(人物卡!M56=附表!U226,附表!$V$226,IF(人物卡!M56=附表!Q220,附表!R220,IF(人物卡!M56=附表!Q221,附表!R221,IF(人物卡!M56=附表!Q222,附表!R222,IF(人物卡!M56=附表!Q223,附表!R223,IF(人物卡!M56=附表!Q224,附表!R224,IF(人物卡!M56=附表!Q219,附表!R219,IF(人物卡!M56=附表!Q225,附表!R225,""))))))))))))))))</f>
        <v/>
      </c>
      <c r="AU17" s="692" t="b">
        <f>MAX(AA17:AS17)</f>
        <v>0</v>
      </c>
      <c r="AV17" s="693" t="str">
        <f>IF(AU17=0,AT17,AU17)</f>
        <v/>
      </c>
      <c r="BA17" s="1029"/>
    </row>
    <row r="18" spans="2:54" ht="9.9" customHeight="1">
      <c r="B18" s="1563" t="s">
        <v>394</v>
      </c>
      <c r="C18" s="1088"/>
      <c r="D18" s="1088"/>
      <c r="E18" s="1088"/>
      <c r="F18" s="1088"/>
      <c r="G18" s="1088"/>
      <c r="H18" s="634"/>
      <c r="I18" s="634"/>
      <c r="J18" s="634"/>
      <c r="K18" s="632"/>
      <c r="L18" s="696" t="n">
        <f>M14</f>
        <v>0</v>
      </c>
      <c r="M18" s="697" t="n">
        <f>人物卡!P10</f>
        <v>0</v>
      </c>
      <c r="O18" s="376" t="s">
        <v>1480</v>
      </c>
      <c r="R18" s="376" t="s">
        <v>260</v>
      </c>
      <c r="S18" s="377" t="s">
        <v>287</v>
      </c>
      <c r="U18" s="698" t="s">
        <v>1481</v>
      </c>
      <c r="V18" s="385" t="str">
        <f>人物卡!AB48</f>
        <v>自定义技能</v>
      </c>
      <c r="W18" s="388" t="n">
        <f>IF(V18="自定义技能",1,0)</f>
        <v>1</v>
      </c>
      <c r="Z18" s="1029"/>
      <c r="AA18" s="655"/>
      <c r="AB18" s="655"/>
      <c r="AC18" s="655"/>
      <c r="AD18" s="655"/>
      <c r="AE18" s="655"/>
      <c r="AF18" s="655"/>
      <c r="AG18" s="655"/>
      <c r="AH18" s="655"/>
      <c r="AI18" s="655"/>
      <c r="AJ18" s="655"/>
      <c r="AK18" s="655"/>
      <c r="AL18" s="692"/>
      <c r="AM18" s="699"/>
      <c r="AN18" s="699"/>
      <c r="AO18" s="699"/>
      <c r="AP18" s="699"/>
      <c r="AQ18" s="699"/>
      <c r="AR18" s="699"/>
      <c r="AS18" s="699"/>
      <c r="AT18" s="699"/>
      <c r="AU18" s="692"/>
      <c r="AV18" s="693"/>
      <c r="BA18" s="1029"/>
    </row>
    <row r="19" spans="2:54" ht="9.9" customHeight="1">
      <c r="B19" s="376" t="s">
        <v>1482</v>
      </c>
      <c r="C19" s="374" t="s">
        <v>363</v>
      </c>
      <c r="D19" s="374" t="s">
        <v>311</v>
      </c>
      <c r="E19" s="1029" t="s">
        <v>108</v>
      </c>
      <c r="F19" s="1029"/>
      <c r="G19" s="1029"/>
      <c r="I19" s="628"/>
      <c r="K19" s="377"/>
      <c r="L19" s="700" t="s">
        <v>1456</v>
      </c>
      <c r="M19" s="701"/>
      <c r="O19" s="376" t="s">
        <v>1483</v>
      </c>
      <c r="R19" s="376" t="s">
        <v>258</v>
      </c>
      <c r="S19" s="377" t="s">
        <v>289</v>
      </c>
      <c r="BA19" s="1029"/>
    </row>
    <row r="20" spans="2:54" ht="9.9" customHeight="1">
      <c r="B20" s="376" t="s">
        <v>396</v>
      </c>
      <c r="C20" s="374" t="s">
        <v>1484</v>
      </c>
      <c r="D20" s="374">
        <v>70</v>
      </c>
      <c r="E20" s="374" t="s">
        <v>398</v>
      </c>
      <c r="K20" s="377"/>
      <c r="L20" s="702" t="n">
        <f>IF(L18&gt;M18,M18,L18)</f>
        <v>0</v>
      </c>
      <c r="M20" s="703"/>
      <c r="O20" s="376" t="s">
        <v>1485</v>
      </c>
      <c r="R20" s="376" t="s">
        <v>1486</v>
      </c>
      <c r="S20" s="377" t="s">
        <v>291</v>
      </c>
      <c r="AA20" s="1029" t="s">
        <v>1487</v>
      </c>
      <c r="AB20" s="1029"/>
      <c r="AC20" s="1029"/>
      <c r="AD20" s="1029"/>
      <c r="AR20" s="687" t="s">
        <v>1488</v>
      </c>
      <c r="BA20" s="1029"/>
    </row>
    <row r="21" spans="2:54" ht="9.9" customHeight="1">
      <c r="B21" s="376" t="s">
        <v>399</v>
      </c>
      <c r="C21" s="374" t="s">
        <v>1489</v>
      </c>
      <c r="D21" s="374">
        <v>60</v>
      </c>
      <c r="E21" s="374" t="s">
        <v>1490</v>
      </c>
      <c r="I21" s="628"/>
      <c r="K21" s="377"/>
      <c r="L21" s="704"/>
      <c r="M21" s="705"/>
      <c r="O21" s="376" t="s">
        <v>1491</v>
      </c>
      <c r="R21" s="384" t="str">
        <f>IF(ISBLANK(人物卡!BK26),"",人物卡!BK26)</f>
        <v/>
      </c>
      <c r="S21" s="388" t="str">
        <f>IF(ISBLANK(人物卡!BO26),"",人物卡!BO26)</f>
        <v/>
      </c>
      <c r="AA21" s="684" t="n">
        <f>IF(ISBLANK(人物卡!BA18),0,1)</f>
        <v>0</v>
      </c>
      <c r="AB21" s="632" t="n">
        <f>IF(ISBLANK(人物卡!BJ18),0,1)</f>
        <v>0</v>
      </c>
      <c r="AC21" s="634" t="s">
        <v>1492</v>
      </c>
      <c r="AD21" s="847" t="s">
        <v>1493</v>
      </c>
      <c r="AE21" s="706" t="s">
        <v>1456</v>
      </c>
      <c r="AF21" s="707"/>
      <c r="AG21" s="707"/>
      <c r="AH21" s="707"/>
      <c r="AI21" s="707"/>
      <c r="AJ21" s="707"/>
      <c r="AK21" s="707"/>
      <c r="AL21" s="707"/>
      <c r="AM21" s="707"/>
      <c r="AN21" s="707"/>
      <c r="AO21" s="707"/>
      <c r="AP21" s="707"/>
      <c r="AQ21" s="707"/>
      <c r="AR21" s="687" t="n">
        <f>人物卡!BL129</f>
        <v>2026</v>
      </c>
      <c r="AS21" s="374" t="str">
        <f>IF(AR21="仅显示1890_2026","",VLOOKUP(AR21,AE33:AS169,15,FALSE))</f>
        <v>发明仅可查询至2016年</v>
      </c>
      <c r="BA21" s="1029"/>
    </row>
    <row r="22" spans="2:54" ht="9.9" customHeight="1">
      <c r="B22" s="376" t="s">
        <v>402</v>
      </c>
      <c r="C22" s="374" t="s">
        <v>1489</v>
      </c>
      <c r="D22" s="374">
        <v>60</v>
      </c>
      <c r="E22" s="374" t="s">
        <v>403</v>
      </c>
      <c r="K22" s="377"/>
      <c r="M22" s="628"/>
      <c r="O22" s="376" t="s">
        <v>1494</v>
      </c>
      <c r="Q22" s="377"/>
      <c r="AA22" s="376" t="n">
        <f>IF(ISBLANK(人物卡!BA19),0,1)</f>
        <v>0</v>
      </c>
      <c r="AB22" s="377" t="n">
        <f>IF(ISBLANK(人物卡!BJ19),0,1)</f>
        <v>0</v>
      </c>
      <c r="AC22" s="374" t="n">
        <f>AA21+AA23+AA22+AA25+AA24+AB21+AB22+AB23+AB24+AB25</f>
        <v>0</v>
      </c>
      <c r="AD22" s="848" t="n">
        <f>IF(人物卡!AU22="提示当前职业",0,1)</f>
        <v>0</v>
      </c>
      <c r="AE22" s="708" t="n">
        <f>IF(AD32=1,"仅显示1890_2026",AE28)</f>
        <v>2026</v>
      </c>
      <c r="AF22" s="1555" t="str">
        <f>IF(AE22="仅显示1890_2026","",VLOOKUP(AE22,AE33:AS169,2,FALSE))</f>
        <v>俄乌战争持续</v>
      </c>
      <c r="AG22" s="1555" t="str">
        <f>IF(AE22="仅显示1890_2026","",VLOOKUP(AE22,AE33:AS169,3,FALSE))</f>
        <v>美以对伊朗军事冲突</v>
      </c>
      <c r="AH22" s="1555" t="str">
        <f>IF(AE22="仅显示1890_2026","",VLOOKUP(AE22,AE33:AS169,4,FALSE))</f>
        <v>海湾与中东安全危机持续</v>
      </c>
      <c r="AI22" s="1555" t="str">
        <f>IF(AE22="仅显示1890_2026","",VLOOKUP(AE22,AE33:AS169,5,FALSE))</f>
        <v>十五五规划开局</v>
      </c>
      <c r="AJ22" s="1555" t="str">
        <f>IF(AE22="仅显示1890_2026","",VLOOKUP(AE22,AE33:AS169,6,FALSE))</f>
        <v>——</v>
      </c>
      <c r="AK22" s="1555" t="str">
        <f>IF(AE22="仅显示1890_2026","",VLOOKUP(AE22,AE33:AS169,7,FALSE))</f>
        <v>——</v>
      </c>
      <c r="AL22" s="1555" t="str">
        <f>IF(AE22="仅显示1890_2026","",VLOOKUP(AE22,AE33:AS169,8,FALSE))</f>
        <v>二十一世 二十年代</v>
      </c>
      <c r="AM22" s="1555" t="str">
        <f>IF(AE22="仅显示1890_2026","",VLOOKUP(AE22,AE33:AS169,9,FALSE))</f>
        <v>丙午马年</v>
      </c>
      <c r="AN22" s="1555" t="str">
        <f>IF(AE22="仅显示1890_2026","",VLOOKUP(AE22,AE33:AS169,10,FALSE))</f>
        <v>中华人民共和国77周年</v>
      </c>
      <c r="AO22" s="1555" t="str">
        <f>IF(AE22="仅显示1890_2026","",VLOOKUP(AE22,AE33:AS169,11,FALSE))</f>
        <v>米兰-科尔蒂纳冬奥会
2026年世界杯
人工智能与自动化持续扩展</v>
      </c>
      <c r="AP22" s="1555" t="str">
        <f>IF(AE22="仅显示1890_2026","",VLOOKUP(AE22,AE33:AS169,12,FALSE))</f>
        <v>总统：
   唐纳德·特朗普（共和党）</v>
      </c>
      <c r="AQ22" s="1029" t="str">
        <f>IF(AE22="仅显示1890_2026","",VLOOKUP(AE22,AE33:AS169,13,FALSE))</f>
        <v>发明仅可查询至2016年</v>
      </c>
      <c r="AR22" s="1029" t="n">
        <f>IF(AE22="仅显示1890_2026","",VLOOKUP(AE22,AE33:AS169,14,FALSE))</f>
        <v>0</v>
      </c>
      <c r="AS22" s="1029" t="str">
        <f>IF(AE22="仅显示1890_2026","",VLOOKUP(AE22,AE33:AS169,15,FALSE))</f>
        <v>发明仅可查询至2016年</v>
      </c>
      <c r="BA22" s="1029"/>
    </row>
    <row r="23" spans="2:54" ht="9.9" customHeight="1">
      <c r="B23" s="376" t="s">
        <v>404</v>
      </c>
      <c r="C23" s="374" t="s">
        <v>1489</v>
      </c>
      <c r="D23" s="374">
        <v>60</v>
      </c>
      <c r="E23" s="374" t="s">
        <v>405</v>
      </c>
      <c r="I23" s="628"/>
      <c r="K23" s="377"/>
      <c r="M23" s="628"/>
      <c r="O23" s="376" t="s">
        <v>1495</v>
      </c>
      <c r="Q23" s="709" t="s">
        <v>1496</v>
      </c>
      <c r="AA23" s="376" t="n">
        <f>IF(ISBLANK(人物卡!BA20),0,1)</f>
        <v>0</v>
      </c>
      <c r="AB23" s="377" t="n">
        <f>IF(ISBLANK(人物卡!BJ20),0,1)</f>
        <v>0</v>
      </c>
      <c r="AC23" s="374" t="s">
        <v>1497</v>
      </c>
      <c r="AD23" s="848"/>
      <c r="AE23" s="710" t="s">
        <v>1498</v>
      </c>
      <c r="AF23" s="1029"/>
      <c r="AG23" s="1029"/>
      <c r="AH23" s="1029"/>
      <c r="AI23" s="1029"/>
      <c r="AJ23" s="1029"/>
      <c r="AK23" s="1029"/>
      <c r="AL23" s="1029"/>
      <c r="AM23" s="1029"/>
      <c r="AN23" s="1029"/>
      <c r="AO23" s="1029"/>
      <c r="AP23" s="1029"/>
      <c r="AQ23" s="1029"/>
      <c r="AR23" s="1029"/>
      <c r="AS23" s="1029"/>
      <c r="BA23" s="1029"/>
    </row>
    <row r="24" spans="2:54" ht="9.9" customHeight="1">
      <c r="B24" s="376" t="s">
        <v>406</v>
      </c>
      <c r="C24" s="374" t="s">
        <v>407</v>
      </c>
      <c r="D24" s="374">
        <v>0</v>
      </c>
      <c r="E24" s="374" t="s">
        <v>408</v>
      </c>
      <c r="I24" s="628"/>
      <c r="K24" s="377"/>
      <c r="M24" s="628"/>
      <c r="O24" s="376" t="s">
        <v>1499</v>
      </c>
      <c r="Q24" s="377" t="s">
        <v>1500</v>
      </c>
      <c r="S24" s="1555"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37&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v>
      </c>
      <c r="T24" s="1029"/>
      <c r="U24" s="1029"/>
      <c r="V24" s="1029"/>
      <c r="AA24" s="376" t="n">
        <f>IF(ISBLANK(人物卡!BA21),0,1)</f>
        <v>0</v>
      </c>
      <c r="AB24" s="377" t="n">
        <f>IF(ISBLANK(人物卡!BJ21),0,1)</f>
        <v>0</v>
      </c>
      <c r="AC24" s="374" t="n">
        <f>人物卡!F9-AC22</f>
        <v>0</v>
      </c>
      <c r="AD24" s="848"/>
      <c r="AE24" s="711" t="n">
        <f>人物卡!G8</f>
        <v>2026</v>
      </c>
      <c r="AF24" s="1029"/>
      <c r="AG24" s="1029"/>
      <c r="AH24" s="1029"/>
      <c r="AI24" s="1029"/>
      <c r="AJ24" s="1029"/>
      <c r="AK24" s="1029"/>
      <c r="AL24" s="1029"/>
      <c r="AM24" s="1029"/>
      <c r="AN24" s="1029"/>
      <c r="AO24" s="1029"/>
      <c r="AP24" s="1029"/>
      <c r="AQ24" s="1029"/>
      <c r="AR24" s="1029"/>
      <c r="AS24" s="1029"/>
      <c r="AT24" s="684"/>
      <c r="AU24" s="634"/>
      <c r="AV24" s="634"/>
      <c r="AW24" s="634"/>
      <c r="AX24" s="712" t="s">
        <v>1449</v>
      </c>
      <c r="AY24" s="631"/>
      <c r="AZ24" s="1552" t="s">
        <v>1501</v>
      </c>
      <c r="BA24" s="1088"/>
      <c r="BB24" s="1089"/>
    </row>
    <row r="25" spans="2:54" ht="9.9" customHeight="1">
      <c r="B25" s="376" t="str">
        <f>IF(ISBLANK(人物卡!BC26),"自定义经历包",人物卡!BC26)</f>
        <v>自定义经历包</v>
      </c>
      <c r="C25" s="374" t="str">
        <f>'简化卡 骰娘导入'!E90</f>
        <v/>
      </c>
      <c r="D25" s="374" t="str">
        <f>'简化卡 骰娘导入'!H90</f>
        <v/>
      </c>
      <c r="E25" s="374" t="str">
        <f>'简化卡 骰娘导入'!J90</f>
        <v/>
      </c>
      <c r="K25" s="377"/>
      <c r="M25" s="628"/>
      <c r="O25" s="376" t="s">
        <v>1502</v>
      </c>
      <c r="Q25" s="377" t="s">
        <v>212</v>
      </c>
      <c r="S25" s="1029"/>
      <c r="T25" s="1029"/>
      <c r="U25" s="1029"/>
      <c r="V25" s="1029"/>
      <c r="X25" s="713" t="s">
        <v>60</v>
      </c>
      <c r="Y25" s="632"/>
      <c r="AA25" s="384" t="n">
        <f>IF(ISBLANK(人物卡!BA22),0,1)</f>
        <v>0</v>
      </c>
      <c r="AB25" s="388" t="n">
        <f>IF(ISBLANK(人物卡!BJ22),0,1)</f>
        <v>0</v>
      </c>
      <c r="AC25" s="714" t="s">
        <v>1503</v>
      </c>
      <c r="AD25" s="714" t="str">
        <f>IF(AD22=1," ",IF(AC24=0,"无",IF(AC24&lt;0,"过多！",AC24)))</f>
        <v>无</v>
      </c>
      <c r="AE25" s="711" t="s">
        <v>1504</v>
      </c>
      <c r="AF25" s="1029"/>
      <c r="AG25" s="1029"/>
      <c r="AH25" s="1029"/>
      <c r="AI25" s="1029"/>
      <c r="AJ25" s="1029"/>
      <c r="AK25" s="1029"/>
      <c r="AL25" s="1029"/>
      <c r="AM25" s="1029"/>
      <c r="AN25" s="1029"/>
      <c r="AO25" s="1029"/>
      <c r="AP25" s="1029"/>
      <c r="AQ25" s="1029"/>
      <c r="AR25" s="1029"/>
      <c r="AS25" s="1029"/>
      <c r="AT25" s="376" t="s">
        <v>1505</v>
      </c>
      <c r="AV25" s="374" t="n">
        <f>IF(AT25=人物卡!AZ129,1,0)</f>
        <v>0</v>
      </c>
      <c r="AX25" s="627"/>
      <c r="AY25" s="639"/>
      <c r="AZ25" s="374">
        <v>1</v>
      </c>
      <c r="BA25" s="374" t="s">
        <v>1506</v>
      </c>
      <c r="BB25" s="377" t="str">
        <f>AQ22</f>
        <v>发明仅可查询至2016年</v>
      </c>
    </row>
    <row r="26" spans="2:54" ht="9.9" customHeight="1">
      <c r="B26" s="376" t="s">
        <v>172</v>
      </c>
      <c r="K26" s="377"/>
      <c r="M26" s="628"/>
      <c r="O26" s="376" t="s">
        <v>1507</v>
      </c>
      <c r="Q26" s="377"/>
      <c r="S26" s="1029"/>
      <c r="T26" s="1029"/>
      <c r="U26" s="1029"/>
      <c r="V26" s="1029"/>
      <c r="X26" s="715" t="s">
        <v>62</v>
      </c>
      <c r="Y26" s="377"/>
      <c r="AE26" s="711" t="n">
        <f>IF(人物卡!E8="公元前",人物卡!G8*2,0)</f>
        <v>0</v>
      </c>
      <c r="AF26" s="1029"/>
      <c r="AG26" s="1029"/>
      <c r="AH26" s="1029"/>
      <c r="AI26" s="1029"/>
      <c r="AJ26" s="1029"/>
      <c r="AK26" s="1029"/>
      <c r="AL26" s="1029"/>
      <c r="AM26" s="1029"/>
      <c r="AN26" s="1029"/>
      <c r="AO26" s="1029"/>
      <c r="AP26" s="1029"/>
      <c r="AQ26" s="1029"/>
      <c r="AR26" s="1029"/>
      <c r="AS26" s="1029"/>
      <c r="AT26" s="376" t="s">
        <v>1508</v>
      </c>
      <c r="AV26" s="374" t="n">
        <f>IF(AT26=人物卡!AZ129,2,0)</f>
        <v>0</v>
      </c>
      <c r="AX26" s="627"/>
      <c r="AY26" s="639"/>
      <c r="AZ26" s="374">
        <v>2</v>
      </c>
      <c r="BA26" s="374" t="s">
        <v>1509</v>
      </c>
      <c r="BB26" s="377" t="n">
        <f>AR22</f>
        <v>0</v>
      </c>
    </row>
    <row r="27" spans="2:54" ht="9.9" customHeight="1">
      <c r="B27" s="376"/>
      <c r="C27" s="684" t="n">
        <f>IF(人物卡!F113=B20,C20,0)</f>
        <v>0</v>
      </c>
      <c r="D27" s="634" t="n">
        <f>IF(人物卡!F113=B20,D20,0)</f>
        <v>0</v>
      </c>
      <c r="E27" s="1554" t="n">
        <f>IF(人物卡!F113=B20,E20,0)</f>
        <v>0</v>
      </c>
      <c r="F27" s="1088"/>
      <c r="G27" s="1088"/>
      <c r="H27" s="1088"/>
      <c r="I27" s="1088"/>
      <c r="J27" s="1088"/>
      <c r="K27" s="1089"/>
      <c r="M27" s="628"/>
      <c r="O27" s="376" t="s">
        <v>1510</v>
      </c>
      <c r="Q27" s="377"/>
      <c r="S27" s="1029"/>
      <c r="T27" s="1029"/>
      <c r="U27" s="1029"/>
      <c r="V27" s="1029"/>
      <c r="X27" s="715" t="s">
        <v>66</v>
      </c>
      <c r="Y27" s="377"/>
      <c r="AB27" s="716" t="s">
        <v>1511</v>
      </c>
      <c r="AC27" s="699" t="n">
        <f>IF(ISNUMBER(D34),D34-SUM(人物卡!M16:M49,人物卡!AI16:AI49),D34)</f>
        <v>0</v>
      </c>
      <c r="AD27" s="634" t="s">
        <v>1456</v>
      </c>
      <c r="AE27" s="711" t="s">
        <v>1512</v>
      </c>
      <c r="AF27" s="1029"/>
      <c r="AG27" s="1029"/>
      <c r="AH27" s="1029"/>
      <c r="AI27" s="1029"/>
      <c r="AJ27" s="1029"/>
      <c r="AK27" s="1029"/>
      <c r="AL27" s="1029"/>
      <c r="AM27" s="1029"/>
      <c r="AN27" s="1029"/>
      <c r="AO27" s="1029"/>
      <c r="AP27" s="1029"/>
      <c r="AQ27" s="1029"/>
      <c r="AR27" s="1029"/>
      <c r="AS27" s="1029"/>
      <c r="AT27" s="376"/>
      <c r="AX27" s="627" t="n">
        <f>AV25+AV26+AV28+AV29+AV30</f>
        <v>4</v>
      </c>
      <c r="AY27" s="639"/>
      <c r="AZ27" s="374">
        <v>3</v>
      </c>
      <c r="BA27" s="374" t="s">
        <v>1513</v>
      </c>
      <c r="BB27" s="377" t="str">
        <f>AS22</f>
        <v>发明仅可查询至2016年</v>
      </c>
    </row>
    <row r="28" spans="2:54" ht="9.9" customHeight="1">
      <c r="B28" s="376"/>
      <c r="C28" s="376" t="n">
        <f>IF(人物卡!F113=B21,C21,0)</f>
        <v>0</v>
      </c>
      <c r="D28" s="374" t="n">
        <f>IF(人物卡!F113=B21,D21,0)</f>
        <v>0</v>
      </c>
      <c r="E28" s="1561" t="n">
        <f>IF(人物卡!F113=B21,E21,0)</f>
        <v>0</v>
      </c>
      <c r="F28" s="1029"/>
      <c r="G28" s="1029"/>
      <c r="H28" s="1029"/>
      <c r="I28" s="1029"/>
      <c r="J28" s="1029"/>
      <c r="K28" s="1015"/>
      <c r="M28" s="628"/>
      <c r="O28" s="376" t="s">
        <v>1514</v>
      </c>
      <c r="Q28" s="377"/>
      <c r="S28" s="1029"/>
      <c r="T28" s="1029"/>
      <c r="U28" s="1029"/>
      <c r="V28" s="1029"/>
      <c r="X28" s="715" t="s">
        <v>69</v>
      </c>
      <c r="Y28" s="377"/>
      <c r="AB28" s="717" t="s">
        <v>1443</v>
      </c>
      <c r="AC28" s="385" t="b">
        <f>ISNUMBER(AC27)</f>
        <v>1</v>
      </c>
      <c r="AD28" s="385" t="n">
        <f>IF(AC28=FALSE,"0",AC27)</f>
        <v>0</v>
      </c>
      <c r="AE28" s="718" t="n">
        <f>AE24-AE26</f>
        <v>2026</v>
      </c>
      <c r="AF28" s="1029"/>
      <c r="AG28" s="1029"/>
      <c r="AH28" s="1029"/>
      <c r="AI28" s="1029"/>
      <c r="AJ28" s="1029"/>
      <c r="AK28" s="1029"/>
      <c r="AL28" s="1029"/>
      <c r="AM28" s="1029"/>
      <c r="AN28" s="1029"/>
      <c r="AO28" s="1029"/>
      <c r="AP28" s="1029"/>
      <c r="AQ28" s="1029"/>
      <c r="AR28" s="1029"/>
      <c r="AS28" s="1029"/>
      <c r="AT28" s="376" t="s">
        <v>1513</v>
      </c>
      <c r="AV28" s="374" t="n">
        <f>IF(AT28=人物卡!AZ129,3,0)</f>
        <v>0</v>
      </c>
      <c r="AX28" s="627"/>
      <c r="AY28" s="639"/>
      <c r="AZ28" s="374">
        <v>4</v>
      </c>
      <c r="BA28" s="374" t="s">
        <v>272</v>
      </c>
      <c r="BB28" s="377" t="str">
        <f>AS21</f>
        <v>发明仅可查询至2016年</v>
      </c>
    </row>
    <row r="29" spans="2:54" ht="9.9" customHeight="1">
      <c r="B29" s="376"/>
      <c r="C29" s="376" t="n">
        <f>IF(人物卡!F113=B22,C22,0)</f>
        <v>0</v>
      </c>
      <c r="D29" s="374" t="n">
        <f>IF(人物卡!F113=B22,D22,0)</f>
        <v>0</v>
      </c>
      <c r="E29" s="1561" t="n">
        <f>IF(人物卡!F113=B22,E22,0)</f>
        <v>0</v>
      </c>
      <c r="F29" s="1029"/>
      <c r="G29" s="1029"/>
      <c r="H29" s="1029"/>
      <c r="I29" s="1029"/>
      <c r="J29" s="1029"/>
      <c r="K29" s="1015"/>
      <c r="M29" s="628"/>
      <c r="O29" s="376" t="s">
        <v>1515</v>
      </c>
      <c r="Q29" s="377"/>
      <c r="S29" s="1029"/>
      <c r="T29" s="1029"/>
      <c r="U29" s="1029"/>
      <c r="V29" s="1029"/>
      <c r="X29" s="719" t="s">
        <v>71</v>
      </c>
      <c r="Y29" s="377"/>
      <c r="AB29" s="655" t="s">
        <v>1516</v>
      </c>
      <c r="AC29" s="657" t="n">
        <f>IF(人物卡!M5=0," ",LOOKUP(人物卡!M5,职业列表!A2:C232,职业列表!F2:F232))</f>
        <v>0</v>
      </c>
      <c r="AD29" s="1568" t="s">
        <v>1517</v>
      </c>
      <c r="AE29" s="1569"/>
      <c r="AF29" s="1029"/>
      <c r="AG29" s="1029"/>
      <c r="AH29" s="1029"/>
      <c r="AI29" s="1029"/>
      <c r="AJ29" s="1029"/>
      <c r="AK29" s="1029"/>
      <c r="AL29" s="1029"/>
      <c r="AM29" s="1029"/>
      <c r="AN29" s="1029"/>
      <c r="AO29" s="1029"/>
      <c r="AP29" s="1029"/>
      <c r="AQ29" s="1029"/>
      <c r="AR29" s="1029"/>
      <c r="AS29" s="1029"/>
      <c r="AT29" s="376" t="s">
        <v>272</v>
      </c>
      <c r="AV29" s="374" t="n">
        <f>IF(AT29=人物卡!AZ129,4,0)</f>
        <v>4</v>
      </c>
      <c r="AX29" s="627"/>
      <c r="AY29" s="720"/>
      <c r="AZ29" s="721">
        <v>5</v>
      </c>
      <c r="BA29" s="721" t="s">
        <v>1518</v>
      </c>
      <c r="BB29" s="722" t="s">
        <v>1519</v>
      </c>
    </row>
    <row r="30" spans="2:54" ht="9.9" customHeight="1">
      <c r="B30" s="376"/>
      <c r="C30" s="376" t="n">
        <f>IF(人物卡!F113=B23,C23,0)</f>
        <v>0</v>
      </c>
      <c r="D30" s="374" t="n">
        <f>IF(人物卡!F113=B23,D23,0)</f>
        <v>0</v>
      </c>
      <c r="E30" s="1561" t="n">
        <f>IF(人物卡!F113=B23,E23,0)</f>
        <v>0</v>
      </c>
      <c r="F30" s="1029"/>
      <c r="G30" s="1029"/>
      <c r="H30" s="1029"/>
      <c r="I30" s="1029"/>
      <c r="J30" s="1029"/>
      <c r="K30" s="1015"/>
      <c r="M30" s="628"/>
      <c r="O30" s="376" t="s">
        <v>1520</v>
      </c>
      <c r="Q30" s="377"/>
      <c r="S30" s="1029"/>
      <c r="T30" s="1029"/>
      <c r="U30" s="1029"/>
      <c r="V30" s="1029"/>
      <c r="X30" s="723" t="s">
        <v>73</v>
      </c>
      <c r="Y30" s="377"/>
      <c r="AD30" s="724" t="n">
        <f>IF(AE30="大",1,0)</f>
        <v>0</v>
      </c>
      <c r="AE30" s="725" t="b">
        <f>IF(AE28&gt;MAX(AE33:AE169),"大")</f>
        <v>0</v>
      </c>
      <c r="AF30" s="1029"/>
      <c r="AG30" s="1029"/>
      <c r="AH30" s="1029"/>
      <c r="AI30" s="1029"/>
      <c r="AJ30" s="1029"/>
      <c r="AK30" s="1029"/>
      <c r="AL30" s="1029"/>
      <c r="AM30" s="1029"/>
      <c r="AN30" s="1029"/>
      <c r="AO30" s="1029"/>
      <c r="AP30" s="1029"/>
      <c r="AQ30" s="1029"/>
      <c r="AR30" s="1029"/>
      <c r="AS30" s="1029"/>
      <c r="AT30" s="374" t="s">
        <v>1521</v>
      </c>
      <c r="AU30" s="384" t="s">
        <v>1518</v>
      </c>
      <c r="AV30" s="385" t="n">
        <f>IF(AU30=人物卡!AZ129,5,0)</f>
        <v>0</v>
      </c>
      <c r="AW30" s="385"/>
      <c r="AX30" s="726"/>
      <c r="AY30" s="385"/>
      <c r="AZ30" s="385"/>
      <c r="BA30" s="385"/>
      <c r="BB30" s="388"/>
    </row>
    <row r="31" spans="2:54" ht="9.9" customHeight="1">
      <c r="B31" s="376"/>
      <c r="C31" s="384" t="n">
        <f>IF(人物卡!F113=B24,C24,0)</f>
        <v>0</v>
      </c>
      <c r="D31" s="385" t="n">
        <f>IF(人物卡!F113=B24,D24,0)</f>
        <v>0</v>
      </c>
      <c r="E31" s="1556" t="n">
        <f>IF(人物卡!F113=B24,E24,0)</f>
        <v>0</v>
      </c>
      <c r="F31" s="1019"/>
      <c r="G31" s="1019"/>
      <c r="H31" s="1019"/>
      <c r="I31" s="1019"/>
      <c r="J31" s="1019"/>
      <c r="K31" s="1091"/>
      <c r="M31" s="628"/>
      <c r="O31" s="376" t="s">
        <v>1522</v>
      </c>
      <c r="Q31" s="377"/>
      <c r="S31" s="1029"/>
      <c r="T31" s="1029"/>
      <c r="U31" s="1029"/>
      <c r="V31" s="1029"/>
      <c r="X31" s="719" t="s">
        <v>75</v>
      </c>
      <c r="Y31" s="377"/>
      <c r="AD31" s="727" t="n">
        <f>IF(AE31="小",1,0)</f>
        <v>0</v>
      </c>
      <c r="AE31" s="728" t="b">
        <f>IF(AE28&lt;1890,"小")</f>
        <v>0</v>
      </c>
      <c r="AF31" s="1029"/>
      <c r="AG31" s="1029"/>
      <c r="AH31" s="1029"/>
      <c r="AI31" s="1029"/>
      <c r="AJ31" s="1029"/>
      <c r="AK31" s="1029"/>
      <c r="AL31" s="1029"/>
      <c r="AM31" s="1029"/>
      <c r="AN31" s="1029"/>
      <c r="AO31" s="1029"/>
      <c r="AP31" s="1029"/>
      <c r="AQ31" s="1029"/>
      <c r="AR31" s="1029"/>
      <c r="AS31" s="1029"/>
    </row>
    <row r="32" spans="2:54" ht="9.9" customHeight="1">
      <c r="B32" s="376"/>
      <c r="C32" s="374" t="n">
        <f>IF(人物卡!F113=B25,C25,0)</f>
        <v>0</v>
      </c>
      <c r="D32" s="374" t="n">
        <f>IF(人物卡!F113=B25,D25,0)</f>
        <v>0</v>
      </c>
      <c r="E32" s="1561" t="n">
        <f>IF(人物卡!F113=B25,E25,0)</f>
        <v>0</v>
      </c>
      <c r="F32" s="1029"/>
      <c r="G32" s="1029"/>
      <c r="H32" s="1029"/>
      <c r="I32" s="1029"/>
      <c r="J32" s="1029"/>
      <c r="K32" s="1015"/>
      <c r="M32" s="628"/>
      <c r="O32" s="376" t="s">
        <v>1523</v>
      </c>
      <c r="Q32" s="377"/>
      <c r="S32" s="1029"/>
      <c r="T32" s="1029"/>
      <c r="U32" s="1029"/>
      <c r="V32" s="1029"/>
      <c r="X32" s="715" t="s">
        <v>78</v>
      </c>
      <c r="Y32" s="377"/>
      <c r="AD32" s="729" t="n">
        <f>AD30+AD31</f>
        <v>0</v>
      </c>
      <c r="AE32" s="730" t="s">
        <v>1524</v>
      </c>
      <c r="AF32" s="731" t="s">
        <v>1525</v>
      </c>
      <c r="AG32" s="731">
        <v>2</v>
      </c>
      <c r="AH32" s="731">
        <v>3</v>
      </c>
      <c r="AI32" s="731" t="s">
        <v>1526</v>
      </c>
      <c r="AJ32" s="731"/>
      <c r="AK32" s="731"/>
      <c r="AL32" s="731" t="s">
        <v>190</v>
      </c>
      <c r="AM32" s="731"/>
      <c r="AN32" s="731"/>
      <c r="AO32" s="731" t="s">
        <v>1527</v>
      </c>
      <c r="AP32" s="731" t="s">
        <v>1528</v>
      </c>
      <c r="AQ32" s="732" t="s">
        <v>1506</v>
      </c>
      <c r="AR32" s="732" t="s">
        <v>1509</v>
      </c>
      <c r="AS32" s="732" t="s">
        <v>1529</v>
      </c>
      <c r="AT32" s="26"/>
    </row>
    <row r="33" spans="2:48" ht="9.9" customHeight="1">
      <c r="B33" s="376"/>
      <c r="K33" s="377"/>
      <c r="M33" s="628"/>
      <c r="O33" s="376" t="s">
        <v>1530</v>
      </c>
      <c r="Q33" s="377"/>
      <c r="S33" s="1029"/>
      <c r="T33" s="1029"/>
      <c r="U33" s="1029"/>
      <c r="V33" s="1029"/>
      <c r="X33" s="715" t="s">
        <v>81</v>
      </c>
      <c r="Y33" s="377"/>
      <c r="AE33" s="372">
        <v>1890</v>
      </c>
      <c r="AF33" s="373" t="s">
        <v>1531</v>
      </c>
      <c r="AG33" s="373" t="s">
        <v>1532</v>
      </c>
      <c r="AH33" s="373"/>
      <c r="AI33" s="373" t="s">
        <v>92</v>
      </c>
      <c r="AJ33" s="373"/>
      <c r="AK33" s="373"/>
      <c r="AL33" s="373" t="s">
        <v>1533</v>
      </c>
      <c r="AM33" s="373" t="s">
        <v>1534</v>
      </c>
      <c r="AN33" s="373" t="s">
        <v>1535</v>
      </c>
      <c r="AO33" s="373" t="s">
        <v>1536</v>
      </c>
      <c r="AP33" s="374" t="s">
        <v>1537</v>
      </c>
      <c r="AQ33" s="373" t="s">
        <v>1538</v>
      </c>
      <c r="AR33" s="374" t="s">
        <v>1539</v>
      </c>
      <c r="AS33" s="26" t="s">
        <v>1540</v>
      </c>
      <c r="AT33" s="372">
        <v>1890</v>
      </c>
    </row>
    <row r="34" spans="2:48" ht="9.9" customHeight="1">
      <c r="B34" s="384"/>
      <c r="C34" s="385" t="str">
        <f>IF(C27=0,IF(C28=0,IF(C29=0,IF(C30=0,IF(C31=0,IF(C32=0,"",C32),C31),C30),C29),C28),C27)</f>
        <v/>
      </c>
      <c r="D34" s="385" t="n">
        <f>IF(D27=0,IF(D28=0,IF(D29=0,IF(D30=0,IF(D31=0,IF(D32=0,0,D32),D31),D30),D29),D28),D27)</f>
        <v>0</v>
      </c>
      <c r="E34" s="1556" t="str">
        <f>IF(E27=0,IF(E28=0,IF(E29=0,IF(E30=0,IF(E31=0,IF(E32=0,"",E32),E31),E30),E29),E28),E27)</f>
        <v/>
      </c>
      <c r="F34" s="1019"/>
      <c r="G34" s="1019"/>
      <c r="H34" s="1019"/>
      <c r="I34" s="1019"/>
      <c r="J34" s="1019"/>
      <c r="K34" s="1091"/>
      <c r="O34" s="376" t="s">
        <v>1541</v>
      </c>
      <c r="Q34" s="377"/>
      <c r="S34" s="1029"/>
      <c r="T34" s="1029"/>
      <c r="U34" s="1029"/>
      <c r="V34" s="1029"/>
      <c r="X34" s="715" t="s">
        <v>86</v>
      </c>
      <c r="Y34" s="377"/>
      <c r="AE34" s="372">
        <v>1891</v>
      </c>
      <c r="AF34" s="373" t="s">
        <v>1542</v>
      </c>
      <c r="AG34" s="373"/>
      <c r="AH34" s="373"/>
      <c r="AI34" s="373" t="s">
        <v>92</v>
      </c>
      <c r="AJ34" s="373"/>
      <c r="AK34" s="373"/>
      <c r="AL34" s="373" t="s">
        <v>1533</v>
      </c>
      <c r="AM34" s="373" t="s">
        <v>1543</v>
      </c>
      <c r="AN34" s="373" t="s">
        <v>1544</v>
      </c>
      <c r="AO34" s="373" t="s">
        <v>1545</v>
      </c>
      <c r="AP34" s="374" t="s">
        <v>1537</v>
      </c>
      <c r="AQ34" s="373" t="s">
        <v>1546</v>
      </c>
      <c r="AR34" s="373" t="s">
        <v>1547</v>
      </c>
      <c r="AS34" s="374" t="s">
        <v>1548</v>
      </c>
      <c r="AT34" s="372">
        <v>1891</v>
      </c>
    </row>
    <row r="35" spans="2:48" ht="9.9" customHeight="1">
      <c r="O35" s="376" t="s">
        <v>1549</v>
      </c>
      <c r="Q35" s="377"/>
      <c r="S35" s="1029"/>
      <c r="T35" s="1029"/>
      <c r="U35" s="1029"/>
      <c r="V35" s="1029"/>
      <c r="X35" s="715" t="s">
        <v>94</v>
      </c>
      <c r="Y35" s="377"/>
      <c r="AE35" s="372">
        <v>1892</v>
      </c>
      <c r="AF35" s="373" t="s">
        <v>92</v>
      </c>
      <c r="AG35" s="373"/>
      <c r="AH35" s="373"/>
      <c r="AI35" s="373" t="s">
        <v>92</v>
      </c>
      <c r="AJ35" s="373"/>
      <c r="AK35" s="373"/>
      <c r="AL35" s="373" t="s">
        <v>1533</v>
      </c>
      <c r="AM35" s="373" t="s">
        <v>1550</v>
      </c>
      <c r="AN35" s="373" t="s">
        <v>1551</v>
      </c>
      <c r="AO35" s="373" t="s">
        <v>1552</v>
      </c>
      <c r="AP35" s="373" t="s">
        <v>1553</v>
      </c>
      <c r="AQ35" s="373" t="s">
        <v>1554</v>
      </c>
      <c r="AR35" s="373" t="s">
        <v>1555</v>
      </c>
      <c r="AS35" s="374" t="s">
        <v>1556</v>
      </c>
      <c r="AT35" s="372">
        <v>1892</v>
      </c>
    </row>
    <row r="36" spans="2:48" ht="9.9" customHeight="1">
      <c r="B36" s="733"/>
      <c r="C36" s="734" t="s">
        <v>19</v>
      </c>
      <c r="D36" s="734" t="s">
        <v>1456</v>
      </c>
      <c r="E36" s="634"/>
      <c r="F36" s="735"/>
      <c r="I36" s="1579" t="s">
        <v>1557</v>
      </c>
      <c r="J36" s="1029"/>
      <c r="K36" s="1029"/>
      <c r="L36" s="1029"/>
      <c r="M36" s="1029"/>
      <c r="O36" s="376" t="s">
        <v>1558</v>
      </c>
      <c r="Q36" s="377"/>
      <c r="S36" s="373"/>
      <c r="T36" s="373"/>
      <c r="U36" s="373"/>
      <c r="V36" s="373"/>
      <c r="X36" s="715" t="s">
        <v>96</v>
      </c>
      <c r="Y36" s="377"/>
      <c r="AE36" s="372">
        <v>1893</v>
      </c>
      <c r="AF36" s="373" t="s">
        <v>1559</v>
      </c>
      <c r="AG36" s="373" t="s">
        <v>1560</v>
      </c>
      <c r="AH36" s="373"/>
      <c r="AI36" s="373" t="s">
        <v>92</v>
      </c>
      <c r="AJ36" s="373"/>
      <c r="AK36" s="373"/>
      <c r="AL36" s="373" t="s">
        <v>1533</v>
      </c>
      <c r="AM36" s="373" t="s">
        <v>1561</v>
      </c>
      <c r="AN36" s="373" t="s">
        <v>1562</v>
      </c>
      <c r="AO36" s="374" t="s">
        <v>1563</v>
      </c>
      <c r="AP36" s="374" t="s">
        <v>1564</v>
      </c>
      <c r="AQ36" s="373" t="s">
        <v>1565</v>
      </c>
      <c r="AR36" s="373" t="s">
        <v>1566</v>
      </c>
      <c r="AS36" s="374" t="s">
        <v>1567</v>
      </c>
      <c r="AT36" s="372">
        <v>1893</v>
      </c>
      <c r="AV36" s="373" t="s">
        <v>1568</v>
      </c>
    </row>
    <row r="37" spans="2:48" ht="9.9" customHeight="1">
      <c r="B37" s="736"/>
      <c r="C37" s="628" t="n">
        <f>ABS(人物卡!E6)</f>
        <v>0</v>
      </c>
      <c r="D37" s="628" t="str">
        <f>IF(ISBLANK(人物卡!AU37),IF(AND(C37&gt;=15,C37&lt;=19),D39,IF(AND(C37&gt;=20,C37&lt;=39),D40,IF(AND(C37&gt;=40,C37&lt;=49),D41,IF(AND(C37&gt;=50,C37&lt;=59),D42,IF(AND(C37&gt;=60,C37&lt;=69),D43,IF(AND(C37&gt;=70,C37&lt;=79),D44,IF(AND(C37&gt;=80,C37&lt;=89),D45,IF(ABS(C37)&gt;=90,D48,"请和kp商议")))))))),人物卡!AU37)</f>
        <v>请和kp商议</v>
      </c>
      <c r="F37" s="737"/>
      <c r="I37" s="738" t="s">
        <v>1569</v>
      </c>
      <c r="J37" s="738" t="s">
        <v>1570</v>
      </c>
      <c r="K37" s="738" t="s">
        <v>1571</v>
      </c>
      <c r="L37" s="738" t="s">
        <v>165</v>
      </c>
      <c r="M37" s="738" t="s">
        <v>108</v>
      </c>
      <c r="O37" s="376" t="s">
        <v>1572</v>
      </c>
      <c r="Q37" s="377"/>
      <c r="S37" s="1555" t="str">
        <f>IF(人物卡!M4="","","时代:"&amp;人物卡!M4&amp;CHAR(9))&amp;IF(人物卡!E5="","","职业:"&amp;人物卡!E5&amp;CHAR(9))&amp;IF(人物卡!E6="","","年龄"&amp;人物卡!E6&amp;" ")&amp;IF(人物卡!M6="","","性别:"&amp;人物卡!M6&amp;CHAR(9))&amp;IF(人物卡!E7="","","住地:"&amp;人物卡!E7&amp;CHAR(9))&amp;IF(人物卡!M7="","","出身:"&amp;人物卡!M7&amp;CHAR(9))</f>
        <v>时代:1920s	</v>
      </c>
      <c r="T37" s="1029"/>
      <c r="U37" s="1029"/>
      <c r="V37" s="1029"/>
      <c r="X37" s="715" t="s">
        <v>103</v>
      </c>
      <c r="Y37" s="377"/>
      <c r="AE37" s="372">
        <v>1894</v>
      </c>
      <c r="AF37" s="373" t="s">
        <v>1573</v>
      </c>
      <c r="AG37" s="373" t="s">
        <v>1574</v>
      </c>
      <c r="AH37" s="373"/>
      <c r="AI37" s="373" t="s">
        <v>1575</v>
      </c>
      <c r="AJ37" s="373" t="s">
        <v>1576</v>
      </c>
      <c r="AK37" s="373"/>
      <c r="AL37" s="373" t="s">
        <v>1533</v>
      </c>
      <c r="AM37" s="373" t="s">
        <v>1577</v>
      </c>
      <c r="AN37" s="373" t="s">
        <v>1578</v>
      </c>
      <c r="AO37" s="373" t="s">
        <v>1579</v>
      </c>
      <c r="AP37" s="374" t="s">
        <v>1580</v>
      </c>
      <c r="AQ37" s="373" t="s">
        <v>1581</v>
      </c>
      <c r="AR37" s="373" t="s">
        <v>1582</v>
      </c>
      <c r="AS37" s="373" t="s">
        <v>1568</v>
      </c>
      <c r="AT37" s="372">
        <v>1894</v>
      </c>
    </row>
    <row r="38" spans="2:48" ht="9.9" customHeight="1">
      <c r="B38" s="736"/>
      <c r="C38" s="1557" t="s">
        <v>1583</v>
      </c>
      <c r="D38" s="1121"/>
      <c r="E38" s="1122"/>
      <c r="F38" s="737"/>
      <c r="I38" s="739" t="s">
        <v>1584</v>
      </c>
      <c r="J38" s="223" t="s">
        <v>1585</v>
      </c>
      <c r="K38" s="223" t="s">
        <v>1586</v>
      </c>
      <c r="L38" s="223" t="s">
        <v>400</v>
      </c>
      <c r="M38" s="223" t="s">
        <v>1587</v>
      </c>
      <c r="O38" s="376" t="s">
        <v>1588</v>
      </c>
      <c r="Q38" s="377"/>
      <c r="S38" s="1029"/>
      <c r="T38" s="1029"/>
      <c r="U38" s="1029"/>
      <c r="V38" s="1029"/>
      <c r="X38" s="715" t="s">
        <v>105</v>
      </c>
      <c r="Y38" s="377"/>
      <c r="AE38" s="372">
        <v>1895</v>
      </c>
      <c r="AF38" s="373" t="s">
        <v>1589</v>
      </c>
      <c r="AG38" s="373" t="s">
        <v>1590</v>
      </c>
      <c r="AH38" s="373"/>
      <c r="AI38" s="373" t="s">
        <v>1591</v>
      </c>
      <c r="AJ38" s="373" t="s">
        <v>1592</v>
      </c>
      <c r="AK38" s="373"/>
      <c r="AL38" s="373" t="s">
        <v>1533</v>
      </c>
      <c r="AM38" s="373" t="s">
        <v>1593</v>
      </c>
      <c r="AN38" s="373" t="s">
        <v>1594</v>
      </c>
      <c r="AO38" s="373" t="s">
        <v>1595</v>
      </c>
      <c r="AP38" s="374" t="s">
        <v>1580</v>
      </c>
      <c r="AQ38" s="373" t="s">
        <v>1596</v>
      </c>
      <c r="AR38" s="373" t="s">
        <v>1597</v>
      </c>
      <c r="AS38" s="374" t="s">
        <v>1598</v>
      </c>
      <c r="AT38" s="372">
        <v>1895</v>
      </c>
      <c r="AV38" s="1029" t="n">
        <f>IF(AV36="仅显示1890_2012","",VLOOKUP(AV36,AS33:AT155,2,FALSE))</f>
        <v>1894</v>
      </c>
    </row>
    <row r="39" spans="2:48" ht="9.9" customHeight="1">
      <c r="B39" s="736">
        <v>15</v>
      </c>
      <c r="C39" s="628">
        <v>19</v>
      </c>
      <c r="D39" s="628" t="s">
        <v>1599</v>
      </c>
      <c r="E39" s="628"/>
      <c r="F39" s="737"/>
      <c r="I39" s="740" t="s">
        <v>1600</v>
      </c>
      <c r="J39" s="741" t="s">
        <v>1601</v>
      </c>
      <c r="K39" s="742" t="s">
        <v>1602</v>
      </c>
      <c r="L39" s="742" t="s">
        <v>1603</v>
      </c>
      <c r="M39" s="741" t="s">
        <v>1604</v>
      </c>
      <c r="O39" s="376" t="s">
        <v>1605</v>
      </c>
      <c r="Q39" s="377"/>
      <c r="S39" s="1555" t="str">
        <f>IF(人物卡!I11="",""," 身体状态:"&amp;人物卡!I11&amp;CHAR(9))&amp;IF(人物卡!R11="",""," 精神状态:"&amp;人物卡!R11&amp;CHAR(9))</f>
        <v> 身体状态:健康	 精神状态:清醒	</v>
      </c>
      <c r="T39" s="1029"/>
      <c r="U39" s="1029"/>
      <c r="V39" s="1029"/>
      <c r="X39" s="715" t="s">
        <v>109</v>
      </c>
      <c r="Y39" s="377"/>
      <c r="AE39" s="372">
        <v>1896</v>
      </c>
      <c r="AF39" s="373" t="s">
        <v>1606</v>
      </c>
      <c r="AG39" s="373"/>
      <c r="AH39" s="373"/>
      <c r="AI39" s="373" t="s">
        <v>1607</v>
      </c>
      <c r="AJ39" s="373"/>
      <c r="AK39" s="373"/>
      <c r="AL39" s="373" t="s">
        <v>1533</v>
      </c>
      <c r="AM39" s="373" t="s">
        <v>1608</v>
      </c>
      <c r="AN39" s="373" t="s">
        <v>1609</v>
      </c>
      <c r="AO39" s="374" t="s">
        <v>1610</v>
      </c>
      <c r="AP39" s="374" t="s">
        <v>1580</v>
      </c>
      <c r="AQ39" s="373" t="s">
        <v>1611</v>
      </c>
      <c r="AR39" s="373" t="s">
        <v>1612</v>
      </c>
      <c r="AS39" s="374" t="s">
        <v>1613</v>
      </c>
      <c r="AT39" s="372">
        <v>1896</v>
      </c>
      <c r="AV39" s="1029"/>
    </row>
    <row r="40" spans="2:48" ht="9.9" customHeight="1">
      <c r="B40" s="736">
        <v>20</v>
      </c>
      <c r="C40" s="628">
        <v>39</v>
      </c>
      <c r="D40" s="628" t="s">
        <v>1614</v>
      </c>
      <c r="E40" s="628"/>
      <c r="F40" s="737"/>
      <c r="I40" s="739" t="s">
        <v>1615</v>
      </c>
      <c r="J40" s="223" t="s">
        <v>1616</v>
      </c>
      <c r="K40" s="743" t="s">
        <v>1617</v>
      </c>
      <c r="L40" s="223" t="s">
        <v>1603</v>
      </c>
      <c r="M40" s="223" t="s">
        <v>1618</v>
      </c>
      <c r="O40" s="376" t="s">
        <v>1619</v>
      </c>
      <c r="Q40" s="377"/>
      <c r="S40" s="1555" t="str">
        <f>IF(人物卡!AP52="","","&amp;DB="&amp;人物卡!AP52&amp;" 体格:"&amp;人物卡!AP55)&amp;IF(OR(人物卡!AP57="",,人物卡!R29&lt;&gt;人物卡!J29),""," 闪避:"&amp;人物卡!AP57)&amp;IF(人物卡!AN10="",""," 护甲:"&amp;人物卡!AN10)</f>
        <v>&amp;DB=0 体格:0 闪避:0 护甲:无</v>
      </c>
      <c r="T40" s="1029"/>
      <c r="U40" s="1029"/>
      <c r="V40" s="1029"/>
      <c r="X40" s="715" t="s">
        <v>111</v>
      </c>
      <c r="Y40" s="377"/>
      <c r="AE40" s="372">
        <v>1897</v>
      </c>
      <c r="AF40" s="373" t="s">
        <v>92</v>
      </c>
      <c r="AG40" s="373"/>
      <c r="AH40" s="373"/>
      <c r="AI40" s="373" t="s">
        <v>92</v>
      </c>
      <c r="AJ40" s="373"/>
      <c r="AK40" s="373"/>
      <c r="AL40" s="373" t="s">
        <v>1533</v>
      </c>
      <c r="AM40" s="373" t="s">
        <v>1620</v>
      </c>
      <c r="AN40" s="373" t="s">
        <v>1621</v>
      </c>
      <c r="AO40" s="374" t="s">
        <v>1622</v>
      </c>
      <c r="AP40" s="374" t="s">
        <v>1623</v>
      </c>
      <c r="AQ40" s="373" t="s">
        <v>1624</v>
      </c>
      <c r="AR40" s="373" t="s">
        <v>1625</v>
      </c>
      <c r="AS40" s="374" t="s">
        <v>1626</v>
      </c>
      <c r="AT40" s="372">
        <v>1897</v>
      </c>
      <c r="AV40" s="1029"/>
    </row>
    <row r="41" spans="2:48" ht="9.9" customHeight="1">
      <c r="B41" s="736">
        <v>40</v>
      </c>
      <c r="C41" s="628">
        <v>49</v>
      </c>
      <c r="D41" s="628" t="s">
        <v>1627</v>
      </c>
      <c r="E41" s="628"/>
      <c r="F41" s="737"/>
      <c r="I41" s="740" t="s">
        <v>1628</v>
      </c>
      <c r="J41" s="742" t="s">
        <v>1629</v>
      </c>
      <c r="K41" s="741" t="s">
        <v>1630</v>
      </c>
      <c r="L41" s="742" t="s">
        <v>400</v>
      </c>
      <c r="M41" s="742" t="s">
        <v>1631</v>
      </c>
      <c r="O41" s="376" t="s">
        <v>1632</v>
      </c>
      <c r="Q41" s="377"/>
      <c r="S41" s="1555" t="str">
        <f>IF(人物卡!G54="",IF(人物卡!B54="",""," &amp;"&amp;人物卡!B54&amp;"="&amp;人物卡!W54)," &amp;"&amp;人物卡!B54&amp;"="&amp;VLOOKUP(人物卡!G54,'武器列表 战斗'!B2:T105,19,FALSE))</f>
        <v/>
      </c>
      <c r="T41" s="1029"/>
      <c r="U41" s="1029"/>
      <c r="V41" s="1029"/>
      <c r="X41" s="715" t="s">
        <v>114</v>
      </c>
      <c r="Y41" s="377"/>
      <c r="AE41" s="372">
        <v>1898</v>
      </c>
      <c r="AF41" s="373" t="s">
        <v>1633</v>
      </c>
      <c r="AG41" s="202" t="s">
        <v>1634</v>
      </c>
      <c r="AH41" s="373"/>
      <c r="AI41" s="373" t="s">
        <v>1635</v>
      </c>
      <c r="AJ41" s="373"/>
      <c r="AK41" s="744"/>
      <c r="AL41" s="373" t="s">
        <v>1636</v>
      </c>
      <c r="AM41" s="373" t="s">
        <v>1637</v>
      </c>
      <c r="AN41" s="373" t="s">
        <v>1638</v>
      </c>
      <c r="AO41" s="373" t="s">
        <v>1639</v>
      </c>
      <c r="AP41" s="374" t="s">
        <v>1640</v>
      </c>
      <c r="AQ41" s="373" t="s">
        <v>1641</v>
      </c>
      <c r="AR41" s="373" t="s">
        <v>1642</v>
      </c>
      <c r="AS41" s="374" t="s">
        <v>1643</v>
      </c>
      <c r="AT41" s="372">
        <v>1898</v>
      </c>
      <c r="AV41" s="1029"/>
    </row>
    <row r="42" spans="2:48" ht="9.9" customHeight="1">
      <c r="B42" s="736">
        <v>50</v>
      </c>
      <c r="C42" s="628">
        <v>59</v>
      </c>
      <c r="D42" s="628" t="s">
        <v>1644</v>
      </c>
      <c r="E42" s="628"/>
      <c r="F42" s="737"/>
      <c r="I42" s="739" t="s">
        <v>1645</v>
      </c>
      <c r="J42" s="223" t="s">
        <v>1646</v>
      </c>
      <c r="K42" s="743" t="s">
        <v>1647</v>
      </c>
      <c r="L42" s="223" t="s">
        <v>1648</v>
      </c>
      <c r="M42" s="223" t="s">
        <v>1649</v>
      </c>
      <c r="O42" s="376" t="s">
        <v>1650</v>
      </c>
      <c r="Q42" s="377"/>
      <c r="S42" s="1555" t="str">
        <f>IF(人物卡!G55="",IF(人物卡!B55="",""," &amp;"&amp;人物卡!B55&amp;"="&amp;人物卡!W55)," &amp;"&amp;人物卡!B55&amp;"="&amp;VLOOKUP(人物卡!G55,'武器列表 战斗'!B2:T105,19,FALSE))</f>
        <v/>
      </c>
      <c r="T42" s="1029"/>
      <c r="U42" s="1029"/>
      <c r="V42" s="1029"/>
      <c r="X42" s="715" t="s">
        <v>116</v>
      </c>
      <c r="Y42" s="377"/>
      <c r="AE42" s="372">
        <v>1899</v>
      </c>
      <c r="AF42" s="374" t="s">
        <v>1651</v>
      </c>
      <c r="AG42" s="373"/>
      <c r="AH42" s="373"/>
      <c r="AI42" s="373" t="s">
        <v>92</v>
      </c>
      <c r="AJ42" s="373"/>
      <c r="AK42" s="373"/>
      <c r="AL42" s="373" t="s">
        <v>1533</v>
      </c>
      <c r="AM42" s="373" t="s">
        <v>1652</v>
      </c>
      <c r="AN42" s="373" t="s">
        <v>1653</v>
      </c>
      <c r="AO42" s="374" t="s">
        <v>1654</v>
      </c>
      <c r="AP42" s="374" t="s">
        <v>1640</v>
      </c>
      <c r="AQ42" s="373" t="s">
        <v>1655</v>
      </c>
      <c r="AR42" s="373" t="s">
        <v>1656</v>
      </c>
      <c r="AS42" s="374" t="s">
        <v>1657</v>
      </c>
      <c r="AT42" s="372">
        <v>1899</v>
      </c>
      <c r="AV42" s="1029"/>
    </row>
    <row r="43" spans="2:48" ht="9.9" customHeight="1">
      <c r="B43" s="736">
        <v>60</v>
      </c>
      <c r="C43" s="628">
        <v>69</v>
      </c>
      <c r="D43" s="628" t="s">
        <v>1658</v>
      </c>
      <c r="E43" s="628"/>
      <c r="F43" s="737"/>
      <c r="I43" s="740" t="s">
        <v>1659</v>
      </c>
      <c r="J43" s="742" t="s">
        <v>1660</v>
      </c>
      <c r="K43" s="745" t="s">
        <v>1661</v>
      </c>
      <c r="L43" s="741" t="s">
        <v>1603</v>
      </c>
      <c r="M43" s="742" t="s">
        <v>1662</v>
      </c>
      <c r="O43" s="376" t="s">
        <v>1663</v>
      </c>
      <c r="Q43" s="377"/>
      <c r="S43" s="1555" t="str">
        <f>IF(人物卡!G56="",IF(人物卡!B56="",""," &amp;"&amp;人物卡!B56&amp;"="&amp;人物卡!W56)," &amp;"&amp;人物卡!B56&amp;"="&amp;VLOOKUP(人物卡!G56,'武器列表 战斗'!B2:T105,19,FALSE))</f>
        <v/>
      </c>
      <c r="T43" s="1029"/>
      <c r="U43" s="1029"/>
      <c r="V43" s="1029"/>
      <c r="X43" s="715" t="s">
        <v>119</v>
      </c>
      <c r="Y43" s="377"/>
      <c r="AE43" s="372">
        <v>1900</v>
      </c>
      <c r="AF43" s="373" t="s">
        <v>1664</v>
      </c>
      <c r="AG43" s="373" t="s">
        <v>1665</v>
      </c>
      <c r="AH43" s="373"/>
      <c r="AI43" s="373" t="s">
        <v>1666</v>
      </c>
      <c r="AJ43" s="373" t="s">
        <v>1667</v>
      </c>
      <c r="AK43" s="373"/>
      <c r="AL43" s="373" t="s">
        <v>1668</v>
      </c>
      <c r="AM43" s="373" t="s">
        <v>1669</v>
      </c>
      <c r="AN43" s="373" t="s">
        <v>1670</v>
      </c>
      <c r="AO43" s="374" t="s">
        <v>1671</v>
      </c>
      <c r="AP43" s="374" t="s">
        <v>1640</v>
      </c>
      <c r="AQ43" s="373" t="s">
        <v>1672</v>
      </c>
      <c r="AR43" s="373" t="s">
        <v>1673</v>
      </c>
      <c r="AS43" s="374" t="s">
        <v>1674</v>
      </c>
      <c r="AT43" s="372">
        <v>1900</v>
      </c>
      <c r="AV43" s="1029"/>
    </row>
    <row r="44" spans="2:48" ht="9.9" customHeight="1">
      <c r="B44" s="736">
        <v>70</v>
      </c>
      <c r="C44" s="628">
        <v>79</v>
      </c>
      <c r="D44" s="628" t="s">
        <v>1675</v>
      </c>
      <c r="E44" s="628"/>
      <c r="F44" s="737"/>
      <c r="I44" s="739" t="s">
        <v>1676</v>
      </c>
      <c r="J44" s="223" t="s">
        <v>1646</v>
      </c>
      <c r="K44" s="374" t="s">
        <v>1677</v>
      </c>
      <c r="L44" s="743" t="s">
        <v>1603</v>
      </c>
      <c r="M44" s="223" t="s">
        <v>1678</v>
      </c>
      <c r="O44" s="376" t="s">
        <v>1679</v>
      </c>
      <c r="Q44" s="377"/>
      <c r="S44" s="1555" t="str">
        <f>S41&amp;S42&amp;S43</f>
        <v/>
      </c>
      <c r="T44" s="1029"/>
      <c r="U44" s="1029"/>
      <c r="V44" s="1029"/>
      <c r="X44" s="723" t="s">
        <v>122</v>
      </c>
      <c r="Y44" s="377"/>
      <c r="AE44" s="372">
        <v>1901</v>
      </c>
      <c r="AF44" s="373" t="s">
        <v>1680</v>
      </c>
      <c r="AG44" s="373"/>
      <c r="AH44" s="373"/>
      <c r="AI44" s="373" t="s">
        <v>1681</v>
      </c>
      <c r="AJ44" s="373"/>
      <c r="AK44" s="373"/>
      <c r="AL44" s="373" t="s">
        <v>1668</v>
      </c>
      <c r="AM44" s="373" t="s">
        <v>1682</v>
      </c>
      <c r="AN44" s="373" t="s">
        <v>1683</v>
      </c>
      <c r="AO44" s="374" t="s">
        <v>1684</v>
      </c>
      <c r="AP44" s="374" t="s">
        <v>1685</v>
      </c>
      <c r="AQ44" s="373" t="s">
        <v>1686</v>
      </c>
      <c r="AR44" s="373" t="s">
        <v>1687</v>
      </c>
      <c r="AS44" s="374" t="s">
        <v>1688</v>
      </c>
      <c r="AT44" s="372">
        <v>1901</v>
      </c>
      <c r="AV44" s="1029"/>
    </row>
    <row r="45" spans="2:48" ht="9.9" customHeight="1">
      <c r="B45" s="736">
        <v>80</v>
      </c>
      <c r="C45" s="628">
        <v>89</v>
      </c>
      <c r="D45" s="628" t="s">
        <v>1689</v>
      </c>
      <c r="E45" s="628"/>
      <c r="F45" s="737"/>
      <c r="I45" s="740" t="s">
        <v>1690</v>
      </c>
      <c r="J45" s="742" t="s">
        <v>1691</v>
      </c>
      <c r="K45" s="741" t="s">
        <v>1692</v>
      </c>
      <c r="L45" s="742" t="s">
        <v>1603</v>
      </c>
      <c r="M45" s="742" t="s">
        <v>1693</v>
      </c>
      <c r="O45" s="376" t="s">
        <v>1694</v>
      </c>
      <c r="Q45" s="377"/>
      <c r="S45" s="373"/>
      <c r="T45" s="373"/>
      <c r="U45" s="373"/>
      <c r="V45" s="373"/>
      <c r="X45" s="715" t="s">
        <v>126</v>
      </c>
      <c r="Y45" s="377"/>
      <c r="AE45" s="372">
        <v>1902</v>
      </c>
      <c r="AF45" s="373" t="s">
        <v>1695</v>
      </c>
      <c r="AG45" s="373"/>
      <c r="AH45" s="373"/>
      <c r="AI45" s="373" t="s">
        <v>92</v>
      </c>
      <c r="AJ45" s="373"/>
      <c r="AK45" s="373"/>
      <c r="AL45" s="373" t="s">
        <v>1668</v>
      </c>
      <c r="AM45" s="373" t="s">
        <v>1696</v>
      </c>
      <c r="AN45" s="373" t="s">
        <v>1697</v>
      </c>
      <c r="AO45" s="374" t="s">
        <v>1698</v>
      </c>
      <c r="AP45" s="374" t="s">
        <v>1699</v>
      </c>
      <c r="AQ45" s="373" t="s">
        <v>1700</v>
      </c>
      <c r="AR45" s="373" t="s">
        <v>1701</v>
      </c>
      <c r="AS45" s="374" t="s">
        <v>1702</v>
      </c>
      <c r="AT45" s="372">
        <v>1902</v>
      </c>
      <c r="AV45" s="1029"/>
    </row>
    <row r="46" spans="2:48" ht="9.9" customHeight="1">
      <c r="B46" s="736"/>
      <c r="C46" s="746" t="s">
        <v>1703</v>
      </c>
      <c r="D46" s="747" t="s">
        <v>1704</v>
      </c>
      <c r="E46" s="748" t="s">
        <v>1705</v>
      </c>
      <c r="F46" s="737"/>
      <c r="I46" s="739" t="s">
        <v>1706</v>
      </c>
      <c r="J46" s="374" t="s">
        <v>1660</v>
      </c>
      <c r="K46" s="743" t="s">
        <v>1707</v>
      </c>
      <c r="L46" s="374" t="s">
        <v>1708</v>
      </c>
      <c r="M46" s="743" t="s">
        <v>1709</v>
      </c>
      <c r="O46" s="376" t="s">
        <v>1710</v>
      </c>
      <c r="Q46" s="377"/>
      <c r="S46" s="1555" t="str">
        <f>S24&amp;S37&amp;S39&amp;S40&amp;S44</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时代:1920s	 身体状态:健康	 精神状态:清醒	&amp;DB=0 体格:0 闪避:0 护甲:无</v>
      </c>
      <c r="T46" s="1029"/>
      <c r="U46" s="1029"/>
      <c r="V46" s="1029"/>
      <c r="X46" s="715" t="s">
        <v>131</v>
      </c>
      <c r="Y46" s="377"/>
      <c r="AE46" s="372">
        <v>1903</v>
      </c>
      <c r="AF46" s="373" t="s">
        <v>92</v>
      </c>
      <c r="AG46" s="373"/>
      <c r="AH46" s="373"/>
      <c r="AI46" s="373" t="s">
        <v>92</v>
      </c>
      <c r="AJ46" s="373"/>
      <c r="AK46" s="373"/>
      <c r="AL46" s="373" t="s">
        <v>1668</v>
      </c>
      <c r="AM46" s="373" t="s">
        <v>1711</v>
      </c>
      <c r="AN46" s="373" t="s">
        <v>1712</v>
      </c>
      <c r="AO46" s="373" t="s">
        <v>1713</v>
      </c>
      <c r="AP46" s="374" t="s">
        <v>1699</v>
      </c>
      <c r="AQ46" s="373" t="s">
        <v>1714</v>
      </c>
      <c r="AR46" s="373" t="s">
        <v>1715</v>
      </c>
      <c r="AS46" s="374" t="s">
        <v>1716</v>
      </c>
      <c r="AT46" s="372">
        <v>1903</v>
      </c>
      <c r="AV46" s="1029"/>
    </row>
    <row r="47" spans="2:48" ht="9.9" customHeight="1">
      <c r="B47" s="736"/>
      <c r="C47" s="749" t="n">
        <f>INT((C37-B45)/10)</f>
        <v>-8</v>
      </c>
      <c r="D47" s="750" t="n">
        <f>80+80*C47</f>
        <v>-560</v>
      </c>
      <c r="E47" s="751">
        <v>25</v>
      </c>
      <c r="F47" s="737"/>
      <c r="I47" s="745" t="s">
        <v>1717</v>
      </c>
      <c r="J47" s="741" t="s">
        <v>1718</v>
      </c>
      <c r="K47" s="741" t="s">
        <v>1719</v>
      </c>
      <c r="L47" s="742" t="s">
        <v>1648</v>
      </c>
      <c r="M47" s="742" t="s">
        <v>1720</v>
      </c>
      <c r="O47" s="376" t="s">
        <v>1721</v>
      </c>
      <c r="Q47" s="377"/>
      <c r="S47" s="1029"/>
      <c r="T47" s="1029"/>
      <c r="U47" s="1029"/>
      <c r="V47" s="1029"/>
      <c r="X47" s="719" t="s">
        <v>133</v>
      </c>
      <c r="Y47" s="377"/>
      <c r="AE47" s="372">
        <v>1904</v>
      </c>
      <c r="AF47" s="373" t="s">
        <v>1722</v>
      </c>
      <c r="AG47" s="373" t="s">
        <v>1723</v>
      </c>
      <c r="AH47" s="373"/>
      <c r="AI47" s="373" t="s">
        <v>92</v>
      </c>
      <c r="AJ47" s="373"/>
      <c r="AK47" s="373"/>
      <c r="AL47" s="373" t="s">
        <v>1668</v>
      </c>
      <c r="AM47" s="373" t="s">
        <v>1724</v>
      </c>
      <c r="AN47" s="373" t="s">
        <v>1725</v>
      </c>
      <c r="AO47" s="374" t="s">
        <v>1726</v>
      </c>
      <c r="AP47" s="374" t="s">
        <v>1699</v>
      </c>
      <c r="AQ47" s="373" t="s">
        <v>1727</v>
      </c>
      <c r="AR47" s="373" t="s">
        <v>1728</v>
      </c>
      <c r="AS47" s="374" t="s">
        <v>1729</v>
      </c>
      <c r="AT47" s="372">
        <v>1904</v>
      </c>
      <c r="AV47" s="1029"/>
    </row>
    <row r="48" spans="2:48" ht="9.9" customHeight="1">
      <c r="B48" s="752"/>
      <c r="C48" s="752" t="n">
        <f>C37</f>
        <v>0</v>
      </c>
      <c r="D48" s="753" t="str">
        <f>"进步*4,SCD共-"&amp;D47&amp;" A-"&amp;E47</f>
        <v>进步*4,SCD共--560 A-25</v>
      </c>
      <c r="E48" s="754"/>
      <c r="F48" s="754"/>
      <c r="G48" s="628"/>
      <c r="I48" s="374" t="s">
        <v>1730</v>
      </c>
      <c r="J48" s="374" t="s">
        <v>1731</v>
      </c>
      <c r="K48" s="743" t="s">
        <v>1732</v>
      </c>
      <c r="L48" s="374" t="s">
        <v>1603</v>
      </c>
      <c r="M48" s="743" t="s">
        <v>1733</v>
      </c>
      <c r="O48" s="376" t="s">
        <v>1734</v>
      </c>
      <c r="Q48" s="377"/>
      <c r="S48" s="1029"/>
      <c r="T48" s="1029"/>
      <c r="U48" s="1029"/>
      <c r="V48" s="1029"/>
      <c r="X48" s="723" t="s">
        <v>137</v>
      </c>
      <c r="Y48" s="377"/>
      <c r="AE48" s="372">
        <v>1905</v>
      </c>
      <c r="AF48" s="373" t="s">
        <v>1735</v>
      </c>
      <c r="AG48" s="373"/>
      <c r="AH48" s="373"/>
      <c r="AI48" s="373" t="s">
        <v>92</v>
      </c>
      <c r="AJ48" s="373"/>
      <c r="AK48" s="373"/>
      <c r="AL48" s="373" t="s">
        <v>1668</v>
      </c>
      <c r="AM48" s="373" t="s">
        <v>1736</v>
      </c>
      <c r="AN48" s="373" t="s">
        <v>1737</v>
      </c>
      <c r="AO48" s="374" t="s">
        <v>1738</v>
      </c>
      <c r="AP48" s="374" t="s">
        <v>1699</v>
      </c>
      <c r="AQ48" s="373" t="s">
        <v>1739</v>
      </c>
      <c r="AR48" s="373" t="s">
        <v>1740</v>
      </c>
      <c r="AS48" s="374" t="s">
        <v>1741</v>
      </c>
      <c r="AT48" s="372">
        <v>1905</v>
      </c>
    </row>
    <row r="49" spans="5:48" ht="9.9" customHeight="1">
      <c r="I49" s="374" t="s">
        <v>1742</v>
      </c>
      <c r="J49" s="743" t="s">
        <v>212</v>
      </c>
      <c r="K49" s="743" t="s">
        <v>212</v>
      </c>
      <c r="L49" s="743" t="s">
        <v>212</v>
      </c>
      <c r="M49" s="743" t="s">
        <v>212</v>
      </c>
      <c r="O49" s="376" t="s">
        <v>1743</v>
      </c>
      <c r="Q49" s="377"/>
      <c r="S49" s="1029"/>
      <c r="T49" s="1029"/>
      <c r="U49" s="1029"/>
      <c r="V49" s="1029"/>
      <c r="X49" s="719" t="s">
        <v>139</v>
      </c>
      <c r="Y49" s="377"/>
      <c r="AE49" s="372">
        <v>1906</v>
      </c>
      <c r="AF49" s="373" t="s">
        <v>1744</v>
      </c>
      <c r="AG49" s="373" t="s">
        <v>1745</v>
      </c>
      <c r="AH49" s="373"/>
      <c r="AI49" s="373" t="s">
        <v>92</v>
      </c>
      <c r="AJ49" s="373"/>
      <c r="AK49" s="373"/>
      <c r="AL49" s="373" t="s">
        <v>1668</v>
      </c>
      <c r="AM49" s="373" t="s">
        <v>1746</v>
      </c>
      <c r="AN49" s="373" t="s">
        <v>1747</v>
      </c>
      <c r="AO49" s="374" t="s">
        <v>1748</v>
      </c>
      <c r="AP49" s="374" t="s">
        <v>1699</v>
      </c>
      <c r="AQ49" s="373" t="s">
        <v>1749</v>
      </c>
      <c r="AR49" s="373" t="s">
        <v>1750</v>
      </c>
      <c r="AS49" s="374" t="s">
        <v>1751</v>
      </c>
      <c r="AT49" s="372">
        <v>1906</v>
      </c>
    </row>
    <row r="50" spans="5:48" ht="9.9" customHeight="1">
      <c r="O50" s="376" t="s">
        <v>1752</v>
      </c>
      <c r="Q50" s="377"/>
      <c r="S50" s="1029"/>
      <c r="T50" s="1029"/>
      <c r="U50" s="1029"/>
      <c r="V50" s="1029"/>
      <c r="X50" s="719" t="s">
        <v>141</v>
      </c>
      <c r="Y50" s="377"/>
      <c r="AE50" s="372">
        <v>1907</v>
      </c>
      <c r="AF50" s="373" t="s">
        <v>92</v>
      </c>
      <c r="AG50" s="373"/>
      <c r="AH50" s="373"/>
      <c r="AI50" s="373" t="s">
        <v>92</v>
      </c>
      <c r="AJ50" s="373"/>
      <c r="AK50" s="373"/>
      <c r="AL50" s="373" t="s">
        <v>1668</v>
      </c>
      <c r="AM50" s="373" t="s">
        <v>1753</v>
      </c>
      <c r="AN50" s="373" t="s">
        <v>1754</v>
      </c>
      <c r="AO50" s="374" t="s">
        <v>1755</v>
      </c>
      <c r="AP50" s="374" t="s">
        <v>1699</v>
      </c>
      <c r="AQ50" s="373" t="s">
        <v>1756</v>
      </c>
      <c r="AR50" s="373" t="s">
        <v>1757</v>
      </c>
      <c r="AS50" s="374" t="s">
        <v>1758</v>
      </c>
      <c r="AT50" s="372">
        <v>1907</v>
      </c>
    </row>
    <row r="51" spans="5:48" ht="9.9" customHeight="1">
      <c r="O51" s="376" t="s">
        <v>1759</v>
      </c>
      <c r="Q51" s="377"/>
      <c r="S51" s="1029"/>
      <c r="T51" s="1029"/>
      <c r="U51" s="1029"/>
      <c r="V51" s="1029"/>
      <c r="X51" s="715" t="s">
        <v>143</v>
      </c>
      <c r="Y51" s="377"/>
      <c r="AE51" s="372">
        <v>1908</v>
      </c>
      <c r="AF51" s="373" t="s">
        <v>1760</v>
      </c>
      <c r="AG51" s="373"/>
      <c r="AH51" s="373"/>
      <c r="AI51" s="373" t="s">
        <v>92</v>
      </c>
      <c r="AJ51" s="373"/>
      <c r="AK51" s="373"/>
      <c r="AL51" s="373" t="s">
        <v>1668</v>
      </c>
      <c r="AM51" s="373" t="s">
        <v>1761</v>
      </c>
      <c r="AN51" s="373" t="s">
        <v>1762</v>
      </c>
      <c r="AO51" s="374" t="s">
        <v>1763</v>
      </c>
      <c r="AP51" s="374" t="s">
        <v>1699</v>
      </c>
      <c r="AQ51" s="373" t="s">
        <v>1764</v>
      </c>
      <c r="AR51" s="373" t="s">
        <v>1765</v>
      </c>
      <c r="AS51" s="374" t="s">
        <v>1766</v>
      </c>
      <c r="AT51" s="372">
        <v>1908</v>
      </c>
    </row>
    <row r="52" spans="5:48" ht="9.9" customHeight="1">
      <c r="E52" s="1560" t="str">
        <f>IF(人物卡!M5=0," ","["&amp;LOOKUP(人物卡!M5,职业列表!A2:A232,职业列表!B2:B232)&amp;"]")</f>
        <v>[自定义职业]</v>
      </c>
      <c r="F52" s="1023"/>
      <c r="G52" s="1023"/>
      <c r="H52" s="1584" t="s">
        <v>1767</v>
      </c>
      <c r="I52" s="1024"/>
      <c r="J52" s="1565" t="str">
        <f>IF(人物卡!M5=0," ","["&amp;LOOKUP(人物卡!M5,职业列表!A2:C232,职业列表!E2:E232)&amp;"]")</f>
        <v>[教育×4]</v>
      </c>
      <c r="K52" s="1167"/>
      <c r="O52" s="376" t="s">
        <v>1768</v>
      </c>
      <c r="Q52" s="377"/>
      <c r="S52" s="1029"/>
      <c r="T52" s="1029"/>
      <c r="U52" s="1029"/>
      <c r="V52" s="1029"/>
      <c r="X52" s="715" t="s">
        <v>145</v>
      </c>
      <c r="Y52" s="377"/>
      <c r="AE52" s="372">
        <v>1909</v>
      </c>
      <c r="AF52" s="373" t="s">
        <v>92</v>
      </c>
      <c r="AG52" s="373"/>
      <c r="AH52" s="373"/>
      <c r="AI52" s="373" t="s">
        <v>92</v>
      </c>
      <c r="AJ52" s="373"/>
      <c r="AK52" s="373"/>
      <c r="AL52" s="373" t="s">
        <v>1769</v>
      </c>
      <c r="AM52" s="373" t="s">
        <v>1770</v>
      </c>
      <c r="AN52" s="373" t="s">
        <v>1771</v>
      </c>
      <c r="AO52" s="374" t="s">
        <v>1772</v>
      </c>
      <c r="AP52" s="374" t="s">
        <v>1773</v>
      </c>
      <c r="AQ52" s="373" t="s">
        <v>1774</v>
      </c>
      <c r="AR52" s="373" t="s">
        <v>1775</v>
      </c>
      <c r="AS52" s="374" t="s">
        <v>1776</v>
      </c>
      <c r="AT52" s="372">
        <v>1909</v>
      </c>
    </row>
    <row r="53" spans="5:48" ht="9.9" customHeight="1">
      <c r="E53" s="1574" t="str">
        <f>IF(人物卡!M5=0," ","["&amp;LOOKUP(人物卡!M5,职业列表!A2:A232,职业列表!B2:B232)&amp;"]的本职技能："&amp;LOOKUP(人物卡!M5,职业列表!A2:A232,职业列表!G2:G232))</f>
        <v>[自定义职业]的本职技能：不多于8个本职技能。在右侧职业属性中输入第二职业属性的数值（留空则视为EDU）并自行设置起始信誉。使用自定义职业前，请先咨询你的守秘人。</v>
      </c>
      <c r="F53" s="1033"/>
      <c r="G53" s="1033"/>
      <c r="H53" s="1033"/>
      <c r="I53" s="1031"/>
      <c r="J53" s="1572" t="n">
        <f>IF(人物卡!M5=0," ",LOOKUP(人物卡!M5,职业列表!A2:C232,职业列表!F2:F232))</f>
        <v>0</v>
      </c>
      <c r="K53" s="1038"/>
      <c r="O53" s="376" t="s">
        <v>1777</v>
      </c>
      <c r="Q53" s="377"/>
      <c r="S53" s="1029"/>
      <c r="T53" s="1029"/>
      <c r="U53" s="1029"/>
      <c r="V53" s="1029"/>
      <c r="X53" s="715" t="s">
        <v>148</v>
      </c>
      <c r="Y53" s="377"/>
      <c r="AE53" s="372">
        <v>1910</v>
      </c>
      <c r="AF53" s="373" t="s">
        <v>92</v>
      </c>
      <c r="AG53" s="373"/>
      <c r="AH53" s="373"/>
      <c r="AI53" s="373" t="s">
        <v>92</v>
      </c>
      <c r="AJ53" s="373"/>
      <c r="AK53" s="373"/>
      <c r="AL53" s="373" t="s">
        <v>1778</v>
      </c>
      <c r="AM53" s="373" t="s">
        <v>1779</v>
      </c>
      <c r="AN53" s="373" t="s">
        <v>1780</v>
      </c>
      <c r="AO53" s="374" t="s">
        <v>1781</v>
      </c>
      <c r="AP53" s="374" t="s">
        <v>1782</v>
      </c>
      <c r="AQ53" s="373" t="s">
        <v>1783</v>
      </c>
      <c r="AR53" s="373" t="s">
        <v>1784</v>
      </c>
      <c r="AS53" s="374" t="s">
        <v>1785</v>
      </c>
      <c r="AT53" s="372">
        <v>1910</v>
      </c>
    </row>
    <row r="54" spans="5:48" ht="9.9" customHeight="1">
      <c r="E54" s="1034"/>
      <c r="F54" s="1029"/>
      <c r="G54" s="1029"/>
      <c r="H54" s="1029"/>
      <c r="I54" s="1013"/>
      <c r="J54" s="1114"/>
      <c r="K54" s="1015"/>
      <c r="O54" s="376" t="s">
        <v>1786</v>
      </c>
      <c r="Q54" s="377"/>
      <c r="S54" s="1029"/>
      <c r="T54" s="1029"/>
      <c r="U54" s="1029"/>
      <c r="V54" s="1029"/>
      <c r="X54" s="715" t="s">
        <v>150</v>
      </c>
      <c r="Y54" s="377"/>
      <c r="AE54" s="372">
        <v>1911</v>
      </c>
      <c r="AF54" s="373" t="s">
        <v>92</v>
      </c>
      <c r="AG54" s="373"/>
      <c r="AH54" s="373"/>
      <c r="AI54" s="373" t="s">
        <v>1787</v>
      </c>
      <c r="AJ54" s="373"/>
      <c r="AK54" s="373"/>
      <c r="AL54" s="373" t="s">
        <v>1788</v>
      </c>
      <c r="AM54" s="373" t="s">
        <v>1789</v>
      </c>
      <c r="AN54" s="373" t="s">
        <v>1790</v>
      </c>
      <c r="AO54" s="374" t="s">
        <v>1791</v>
      </c>
      <c r="AP54" s="373" t="s">
        <v>1792</v>
      </c>
      <c r="AQ54" s="373" t="s">
        <v>1793</v>
      </c>
      <c r="AR54" s="373" t="s">
        <v>1794</v>
      </c>
      <c r="AS54" s="374" t="s">
        <v>1795</v>
      </c>
      <c r="AT54" s="372">
        <v>1911</v>
      </c>
    </row>
    <row r="55" spans="5:48" ht="9.9" customHeight="1">
      <c r="E55" s="1034"/>
      <c r="F55" s="1029"/>
      <c r="G55" s="1029"/>
      <c r="H55" s="1029"/>
      <c r="I55" s="1013"/>
      <c r="J55" s="1114"/>
      <c r="K55" s="1015"/>
      <c r="O55" s="376" t="s">
        <v>1796</v>
      </c>
      <c r="Q55" s="377"/>
      <c r="S55" s="1029"/>
      <c r="T55" s="1029"/>
      <c r="U55" s="1029"/>
      <c r="V55" s="1029"/>
      <c r="X55" s="719" t="s">
        <v>152</v>
      </c>
      <c r="Y55" s="377"/>
      <c r="AE55" s="372">
        <v>1912</v>
      </c>
      <c r="AF55" s="373" t="s">
        <v>1797</v>
      </c>
      <c r="AG55" s="373" t="s">
        <v>1798</v>
      </c>
      <c r="AH55" s="373"/>
      <c r="AI55" s="373" t="s">
        <v>1799</v>
      </c>
      <c r="AJ55" s="373" t="s">
        <v>1800</v>
      </c>
      <c r="AK55" s="373"/>
      <c r="AL55" s="373" t="s">
        <v>1801</v>
      </c>
      <c r="AM55" s="373" t="s">
        <v>1802</v>
      </c>
      <c r="AN55" s="373" t="s">
        <v>1803</v>
      </c>
      <c r="AO55" s="374" t="s">
        <v>1804</v>
      </c>
      <c r="AP55" s="374" t="s">
        <v>1782</v>
      </c>
      <c r="AQ55" s="373" t="s">
        <v>1805</v>
      </c>
      <c r="AR55" s="374" t="s">
        <v>1806</v>
      </c>
      <c r="AS55" s="374" t="s">
        <v>1807</v>
      </c>
      <c r="AT55" s="372">
        <v>1912</v>
      </c>
    </row>
    <row r="56" spans="5:48" ht="9.9" customHeight="1">
      <c r="E56" s="1034"/>
      <c r="F56" s="1029"/>
      <c r="G56" s="1029"/>
      <c r="H56" s="1029"/>
      <c r="I56" s="1013"/>
      <c r="J56" s="1114"/>
      <c r="K56" s="1015"/>
      <c r="O56" s="376" t="s">
        <v>1808</v>
      </c>
      <c r="Q56" s="377"/>
      <c r="S56" s="1029"/>
      <c r="T56" s="1029"/>
      <c r="U56" s="1029"/>
      <c r="V56" s="1029"/>
      <c r="X56" s="723" t="s">
        <v>154</v>
      </c>
      <c r="Y56" s="377"/>
      <c r="AE56" s="372">
        <v>1913</v>
      </c>
      <c r="AF56" s="373" t="s">
        <v>1809</v>
      </c>
      <c r="AG56" s="373"/>
      <c r="AH56" s="373"/>
      <c r="AI56" s="373" t="s">
        <v>92</v>
      </c>
      <c r="AJ56" s="373"/>
      <c r="AK56" s="373"/>
      <c r="AL56" s="374" t="s">
        <v>1810</v>
      </c>
      <c r="AM56" s="373" t="s">
        <v>1811</v>
      </c>
      <c r="AN56" s="373" t="s">
        <v>1812</v>
      </c>
      <c r="AO56" s="374" t="s">
        <v>1813</v>
      </c>
      <c r="AP56" s="374" t="s">
        <v>1814</v>
      </c>
      <c r="AQ56" s="373" t="s">
        <v>1805</v>
      </c>
      <c r="AR56" s="374" t="s">
        <v>1815</v>
      </c>
      <c r="AT56" s="372">
        <v>1913</v>
      </c>
    </row>
    <row r="57" spans="5:48" ht="9.9" customHeight="1">
      <c r="E57" s="1034"/>
      <c r="F57" s="1029"/>
      <c r="G57" s="1029"/>
      <c r="H57" s="1029"/>
      <c r="I57" s="1013"/>
      <c r="J57" s="1114"/>
      <c r="K57" s="1015"/>
      <c r="O57" s="376" t="s">
        <v>201</v>
      </c>
      <c r="Q57" s="377"/>
      <c r="S57" s="1029"/>
      <c r="T57" s="1029"/>
      <c r="U57" s="1029"/>
      <c r="V57" s="1029"/>
      <c r="X57" s="719" t="s">
        <v>156</v>
      </c>
      <c r="Y57" s="377"/>
      <c r="AE57" s="372">
        <v>1914</v>
      </c>
      <c r="AF57" s="374" t="s">
        <v>1816</v>
      </c>
      <c r="AI57" s="373" t="s">
        <v>92</v>
      </c>
      <c r="AJ57" s="373"/>
      <c r="AK57" s="373"/>
      <c r="AL57" s="374" t="s">
        <v>1810</v>
      </c>
      <c r="AM57" s="373" t="s">
        <v>1817</v>
      </c>
      <c r="AN57" s="373" t="s">
        <v>1818</v>
      </c>
      <c r="AO57" s="373" t="s">
        <v>1819</v>
      </c>
      <c r="AP57" s="374" t="s">
        <v>1820</v>
      </c>
      <c r="AQ57" s="373" t="s">
        <v>1805</v>
      </c>
      <c r="AR57" s="374" t="s">
        <v>1815</v>
      </c>
      <c r="AT57" s="372">
        <v>1914</v>
      </c>
    </row>
    <row r="58" spans="5:48" ht="9.9" customHeight="1">
      <c r="E58" s="1090"/>
      <c r="F58" s="1019"/>
      <c r="G58" s="1019"/>
      <c r="H58" s="1019"/>
      <c r="I58" s="1020"/>
      <c r="J58" s="1326"/>
      <c r="K58" s="1091"/>
      <c r="O58" s="384" t="s">
        <v>212</v>
      </c>
      <c r="P58" s="385"/>
      <c r="Q58" s="388"/>
      <c r="S58" s="1029"/>
      <c r="T58" s="1029"/>
      <c r="U58" s="1029"/>
      <c r="V58" s="1029"/>
      <c r="X58" s="715" t="s">
        <v>158</v>
      </c>
      <c r="Y58" s="377"/>
      <c r="AE58" s="372">
        <v>1915</v>
      </c>
      <c r="AF58" s="374" t="s">
        <v>1816</v>
      </c>
      <c r="AI58" s="373" t="s">
        <v>1821</v>
      </c>
      <c r="AJ58" s="373"/>
      <c r="AK58" s="373"/>
      <c r="AL58" s="374" t="s">
        <v>1810</v>
      </c>
      <c r="AM58" s="373" t="s">
        <v>1822</v>
      </c>
      <c r="AN58" s="373" t="s">
        <v>1823</v>
      </c>
      <c r="AO58" s="374" t="s">
        <v>1824</v>
      </c>
      <c r="AP58" s="374" t="s">
        <v>1820</v>
      </c>
      <c r="AQ58" s="373" t="s">
        <v>1825</v>
      </c>
      <c r="AR58" s="374" t="s">
        <v>1815</v>
      </c>
      <c r="AS58" s="374" t="s">
        <v>1826</v>
      </c>
      <c r="AT58" s="372">
        <v>1915</v>
      </c>
    </row>
    <row r="59" spans="5:48" ht="9.9" customHeight="1">
      <c r="E59" s="374" t="str">
        <f>IF(人物卡!M5=0," ",LOOKUP(人物卡!M5,职业列表!A2:C232,职业列表!E2:E232))</f>
        <v>教育×4</v>
      </c>
      <c r="S59" s="1029"/>
      <c r="T59" s="1029"/>
      <c r="U59" s="1029"/>
      <c r="V59" s="1029"/>
      <c r="X59" s="715" t="s">
        <v>61</v>
      </c>
      <c r="Y59" s="377"/>
      <c r="AE59" s="372">
        <v>1916</v>
      </c>
      <c r="AF59" s="373" t="s">
        <v>1816</v>
      </c>
      <c r="AG59" s="373" t="s">
        <v>1827</v>
      </c>
      <c r="AH59" s="373"/>
      <c r="AI59" s="373" t="s">
        <v>1828</v>
      </c>
      <c r="AJ59" s="373"/>
      <c r="AK59" s="373"/>
      <c r="AL59" s="374" t="s">
        <v>1810</v>
      </c>
      <c r="AM59" s="373" t="s">
        <v>1829</v>
      </c>
      <c r="AN59" s="373" t="s">
        <v>1830</v>
      </c>
      <c r="AO59" s="374" t="s">
        <v>1831</v>
      </c>
      <c r="AP59" s="374" t="s">
        <v>1820</v>
      </c>
      <c r="AQ59" s="373" t="s">
        <v>1832</v>
      </c>
      <c r="AR59" s="374" t="s">
        <v>1833</v>
      </c>
      <c r="AS59" s="374" t="s">
        <v>1834</v>
      </c>
      <c r="AT59" s="372">
        <v>1916</v>
      </c>
    </row>
    <row r="60" spans="5:48" ht="9.9" customHeight="1">
      <c r="S60" s="1029"/>
      <c r="T60" s="1029"/>
      <c r="U60" s="1029"/>
      <c r="V60" s="1029"/>
      <c r="X60" s="715" t="s">
        <v>63</v>
      </c>
      <c r="Y60" s="377"/>
      <c r="AE60" s="372">
        <v>1917</v>
      </c>
      <c r="AF60" s="373" t="s">
        <v>1816</v>
      </c>
      <c r="AG60" s="373" t="s">
        <v>1835</v>
      </c>
      <c r="AH60" s="373"/>
      <c r="AI60" s="373" t="s">
        <v>1836</v>
      </c>
      <c r="AJ60" s="373" t="s">
        <v>1837</v>
      </c>
      <c r="AK60" s="373"/>
      <c r="AL60" s="374" t="s">
        <v>1810</v>
      </c>
      <c r="AM60" s="373" t="s">
        <v>1838</v>
      </c>
      <c r="AN60" s="373" t="s">
        <v>1839</v>
      </c>
      <c r="AO60" s="374" t="s">
        <v>1840</v>
      </c>
      <c r="AP60" s="374" t="s">
        <v>1820</v>
      </c>
      <c r="AQ60" s="373" t="s">
        <v>1841</v>
      </c>
      <c r="AR60" s="374" t="s">
        <v>1842</v>
      </c>
      <c r="AS60" s="374" t="s">
        <v>1843</v>
      </c>
      <c r="AT60" s="372">
        <v>1917</v>
      </c>
      <c r="AV60" s="757"/>
    </row>
    <row r="61" spans="5:48" ht="9.9" customHeight="1">
      <c r="S61" s="1029"/>
      <c r="T61" s="1029"/>
      <c r="U61" s="1029"/>
      <c r="V61" s="1029"/>
      <c r="X61" s="715" t="s">
        <v>67</v>
      </c>
      <c r="Y61" s="377"/>
      <c r="AE61" s="372">
        <v>1918</v>
      </c>
      <c r="AF61" s="374" t="s">
        <v>1816</v>
      </c>
      <c r="AI61" s="373" t="s">
        <v>92</v>
      </c>
      <c r="AJ61" s="373"/>
      <c r="AK61" s="373"/>
      <c r="AL61" s="374" t="s">
        <v>1810</v>
      </c>
      <c r="AM61" s="373" t="s">
        <v>1844</v>
      </c>
      <c r="AN61" s="373" t="s">
        <v>1845</v>
      </c>
      <c r="AO61" s="374" t="s">
        <v>1846</v>
      </c>
      <c r="AP61" s="374" t="s">
        <v>1820</v>
      </c>
      <c r="AQ61" s="373" t="s">
        <v>1847</v>
      </c>
      <c r="AR61" s="374" t="s">
        <v>1848</v>
      </c>
      <c r="AS61" s="374" t="s">
        <v>1849</v>
      </c>
      <c r="AT61" s="372">
        <v>1918</v>
      </c>
      <c r="AV61" s="757"/>
    </row>
    <row r="62" spans="5:48" ht="9.9" customHeight="1">
      <c r="X62" s="715" t="s">
        <v>70</v>
      </c>
      <c r="Y62" s="377"/>
      <c r="AE62" s="372">
        <v>1919</v>
      </c>
      <c r="AF62" s="373" t="s">
        <v>1850</v>
      </c>
      <c r="AG62" s="373"/>
      <c r="AH62" s="373"/>
      <c r="AI62" s="373" t="s">
        <v>1851</v>
      </c>
      <c r="AJ62" s="373"/>
      <c r="AK62" s="373"/>
      <c r="AL62" s="374" t="s">
        <v>1810</v>
      </c>
      <c r="AM62" s="373" t="s">
        <v>1852</v>
      </c>
      <c r="AN62" s="373" t="s">
        <v>1853</v>
      </c>
      <c r="AO62" s="374" t="s">
        <v>1854</v>
      </c>
      <c r="AP62" s="373" t="s">
        <v>1855</v>
      </c>
      <c r="AQ62" s="373" t="s">
        <v>1856</v>
      </c>
      <c r="AR62" s="374" t="s">
        <v>1857</v>
      </c>
      <c r="AS62" s="374" t="s">
        <v>1858</v>
      </c>
      <c r="AT62" s="372">
        <v>1919</v>
      </c>
      <c r="AV62" s="757"/>
    </row>
    <row r="63" spans="5:48" ht="9.9" customHeight="1">
      <c r="S63" s="1555"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37&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v>
      </c>
      <c r="T63" s="1029"/>
      <c r="U63" s="1029"/>
      <c r="V63" s="1029"/>
      <c r="X63" s="715" t="s">
        <v>72</v>
      </c>
      <c r="Y63" s="377"/>
      <c r="AE63" s="372">
        <v>1920</v>
      </c>
      <c r="AF63" s="373" t="s">
        <v>1859</v>
      </c>
      <c r="AG63" s="373" t="s">
        <v>1860</v>
      </c>
      <c r="AH63" s="373"/>
      <c r="AI63" s="373" t="s">
        <v>1861</v>
      </c>
      <c r="AJ63" s="373"/>
      <c r="AK63" s="373"/>
      <c r="AL63" s="373" t="s">
        <v>1862</v>
      </c>
      <c r="AM63" s="373" t="s">
        <v>1863</v>
      </c>
      <c r="AN63" s="373" t="s">
        <v>1864</v>
      </c>
      <c r="AO63" s="374" t="s">
        <v>1865</v>
      </c>
      <c r="AP63" s="374" t="s">
        <v>1866</v>
      </c>
      <c r="AQ63" s="373" t="s">
        <v>1867</v>
      </c>
      <c r="AR63" s="374" t="s">
        <v>1868</v>
      </c>
      <c r="AS63" s="374" t="s">
        <v>1869</v>
      </c>
      <c r="AT63" s="372">
        <v>1920</v>
      </c>
    </row>
    <row r="64" spans="5:48" ht="9.9" customHeight="1">
      <c r="S64" s="1029"/>
      <c r="T64" s="1029"/>
      <c r="U64" s="1029"/>
      <c r="V64" s="1029"/>
      <c r="X64" s="715" t="s">
        <v>74</v>
      </c>
      <c r="Y64" s="377"/>
      <c r="AE64" s="372">
        <v>1921</v>
      </c>
      <c r="AF64" s="373" t="s">
        <v>1859</v>
      </c>
      <c r="AG64" s="373"/>
      <c r="AH64" s="373"/>
      <c r="AI64" s="373" t="s">
        <v>1870</v>
      </c>
      <c r="AJ64" s="373"/>
      <c r="AK64" s="373"/>
      <c r="AL64" s="373" t="s">
        <v>1862</v>
      </c>
      <c r="AM64" s="373" t="s">
        <v>1871</v>
      </c>
      <c r="AN64" s="373" t="s">
        <v>1872</v>
      </c>
      <c r="AO64" s="374" t="s">
        <v>1873</v>
      </c>
      <c r="AP64" s="374" t="s">
        <v>1874</v>
      </c>
      <c r="AQ64" s="373" t="s">
        <v>1875</v>
      </c>
      <c r="AR64" s="374" t="s">
        <v>1876</v>
      </c>
      <c r="AS64" s="374" t="s">
        <v>1877</v>
      </c>
      <c r="AT64" s="372">
        <v>1921</v>
      </c>
      <c r="AV64" s="759"/>
    </row>
    <row r="65" spans="2:48" ht="9.9" customHeight="1">
      <c r="S65" s="1029"/>
      <c r="T65" s="1029"/>
      <c r="U65" s="1029"/>
      <c r="V65" s="1029"/>
      <c r="X65" s="715" t="s">
        <v>76</v>
      </c>
      <c r="Y65" s="377"/>
      <c r="AE65" s="372">
        <v>1922</v>
      </c>
      <c r="AF65" s="373" t="s">
        <v>1859</v>
      </c>
      <c r="AG65" s="373"/>
      <c r="AH65" s="373"/>
      <c r="AI65" s="373" t="s">
        <v>92</v>
      </c>
      <c r="AJ65" s="373"/>
      <c r="AK65" s="373"/>
      <c r="AL65" s="373" t="s">
        <v>1862</v>
      </c>
      <c r="AM65" s="373" t="s">
        <v>1878</v>
      </c>
      <c r="AN65" s="373" t="s">
        <v>1879</v>
      </c>
      <c r="AO65" s="374" t="s">
        <v>1880</v>
      </c>
      <c r="AP65" s="373" t="s">
        <v>1881</v>
      </c>
      <c r="AQ65" s="373" t="s">
        <v>1882</v>
      </c>
      <c r="AR65" s="374" t="s">
        <v>1883</v>
      </c>
      <c r="AS65" s="374" t="s">
        <v>1884</v>
      </c>
      <c r="AT65" s="372">
        <v>1922</v>
      </c>
      <c r="AV65" s="759"/>
    </row>
    <row r="66" spans="2:48" ht="9.9" customHeight="1">
      <c r="B66" s="373"/>
      <c r="C66" s="373"/>
      <c r="D66" s="373"/>
      <c r="E66" s="373"/>
      <c r="F66" s="373"/>
      <c r="G66" s="373"/>
      <c r="H66" s="373"/>
      <c r="I66" s="373"/>
      <c r="J66" s="373"/>
      <c r="K66" s="373"/>
      <c r="L66" s="373"/>
      <c r="S66" s="1029"/>
      <c r="T66" s="1029"/>
      <c r="U66" s="1029"/>
      <c r="V66" s="1029"/>
      <c r="X66" s="715" t="s">
        <v>79</v>
      </c>
      <c r="Y66" s="377"/>
      <c r="AE66" s="372">
        <v>1923</v>
      </c>
      <c r="AF66" s="373" t="s">
        <v>1859</v>
      </c>
      <c r="AG66" s="373"/>
      <c r="AH66" s="373"/>
      <c r="AI66" s="373" t="s">
        <v>92</v>
      </c>
      <c r="AJ66" s="373"/>
      <c r="AK66" s="373"/>
      <c r="AL66" s="373" t="s">
        <v>1862</v>
      </c>
      <c r="AM66" s="373" t="s">
        <v>1885</v>
      </c>
      <c r="AN66" s="373" t="s">
        <v>1886</v>
      </c>
      <c r="AO66" s="374" t="s">
        <v>1887</v>
      </c>
      <c r="AP66" s="374" t="s">
        <v>1888</v>
      </c>
      <c r="AQ66" s="373" t="s">
        <v>1889</v>
      </c>
      <c r="AR66" s="374" t="s">
        <v>1890</v>
      </c>
      <c r="AS66" s="374" t="s">
        <v>1891</v>
      </c>
      <c r="AT66" s="372">
        <v>1923</v>
      </c>
      <c r="AV66" s="759"/>
    </row>
    <row r="67" spans="2:48" ht="9.9" customHeight="1">
      <c r="G67" s="760"/>
      <c r="H67" s="760"/>
      <c r="I67" s="760"/>
      <c r="S67" s="1029"/>
      <c r="T67" s="1029"/>
      <c r="U67" s="1029"/>
      <c r="V67" s="1029"/>
      <c r="X67" s="715" t="s">
        <v>82</v>
      </c>
      <c r="Y67" s="377"/>
      <c r="AE67" s="372">
        <v>1924</v>
      </c>
      <c r="AF67" s="373" t="s">
        <v>1859</v>
      </c>
      <c r="AG67" s="373" t="s">
        <v>1664</v>
      </c>
      <c r="AH67" s="373"/>
      <c r="AI67" s="373" t="s">
        <v>1892</v>
      </c>
      <c r="AJ67" s="373"/>
      <c r="AK67" s="373"/>
      <c r="AL67" s="373" t="s">
        <v>1862</v>
      </c>
      <c r="AM67" s="373" t="s">
        <v>1893</v>
      </c>
      <c r="AN67" s="373" t="s">
        <v>1894</v>
      </c>
      <c r="AO67" s="374" t="s">
        <v>1895</v>
      </c>
      <c r="AP67" s="374" t="s">
        <v>1896</v>
      </c>
      <c r="AQ67" s="373" t="s">
        <v>1897</v>
      </c>
      <c r="AR67" s="374" t="s">
        <v>1898</v>
      </c>
      <c r="AS67" s="374" t="s">
        <v>1899</v>
      </c>
      <c r="AT67" s="372">
        <v>1924</v>
      </c>
    </row>
    <row r="68" spans="2:48" ht="9.9" customHeight="1">
      <c r="G68" s="739"/>
      <c r="S68" s="1029"/>
      <c r="T68" s="1029"/>
      <c r="U68" s="1029"/>
      <c r="V68" s="1029"/>
      <c r="X68" s="715" t="s">
        <v>87</v>
      </c>
      <c r="Y68" s="377"/>
      <c r="AE68" s="372">
        <v>1925</v>
      </c>
      <c r="AF68" s="373" t="s">
        <v>1859</v>
      </c>
      <c r="AG68" s="373"/>
      <c r="AH68" s="373"/>
      <c r="AI68" s="373" t="s">
        <v>1900</v>
      </c>
      <c r="AJ68" s="373"/>
      <c r="AK68" s="373"/>
      <c r="AL68" s="373" t="s">
        <v>1862</v>
      </c>
      <c r="AM68" s="373" t="s">
        <v>1901</v>
      </c>
      <c r="AN68" s="373" t="s">
        <v>1902</v>
      </c>
      <c r="AO68" s="373" t="s">
        <v>1903</v>
      </c>
      <c r="AP68" s="374" t="s">
        <v>1904</v>
      </c>
      <c r="AQ68" s="373" t="s">
        <v>1905</v>
      </c>
      <c r="AR68" s="374" t="s">
        <v>1906</v>
      </c>
      <c r="AS68" s="374" t="s">
        <v>1907</v>
      </c>
      <c r="AT68" s="372">
        <v>1925</v>
      </c>
      <c r="AV68" s="759"/>
    </row>
    <row r="69" spans="2:48" ht="9.9" customHeight="1">
      <c r="G69" s="223"/>
      <c r="S69" s="1029"/>
      <c r="T69" s="1029"/>
      <c r="U69" s="1029"/>
      <c r="V69" s="1029"/>
      <c r="X69" s="715" t="s">
        <v>95</v>
      </c>
      <c r="Y69" s="377"/>
      <c r="AE69" s="372">
        <v>1926</v>
      </c>
      <c r="AF69" s="373" t="s">
        <v>1859</v>
      </c>
      <c r="AG69" s="373" t="s">
        <v>1908</v>
      </c>
      <c r="AH69" s="373"/>
      <c r="AI69" s="373" t="s">
        <v>1909</v>
      </c>
      <c r="AJ69" s="373"/>
      <c r="AK69" s="373"/>
      <c r="AL69" s="373" t="s">
        <v>1862</v>
      </c>
      <c r="AM69" s="373" t="s">
        <v>1910</v>
      </c>
      <c r="AN69" s="373" t="s">
        <v>1911</v>
      </c>
      <c r="AO69" s="374" t="s">
        <v>1912</v>
      </c>
      <c r="AP69" s="373" t="s">
        <v>1913</v>
      </c>
      <c r="AQ69" s="373" t="s">
        <v>1914</v>
      </c>
      <c r="AR69" s="374" t="s">
        <v>1915</v>
      </c>
      <c r="AS69" s="374" t="s">
        <v>1916</v>
      </c>
      <c r="AT69" s="372">
        <v>1926</v>
      </c>
      <c r="AV69" s="759"/>
    </row>
    <row r="70" spans="2:48" ht="9.9" customHeight="1">
      <c r="G70" s="223"/>
      <c r="S70" s="1029"/>
      <c r="T70" s="1029"/>
      <c r="U70" s="1029"/>
      <c r="V70" s="1029"/>
      <c r="X70" s="715" t="s">
        <v>97</v>
      </c>
      <c r="Y70" s="377"/>
      <c r="AE70" s="372">
        <v>1927</v>
      </c>
      <c r="AF70" s="373" t="s">
        <v>1859</v>
      </c>
      <c r="AG70" s="373"/>
      <c r="AH70" s="373"/>
      <c r="AI70" s="373" t="s">
        <v>1917</v>
      </c>
      <c r="AJ70" s="373" t="s">
        <v>1918</v>
      </c>
      <c r="AK70" s="373"/>
      <c r="AL70" s="373" t="s">
        <v>1862</v>
      </c>
      <c r="AM70" s="373" t="s">
        <v>1919</v>
      </c>
      <c r="AN70" s="373" t="s">
        <v>1920</v>
      </c>
      <c r="AO70" s="374" t="s">
        <v>1921</v>
      </c>
      <c r="AP70" s="373" t="s">
        <v>1922</v>
      </c>
      <c r="AQ70" s="373" t="s">
        <v>1923</v>
      </c>
      <c r="AR70" s="374" t="s">
        <v>1924</v>
      </c>
      <c r="AS70" s="374" t="s">
        <v>1925</v>
      </c>
      <c r="AT70" s="372">
        <v>1927</v>
      </c>
      <c r="AV70" s="759"/>
    </row>
    <row r="71" spans="2:48" ht="9.9" customHeight="1">
      <c r="G71" s="223"/>
      <c r="S71" s="1029"/>
      <c r="T71" s="1029"/>
      <c r="U71" s="1029"/>
      <c r="V71" s="1029"/>
      <c r="X71" s="715" t="s">
        <v>104</v>
      </c>
      <c r="Y71" s="377"/>
      <c r="AE71" s="372">
        <v>1928</v>
      </c>
      <c r="AF71" s="373" t="s">
        <v>1859</v>
      </c>
      <c r="AG71" s="373" t="s">
        <v>1926</v>
      </c>
      <c r="AH71" s="373"/>
      <c r="AI71" s="373" t="s">
        <v>1927</v>
      </c>
      <c r="AJ71" s="373"/>
      <c r="AK71" s="373"/>
      <c r="AL71" s="373" t="s">
        <v>1862</v>
      </c>
      <c r="AM71" s="373" t="s">
        <v>1928</v>
      </c>
      <c r="AN71" s="373" t="s">
        <v>1929</v>
      </c>
      <c r="AO71" s="373" t="s">
        <v>1930</v>
      </c>
      <c r="AP71" s="374" t="s">
        <v>1931</v>
      </c>
      <c r="AQ71" s="373" t="s">
        <v>1932</v>
      </c>
      <c r="AR71" s="374" t="s">
        <v>1933</v>
      </c>
      <c r="AS71" s="374" t="s">
        <v>1934</v>
      </c>
      <c r="AT71" s="372">
        <v>1928</v>
      </c>
    </row>
    <row r="72" spans="2:48" ht="9.9" customHeight="1">
      <c r="S72" s="1029"/>
      <c r="T72" s="1029"/>
      <c r="U72" s="1029"/>
      <c r="V72" s="1029"/>
      <c r="X72" s="715" t="s">
        <v>106</v>
      </c>
      <c r="Y72" s="377"/>
      <c r="AA72" s="26"/>
      <c r="AB72" s="26"/>
      <c r="AE72" s="372">
        <v>1929</v>
      </c>
      <c r="AF72" s="373" t="s">
        <v>1859</v>
      </c>
      <c r="AG72" s="373" t="s">
        <v>1935</v>
      </c>
      <c r="AH72" s="373"/>
      <c r="AI72" s="373" t="s">
        <v>92</v>
      </c>
      <c r="AJ72" s="373"/>
      <c r="AK72" s="373"/>
      <c r="AL72" s="373" t="s">
        <v>1862</v>
      </c>
      <c r="AM72" s="373" t="s">
        <v>1936</v>
      </c>
      <c r="AN72" s="373" t="s">
        <v>1937</v>
      </c>
      <c r="AO72" s="374" t="s">
        <v>1938</v>
      </c>
      <c r="AP72" s="373" t="s">
        <v>1939</v>
      </c>
      <c r="AQ72" s="373" t="s">
        <v>1940</v>
      </c>
      <c r="AR72" s="374" t="s">
        <v>1941</v>
      </c>
      <c r="AS72" s="374" t="s">
        <v>1942</v>
      </c>
      <c r="AT72" s="372">
        <v>1929</v>
      </c>
      <c r="AV72" s="761"/>
    </row>
    <row r="73" spans="2:48" ht="9.9" customHeight="1">
      <c r="S73" s="1029"/>
      <c r="T73" s="1029"/>
      <c r="U73" s="1029"/>
      <c r="V73" s="1029"/>
      <c r="X73" s="715" t="s">
        <v>110</v>
      </c>
      <c r="Y73" s="377"/>
      <c r="AA73" s="26"/>
      <c r="AB73" s="26"/>
      <c r="AE73" s="372">
        <v>1930</v>
      </c>
      <c r="AF73" s="373" t="s">
        <v>92</v>
      </c>
      <c r="AG73" s="373"/>
      <c r="AH73" s="373"/>
      <c r="AI73" s="373" t="s">
        <v>92</v>
      </c>
      <c r="AJ73" s="373"/>
      <c r="AK73" s="373"/>
      <c r="AL73" s="373" t="s">
        <v>1943</v>
      </c>
      <c r="AM73" s="373" t="s">
        <v>1944</v>
      </c>
      <c r="AN73" s="373" t="s">
        <v>1945</v>
      </c>
      <c r="AO73" s="374" t="s">
        <v>1946</v>
      </c>
      <c r="AP73" s="373" t="s">
        <v>1947</v>
      </c>
      <c r="AQ73" s="373" t="s">
        <v>1948</v>
      </c>
      <c r="AR73" s="374" t="s">
        <v>1949</v>
      </c>
      <c r="AS73" s="374" t="s">
        <v>1950</v>
      </c>
      <c r="AT73" s="372">
        <v>1930</v>
      </c>
      <c r="AV73" s="761"/>
    </row>
    <row r="74" spans="2:48" ht="9.9" customHeight="1">
      <c r="S74" s="1029"/>
      <c r="T74" s="1029"/>
      <c r="U74" s="1029"/>
      <c r="V74" s="1029"/>
      <c r="X74" s="723" t="s">
        <v>112</v>
      </c>
      <c r="Y74" s="377"/>
      <c r="AA74" s="26"/>
      <c r="AB74" s="26"/>
      <c r="AE74" s="372">
        <v>1931</v>
      </c>
      <c r="AF74" s="373" t="s">
        <v>92</v>
      </c>
      <c r="AG74" s="373"/>
      <c r="AH74" s="373"/>
      <c r="AI74" s="380" t="s">
        <v>1951</v>
      </c>
      <c r="AJ74" s="380" t="s">
        <v>1952</v>
      </c>
      <c r="AK74" s="380"/>
      <c r="AL74" s="373" t="s">
        <v>1943</v>
      </c>
      <c r="AM74" s="373" t="s">
        <v>1953</v>
      </c>
      <c r="AN74" s="373" t="s">
        <v>1954</v>
      </c>
      <c r="AO74" s="374" t="s">
        <v>1955</v>
      </c>
      <c r="AP74" s="373" t="s">
        <v>1956</v>
      </c>
      <c r="AQ74" s="373" t="s">
        <v>1957</v>
      </c>
      <c r="AR74" s="374" t="s">
        <v>1958</v>
      </c>
      <c r="AS74" s="374" t="s">
        <v>1959</v>
      </c>
      <c r="AT74" s="372">
        <v>1931</v>
      </c>
      <c r="AV74" s="761"/>
    </row>
    <row r="75" spans="2:48" ht="9.9" customHeight="1">
      <c r="M75" s="373"/>
      <c r="N75" s="373"/>
      <c r="O75" s="373"/>
      <c r="P75" s="373"/>
      <c r="S75" s="373"/>
      <c r="T75" s="373"/>
      <c r="U75" s="373"/>
      <c r="V75" s="373"/>
      <c r="X75" s="723" t="s">
        <v>115</v>
      </c>
      <c r="Y75" s="377"/>
      <c r="AA75" s="26"/>
      <c r="AB75" s="26"/>
      <c r="AE75" s="372">
        <v>1932</v>
      </c>
      <c r="AF75" s="378" t="s">
        <v>1960</v>
      </c>
      <c r="AG75" s="373" t="s">
        <v>1961</v>
      </c>
      <c r="AH75" s="378"/>
      <c r="AI75" s="373" t="s">
        <v>1962</v>
      </c>
      <c r="AK75" s="373"/>
      <c r="AL75" s="373" t="s">
        <v>1943</v>
      </c>
      <c r="AM75" s="373" t="s">
        <v>1963</v>
      </c>
      <c r="AN75" s="373" t="s">
        <v>1964</v>
      </c>
      <c r="AO75" s="374" t="s">
        <v>1965</v>
      </c>
      <c r="AP75" s="373" t="s">
        <v>1966</v>
      </c>
      <c r="AQ75" s="373" t="s">
        <v>1967</v>
      </c>
      <c r="AR75" s="374" t="s">
        <v>1968</v>
      </c>
      <c r="AS75" s="374" t="s">
        <v>1969</v>
      </c>
      <c r="AT75" s="372">
        <v>1932</v>
      </c>
      <c r="AV75" s="761"/>
    </row>
    <row r="76" spans="2:48" ht="9.9" customHeight="1">
      <c r="M76" s="373"/>
      <c r="N76" s="373"/>
      <c r="O76" s="373"/>
      <c r="P76" s="373"/>
      <c r="S76" s="1555" t="str">
        <f>".st "&amp;人物卡!E3&amp;"-"&amp;"力量"&amp;G14&amp;"敏捷"&amp;J14&amp;"意志"&amp;M14&amp;"体质"&amp;H14&amp;"外貌"&amp;K14&amp;"教育"&amp;N14&amp;"体型"&amp;I14&amp;"智力"&amp;L14&amp;"灵感"&amp;L14&amp;"理智"&amp;人物卡!N10&amp;"幸运"&amp;O14&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人物卡!F24&amp;人物卡!R24&amp;"计算机"&amp;人物卡!R25&amp;"信用"&amp;人物卡!R26&amp;"克苏鲁"&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37&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人物卡!AB18&amp;人物卡!AN18&amp;"开锁"&amp;人物卡!AN19&amp;"锁匠"&amp;人物卡!AN19&amp;人物卡!AB20&amp;人物卡!AN20&amp;人物卡!AB21&amp;人物卡!AN21&amp;"博物学"&amp;人物卡!AN22&amp;"导航"&amp;人物卡!AN23&amp;人物卡!AB24&amp;人物卡!AN24&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敏捷0意志0体质0外貌0教育0体型0智力0灵感0理智0幸运0魔法0hp0体力0会计5人类学1估价5考古学1取悦15攀爬20计算机5信用0克苏鲁0乔装5闪避0汽车20驾驶20汽车驾驶20电气维修10电子学1话术5斗殴25手枪20急救30历史5恐吓15跳跃20母语0法律5图书馆20聆听20开锁1锁匠1机械维修10医学1博物学10导航10神秘学5操作重型机械1重型1说服10精神分析1心理学10骑术5妙手10侦查25潜行20生存10游泳20投掷20追踪10动物驯养5潜水1爆破1读唇1催眠1炮术1</v>
      </c>
      <c r="T76" s="1029"/>
      <c r="U76" s="1029"/>
      <c r="V76" s="1029"/>
      <c r="X76" s="715" t="s">
        <v>117</v>
      </c>
      <c r="Y76" s="377"/>
      <c r="AA76" s="26"/>
      <c r="AB76" s="26"/>
      <c r="AE76" s="372">
        <v>1933</v>
      </c>
      <c r="AF76" s="378" t="s">
        <v>1970</v>
      </c>
      <c r="AG76" s="378"/>
      <c r="AH76" s="378"/>
      <c r="AI76" s="373" t="s">
        <v>1971</v>
      </c>
      <c r="AJ76" s="373"/>
      <c r="AK76" s="373"/>
      <c r="AL76" s="373" t="s">
        <v>1943</v>
      </c>
      <c r="AM76" s="373" t="s">
        <v>1972</v>
      </c>
      <c r="AN76" s="373" t="s">
        <v>1973</v>
      </c>
      <c r="AO76" s="374" t="s">
        <v>1974</v>
      </c>
      <c r="AP76" s="373" t="s">
        <v>1975</v>
      </c>
      <c r="AQ76" s="373" t="s">
        <v>1976</v>
      </c>
      <c r="AR76" s="374" t="s">
        <v>1977</v>
      </c>
      <c r="AS76" s="374" t="s">
        <v>1978</v>
      </c>
      <c r="AT76" s="372">
        <v>1933</v>
      </c>
      <c r="AV76" s="761"/>
    </row>
    <row r="77" spans="2:48" ht="9.9" customHeight="1">
      <c r="M77" s="373"/>
      <c r="N77" s="373"/>
      <c r="O77" s="373"/>
      <c r="P77" s="373"/>
      <c r="S77" s="1029"/>
      <c r="T77" s="1029"/>
      <c r="U77" s="1029"/>
      <c r="V77" s="1029"/>
      <c r="X77" s="715" t="s">
        <v>121</v>
      </c>
      <c r="Y77" s="377"/>
      <c r="AA77" s="26"/>
      <c r="AB77" s="26"/>
      <c r="AE77" s="372">
        <v>1934</v>
      </c>
      <c r="AF77" s="373" t="s">
        <v>92</v>
      </c>
      <c r="AG77" s="373"/>
      <c r="AH77" s="373"/>
      <c r="AI77" s="380" t="s">
        <v>1979</v>
      </c>
      <c r="AJ77" s="380"/>
      <c r="AK77" s="380"/>
      <c r="AL77" s="373" t="s">
        <v>1943</v>
      </c>
      <c r="AM77" s="373" t="s">
        <v>1980</v>
      </c>
      <c r="AN77" s="373" t="s">
        <v>1981</v>
      </c>
      <c r="AO77" s="374" t="s">
        <v>1982</v>
      </c>
      <c r="AP77" s="374" t="s">
        <v>1983</v>
      </c>
      <c r="AQ77" s="373" t="s">
        <v>1984</v>
      </c>
      <c r="AR77" s="374" t="s">
        <v>1985</v>
      </c>
      <c r="AS77" s="374" t="s">
        <v>1986</v>
      </c>
      <c r="AT77" s="372">
        <v>1934</v>
      </c>
      <c r="AV77" s="761"/>
    </row>
    <row r="78" spans="2:48" ht="9.9" customHeight="1">
      <c r="M78" s="373"/>
      <c r="N78" s="373"/>
      <c r="O78" s="373"/>
      <c r="P78" s="373"/>
      <c r="S78" s="1029"/>
      <c r="T78" s="1029"/>
      <c r="U78" s="1029"/>
      <c r="V78" s="1029"/>
      <c r="X78" s="715" t="s">
        <v>123</v>
      </c>
      <c r="Y78" s="377"/>
      <c r="AA78" s="26"/>
      <c r="AB78" s="26"/>
      <c r="AE78" s="372">
        <v>1935</v>
      </c>
      <c r="AF78" s="373" t="s">
        <v>92</v>
      </c>
      <c r="AG78" s="373"/>
      <c r="AH78" s="373"/>
      <c r="AI78" s="380" t="s">
        <v>1987</v>
      </c>
      <c r="AJ78" s="380" t="s">
        <v>1988</v>
      </c>
      <c r="AK78" s="380"/>
      <c r="AL78" s="373" t="s">
        <v>1943</v>
      </c>
      <c r="AM78" s="373" t="s">
        <v>1989</v>
      </c>
      <c r="AN78" s="373" t="s">
        <v>1990</v>
      </c>
      <c r="AO78" s="374" t="s">
        <v>1991</v>
      </c>
      <c r="AP78" s="374" t="s">
        <v>1983</v>
      </c>
      <c r="AQ78" s="373" t="s">
        <v>1992</v>
      </c>
      <c r="AR78" s="374" t="s">
        <v>1993</v>
      </c>
      <c r="AS78" s="374" t="s">
        <v>1994</v>
      </c>
      <c r="AT78" s="372">
        <v>1935</v>
      </c>
      <c r="AV78" s="756"/>
    </row>
    <row r="79" spans="2:48" ht="9.9" customHeight="1">
      <c r="G79" s="743"/>
      <c r="H79" s="743"/>
      <c r="I79" s="223"/>
      <c r="M79" s="373"/>
      <c r="N79" s="373"/>
      <c r="O79" s="373"/>
      <c r="P79" s="373"/>
      <c r="S79" s="1029"/>
      <c r="T79" s="1029"/>
      <c r="U79" s="1029"/>
      <c r="V79" s="1029"/>
      <c r="X79" s="715" t="s">
        <v>127</v>
      </c>
      <c r="Y79" s="377"/>
      <c r="AA79" s="26"/>
      <c r="AB79" s="26"/>
      <c r="AE79" s="372">
        <v>1936</v>
      </c>
      <c r="AF79" s="379" t="s">
        <v>1995</v>
      </c>
      <c r="AG79" s="379"/>
      <c r="AH79" s="379"/>
      <c r="AI79" s="380" t="s">
        <v>1996</v>
      </c>
      <c r="AJ79" s="380" t="s">
        <v>1997</v>
      </c>
      <c r="AK79" s="380"/>
      <c r="AL79" s="373" t="s">
        <v>1943</v>
      </c>
      <c r="AM79" s="373" t="s">
        <v>1998</v>
      </c>
      <c r="AN79" s="373" t="s">
        <v>1999</v>
      </c>
      <c r="AO79" s="374" t="s">
        <v>2000</v>
      </c>
      <c r="AP79" s="374" t="s">
        <v>1983</v>
      </c>
      <c r="AQ79" s="373" t="s">
        <v>2001</v>
      </c>
      <c r="AR79" s="374" t="s">
        <v>2002</v>
      </c>
      <c r="AS79" s="374" t="s">
        <v>2003</v>
      </c>
      <c r="AT79" s="372">
        <v>1936</v>
      </c>
      <c r="AV79" s="756"/>
    </row>
    <row r="80" spans="2:48" ht="9.9" customHeight="1">
      <c r="G80" s="743"/>
      <c r="H80" s="743"/>
      <c r="I80" s="743"/>
      <c r="M80" s="373"/>
      <c r="N80" s="373"/>
      <c r="O80" s="373"/>
      <c r="P80" s="373"/>
      <c r="S80" s="1029"/>
      <c r="T80" s="1029"/>
      <c r="U80" s="1029"/>
      <c r="V80" s="1029"/>
      <c r="X80" s="715" t="s">
        <v>132</v>
      </c>
      <c r="Y80" s="377"/>
      <c r="AA80" s="26"/>
      <c r="AB80" s="26"/>
      <c r="AE80" s="372">
        <v>1937</v>
      </c>
      <c r="AF80" s="373" t="s">
        <v>92</v>
      </c>
      <c r="AG80" s="373"/>
      <c r="AH80" s="373"/>
      <c r="AI80" s="380" t="s">
        <v>2004</v>
      </c>
      <c r="AJ80" s="380" t="s">
        <v>2005</v>
      </c>
      <c r="AK80" s="380" t="s">
        <v>2006</v>
      </c>
      <c r="AL80" s="373" t="s">
        <v>1943</v>
      </c>
      <c r="AM80" s="373" t="s">
        <v>2007</v>
      </c>
      <c r="AN80" s="373" t="s">
        <v>2008</v>
      </c>
      <c r="AO80" s="374" t="s">
        <v>2009</v>
      </c>
      <c r="AP80" s="374" t="s">
        <v>1983</v>
      </c>
      <c r="AQ80" s="373" t="s">
        <v>2010</v>
      </c>
      <c r="AR80" s="374" t="s">
        <v>2011</v>
      </c>
      <c r="AS80" s="374" t="s">
        <v>2012</v>
      </c>
      <c r="AT80" s="372">
        <v>1937</v>
      </c>
      <c r="AV80" s="756"/>
    </row>
    <row r="81" spans="2:48" ht="9.9" customHeight="1">
      <c r="F81" s="743"/>
      <c r="G81" s="743"/>
      <c r="H81" s="743"/>
      <c r="I81" s="223"/>
      <c r="M81" s="373"/>
      <c r="N81" s="373"/>
      <c r="O81" s="373"/>
      <c r="P81" s="373"/>
      <c r="S81" s="1029"/>
      <c r="T81" s="1029"/>
      <c r="U81" s="1029"/>
      <c r="V81" s="1029"/>
      <c r="X81" s="715" t="s">
        <v>135</v>
      </c>
      <c r="Y81" s="377"/>
      <c r="AA81" s="26"/>
      <c r="AB81" s="26"/>
      <c r="AE81" s="372">
        <v>1938</v>
      </c>
      <c r="AF81" s="373" t="s">
        <v>92</v>
      </c>
      <c r="AG81" s="373"/>
      <c r="AH81" s="373"/>
      <c r="AI81" s="380" t="s">
        <v>2013</v>
      </c>
      <c r="AJ81" s="380" t="s">
        <v>2014</v>
      </c>
      <c r="AK81" s="380"/>
      <c r="AL81" s="373" t="s">
        <v>1943</v>
      </c>
      <c r="AM81" s="373" t="s">
        <v>2015</v>
      </c>
      <c r="AN81" s="373" t="s">
        <v>2016</v>
      </c>
      <c r="AO81" s="374" t="s">
        <v>2017</v>
      </c>
      <c r="AP81" s="374" t="s">
        <v>1983</v>
      </c>
      <c r="AQ81" s="373" t="s">
        <v>2018</v>
      </c>
      <c r="AR81" s="374" t="s">
        <v>2019</v>
      </c>
      <c r="AS81" s="374" t="s">
        <v>2020</v>
      </c>
      <c r="AT81" s="372">
        <v>1938</v>
      </c>
      <c r="AV81" s="756"/>
    </row>
    <row r="82" spans="2:48" ht="9.9" customHeight="1">
      <c r="C82" s="223"/>
      <c r="E82" s="743"/>
      <c r="F82" s="743"/>
      <c r="G82" s="743"/>
      <c r="H82" s="743"/>
      <c r="I82" s="743"/>
      <c r="M82" s="373"/>
      <c r="N82" s="373"/>
      <c r="O82" s="373"/>
      <c r="P82" s="373"/>
      <c r="S82" s="1029"/>
      <c r="T82" s="1029"/>
      <c r="U82" s="1029"/>
      <c r="V82" s="1029"/>
      <c r="X82" s="715" t="s">
        <v>138</v>
      </c>
      <c r="Y82" s="377"/>
      <c r="AA82" s="26"/>
      <c r="AB82" s="26"/>
      <c r="AE82" s="372">
        <v>1939</v>
      </c>
      <c r="AF82" s="380" t="s">
        <v>2021</v>
      </c>
      <c r="AG82" s="380"/>
      <c r="AH82" s="380"/>
      <c r="AI82" s="373" t="s">
        <v>92</v>
      </c>
      <c r="AJ82" s="373"/>
      <c r="AK82" s="373"/>
      <c r="AL82" s="373" t="s">
        <v>1943</v>
      </c>
      <c r="AM82" s="373" t="s">
        <v>2022</v>
      </c>
      <c r="AN82" s="373" t="s">
        <v>2023</v>
      </c>
      <c r="AO82" s="374" t="s">
        <v>2024</v>
      </c>
      <c r="AP82" s="374" t="s">
        <v>1983</v>
      </c>
      <c r="AQ82" s="373" t="s">
        <v>2025</v>
      </c>
      <c r="AR82" s="374" t="s">
        <v>2026</v>
      </c>
      <c r="AS82" s="374" t="s">
        <v>2027</v>
      </c>
      <c r="AT82" s="372">
        <v>1939</v>
      </c>
      <c r="AV82" s="756"/>
    </row>
    <row r="83" spans="2:48" ht="9.9" customHeight="1">
      <c r="C83" s="223"/>
      <c r="F83" s="743"/>
      <c r="G83" s="743"/>
      <c r="H83" s="743"/>
      <c r="I83" s="223"/>
      <c r="M83" s="373"/>
      <c r="N83" s="373"/>
      <c r="O83" s="373"/>
      <c r="P83" s="373"/>
      <c r="S83" s="1029"/>
      <c r="T83" s="1029"/>
      <c r="U83" s="1029"/>
      <c r="V83" s="1029"/>
      <c r="X83" s="715" t="s">
        <v>140</v>
      </c>
      <c r="Y83" s="377"/>
      <c r="AA83" s="26"/>
      <c r="AB83" s="26"/>
      <c r="AC83" s="26"/>
      <c r="AE83" s="372">
        <v>1940</v>
      </c>
      <c r="AF83" s="380" t="s">
        <v>2021</v>
      </c>
      <c r="AG83" s="380" t="s">
        <v>1827</v>
      </c>
      <c r="AH83" s="380"/>
      <c r="AI83" s="373" t="s">
        <v>2028</v>
      </c>
      <c r="AJ83" s="373"/>
      <c r="AK83" s="373"/>
      <c r="AL83" s="373" t="s">
        <v>2029</v>
      </c>
      <c r="AM83" s="373" t="s">
        <v>2030</v>
      </c>
      <c r="AN83" s="373" t="s">
        <v>2031</v>
      </c>
      <c r="AO83" s="374" t="s">
        <v>2032</v>
      </c>
      <c r="AP83" s="373" t="s">
        <v>2033</v>
      </c>
      <c r="AQ83" s="373" t="s">
        <v>2034</v>
      </c>
      <c r="AR83" s="374" t="s">
        <v>2035</v>
      </c>
      <c r="AS83" s="374" t="s">
        <v>2036</v>
      </c>
      <c r="AT83" s="372">
        <v>1940</v>
      </c>
      <c r="AV83" s="756"/>
    </row>
    <row r="84" spans="2:48" ht="9.9" customHeight="1">
      <c r="B84" s="223"/>
      <c r="C84" s="743"/>
      <c r="E84" s="223"/>
      <c r="F84" s="223"/>
      <c r="G84" s="223"/>
      <c r="H84" s="223"/>
      <c r="I84" s="223"/>
      <c r="M84" s="373"/>
      <c r="N84" s="373"/>
      <c r="O84" s="373"/>
      <c r="P84" s="373"/>
      <c r="S84" s="1029"/>
      <c r="T84" s="1029"/>
      <c r="U84" s="1029"/>
      <c r="V84" s="1029"/>
      <c r="X84" s="723" t="s">
        <v>142</v>
      </c>
      <c r="Y84" s="377"/>
      <c r="AA84" s="26"/>
      <c r="AB84" s="26"/>
      <c r="AE84" s="372">
        <v>1941</v>
      </c>
      <c r="AF84" s="380" t="s">
        <v>2021</v>
      </c>
      <c r="AG84" s="380"/>
      <c r="AH84" s="380"/>
      <c r="AI84" s="373" t="s">
        <v>2037</v>
      </c>
      <c r="AJ84" s="373"/>
      <c r="AK84" s="373"/>
      <c r="AL84" s="373" t="s">
        <v>2029</v>
      </c>
      <c r="AM84" s="373" t="s">
        <v>2038</v>
      </c>
      <c r="AN84" s="373" t="s">
        <v>2039</v>
      </c>
      <c r="AO84" s="374" t="s">
        <v>2040</v>
      </c>
      <c r="AP84" s="374" t="s">
        <v>1983</v>
      </c>
      <c r="AQ84" s="373" t="s">
        <v>2041</v>
      </c>
      <c r="AR84" s="374" t="s">
        <v>2042</v>
      </c>
      <c r="AS84" s="374" t="s">
        <v>2043</v>
      </c>
      <c r="AT84" s="372">
        <v>1941</v>
      </c>
      <c r="AV84" s="756"/>
    </row>
    <row r="85" spans="2:48" ht="9.9" customHeight="1">
      <c r="C85" s="223"/>
      <c r="F85" s="743"/>
      <c r="G85" s="743"/>
      <c r="H85" s="743"/>
      <c r="I85" s="223"/>
      <c r="M85" s="373"/>
      <c r="N85" s="373"/>
      <c r="O85" s="373"/>
      <c r="P85" s="373"/>
      <c r="S85" s="1029"/>
      <c r="T85" s="1029"/>
      <c r="U85" s="1029"/>
      <c r="V85" s="1029"/>
      <c r="X85" s="723" t="s">
        <v>144</v>
      </c>
      <c r="Y85" s="377"/>
      <c r="AA85" s="26"/>
      <c r="AB85" s="26"/>
      <c r="AE85" s="372">
        <v>1942</v>
      </c>
      <c r="AF85" s="380" t="s">
        <v>2021</v>
      </c>
      <c r="AG85" s="380"/>
      <c r="AH85" s="380"/>
      <c r="AI85" s="373" t="s">
        <v>92</v>
      </c>
      <c r="AJ85" s="373"/>
      <c r="AK85" s="373"/>
      <c r="AL85" s="373" t="s">
        <v>2029</v>
      </c>
      <c r="AM85" s="373" t="s">
        <v>2044</v>
      </c>
      <c r="AN85" s="373" t="s">
        <v>2045</v>
      </c>
      <c r="AO85" s="374" t="s">
        <v>2046</v>
      </c>
      <c r="AP85" s="374" t="s">
        <v>1983</v>
      </c>
      <c r="AQ85" s="373" t="s">
        <v>2047</v>
      </c>
      <c r="AR85" s="374" t="s">
        <v>2048</v>
      </c>
      <c r="AS85" s="374" t="s">
        <v>2049</v>
      </c>
      <c r="AT85" s="372">
        <v>1942</v>
      </c>
      <c r="AV85" s="756"/>
    </row>
    <row r="86" spans="2:48" ht="9.9" customHeight="1">
      <c r="B86" s="743"/>
      <c r="C86" s="223"/>
      <c r="E86" s="743"/>
      <c r="F86" s="743"/>
      <c r="G86" s="743"/>
      <c r="H86" s="743"/>
      <c r="I86" s="743"/>
      <c r="M86" s="373"/>
      <c r="N86" s="373"/>
      <c r="O86" s="373"/>
      <c r="P86" s="373"/>
      <c r="S86" s="1029"/>
      <c r="T86" s="1029"/>
      <c r="U86" s="1029"/>
      <c r="V86" s="1029"/>
      <c r="X86" s="723" t="s">
        <v>146</v>
      </c>
      <c r="Y86" s="377"/>
      <c r="AA86" s="26"/>
      <c r="AB86" s="26"/>
      <c r="AE86" s="372">
        <v>1943</v>
      </c>
      <c r="AF86" s="380" t="s">
        <v>2021</v>
      </c>
      <c r="AG86" s="380"/>
      <c r="AH86" s="380"/>
      <c r="AI86" s="373" t="s">
        <v>92</v>
      </c>
      <c r="AJ86" s="373"/>
      <c r="AK86" s="373"/>
      <c r="AL86" s="373" t="s">
        <v>2029</v>
      </c>
      <c r="AM86" s="373" t="s">
        <v>2050</v>
      </c>
      <c r="AN86" s="373" t="s">
        <v>2051</v>
      </c>
      <c r="AO86" s="374" t="s">
        <v>2052</v>
      </c>
      <c r="AP86" s="373" t="s">
        <v>2053</v>
      </c>
      <c r="AQ86" s="373" t="s">
        <v>2054</v>
      </c>
      <c r="AR86" s="374" t="s">
        <v>2055</v>
      </c>
      <c r="AS86" s="374" t="s">
        <v>2056</v>
      </c>
      <c r="AT86" s="372">
        <v>1943</v>
      </c>
      <c r="AV86" s="756"/>
    </row>
    <row r="87" spans="2:48" ht="9.9" customHeight="1">
      <c r="B87" s="739"/>
      <c r="C87" s="223"/>
      <c r="F87" s="743"/>
      <c r="G87" s="743"/>
      <c r="H87" s="743"/>
      <c r="I87" s="762"/>
      <c r="M87" s="373"/>
      <c r="N87" s="373"/>
      <c r="O87" s="373"/>
      <c r="P87" s="373"/>
      <c r="S87" s="1029"/>
      <c r="T87" s="1029"/>
      <c r="U87" s="1029"/>
      <c r="V87" s="1029"/>
      <c r="X87" s="723" t="s">
        <v>149</v>
      </c>
      <c r="Y87" s="377"/>
      <c r="AA87" s="26"/>
      <c r="AB87" s="26"/>
      <c r="AC87" s="26"/>
      <c r="AD87" s="26"/>
      <c r="AE87" s="372">
        <v>1944</v>
      </c>
      <c r="AF87" s="380" t="s">
        <v>2057</v>
      </c>
      <c r="AG87" s="380" t="s">
        <v>1827</v>
      </c>
      <c r="AH87" s="380"/>
      <c r="AI87" s="373" t="s">
        <v>92</v>
      </c>
      <c r="AJ87" s="373"/>
      <c r="AK87" s="373"/>
      <c r="AL87" s="373" t="s">
        <v>2029</v>
      </c>
      <c r="AM87" s="373" t="s">
        <v>2058</v>
      </c>
      <c r="AN87" s="373" t="s">
        <v>2059</v>
      </c>
      <c r="AO87" s="374" t="s">
        <v>2060</v>
      </c>
      <c r="AP87" s="374" t="s">
        <v>1983</v>
      </c>
      <c r="AQ87" s="373" t="s">
        <v>2061</v>
      </c>
      <c r="AR87" s="374" t="s">
        <v>2062</v>
      </c>
      <c r="AS87" s="374" t="s">
        <v>2063</v>
      </c>
      <c r="AT87" s="372">
        <v>1944</v>
      </c>
      <c r="AV87" s="761"/>
    </row>
    <row r="88" spans="2:48" ht="9.9" customHeight="1">
      <c r="B88" s="223"/>
      <c r="C88" s="223"/>
      <c r="E88" s="223"/>
      <c r="F88" s="223"/>
      <c r="G88" s="223"/>
      <c r="H88" s="223"/>
      <c r="I88" s="223"/>
      <c r="M88" s="373"/>
      <c r="N88" s="373"/>
      <c r="O88" s="373"/>
      <c r="P88" s="373"/>
      <c r="S88" s="373"/>
      <c r="T88" s="373"/>
      <c r="U88" s="373"/>
      <c r="V88" s="373"/>
      <c r="X88" s="723" t="s">
        <v>151</v>
      </c>
      <c r="Y88" s="377"/>
      <c r="AA88" s="26"/>
      <c r="AB88" s="26"/>
      <c r="AC88" s="26"/>
      <c r="AD88" s="26"/>
      <c r="AE88" s="372">
        <v>1945</v>
      </c>
      <c r="AF88" s="380" t="s">
        <v>2021</v>
      </c>
      <c r="AG88" s="380"/>
      <c r="AH88" s="380"/>
      <c r="AI88" s="373" t="s">
        <v>2064</v>
      </c>
      <c r="AJ88" s="373" t="s">
        <v>2065</v>
      </c>
      <c r="AK88" s="373" t="s">
        <v>2066</v>
      </c>
      <c r="AL88" s="373" t="s">
        <v>2029</v>
      </c>
      <c r="AM88" s="373" t="s">
        <v>2067</v>
      </c>
      <c r="AN88" s="373" t="s">
        <v>2068</v>
      </c>
      <c r="AO88" s="374" t="s">
        <v>2069</v>
      </c>
      <c r="AP88" s="374" t="s">
        <v>2070</v>
      </c>
      <c r="AQ88" s="373" t="s">
        <v>2071</v>
      </c>
      <c r="AR88" s="374" t="s">
        <v>2072</v>
      </c>
      <c r="AS88" s="373" t="s">
        <v>2073</v>
      </c>
      <c r="AT88" s="372">
        <v>1945</v>
      </c>
      <c r="AV88" s="761"/>
    </row>
    <row r="89" spans="2:48" ht="9.9" customHeight="1">
      <c r="B89" s="223"/>
      <c r="C89" s="223"/>
      <c r="F89" s="743"/>
      <c r="G89" s="743"/>
      <c r="H89" s="743"/>
      <c r="I89" s="223"/>
      <c r="M89" s="373"/>
      <c r="N89" s="373"/>
      <c r="O89" s="373"/>
      <c r="P89" s="373"/>
      <c r="S89" s="373"/>
      <c r="T89" s="373"/>
      <c r="U89" s="373"/>
      <c r="V89" s="373"/>
      <c r="X89" s="723" t="s">
        <v>153</v>
      </c>
      <c r="Y89" s="377"/>
      <c r="AA89" s="26"/>
      <c r="AB89" s="26"/>
      <c r="AC89" s="26"/>
      <c r="AD89" s="26"/>
      <c r="AE89" s="372">
        <v>1946</v>
      </c>
      <c r="AF89" s="373" t="s">
        <v>92</v>
      </c>
      <c r="AG89" s="373"/>
      <c r="AH89" s="373"/>
      <c r="AI89" s="373" t="s">
        <v>2074</v>
      </c>
      <c r="AJ89" s="373"/>
      <c r="AK89" s="373"/>
      <c r="AL89" s="373" t="s">
        <v>2029</v>
      </c>
      <c r="AM89" s="373" t="s">
        <v>2075</v>
      </c>
      <c r="AN89" s="373" t="s">
        <v>2076</v>
      </c>
      <c r="AO89" s="374" t="s">
        <v>2077</v>
      </c>
      <c r="AP89" s="374" t="s">
        <v>2078</v>
      </c>
      <c r="AQ89" s="373" t="s">
        <v>2079</v>
      </c>
      <c r="AR89" s="374" t="s">
        <v>2080</v>
      </c>
      <c r="AS89" s="374" t="s">
        <v>2081</v>
      </c>
      <c r="AT89" s="372">
        <v>1946</v>
      </c>
    </row>
    <row r="90" spans="2:48" ht="9.9" customHeight="1">
      <c r="B90" s="223"/>
      <c r="C90" s="223"/>
      <c r="D90" s="223"/>
      <c r="E90" s="223"/>
      <c r="F90" s="223"/>
      <c r="G90" s="223"/>
      <c r="H90" s="223"/>
      <c r="I90" s="223"/>
      <c r="M90" s="373"/>
      <c r="N90" s="373"/>
      <c r="O90" s="373"/>
      <c r="P90" s="373"/>
      <c r="S90" s="373"/>
      <c r="T90" s="373"/>
      <c r="U90" s="373"/>
      <c r="V90" s="373"/>
      <c r="X90" s="723" t="s">
        <v>155</v>
      </c>
      <c r="Y90" s="377"/>
      <c r="AA90" s="26"/>
      <c r="AB90" s="26"/>
      <c r="AC90" s="26"/>
      <c r="AD90" s="26"/>
      <c r="AE90" s="372">
        <v>1947</v>
      </c>
      <c r="AF90" s="373" t="s">
        <v>2082</v>
      </c>
      <c r="AG90" s="373"/>
      <c r="AH90" s="373"/>
      <c r="AI90" s="373" t="s">
        <v>92</v>
      </c>
      <c r="AJ90" s="373"/>
      <c r="AK90" s="373"/>
      <c r="AL90" s="373" t="s">
        <v>2029</v>
      </c>
      <c r="AM90" s="373" t="s">
        <v>2083</v>
      </c>
      <c r="AN90" s="373" t="s">
        <v>2084</v>
      </c>
      <c r="AO90" s="374" t="s">
        <v>2085</v>
      </c>
      <c r="AP90" s="374" t="s">
        <v>2078</v>
      </c>
      <c r="AQ90" s="373" t="s">
        <v>2086</v>
      </c>
      <c r="AR90" s="374" t="s">
        <v>2087</v>
      </c>
      <c r="AS90" s="374" t="s">
        <v>2088</v>
      </c>
      <c r="AT90" s="372">
        <v>1947</v>
      </c>
    </row>
    <row r="91" spans="2:48" ht="9.9" customHeight="1">
      <c r="M91" s="373"/>
      <c r="N91" s="373"/>
      <c r="O91" s="373"/>
      <c r="P91" s="373"/>
      <c r="S91" s="373"/>
      <c r="T91" s="373"/>
      <c r="U91" s="373"/>
      <c r="V91" s="373"/>
      <c r="X91" s="376" t="str">
        <f>IF(ISBLANK(人物卡!AB48),"",人物卡!AB48)</f>
        <v>自定义技能</v>
      </c>
      <c r="Y91" s="377"/>
      <c r="AA91" s="26"/>
      <c r="AB91" s="26"/>
      <c r="AC91" s="26"/>
      <c r="AD91" s="26"/>
      <c r="AE91" s="372">
        <v>1948</v>
      </c>
      <c r="AF91" s="373" t="s">
        <v>2089</v>
      </c>
      <c r="AG91" s="373" t="s">
        <v>1760</v>
      </c>
      <c r="AH91" s="373"/>
      <c r="AI91" s="373" t="s">
        <v>2090</v>
      </c>
      <c r="AJ91" s="373"/>
      <c r="AK91" s="373"/>
      <c r="AL91" s="373" t="s">
        <v>2029</v>
      </c>
      <c r="AM91" s="373" t="s">
        <v>2091</v>
      </c>
      <c r="AN91" s="373" t="s">
        <v>2092</v>
      </c>
      <c r="AO91" s="374" t="s">
        <v>2093</v>
      </c>
      <c r="AP91" s="374" t="s">
        <v>2078</v>
      </c>
      <c r="AQ91" s="373" t="s">
        <v>2094</v>
      </c>
      <c r="AR91" s="374" t="s">
        <v>2095</v>
      </c>
      <c r="AS91" s="374" t="s">
        <v>2096</v>
      </c>
      <c r="AT91" s="372">
        <v>1948</v>
      </c>
    </row>
    <row r="92" spans="2:48" ht="9.9" customHeight="1">
      <c r="M92" s="373"/>
      <c r="N92" s="373"/>
      <c r="O92" s="373"/>
      <c r="P92" s="373"/>
      <c r="S92" s="373"/>
      <c r="T92" s="373"/>
      <c r="U92" s="373"/>
      <c r="V92" s="373"/>
      <c r="X92" s="384" t="str">
        <f>IF(ISBLANK(人物卡!AB49),"",人物卡!AB49)</f>
        <v/>
      </c>
      <c r="Y92" s="388"/>
      <c r="AA92" s="26"/>
      <c r="AE92" s="372">
        <v>1949</v>
      </c>
      <c r="AF92" s="373" t="s">
        <v>2097</v>
      </c>
      <c r="AG92" s="373"/>
      <c r="AH92" s="373"/>
      <c r="AI92" s="373" t="s">
        <v>2098</v>
      </c>
      <c r="AJ92" s="373"/>
      <c r="AK92" s="373"/>
      <c r="AL92" s="373" t="s">
        <v>2029</v>
      </c>
      <c r="AM92" s="373" t="s">
        <v>2099</v>
      </c>
      <c r="AN92" s="373" t="s">
        <v>2100</v>
      </c>
      <c r="AO92" s="374" t="s">
        <v>2101</v>
      </c>
      <c r="AP92" s="374" t="s">
        <v>2078</v>
      </c>
      <c r="AQ92" s="373" t="s">
        <v>2102</v>
      </c>
      <c r="AR92" s="374" t="s">
        <v>2103</v>
      </c>
      <c r="AS92" s="374" t="s">
        <v>2104</v>
      </c>
      <c r="AT92" s="372">
        <v>1949</v>
      </c>
    </row>
    <row r="93" spans="2:48" ht="9.9" customHeight="1">
      <c r="B93" s="763"/>
      <c r="C93" s="764">
        <v>2</v>
      </c>
      <c r="D93" s="764">
        <v>3</v>
      </c>
      <c r="E93" s="634">
        <v>4</v>
      </c>
      <c r="F93" s="634">
        <v>5</v>
      </c>
      <c r="G93" s="764">
        <v>6</v>
      </c>
      <c r="H93" s="764">
        <v>7</v>
      </c>
      <c r="I93" s="634">
        <v>8</v>
      </c>
      <c r="J93" s="634">
        <v>9</v>
      </c>
      <c r="K93" s="632">
        <v>10</v>
      </c>
      <c r="M93" s="373"/>
      <c r="N93" s="373"/>
      <c r="O93" s="373"/>
      <c r="P93" s="373"/>
      <c r="S93" s="373"/>
      <c r="T93" s="373"/>
      <c r="U93" s="373"/>
      <c r="V93" s="373"/>
      <c r="X93" s="849"/>
      <c r="Y93" s="849"/>
      <c r="AA93" s="26"/>
      <c r="AE93" s="372">
        <v>1950</v>
      </c>
      <c r="AF93" s="373" t="s">
        <v>2105</v>
      </c>
      <c r="AG93" s="373"/>
      <c r="AH93" s="373"/>
      <c r="AI93" s="373" t="s">
        <v>2106</v>
      </c>
      <c r="AJ93" s="373" t="s">
        <v>2107</v>
      </c>
      <c r="AK93" s="373"/>
      <c r="AL93" s="373" t="s">
        <v>2108</v>
      </c>
      <c r="AM93" s="373" t="s">
        <v>1534</v>
      </c>
      <c r="AN93" s="373" t="s">
        <v>2109</v>
      </c>
      <c r="AO93" s="374" t="s">
        <v>2110</v>
      </c>
      <c r="AP93" s="374" t="s">
        <v>2078</v>
      </c>
      <c r="AQ93" s="373" t="s">
        <v>2111</v>
      </c>
      <c r="AR93" s="374" t="s">
        <v>2112</v>
      </c>
      <c r="AS93" s="374" t="s">
        <v>2113</v>
      </c>
      <c r="AT93" s="372">
        <v>1950</v>
      </c>
    </row>
    <row r="94" spans="2:48" ht="9.9" customHeight="1">
      <c r="B94" s="376" t="s">
        <v>54</v>
      </c>
      <c r="C94" s="374" t="s">
        <v>89</v>
      </c>
      <c r="D94" s="374" t="s">
        <v>2114</v>
      </c>
      <c r="E94" s="374" t="s">
        <v>2115</v>
      </c>
      <c r="F94" s="374" t="s">
        <v>2116</v>
      </c>
      <c r="G94" s="374" t="s">
        <v>2117</v>
      </c>
      <c r="H94" s="374" t="s">
        <v>2118</v>
      </c>
      <c r="I94" s="374" t="s">
        <v>2119</v>
      </c>
      <c r="J94" s="374" t="s">
        <v>2120</v>
      </c>
      <c r="K94" s="377" t="s">
        <v>2121</v>
      </c>
      <c r="L94" s="1029"/>
      <c r="M94" s="373"/>
      <c r="N94" s="373"/>
      <c r="O94" s="373"/>
      <c r="P94" s="373"/>
      <c r="S94" s="373"/>
      <c r="T94" s="373"/>
      <c r="U94" s="373"/>
      <c r="V94" s="373"/>
      <c r="AA94" s="26"/>
      <c r="AE94" s="372">
        <v>1951</v>
      </c>
      <c r="AF94" s="373" t="s">
        <v>2105</v>
      </c>
      <c r="AG94" s="373"/>
      <c r="AH94" s="373"/>
      <c r="AI94" s="373" t="s">
        <v>2122</v>
      </c>
      <c r="AJ94" s="373" t="s">
        <v>2123</v>
      </c>
      <c r="AK94" s="373"/>
      <c r="AL94" s="373" t="s">
        <v>2108</v>
      </c>
      <c r="AM94" s="373" t="s">
        <v>1543</v>
      </c>
      <c r="AN94" s="373" t="s">
        <v>2124</v>
      </c>
      <c r="AO94" s="374" t="s">
        <v>2125</v>
      </c>
      <c r="AP94" s="374" t="s">
        <v>2078</v>
      </c>
      <c r="AQ94" s="373" t="s">
        <v>2126</v>
      </c>
      <c r="AR94" s="374" t="s">
        <v>2127</v>
      </c>
      <c r="AS94" s="374" t="s">
        <v>2128</v>
      </c>
      <c r="AT94" s="372">
        <v>1951</v>
      </c>
    </row>
    <row r="95" spans="2:48" ht="9.9" customHeight="1">
      <c r="B95" s="376" t="s">
        <v>60</v>
      </c>
      <c r="C95" s="646" t="s">
        <v>2129</v>
      </c>
      <c r="D95" s="374" t="s">
        <v>92</v>
      </c>
      <c r="E95" s="374" t="s">
        <v>2130</v>
      </c>
      <c r="F95" s="374" t="s">
        <v>2131</v>
      </c>
      <c r="G95" s="374" t="s">
        <v>2132</v>
      </c>
      <c r="H95" s="374" t="s">
        <v>2133</v>
      </c>
      <c r="I95" s="374" t="s">
        <v>2134</v>
      </c>
      <c r="J95" s="374" t="s">
        <v>2135</v>
      </c>
      <c r="K95" s="377" t="s">
        <v>2136</v>
      </c>
      <c r="L95" s="1029"/>
      <c r="M95" s="373"/>
      <c r="N95" s="373"/>
      <c r="O95" s="373"/>
      <c r="P95" s="373"/>
      <c r="S95" s="373"/>
      <c r="T95" s="373"/>
      <c r="U95" s="373"/>
      <c r="V95" s="373"/>
      <c r="AE95" s="372">
        <v>1952</v>
      </c>
      <c r="AF95" s="373" t="s">
        <v>2105</v>
      </c>
      <c r="AG95" s="373" t="s">
        <v>2137</v>
      </c>
      <c r="AH95" s="373"/>
      <c r="AI95" s="373" t="s">
        <v>92</v>
      </c>
      <c r="AJ95" s="373"/>
      <c r="AK95" s="373"/>
      <c r="AL95" s="373" t="s">
        <v>2108</v>
      </c>
      <c r="AM95" s="373" t="s">
        <v>1550</v>
      </c>
      <c r="AN95" s="373" t="s">
        <v>2138</v>
      </c>
      <c r="AO95" s="374" t="s">
        <v>2139</v>
      </c>
      <c r="AP95" s="373" t="s">
        <v>2140</v>
      </c>
      <c r="AQ95" s="373" t="s">
        <v>2141</v>
      </c>
      <c r="AR95" s="374" t="s">
        <v>2142</v>
      </c>
      <c r="AS95" s="374" t="s">
        <v>2143</v>
      </c>
      <c r="AT95" s="372">
        <v>1952</v>
      </c>
    </row>
    <row r="96" spans="2:48" ht="9.9" customHeight="1">
      <c r="B96" s="376" t="s">
        <v>62</v>
      </c>
      <c r="C96" s="646" t="s">
        <v>2144</v>
      </c>
      <c r="D96" s="374" t="s">
        <v>92</v>
      </c>
      <c r="E96" s="374" t="s">
        <v>92</v>
      </c>
      <c r="F96" s="374" t="s">
        <v>2145</v>
      </c>
      <c r="G96" s="374" t="s">
        <v>2146</v>
      </c>
      <c r="H96" s="374" t="s">
        <v>2147</v>
      </c>
      <c r="I96" s="374" t="s">
        <v>2148</v>
      </c>
      <c r="J96" s="374" t="s">
        <v>2149</v>
      </c>
      <c r="K96" s="377" t="s">
        <v>2150</v>
      </c>
      <c r="L96" s="1029"/>
      <c r="M96" s="373"/>
      <c r="N96" s="373"/>
      <c r="O96" s="373"/>
      <c r="P96" s="373"/>
      <c r="S96" s="373"/>
      <c r="T96" s="373"/>
      <c r="U96" s="373"/>
      <c r="V96" s="373"/>
      <c r="AE96" s="372">
        <v>1953</v>
      </c>
      <c r="AF96" s="373" t="s">
        <v>92</v>
      </c>
      <c r="AG96" s="373"/>
      <c r="AH96" s="373"/>
      <c r="AI96" s="373" t="s">
        <v>2151</v>
      </c>
      <c r="AJ96" s="373"/>
      <c r="AK96" s="373"/>
      <c r="AL96" s="373" t="s">
        <v>2108</v>
      </c>
      <c r="AM96" s="373" t="s">
        <v>1561</v>
      </c>
      <c r="AN96" s="373" t="s">
        <v>2152</v>
      </c>
      <c r="AO96" s="374" t="s">
        <v>2153</v>
      </c>
      <c r="AP96" s="374" t="s">
        <v>2154</v>
      </c>
      <c r="AQ96" s="373" t="s">
        <v>2155</v>
      </c>
      <c r="AR96" s="374" t="s">
        <v>2156</v>
      </c>
      <c r="AS96" s="374" t="s">
        <v>2157</v>
      </c>
      <c r="AT96" s="372">
        <v>1953</v>
      </c>
    </row>
    <row r="97" spans="1:48" ht="9.9" customHeight="1">
      <c r="B97" s="376" t="s">
        <v>66</v>
      </c>
      <c r="C97" s="646" t="s">
        <v>2129</v>
      </c>
      <c r="D97" s="374" t="s">
        <v>92</v>
      </c>
      <c r="E97" s="374" t="s">
        <v>92</v>
      </c>
      <c r="F97" s="374" t="s">
        <v>2158</v>
      </c>
      <c r="G97" s="374" t="s">
        <v>2159</v>
      </c>
      <c r="H97" s="755" t="s">
        <v>2160</v>
      </c>
      <c r="I97" s="374" t="s">
        <v>2161</v>
      </c>
      <c r="J97" s="732" t="s">
        <v>2162</v>
      </c>
      <c r="K97" s="765" t="s">
        <v>2163</v>
      </c>
      <c r="L97" s="1029"/>
      <c r="M97" s="373"/>
      <c r="N97" s="373"/>
      <c r="O97" s="373"/>
      <c r="P97" s="373"/>
      <c r="S97" s="373"/>
      <c r="T97" s="373"/>
      <c r="U97" s="373"/>
      <c r="V97" s="373"/>
      <c r="AE97" s="372">
        <v>1954</v>
      </c>
      <c r="AF97" s="373" t="s">
        <v>92</v>
      </c>
      <c r="AG97" s="373"/>
      <c r="AH97" s="373"/>
      <c r="AI97" s="373" t="s">
        <v>92</v>
      </c>
      <c r="AJ97" s="373"/>
      <c r="AK97" s="373"/>
      <c r="AL97" s="373" t="s">
        <v>2108</v>
      </c>
      <c r="AM97" s="373" t="s">
        <v>1577</v>
      </c>
      <c r="AN97" s="373" t="s">
        <v>2164</v>
      </c>
      <c r="AO97" s="374" t="s">
        <v>2165</v>
      </c>
      <c r="AP97" s="374" t="s">
        <v>2166</v>
      </c>
      <c r="AQ97" s="373" t="s">
        <v>2167</v>
      </c>
      <c r="AR97" s="374" t="s">
        <v>2168</v>
      </c>
      <c r="AS97" s="374" t="s">
        <v>2169</v>
      </c>
      <c r="AT97" s="372">
        <v>1954</v>
      </c>
    </row>
    <row r="98" spans="1:48" ht="9.9" customHeight="1">
      <c r="B98" s="376" t="s">
        <v>69</v>
      </c>
      <c r="C98" s="646" t="s">
        <v>2144</v>
      </c>
      <c r="D98" s="374" t="s">
        <v>92</v>
      </c>
      <c r="E98" s="374" t="s">
        <v>92</v>
      </c>
      <c r="F98" s="374" t="s">
        <v>2170</v>
      </c>
      <c r="G98" s="755" t="s">
        <v>2171</v>
      </c>
      <c r="H98" s="732" t="s">
        <v>2172</v>
      </c>
      <c r="I98" s="756" t="s">
        <v>2173</v>
      </c>
      <c r="J98" s="756" t="s">
        <v>2174</v>
      </c>
      <c r="K98" s="377" t="s">
        <v>2175</v>
      </c>
      <c r="L98" s="1029"/>
      <c r="M98" s="373"/>
      <c r="N98" s="373"/>
      <c r="O98" s="373"/>
      <c r="P98" s="373"/>
      <c r="S98" s="373"/>
      <c r="T98" s="373"/>
      <c r="U98" s="373"/>
      <c r="V98" s="373"/>
      <c r="AE98" s="372">
        <v>1955</v>
      </c>
      <c r="AF98" s="373" t="s">
        <v>2176</v>
      </c>
      <c r="AG98" s="373"/>
      <c r="AH98" s="373"/>
      <c r="AI98" s="373" t="s">
        <v>2177</v>
      </c>
      <c r="AJ98" s="373"/>
      <c r="AK98" s="373"/>
      <c r="AL98" s="373" t="s">
        <v>2108</v>
      </c>
      <c r="AM98" s="373" t="s">
        <v>1593</v>
      </c>
      <c r="AN98" s="373" t="s">
        <v>2178</v>
      </c>
      <c r="AO98" s="374" t="s">
        <v>2179</v>
      </c>
      <c r="AP98" s="374" t="s">
        <v>2166</v>
      </c>
      <c r="AQ98" s="373" t="s">
        <v>2180</v>
      </c>
      <c r="AR98" s="374" t="s">
        <v>2181</v>
      </c>
      <c r="AS98" s="374" t="s">
        <v>2182</v>
      </c>
      <c r="AT98" s="372">
        <v>1955</v>
      </c>
    </row>
    <row r="99" spans="1:48" ht="9.9" customHeight="1">
      <c r="B99" s="376" t="s">
        <v>2183</v>
      </c>
      <c r="C99" s="646" t="s">
        <v>212</v>
      </c>
      <c r="D99" s="374" t="s">
        <v>212</v>
      </c>
      <c r="E99" s="374" t="s">
        <v>212</v>
      </c>
      <c r="F99" s="374" t="s">
        <v>212</v>
      </c>
      <c r="G99" s="374" t="s">
        <v>212</v>
      </c>
      <c r="H99" s="374" t="s">
        <v>212</v>
      </c>
      <c r="I99" s="374" t="s">
        <v>212</v>
      </c>
      <c r="J99" s="374" t="s">
        <v>212</v>
      </c>
      <c r="K99" s="377" t="s">
        <v>212</v>
      </c>
      <c r="L99" s="1029"/>
      <c r="M99" s="373"/>
      <c r="N99" s="373"/>
      <c r="O99" s="373"/>
      <c r="P99" s="373"/>
      <c r="S99" s="373"/>
      <c r="T99" s="373"/>
      <c r="U99" s="373"/>
      <c r="V99" s="373"/>
      <c r="AE99" s="372">
        <v>1956</v>
      </c>
      <c r="AF99" s="373" t="s">
        <v>2184</v>
      </c>
      <c r="AG99" s="373"/>
      <c r="AH99" s="373"/>
      <c r="AI99" s="373" t="s">
        <v>2185</v>
      </c>
      <c r="AJ99" s="373"/>
      <c r="AK99" s="373"/>
      <c r="AL99" s="373" t="s">
        <v>2108</v>
      </c>
      <c r="AM99" s="373" t="s">
        <v>1608</v>
      </c>
      <c r="AN99" s="373" t="s">
        <v>2186</v>
      </c>
      <c r="AO99" s="374" t="s">
        <v>2187</v>
      </c>
      <c r="AP99" s="374" t="s">
        <v>2166</v>
      </c>
      <c r="AQ99" s="373" t="s">
        <v>2188</v>
      </c>
      <c r="AR99" s="374" t="s">
        <v>2189</v>
      </c>
      <c r="AS99" s="374" t="s">
        <v>2190</v>
      </c>
      <c r="AT99" s="372">
        <v>1956</v>
      </c>
    </row>
    <row r="100" spans="1:48" ht="9.9" customHeight="1">
      <c r="B100" s="376" t="s">
        <v>2191</v>
      </c>
      <c r="C100" s="646" t="s">
        <v>92</v>
      </c>
      <c r="D100" s="374" t="s">
        <v>2192</v>
      </c>
      <c r="E100" s="374" t="s">
        <v>92</v>
      </c>
      <c r="F100" s="374" t="s">
        <v>2193</v>
      </c>
      <c r="G100" s="759" t="s">
        <v>2194</v>
      </c>
      <c r="H100" s="374" t="s">
        <v>2195</v>
      </c>
      <c r="I100" s="766" t="s">
        <v>2196</v>
      </c>
      <c r="J100" s="374" t="s">
        <v>2197</v>
      </c>
      <c r="K100" s="377" t="s">
        <v>2198</v>
      </c>
      <c r="L100" s="1029"/>
      <c r="M100" s="373"/>
      <c r="N100" s="373"/>
      <c r="O100" s="373"/>
      <c r="P100" s="373"/>
      <c r="S100" s="373"/>
      <c r="T100" s="373"/>
      <c r="U100" s="373"/>
      <c r="V100" s="373"/>
      <c r="AE100" s="372">
        <v>1957</v>
      </c>
      <c r="AF100" s="373" t="s">
        <v>2199</v>
      </c>
      <c r="AG100" s="373" t="s">
        <v>2200</v>
      </c>
      <c r="AH100" s="373"/>
      <c r="AI100" s="373" t="s">
        <v>92</v>
      </c>
      <c r="AJ100" s="373"/>
      <c r="AK100" s="373"/>
      <c r="AL100" s="373" t="s">
        <v>2108</v>
      </c>
      <c r="AM100" s="373" t="s">
        <v>1620</v>
      </c>
      <c r="AN100" s="373" t="s">
        <v>2201</v>
      </c>
      <c r="AO100" s="374" t="s">
        <v>2202</v>
      </c>
      <c r="AP100" s="374" t="s">
        <v>2166</v>
      </c>
      <c r="AQ100" s="373" t="s">
        <v>2203</v>
      </c>
      <c r="AR100" s="374" t="s">
        <v>2204</v>
      </c>
      <c r="AS100" s="374" t="s">
        <v>2205</v>
      </c>
      <c r="AT100" s="372">
        <v>1957</v>
      </c>
    </row>
    <row r="101" spans="1:48" ht="9.9" customHeight="1">
      <c r="A101" s="767" t="s">
        <v>1359</v>
      </c>
      <c r="B101" s="767" t="s">
        <v>1359</v>
      </c>
      <c r="C101" s="646" t="s">
        <v>2129</v>
      </c>
      <c r="D101" s="374" t="s">
        <v>2206</v>
      </c>
      <c r="E101" s="374" t="s">
        <v>92</v>
      </c>
      <c r="F101" s="374" t="s">
        <v>2207</v>
      </c>
      <c r="G101" s="759" t="s">
        <v>2194</v>
      </c>
      <c r="H101" s="374" t="s">
        <v>2195</v>
      </c>
      <c r="I101" s="766" t="s">
        <v>2196</v>
      </c>
      <c r="J101" s="374" t="s">
        <v>2197</v>
      </c>
      <c r="K101" s="377" t="s">
        <v>2198</v>
      </c>
      <c r="L101" s="1029"/>
      <c r="S101" s="373"/>
      <c r="T101" s="373"/>
      <c r="U101" s="373"/>
      <c r="V101" s="373"/>
      <c r="AE101" s="372">
        <v>1958</v>
      </c>
      <c r="AF101" s="373" t="s">
        <v>92</v>
      </c>
      <c r="AG101" s="373"/>
      <c r="AH101" s="373"/>
      <c r="AI101" s="373" t="s">
        <v>2208</v>
      </c>
      <c r="AJ101" s="373"/>
      <c r="AK101" s="373"/>
      <c r="AL101" s="373" t="s">
        <v>2108</v>
      </c>
      <c r="AM101" s="373" t="s">
        <v>1637</v>
      </c>
      <c r="AN101" s="373" t="s">
        <v>2209</v>
      </c>
      <c r="AO101" s="374" t="s">
        <v>2210</v>
      </c>
      <c r="AP101" s="373" t="s">
        <v>2166</v>
      </c>
      <c r="AQ101" s="373" t="s">
        <v>2211</v>
      </c>
      <c r="AR101" s="374" t="s">
        <v>2212</v>
      </c>
      <c r="AS101" s="374" t="s">
        <v>2213</v>
      </c>
      <c r="AT101" s="372">
        <v>1958</v>
      </c>
    </row>
    <row r="102" spans="1:48" ht="9.9" customHeight="1">
      <c r="A102" s="767" t="s">
        <v>2214</v>
      </c>
      <c r="B102" s="767" t="s">
        <v>2214</v>
      </c>
      <c r="C102" s="646" t="s">
        <v>2129</v>
      </c>
      <c r="D102" s="374" t="s">
        <v>2206</v>
      </c>
      <c r="E102" s="374" t="s">
        <v>92</v>
      </c>
      <c r="F102" s="374" t="s">
        <v>2215</v>
      </c>
      <c r="G102" s="759" t="s">
        <v>2194</v>
      </c>
      <c r="H102" s="374" t="s">
        <v>2195</v>
      </c>
      <c r="I102" s="766" t="s">
        <v>2196</v>
      </c>
      <c r="J102" s="374" t="s">
        <v>2197</v>
      </c>
      <c r="K102" s="377" t="s">
        <v>2198</v>
      </c>
      <c r="L102" s="1029"/>
      <c r="M102" s="757"/>
      <c r="AE102" s="372">
        <v>1959</v>
      </c>
      <c r="AF102" s="373" t="s">
        <v>92</v>
      </c>
      <c r="AG102" s="373"/>
      <c r="AH102" s="373"/>
      <c r="AI102" s="373" t="s">
        <v>2216</v>
      </c>
      <c r="AJ102" s="373" t="s">
        <v>2217</v>
      </c>
      <c r="AK102" s="373"/>
      <c r="AL102" s="373" t="s">
        <v>2108</v>
      </c>
      <c r="AM102" s="373" t="s">
        <v>1652</v>
      </c>
      <c r="AN102" s="373" t="s">
        <v>2218</v>
      </c>
      <c r="AO102" s="374" t="s">
        <v>2219</v>
      </c>
      <c r="AP102" s="374" t="s">
        <v>2166</v>
      </c>
      <c r="AQ102" s="373" t="s">
        <v>2220</v>
      </c>
      <c r="AR102" s="374" t="s">
        <v>2221</v>
      </c>
      <c r="AS102" s="374" t="s">
        <v>2222</v>
      </c>
      <c r="AT102" s="372">
        <v>1959</v>
      </c>
    </row>
    <row r="103" spans="1:48" ht="9.9" customHeight="1">
      <c r="A103" s="376" t="s">
        <v>1364</v>
      </c>
      <c r="B103" s="376" t="s">
        <v>1364</v>
      </c>
      <c r="C103" s="646" t="s">
        <v>2129</v>
      </c>
      <c r="D103" s="374" t="s">
        <v>2206</v>
      </c>
      <c r="E103" s="374" t="s">
        <v>92</v>
      </c>
      <c r="F103" s="374" t="s">
        <v>2223</v>
      </c>
      <c r="G103" s="759" t="s">
        <v>2194</v>
      </c>
      <c r="H103" s="374" t="s">
        <v>2195</v>
      </c>
      <c r="I103" s="766" t="s">
        <v>2196</v>
      </c>
      <c r="J103" s="374" t="s">
        <v>2197</v>
      </c>
      <c r="K103" s="377" t="s">
        <v>2198</v>
      </c>
      <c r="L103" s="1029"/>
      <c r="AE103" s="372">
        <v>1960</v>
      </c>
      <c r="AF103" s="373" t="s">
        <v>2224</v>
      </c>
      <c r="AG103" s="373"/>
      <c r="AH103" s="373"/>
      <c r="AI103" s="373" t="s">
        <v>92</v>
      </c>
      <c r="AJ103" s="373"/>
      <c r="AK103" s="373"/>
      <c r="AL103" s="373" t="s">
        <v>2225</v>
      </c>
      <c r="AM103" s="373" t="s">
        <v>1669</v>
      </c>
      <c r="AN103" s="373" t="s">
        <v>2226</v>
      </c>
      <c r="AO103" s="374" t="s">
        <v>2227</v>
      </c>
      <c r="AP103" s="374" t="s">
        <v>2166</v>
      </c>
      <c r="AQ103" s="373" t="s">
        <v>2228</v>
      </c>
      <c r="AR103" s="374" t="s">
        <v>2229</v>
      </c>
      <c r="AS103" s="374" t="s">
        <v>2230</v>
      </c>
      <c r="AT103" s="372">
        <v>1960</v>
      </c>
    </row>
    <row r="104" spans="1:48" ht="9.9" customHeight="1">
      <c r="A104" s="376" t="s">
        <v>1363</v>
      </c>
      <c r="B104" s="376" t="s">
        <v>1363</v>
      </c>
      <c r="C104" s="646" t="s">
        <v>2129</v>
      </c>
      <c r="D104" s="374" t="s">
        <v>2206</v>
      </c>
      <c r="E104" s="374" t="s">
        <v>92</v>
      </c>
      <c r="F104" s="374" t="s">
        <v>2231</v>
      </c>
      <c r="G104" s="759" t="s">
        <v>2194</v>
      </c>
      <c r="H104" s="374" t="s">
        <v>2195</v>
      </c>
      <c r="I104" s="766" t="s">
        <v>2196</v>
      </c>
      <c r="J104" s="374" t="s">
        <v>2197</v>
      </c>
      <c r="K104" s="377" t="s">
        <v>2198</v>
      </c>
      <c r="L104" s="1029"/>
      <c r="AE104" s="372">
        <v>1961</v>
      </c>
      <c r="AF104" s="373" t="s">
        <v>2232</v>
      </c>
      <c r="AG104" s="373"/>
      <c r="AH104" s="373"/>
      <c r="AI104" s="373" t="s">
        <v>92</v>
      </c>
      <c r="AJ104" s="373"/>
      <c r="AK104" s="373"/>
      <c r="AL104" s="373" t="s">
        <v>2225</v>
      </c>
      <c r="AM104" s="373" t="s">
        <v>1682</v>
      </c>
      <c r="AN104" s="373" t="s">
        <v>2233</v>
      </c>
      <c r="AO104" s="374" t="s">
        <v>2234</v>
      </c>
      <c r="AP104" s="374" t="s">
        <v>2235</v>
      </c>
      <c r="AQ104" s="373" t="s">
        <v>2236</v>
      </c>
      <c r="AR104" s="374" t="s">
        <v>2237</v>
      </c>
      <c r="AS104" s="374" t="s">
        <v>2238</v>
      </c>
      <c r="AT104" s="372">
        <v>1961</v>
      </c>
    </row>
    <row r="105" spans="1:48" ht="9.9" customHeight="1">
      <c r="A105" s="376" t="s">
        <v>1375</v>
      </c>
      <c r="B105" s="376" t="s">
        <v>1375</v>
      </c>
      <c r="C105" s="646" t="s">
        <v>2129</v>
      </c>
      <c r="D105" s="374" t="s">
        <v>2206</v>
      </c>
      <c r="E105" s="374" t="s">
        <v>92</v>
      </c>
      <c r="F105" s="373" t="s">
        <v>2239</v>
      </c>
      <c r="G105" s="759" t="s">
        <v>2194</v>
      </c>
      <c r="H105" s="374" t="s">
        <v>2195</v>
      </c>
      <c r="I105" s="766" t="s">
        <v>2196</v>
      </c>
      <c r="J105" s="374" t="s">
        <v>2197</v>
      </c>
      <c r="K105" s="377" t="s">
        <v>2198</v>
      </c>
      <c r="L105" s="1029"/>
      <c r="AE105" s="372">
        <v>1962</v>
      </c>
      <c r="AF105" s="373" t="s">
        <v>92</v>
      </c>
      <c r="AG105" s="373"/>
      <c r="AH105" s="373"/>
      <c r="AI105" s="373" t="s">
        <v>2240</v>
      </c>
      <c r="AJ105" s="373"/>
      <c r="AK105" s="373"/>
      <c r="AL105" s="373" t="s">
        <v>2225</v>
      </c>
      <c r="AM105" s="373" t="s">
        <v>1696</v>
      </c>
      <c r="AN105" s="373" t="s">
        <v>2241</v>
      </c>
      <c r="AO105" s="374" t="s">
        <v>2242</v>
      </c>
      <c r="AP105" s="374" t="s">
        <v>2243</v>
      </c>
      <c r="AQ105" s="373" t="s">
        <v>2244</v>
      </c>
      <c r="AR105" s="374" t="s">
        <v>2245</v>
      </c>
      <c r="AS105" s="374" t="s">
        <v>2246</v>
      </c>
      <c r="AT105" s="372">
        <v>1962</v>
      </c>
    </row>
    <row r="106" spans="1:48" ht="9.9" customHeight="1">
      <c r="A106" s="376" t="s">
        <v>1370</v>
      </c>
      <c r="B106" s="376" t="s">
        <v>1370</v>
      </c>
      <c r="C106" s="646" t="s">
        <v>2129</v>
      </c>
      <c r="D106" s="374" t="s">
        <v>2206</v>
      </c>
      <c r="E106" s="374" t="s">
        <v>92</v>
      </c>
      <c r="F106" s="374" t="s">
        <v>2247</v>
      </c>
      <c r="G106" s="759" t="s">
        <v>2194</v>
      </c>
      <c r="H106" s="374" t="s">
        <v>2195</v>
      </c>
      <c r="I106" s="766" t="s">
        <v>2196</v>
      </c>
      <c r="J106" s="374" t="s">
        <v>2197</v>
      </c>
      <c r="K106" s="377" t="s">
        <v>2198</v>
      </c>
      <c r="L106" s="1029"/>
      <c r="AE106" s="372">
        <v>1963</v>
      </c>
      <c r="AF106" s="373" t="s">
        <v>92</v>
      </c>
      <c r="AG106" s="373"/>
      <c r="AH106" s="373"/>
      <c r="AI106" s="373" t="s">
        <v>92</v>
      </c>
      <c r="AJ106" s="373"/>
      <c r="AK106" s="373"/>
      <c r="AL106" s="373" t="s">
        <v>2225</v>
      </c>
      <c r="AM106" s="373" t="s">
        <v>1711</v>
      </c>
      <c r="AN106" s="373" t="s">
        <v>2248</v>
      </c>
      <c r="AO106" s="374" t="s">
        <v>2249</v>
      </c>
      <c r="AP106" s="374" t="s">
        <v>2250</v>
      </c>
      <c r="AQ106" s="373" t="s">
        <v>2244</v>
      </c>
      <c r="AR106" s="374" t="s">
        <v>2245</v>
      </c>
      <c r="AT106" s="372">
        <v>1963</v>
      </c>
    </row>
    <row r="107" spans="1:48" ht="9.9" customHeight="1">
      <c r="A107" s="376" t="s">
        <v>2251</v>
      </c>
      <c r="B107" s="376" t="s">
        <v>2251</v>
      </c>
      <c r="C107" s="646" t="s">
        <v>2129</v>
      </c>
      <c r="D107" s="374" t="s">
        <v>2206</v>
      </c>
      <c r="E107" s="374" t="s">
        <v>92</v>
      </c>
      <c r="F107" s="374" t="s">
        <v>2252</v>
      </c>
      <c r="G107" s="759" t="s">
        <v>2194</v>
      </c>
      <c r="H107" s="374" t="s">
        <v>2195</v>
      </c>
      <c r="I107" s="766" t="s">
        <v>2196</v>
      </c>
      <c r="J107" s="374" t="s">
        <v>2197</v>
      </c>
      <c r="K107" s="377" t="s">
        <v>2198</v>
      </c>
      <c r="L107" s="1029"/>
      <c r="AE107" s="372">
        <v>1964</v>
      </c>
      <c r="AF107" s="373" t="s">
        <v>2253</v>
      </c>
      <c r="AG107" s="373"/>
      <c r="AH107" s="373"/>
      <c r="AI107" s="373" t="s">
        <v>2254</v>
      </c>
      <c r="AJ107" s="373"/>
      <c r="AK107" s="373"/>
      <c r="AL107" s="373" t="s">
        <v>2225</v>
      </c>
      <c r="AM107" s="373" t="s">
        <v>1724</v>
      </c>
      <c r="AN107" s="373" t="s">
        <v>2255</v>
      </c>
      <c r="AO107" s="374" t="s">
        <v>2256</v>
      </c>
      <c r="AP107" s="374" t="s">
        <v>2257</v>
      </c>
      <c r="AQ107" s="373" t="s">
        <v>2258</v>
      </c>
      <c r="AR107" s="374" t="s">
        <v>2259</v>
      </c>
      <c r="AS107" s="374" t="s">
        <v>2260</v>
      </c>
      <c r="AT107" s="372">
        <v>1964</v>
      </c>
    </row>
    <row r="108" spans="1:48" ht="9.9" customHeight="1">
      <c r="A108" s="376" t="s">
        <v>1373</v>
      </c>
      <c r="B108" s="376" t="s">
        <v>1373</v>
      </c>
      <c r="C108" s="646" t="s">
        <v>2129</v>
      </c>
      <c r="D108" s="374" t="s">
        <v>2206</v>
      </c>
      <c r="E108" s="374" t="s">
        <v>92</v>
      </c>
      <c r="F108" s="374" t="s">
        <v>2261</v>
      </c>
      <c r="G108" s="759" t="s">
        <v>2194</v>
      </c>
      <c r="H108" s="374" t="s">
        <v>2195</v>
      </c>
      <c r="I108" s="766" t="s">
        <v>2196</v>
      </c>
      <c r="J108" s="374" t="s">
        <v>2197</v>
      </c>
      <c r="K108" s="377" t="s">
        <v>2198</v>
      </c>
      <c r="L108" s="1029"/>
      <c r="AE108" s="372">
        <v>1965</v>
      </c>
      <c r="AF108" s="373" t="s">
        <v>92</v>
      </c>
      <c r="AG108" s="373"/>
      <c r="AH108" s="373"/>
      <c r="AI108" s="373" t="s">
        <v>92</v>
      </c>
      <c r="AJ108" s="373" t="s">
        <v>2262</v>
      </c>
      <c r="AK108" s="373"/>
      <c r="AL108" s="373" t="s">
        <v>2225</v>
      </c>
      <c r="AM108" s="373" t="s">
        <v>1736</v>
      </c>
      <c r="AN108" s="373" t="s">
        <v>2263</v>
      </c>
      <c r="AO108" s="374" t="s">
        <v>2264</v>
      </c>
      <c r="AP108" s="374" t="s">
        <v>2257</v>
      </c>
      <c r="AQ108" s="373" t="s">
        <v>2265</v>
      </c>
      <c r="AR108" s="374" t="s">
        <v>2266</v>
      </c>
      <c r="AS108" s="374" t="s">
        <v>2267</v>
      </c>
      <c r="AT108" s="372">
        <v>1965</v>
      </c>
    </row>
    <row r="109" spans="1:48" ht="9.9" customHeight="1">
      <c r="A109" s="376" t="s">
        <v>2268</v>
      </c>
      <c r="B109" s="376" t="s">
        <v>2268</v>
      </c>
      <c r="C109" s="646" t="s">
        <v>2129</v>
      </c>
      <c r="D109" s="374" t="s">
        <v>2206</v>
      </c>
      <c r="E109" s="374" t="s">
        <v>92</v>
      </c>
      <c r="F109" s="374" t="s">
        <v>2269</v>
      </c>
      <c r="G109" s="759" t="s">
        <v>2194</v>
      </c>
      <c r="H109" s="374" t="s">
        <v>2195</v>
      </c>
      <c r="I109" s="766" t="s">
        <v>2196</v>
      </c>
      <c r="J109" s="374" t="s">
        <v>2197</v>
      </c>
      <c r="K109" s="377" t="s">
        <v>2198</v>
      </c>
      <c r="L109" s="1029"/>
      <c r="AE109" s="372">
        <v>1966</v>
      </c>
      <c r="AF109" s="373" t="s">
        <v>92</v>
      </c>
      <c r="AG109" s="373"/>
      <c r="AH109" s="373"/>
      <c r="AI109" s="373" t="s">
        <v>2270</v>
      </c>
      <c r="AJ109" s="373" t="s">
        <v>2271</v>
      </c>
      <c r="AK109" s="373"/>
      <c r="AL109" s="373" t="s">
        <v>2225</v>
      </c>
      <c r="AM109" s="373" t="s">
        <v>1746</v>
      </c>
      <c r="AN109" s="373" t="s">
        <v>2272</v>
      </c>
      <c r="AO109" s="374" t="s">
        <v>2273</v>
      </c>
      <c r="AP109" s="374" t="s">
        <v>2257</v>
      </c>
      <c r="AQ109" s="373" t="s">
        <v>2274</v>
      </c>
      <c r="AR109" s="374" t="s">
        <v>2275</v>
      </c>
      <c r="AS109" s="374" t="s">
        <v>2276</v>
      </c>
      <c r="AT109" s="372">
        <v>1966</v>
      </c>
    </row>
    <row r="110" spans="1:48" ht="9.9" customHeight="1">
      <c r="A110" s="376" t="s">
        <v>2277</v>
      </c>
      <c r="B110" s="376" t="s">
        <v>2277</v>
      </c>
      <c r="C110" s="646" t="s">
        <v>2129</v>
      </c>
      <c r="D110" s="374" t="s">
        <v>2206</v>
      </c>
      <c r="E110" s="374" t="s">
        <v>92</v>
      </c>
      <c r="F110" s="374" t="s">
        <v>2278</v>
      </c>
      <c r="G110" s="759" t="s">
        <v>2194</v>
      </c>
      <c r="H110" s="374" t="s">
        <v>2195</v>
      </c>
      <c r="I110" s="766" t="s">
        <v>2196</v>
      </c>
      <c r="J110" s="374" t="s">
        <v>2197</v>
      </c>
      <c r="K110" s="377" t="s">
        <v>2198</v>
      </c>
      <c r="L110" s="1029"/>
      <c r="AE110" s="372">
        <v>1967</v>
      </c>
      <c r="AF110" s="373" t="s">
        <v>92</v>
      </c>
      <c r="AG110" s="373"/>
      <c r="AH110" s="373"/>
      <c r="AI110" s="373" t="s">
        <v>92</v>
      </c>
      <c r="AJ110" s="373"/>
      <c r="AK110" s="373"/>
      <c r="AL110" s="373" t="s">
        <v>2225</v>
      </c>
      <c r="AM110" s="373" t="s">
        <v>1753</v>
      </c>
      <c r="AN110" s="373" t="s">
        <v>2279</v>
      </c>
      <c r="AO110" s="374" t="s">
        <v>2280</v>
      </c>
      <c r="AP110" s="374" t="s">
        <v>2257</v>
      </c>
      <c r="AQ110" s="373" t="s">
        <v>2281</v>
      </c>
      <c r="AR110" s="374" t="s">
        <v>2282</v>
      </c>
      <c r="AS110" s="374" t="s">
        <v>2283</v>
      </c>
      <c r="AT110" s="372">
        <v>1967</v>
      </c>
    </row>
    <row r="111" spans="1:48" ht="9.9" customHeight="1">
      <c r="A111" s="376" t="s">
        <v>2284</v>
      </c>
      <c r="B111" s="376" t="s">
        <v>2284</v>
      </c>
      <c r="C111" s="646" t="s">
        <v>2129</v>
      </c>
      <c r="D111" s="374" t="s">
        <v>2206</v>
      </c>
      <c r="E111" s="374" t="s">
        <v>92</v>
      </c>
      <c r="F111" s="374" t="s">
        <v>2285</v>
      </c>
      <c r="G111" s="759" t="s">
        <v>2194</v>
      </c>
      <c r="H111" s="374" t="s">
        <v>2195</v>
      </c>
      <c r="I111" s="766" t="s">
        <v>2196</v>
      </c>
      <c r="J111" s="374" t="s">
        <v>2197</v>
      </c>
      <c r="K111" s="377" t="s">
        <v>2198</v>
      </c>
      <c r="L111" s="1029"/>
      <c r="AE111" s="372">
        <v>1968</v>
      </c>
      <c r="AF111" s="373" t="s">
        <v>2286</v>
      </c>
      <c r="AG111" s="373"/>
      <c r="AH111" s="373"/>
      <c r="AI111" s="373" t="s">
        <v>92</v>
      </c>
      <c r="AJ111" s="373"/>
      <c r="AK111" s="373"/>
      <c r="AL111" s="373" t="s">
        <v>2225</v>
      </c>
      <c r="AM111" s="373" t="s">
        <v>1761</v>
      </c>
      <c r="AN111" s="373" t="s">
        <v>2287</v>
      </c>
      <c r="AO111" s="374" t="s">
        <v>2288</v>
      </c>
      <c r="AP111" s="374" t="s">
        <v>2257</v>
      </c>
      <c r="AQ111" s="373" t="s">
        <v>2289</v>
      </c>
      <c r="AR111" s="374" t="s">
        <v>2290</v>
      </c>
      <c r="AS111" s="374" t="s">
        <v>2291</v>
      </c>
      <c r="AT111" s="372">
        <v>1968</v>
      </c>
      <c r="AV111" s="761"/>
    </row>
    <row r="112" spans="1:48" ht="9.9" customHeight="1">
      <c r="A112" s="376" t="s">
        <v>1379</v>
      </c>
      <c r="B112" s="376" t="s">
        <v>1379</v>
      </c>
      <c r="C112" s="646" t="s">
        <v>2129</v>
      </c>
      <c r="D112" s="374" t="s">
        <v>2206</v>
      </c>
      <c r="E112" s="374" t="s">
        <v>92</v>
      </c>
      <c r="F112" s="374" t="s">
        <v>2292</v>
      </c>
      <c r="G112" s="759" t="s">
        <v>2194</v>
      </c>
      <c r="H112" s="374" t="s">
        <v>2195</v>
      </c>
      <c r="I112" s="766" t="s">
        <v>2196</v>
      </c>
      <c r="J112" s="374" t="s">
        <v>2197</v>
      </c>
      <c r="K112" s="377" t="s">
        <v>2198</v>
      </c>
      <c r="L112" s="1029"/>
      <c r="M112" s="768"/>
      <c r="N112" s="1578" t="s">
        <v>2293</v>
      </c>
      <c r="O112" s="1088"/>
      <c r="P112" s="1088"/>
      <c r="Q112" s="1088"/>
      <c r="R112" s="1089"/>
      <c r="S112" s="769"/>
      <c r="T112" s="1578" t="s">
        <v>2294</v>
      </c>
      <c r="U112" s="1088"/>
      <c r="V112" s="1088"/>
      <c r="W112" s="1088"/>
      <c r="X112" s="1089"/>
      <c r="AE112" s="372">
        <v>1969</v>
      </c>
      <c r="AF112" s="373" t="s">
        <v>2295</v>
      </c>
      <c r="AG112" s="373" t="s">
        <v>2296</v>
      </c>
      <c r="AH112" s="373"/>
      <c r="AI112" s="373" t="s">
        <v>92</v>
      </c>
      <c r="AJ112" s="373"/>
      <c r="AK112" s="373"/>
      <c r="AL112" s="373" t="s">
        <v>2225</v>
      </c>
      <c r="AM112" s="373" t="s">
        <v>1770</v>
      </c>
      <c r="AN112" s="373" t="s">
        <v>2297</v>
      </c>
      <c r="AO112" s="374" t="s">
        <v>2298</v>
      </c>
      <c r="AP112" s="374" t="s">
        <v>2299</v>
      </c>
      <c r="AQ112" s="373" t="s">
        <v>2300</v>
      </c>
      <c r="AR112" s="374" t="s">
        <v>2301</v>
      </c>
      <c r="AS112" s="374" t="s">
        <v>2302</v>
      </c>
      <c r="AT112" s="372">
        <v>1969</v>
      </c>
      <c r="AV112" s="761"/>
    </row>
    <row r="113" spans="1:48" ht="9.9" customHeight="1">
      <c r="A113" s="376" t="s">
        <v>2303</v>
      </c>
      <c r="B113" s="376" t="s">
        <v>2303</v>
      </c>
      <c r="C113" s="646" t="s">
        <v>2129</v>
      </c>
      <c r="D113" s="374" t="s">
        <v>2206</v>
      </c>
      <c r="E113" s="374" t="s">
        <v>92</v>
      </c>
      <c r="F113" s="374" t="s">
        <v>2304</v>
      </c>
      <c r="G113" s="759" t="s">
        <v>2194</v>
      </c>
      <c r="H113" s="374" t="s">
        <v>2195</v>
      </c>
      <c r="I113" s="766" t="s">
        <v>2196</v>
      </c>
      <c r="J113" s="374" t="s">
        <v>2197</v>
      </c>
      <c r="K113" s="377" t="s">
        <v>2198</v>
      </c>
      <c r="L113" s="1029"/>
      <c r="M113" s="770">
        <v>0</v>
      </c>
      <c r="N113" s="1553" t="s">
        <v>2305</v>
      </c>
      <c r="O113" s="1029"/>
      <c r="P113" s="1029"/>
      <c r="Q113" s="1029"/>
      <c r="R113" s="1015"/>
      <c r="S113" s="771">
        <v>0</v>
      </c>
      <c r="T113" s="1553" t="s">
        <v>2306</v>
      </c>
      <c r="U113" s="1029"/>
      <c r="V113" s="1029"/>
      <c r="W113" s="1029"/>
      <c r="X113" s="1015"/>
      <c r="AE113" s="372">
        <v>1970</v>
      </c>
      <c r="AF113" s="373" t="s">
        <v>92</v>
      </c>
      <c r="AG113" s="373"/>
      <c r="AH113" s="373"/>
      <c r="AI113" s="373" t="s">
        <v>2307</v>
      </c>
      <c r="AJ113" s="373"/>
      <c r="AK113" s="373"/>
      <c r="AL113" s="373" t="s">
        <v>2308</v>
      </c>
      <c r="AM113" s="373" t="s">
        <v>1779</v>
      </c>
      <c r="AN113" s="373" t="s">
        <v>2309</v>
      </c>
      <c r="AO113" s="374" t="s">
        <v>2310</v>
      </c>
      <c r="AP113" s="374" t="s">
        <v>2311</v>
      </c>
      <c r="AQ113" s="373" t="s">
        <v>2312</v>
      </c>
      <c r="AR113" s="374" t="s">
        <v>2313</v>
      </c>
      <c r="AS113" s="374" t="s">
        <v>2314</v>
      </c>
      <c r="AT113" s="372">
        <v>1970</v>
      </c>
      <c r="AV113" s="758"/>
    </row>
    <row r="114" spans="1:48" ht="9.9" customHeight="1">
      <c r="A114" s="376" t="s">
        <v>2315</v>
      </c>
      <c r="B114" s="376" t="s">
        <v>2315</v>
      </c>
      <c r="C114" s="646" t="s">
        <v>2129</v>
      </c>
      <c r="D114" s="374" t="s">
        <v>2206</v>
      </c>
      <c r="E114" s="374" t="s">
        <v>92</v>
      </c>
      <c r="F114" s="374" t="s">
        <v>2316</v>
      </c>
      <c r="G114" s="759" t="s">
        <v>2194</v>
      </c>
      <c r="H114" s="374" t="s">
        <v>2195</v>
      </c>
      <c r="I114" s="766" t="s">
        <v>2196</v>
      </c>
      <c r="J114" s="374" t="s">
        <v>2197</v>
      </c>
      <c r="K114" s="377" t="s">
        <v>2198</v>
      </c>
      <c r="L114" s="1029"/>
      <c r="M114" s="770">
        <v>1</v>
      </c>
      <c r="N114" s="1553" t="s">
        <v>2317</v>
      </c>
      <c r="O114" s="1029"/>
      <c r="P114" s="1029"/>
      <c r="Q114" s="1029"/>
      <c r="R114" s="1015"/>
      <c r="S114" s="771">
        <v>1</v>
      </c>
      <c r="T114" s="1553" t="s">
        <v>2318</v>
      </c>
      <c r="U114" s="1029"/>
      <c r="V114" s="1029"/>
      <c r="W114" s="1029"/>
      <c r="X114" s="1015"/>
      <c r="AE114" s="372">
        <v>1971</v>
      </c>
      <c r="AF114" s="373" t="s">
        <v>92</v>
      </c>
      <c r="AG114" s="373"/>
      <c r="AH114" s="373"/>
      <c r="AI114" s="373" t="s">
        <v>2319</v>
      </c>
      <c r="AJ114" s="373"/>
      <c r="AK114" s="373"/>
      <c r="AL114" s="373" t="s">
        <v>2308</v>
      </c>
      <c r="AM114" s="373" t="s">
        <v>1789</v>
      </c>
      <c r="AN114" s="373" t="s">
        <v>2320</v>
      </c>
      <c r="AO114" s="374" t="s">
        <v>2321</v>
      </c>
      <c r="AP114" s="374" t="s">
        <v>2311</v>
      </c>
      <c r="AQ114" s="373" t="s">
        <v>2322</v>
      </c>
      <c r="AR114" s="374" t="s">
        <v>2323</v>
      </c>
      <c r="AS114" s="374" t="s">
        <v>2324</v>
      </c>
      <c r="AT114" s="372">
        <v>1971</v>
      </c>
      <c r="AV114" s="758"/>
    </row>
    <row r="115" spans="1:48" ht="9.9" customHeight="1">
      <c r="A115" s="376" t="s">
        <v>1372</v>
      </c>
      <c r="B115" s="376" t="s">
        <v>1372</v>
      </c>
      <c r="C115" s="646" t="s">
        <v>2129</v>
      </c>
      <c r="D115" s="374" t="s">
        <v>2206</v>
      </c>
      <c r="E115" s="374" t="s">
        <v>92</v>
      </c>
      <c r="F115" s="374" t="s">
        <v>2325</v>
      </c>
      <c r="G115" s="759" t="s">
        <v>2194</v>
      </c>
      <c r="H115" s="374" t="s">
        <v>2195</v>
      </c>
      <c r="I115" s="766" t="s">
        <v>2196</v>
      </c>
      <c r="J115" s="374" t="s">
        <v>2197</v>
      </c>
      <c r="K115" s="377" t="s">
        <v>2198</v>
      </c>
      <c r="L115" s="1029"/>
      <c r="M115" s="770">
        <v>2</v>
      </c>
      <c r="N115" s="1553" t="s">
        <v>2326</v>
      </c>
      <c r="O115" s="1029"/>
      <c r="P115" s="1029"/>
      <c r="Q115" s="1029"/>
      <c r="R115" s="1015"/>
      <c r="S115" s="771">
        <v>2</v>
      </c>
      <c r="T115" s="1553" t="s">
        <v>2327</v>
      </c>
      <c r="U115" s="1029"/>
      <c r="V115" s="1029"/>
      <c r="W115" s="1029"/>
      <c r="X115" s="1015"/>
      <c r="AE115" s="372">
        <v>1972</v>
      </c>
      <c r="AF115" s="373" t="s">
        <v>2328</v>
      </c>
      <c r="AG115" s="373"/>
      <c r="AH115" s="373"/>
      <c r="AI115" s="373" t="s">
        <v>2329</v>
      </c>
      <c r="AJ115" s="373"/>
      <c r="AK115" s="373"/>
      <c r="AL115" s="373" t="s">
        <v>2308</v>
      </c>
      <c r="AM115" s="373" t="s">
        <v>1802</v>
      </c>
      <c r="AN115" s="373" t="s">
        <v>2330</v>
      </c>
      <c r="AO115" s="374" t="s">
        <v>2331</v>
      </c>
      <c r="AP115" s="374" t="s">
        <v>2311</v>
      </c>
      <c r="AQ115" s="373" t="s">
        <v>2332</v>
      </c>
      <c r="AR115" s="374" t="s">
        <v>2333</v>
      </c>
      <c r="AS115" s="374" t="s">
        <v>2334</v>
      </c>
      <c r="AT115" s="372">
        <v>1972</v>
      </c>
      <c r="AV115" s="758"/>
    </row>
    <row r="116" spans="1:48" ht="9.9" customHeight="1">
      <c r="A116" s="376" t="s">
        <v>2335</v>
      </c>
      <c r="B116" s="376" t="s">
        <v>2335</v>
      </c>
      <c r="C116" s="646" t="s">
        <v>2129</v>
      </c>
      <c r="D116" s="374" t="s">
        <v>2206</v>
      </c>
      <c r="E116" s="374" t="s">
        <v>92</v>
      </c>
      <c r="F116" s="374" t="s">
        <v>2336</v>
      </c>
      <c r="G116" s="759" t="s">
        <v>2194</v>
      </c>
      <c r="H116" s="374" t="s">
        <v>2195</v>
      </c>
      <c r="I116" s="766" t="s">
        <v>2196</v>
      </c>
      <c r="J116" s="374" t="s">
        <v>2197</v>
      </c>
      <c r="K116" s="377" t="s">
        <v>2198</v>
      </c>
      <c r="L116" s="1029"/>
      <c r="M116" s="770">
        <v>3</v>
      </c>
      <c r="N116" s="1553" t="s">
        <v>2337</v>
      </c>
      <c r="O116" s="1029"/>
      <c r="P116" s="1029"/>
      <c r="Q116" s="1029"/>
      <c r="R116" s="1015"/>
      <c r="S116" s="771">
        <v>3</v>
      </c>
      <c r="T116" s="1553" t="s">
        <v>2338</v>
      </c>
      <c r="U116" s="1029"/>
      <c r="V116" s="1029"/>
      <c r="W116" s="1029"/>
      <c r="X116" s="1015"/>
      <c r="AE116" s="372">
        <v>1973</v>
      </c>
      <c r="AF116" s="373" t="s">
        <v>92</v>
      </c>
      <c r="AG116" s="373"/>
      <c r="AH116" s="373"/>
      <c r="AI116" s="373" t="s">
        <v>2339</v>
      </c>
      <c r="AJ116" s="373"/>
      <c r="AK116" s="373"/>
      <c r="AL116" s="373" t="s">
        <v>2308</v>
      </c>
      <c r="AM116" s="373" t="s">
        <v>1811</v>
      </c>
      <c r="AN116" s="373" t="s">
        <v>2340</v>
      </c>
      <c r="AO116" s="374" t="s">
        <v>2341</v>
      </c>
      <c r="AP116" s="374" t="s">
        <v>2311</v>
      </c>
      <c r="AQ116" s="373" t="s">
        <v>2342</v>
      </c>
      <c r="AR116" s="374" t="s">
        <v>2343</v>
      </c>
      <c r="AS116" s="374" t="s">
        <v>2344</v>
      </c>
      <c r="AT116" s="372">
        <v>1973</v>
      </c>
      <c r="AV116" s="758"/>
    </row>
    <row r="117" spans="1:48" ht="9.9" customHeight="1">
      <c r="A117" s="376" t="s">
        <v>2345</v>
      </c>
      <c r="B117" s="376" t="s">
        <v>2345</v>
      </c>
      <c r="C117" s="646" t="s">
        <v>2129</v>
      </c>
      <c r="D117" s="374" t="s">
        <v>2206</v>
      </c>
      <c r="E117" s="374" t="s">
        <v>92</v>
      </c>
      <c r="F117" s="374" t="s">
        <v>2346</v>
      </c>
      <c r="G117" s="759" t="s">
        <v>2194</v>
      </c>
      <c r="H117" s="374" t="s">
        <v>2195</v>
      </c>
      <c r="I117" s="766" t="s">
        <v>2196</v>
      </c>
      <c r="J117" s="374" t="s">
        <v>2197</v>
      </c>
      <c r="K117" s="377" t="s">
        <v>2198</v>
      </c>
      <c r="L117" s="1029"/>
      <c r="M117" s="770">
        <v>4</v>
      </c>
      <c r="N117" s="1553" t="s">
        <v>2347</v>
      </c>
      <c r="O117" s="1029"/>
      <c r="P117" s="1029"/>
      <c r="Q117" s="1029"/>
      <c r="R117" s="1015"/>
      <c r="S117" s="771">
        <v>4</v>
      </c>
      <c r="T117" s="1553" t="s">
        <v>2348</v>
      </c>
      <c r="U117" s="1029"/>
      <c r="V117" s="1029"/>
      <c r="W117" s="1029"/>
      <c r="X117" s="1015"/>
      <c r="AE117" s="372">
        <v>1974</v>
      </c>
      <c r="AF117" s="373" t="s">
        <v>92</v>
      </c>
      <c r="AG117" s="373"/>
      <c r="AH117" s="373"/>
      <c r="AI117" s="373" t="s">
        <v>92</v>
      </c>
      <c r="AJ117" s="373"/>
      <c r="AK117" s="373"/>
      <c r="AL117" s="373" t="s">
        <v>2308</v>
      </c>
      <c r="AM117" s="373" t="s">
        <v>1817</v>
      </c>
      <c r="AN117" s="373" t="s">
        <v>2349</v>
      </c>
      <c r="AO117" s="374" t="s">
        <v>2350</v>
      </c>
      <c r="AP117" s="374" t="s">
        <v>2351</v>
      </c>
      <c r="AQ117" s="373" t="s">
        <v>2342</v>
      </c>
      <c r="AR117" s="374" t="s">
        <v>2343</v>
      </c>
      <c r="AT117" s="372">
        <v>1974</v>
      </c>
    </row>
    <row r="118" spans="1:48" ht="9.9" customHeight="1">
      <c r="A118" s="376" t="s">
        <v>1384</v>
      </c>
      <c r="B118" s="376" t="s">
        <v>1384</v>
      </c>
      <c r="C118" s="646" t="s">
        <v>2129</v>
      </c>
      <c r="D118" s="374" t="s">
        <v>2206</v>
      </c>
      <c r="E118" s="374" t="s">
        <v>92</v>
      </c>
      <c r="F118" s="374" t="s">
        <v>2352</v>
      </c>
      <c r="G118" s="759" t="s">
        <v>2194</v>
      </c>
      <c r="H118" s="374" t="s">
        <v>2195</v>
      </c>
      <c r="I118" s="766" t="s">
        <v>2196</v>
      </c>
      <c r="J118" s="374" t="s">
        <v>2197</v>
      </c>
      <c r="K118" s="377" t="s">
        <v>2198</v>
      </c>
      <c r="L118" s="1029"/>
      <c r="M118" s="770">
        <v>5</v>
      </c>
      <c r="N118" s="1553" t="s">
        <v>2353</v>
      </c>
      <c r="O118" s="1029"/>
      <c r="P118" s="1029"/>
      <c r="Q118" s="1029"/>
      <c r="R118" s="1015"/>
      <c r="S118" s="771">
        <v>5</v>
      </c>
      <c r="T118" s="1553" t="s">
        <v>2354</v>
      </c>
      <c r="U118" s="1029"/>
      <c r="V118" s="1029"/>
      <c r="W118" s="1029"/>
      <c r="X118" s="1015"/>
      <c r="AE118" s="372">
        <v>1975</v>
      </c>
      <c r="AF118" s="373" t="s">
        <v>2355</v>
      </c>
      <c r="AG118" s="373"/>
      <c r="AH118" s="373"/>
      <c r="AI118" s="373" t="s">
        <v>2356</v>
      </c>
      <c r="AJ118" s="373"/>
      <c r="AK118" s="373"/>
      <c r="AL118" s="373" t="s">
        <v>2308</v>
      </c>
      <c r="AM118" s="373" t="s">
        <v>1822</v>
      </c>
      <c r="AN118" s="373" t="s">
        <v>2357</v>
      </c>
      <c r="AO118" s="374" t="s">
        <v>2358</v>
      </c>
      <c r="AP118" s="374" t="s">
        <v>2359</v>
      </c>
      <c r="AQ118" s="373" t="s">
        <v>2360</v>
      </c>
      <c r="AR118" s="374" t="s">
        <v>2361</v>
      </c>
      <c r="AS118" s="374" t="s">
        <v>2362</v>
      </c>
      <c r="AT118" s="372">
        <v>1975</v>
      </c>
    </row>
    <row r="119" spans="1:48" ht="9.9" customHeight="1">
      <c r="A119" s="376" t="s">
        <v>2363</v>
      </c>
      <c r="B119" s="376" t="s">
        <v>2363</v>
      </c>
      <c r="C119" s="646" t="s">
        <v>2129</v>
      </c>
      <c r="D119" s="374" t="s">
        <v>2206</v>
      </c>
      <c r="E119" s="374" t="s">
        <v>92</v>
      </c>
      <c r="F119" s="374" t="s">
        <v>2364</v>
      </c>
      <c r="G119" s="759" t="s">
        <v>2194</v>
      </c>
      <c r="H119" s="374" t="s">
        <v>2195</v>
      </c>
      <c r="I119" s="766" t="s">
        <v>2196</v>
      </c>
      <c r="J119" s="374" t="s">
        <v>2197</v>
      </c>
      <c r="K119" s="377" t="s">
        <v>2198</v>
      </c>
      <c r="L119" s="1029"/>
      <c r="M119" s="770">
        <v>6</v>
      </c>
      <c r="N119" s="1553" t="s">
        <v>2365</v>
      </c>
      <c r="O119" s="1029"/>
      <c r="P119" s="1029"/>
      <c r="Q119" s="1029"/>
      <c r="R119" s="1015"/>
      <c r="S119" s="771">
        <v>6</v>
      </c>
      <c r="T119" s="1553" t="s">
        <v>2366</v>
      </c>
      <c r="U119" s="1029"/>
      <c r="V119" s="1029"/>
      <c r="W119" s="1029"/>
      <c r="X119" s="1015"/>
      <c r="AE119" s="372">
        <v>1976</v>
      </c>
      <c r="AF119" s="373" t="s">
        <v>2367</v>
      </c>
      <c r="AG119" s="373"/>
      <c r="AH119" s="373"/>
      <c r="AI119" s="373" t="s">
        <v>2368</v>
      </c>
      <c r="AJ119" s="373" t="s">
        <v>2369</v>
      </c>
      <c r="AK119" s="373" t="s">
        <v>2370</v>
      </c>
      <c r="AL119" s="373" t="s">
        <v>2308</v>
      </c>
      <c r="AM119" s="373" t="s">
        <v>1829</v>
      </c>
      <c r="AN119" s="373" t="s">
        <v>2371</v>
      </c>
      <c r="AO119" s="374" t="s">
        <v>2372</v>
      </c>
      <c r="AP119" s="374" t="s">
        <v>2359</v>
      </c>
      <c r="AQ119" s="373" t="s">
        <v>2373</v>
      </c>
      <c r="AR119" s="374" t="s">
        <v>2374</v>
      </c>
      <c r="AS119" s="374" t="s">
        <v>2375</v>
      </c>
      <c r="AT119" s="372">
        <v>1976</v>
      </c>
    </row>
    <row r="120" spans="1:48" ht="9.9" customHeight="1">
      <c r="A120" s="376" t="s">
        <v>2376</v>
      </c>
      <c r="B120" s="376" t="s">
        <v>2376</v>
      </c>
      <c r="C120" s="646" t="s">
        <v>2129</v>
      </c>
      <c r="D120" s="374" t="s">
        <v>2206</v>
      </c>
      <c r="E120" s="374" t="s">
        <v>92</v>
      </c>
      <c r="F120" s="374" t="s">
        <v>2377</v>
      </c>
      <c r="G120" s="759" t="s">
        <v>2194</v>
      </c>
      <c r="H120" s="374" t="s">
        <v>2195</v>
      </c>
      <c r="I120" s="766" t="s">
        <v>2196</v>
      </c>
      <c r="J120" s="374" t="s">
        <v>2197</v>
      </c>
      <c r="K120" s="377" t="s">
        <v>2198</v>
      </c>
      <c r="L120" s="1029"/>
      <c r="M120" s="770">
        <v>7</v>
      </c>
      <c r="N120" s="1553" t="s">
        <v>2378</v>
      </c>
      <c r="O120" s="1029"/>
      <c r="P120" s="1029"/>
      <c r="Q120" s="1029"/>
      <c r="R120" s="1015"/>
      <c r="S120" s="771">
        <v>7</v>
      </c>
      <c r="T120" s="1553" t="s">
        <v>2379</v>
      </c>
      <c r="U120" s="1029"/>
      <c r="V120" s="1029"/>
      <c r="W120" s="1029"/>
      <c r="X120" s="1015"/>
      <c r="AE120" s="372">
        <v>1977</v>
      </c>
      <c r="AF120" s="373" t="s">
        <v>92</v>
      </c>
      <c r="AG120" s="373"/>
      <c r="AH120" s="373"/>
      <c r="AI120" s="373" t="s">
        <v>92</v>
      </c>
      <c r="AJ120" s="373"/>
      <c r="AK120" s="373"/>
      <c r="AL120" s="373" t="s">
        <v>2308</v>
      </c>
      <c r="AM120" s="373" t="s">
        <v>1838</v>
      </c>
      <c r="AN120" s="373" t="s">
        <v>2380</v>
      </c>
      <c r="AO120" s="374" t="s">
        <v>2381</v>
      </c>
      <c r="AP120" s="374" t="s">
        <v>2382</v>
      </c>
      <c r="AQ120" s="373" t="s">
        <v>2383</v>
      </c>
      <c r="AR120" s="374" t="s">
        <v>2384</v>
      </c>
      <c r="AS120" s="374" t="s">
        <v>2385</v>
      </c>
      <c r="AT120" s="372">
        <v>1977</v>
      </c>
    </row>
    <row r="121" spans="1:48" ht="9.9" customHeight="1">
      <c r="A121" s="376" t="s">
        <v>1366</v>
      </c>
      <c r="B121" s="376" t="s">
        <v>1366</v>
      </c>
      <c r="C121" s="646" t="s">
        <v>2129</v>
      </c>
      <c r="D121" s="374" t="s">
        <v>2206</v>
      </c>
      <c r="E121" s="374" t="s">
        <v>92</v>
      </c>
      <c r="F121" s="374" t="s">
        <v>2386</v>
      </c>
      <c r="G121" s="759" t="s">
        <v>2194</v>
      </c>
      <c r="H121" s="374" t="s">
        <v>2195</v>
      </c>
      <c r="I121" s="766" t="s">
        <v>2196</v>
      </c>
      <c r="J121" s="374" t="s">
        <v>2197</v>
      </c>
      <c r="K121" s="377" t="s">
        <v>2198</v>
      </c>
      <c r="L121" s="1029"/>
      <c r="M121" s="770">
        <v>8</v>
      </c>
      <c r="N121" s="1553" t="s">
        <v>2387</v>
      </c>
      <c r="O121" s="1029"/>
      <c r="P121" s="1029"/>
      <c r="Q121" s="1029"/>
      <c r="R121" s="1015"/>
      <c r="S121" s="771">
        <v>8</v>
      </c>
      <c r="T121" s="1553" t="s">
        <v>2388</v>
      </c>
      <c r="U121" s="1029"/>
      <c r="V121" s="1029"/>
      <c r="W121" s="1029"/>
      <c r="X121" s="1015"/>
      <c r="AE121" s="372">
        <v>1978</v>
      </c>
      <c r="AF121" s="373" t="s">
        <v>92</v>
      </c>
      <c r="AG121" s="373"/>
      <c r="AH121" s="373"/>
      <c r="AI121" s="373" t="s">
        <v>92</v>
      </c>
      <c r="AJ121" s="373"/>
      <c r="AK121" s="373"/>
      <c r="AL121" s="373" t="s">
        <v>2308</v>
      </c>
      <c r="AM121" s="373" t="s">
        <v>1844</v>
      </c>
      <c r="AN121" s="373" t="s">
        <v>2389</v>
      </c>
      <c r="AO121" s="374" t="s">
        <v>2390</v>
      </c>
      <c r="AP121" s="374" t="s">
        <v>2391</v>
      </c>
      <c r="AQ121" s="373" t="s">
        <v>2392</v>
      </c>
      <c r="AR121" s="374" t="s">
        <v>2393</v>
      </c>
      <c r="AS121" s="374" t="s">
        <v>2394</v>
      </c>
      <c r="AT121" s="372">
        <v>1978</v>
      </c>
    </row>
    <row r="122" spans="1:48" ht="9.9" customHeight="1">
      <c r="A122" s="376" t="s">
        <v>2395</v>
      </c>
      <c r="B122" s="376" t="s">
        <v>2395</v>
      </c>
      <c r="C122" s="646" t="s">
        <v>2129</v>
      </c>
      <c r="D122" s="374" t="s">
        <v>2206</v>
      </c>
      <c r="E122" s="374" t="s">
        <v>92</v>
      </c>
      <c r="F122" s="374" t="s">
        <v>2396</v>
      </c>
      <c r="G122" s="759" t="s">
        <v>2194</v>
      </c>
      <c r="H122" s="374" t="s">
        <v>2195</v>
      </c>
      <c r="I122" s="766" t="s">
        <v>2196</v>
      </c>
      <c r="J122" s="374" t="s">
        <v>2197</v>
      </c>
      <c r="K122" s="377" t="s">
        <v>2198</v>
      </c>
      <c r="L122" s="1029"/>
      <c r="M122" s="770">
        <v>9</v>
      </c>
      <c r="N122" s="1553" t="s">
        <v>2397</v>
      </c>
      <c r="O122" s="1029"/>
      <c r="P122" s="1029"/>
      <c r="Q122" s="1029"/>
      <c r="R122" s="1015"/>
      <c r="S122" s="771">
        <v>9</v>
      </c>
      <c r="T122" s="1553" t="s">
        <v>2398</v>
      </c>
      <c r="U122" s="1029"/>
      <c r="V122" s="1029"/>
      <c r="W122" s="1029"/>
      <c r="X122" s="1015"/>
      <c r="AE122" s="372">
        <v>1979</v>
      </c>
      <c r="AF122" s="373" t="s">
        <v>92</v>
      </c>
      <c r="AG122" s="373"/>
      <c r="AH122" s="373"/>
      <c r="AI122" s="373" t="s">
        <v>92</v>
      </c>
      <c r="AJ122" s="373"/>
      <c r="AK122" s="373"/>
      <c r="AL122" s="373" t="s">
        <v>2308</v>
      </c>
      <c r="AM122" s="373" t="s">
        <v>1852</v>
      </c>
      <c r="AN122" s="373" t="s">
        <v>2399</v>
      </c>
      <c r="AO122" s="374" t="s">
        <v>2400</v>
      </c>
      <c r="AP122" s="374" t="s">
        <v>2391</v>
      </c>
      <c r="AQ122" s="373" t="s">
        <v>2401</v>
      </c>
      <c r="AR122" s="374" t="s">
        <v>2402</v>
      </c>
      <c r="AS122" s="374" t="s">
        <v>2403</v>
      </c>
      <c r="AT122" s="372">
        <v>1979</v>
      </c>
    </row>
    <row r="123" spans="1:48" ht="9.9" customHeight="1">
      <c r="A123" s="376" t="s">
        <v>2404</v>
      </c>
      <c r="B123" s="376" t="s">
        <v>2404</v>
      </c>
      <c r="C123" s="646" t="s">
        <v>2129</v>
      </c>
      <c r="D123" s="374" t="s">
        <v>2206</v>
      </c>
      <c r="E123" s="374" t="s">
        <v>92</v>
      </c>
      <c r="F123" s="374" t="s">
        <v>2405</v>
      </c>
      <c r="G123" s="759" t="s">
        <v>2194</v>
      </c>
      <c r="H123" s="374" t="s">
        <v>2195</v>
      </c>
      <c r="I123" s="766" t="s">
        <v>2196</v>
      </c>
      <c r="J123" s="374" t="s">
        <v>2197</v>
      </c>
      <c r="K123" s="377" t="s">
        <v>2198</v>
      </c>
      <c r="L123" s="1029"/>
      <c r="M123" s="770">
        <v>10</v>
      </c>
      <c r="N123" s="1553" t="s">
        <v>2406</v>
      </c>
      <c r="O123" s="1029"/>
      <c r="P123" s="1029"/>
      <c r="Q123" s="1029"/>
      <c r="R123" s="1015"/>
      <c r="S123" s="771">
        <v>10</v>
      </c>
      <c r="T123" s="1553" t="s">
        <v>2407</v>
      </c>
      <c r="U123" s="1029"/>
      <c r="V123" s="1029"/>
      <c r="W123" s="1029"/>
      <c r="X123" s="1015"/>
      <c r="AE123" s="372">
        <v>1980</v>
      </c>
      <c r="AF123" s="373" t="s">
        <v>2408</v>
      </c>
      <c r="AG123" s="373"/>
      <c r="AH123" s="373"/>
      <c r="AI123" s="373" t="s">
        <v>92</v>
      </c>
      <c r="AJ123" s="373"/>
      <c r="AK123" s="373"/>
      <c r="AL123" s="373" t="s">
        <v>2409</v>
      </c>
      <c r="AM123" s="373" t="s">
        <v>1863</v>
      </c>
      <c r="AN123" s="373" t="s">
        <v>2410</v>
      </c>
      <c r="AO123" s="374" t="s">
        <v>2411</v>
      </c>
      <c r="AP123" s="374" t="s">
        <v>2391</v>
      </c>
      <c r="AQ123" s="373" t="s">
        <v>2412</v>
      </c>
      <c r="AR123" s="374" t="s">
        <v>2413</v>
      </c>
      <c r="AS123" s="374" t="s">
        <v>2414</v>
      </c>
      <c r="AT123" s="372">
        <v>1980</v>
      </c>
    </row>
    <row r="124" spans="1:48" ht="9.9" customHeight="1">
      <c r="A124" s="376" t="s">
        <v>1371</v>
      </c>
      <c r="B124" s="376" t="s">
        <v>1371</v>
      </c>
      <c r="C124" s="646" t="s">
        <v>2129</v>
      </c>
      <c r="D124" s="374" t="s">
        <v>2206</v>
      </c>
      <c r="E124" s="374" t="s">
        <v>92</v>
      </c>
      <c r="F124" s="374" t="s">
        <v>2415</v>
      </c>
      <c r="G124" s="759" t="s">
        <v>2194</v>
      </c>
      <c r="H124" s="374" t="s">
        <v>2195</v>
      </c>
      <c r="I124" s="766" t="s">
        <v>2196</v>
      </c>
      <c r="J124" s="374" t="s">
        <v>2197</v>
      </c>
      <c r="K124" s="377" t="s">
        <v>2198</v>
      </c>
      <c r="L124" s="1029"/>
      <c r="M124" s="770">
        <v>11</v>
      </c>
      <c r="N124" s="1553" t="s">
        <v>2416</v>
      </c>
      <c r="O124" s="1029"/>
      <c r="P124" s="1029"/>
      <c r="Q124" s="1029"/>
      <c r="R124" s="1015"/>
      <c r="S124" s="771">
        <v>11</v>
      </c>
      <c r="T124" s="1553" t="s">
        <v>2417</v>
      </c>
      <c r="U124" s="1029"/>
      <c r="V124" s="1029"/>
      <c r="W124" s="1029"/>
      <c r="X124" s="1015"/>
      <c r="AE124" s="372">
        <v>1981</v>
      </c>
      <c r="AF124" s="373" t="s">
        <v>92</v>
      </c>
      <c r="AG124" s="373"/>
      <c r="AH124" s="373"/>
      <c r="AI124" s="373" t="s">
        <v>2418</v>
      </c>
      <c r="AJ124" s="373"/>
      <c r="AK124" s="373"/>
      <c r="AL124" s="373" t="s">
        <v>2409</v>
      </c>
      <c r="AM124" s="373" t="s">
        <v>1871</v>
      </c>
      <c r="AN124" s="373" t="s">
        <v>2419</v>
      </c>
      <c r="AO124" s="374" t="s">
        <v>2420</v>
      </c>
      <c r="AP124" s="374" t="s">
        <v>2421</v>
      </c>
      <c r="AQ124" s="373" t="s">
        <v>2412</v>
      </c>
      <c r="AR124" s="374" t="s">
        <v>2413</v>
      </c>
      <c r="AT124" s="372">
        <v>1981</v>
      </c>
    </row>
    <row r="125" spans="1:48" ht="9.9" customHeight="1">
      <c r="A125" s="376" t="s">
        <v>2422</v>
      </c>
      <c r="B125" s="376" t="s">
        <v>2422</v>
      </c>
      <c r="C125" s="646" t="s">
        <v>2129</v>
      </c>
      <c r="D125" s="374" t="s">
        <v>2206</v>
      </c>
      <c r="E125" s="374" t="s">
        <v>92</v>
      </c>
      <c r="F125" s="373" t="s">
        <v>2423</v>
      </c>
      <c r="G125" s="759" t="s">
        <v>2194</v>
      </c>
      <c r="H125" s="374" t="s">
        <v>2195</v>
      </c>
      <c r="I125" s="766" t="s">
        <v>2196</v>
      </c>
      <c r="J125" s="374" t="s">
        <v>2197</v>
      </c>
      <c r="K125" s="377" t="s">
        <v>2198</v>
      </c>
      <c r="L125" s="1029"/>
      <c r="M125" s="770">
        <v>12</v>
      </c>
      <c r="N125" s="1553" t="s">
        <v>2424</v>
      </c>
      <c r="O125" s="1029"/>
      <c r="P125" s="1029"/>
      <c r="Q125" s="1029"/>
      <c r="R125" s="1015"/>
      <c r="S125" s="771">
        <v>12</v>
      </c>
      <c r="T125" s="1553" t="s">
        <v>2425</v>
      </c>
      <c r="U125" s="1029"/>
      <c r="V125" s="1029"/>
      <c r="W125" s="1029"/>
      <c r="X125" s="1015"/>
      <c r="AE125" s="372">
        <v>1982</v>
      </c>
      <c r="AF125" s="373" t="s">
        <v>92</v>
      </c>
      <c r="AG125" s="373"/>
      <c r="AH125" s="373"/>
      <c r="AI125" s="373" t="s">
        <v>92</v>
      </c>
      <c r="AJ125" s="373"/>
      <c r="AK125" s="373"/>
      <c r="AL125" s="373" t="s">
        <v>2409</v>
      </c>
      <c r="AM125" s="373" t="s">
        <v>1878</v>
      </c>
      <c r="AN125" s="373" t="s">
        <v>2426</v>
      </c>
      <c r="AO125" s="374" t="s">
        <v>2427</v>
      </c>
      <c r="AP125" s="374" t="s">
        <v>2428</v>
      </c>
      <c r="AQ125" s="373" t="s">
        <v>2412</v>
      </c>
      <c r="AR125" s="374" t="s">
        <v>2413</v>
      </c>
      <c r="AT125" s="372">
        <v>1982</v>
      </c>
    </row>
    <row r="126" spans="1:48" ht="9.9" customHeight="1">
      <c r="A126" s="376" t="s">
        <v>2429</v>
      </c>
      <c r="B126" s="376" t="s">
        <v>2429</v>
      </c>
      <c r="C126" s="646" t="s">
        <v>2129</v>
      </c>
      <c r="D126" s="374" t="s">
        <v>2206</v>
      </c>
      <c r="E126" s="374" t="s">
        <v>92</v>
      </c>
      <c r="F126" s="374" t="s">
        <v>2430</v>
      </c>
      <c r="G126" s="759" t="s">
        <v>2194</v>
      </c>
      <c r="H126" s="374" t="s">
        <v>2195</v>
      </c>
      <c r="I126" s="766" t="s">
        <v>2196</v>
      </c>
      <c r="J126" s="374" t="s">
        <v>2197</v>
      </c>
      <c r="K126" s="377" t="s">
        <v>2198</v>
      </c>
      <c r="L126" s="1029"/>
      <c r="M126" s="770">
        <v>13</v>
      </c>
      <c r="N126" s="1553" t="s">
        <v>2431</v>
      </c>
      <c r="O126" s="1029"/>
      <c r="P126" s="1029"/>
      <c r="Q126" s="1029"/>
      <c r="R126" s="1015"/>
      <c r="S126" s="771">
        <v>13</v>
      </c>
      <c r="T126" s="1553" t="s">
        <v>2432</v>
      </c>
      <c r="U126" s="1029"/>
      <c r="V126" s="1029"/>
      <c r="W126" s="1029"/>
      <c r="X126" s="1015"/>
      <c r="AE126" s="372">
        <v>1983</v>
      </c>
      <c r="AF126" s="373" t="s">
        <v>92</v>
      </c>
      <c r="AG126" s="373"/>
      <c r="AH126" s="373"/>
      <c r="AI126" s="373" t="s">
        <v>2433</v>
      </c>
      <c r="AJ126" s="373"/>
      <c r="AK126" s="373"/>
      <c r="AL126" s="373" t="s">
        <v>2409</v>
      </c>
      <c r="AM126" s="373" t="s">
        <v>1885</v>
      </c>
      <c r="AN126" s="373" t="s">
        <v>2434</v>
      </c>
      <c r="AO126" s="374" t="s">
        <v>2435</v>
      </c>
      <c r="AP126" s="374" t="s">
        <v>2428</v>
      </c>
      <c r="AQ126" s="373" t="s">
        <v>2412</v>
      </c>
      <c r="AR126" s="374" t="s">
        <v>2413</v>
      </c>
      <c r="AT126" s="372">
        <v>1983</v>
      </c>
    </row>
    <row r="127" spans="1:48" ht="9.9" customHeight="1">
      <c r="A127" s="376" t="s">
        <v>2436</v>
      </c>
      <c r="B127" s="376" t="s">
        <v>2436</v>
      </c>
      <c r="C127" s="646" t="s">
        <v>2129</v>
      </c>
      <c r="D127" s="374" t="s">
        <v>2206</v>
      </c>
      <c r="E127" s="374" t="s">
        <v>92</v>
      </c>
      <c r="F127" s="374" t="s">
        <v>2437</v>
      </c>
      <c r="G127" s="759" t="s">
        <v>2194</v>
      </c>
      <c r="H127" s="374" t="s">
        <v>2195</v>
      </c>
      <c r="I127" s="766" t="s">
        <v>2196</v>
      </c>
      <c r="J127" s="374" t="s">
        <v>2197</v>
      </c>
      <c r="K127" s="377" t="s">
        <v>2198</v>
      </c>
      <c r="L127" s="1029"/>
      <c r="M127" s="770">
        <v>14</v>
      </c>
      <c r="N127" s="1553" t="s">
        <v>2438</v>
      </c>
      <c r="O127" s="1029"/>
      <c r="P127" s="1029"/>
      <c r="Q127" s="1029"/>
      <c r="R127" s="1015"/>
      <c r="S127" s="771">
        <v>14</v>
      </c>
      <c r="T127" s="1553" t="s">
        <v>2439</v>
      </c>
      <c r="U127" s="1029"/>
      <c r="V127" s="1029"/>
      <c r="W127" s="1029"/>
      <c r="X127" s="1015"/>
      <c r="AE127" s="372">
        <v>1984</v>
      </c>
      <c r="AF127" s="373" t="s">
        <v>1960</v>
      </c>
      <c r="AG127" s="373"/>
      <c r="AH127" s="373"/>
      <c r="AI127" s="373" t="s">
        <v>92</v>
      </c>
      <c r="AJ127" s="373"/>
      <c r="AK127" s="373"/>
      <c r="AL127" s="373" t="s">
        <v>2409</v>
      </c>
      <c r="AM127" s="373" t="s">
        <v>1893</v>
      </c>
      <c r="AN127" s="373" t="s">
        <v>2440</v>
      </c>
      <c r="AO127" s="374" t="s">
        <v>2441</v>
      </c>
      <c r="AP127" s="374" t="s">
        <v>2428</v>
      </c>
      <c r="AQ127" s="373" t="s">
        <v>2442</v>
      </c>
      <c r="AR127" s="374" t="s">
        <v>2443</v>
      </c>
      <c r="AS127" s="374" t="s">
        <v>2444</v>
      </c>
      <c r="AT127" s="372">
        <v>1984</v>
      </c>
    </row>
    <row r="128" spans="1:48" ht="9.9" customHeight="1">
      <c r="A128" s="376" t="s">
        <v>2445</v>
      </c>
      <c r="B128" s="376" t="s">
        <v>2445</v>
      </c>
      <c r="C128" s="646" t="s">
        <v>2129</v>
      </c>
      <c r="D128" s="374" t="s">
        <v>2206</v>
      </c>
      <c r="E128" s="374" t="s">
        <v>92</v>
      </c>
      <c r="F128" s="373" t="s">
        <v>2446</v>
      </c>
      <c r="G128" s="759" t="s">
        <v>2194</v>
      </c>
      <c r="H128" s="374" t="s">
        <v>2195</v>
      </c>
      <c r="I128" s="766" t="s">
        <v>2196</v>
      </c>
      <c r="J128" s="374" t="s">
        <v>2197</v>
      </c>
      <c r="K128" s="377" t="s">
        <v>2198</v>
      </c>
      <c r="L128" s="1029"/>
      <c r="M128" s="770">
        <v>15</v>
      </c>
      <c r="N128" s="1553" t="s">
        <v>2447</v>
      </c>
      <c r="O128" s="1029"/>
      <c r="P128" s="1029"/>
      <c r="Q128" s="1029"/>
      <c r="R128" s="1015"/>
      <c r="S128" s="771">
        <v>15</v>
      </c>
      <c r="T128" s="1553" t="s">
        <v>2448</v>
      </c>
      <c r="U128" s="1029"/>
      <c r="V128" s="1029"/>
      <c r="W128" s="1029"/>
      <c r="X128" s="1015"/>
      <c r="AE128" s="372">
        <v>1985</v>
      </c>
      <c r="AF128" s="373" t="s">
        <v>92</v>
      </c>
      <c r="AG128" s="373"/>
      <c r="AH128" s="373"/>
      <c r="AI128" s="373" t="s">
        <v>92</v>
      </c>
      <c r="AJ128" s="373"/>
      <c r="AK128" s="373"/>
      <c r="AL128" s="373" t="s">
        <v>2409</v>
      </c>
      <c r="AM128" s="373" t="s">
        <v>1901</v>
      </c>
      <c r="AN128" s="373" t="s">
        <v>2449</v>
      </c>
      <c r="AO128" s="374" t="s">
        <v>2450</v>
      </c>
      <c r="AP128" s="374" t="s">
        <v>2428</v>
      </c>
      <c r="AQ128" s="373" t="s">
        <v>2442</v>
      </c>
      <c r="AR128" s="374" t="s">
        <v>2443</v>
      </c>
      <c r="AT128" s="372">
        <v>1985</v>
      </c>
    </row>
    <row r="129" spans="1:46" ht="9.9" customHeight="1">
      <c r="A129" s="374" t="str">
        <f>Q226</f>
        <v/>
      </c>
      <c r="B129" s="376" t="s">
        <v>2183</v>
      </c>
      <c r="C129" s="646" t="s">
        <v>212</v>
      </c>
      <c r="D129" s="374" t="s">
        <v>212</v>
      </c>
      <c r="E129" s="374" t="s">
        <v>212</v>
      </c>
      <c r="F129" s="374" t="s">
        <v>212</v>
      </c>
      <c r="G129" s="374" t="s">
        <v>212</v>
      </c>
      <c r="H129" s="374" t="s">
        <v>212</v>
      </c>
      <c r="I129" s="374" t="s">
        <v>212</v>
      </c>
      <c r="J129" s="374" t="s">
        <v>212</v>
      </c>
      <c r="K129" s="377" t="s">
        <v>212</v>
      </c>
      <c r="L129" s="1029"/>
      <c r="M129" s="770">
        <v>16</v>
      </c>
      <c r="N129" s="1553" t="s">
        <v>2451</v>
      </c>
      <c r="O129" s="1029"/>
      <c r="P129" s="1029"/>
      <c r="Q129" s="1029"/>
      <c r="R129" s="1015"/>
      <c r="S129" s="771">
        <v>16</v>
      </c>
      <c r="T129" s="1553" t="s">
        <v>2452</v>
      </c>
      <c r="U129" s="1029"/>
      <c r="V129" s="1029"/>
      <c r="W129" s="1029"/>
      <c r="X129" s="1015"/>
      <c r="AE129" s="372">
        <v>1986</v>
      </c>
      <c r="AF129" s="373" t="s">
        <v>2453</v>
      </c>
      <c r="AG129" s="373"/>
      <c r="AH129" s="373"/>
      <c r="AI129" s="373" t="s">
        <v>92</v>
      </c>
      <c r="AJ129" s="373"/>
      <c r="AK129" s="373"/>
      <c r="AL129" s="373" t="s">
        <v>2409</v>
      </c>
      <c r="AM129" s="373" t="s">
        <v>1910</v>
      </c>
      <c r="AN129" s="373" t="s">
        <v>2454</v>
      </c>
      <c r="AO129" s="374" t="s">
        <v>2455</v>
      </c>
      <c r="AP129" s="374" t="s">
        <v>2428</v>
      </c>
      <c r="AQ129" s="373" t="s">
        <v>2456</v>
      </c>
      <c r="AR129" s="374" t="s">
        <v>2457</v>
      </c>
      <c r="AS129" s="374" t="s">
        <v>2458</v>
      </c>
      <c r="AT129" s="372">
        <v>1986</v>
      </c>
    </row>
    <row r="130" spans="1:46" ht="9.9" customHeight="1">
      <c r="B130" s="376" t="s">
        <v>78</v>
      </c>
      <c r="C130" s="646" t="s">
        <v>2459</v>
      </c>
      <c r="D130" s="374" t="s">
        <v>2460</v>
      </c>
      <c r="E130" s="374" t="s">
        <v>2461</v>
      </c>
      <c r="F130" s="373" t="s">
        <v>2462</v>
      </c>
      <c r="G130" s="374" t="s">
        <v>2463</v>
      </c>
      <c r="H130" s="374" t="s">
        <v>2464</v>
      </c>
      <c r="I130" s="374" t="s">
        <v>2465</v>
      </c>
      <c r="J130" s="374" t="s">
        <v>2466</v>
      </c>
      <c r="K130" s="377" t="s">
        <v>2467</v>
      </c>
      <c r="L130" s="1029"/>
      <c r="M130" s="770">
        <v>17</v>
      </c>
      <c r="N130" s="1553" t="s">
        <v>2468</v>
      </c>
      <c r="O130" s="1029"/>
      <c r="P130" s="1029"/>
      <c r="Q130" s="1029"/>
      <c r="R130" s="1015"/>
      <c r="S130" s="771">
        <v>17</v>
      </c>
      <c r="T130" s="1553" t="s">
        <v>2469</v>
      </c>
      <c r="U130" s="1029"/>
      <c r="V130" s="1029"/>
      <c r="W130" s="1029"/>
      <c r="X130" s="1015"/>
      <c r="AE130" s="372">
        <v>1987</v>
      </c>
      <c r="AF130" s="373" t="s">
        <v>2453</v>
      </c>
      <c r="AG130" s="382"/>
      <c r="AH130" s="382"/>
      <c r="AI130" s="373" t="s">
        <v>92</v>
      </c>
      <c r="AJ130" s="373"/>
      <c r="AK130" s="373"/>
      <c r="AL130" s="373" t="s">
        <v>2409</v>
      </c>
      <c r="AM130" s="373" t="s">
        <v>1919</v>
      </c>
      <c r="AN130" s="373" t="s">
        <v>2470</v>
      </c>
      <c r="AO130" s="374" t="s">
        <v>2471</v>
      </c>
      <c r="AP130" s="374" t="s">
        <v>2428</v>
      </c>
      <c r="AQ130" s="373" t="s">
        <v>2456</v>
      </c>
      <c r="AR130" s="374" t="s">
        <v>2457</v>
      </c>
      <c r="AT130" s="372">
        <v>1987</v>
      </c>
    </row>
    <row r="131" spans="1:46" ht="9.9" customHeight="1">
      <c r="B131" s="376" t="s">
        <v>81</v>
      </c>
      <c r="C131" s="646" t="s">
        <v>2472</v>
      </c>
      <c r="D131" s="374" t="s">
        <v>92</v>
      </c>
      <c r="E131" s="374" t="s">
        <v>2473</v>
      </c>
      <c r="F131" s="374" t="s">
        <v>2474</v>
      </c>
      <c r="G131" s="374" t="s">
        <v>2475</v>
      </c>
      <c r="H131" s="374" t="s">
        <v>2476</v>
      </c>
      <c r="I131" s="374" t="s">
        <v>2477</v>
      </c>
      <c r="J131" s="374" t="s">
        <v>2478</v>
      </c>
      <c r="K131" s="377" t="s">
        <v>2479</v>
      </c>
      <c r="L131" s="1029"/>
      <c r="M131" s="770">
        <v>18</v>
      </c>
      <c r="N131" s="1553" t="s">
        <v>2480</v>
      </c>
      <c r="O131" s="1029"/>
      <c r="P131" s="1029"/>
      <c r="Q131" s="1029"/>
      <c r="R131" s="1015"/>
      <c r="S131" s="771">
        <v>18</v>
      </c>
      <c r="T131" s="1553" t="s">
        <v>2481</v>
      </c>
      <c r="U131" s="1029"/>
      <c r="V131" s="1029"/>
      <c r="W131" s="1029"/>
      <c r="X131" s="1015"/>
      <c r="AE131" s="372">
        <v>1988</v>
      </c>
      <c r="AF131" s="373" t="s">
        <v>2453</v>
      </c>
      <c r="AG131" s="382" t="s">
        <v>2482</v>
      </c>
      <c r="AH131" s="382"/>
      <c r="AI131" s="373" t="s">
        <v>2483</v>
      </c>
      <c r="AJ131" s="373" t="s">
        <v>2484</v>
      </c>
      <c r="AK131" s="373"/>
      <c r="AL131" s="373" t="s">
        <v>2409</v>
      </c>
      <c r="AM131" s="373" t="s">
        <v>1928</v>
      </c>
      <c r="AN131" s="373" t="s">
        <v>2485</v>
      </c>
      <c r="AO131" s="373" t="s">
        <v>2486</v>
      </c>
      <c r="AP131" s="374" t="s">
        <v>2428</v>
      </c>
      <c r="AQ131" s="373" t="s">
        <v>2487</v>
      </c>
      <c r="AR131" s="374" t="s">
        <v>2488</v>
      </c>
      <c r="AS131" s="374" t="s">
        <v>2489</v>
      </c>
      <c r="AT131" s="372">
        <v>1988</v>
      </c>
    </row>
    <row r="132" spans="1:46" ht="9.9" customHeight="1">
      <c r="B132" s="376" t="s">
        <v>2490</v>
      </c>
      <c r="C132" s="646" t="s">
        <v>2129</v>
      </c>
      <c r="D132" s="374" t="s">
        <v>2491</v>
      </c>
      <c r="E132" s="374" t="s">
        <v>92</v>
      </c>
      <c r="F132" s="374" t="s">
        <v>2492</v>
      </c>
      <c r="G132" s="374" t="s">
        <v>2493</v>
      </c>
      <c r="H132" s="374" t="s">
        <v>2494</v>
      </c>
      <c r="I132" s="374" t="s">
        <v>2495</v>
      </c>
      <c r="J132" s="374" t="s">
        <v>2496</v>
      </c>
      <c r="K132" s="377" t="s">
        <v>2497</v>
      </c>
      <c r="L132" s="1029"/>
      <c r="M132" s="770">
        <v>19</v>
      </c>
      <c r="N132" s="1553" t="s">
        <v>2498</v>
      </c>
      <c r="O132" s="1029"/>
      <c r="P132" s="1029"/>
      <c r="Q132" s="1029"/>
      <c r="R132" s="1015"/>
      <c r="S132" s="771">
        <v>19</v>
      </c>
      <c r="T132" s="1553" t="s">
        <v>2499</v>
      </c>
      <c r="U132" s="1029"/>
      <c r="V132" s="1029"/>
      <c r="W132" s="1029"/>
      <c r="X132" s="1015"/>
      <c r="AE132" s="372">
        <v>1989</v>
      </c>
      <c r="AF132" s="373" t="s">
        <v>2453</v>
      </c>
      <c r="AG132" s="382" t="s">
        <v>2500</v>
      </c>
      <c r="AH132" s="382"/>
      <c r="AI132" s="373" t="s">
        <v>6100</v>
      </c>
      <c r="AJ132" s="373"/>
      <c r="AK132" s="373"/>
      <c r="AL132" s="373" t="s">
        <v>2409</v>
      </c>
      <c r="AM132" s="373" t="s">
        <v>1936</v>
      </c>
      <c r="AN132" s="373" t="s">
        <v>2501</v>
      </c>
      <c r="AO132" s="374" t="s">
        <v>2502</v>
      </c>
      <c r="AP132" s="374" t="s">
        <v>2503</v>
      </c>
      <c r="AQ132" s="374" t="s">
        <v>2504</v>
      </c>
      <c r="AR132" s="374" t="s">
        <v>2505</v>
      </c>
      <c r="AS132" s="374" t="s">
        <v>2506</v>
      </c>
      <c r="AT132" s="372">
        <v>1989</v>
      </c>
    </row>
    <row r="133" spans="1:46" ht="9.9" customHeight="1">
      <c r="B133" s="376" t="s">
        <v>94</v>
      </c>
      <c r="C133" s="646" t="s">
        <v>2507</v>
      </c>
      <c r="D133" s="374" t="s">
        <v>92</v>
      </c>
      <c r="E133" s="374" t="s">
        <v>92</v>
      </c>
      <c r="F133" s="374" t="s">
        <v>2508</v>
      </c>
      <c r="G133" s="374" t="s">
        <v>2509</v>
      </c>
      <c r="H133" s="374" t="s">
        <v>2510</v>
      </c>
      <c r="I133" s="374" t="s">
        <v>2511</v>
      </c>
      <c r="J133" s="374" t="s">
        <v>2512</v>
      </c>
      <c r="K133" s="377" t="s">
        <v>2513</v>
      </c>
      <c r="L133" s="1029"/>
      <c r="M133" s="770">
        <v>20</v>
      </c>
      <c r="N133" s="1553" t="s">
        <v>2514</v>
      </c>
      <c r="O133" s="1029"/>
      <c r="P133" s="1029"/>
      <c r="Q133" s="1029"/>
      <c r="R133" s="1015"/>
      <c r="S133" s="771">
        <v>20</v>
      </c>
      <c r="T133" s="1553" t="s">
        <v>2515</v>
      </c>
      <c r="U133" s="1029"/>
      <c r="V133" s="1029"/>
      <c r="W133" s="1029"/>
      <c r="X133" s="1015"/>
      <c r="AE133" s="372">
        <v>1990</v>
      </c>
      <c r="AF133" s="373" t="s">
        <v>2453</v>
      </c>
      <c r="AG133" s="382"/>
      <c r="AH133" s="382"/>
      <c r="AI133" s="373" t="s">
        <v>2516</v>
      </c>
      <c r="AJ133" s="373"/>
      <c r="AK133" s="373"/>
      <c r="AL133" s="373" t="s">
        <v>2517</v>
      </c>
      <c r="AM133" s="373" t="s">
        <v>1944</v>
      </c>
      <c r="AN133" s="373" t="s">
        <v>2518</v>
      </c>
      <c r="AO133" s="374" t="s">
        <v>2519</v>
      </c>
      <c r="AP133" s="374" t="s">
        <v>2520</v>
      </c>
      <c r="AQ133" s="374" t="s">
        <v>2504</v>
      </c>
      <c r="AR133" s="374" t="s">
        <v>2505</v>
      </c>
      <c r="AT133" s="372">
        <v>1990</v>
      </c>
    </row>
    <row r="134" spans="1:46" ht="9.9" customHeight="1">
      <c r="B134" s="376" t="s">
        <v>96</v>
      </c>
      <c r="C134" s="646" t="s">
        <v>2507</v>
      </c>
      <c r="D134" s="374" t="s">
        <v>92</v>
      </c>
      <c r="E134" s="374" t="s">
        <v>92</v>
      </c>
      <c r="F134" s="374" t="s">
        <v>2521</v>
      </c>
      <c r="G134" s="374" t="s">
        <v>2522</v>
      </c>
      <c r="H134" s="374" t="s">
        <v>2523</v>
      </c>
      <c r="I134" s="374" t="s">
        <v>2524</v>
      </c>
      <c r="J134" s="374" t="s">
        <v>2525</v>
      </c>
      <c r="K134" s="377" t="s">
        <v>2526</v>
      </c>
      <c r="L134" s="1029"/>
      <c r="M134" s="770">
        <v>21</v>
      </c>
      <c r="N134" s="1553" t="s">
        <v>2527</v>
      </c>
      <c r="O134" s="1029"/>
      <c r="P134" s="1029"/>
      <c r="Q134" s="1029"/>
      <c r="R134" s="1015"/>
      <c r="S134" s="771">
        <v>21</v>
      </c>
      <c r="T134" s="1553" t="s">
        <v>2528</v>
      </c>
      <c r="U134" s="1029"/>
      <c r="V134" s="1029"/>
      <c r="W134" s="1029"/>
      <c r="X134" s="1015"/>
      <c r="AE134" s="372">
        <v>1991</v>
      </c>
      <c r="AF134" s="373" t="s">
        <v>92</v>
      </c>
      <c r="AG134" s="373"/>
      <c r="AH134" s="373"/>
      <c r="AI134" s="373" t="s">
        <v>92</v>
      </c>
      <c r="AJ134" s="373"/>
      <c r="AK134" s="373"/>
      <c r="AL134" s="373" t="s">
        <v>2517</v>
      </c>
      <c r="AM134" s="373" t="s">
        <v>1953</v>
      </c>
      <c r="AN134" s="373" t="s">
        <v>2529</v>
      </c>
      <c r="AO134" s="374" t="s">
        <v>2530</v>
      </c>
      <c r="AP134" s="374" t="s">
        <v>2520</v>
      </c>
      <c r="AQ134" s="374" t="s">
        <v>2504</v>
      </c>
      <c r="AR134" s="374" t="s">
        <v>2505</v>
      </c>
      <c r="AT134" s="372">
        <v>1991</v>
      </c>
    </row>
    <row r="135" spans="1:46" ht="9.9" customHeight="1">
      <c r="B135" s="376" t="s">
        <v>103</v>
      </c>
      <c r="C135" s="646" t="s">
        <v>2129</v>
      </c>
      <c r="D135" s="374" t="s">
        <v>92</v>
      </c>
      <c r="E135" s="374" t="s">
        <v>92</v>
      </c>
      <c r="F135" s="373" t="s">
        <v>2531</v>
      </c>
      <c r="G135" s="374" t="s">
        <v>2532</v>
      </c>
      <c r="H135" s="374" t="s">
        <v>2533</v>
      </c>
      <c r="I135" s="374" t="s">
        <v>2534</v>
      </c>
      <c r="J135" s="374" t="s">
        <v>2535</v>
      </c>
      <c r="K135" s="377" t="s">
        <v>2536</v>
      </c>
      <c r="L135" s="1029"/>
      <c r="M135" s="770">
        <v>22</v>
      </c>
      <c r="N135" s="1553" t="s">
        <v>2537</v>
      </c>
      <c r="O135" s="1029"/>
      <c r="P135" s="1029"/>
      <c r="Q135" s="1029"/>
      <c r="R135" s="1015"/>
      <c r="S135" s="771">
        <v>22</v>
      </c>
      <c r="T135" s="1553" t="s">
        <v>2538</v>
      </c>
      <c r="U135" s="1029"/>
      <c r="V135" s="1029"/>
      <c r="W135" s="1029"/>
      <c r="X135" s="1015"/>
      <c r="AE135" s="372">
        <v>1992</v>
      </c>
      <c r="AF135" s="373" t="s">
        <v>2539</v>
      </c>
      <c r="AG135" s="373"/>
      <c r="AH135" s="373"/>
      <c r="AI135" s="373" t="s">
        <v>2540</v>
      </c>
      <c r="AJ135" s="373"/>
      <c r="AK135" s="373"/>
      <c r="AL135" s="373" t="s">
        <v>2517</v>
      </c>
      <c r="AM135" s="373" t="s">
        <v>1963</v>
      </c>
      <c r="AN135" s="373" t="s">
        <v>2541</v>
      </c>
      <c r="AO135" s="374" t="s">
        <v>2542</v>
      </c>
      <c r="AP135" s="374" t="s">
        <v>2520</v>
      </c>
      <c r="AQ135" s="374" t="s">
        <v>2504</v>
      </c>
      <c r="AR135" s="374" t="s">
        <v>2505</v>
      </c>
      <c r="AT135" s="372">
        <v>1992</v>
      </c>
    </row>
    <row r="136" spans="1:46" ht="9.9" customHeight="1">
      <c r="B136" s="376" t="s">
        <v>105</v>
      </c>
      <c r="C136" s="646" t="s">
        <v>2543</v>
      </c>
      <c r="D136" s="374" t="s">
        <v>92</v>
      </c>
      <c r="E136" s="374" t="s">
        <v>2544</v>
      </c>
      <c r="F136" s="374" t="s">
        <v>2545</v>
      </c>
      <c r="G136" s="374" t="s">
        <v>92</v>
      </c>
      <c r="H136" s="374" t="s">
        <v>92</v>
      </c>
      <c r="I136" s="374" t="s">
        <v>2546</v>
      </c>
      <c r="J136" s="374" t="s">
        <v>92</v>
      </c>
      <c r="K136" s="377" t="s">
        <v>92</v>
      </c>
      <c r="L136" s="1029"/>
      <c r="M136" s="770">
        <v>23</v>
      </c>
      <c r="N136" s="1553" t="s">
        <v>2547</v>
      </c>
      <c r="O136" s="1029"/>
      <c r="P136" s="1029"/>
      <c r="Q136" s="1029"/>
      <c r="R136" s="1015"/>
      <c r="S136" s="771">
        <v>23</v>
      </c>
      <c r="T136" s="1553" t="s">
        <v>2548</v>
      </c>
      <c r="U136" s="1029"/>
      <c r="V136" s="1029"/>
      <c r="W136" s="1029"/>
      <c r="X136" s="1015"/>
      <c r="AE136" s="372">
        <v>1993</v>
      </c>
      <c r="AF136" s="373" t="s">
        <v>92</v>
      </c>
      <c r="AG136" s="373"/>
      <c r="AH136" s="373"/>
      <c r="AI136" s="373" t="s">
        <v>2549</v>
      </c>
      <c r="AJ136" s="373"/>
      <c r="AK136" s="373"/>
      <c r="AL136" s="373" t="s">
        <v>2517</v>
      </c>
      <c r="AM136" s="373" t="s">
        <v>1972</v>
      </c>
      <c r="AN136" s="373" t="s">
        <v>2550</v>
      </c>
      <c r="AO136" s="374" t="s">
        <v>2551</v>
      </c>
      <c r="AP136" s="374" t="s">
        <v>2552</v>
      </c>
      <c r="AQ136" s="374" t="s">
        <v>2504</v>
      </c>
      <c r="AR136" s="374" t="s">
        <v>2505</v>
      </c>
      <c r="AT136" s="372">
        <v>1993</v>
      </c>
    </row>
    <row r="137" spans="1:46" ht="9.9" customHeight="1">
      <c r="B137" s="376" t="s">
        <v>109</v>
      </c>
      <c r="C137" s="646" t="s">
        <v>2472</v>
      </c>
      <c r="D137" s="374" t="s">
        <v>2553</v>
      </c>
      <c r="E137" s="374" t="s">
        <v>92</v>
      </c>
      <c r="F137" s="374" t="s">
        <v>2554</v>
      </c>
      <c r="G137" s="374" t="s">
        <v>2555</v>
      </c>
      <c r="H137" s="374" t="s">
        <v>2556</v>
      </c>
      <c r="I137" s="374" t="s">
        <v>2557</v>
      </c>
      <c r="J137" s="374" t="s">
        <v>2558</v>
      </c>
      <c r="K137" s="377" t="s">
        <v>2559</v>
      </c>
      <c r="L137" s="1029"/>
      <c r="M137" s="770">
        <v>24</v>
      </c>
      <c r="N137" s="1553" t="s">
        <v>2560</v>
      </c>
      <c r="O137" s="1029"/>
      <c r="P137" s="1029"/>
      <c r="Q137" s="1029"/>
      <c r="R137" s="1015"/>
      <c r="S137" s="771">
        <v>24</v>
      </c>
      <c r="T137" s="1553" t="s">
        <v>2561</v>
      </c>
      <c r="U137" s="1029"/>
      <c r="V137" s="1029"/>
      <c r="W137" s="1029"/>
      <c r="X137" s="1015"/>
      <c r="AE137" s="372">
        <v>1994</v>
      </c>
      <c r="AF137" s="373" t="s">
        <v>92</v>
      </c>
      <c r="AG137" s="373"/>
      <c r="AH137" s="373"/>
      <c r="AI137" s="373" t="s">
        <v>92</v>
      </c>
      <c r="AJ137" s="373"/>
      <c r="AK137" s="373"/>
      <c r="AL137" s="373" t="s">
        <v>2517</v>
      </c>
      <c r="AM137" s="373" t="s">
        <v>1980</v>
      </c>
      <c r="AN137" s="373" t="s">
        <v>2562</v>
      </c>
      <c r="AO137" s="374" t="s">
        <v>2563</v>
      </c>
      <c r="AP137" s="374" t="s">
        <v>2564</v>
      </c>
      <c r="AQ137" s="374" t="s">
        <v>2504</v>
      </c>
      <c r="AR137" s="374" t="s">
        <v>2505</v>
      </c>
      <c r="AT137" s="372">
        <v>1994</v>
      </c>
    </row>
    <row r="138" spans="1:46" ht="9.9" customHeight="1">
      <c r="B138" s="376" t="s">
        <v>111</v>
      </c>
      <c r="C138" s="646" t="s">
        <v>2565</v>
      </c>
      <c r="D138" s="374" t="s">
        <v>92</v>
      </c>
      <c r="E138" s="374" t="s">
        <v>92</v>
      </c>
      <c r="F138" s="374" t="s">
        <v>2566</v>
      </c>
      <c r="G138" s="374" t="s">
        <v>2567</v>
      </c>
      <c r="H138" s="374" t="s">
        <v>2568</v>
      </c>
      <c r="I138" s="374" t="s">
        <v>2569</v>
      </c>
      <c r="J138" s="374" t="s">
        <v>2570</v>
      </c>
      <c r="K138" s="377" t="s">
        <v>2571</v>
      </c>
      <c r="L138" s="1029"/>
      <c r="M138" s="770">
        <v>25</v>
      </c>
      <c r="N138" s="1553" t="s">
        <v>2572</v>
      </c>
      <c r="O138" s="1029"/>
      <c r="P138" s="1029"/>
      <c r="Q138" s="1029"/>
      <c r="R138" s="1015"/>
      <c r="S138" s="771">
        <v>25</v>
      </c>
      <c r="T138" s="1553" t="s">
        <v>2573</v>
      </c>
      <c r="U138" s="1029"/>
      <c r="V138" s="1029"/>
      <c r="W138" s="1029"/>
      <c r="X138" s="1015"/>
      <c r="AE138" s="372">
        <v>1995</v>
      </c>
      <c r="AF138" s="373" t="s">
        <v>92</v>
      </c>
      <c r="AG138" s="373"/>
      <c r="AH138" s="373"/>
      <c r="AI138" s="373" t="s">
        <v>92</v>
      </c>
      <c r="AJ138" s="373"/>
      <c r="AK138" s="373"/>
      <c r="AL138" s="373" t="s">
        <v>2517</v>
      </c>
      <c r="AM138" s="373" t="s">
        <v>1989</v>
      </c>
      <c r="AN138" s="373" t="s">
        <v>2574</v>
      </c>
      <c r="AO138" s="374" t="s">
        <v>2575</v>
      </c>
      <c r="AP138" s="374" t="s">
        <v>2564</v>
      </c>
      <c r="AQ138" s="374" t="s">
        <v>2504</v>
      </c>
      <c r="AR138" s="374" t="s">
        <v>2505</v>
      </c>
      <c r="AT138" s="372">
        <v>1995</v>
      </c>
    </row>
    <row r="139" spans="1:46" ht="9.9" customHeight="1">
      <c r="B139" s="376" t="s">
        <v>114</v>
      </c>
      <c r="C139" s="646" t="s">
        <v>2144</v>
      </c>
      <c r="D139" s="374" t="s">
        <v>2491</v>
      </c>
      <c r="E139" s="374" t="s">
        <v>2576</v>
      </c>
      <c r="F139" s="374" t="s">
        <v>2577</v>
      </c>
      <c r="G139" s="374" t="s">
        <v>2578</v>
      </c>
      <c r="H139" s="374" t="s">
        <v>2579</v>
      </c>
      <c r="I139" s="374" t="s">
        <v>2580</v>
      </c>
      <c r="J139" s="374" t="s">
        <v>2581</v>
      </c>
      <c r="K139" s="377" t="s">
        <v>2582</v>
      </c>
      <c r="L139" s="1029"/>
      <c r="M139" s="770">
        <v>26</v>
      </c>
      <c r="N139" s="1553" t="s">
        <v>2583</v>
      </c>
      <c r="O139" s="1029"/>
      <c r="P139" s="1029"/>
      <c r="Q139" s="1029"/>
      <c r="R139" s="1015"/>
      <c r="S139" s="771">
        <v>26</v>
      </c>
      <c r="T139" s="1553" t="s">
        <v>2584</v>
      </c>
      <c r="U139" s="1029"/>
      <c r="V139" s="1029"/>
      <c r="W139" s="1029"/>
      <c r="X139" s="1015"/>
      <c r="AE139" s="372">
        <v>1996</v>
      </c>
      <c r="AF139" s="373" t="s">
        <v>2585</v>
      </c>
      <c r="AG139" s="373"/>
      <c r="AH139" s="373"/>
      <c r="AI139" s="373" t="s">
        <v>92</v>
      </c>
      <c r="AJ139" s="373"/>
      <c r="AK139" s="373"/>
      <c r="AL139" s="373" t="s">
        <v>2517</v>
      </c>
      <c r="AM139" s="373" t="s">
        <v>1998</v>
      </c>
      <c r="AN139" s="373" t="s">
        <v>2586</v>
      </c>
      <c r="AO139" s="374" t="s">
        <v>2587</v>
      </c>
      <c r="AP139" s="374" t="s">
        <v>2564</v>
      </c>
      <c r="AQ139" s="374" t="s">
        <v>2504</v>
      </c>
      <c r="AR139" s="374" t="s">
        <v>2505</v>
      </c>
      <c r="AT139" s="372">
        <v>1996</v>
      </c>
    </row>
    <row r="140" spans="1:46" ht="9.9" customHeight="1">
      <c r="B140" s="376" t="s">
        <v>116</v>
      </c>
      <c r="C140" s="646" t="s">
        <v>2129</v>
      </c>
      <c r="D140" s="374" t="s">
        <v>2460</v>
      </c>
      <c r="E140" s="374" t="s">
        <v>2461</v>
      </c>
      <c r="F140" s="374" t="s">
        <v>2588</v>
      </c>
      <c r="G140" s="374" t="s">
        <v>2463</v>
      </c>
      <c r="H140" s="374" t="s">
        <v>2464</v>
      </c>
      <c r="I140" s="374" t="s">
        <v>2589</v>
      </c>
      <c r="J140" s="374" t="s">
        <v>2590</v>
      </c>
      <c r="K140" s="377" t="s">
        <v>2591</v>
      </c>
      <c r="L140" s="1029"/>
      <c r="M140" s="770">
        <v>27</v>
      </c>
      <c r="N140" s="1553" t="s">
        <v>2592</v>
      </c>
      <c r="O140" s="1029"/>
      <c r="P140" s="1029"/>
      <c r="Q140" s="1029"/>
      <c r="R140" s="1015"/>
      <c r="S140" s="771">
        <v>27</v>
      </c>
      <c r="T140" s="1553" t="s">
        <v>2593</v>
      </c>
      <c r="U140" s="1029"/>
      <c r="V140" s="1029"/>
      <c r="W140" s="1029"/>
      <c r="X140" s="1015"/>
      <c r="AE140" s="372">
        <v>1997</v>
      </c>
      <c r="AF140" s="373" t="s">
        <v>92</v>
      </c>
      <c r="AG140" s="373"/>
      <c r="AH140" s="373"/>
      <c r="AI140" s="373" t="s">
        <v>2594</v>
      </c>
      <c r="AJ140" s="373"/>
      <c r="AK140" s="373"/>
      <c r="AL140" s="373" t="s">
        <v>2517</v>
      </c>
      <c r="AM140" s="373" t="s">
        <v>2007</v>
      </c>
      <c r="AN140" s="373" t="s">
        <v>2595</v>
      </c>
      <c r="AO140" s="374" t="s">
        <v>2596</v>
      </c>
      <c r="AP140" s="374" t="s">
        <v>2564</v>
      </c>
      <c r="AQ140" s="374" t="s">
        <v>2504</v>
      </c>
      <c r="AR140" s="374" t="s">
        <v>2505</v>
      </c>
      <c r="AT140" s="372">
        <v>1997</v>
      </c>
    </row>
    <row r="141" spans="1:46" ht="9.9" customHeight="1">
      <c r="B141" s="376" t="s">
        <v>2183</v>
      </c>
      <c r="C141" s="646" t="s">
        <v>212</v>
      </c>
      <c r="D141" s="374" t="s">
        <v>212</v>
      </c>
      <c r="E141" s="374" t="s">
        <v>212</v>
      </c>
      <c r="F141" s="374" t="s">
        <v>212</v>
      </c>
      <c r="G141" s="374" t="s">
        <v>212</v>
      </c>
      <c r="H141" s="374" t="s">
        <v>212</v>
      </c>
      <c r="I141" s="374" t="s">
        <v>212</v>
      </c>
      <c r="J141" s="374" t="s">
        <v>212</v>
      </c>
      <c r="K141" s="377" t="s">
        <v>212</v>
      </c>
      <c r="L141" s="1029"/>
      <c r="M141" s="770">
        <v>28</v>
      </c>
      <c r="N141" s="1553" t="s">
        <v>2597</v>
      </c>
      <c r="O141" s="1029"/>
      <c r="P141" s="1029"/>
      <c r="Q141" s="1029"/>
      <c r="R141" s="1015"/>
      <c r="S141" s="771">
        <v>28</v>
      </c>
      <c r="T141" s="1553" t="s">
        <v>2598</v>
      </c>
      <c r="U141" s="1029"/>
      <c r="V141" s="1029"/>
      <c r="W141" s="1029"/>
      <c r="X141" s="1015"/>
      <c r="AE141" s="372">
        <v>1998</v>
      </c>
      <c r="AF141" s="373" t="s">
        <v>92</v>
      </c>
      <c r="AG141" s="373"/>
      <c r="AH141" s="373"/>
      <c r="AI141" s="373" t="s">
        <v>2599</v>
      </c>
      <c r="AJ141" s="373"/>
      <c r="AK141" s="373"/>
      <c r="AL141" s="373" t="s">
        <v>2517</v>
      </c>
      <c r="AM141" s="373" t="s">
        <v>2015</v>
      </c>
      <c r="AN141" s="373" t="s">
        <v>2600</v>
      </c>
      <c r="AO141" s="374" t="s">
        <v>2601</v>
      </c>
      <c r="AP141" s="374" t="s">
        <v>2564</v>
      </c>
      <c r="AQ141" s="374" t="s">
        <v>2504</v>
      </c>
      <c r="AR141" s="374" t="s">
        <v>2505</v>
      </c>
      <c r="AT141" s="372">
        <v>1998</v>
      </c>
    </row>
    <row r="142" spans="1:46" ht="9.9" customHeight="1">
      <c r="B142" s="376" t="s">
        <v>160</v>
      </c>
      <c r="C142" s="646" t="s">
        <v>92</v>
      </c>
      <c r="D142" s="374" t="s">
        <v>2602</v>
      </c>
      <c r="E142" s="374" t="s">
        <v>92</v>
      </c>
      <c r="F142" s="374" t="s">
        <v>2603</v>
      </c>
      <c r="G142" s="374" t="s">
        <v>92</v>
      </c>
      <c r="H142" s="374" t="s">
        <v>92</v>
      </c>
      <c r="I142" s="374" t="s">
        <v>2604</v>
      </c>
      <c r="J142" s="374" t="s">
        <v>92</v>
      </c>
      <c r="K142" s="377" t="s">
        <v>92</v>
      </c>
      <c r="L142" s="1029"/>
      <c r="M142" s="770">
        <v>29</v>
      </c>
      <c r="N142" s="1553" t="s">
        <v>2605</v>
      </c>
      <c r="O142" s="1029"/>
      <c r="P142" s="1029"/>
      <c r="Q142" s="1029"/>
      <c r="R142" s="1015"/>
      <c r="S142" s="771">
        <v>29</v>
      </c>
      <c r="T142" s="1553" t="s">
        <v>2606</v>
      </c>
      <c r="U142" s="1029"/>
      <c r="V142" s="1029"/>
      <c r="W142" s="1029"/>
      <c r="X142" s="1015"/>
      <c r="AE142" s="372">
        <v>1999</v>
      </c>
      <c r="AF142" s="373" t="s">
        <v>2607</v>
      </c>
      <c r="AG142" s="373"/>
      <c r="AH142" s="373"/>
      <c r="AI142" s="373" t="s">
        <v>2608</v>
      </c>
      <c r="AJ142" s="373" t="s">
        <v>2609</v>
      </c>
      <c r="AK142" s="373"/>
      <c r="AL142" s="373" t="s">
        <v>2517</v>
      </c>
      <c r="AM142" s="373" t="s">
        <v>2022</v>
      </c>
      <c r="AN142" s="373" t="s">
        <v>2610</v>
      </c>
      <c r="AO142" s="373" t="s">
        <v>2611</v>
      </c>
      <c r="AP142" s="374" t="s">
        <v>2564</v>
      </c>
      <c r="AQ142" s="374" t="s">
        <v>2504</v>
      </c>
      <c r="AR142" s="374" t="s">
        <v>2505</v>
      </c>
      <c r="AT142" s="372">
        <v>1999</v>
      </c>
    </row>
    <row r="143" spans="1:46" ht="9.9" customHeight="1">
      <c r="A143" s="376" t="s">
        <v>2612</v>
      </c>
      <c r="B143" s="376" t="s">
        <v>2612</v>
      </c>
      <c r="C143" s="646" t="s">
        <v>2129</v>
      </c>
      <c r="D143" s="374" t="s">
        <v>2613</v>
      </c>
      <c r="E143" s="374" t="s">
        <v>92</v>
      </c>
      <c r="F143" s="374" t="s">
        <v>2614</v>
      </c>
      <c r="G143" s="374" t="s">
        <v>92</v>
      </c>
      <c r="H143" s="374" t="s">
        <v>92</v>
      </c>
      <c r="I143" s="374" t="s">
        <v>2604</v>
      </c>
      <c r="J143" s="374" t="s">
        <v>92</v>
      </c>
      <c r="K143" s="377" t="s">
        <v>92</v>
      </c>
      <c r="L143" s="1029"/>
      <c r="M143" s="770">
        <v>30</v>
      </c>
      <c r="N143" s="1553" t="s">
        <v>2615</v>
      </c>
      <c r="O143" s="1029"/>
      <c r="P143" s="1029"/>
      <c r="Q143" s="1029"/>
      <c r="R143" s="1015"/>
      <c r="S143" s="771">
        <v>30</v>
      </c>
      <c r="T143" s="1553" t="s">
        <v>2616</v>
      </c>
      <c r="U143" s="1029"/>
      <c r="V143" s="1029"/>
      <c r="W143" s="1029"/>
      <c r="X143" s="1015"/>
      <c r="AE143" s="372">
        <v>2000</v>
      </c>
      <c r="AF143" s="373" t="s">
        <v>2617</v>
      </c>
      <c r="AG143" s="373" t="s">
        <v>2618</v>
      </c>
      <c r="AH143" s="373"/>
      <c r="AI143" s="373" t="s">
        <v>2619</v>
      </c>
      <c r="AJ143" s="373"/>
      <c r="AK143" s="373"/>
      <c r="AL143" s="373" t="s">
        <v>2620</v>
      </c>
      <c r="AM143" s="373" t="s">
        <v>2030</v>
      </c>
      <c r="AN143" s="373" t="s">
        <v>2621</v>
      </c>
      <c r="AO143" s="374" t="s">
        <v>2622</v>
      </c>
      <c r="AP143" s="374" t="s">
        <v>2564</v>
      </c>
      <c r="AQ143" s="374" t="s">
        <v>2504</v>
      </c>
      <c r="AR143" s="374" t="s">
        <v>2505</v>
      </c>
      <c r="AT143" s="372">
        <v>2000</v>
      </c>
    </row>
    <row r="144" spans="1:46" ht="9.9" customHeight="1">
      <c r="A144" s="376" t="s">
        <v>2623</v>
      </c>
      <c r="B144" s="376" t="s">
        <v>2623</v>
      </c>
      <c r="C144" s="646" t="s">
        <v>2565</v>
      </c>
      <c r="D144" s="374" t="s">
        <v>2613</v>
      </c>
      <c r="E144" s="374" t="s">
        <v>92</v>
      </c>
      <c r="F144" s="374" t="s">
        <v>2624</v>
      </c>
      <c r="G144" s="374" t="s">
        <v>92</v>
      </c>
      <c r="H144" s="374" t="s">
        <v>92</v>
      </c>
      <c r="I144" s="374" t="s">
        <v>2604</v>
      </c>
      <c r="J144" s="374" t="s">
        <v>92</v>
      </c>
      <c r="K144" s="377" t="s">
        <v>92</v>
      </c>
      <c r="L144" s="1029"/>
      <c r="M144" s="770">
        <v>31</v>
      </c>
      <c r="N144" s="1553" t="s">
        <v>2625</v>
      </c>
      <c r="O144" s="1029"/>
      <c r="P144" s="1029"/>
      <c r="Q144" s="1029"/>
      <c r="R144" s="1015"/>
      <c r="S144" s="771">
        <v>31</v>
      </c>
      <c r="T144" s="1553" t="s">
        <v>2626</v>
      </c>
      <c r="U144" s="1029"/>
      <c r="V144" s="1029"/>
      <c r="W144" s="1029"/>
      <c r="X144" s="1015"/>
      <c r="AE144" s="372">
        <v>2001</v>
      </c>
      <c r="AF144" s="373" t="s">
        <v>92</v>
      </c>
      <c r="AG144" s="373"/>
      <c r="AH144" s="373"/>
      <c r="AI144" s="373" t="s">
        <v>2627</v>
      </c>
      <c r="AJ144" s="373"/>
      <c r="AK144" s="373"/>
      <c r="AL144" s="373" t="s">
        <v>2620</v>
      </c>
      <c r="AM144" s="373" t="s">
        <v>2038</v>
      </c>
      <c r="AN144" s="373" t="s">
        <v>2628</v>
      </c>
      <c r="AO144" s="374" t="s">
        <v>2629</v>
      </c>
      <c r="AP144" s="374" t="s">
        <v>2630</v>
      </c>
      <c r="AQ144" s="373" t="s">
        <v>2631</v>
      </c>
      <c r="AR144" s="374" t="s">
        <v>2632</v>
      </c>
      <c r="AS144" s="374" t="s">
        <v>2633</v>
      </c>
      <c r="AT144" s="372">
        <v>2001</v>
      </c>
    </row>
    <row r="145" spans="1:46" ht="9.9" customHeight="1">
      <c r="A145" s="376" t="s">
        <v>2634</v>
      </c>
      <c r="B145" s="376" t="s">
        <v>120</v>
      </c>
      <c r="C145" s="646" t="s">
        <v>2635</v>
      </c>
      <c r="D145" s="374" t="s">
        <v>2613</v>
      </c>
      <c r="E145" s="374" t="s">
        <v>92</v>
      </c>
      <c r="F145" s="374" t="s">
        <v>2636</v>
      </c>
      <c r="G145" s="374" t="s">
        <v>92</v>
      </c>
      <c r="H145" s="374" t="s">
        <v>92</v>
      </c>
      <c r="I145" s="374" t="s">
        <v>2604</v>
      </c>
      <c r="J145" s="374" t="s">
        <v>92</v>
      </c>
      <c r="K145" s="377" t="s">
        <v>92</v>
      </c>
      <c r="L145" s="1029"/>
      <c r="M145" s="770">
        <v>32</v>
      </c>
      <c r="N145" s="1553" t="s">
        <v>2637</v>
      </c>
      <c r="O145" s="1029"/>
      <c r="P145" s="1029"/>
      <c r="Q145" s="1029"/>
      <c r="R145" s="1015"/>
      <c r="S145" s="771">
        <v>32</v>
      </c>
      <c r="T145" s="1553" t="s">
        <v>2638</v>
      </c>
      <c r="U145" s="1029"/>
      <c r="V145" s="1029"/>
      <c r="W145" s="1029"/>
      <c r="X145" s="1015"/>
      <c r="AE145" s="372">
        <v>2002</v>
      </c>
      <c r="AF145" s="373" t="s">
        <v>2639</v>
      </c>
      <c r="AG145" s="373"/>
      <c r="AH145" s="373"/>
      <c r="AI145" s="373" t="s">
        <v>2640</v>
      </c>
      <c r="AJ145" s="373"/>
      <c r="AK145" s="373"/>
      <c r="AL145" s="373" t="s">
        <v>2620</v>
      </c>
      <c r="AM145" s="373" t="s">
        <v>2044</v>
      </c>
      <c r="AN145" s="373" t="s">
        <v>2641</v>
      </c>
      <c r="AO145" s="374" t="s">
        <v>2642</v>
      </c>
      <c r="AP145" s="374" t="s">
        <v>2643</v>
      </c>
      <c r="AQ145" s="373" t="s">
        <v>2631</v>
      </c>
      <c r="AR145" s="374" t="s">
        <v>2632</v>
      </c>
      <c r="AT145" s="372">
        <v>2002</v>
      </c>
    </row>
    <row r="146" spans="1:46" ht="9.9" customHeight="1">
      <c r="A146" s="376" t="s">
        <v>1389</v>
      </c>
      <c r="B146" s="376" t="s">
        <v>2634</v>
      </c>
      <c r="C146" s="646" t="s">
        <v>2459</v>
      </c>
      <c r="D146" s="374" t="s">
        <v>2613</v>
      </c>
      <c r="E146" s="374" t="s">
        <v>92</v>
      </c>
      <c r="F146" s="374" t="s">
        <v>2644</v>
      </c>
      <c r="G146" s="374" t="s">
        <v>92</v>
      </c>
      <c r="H146" s="374" t="s">
        <v>92</v>
      </c>
      <c r="I146" s="374" t="s">
        <v>2604</v>
      </c>
      <c r="J146" s="374" t="s">
        <v>92</v>
      </c>
      <c r="K146" s="377" t="s">
        <v>92</v>
      </c>
      <c r="L146" s="1029"/>
      <c r="M146" s="770">
        <v>33</v>
      </c>
      <c r="N146" s="1553" t="s">
        <v>2645</v>
      </c>
      <c r="O146" s="1029"/>
      <c r="P146" s="1029"/>
      <c r="Q146" s="1029"/>
      <c r="R146" s="1015"/>
      <c r="S146" s="771">
        <v>33</v>
      </c>
      <c r="T146" s="1553" t="s">
        <v>2646</v>
      </c>
      <c r="U146" s="1029"/>
      <c r="V146" s="1029"/>
      <c r="W146" s="1029"/>
      <c r="X146" s="1015"/>
      <c r="AE146" s="372">
        <v>2003</v>
      </c>
      <c r="AF146" s="373" t="s">
        <v>92</v>
      </c>
      <c r="AG146" s="373"/>
      <c r="AH146" s="373"/>
      <c r="AI146" s="373" t="s">
        <v>2647</v>
      </c>
      <c r="AJ146" s="373" t="s">
        <v>2648</v>
      </c>
      <c r="AK146" s="373"/>
      <c r="AL146" s="373" t="s">
        <v>2620</v>
      </c>
      <c r="AM146" s="373" t="s">
        <v>2050</v>
      </c>
      <c r="AN146" s="373" t="s">
        <v>2649</v>
      </c>
      <c r="AO146" s="374" t="s">
        <v>2650</v>
      </c>
      <c r="AP146" s="374" t="s">
        <v>2643</v>
      </c>
      <c r="AQ146" s="373" t="s">
        <v>2631</v>
      </c>
      <c r="AR146" s="374" t="s">
        <v>2632</v>
      </c>
      <c r="AT146" s="372">
        <v>2003</v>
      </c>
    </row>
    <row r="147" spans="1:46" ht="9.9" customHeight="1">
      <c r="A147" s="376" t="s">
        <v>2651</v>
      </c>
      <c r="B147" s="376" t="s">
        <v>1389</v>
      </c>
      <c r="C147" s="646" t="s">
        <v>2472</v>
      </c>
      <c r="D147" s="374" t="s">
        <v>2613</v>
      </c>
      <c r="E147" s="374" t="s">
        <v>92</v>
      </c>
      <c r="F147" s="374" t="s">
        <v>2652</v>
      </c>
      <c r="G147" s="374" t="s">
        <v>92</v>
      </c>
      <c r="H147" s="374" t="s">
        <v>92</v>
      </c>
      <c r="I147" s="374" t="s">
        <v>2604</v>
      </c>
      <c r="J147" s="374" t="s">
        <v>92</v>
      </c>
      <c r="K147" s="377" t="s">
        <v>92</v>
      </c>
      <c r="L147" s="1029"/>
      <c r="M147" s="770">
        <v>34</v>
      </c>
      <c r="N147" s="1553" t="s">
        <v>2653</v>
      </c>
      <c r="O147" s="1029"/>
      <c r="P147" s="1029"/>
      <c r="Q147" s="1029"/>
      <c r="R147" s="1015"/>
      <c r="S147" s="771">
        <v>34</v>
      </c>
      <c r="T147" s="1553" t="s">
        <v>2654</v>
      </c>
      <c r="U147" s="1029"/>
      <c r="V147" s="1029"/>
      <c r="W147" s="1029"/>
      <c r="X147" s="1015"/>
      <c r="AE147" s="372">
        <v>2004</v>
      </c>
      <c r="AF147" s="373" t="s">
        <v>1606</v>
      </c>
      <c r="AG147" s="373"/>
      <c r="AH147" s="373"/>
      <c r="AI147" s="373" t="s">
        <v>92</v>
      </c>
      <c r="AJ147" s="373"/>
      <c r="AK147" s="373"/>
      <c r="AL147" s="373" t="s">
        <v>2620</v>
      </c>
      <c r="AM147" s="373" t="s">
        <v>2058</v>
      </c>
      <c r="AN147" s="373" t="s">
        <v>2655</v>
      </c>
      <c r="AO147" s="374" t="s">
        <v>2656</v>
      </c>
      <c r="AP147" s="374" t="s">
        <v>2643</v>
      </c>
      <c r="AQ147" s="373" t="s">
        <v>2631</v>
      </c>
      <c r="AR147" s="374" t="s">
        <v>2632</v>
      </c>
      <c r="AT147" s="372">
        <v>2004</v>
      </c>
    </row>
    <row r="148" spans="1:46" ht="9.9" customHeight="1">
      <c r="A148" s="376" t="s">
        <v>2657</v>
      </c>
      <c r="B148" s="376" t="s">
        <v>2651</v>
      </c>
      <c r="C148" s="646" t="s">
        <v>2459</v>
      </c>
      <c r="D148" s="374" t="s">
        <v>2613</v>
      </c>
      <c r="E148" s="374" t="s">
        <v>92</v>
      </c>
      <c r="F148" s="374" t="s">
        <v>2658</v>
      </c>
      <c r="G148" s="374" t="s">
        <v>92</v>
      </c>
      <c r="H148" s="374" t="s">
        <v>92</v>
      </c>
      <c r="I148" s="374" t="s">
        <v>2604</v>
      </c>
      <c r="J148" s="374" t="s">
        <v>92</v>
      </c>
      <c r="K148" s="377" t="s">
        <v>92</v>
      </c>
      <c r="L148" s="1029"/>
      <c r="M148" s="770">
        <v>35</v>
      </c>
      <c r="N148" s="1553" t="s">
        <v>2659</v>
      </c>
      <c r="O148" s="1029"/>
      <c r="P148" s="1029"/>
      <c r="Q148" s="1029"/>
      <c r="R148" s="1015"/>
      <c r="S148" s="771">
        <v>35</v>
      </c>
      <c r="T148" s="1553" t="s">
        <v>2660</v>
      </c>
      <c r="U148" s="1029"/>
      <c r="V148" s="1029"/>
      <c r="W148" s="1029"/>
      <c r="X148" s="1015"/>
      <c r="AE148" s="372">
        <v>2005</v>
      </c>
      <c r="AF148" s="373" t="s">
        <v>92</v>
      </c>
      <c r="AG148" s="373"/>
      <c r="AH148" s="373"/>
      <c r="AI148" s="373" t="s">
        <v>92</v>
      </c>
      <c r="AJ148" s="373"/>
      <c r="AK148" s="373"/>
      <c r="AL148" s="373" t="s">
        <v>2620</v>
      </c>
      <c r="AM148" s="373" t="s">
        <v>2067</v>
      </c>
      <c r="AN148" s="373" t="s">
        <v>2661</v>
      </c>
      <c r="AO148" s="374" t="s">
        <v>2662</v>
      </c>
      <c r="AP148" s="374" t="s">
        <v>2643</v>
      </c>
      <c r="AQ148" s="373" t="s">
        <v>2631</v>
      </c>
      <c r="AR148" s="374" t="s">
        <v>2632</v>
      </c>
      <c r="AT148" s="372">
        <v>2005</v>
      </c>
    </row>
    <row r="149" spans="1:46" ht="9.9" customHeight="1">
      <c r="A149" s="376" t="s">
        <v>1388</v>
      </c>
      <c r="B149" s="376" t="s">
        <v>2657</v>
      </c>
      <c r="C149" s="646" t="s">
        <v>2565</v>
      </c>
      <c r="D149" s="374" t="s">
        <v>2613</v>
      </c>
      <c r="E149" s="374" t="s">
        <v>92</v>
      </c>
      <c r="F149" s="374" t="s">
        <v>2663</v>
      </c>
      <c r="G149" s="374" t="s">
        <v>92</v>
      </c>
      <c r="H149" s="374" t="s">
        <v>92</v>
      </c>
      <c r="I149" s="374" t="s">
        <v>2604</v>
      </c>
      <c r="J149" s="374" t="s">
        <v>92</v>
      </c>
      <c r="K149" s="377" t="s">
        <v>92</v>
      </c>
      <c r="L149" s="1029"/>
      <c r="M149" s="770">
        <v>36</v>
      </c>
      <c r="N149" s="1553" t="s">
        <v>2664</v>
      </c>
      <c r="O149" s="1029"/>
      <c r="P149" s="1029"/>
      <c r="Q149" s="1029"/>
      <c r="R149" s="1015"/>
      <c r="S149" s="771">
        <v>36</v>
      </c>
      <c r="T149" s="1553" t="s">
        <v>2665</v>
      </c>
      <c r="U149" s="1029"/>
      <c r="V149" s="1029"/>
      <c r="W149" s="1029"/>
      <c r="X149" s="1015"/>
      <c r="AE149" s="372">
        <v>2006</v>
      </c>
      <c r="AF149" s="373" t="s">
        <v>92</v>
      </c>
      <c r="AG149" s="373"/>
      <c r="AH149" s="373"/>
      <c r="AI149" s="373" t="s">
        <v>2666</v>
      </c>
      <c r="AJ149" s="373"/>
      <c r="AK149" s="373"/>
      <c r="AL149" s="373" t="s">
        <v>2620</v>
      </c>
      <c r="AM149" s="373" t="s">
        <v>2075</v>
      </c>
      <c r="AN149" s="373" t="s">
        <v>2667</v>
      </c>
      <c r="AO149" s="373" t="s">
        <v>2668</v>
      </c>
      <c r="AP149" s="374" t="s">
        <v>2643</v>
      </c>
      <c r="AQ149" s="373" t="s">
        <v>2631</v>
      </c>
      <c r="AR149" s="374" t="s">
        <v>2632</v>
      </c>
      <c r="AT149" s="372">
        <v>2006</v>
      </c>
    </row>
    <row r="150" spans="1:46" ht="9.9" customHeight="1">
      <c r="B150" s="376" t="s">
        <v>1388</v>
      </c>
      <c r="C150" s="646" t="s">
        <v>2472</v>
      </c>
      <c r="D150" s="374" t="s">
        <v>2613</v>
      </c>
      <c r="E150" s="374" t="s">
        <v>92</v>
      </c>
      <c r="F150" s="374" t="s">
        <v>2669</v>
      </c>
      <c r="G150" s="374" t="s">
        <v>92</v>
      </c>
      <c r="H150" s="374" t="s">
        <v>92</v>
      </c>
      <c r="I150" s="374" t="s">
        <v>2604</v>
      </c>
      <c r="J150" s="374" t="s">
        <v>92</v>
      </c>
      <c r="K150" s="377" t="s">
        <v>92</v>
      </c>
      <c r="L150" s="1029"/>
      <c r="M150" s="770">
        <v>37</v>
      </c>
      <c r="N150" s="1553" t="s">
        <v>2670</v>
      </c>
      <c r="O150" s="1029"/>
      <c r="P150" s="1029"/>
      <c r="Q150" s="1029"/>
      <c r="R150" s="1015"/>
      <c r="S150" s="771">
        <v>37</v>
      </c>
      <c r="T150" s="1553" t="s">
        <v>2671</v>
      </c>
      <c r="U150" s="1029"/>
      <c r="V150" s="1029"/>
      <c r="W150" s="1029"/>
      <c r="X150" s="1015"/>
      <c r="AE150" s="372">
        <v>2007</v>
      </c>
      <c r="AF150" s="373" t="s">
        <v>92</v>
      </c>
      <c r="AG150" s="373"/>
      <c r="AH150" s="373"/>
      <c r="AI150" s="373" t="s">
        <v>92</v>
      </c>
      <c r="AJ150" s="373"/>
      <c r="AK150" s="373"/>
      <c r="AL150" s="373" t="s">
        <v>2620</v>
      </c>
      <c r="AM150" s="373" t="s">
        <v>2083</v>
      </c>
      <c r="AN150" s="373" t="s">
        <v>2672</v>
      </c>
      <c r="AO150" s="373" t="s">
        <v>6101</v>
      </c>
      <c r="AP150" s="374" t="s">
        <v>2643</v>
      </c>
      <c r="AQ150" s="373" t="s">
        <v>2631</v>
      </c>
      <c r="AR150" s="374" t="s">
        <v>2632</v>
      </c>
      <c r="AT150" s="372">
        <v>2007</v>
      </c>
    </row>
    <row r="151" spans="1:46" ht="9.9" customHeight="1">
      <c r="B151" s="376" t="s">
        <v>2183</v>
      </c>
      <c r="C151" s="646" t="s">
        <v>212</v>
      </c>
      <c r="D151" s="374" t="s">
        <v>212</v>
      </c>
      <c r="E151" s="374" t="s">
        <v>212</v>
      </c>
      <c r="F151" s="374" t="s">
        <v>212</v>
      </c>
      <c r="G151" s="374" t="s">
        <v>212</v>
      </c>
      <c r="H151" s="374" t="s">
        <v>212</v>
      </c>
      <c r="I151" s="374" t="s">
        <v>212</v>
      </c>
      <c r="J151" s="374" t="s">
        <v>212</v>
      </c>
      <c r="K151" s="377" t="s">
        <v>212</v>
      </c>
      <c r="L151" s="1029"/>
      <c r="M151" s="770">
        <v>38</v>
      </c>
      <c r="N151" s="1553" t="s">
        <v>2673</v>
      </c>
      <c r="O151" s="1029"/>
      <c r="P151" s="1029"/>
      <c r="Q151" s="1029"/>
      <c r="R151" s="1015"/>
      <c r="S151" s="771">
        <v>38</v>
      </c>
      <c r="T151" s="1553" t="s">
        <v>2674</v>
      </c>
      <c r="U151" s="1029"/>
      <c r="V151" s="1029"/>
      <c r="W151" s="1029"/>
      <c r="X151" s="1015"/>
      <c r="AE151" s="372">
        <v>2008</v>
      </c>
      <c r="AF151" s="373" t="s">
        <v>2675</v>
      </c>
      <c r="AG151" s="373"/>
      <c r="AH151" s="373"/>
      <c r="AI151" s="373" t="s">
        <v>2675</v>
      </c>
      <c r="AJ151" s="373" t="s">
        <v>2676</v>
      </c>
      <c r="AK151" s="373"/>
      <c r="AL151" s="373" t="s">
        <v>2620</v>
      </c>
      <c r="AM151" s="373" t="s">
        <v>2091</v>
      </c>
      <c r="AN151" s="373" t="s">
        <v>2677</v>
      </c>
      <c r="AO151" s="374" t="s">
        <v>2678</v>
      </c>
      <c r="AP151" s="374" t="s">
        <v>2643</v>
      </c>
      <c r="AQ151" s="373" t="s">
        <v>2631</v>
      </c>
      <c r="AR151" s="374" t="s">
        <v>2679</v>
      </c>
      <c r="AT151" s="372">
        <v>2008</v>
      </c>
    </row>
    <row r="152" spans="1:46" ht="9.9" customHeight="1">
      <c r="B152" s="715" t="s">
        <v>2680</v>
      </c>
      <c r="C152" s="646" t="s">
        <v>92</v>
      </c>
      <c r="D152" s="374" t="s">
        <v>2602</v>
      </c>
      <c r="E152" s="374" t="s">
        <v>2681</v>
      </c>
      <c r="F152" s="374" t="s">
        <v>2682</v>
      </c>
      <c r="G152" s="374" t="s">
        <v>92</v>
      </c>
      <c r="H152" s="374" t="s">
        <v>92</v>
      </c>
      <c r="I152" s="374" t="s">
        <v>2604</v>
      </c>
      <c r="J152" s="374" t="s">
        <v>92</v>
      </c>
      <c r="K152" s="377" t="s">
        <v>92</v>
      </c>
      <c r="L152" s="1029"/>
      <c r="M152" s="770">
        <v>39</v>
      </c>
      <c r="N152" s="1553" t="s">
        <v>2683</v>
      </c>
      <c r="O152" s="1029"/>
      <c r="P152" s="1029"/>
      <c r="Q152" s="1029"/>
      <c r="R152" s="1015"/>
      <c r="S152" s="771">
        <v>39</v>
      </c>
      <c r="T152" s="1553" t="s">
        <v>2684</v>
      </c>
      <c r="U152" s="1029"/>
      <c r="V152" s="1029"/>
      <c r="W152" s="1029"/>
      <c r="X152" s="1015"/>
      <c r="AE152" s="372">
        <v>2009</v>
      </c>
      <c r="AF152" s="373" t="s">
        <v>92</v>
      </c>
      <c r="AG152" s="373"/>
      <c r="AH152" s="373"/>
      <c r="AI152" s="373" t="s">
        <v>92</v>
      </c>
      <c r="AJ152" s="373"/>
      <c r="AK152" s="373"/>
      <c r="AL152" s="373" t="s">
        <v>2620</v>
      </c>
      <c r="AM152" s="373" t="s">
        <v>2099</v>
      </c>
      <c r="AN152" s="373" t="s">
        <v>2685</v>
      </c>
      <c r="AO152" s="373" t="s">
        <v>2686</v>
      </c>
      <c r="AP152" s="373" t="s">
        <v>6113</v>
      </c>
      <c r="AQ152" s="373" t="s">
        <v>2687</v>
      </c>
      <c r="AR152" s="374" t="s">
        <v>2679</v>
      </c>
      <c r="AS152" s="374" t="s">
        <v>2688</v>
      </c>
      <c r="AT152" s="372">
        <v>2009</v>
      </c>
    </row>
    <row r="153" spans="1:46" ht="9.9" customHeight="1">
      <c r="A153" s="376" t="s">
        <v>369</v>
      </c>
      <c r="B153" s="376" t="s">
        <v>369</v>
      </c>
      <c r="C153" s="646" t="s">
        <v>2635</v>
      </c>
      <c r="D153" s="374" t="s">
        <v>2689</v>
      </c>
      <c r="E153" s="374" t="s">
        <v>2681</v>
      </c>
      <c r="F153" s="374" t="s">
        <v>2690</v>
      </c>
      <c r="G153" s="374" t="s">
        <v>92</v>
      </c>
      <c r="H153" s="374" t="s">
        <v>92</v>
      </c>
      <c r="I153" s="374" t="s">
        <v>2604</v>
      </c>
      <c r="J153" s="374" t="s">
        <v>92</v>
      </c>
      <c r="K153" s="377" t="s">
        <v>92</v>
      </c>
      <c r="L153" s="1029"/>
      <c r="M153" s="770">
        <v>40</v>
      </c>
      <c r="N153" s="1553" t="s">
        <v>2691</v>
      </c>
      <c r="O153" s="1029"/>
      <c r="P153" s="1029"/>
      <c r="Q153" s="1029"/>
      <c r="R153" s="1015"/>
      <c r="S153" s="771">
        <v>40</v>
      </c>
      <c r="T153" s="1553" t="s">
        <v>2692</v>
      </c>
      <c r="U153" s="1029"/>
      <c r="V153" s="1029"/>
      <c r="W153" s="1029"/>
      <c r="X153" s="1015"/>
      <c r="AE153" s="372">
        <v>2010</v>
      </c>
      <c r="AF153" s="373" t="s">
        <v>92</v>
      </c>
      <c r="AG153" s="373"/>
      <c r="AH153" s="373"/>
      <c r="AI153" s="373" t="s">
        <v>2693</v>
      </c>
      <c r="AJ153" s="373" t="s">
        <v>2694</v>
      </c>
      <c r="AK153" s="373"/>
      <c r="AL153" s="373" t="s">
        <v>2695</v>
      </c>
      <c r="AM153" s="373" t="s">
        <v>1534</v>
      </c>
      <c r="AN153" s="373" t="s">
        <v>2696</v>
      </c>
      <c r="AO153" s="374" t="s">
        <v>2697</v>
      </c>
      <c r="AP153" s="374" t="s">
        <v>2698</v>
      </c>
      <c r="AQ153" s="373" t="s">
        <v>2687</v>
      </c>
      <c r="AR153" s="374" t="s">
        <v>2679</v>
      </c>
      <c r="AT153" s="372">
        <v>2010</v>
      </c>
    </row>
    <row r="154" spans="1:46" ht="9.9" customHeight="1">
      <c r="A154" s="376" t="s">
        <v>2699</v>
      </c>
      <c r="B154" s="376" t="s">
        <v>2699</v>
      </c>
      <c r="C154" s="646" t="s">
        <v>2459</v>
      </c>
      <c r="D154" s="374" t="s">
        <v>2689</v>
      </c>
      <c r="E154" s="374" t="s">
        <v>2681</v>
      </c>
      <c r="F154" s="374" t="s">
        <v>2700</v>
      </c>
      <c r="G154" s="374" t="s">
        <v>92</v>
      </c>
      <c r="H154" s="374" t="s">
        <v>92</v>
      </c>
      <c r="I154" s="374" t="s">
        <v>2604</v>
      </c>
      <c r="J154" s="374" t="s">
        <v>92</v>
      </c>
      <c r="K154" s="377" t="s">
        <v>92</v>
      </c>
      <c r="L154" s="1029"/>
      <c r="M154" s="770">
        <v>41</v>
      </c>
      <c r="N154" s="1553" t="s">
        <v>2701</v>
      </c>
      <c r="O154" s="1029"/>
      <c r="P154" s="1029"/>
      <c r="Q154" s="1029"/>
      <c r="R154" s="1015"/>
      <c r="S154" s="771">
        <v>41</v>
      </c>
      <c r="T154" s="1553" t="s">
        <v>2702</v>
      </c>
      <c r="U154" s="1029"/>
      <c r="V154" s="1029"/>
      <c r="W154" s="1029"/>
      <c r="X154" s="1015"/>
      <c r="AE154" s="372">
        <v>2011</v>
      </c>
      <c r="AF154" s="373" t="s">
        <v>2703</v>
      </c>
      <c r="AG154" s="373"/>
      <c r="AH154" s="373"/>
      <c r="AI154" s="373" t="s">
        <v>92</v>
      </c>
      <c r="AJ154" s="373"/>
      <c r="AK154" s="373"/>
      <c r="AL154" s="373" t="s">
        <v>2695</v>
      </c>
      <c r="AM154" s="373" t="s">
        <v>1543</v>
      </c>
      <c r="AN154" s="373" t="s">
        <v>2704</v>
      </c>
      <c r="AO154" s="374" t="s">
        <v>2705</v>
      </c>
      <c r="AP154" s="374" t="s">
        <v>2698</v>
      </c>
      <c r="AQ154" s="373" t="s">
        <v>2687</v>
      </c>
      <c r="AR154" s="374" t="s">
        <v>2679</v>
      </c>
      <c r="AT154" s="372">
        <v>2011</v>
      </c>
    </row>
    <row r="155" spans="1:46" ht="9.9" customHeight="1">
      <c r="A155" s="376" t="s">
        <v>2706</v>
      </c>
      <c r="B155" s="376" t="s">
        <v>1391</v>
      </c>
      <c r="C155" s="646" t="s">
        <v>2459</v>
      </c>
      <c r="D155" s="374" t="s">
        <v>2689</v>
      </c>
      <c r="E155" s="374" t="s">
        <v>2681</v>
      </c>
      <c r="F155" s="374" t="s">
        <v>2707</v>
      </c>
      <c r="G155" s="374" t="s">
        <v>92</v>
      </c>
      <c r="H155" s="374" t="s">
        <v>92</v>
      </c>
      <c r="I155" s="374" t="s">
        <v>2604</v>
      </c>
      <c r="J155" s="374" t="s">
        <v>92</v>
      </c>
      <c r="K155" s="377" t="s">
        <v>92</v>
      </c>
      <c r="L155" s="1029"/>
      <c r="M155" s="770">
        <v>42</v>
      </c>
      <c r="N155" s="1553" t="s">
        <v>2708</v>
      </c>
      <c r="O155" s="1029"/>
      <c r="P155" s="1029"/>
      <c r="Q155" s="1029"/>
      <c r="R155" s="1015"/>
      <c r="S155" s="771">
        <v>42</v>
      </c>
      <c r="T155" s="1553" t="s">
        <v>2709</v>
      </c>
      <c r="U155" s="1029"/>
      <c r="V155" s="1029"/>
      <c r="W155" s="1029"/>
      <c r="X155" s="1015"/>
      <c r="AE155" s="372">
        <v>2012</v>
      </c>
      <c r="AF155" s="373" t="s">
        <v>1760</v>
      </c>
      <c r="AG155" s="373" t="s">
        <v>2710</v>
      </c>
      <c r="AH155" s="373" t="s">
        <v>2711</v>
      </c>
      <c r="AI155" s="373" t="s">
        <v>2712</v>
      </c>
      <c r="AJ155" s="373"/>
      <c r="AK155" s="373"/>
      <c r="AL155" s="373" t="s">
        <v>2695</v>
      </c>
      <c r="AM155" s="373" t="s">
        <v>1550</v>
      </c>
      <c r="AN155" s="373" t="s">
        <v>2713</v>
      </c>
      <c r="AO155" s="374" t="s">
        <v>2714</v>
      </c>
      <c r="AP155" s="374" t="s">
        <v>2698</v>
      </c>
      <c r="AQ155" s="373" t="s">
        <v>2715</v>
      </c>
      <c r="AR155" s="373" t="s">
        <v>2716</v>
      </c>
      <c r="AS155" s="374" t="s">
        <v>2717</v>
      </c>
      <c r="AT155" s="372">
        <v>2012</v>
      </c>
    </row>
    <row r="156" spans="1:46" ht="9.9" customHeight="1">
      <c r="A156" s="376" t="s">
        <v>2718</v>
      </c>
      <c r="B156" s="376" t="s">
        <v>2718</v>
      </c>
      <c r="C156" s="646" t="s">
        <v>2565</v>
      </c>
      <c r="D156" s="374" t="s">
        <v>2689</v>
      </c>
      <c r="E156" s="374" t="s">
        <v>2681</v>
      </c>
      <c r="F156" s="374" t="s">
        <v>2719</v>
      </c>
      <c r="G156" s="374" t="s">
        <v>92</v>
      </c>
      <c r="H156" s="374" t="s">
        <v>92</v>
      </c>
      <c r="I156" s="374" t="s">
        <v>2604</v>
      </c>
      <c r="J156" s="374" t="s">
        <v>92</v>
      </c>
      <c r="K156" s="377" t="s">
        <v>92</v>
      </c>
      <c r="L156" s="1029"/>
      <c r="M156" s="770">
        <v>43</v>
      </c>
      <c r="N156" s="1553" t="s">
        <v>2720</v>
      </c>
      <c r="O156" s="1029"/>
      <c r="P156" s="1029"/>
      <c r="Q156" s="1029"/>
      <c r="R156" s="1015"/>
      <c r="S156" s="771">
        <v>43</v>
      </c>
      <c r="T156" s="1553" t="s">
        <v>2721</v>
      </c>
      <c r="U156" s="1029"/>
      <c r="V156" s="1029"/>
      <c r="W156" s="1029"/>
      <c r="X156" s="1015"/>
      <c r="AE156" s="372">
        <v>2013</v>
      </c>
      <c r="AF156" s="772" t="s">
        <v>2722</v>
      </c>
      <c r="AG156" s="772" t="s">
        <v>2723</v>
      </c>
      <c r="AH156" s="772"/>
      <c r="AI156" s="772" t="s">
        <v>2724</v>
      </c>
      <c r="AJ156" s="374" t="s">
        <v>2725</v>
      </c>
      <c r="AK156" s="772" t="s">
        <v>2726</v>
      </c>
      <c r="AL156" s="373" t="s">
        <v>2695</v>
      </c>
      <c r="AM156" s="373" t="s">
        <v>1561</v>
      </c>
      <c r="AN156" s="373" t="s">
        <v>2727</v>
      </c>
      <c r="AO156" s="773" t="s">
        <v>2728</v>
      </c>
      <c r="AP156" s="374" t="s">
        <v>2698</v>
      </c>
      <c r="AQ156" s="772" t="s">
        <v>2715</v>
      </c>
      <c r="AR156" s="373" t="s">
        <v>2729</v>
      </c>
      <c r="AT156" s="372">
        <v>2013</v>
      </c>
    </row>
    <row r="157" spans="1:46" ht="9.9" customHeight="1">
      <c r="A157" s="376" t="s">
        <v>2730</v>
      </c>
      <c r="B157" s="376" t="s">
        <v>2730</v>
      </c>
      <c r="C157" s="646" t="s">
        <v>2565</v>
      </c>
      <c r="D157" s="374" t="s">
        <v>2689</v>
      </c>
      <c r="E157" s="374" t="s">
        <v>2681</v>
      </c>
      <c r="F157" s="374" t="s">
        <v>2731</v>
      </c>
      <c r="G157" s="374" t="s">
        <v>92</v>
      </c>
      <c r="H157" s="374" t="s">
        <v>92</v>
      </c>
      <c r="I157" s="374" t="s">
        <v>2604</v>
      </c>
      <c r="J157" s="374" t="s">
        <v>92</v>
      </c>
      <c r="K157" s="377" t="s">
        <v>92</v>
      </c>
      <c r="L157" s="1029"/>
      <c r="M157" s="770">
        <v>44</v>
      </c>
      <c r="N157" s="1553" t="s">
        <v>2732</v>
      </c>
      <c r="O157" s="1029"/>
      <c r="P157" s="1029"/>
      <c r="Q157" s="1029"/>
      <c r="R157" s="1015"/>
      <c r="S157" s="771">
        <v>44</v>
      </c>
      <c r="T157" s="1553" t="s">
        <v>2733</v>
      </c>
      <c r="U157" s="1029"/>
      <c r="V157" s="1029"/>
      <c r="W157" s="1029"/>
      <c r="X157" s="1015"/>
      <c r="AE157" s="372">
        <v>2014</v>
      </c>
      <c r="AF157" s="374" t="s">
        <v>2734</v>
      </c>
      <c r="AG157" s="374" t="s">
        <v>2735</v>
      </c>
      <c r="AH157" s="374" t="s">
        <v>2736</v>
      </c>
      <c r="AI157" s="374" t="s">
        <v>2737</v>
      </c>
      <c r="AJ157" s="374" t="s">
        <v>2738</v>
      </c>
      <c r="AK157" s="374" t="s">
        <v>2739</v>
      </c>
      <c r="AL157" s="373" t="s">
        <v>2695</v>
      </c>
      <c r="AM157" s="373" t="s">
        <v>1577</v>
      </c>
      <c r="AN157" s="373" t="s">
        <v>2740</v>
      </c>
      <c r="AO157" s="373" t="s">
        <v>2741</v>
      </c>
      <c r="AP157" s="374" t="s">
        <v>2698</v>
      </c>
      <c r="AQ157" s="374" t="s">
        <v>2715</v>
      </c>
      <c r="AR157" s="373" t="s">
        <v>2742</v>
      </c>
      <c r="AT157" s="372">
        <v>2014</v>
      </c>
    </row>
    <row r="158" spans="1:46" ht="9.9" customHeight="1">
      <c r="A158" s="376" t="s">
        <v>2743</v>
      </c>
      <c r="B158" s="376" t="s">
        <v>134</v>
      </c>
      <c r="C158" s="646" t="s">
        <v>2472</v>
      </c>
      <c r="D158" s="374" t="s">
        <v>2689</v>
      </c>
      <c r="E158" s="374" t="s">
        <v>2681</v>
      </c>
      <c r="F158" s="374" t="s">
        <v>2744</v>
      </c>
      <c r="G158" s="374" t="s">
        <v>92</v>
      </c>
      <c r="H158" s="374" t="s">
        <v>92</v>
      </c>
      <c r="I158" s="374" t="s">
        <v>2604</v>
      </c>
      <c r="J158" s="374" t="s">
        <v>92</v>
      </c>
      <c r="K158" s="377" t="s">
        <v>92</v>
      </c>
      <c r="L158" s="1029"/>
      <c r="M158" s="770">
        <v>45</v>
      </c>
      <c r="N158" s="1553" t="s">
        <v>2745</v>
      </c>
      <c r="O158" s="1029"/>
      <c r="P158" s="1029"/>
      <c r="Q158" s="1029"/>
      <c r="R158" s="1015"/>
      <c r="S158" s="771">
        <v>45</v>
      </c>
      <c r="T158" s="1553" t="s">
        <v>2746</v>
      </c>
      <c r="U158" s="1029"/>
      <c r="V158" s="1029"/>
      <c r="W158" s="1029"/>
      <c r="X158" s="1015"/>
      <c r="AE158" s="372">
        <v>2015</v>
      </c>
      <c r="AF158" s="374" t="s">
        <v>2747</v>
      </c>
      <c r="AI158" s="374" t="s">
        <v>2748</v>
      </c>
      <c r="AJ158" s="374" t="s">
        <v>2749</v>
      </c>
      <c r="AL158" s="373" t="s">
        <v>2695</v>
      </c>
      <c r="AM158" s="373" t="s">
        <v>1593</v>
      </c>
      <c r="AN158" s="373" t="s">
        <v>2750</v>
      </c>
      <c r="AO158" s="373" t="s">
        <v>2751</v>
      </c>
      <c r="AP158" s="374" t="s">
        <v>2698</v>
      </c>
      <c r="AQ158" s="374" t="s">
        <v>2715</v>
      </c>
      <c r="AR158" s="373" t="s">
        <v>2752</v>
      </c>
      <c r="AT158" s="372">
        <v>2015</v>
      </c>
    </row>
    <row r="159" spans="1:46" ht="9.9" customHeight="1">
      <c r="B159" s="376" t="s">
        <v>2743</v>
      </c>
      <c r="C159" s="646" t="s">
        <v>2565</v>
      </c>
      <c r="D159" s="374" t="s">
        <v>2689</v>
      </c>
      <c r="E159" s="374" t="s">
        <v>2681</v>
      </c>
      <c r="F159" s="374" t="s">
        <v>2753</v>
      </c>
      <c r="G159" s="374" t="s">
        <v>92</v>
      </c>
      <c r="H159" s="374" t="s">
        <v>92</v>
      </c>
      <c r="I159" s="374" t="s">
        <v>2604</v>
      </c>
      <c r="J159" s="374" t="s">
        <v>92</v>
      </c>
      <c r="K159" s="377" t="s">
        <v>92</v>
      </c>
      <c r="L159" s="1029"/>
      <c r="M159" s="770">
        <v>46</v>
      </c>
      <c r="N159" s="1553" t="s">
        <v>2754</v>
      </c>
      <c r="O159" s="1029"/>
      <c r="P159" s="1029"/>
      <c r="Q159" s="1029"/>
      <c r="R159" s="1015"/>
      <c r="S159" s="771">
        <v>46</v>
      </c>
      <c r="T159" s="1553" t="s">
        <v>2755</v>
      </c>
      <c r="U159" s="1029"/>
      <c r="V159" s="1029"/>
      <c r="W159" s="1029"/>
      <c r="X159" s="1015"/>
      <c r="AE159" s="372">
        <v>2016</v>
      </c>
      <c r="AF159" s="374" t="s">
        <v>2756</v>
      </c>
      <c r="AI159" s="374" t="s">
        <v>92</v>
      </c>
      <c r="AL159" s="373" t="s">
        <v>2695</v>
      </c>
      <c r="AM159" s="373" t="s">
        <v>1608</v>
      </c>
      <c r="AN159" s="373" t="s">
        <v>2757</v>
      </c>
      <c r="AO159" s="373" t="s">
        <v>2758</v>
      </c>
      <c r="AP159" s="373" t="s">
        <v>6112</v>
      </c>
      <c r="AR159" s="373" t="s">
        <v>2759</v>
      </c>
      <c r="AS159" s="374" t="s">
        <v>2715</v>
      </c>
      <c r="AT159" s="372">
        <v>2016</v>
      </c>
    </row>
    <row r="160" spans="1:46" ht="9.9" customHeight="1">
      <c r="B160" s="376" t="s">
        <v>2183</v>
      </c>
      <c r="C160" s="646" t="s">
        <v>212</v>
      </c>
      <c r="D160" s="374" t="s">
        <v>212</v>
      </c>
      <c r="E160" s="374" t="s">
        <v>212</v>
      </c>
      <c r="F160" s="374" t="s">
        <v>212</v>
      </c>
      <c r="G160" s="374" t="s">
        <v>212</v>
      </c>
      <c r="H160" s="374" t="s">
        <v>212</v>
      </c>
      <c r="I160" s="374" t="s">
        <v>212</v>
      </c>
      <c r="J160" s="374" t="s">
        <v>212</v>
      </c>
      <c r="K160" s="377" t="s">
        <v>212</v>
      </c>
      <c r="L160" s="1029"/>
      <c r="M160" s="770">
        <v>47</v>
      </c>
      <c r="N160" s="1553" t="s">
        <v>2760</v>
      </c>
      <c r="O160" s="1029"/>
      <c r="P160" s="1029"/>
      <c r="Q160" s="1029"/>
      <c r="R160" s="1015"/>
      <c r="S160" s="771">
        <v>47</v>
      </c>
      <c r="T160" s="1553" t="s">
        <v>2761</v>
      </c>
      <c r="U160" s="1029"/>
      <c r="V160" s="1029"/>
      <c r="W160" s="1029"/>
      <c r="X160" s="1015"/>
      <c r="AE160" s="372">
        <v>2017</v>
      </c>
      <c r="AF160" s="374" t="s">
        <v>2762</v>
      </c>
      <c r="AG160" s="374" t="s">
        <v>2763</v>
      </c>
      <c r="AI160" s="374" t="s">
        <v>92</v>
      </c>
      <c r="AL160" s="373" t="s">
        <v>2695</v>
      </c>
      <c r="AM160" s="373" t="s">
        <v>1620</v>
      </c>
      <c r="AN160" s="373" t="s">
        <v>2764</v>
      </c>
      <c r="AO160" s="373" t="s">
        <v>2765</v>
      </c>
      <c r="AP160" s="373" t="s">
        <v>2766</v>
      </c>
      <c r="AQ160" s="374" t="s">
        <v>2767</v>
      </c>
      <c r="AR160" s="373" t="s">
        <v>2759</v>
      </c>
      <c r="AS160" s="374" t="s">
        <v>2767</v>
      </c>
      <c r="AT160" s="372">
        <v>2017</v>
      </c>
    </row>
    <row r="161" spans="2:55" ht="9.9" customHeight="1">
      <c r="B161" s="715" t="s">
        <v>143</v>
      </c>
      <c r="C161" s="646" t="s">
        <v>2768</v>
      </c>
      <c r="D161" s="374" t="s">
        <v>92</v>
      </c>
      <c r="E161" s="374" t="s">
        <v>2769</v>
      </c>
      <c r="F161" s="374" t="s">
        <v>2770</v>
      </c>
      <c r="G161" s="374" t="s">
        <v>92</v>
      </c>
      <c r="H161" s="374" t="s">
        <v>92</v>
      </c>
      <c r="I161" s="374" t="s">
        <v>2771</v>
      </c>
      <c r="J161" s="374" t="s">
        <v>2772</v>
      </c>
      <c r="K161" s="377" t="s">
        <v>2773</v>
      </c>
      <c r="L161" s="1029"/>
      <c r="M161" s="770">
        <v>48</v>
      </c>
      <c r="N161" s="1553" t="s">
        <v>2774</v>
      </c>
      <c r="O161" s="1029"/>
      <c r="P161" s="1029"/>
      <c r="Q161" s="1029"/>
      <c r="R161" s="1015"/>
      <c r="S161" s="771">
        <v>48</v>
      </c>
      <c r="T161" s="1553" t="s">
        <v>2775</v>
      </c>
      <c r="U161" s="1029"/>
      <c r="V161" s="1029"/>
      <c r="W161" s="1029"/>
      <c r="X161" s="1015"/>
      <c r="AE161" s="372">
        <v>2018</v>
      </c>
      <c r="AF161" s="374" t="s">
        <v>2776</v>
      </c>
      <c r="AG161" s="374" t="s">
        <v>2777</v>
      </c>
      <c r="AI161" s="374" t="s">
        <v>2778</v>
      </c>
      <c r="AL161" s="373" t="s">
        <v>2695</v>
      </c>
      <c r="AM161" s="373" t="s">
        <v>1637</v>
      </c>
      <c r="AN161" s="373" t="s">
        <v>2779</v>
      </c>
      <c r="AO161" s="373" t="s">
        <v>2780</v>
      </c>
      <c r="AP161" s="373" t="s">
        <v>2781</v>
      </c>
      <c r="AQ161" s="374" t="s">
        <v>2767</v>
      </c>
      <c r="AR161" s="373" t="s">
        <v>2759</v>
      </c>
      <c r="AS161" s="374" t="s">
        <v>2767</v>
      </c>
      <c r="AT161" s="372">
        <v>2018</v>
      </c>
      <c r="BB161" s="775"/>
      <c r="BC161" s="776"/>
    </row>
    <row r="162" spans="2:55" ht="9.9" customHeight="1">
      <c r="B162" s="715" t="s">
        <v>145</v>
      </c>
      <c r="C162" s="646" t="s">
        <v>2129</v>
      </c>
      <c r="D162" s="374" t="s">
        <v>92</v>
      </c>
      <c r="E162" s="374" t="s">
        <v>92</v>
      </c>
      <c r="F162" s="374" t="s">
        <v>2782</v>
      </c>
      <c r="G162" s="374" t="s">
        <v>2783</v>
      </c>
      <c r="H162" s="374" t="s">
        <v>2784</v>
      </c>
      <c r="I162" s="374" t="s">
        <v>2785</v>
      </c>
      <c r="J162" s="374" t="s">
        <v>2786</v>
      </c>
      <c r="K162" s="377" t="s">
        <v>2787</v>
      </c>
      <c r="L162" s="1029"/>
      <c r="M162" s="770">
        <v>49</v>
      </c>
      <c r="N162" s="1553" t="s">
        <v>2788</v>
      </c>
      <c r="O162" s="1029"/>
      <c r="P162" s="1029"/>
      <c r="Q162" s="1029"/>
      <c r="R162" s="1015"/>
      <c r="S162" s="771">
        <v>49</v>
      </c>
      <c r="T162" s="1553" t="s">
        <v>2789</v>
      </c>
      <c r="U162" s="1029"/>
      <c r="V162" s="1029"/>
      <c r="W162" s="1029"/>
      <c r="X162" s="1015"/>
      <c r="AE162" s="372">
        <v>2019</v>
      </c>
      <c r="AF162" s="374" t="s">
        <v>2790</v>
      </c>
      <c r="AG162" s="374" t="s">
        <v>2791</v>
      </c>
      <c r="AH162" s="374" t="s">
        <v>2792</v>
      </c>
      <c r="AI162" s="374" t="s">
        <v>2793</v>
      </c>
      <c r="AL162" s="373" t="s">
        <v>2695</v>
      </c>
      <c r="AM162" s="373" t="s">
        <v>1989</v>
      </c>
      <c r="AN162" s="373" t="s">
        <v>2794</v>
      </c>
      <c r="AO162" s="373" t="s">
        <v>2795</v>
      </c>
      <c r="AP162" s="373" t="s">
        <v>6111</v>
      </c>
      <c r="AQ162" s="374" t="s">
        <v>2767</v>
      </c>
      <c r="AR162" s="373" t="s">
        <v>2759</v>
      </c>
      <c r="AS162" s="374" t="s">
        <v>2767</v>
      </c>
      <c r="AT162" s="372">
        <v>2019</v>
      </c>
      <c r="BB162" s="775"/>
      <c r="BC162" s="776"/>
    </row>
    <row r="163" spans="2:55" ht="9.9" customHeight="1">
      <c r="B163" s="715" t="s">
        <v>148</v>
      </c>
      <c r="C163" s="646" t="s">
        <v>2459</v>
      </c>
      <c r="D163" s="374" t="s">
        <v>2460</v>
      </c>
      <c r="E163" s="374" t="s">
        <v>2461</v>
      </c>
      <c r="F163" s="374" t="s">
        <v>2796</v>
      </c>
      <c r="G163" s="374" t="s">
        <v>2463</v>
      </c>
      <c r="H163" s="374" t="s">
        <v>2464</v>
      </c>
      <c r="I163" s="373" t="s">
        <v>2797</v>
      </c>
      <c r="J163" s="374" t="s">
        <v>2798</v>
      </c>
      <c r="K163" s="377" t="s">
        <v>2799</v>
      </c>
      <c r="L163" s="1029"/>
      <c r="M163" s="770">
        <v>50</v>
      </c>
      <c r="N163" s="1553" t="s">
        <v>2800</v>
      </c>
      <c r="O163" s="1029"/>
      <c r="P163" s="1029"/>
      <c r="Q163" s="1029"/>
      <c r="R163" s="1015"/>
      <c r="S163" s="771">
        <v>50</v>
      </c>
      <c r="T163" s="1553" t="s">
        <v>2801</v>
      </c>
      <c r="U163" s="1029"/>
      <c r="V163" s="1029"/>
      <c r="W163" s="1029"/>
      <c r="X163" s="1015"/>
      <c r="AE163" s="372">
        <v>2020</v>
      </c>
      <c r="AF163" s="374" t="s">
        <v>2802</v>
      </c>
      <c r="AG163" s="374" t="s">
        <v>2803</v>
      </c>
      <c r="AH163" s="374" t="s">
        <v>2804</v>
      </c>
      <c r="AI163" s="374" t="s">
        <v>2805</v>
      </c>
      <c r="AJ163" s="374" t="s">
        <v>2806</v>
      </c>
      <c r="AK163" s="374" t="s">
        <v>2807</v>
      </c>
      <c r="AL163" s="373" t="s">
        <v>2808</v>
      </c>
      <c r="AM163" s="373" t="s">
        <v>1669</v>
      </c>
      <c r="AN163" s="373" t="s">
        <v>2809</v>
      </c>
      <c r="AO163" s="373" t="s">
        <v>2810</v>
      </c>
      <c r="AP163" s="373" t="s">
        <v>2781</v>
      </c>
      <c r="AQ163" s="374" t="s">
        <v>2767</v>
      </c>
      <c r="AR163" s="373" t="s">
        <v>2759</v>
      </c>
      <c r="AS163" s="374" t="s">
        <v>2767</v>
      </c>
      <c r="AT163" s="372">
        <v>2020</v>
      </c>
      <c r="AU163" s="777"/>
      <c r="AV163" s="778"/>
      <c r="AW163" s="778"/>
      <c r="AX163" s="778"/>
      <c r="AY163" s="778"/>
      <c r="AZ163" s="778"/>
      <c r="BA163" s="778"/>
      <c r="BB163" s="779"/>
      <c r="BC163" s="776"/>
    </row>
    <row r="164" spans="2:55" ht="8.85" customHeight="1">
      <c r="B164" s="715" t="s">
        <v>150</v>
      </c>
      <c r="C164" s="646" t="s">
        <v>2472</v>
      </c>
      <c r="D164" s="374" t="s">
        <v>92</v>
      </c>
      <c r="E164" s="374" t="s">
        <v>92</v>
      </c>
      <c r="F164" s="374" t="s">
        <v>2811</v>
      </c>
      <c r="G164" s="374" t="s">
        <v>2812</v>
      </c>
      <c r="H164" s="374" t="s">
        <v>2813</v>
      </c>
      <c r="I164" s="374" t="s">
        <v>2814</v>
      </c>
      <c r="J164" s="374" t="s">
        <v>2815</v>
      </c>
      <c r="K164" s="377" t="s">
        <v>2816</v>
      </c>
      <c r="L164" s="1029"/>
      <c r="M164" s="770">
        <v>51</v>
      </c>
      <c r="N164" s="1553" t="s">
        <v>2817</v>
      </c>
      <c r="O164" s="1029"/>
      <c r="P164" s="1029"/>
      <c r="Q164" s="1029"/>
      <c r="R164" s="1015"/>
      <c r="S164" s="771">
        <v>51</v>
      </c>
      <c r="T164" s="1553" t="s">
        <v>2818</v>
      </c>
      <c r="U164" s="1029"/>
      <c r="V164" s="1029"/>
      <c r="W164" s="1029"/>
      <c r="X164" s="1015"/>
      <c r="AE164" s="374">
        <v>2021</v>
      </c>
      <c r="AF164" s="374" t="s">
        <v>2819</v>
      </c>
      <c r="AG164" s="374" t="s">
        <v>2820</v>
      </c>
      <c r="AH164" s="374" t="s">
        <v>2821</v>
      </c>
      <c r="AI164" s="374" t="s">
        <v>2822</v>
      </c>
      <c r="AJ164" s="374" t="s">
        <v>2823</v>
      </c>
      <c r="AK164" s="374" t="s">
        <v>2824</v>
      </c>
      <c r="AL164" s="373" t="s">
        <v>2808</v>
      </c>
      <c r="AM164" s="379" t="s">
        <v>1682</v>
      </c>
      <c r="AN164" s="374" t="s">
        <v>2825</v>
      </c>
      <c r="AO164" s="841" t="s">
        <v>2826</v>
      </c>
      <c r="AP164" s="373" t="s">
        <v>2781</v>
      </c>
      <c r="AQ164" s="374" t="s">
        <v>2767</v>
      </c>
      <c r="AR164" s="373" t="s">
        <v>2759</v>
      </c>
      <c r="AS164" s="374" t="s">
        <v>2767</v>
      </c>
      <c r="AT164" s="374">
        <v>2021</v>
      </c>
    </row>
    <row r="165" spans="2:55" ht="8.85" customHeight="1">
      <c r="B165" s="715" t="s">
        <v>2827</v>
      </c>
      <c r="C165" s="646" t="s">
        <v>2144</v>
      </c>
      <c r="D165" s="374" t="s">
        <v>2192</v>
      </c>
      <c r="E165" s="374" t="s">
        <v>92</v>
      </c>
      <c r="F165" s="374" t="s">
        <v>2828</v>
      </c>
      <c r="G165" s="374" t="s">
        <v>2829</v>
      </c>
      <c r="H165" s="374" t="s">
        <v>2830</v>
      </c>
      <c r="I165" s="374" t="s">
        <v>2831</v>
      </c>
      <c r="J165" s="374" t="s">
        <v>2832</v>
      </c>
      <c r="K165" s="377" t="s">
        <v>2833</v>
      </c>
      <c r="L165" s="1029"/>
      <c r="M165" s="770">
        <v>52</v>
      </c>
      <c r="N165" s="1553" t="s">
        <v>2834</v>
      </c>
      <c r="O165" s="1029"/>
      <c r="P165" s="1029"/>
      <c r="Q165" s="1029"/>
      <c r="R165" s="1015"/>
      <c r="S165" s="771">
        <v>52</v>
      </c>
      <c r="T165" s="1553" t="s">
        <v>2835</v>
      </c>
      <c r="U165" s="1029"/>
      <c r="V165" s="1029"/>
      <c r="W165" s="1029"/>
      <c r="X165" s="1015"/>
      <c r="AE165" s="374">
        <v>2022</v>
      </c>
      <c r="AF165" s="374" t="s">
        <v>2836</v>
      </c>
      <c r="AG165" s="374" t="s">
        <v>2837</v>
      </c>
      <c r="AH165" s="373"/>
      <c r="AI165" s="374" t="s">
        <v>2838</v>
      </c>
      <c r="AK165" s="374" t="s">
        <v>2839</v>
      </c>
      <c r="AL165" s="373" t="s">
        <v>2808</v>
      </c>
      <c r="AM165" s="373" t="s">
        <v>1696</v>
      </c>
      <c r="AN165" s="374" t="s">
        <v>2840</v>
      </c>
      <c r="AO165" s="373" t="s">
        <v>2841</v>
      </c>
      <c r="AP165" s="373" t="s">
        <v>2781</v>
      </c>
      <c r="AQ165" s="374" t="s">
        <v>2767</v>
      </c>
      <c r="AS165" s="374" t="s">
        <v>2767</v>
      </c>
      <c r="AT165" s="374">
        <v>2022</v>
      </c>
      <c r="AW165" s="684"/>
      <c r="AY165" s="634"/>
      <c r="AZ165" s="634"/>
      <c r="BA165" s="634"/>
      <c r="BB165" s="634"/>
      <c r="BC165" s="634"/>
    </row>
    <row r="166" spans="2:55" ht="8.85" customHeight="1">
      <c r="B166" s="715" t="s">
        <v>158</v>
      </c>
      <c r="C166" s="646" t="s">
        <v>2842</v>
      </c>
      <c r="D166" s="374" t="s">
        <v>92</v>
      </c>
      <c r="E166" s="374" t="s">
        <v>92</v>
      </c>
      <c r="F166" s="374" t="s">
        <v>2843</v>
      </c>
      <c r="G166" s="374" t="s">
        <v>92</v>
      </c>
      <c r="H166" s="374" t="s">
        <v>92</v>
      </c>
      <c r="I166" s="374" t="s">
        <v>2831</v>
      </c>
      <c r="J166" s="374" t="s">
        <v>2832</v>
      </c>
      <c r="K166" s="377" t="s">
        <v>2833</v>
      </c>
      <c r="L166" s="1029"/>
      <c r="M166" s="770">
        <v>53</v>
      </c>
      <c r="N166" s="1553" t="s">
        <v>2844</v>
      </c>
      <c r="O166" s="1029"/>
      <c r="P166" s="1029"/>
      <c r="Q166" s="1029"/>
      <c r="R166" s="1015"/>
      <c r="S166" s="771">
        <v>53</v>
      </c>
      <c r="T166" s="1553" t="s">
        <v>2845</v>
      </c>
      <c r="U166" s="1029"/>
      <c r="V166" s="1029"/>
      <c r="W166" s="1029"/>
      <c r="X166" s="1015"/>
      <c r="AE166" s="374">
        <v>2023</v>
      </c>
      <c r="AF166" s="373" t="s">
        <v>6099</v>
      </c>
      <c r="AI166" s="374" t="s">
        <v>2846</v>
      </c>
      <c r="AJ166" s="374" t="s">
        <v>2847</v>
      </c>
      <c r="AL166" s="373" t="s">
        <v>2808</v>
      </c>
      <c r="AM166" s="373" t="s">
        <v>1711</v>
      </c>
      <c r="AN166" s="374" t="s">
        <v>2848</v>
      </c>
      <c r="AO166" s="373" t="s">
        <v>6114</v>
      </c>
      <c r="AP166" s="373" t="s">
        <v>2781</v>
      </c>
      <c r="AQ166" s="374" t="s">
        <v>2767</v>
      </c>
      <c r="AS166" s="374" t="s">
        <v>2767</v>
      </c>
      <c r="AT166" s="374">
        <v>2023</v>
      </c>
      <c r="AW166" s="376"/>
      <c r="AX166" s="374" t="s">
        <v>2849</v>
      </c>
      <c r="BA166" s="374" t="s">
        <v>2850</v>
      </c>
      <c r="BC166" s="780" t="s">
        <v>2851</v>
      </c>
    </row>
    <row r="167" spans="2:55" ht="8.85" customHeight="1">
      <c r="B167" s="715" t="s">
        <v>61</v>
      </c>
      <c r="C167" s="646" t="s">
        <v>2129</v>
      </c>
      <c r="D167" s="374" t="s">
        <v>92</v>
      </c>
      <c r="E167" s="374" t="s">
        <v>92</v>
      </c>
      <c r="F167" s="374" t="s">
        <v>2852</v>
      </c>
      <c r="G167" s="374" t="s">
        <v>2853</v>
      </c>
      <c r="H167" s="374" t="s">
        <v>2854</v>
      </c>
      <c r="I167" s="374" t="s">
        <v>2855</v>
      </c>
      <c r="J167" s="374" t="s">
        <v>2856</v>
      </c>
      <c r="K167" s="377" t="s">
        <v>2857</v>
      </c>
      <c r="L167" s="1029"/>
      <c r="M167" s="770">
        <v>54</v>
      </c>
      <c r="N167" s="1553" t="s">
        <v>2858</v>
      </c>
      <c r="O167" s="1029"/>
      <c r="P167" s="1029"/>
      <c r="Q167" s="1029"/>
      <c r="R167" s="1015"/>
      <c r="S167" s="771">
        <v>54</v>
      </c>
      <c r="T167" s="1553" t="s">
        <v>2859</v>
      </c>
      <c r="U167" s="1029"/>
      <c r="V167" s="1029"/>
      <c r="W167" s="1029"/>
      <c r="X167" s="1015"/>
      <c r="AE167" s="374">
        <v>2024</v>
      </c>
      <c r="AF167" s="374" t="s">
        <v>2860</v>
      </c>
      <c r="AG167" s="374" t="s">
        <v>2861</v>
      </c>
      <c r="AH167" s="374" t="s">
        <v>92</v>
      </c>
      <c r="AI167" s="374" t="s">
        <v>2862</v>
      </c>
      <c r="AJ167" s="374" t="s">
        <v>92</v>
      </c>
      <c r="AK167" s="374" t="s">
        <v>92</v>
      </c>
      <c r="AL167" s="374" t="s">
        <v>2808</v>
      </c>
      <c r="AM167" s="373" t="s">
        <v>1724</v>
      </c>
      <c r="AN167" s="374" t="s">
        <v>2863</v>
      </c>
      <c r="AO167" s="373" t="s">
        <v>2864</v>
      </c>
      <c r="AP167" s="373" t="s">
        <v>2865</v>
      </c>
      <c r="AQ167" s="374" t="s">
        <v>2767</v>
      </c>
      <c r="AS167" s="374" t="s">
        <v>2767</v>
      </c>
      <c r="AT167" s="374">
        <v>2024</v>
      </c>
      <c r="AW167" s="376"/>
      <c r="AX167" s="374" t="s">
        <v>2866</v>
      </c>
      <c r="BA167" s="374" t="s">
        <v>2867</v>
      </c>
      <c r="BC167" s="781" t="s">
        <v>2868</v>
      </c>
    </row>
    <row r="168" spans="2:55" ht="8.85" customHeight="1">
      <c r="B168" s="715" t="s">
        <v>63</v>
      </c>
      <c r="C168" s="646" t="s">
        <v>2472</v>
      </c>
      <c r="D168" s="374" t="s">
        <v>92</v>
      </c>
      <c r="E168" s="374" t="s">
        <v>92</v>
      </c>
      <c r="F168" s="373" t="s">
        <v>2869</v>
      </c>
      <c r="G168" s="374" t="s">
        <v>2853</v>
      </c>
      <c r="H168" s="374" t="s">
        <v>2854</v>
      </c>
      <c r="I168" s="374" t="s">
        <v>2870</v>
      </c>
      <c r="J168" s="374" t="s">
        <v>2871</v>
      </c>
      <c r="K168" s="377" t="s">
        <v>2872</v>
      </c>
      <c r="L168" s="1029"/>
      <c r="M168" s="770">
        <v>55</v>
      </c>
      <c r="N168" s="1553" t="s">
        <v>2873</v>
      </c>
      <c r="O168" s="1029"/>
      <c r="P168" s="1029"/>
      <c r="Q168" s="1029"/>
      <c r="R168" s="1015"/>
      <c r="S168" s="771">
        <v>55</v>
      </c>
      <c r="T168" s="1553" t="s">
        <v>2874</v>
      </c>
      <c r="U168" s="1029"/>
      <c r="V168" s="1029"/>
      <c r="W168" s="1029"/>
      <c r="X168" s="1015"/>
      <c r="AE168" s="374">
        <v>2025</v>
      </c>
      <c r="AF168" s="374" t="s">
        <v>2860</v>
      </c>
      <c r="AG168" s="374" t="s">
        <v>2875</v>
      </c>
      <c r="AH168" s="374" t="s">
        <v>92</v>
      </c>
      <c r="AI168" s="374" t="s">
        <v>2876</v>
      </c>
      <c r="AJ168" s="374" t="s">
        <v>92</v>
      </c>
      <c r="AK168" s="374" t="s">
        <v>92</v>
      </c>
      <c r="AL168" s="374" t="s">
        <v>2808</v>
      </c>
      <c r="AM168" s="373" t="s">
        <v>1736</v>
      </c>
      <c r="AN168" s="374" t="s">
        <v>2877</v>
      </c>
      <c r="AO168" s="373" t="s">
        <v>2878</v>
      </c>
      <c r="AP168" s="373" t="s">
        <v>2879</v>
      </c>
      <c r="AQ168" s="374" t="s">
        <v>2767</v>
      </c>
      <c r="AS168" s="374" t="s">
        <v>2767</v>
      </c>
      <c r="AT168" s="374">
        <v>2025</v>
      </c>
      <c r="AW168" s="376"/>
      <c r="AX168" s="374" t="s">
        <v>2880</v>
      </c>
      <c r="BC168" s="781" t="s">
        <v>2881</v>
      </c>
    </row>
    <row r="169" spans="2:55" ht="8.85" customHeight="1">
      <c r="B169" s="715" t="s">
        <v>67</v>
      </c>
      <c r="C169" s="646" t="s">
        <v>2472</v>
      </c>
      <c r="D169" s="374" t="s">
        <v>92</v>
      </c>
      <c r="E169" s="374" t="s">
        <v>2882</v>
      </c>
      <c r="F169" s="374" t="s">
        <v>2883</v>
      </c>
      <c r="G169" s="374" t="s">
        <v>2884</v>
      </c>
      <c r="H169" s="374" t="s">
        <v>2885</v>
      </c>
      <c r="I169" s="374" t="s">
        <v>2886</v>
      </c>
      <c r="J169" s="374" t="s">
        <v>2887</v>
      </c>
      <c r="K169" s="377" t="s">
        <v>2888</v>
      </c>
      <c r="L169" s="1029"/>
      <c r="M169" s="770">
        <v>56</v>
      </c>
      <c r="N169" s="1553" t="s">
        <v>2889</v>
      </c>
      <c r="O169" s="1029"/>
      <c r="P169" s="1029"/>
      <c r="Q169" s="1029"/>
      <c r="R169" s="1015"/>
      <c r="S169" s="771">
        <v>56</v>
      </c>
      <c r="T169" s="1553" t="s">
        <v>2890</v>
      </c>
      <c r="U169" s="1029"/>
      <c r="V169" s="1029"/>
      <c r="W169" s="1029"/>
      <c r="X169" s="1015"/>
      <c r="AE169" s="374">
        <v>2026</v>
      </c>
      <c r="AF169" s="374" t="s">
        <v>2860</v>
      </c>
      <c r="AG169" s="374" t="s">
        <v>2891</v>
      </c>
      <c r="AH169" s="374" t="s">
        <v>2892</v>
      </c>
      <c r="AI169" s="374" t="s">
        <v>2893</v>
      </c>
      <c r="AJ169" s="374" t="s">
        <v>92</v>
      </c>
      <c r="AK169" s="374" t="s">
        <v>92</v>
      </c>
      <c r="AL169" s="374" t="s">
        <v>2808</v>
      </c>
      <c r="AM169" s="373" t="s">
        <v>1746</v>
      </c>
      <c r="AN169" s="374" t="s">
        <v>2894</v>
      </c>
      <c r="AO169" s="373" t="s">
        <v>2895</v>
      </c>
      <c r="AP169" s="373" t="s">
        <v>6111</v>
      </c>
      <c r="AQ169" s="374" t="s">
        <v>2767</v>
      </c>
      <c r="AS169" s="374" t="s">
        <v>2767</v>
      </c>
      <c r="AT169" s="374">
        <v>2026</v>
      </c>
      <c r="AW169" s="376"/>
      <c r="AX169" s="782" t="s">
        <v>2896</v>
      </c>
      <c r="BA169" s="374" t="s">
        <v>2897</v>
      </c>
      <c r="BC169" s="781" t="s">
        <v>2898</v>
      </c>
    </row>
    <row r="170" spans="2:55" ht="8.85" customHeight="1">
      <c r="B170" s="715" t="s">
        <v>70</v>
      </c>
      <c r="C170" s="646" t="s">
        <v>2144</v>
      </c>
      <c r="D170" s="374" t="s">
        <v>92</v>
      </c>
      <c r="E170" s="374" t="s">
        <v>92</v>
      </c>
      <c r="F170" s="374" t="s">
        <v>2899</v>
      </c>
      <c r="G170" s="374" t="s">
        <v>2900</v>
      </c>
      <c r="H170" s="374" t="s">
        <v>2901</v>
      </c>
      <c r="I170" s="374" t="s">
        <v>2902</v>
      </c>
      <c r="J170" s="381" t="s">
        <v>2903</v>
      </c>
      <c r="K170" s="377" t="s">
        <v>2904</v>
      </c>
      <c r="L170" s="1029"/>
      <c r="M170" s="770">
        <v>57</v>
      </c>
      <c r="N170" s="1553" t="s">
        <v>2905</v>
      </c>
      <c r="O170" s="1029"/>
      <c r="P170" s="1029"/>
      <c r="Q170" s="1029"/>
      <c r="R170" s="1015"/>
      <c r="S170" s="771">
        <v>57</v>
      </c>
      <c r="T170" s="1553" t="s">
        <v>2906</v>
      </c>
      <c r="U170" s="1029"/>
      <c r="V170" s="1029"/>
      <c r="W170" s="1029"/>
      <c r="X170" s="1015"/>
      <c r="AM170" s="373" t="s">
        <v>1753</v>
      </c>
      <c r="AW170" s="376"/>
      <c r="AX170" s="782" t="s">
        <v>2907</v>
      </c>
      <c r="BA170" s="374" t="s">
        <v>2908</v>
      </c>
      <c r="BC170" s="781" t="s">
        <v>2909</v>
      </c>
    </row>
    <row r="171" spans="2:55" ht="8.85" customHeight="1">
      <c r="B171" s="715" t="s">
        <v>72</v>
      </c>
      <c r="C171" s="646" t="s">
        <v>2565</v>
      </c>
      <c r="D171" s="374" t="s">
        <v>92</v>
      </c>
      <c r="E171" s="374" t="s">
        <v>92</v>
      </c>
      <c r="F171" s="374" t="s">
        <v>2910</v>
      </c>
      <c r="G171" s="374" t="s">
        <v>2911</v>
      </c>
      <c r="H171" s="374" t="s">
        <v>2911</v>
      </c>
      <c r="I171" s="374" t="s">
        <v>2912</v>
      </c>
      <c r="J171" s="381" t="s">
        <v>2913</v>
      </c>
      <c r="K171" s="377" t="s">
        <v>2914</v>
      </c>
      <c r="L171" s="1029"/>
      <c r="M171" s="770">
        <v>58</v>
      </c>
      <c r="N171" s="1553" t="s">
        <v>2915</v>
      </c>
      <c r="O171" s="1029"/>
      <c r="P171" s="1029"/>
      <c r="Q171" s="1029"/>
      <c r="R171" s="1015"/>
      <c r="S171" s="771">
        <v>58</v>
      </c>
      <c r="T171" s="1553" t="s">
        <v>2916</v>
      </c>
      <c r="U171" s="1029"/>
      <c r="V171" s="1029"/>
      <c r="W171" s="1029"/>
      <c r="X171" s="1015"/>
      <c r="AM171" s="373" t="s">
        <v>1761</v>
      </c>
      <c r="AW171" s="376"/>
      <c r="AX171" s="616" t="s">
        <v>2917</v>
      </c>
      <c r="BA171" s="374" t="s">
        <v>2918</v>
      </c>
      <c r="BC171" s="781" t="s">
        <v>2919</v>
      </c>
    </row>
    <row r="172" spans="2:55" ht="8.85" customHeight="1">
      <c r="B172" s="715" t="s">
        <v>74</v>
      </c>
      <c r="C172" s="646" t="s">
        <v>2144</v>
      </c>
      <c r="D172" s="374" t="s">
        <v>92</v>
      </c>
      <c r="E172" s="374" t="s">
        <v>92</v>
      </c>
      <c r="F172" s="374" t="s">
        <v>2920</v>
      </c>
      <c r="G172" s="374" t="s">
        <v>2921</v>
      </c>
      <c r="H172" s="374" t="s">
        <v>2922</v>
      </c>
      <c r="I172" s="374" t="s">
        <v>2923</v>
      </c>
      <c r="J172" s="381" t="s">
        <v>2924</v>
      </c>
      <c r="K172" s="377" t="s">
        <v>2925</v>
      </c>
      <c r="L172" s="1029"/>
      <c r="M172" s="770">
        <v>59</v>
      </c>
      <c r="N172" s="1553" t="s">
        <v>2926</v>
      </c>
      <c r="O172" s="1029"/>
      <c r="P172" s="1029"/>
      <c r="Q172" s="1029"/>
      <c r="R172" s="1015"/>
      <c r="S172" s="771">
        <v>59</v>
      </c>
      <c r="T172" s="1553" t="s">
        <v>2927</v>
      </c>
      <c r="U172" s="1029"/>
      <c r="V172" s="1029"/>
      <c r="W172" s="1029"/>
      <c r="X172" s="1015"/>
      <c r="AM172" s="373" t="s">
        <v>1770</v>
      </c>
      <c r="AW172" s="376"/>
      <c r="AX172" s="374" t="s">
        <v>2928</v>
      </c>
      <c r="BA172" s="374" t="s">
        <v>2929</v>
      </c>
      <c r="BC172" s="781" t="s">
        <v>212</v>
      </c>
    </row>
    <row r="173" spans="2:55" ht="8.85" customHeight="1">
      <c r="B173" s="715" t="s">
        <v>76</v>
      </c>
      <c r="C173" s="646" t="s">
        <v>2565</v>
      </c>
      <c r="D173" s="374" t="s">
        <v>92</v>
      </c>
      <c r="E173" s="374" t="s">
        <v>92</v>
      </c>
      <c r="F173" s="374" t="s">
        <v>2930</v>
      </c>
      <c r="G173" s="374" t="s">
        <v>2931</v>
      </c>
      <c r="H173" s="374" t="s">
        <v>2932</v>
      </c>
      <c r="I173" s="374" t="s">
        <v>2933</v>
      </c>
      <c r="J173" s="381" t="s">
        <v>2934</v>
      </c>
      <c r="K173" s="377" t="s">
        <v>2935</v>
      </c>
      <c r="L173" s="1029"/>
      <c r="M173" s="770">
        <v>60</v>
      </c>
      <c r="N173" s="1553" t="s">
        <v>2936</v>
      </c>
      <c r="O173" s="1029"/>
      <c r="P173" s="1029"/>
      <c r="Q173" s="1029"/>
      <c r="R173" s="1015"/>
      <c r="S173" s="771">
        <v>60</v>
      </c>
      <c r="T173" s="1553" t="s">
        <v>2937</v>
      </c>
      <c r="U173" s="1029"/>
      <c r="V173" s="1029"/>
      <c r="W173" s="1029"/>
      <c r="X173" s="1015"/>
      <c r="AM173" s="373" t="s">
        <v>1779</v>
      </c>
      <c r="AW173" s="376"/>
      <c r="AX173" s="374" t="s">
        <v>2938</v>
      </c>
      <c r="BC173" s="781" t="s">
        <v>2939</v>
      </c>
    </row>
    <row r="174" spans="2:55" ht="8.85" customHeight="1">
      <c r="B174" s="715" t="s">
        <v>79</v>
      </c>
      <c r="C174" s="646" t="s">
        <v>2565</v>
      </c>
      <c r="D174" s="374" t="s">
        <v>92</v>
      </c>
      <c r="E174" s="374" t="s">
        <v>92</v>
      </c>
      <c r="F174" s="373" t="s">
        <v>2940</v>
      </c>
      <c r="G174" s="374" t="s">
        <v>2941</v>
      </c>
      <c r="H174" s="374" t="s">
        <v>2942</v>
      </c>
      <c r="I174" s="381" t="s">
        <v>2943</v>
      </c>
      <c r="J174" s="381" t="s">
        <v>2944</v>
      </c>
      <c r="K174" s="377" t="s">
        <v>2945</v>
      </c>
      <c r="L174" s="1029"/>
      <c r="M174" s="770">
        <v>61</v>
      </c>
      <c r="N174" s="1553" t="s">
        <v>2946</v>
      </c>
      <c r="O174" s="1029"/>
      <c r="P174" s="1029"/>
      <c r="Q174" s="1029"/>
      <c r="R174" s="1015"/>
      <c r="S174" s="771">
        <v>61</v>
      </c>
      <c r="T174" s="1553" t="s">
        <v>2947</v>
      </c>
      <c r="U174" s="1029"/>
      <c r="V174" s="1029"/>
      <c r="W174" s="1029"/>
      <c r="X174" s="1015"/>
      <c r="AM174" s="373" t="s">
        <v>1789</v>
      </c>
      <c r="AW174" s="376"/>
      <c r="AX174" s="374" t="s">
        <v>2948</v>
      </c>
      <c r="BA174" s="374" t="s">
        <v>2949</v>
      </c>
      <c r="BC174" s="781" t="s">
        <v>2950</v>
      </c>
    </row>
    <row r="175" spans="2:55" ht="8.85" customHeight="1">
      <c r="B175" s="715" t="s">
        <v>82</v>
      </c>
      <c r="C175" s="646" t="s">
        <v>2129</v>
      </c>
      <c r="D175" s="374" t="s">
        <v>92</v>
      </c>
      <c r="E175" s="374" t="s">
        <v>92</v>
      </c>
      <c r="F175" s="374" t="s">
        <v>2951</v>
      </c>
      <c r="G175" s="374" t="s">
        <v>2952</v>
      </c>
      <c r="H175" s="374" t="s">
        <v>2953</v>
      </c>
      <c r="I175" s="381" t="s">
        <v>2954</v>
      </c>
      <c r="J175" s="374" t="s">
        <v>2955</v>
      </c>
      <c r="K175" s="377" t="s">
        <v>2956</v>
      </c>
      <c r="L175" s="1029"/>
      <c r="M175" s="770">
        <v>62</v>
      </c>
      <c r="N175" s="1553" t="s">
        <v>2957</v>
      </c>
      <c r="O175" s="1029"/>
      <c r="P175" s="1029"/>
      <c r="Q175" s="1029"/>
      <c r="R175" s="1015"/>
      <c r="S175" s="771">
        <v>62</v>
      </c>
      <c r="T175" s="1553" t="s">
        <v>2958</v>
      </c>
      <c r="U175" s="1029"/>
      <c r="V175" s="1029"/>
      <c r="W175" s="1029"/>
      <c r="X175" s="1015"/>
      <c r="AM175" s="373" t="s">
        <v>1802</v>
      </c>
      <c r="AW175" s="376"/>
      <c r="AX175" s="374" t="s">
        <v>2959</v>
      </c>
      <c r="BA175" s="374" t="s">
        <v>2960</v>
      </c>
      <c r="BC175" s="781" t="s">
        <v>2961</v>
      </c>
    </row>
    <row r="176" spans="2:55" ht="8.85" customHeight="1">
      <c r="B176" s="715" t="s">
        <v>87</v>
      </c>
      <c r="C176" s="646" t="s">
        <v>2144</v>
      </c>
      <c r="D176" s="374" t="s">
        <v>92</v>
      </c>
      <c r="E176" s="374" t="s">
        <v>92</v>
      </c>
      <c r="F176" s="374" t="s">
        <v>2962</v>
      </c>
      <c r="G176" s="374" t="s">
        <v>2963</v>
      </c>
      <c r="H176" s="381" t="s">
        <v>2964</v>
      </c>
      <c r="I176" s="381" t="s">
        <v>2965</v>
      </c>
      <c r="J176" s="374" t="s">
        <v>2966</v>
      </c>
      <c r="K176" s="377" t="s">
        <v>2967</v>
      </c>
      <c r="L176" s="1029"/>
      <c r="M176" s="770">
        <v>63</v>
      </c>
      <c r="N176" s="1553" t="s">
        <v>2968</v>
      </c>
      <c r="O176" s="1029"/>
      <c r="P176" s="1029"/>
      <c r="Q176" s="1029"/>
      <c r="R176" s="1015"/>
      <c r="S176" s="771">
        <v>63</v>
      </c>
      <c r="T176" s="1553" t="s">
        <v>2969</v>
      </c>
      <c r="U176" s="1029"/>
      <c r="V176" s="1029"/>
      <c r="W176" s="1029"/>
      <c r="X176" s="1015"/>
      <c r="AM176" s="373" t="s">
        <v>1811</v>
      </c>
      <c r="AW176" s="376"/>
      <c r="AX176" s="374" t="s">
        <v>2970</v>
      </c>
      <c r="BA176" s="374" t="s">
        <v>2971</v>
      </c>
      <c r="BC176" s="781" t="s">
        <v>2972</v>
      </c>
    </row>
    <row r="177" spans="2:55" ht="8.85" customHeight="1">
      <c r="B177" s="715" t="s">
        <v>95</v>
      </c>
      <c r="C177" s="646" t="s">
        <v>2565</v>
      </c>
      <c r="D177" s="374" t="s">
        <v>2460</v>
      </c>
      <c r="E177" s="374" t="s">
        <v>2461</v>
      </c>
      <c r="F177" s="374" t="s">
        <v>2973</v>
      </c>
      <c r="G177" s="374" t="s">
        <v>2463</v>
      </c>
      <c r="H177" s="374" t="s">
        <v>2464</v>
      </c>
      <c r="I177" s="373" t="s">
        <v>2974</v>
      </c>
      <c r="J177" s="374" t="s">
        <v>2975</v>
      </c>
      <c r="K177" s="377" t="s">
        <v>2976</v>
      </c>
      <c r="L177" s="1029"/>
      <c r="M177" s="770">
        <v>64</v>
      </c>
      <c r="N177" s="1553" t="s">
        <v>2977</v>
      </c>
      <c r="O177" s="1029"/>
      <c r="P177" s="1029"/>
      <c r="Q177" s="1029"/>
      <c r="R177" s="1015"/>
      <c r="S177" s="771">
        <v>64</v>
      </c>
      <c r="T177" s="1553" t="s">
        <v>2978</v>
      </c>
      <c r="U177" s="1029"/>
      <c r="V177" s="1029"/>
      <c r="W177" s="1029"/>
      <c r="X177" s="1015"/>
      <c r="AM177" s="373" t="s">
        <v>1817</v>
      </c>
      <c r="AW177" s="376"/>
      <c r="AX177" s="782" t="s">
        <v>2979</v>
      </c>
      <c r="BA177" s="374" t="s">
        <v>2980</v>
      </c>
      <c r="BC177" s="781" t="s">
        <v>2981</v>
      </c>
    </row>
    <row r="178" spans="2:55" ht="8.85" customHeight="1">
      <c r="B178" s="715" t="s">
        <v>360</v>
      </c>
      <c r="C178" s="646" t="s">
        <v>2144</v>
      </c>
      <c r="D178" s="374" t="s">
        <v>2192</v>
      </c>
      <c r="E178" s="374" t="s">
        <v>92</v>
      </c>
      <c r="F178" s="374" t="s">
        <v>2982</v>
      </c>
      <c r="G178" s="374" t="s">
        <v>92</v>
      </c>
      <c r="H178" s="374" t="s">
        <v>92</v>
      </c>
      <c r="I178" s="374" t="s">
        <v>92</v>
      </c>
      <c r="J178" s="374" t="s">
        <v>92</v>
      </c>
      <c r="K178" s="377" t="s">
        <v>92</v>
      </c>
      <c r="L178" s="1029"/>
      <c r="M178" s="770">
        <v>65</v>
      </c>
      <c r="N178" s="1553" t="s">
        <v>2983</v>
      </c>
      <c r="O178" s="1029"/>
      <c r="P178" s="1029"/>
      <c r="Q178" s="1029"/>
      <c r="R178" s="1015"/>
      <c r="S178" s="771">
        <v>65</v>
      </c>
      <c r="T178" s="1553" t="s">
        <v>2984</v>
      </c>
      <c r="U178" s="1029"/>
      <c r="V178" s="1029"/>
      <c r="W178" s="1029"/>
      <c r="X178" s="1015"/>
      <c r="AM178" s="373" t="s">
        <v>1822</v>
      </c>
      <c r="AW178" s="376"/>
      <c r="AX178" s="782" t="s">
        <v>2985</v>
      </c>
      <c r="BA178" s="374" t="s">
        <v>2986</v>
      </c>
      <c r="BC178" s="781" t="s">
        <v>2987</v>
      </c>
    </row>
    <row r="179" spans="2:55" ht="8.85" customHeight="1">
      <c r="B179" s="715" t="s">
        <v>104</v>
      </c>
      <c r="C179" s="646" t="s">
        <v>2144</v>
      </c>
      <c r="D179" s="374" t="s">
        <v>92</v>
      </c>
      <c r="E179" s="374" t="s">
        <v>92</v>
      </c>
      <c r="F179" s="374" t="s">
        <v>2988</v>
      </c>
      <c r="G179" s="374" t="s">
        <v>2989</v>
      </c>
      <c r="H179" s="374" t="s">
        <v>2990</v>
      </c>
      <c r="I179" s="374" t="s">
        <v>2991</v>
      </c>
      <c r="J179" s="374" t="s">
        <v>2992</v>
      </c>
      <c r="K179" s="377" t="s">
        <v>2993</v>
      </c>
      <c r="L179" s="1029"/>
      <c r="M179" s="770">
        <v>66</v>
      </c>
      <c r="N179" s="1553" t="s">
        <v>2994</v>
      </c>
      <c r="O179" s="1029"/>
      <c r="P179" s="1029"/>
      <c r="Q179" s="1029"/>
      <c r="R179" s="1015"/>
      <c r="S179" s="771">
        <v>66</v>
      </c>
      <c r="T179" s="1553" t="s">
        <v>2995</v>
      </c>
      <c r="U179" s="1029"/>
      <c r="V179" s="1029"/>
      <c r="W179" s="1029"/>
      <c r="X179" s="1015"/>
      <c r="AM179" s="373" t="s">
        <v>1829</v>
      </c>
      <c r="AW179" s="376"/>
      <c r="AX179" s="782" t="s">
        <v>2996</v>
      </c>
      <c r="BA179" s="374" t="s">
        <v>2997</v>
      </c>
      <c r="BC179" s="781" t="s">
        <v>2998</v>
      </c>
    </row>
    <row r="180" spans="2:55" ht="8.85" customHeight="1">
      <c r="B180" s="715" t="s">
        <v>106</v>
      </c>
      <c r="C180" s="646" t="s">
        <v>2565</v>
      </c>
      <c r="D180" s="374" t="s">
        <v>2460</v>
      </c>
      <c r="E180" s="373" t="s">
        <v>2999</v>
      </c>
      <c r="F180" s="374" t="s">
        <v>3000</v>
      </c>
      <c r="G180" s="374" t="s">
        <v>2463</v>
      </c>
      <c r="H180" s="374" t="s">
        <v>2464</v>
      </c>
      <c r="I180" s="374" t="s">
        <v>3001</v>
      </c>
      <c r="J180" s="374" t="s">
        <v>3002</v>
      </c>
      <c r="K180" s="377" t="s">
        <v>3003</v>
      </c>
      <c r="L180" s="1029"/>
      <c r="M180" s="770">
        <v>67</v>
      </c>
      <c r="N180" s="1553" t="s">
        <v>3004</v>
      </c>
      <c r="O180" s="1029"/>
      <c r="P180" s="1029"/>
      <c r="Q180" s="1029"/>
      <c r="R180" s="1015"/>
      <c r="S180" s="771">
        <v>67</v>
      </c>
      <c r="T180" s="1553" t="s">
        <v>3005</v>
      </c>
      <c r="U180" s="1029"/>
      <c r="V180" s="1029"/>
      <c r="W180" s="1029"/>
      <c r="X180" s="1015"/>
      <c r="AM180" s="373" t="s">
        <v>1838</v>
      </c>
      <c r="AW180" s="376"/>
      <c r="AX180" s="782" t="s">
        <v>3006</v>
      </c>
      <c r="BA180" s="374" t="s">
        <v>3007</v>
      </c>
      <c r="BC180" s="781" t="s">
        <v>3008</v>
      </c>
    </row>
    <row r="181" spans="2:55" ht="8.85" customHeight="1">
      <c r="B181" s="715" t="s">
        <v>110</v>
      </c>
      <c r="C181" s="646" t="s">
        <v>2129</v>
      </c>
      <c r="D181" s="374" t="s">
        <v>92</v>
      </c>
      <c r="E181" s="374" t="s">
        <v>3009</v>
      </c>
      <c r="F181" s="374" t="s">
        <v>3010</v>
      </c>
      <c r="G181" s="374" t="s">
        <v>3011</v>
      </c>
      <c r="H181" s="374" t="s">
        <v>3012</v>
      </c>
      <c r="I181" s="374" t="s">
        <v>3013</v>
      </c>
      <c r="J181" s="374" t="s">
        <v>3014</v>
      </c>
      <c r="K181" s="377" t="s">
        <v>3015</v>
      </c>
      <c r="L181" s="1029"/>
      <c r="M181" s="770">
        <v>68</v>
      </c>
      <c r="N181" s="1553" t="s">
        <v>3016</v>
      </c>
      <c r="O181" s="1029"/>
      <c r="P181" s="1029"/>
      <c r="Q181" s="1029"/>
      <c r="R181" s="1015"/>
      <c r="S181" s="771">
        <v>68</v>
      </c>
      <c r="T181" s="1553" t="s">
        <v>3017</v>
      </c>
      <c r="U181" s="1029"/>
      <c r="V181" s="1029"/>
      <c r="W181" s="1029"/>
      <c r="X181" s="1015"/>
      <c r="AM181" s="373" t="s">
        <v>1844</v>
      </c>
      <c r="AW181" s="376"/>
      <c r="AX181" s="782" t="s">
        <v>3018</v>
      </c>
      <c r="BC181" s="781" t="s">
        <v>3019</v>
      </c>
    </row>
    <row r="182" spans="2:55" ht="8.85" customHeight="1">
      <c r="B182" s="376" t="s">
        <v>2183</v>
      </c>
      <c r="C182" s="646" t="s">
        <v>212</v>
      </c>
      <c r="D182" s="374" t="s">
        <v>212</v>
      </c>
      <c r="E182" s="374" t="s">
        <v>212</v>
      </c>
      <c r="F182" s="374" t="s">
        <v>212</v>
      </c>
      <c r="G182" s="374" t="s">
        <v>212</v>
      </c>
      <c r="H182" s="374" t="s">
        <v>212</v>
      </c>
      <c r="I182" s="374" t="s">
        <v>212</v>
      </c>
      <c r="J182" s="374" t="s">
        <v>212</v>
      </c>
      <c r="K182" s="377" t="s">
        <v>212</v>
      </c>
      <c r="L182" s="1029"/>
      <c r="M182" s="770">
        <v>69</v>
      </c>
      <c r="N182" s="1553" t="s">
        <v>3020</v>
      </c>
      <c r="O182" s="1029"/>
      <c r="P182" s="1029"/>
      <c r="Q182" s="1029"/>
      <c r="R182" s="1015"/>
      <c r="S182" s="771">
        <v>69</v>
      </c>
      <c r="T182" s="1553" t="s">
        <v>3021</v>
      </c>
      <c r="U182" s="1029"/>
      <c r="V182" s="1029"/>
      <c r="W182" s="1029"/>
      <c r="X182" s="1015"/>
      <c r="AM182" s="373" t="s">
        <v>1852</v>
      </c>
      <c r="AW182" s="376"/>
      <c r="AX182" s="782" t="s">
        <v>3022</v>
      </c>
      <c r="BA182" s="374" t="s">
        <v>3023</v>
      </c>
      <c r="BC182" s="781" t="s">
        <v>3024</v>
      </c>
    </row>
    <row r="183" spans="2:55" ht="8.85" customHeight="1">
      <c r="B183" s="723" t="s">
        <v>3025</v>
      </c>
      <c r="C183" s="646" t="s">
        <v>2144</v>
      </c>
      <c r="D183" s="374" t="s">
        <v>2192</v>
      </c>
      <c r="E183" s="374" t="s">
        <v>92</v>
      </c>
      <c r="F183" s="374" t="s">
        <v>3026</v>
      </c>
      <c r="G183" s="374" t="s">
        <v>3027</v>
      </c>
      <c r="H183" s="374" t="s">
        <v>3028</v>
      </c>
      <c r="I183" s="374" t="s">
        <v>3029</v>
      </c>
      <c r="J183" s="374" t="s">
        <v>3030</v>
      </c>
      <c r="K183" s="377" t="s">
        <v>3031</v>
      </c>
      <c r="L183" s="1029"/>
      <c r="M183" s="770">
        <v>70</v>
      </c>
      <c r="N183" s="1553" t="s">
        <v>3032</v>
      </c>
      <c r="O183" s="1029"/>
      <c r="P183" s="1029"/>
      <c r="Q183" s="1029"/>
      <c r="R183" s="1015"/>
      <c r="S183" s="771">
        <v>70</v>
      </c>
      <c r="T183" s="1553" t="s">
        <v>3033</v>
      </c>
      <c r="U183" s="1029"/>
      <c r="V183" s="1029"/>
      <c r="W183" s="1029"/>
      <c r="X183" s="1015"/>
      <c r="AM183" s="373" t="s">
        <v>1863</v>
      </c>
      <c r="AW183" s="376"/>
      <c r="AX183" s="782" t="s">
        <v>3034</v>
      </c>
      <c r="BA183" s="374" t="s">
        <v>3035</v>
      </c>
      <c r="BC183" s="781" t="s">
        <v>3036</v>
      </c>
    </row>
    <row r="184" spans="2:55" ht="8.85" customHeight="1">
      <c r="B184" s="376" t="s">
        <v>3037</v>
      </c>
      <c r="C184" s="646" t="s">
        <v>2144</v>
      </c>
      <c r="D184" s="374" t="s">
        <v>3038</v>
      </c>
      <c r="E184" s="374" t="s">
        <v>92</v>
      </c>
      <c r="F184" s="374" t="s">
        <v>3039</v>
      </c>
      <c r="G184" s="374" t="s">
        <v>3027</v>
      </c>
      <c r="H184" s="374" t="s">
        <v>3028</v>
      </c>
      <c r="I184" s="374" t="s">
        <v>3029</v>
      </c>
      <c r="J184" s="374" t="s">
        <v>3030</v>
      </c>
      <c r="K184" s="377" t="s">
        <v>3031</v>
      </c>
      <c r="L184" s="1029"/>
      <c r="M184" s="770">
        <v>71</v>
      </c>
      <c r="N184" s="1553" t="s">
        <v>3040</v>
      </c>
      <c r="O184" s="1029"/>
      <c r="P184" s="1029"/>
      <c r="Q184" s="1029"/>
      <c r="R184" s="1015"/>
      <c r="S184" s="771">
        <v>71</v>
      </c>
      <c r="T184" s="1553" t="s">
        <v>3041</v>
      </c>
      <c r="U184" s="1029"/>
      <c r="V184" s="1029"/>
      <c r="W184" s="1029"/>
      <c r="X184" s="1015"/>
      <c r="AM184" s="373" t="s">
        <v>1871</v>
      </c>
      <c r="AW184" s="376"/>
      <c r="AX184" s="782" t="s">
        <v>3042</v>
      </c>
      <c r="BA184" s="374" t="s">
        <v>3043</v>
      </c>
      <c r="BC184" s="781" t="s">
        <v>3044</v>
      </c>
    </row>
    <row r="185" spans="2:55" ht="8.85" customHeight="1">
      <c r="B185" s="376" t="s">
        <v>1407</v>
      </c>
      <c r="C185" s="646" t="s">
        <v>2144</v>
      </c>
      <c r="D185" s="374" t="s">
        <v>3038</v>
      </c>
      <c r="E185" s="374" t="s">
        <v>92</v>
      </c>
      <c r="F185" s="374" t="s">
        <v>3045</v>
      </c>
      <c r="G185" s="374" t="s">
        <v>3027</v>
      </c>
      <c r="H185" s="374" t="s">
        <v>3028</v>
      </c>
      <c r="I185" s="374" t="s">
        <v>3029</v>
      </c>
      <c r="J185" s="374" t="s">
        <v>3030</v>
      </c>
      <c r="K185" s="377" t="s">
        <v>3031</v>
      </c>
      <c r="L185" s="1029"/>
      <c r="M185" s="770">
        <v>72</v>
      </c>
      <c r="N185" s="1553" t="s">
        <v>3046</v>
      </c>
      <c r="O185" s="1029"/>
      <c r="P185" s="1029"/>
      <c r="Q185" s="1029"/>
      <c r="R185" s="1015"/>
      <c r="S185" s="771">
        <v>72</v>
      </c>
      <c r="T185" s="1553" t="s">
        <v>3047</v>
      </c>
      <c r="U185" s="1029"/>
      <c r="V185" s="1029"/>
      <c r="W185" s="1029"/>
      <c r="X185" s="1015"/>
      <c r="AM185" s="373" t="s">
        <v>1878</v>
      </c>
      <c r="AW185" s="376"/>
      <c r="AX185" s="782" t="s">
        <v>3048</v>
      </c>
      <c r="BA185" s="374" t="s">
        <v>3049</v>
      </c>
      <c r="BC185" s="781" t="s">
        <v>3050</v>
      </c>
    </row>
    <row r="186" spans="2:55" ht="8.85" customHeight="1">
      <c r="B186" s="376" t="s">
        <v>3051</v>
      </c>
      <c r="C186" s="646" t="s">
        <v>2144</v>
      </c>
      <c r="D186" s="374" t="s">
        <v>3038</v>
      </c>
      <c r="E186" s="374" t="s">
        <v>92</v>
      </c>
      <c r="F186" s="374" t="s">
        <v>3052</v>
      </c>
      <c r="G186" s="374" t="s">
        <v>3027</v>
      </c>
      <c r="H186" s="374" t="s">
        <v>3028</v>
      </c>
      <c r="I186" s="374" t="s">
        <v>3029</v>
      </c>
      <c r="J186" s="374" t="s">
        <v>3030</v>
      </c>
      <c r="K186" s="377" t="s">
        <v>3031</v>
      </c>
      <c r="L186" s="1029"/>
      <c r="M186" s="770">
        <v>73</v>
      </c>
      <c r="N186" s="1553" t="s">
        <v>3053</v>
      </c>
      <c r="O186" s="1029"/>
      <c r="P186" s="1029"/>
      <c r="Q186" s="1029"/>
      <c r="R186" s="1015"/>
      <c r="S186" s="771">
        <v>73</v>
      </c>
      <c r="T186" s="1553" t="s">
        <v>3054</v>
      </c>
      <c r="U186" s="1029"/>
      <c r="V186" s="1029"/>
      <c r="W186" s="1029"/>
      <c r="X186" s="1015"/>
      <c r="AM186" s="373" t="s">
        <v>1885</v>
      </c>
      <c r="AW186" s="376"/>
      <c r="AX186" s="782" t="s">
        <v>3055</v>
      </c>
      <c r="BC186" s="781" t="s">
        <v>212</v>
      </c>
    </row>
    <row r="187" spans="2:55" ht="8.85" customHeight="1">
      <c r="B187" s="376" t="s">
        <v>1405</v>
      </c>
      <c r="C187" s="646" t="s">
        <v>2565</v>
      </c>
      <c r="D187" s="374" t="s">
        <v>3038</v>
      </c>
      <c r="E187" s="374" t="s">
        <v>92</v>
      </c>
      <c r="F187" s="374" t="s">
        <v>3056</v>
      </c>
      <c r="G187" s="374" t="s">
        <v>3027</v>
      </c>
      <c r="H187" s="374" t="s">
        <v>3028</v>
      </c>
      <c r="I187" s="374" t="s">
        <v>3029</v>
      </c>
      <c r="J187" s="374" t="s">
        <v>3030</v>
      </c>
      <c r="K187" s="377" t="s">
        <v>3031</v>
      </c>
      <c r="L187" s="1029"/>
      <c r="M187" s="770">
        <v>74</v>
      </c>
      <c r="N187" s="1553" t="s">
        <v>3057</v>
      </c>
      <c r="O187" s="1029"/>
      <c r="P187" s="1029"/>
      <c r="Q187" s="1029"/>
      <c r="R187" s="1015"/>
      <c r="S187" s="771">
        <v>74</v>
      </c>
      <c r="T187" s="1553" t="s">
        <v>3058</v>
      </c>
      <c r="U187" s="1029"/>
      <c r="V187" s="1029"/>
      <c r="W187" s="1029"/>
      <c r="X187" s="1015"/>
      <c r="AM187" s="373" t="s">
        <v>1893</v>
      </c>
      <c r="AW187" s="384"/>
      <c r="AX187" s="782" t="s">
        <v>3059</v>
      </c>
      <c r="AY187" s="385"/>
      <c r="AZ187" s="385"/>
      <c r="BA187" s="374" t="s">
        <v>3060</v>
      </c>
      <c r="BB187" s="385"/>
      <c r="BC187" s="781" t="s">
        <v>3061</v>
      </c>
    </row>
    <row r="188" spans="2:55" ht="8.85" customHeight="1">
      <c r="B188" s="376" t="s">
        <v>1410</v>
      </c>
      <c r="C188" s="646" t="s">
        <v>2144</v>
      </c>
      <c r="D188" s="374" t="s">
        <v>3038</v>
      </c>
      <c r="E188" s="374" t="s">
        <v>92</v>
      </c>
      <c r="F188" s="374" t="s">
        <v>3062</v>
      </c>
      <c r="G188" s="374" t="s">
        <v>3027</v>
      </c>
      <c r="H188" s="374" t="s">
        <v>3028</v>
      </c>
      <c r="I188" s="374" t="s">
        <v>3029</v>
      </c>
      <c r="J188" s="374" t="s">
        <v>3030</v>
      </c>
      <c r="K188" s="377" t="s">
        <v>3031</v>
      </c>
      <c r="L188" s="1029"/>
      <c r="M188" s="770">
        <v>75</v>
      </c>
      <c r="N188" s="1553" t="s">
        <v>3063</v>
      </c>
      <c r="O188" s="1029"/>
      <c r="P188" s="1029"/>
      <c r="Q188" s="1029"/>
      <c r="R188" s="1015"/>
      <c r="S188" s="771">
        <v>75</v>
      </c>
      <c r="T188" s="1553" t="s">
        <v>3064</v>
      </c>
      <c r="U188" s="1029"/>
      <c r="V188" s="1029"/>
      <c r="W188" s="1029"/>
      <c r="X188" s="1015"/>
      <c r="AM188" s="373" t="s">
        <v>1901</v>
      </c>
      <c r="AX188" s="374" t="s">
        <v>303</v>
      </c>
      <c r="BA188" s="374" t="s">
        <v>3065</v>
      </c>
      <c r="BC188" s="781" t="s">
        <v>3066</v>
      </c>
    </row>
    <row r="189" spans="2:55" ht="8.85" customHeight="1">
      <c r="B189" s="376" t="s">
        <v>3067</v>
      </c>
      <c r="C189" s="646" t="s">
        <v>2144</v>
      </c>
      <c r="D189" s="374" t="s">
        <v>3038</v>
      </c>
      <c r="E189" s="374" t="s">
        <v>92</v>
      </c>
      <c r="F189" s="374" t="s">
        <v>3068</v>
      </c>
      <c r="G189" s="374" t="s">
        <v>3027</v>
      </c>
      <c r="H189" s="374" t="s">
        <v>3028</v>
      </c>
      <c r="I189" s="374" t="s">
        <v>3029</v>
      </c>
      <c r="J189" s="374" t="s">
        <v>3030</v>
      </c>
      <c r="K189" s="377" t="s">
        <v>3031</v>
      </c>
      <c r="L189" s="1029"/>
      <c r="M189" s="770">
        <v>76</v>
      </c>
      <c r="N189" s="1553" t="s">
        <v>3069</v>
      </c>
      <c r="O189" s="1029"/>
      <c r="P189" s="1029"/>
      <c r="Q189" s="1029"/>
      <c r="R189" s="1015"/>
      <c r="S189" s="771">
        <v>76</v>
      </c>
      <c r="T189" s="1553" t="s">
        <v>3070</v>
      </c>
      <c r="U189" s="1029"/>
      <c r="V189" s="1029"/>
      <c r="W189" s="1029"/>
      <c r="X189" s="1015"/>
      <c r="AM189" s="373" t="s">
        <v>1910</v>
      </c>
      <c r="BA189" s="374" t="s">
        <v>3071</v>
      </c>
      <c r="BC189" s="781" t="s">
        <v>3072</v>
      </c>
    </row>
    <row r="190" spans="2:55" ht="8.85" customHeight="1">
      <c r="B190" s="376" t="s">
        <v>1412</v>
      </c>
      <c r="C190" s="646" t="s">
        <v>2144</v>
      </c>
      <c r="D190" s="374" t="s">
        <v>3038</v>
      </c>
      <c r="E190" s="374" t="s">
        <v>92</v>
      </c>
      <c r="F190" s="374" t="s">
        <v>3073</v>
      </c>
      <c r="G190" s="374" t="s">
        <v>3027</v>
      </c>
      <c r="H190" s="374" t="s">
        <v>3028</v>
      </c>
      <c r="I190" s="374" t="s">
        <v>3029</v>
      </c>
      <c r="J190" s="374" t="s">
        <v>3030</v>
      </c>
      <c r="K190" s="377" t="s">
        <v>3031</v>
      </c>
      <c r="L190" s="1029"/>
      <c r="M190" s="770">
        <v>77</v>
      </c>
      <c r="N190" s="1553" t="s">
        <v>3074</v>
      </c>
      <c r="O190" s="1029"/>
      <c r="P190" s="1029"/>
      <c r="Q190" s="1029"/>
      <c r="R190" s="1015"/>
      <c r="S190" s="771">
        <v>77</v>
      </c>
      <c r="T190" s="1553" t="s">
        <v>3075</v>
      </c>
      <c r="U190" s="1029"/>
      <c r="V190" s="1029"/>
      <c r="W190" s="1029"/>
      <c r="X190" s="1015"/>
      <c r="AM190" s="373" t="s">
        <v>1919</v>
      </c>
      <c r="BA190" s="374" t="s">
        <v>3076</v>
      </c>
      <c r="BC190" s="781" t="s">
        <v>3077</v>
      </c>
    </row>
    <row r="191" spans="2:55" ht="8.85" customHeight="1">
      <c r="B191" s="376" t="s">
        <v>3078</v>
      </c>
      <c r="C191" s="646" t="s">
        <v>2144</v>
      </c>
      <c r="D191" s="374" t="s">
        <v>3038</v>
      </c>
      <c r="E191" s="374" t="s">
        <v>92</v>
      </c>
      <c r="F191" s="374" t="s">
        <v>3079</v>
      </c>
      <c r="G191" s="374" t="s">
        <v>3027</v>
      </c>
      <c r="H191" s="374" t="s">
        <v>3028</v>
      </c>
      <c r="I191" s="374" t="s">
        <v>3029</v>
      </c>
      <c r="J191" s="374" t="s">
        <v>3030</v>
      </c>
      <c r="K191" s="377" t="s">
        <v>3031</v>
      </c>
      <c r="L191" s="1029"/>
      <c r="M191" s="770">
        <v>78</v>
      </c>
      <c r="N191" s="1553" t="s">
        <v>3080</v>
      </c>
      <c r="O191" s="1029"/>
      <c r="P191" s="1029"/>
      <c r="Q191" s="1029"/>
      <c r="R191" s="1015"/>
      <c r="S191" s="771">
        <v>78</v>
      </c>
      <c r="T191" s="1553" t="s">
        <v>3081</v>
      </c>
      <c r="U191" s="1029"/>
      <c r="V191" s="1029"/>
      <c r="W191" s="1029"/>
      <c r="X191" s="1015"/>
      <c r="AM191" s="373" t="s">
        <v>1928</v>
      </c>
      <c r="BA191" s="374" t="s">
        <v>3082</v>
      </c>
      <c r="BC191" s="781" t="s">
        <v>3083</v>
      </c>
    </row>
    <row r="192" spans="2:55" ht="8.85" customHeight="1">
      <c r="B192" s="376" t="s">
        <v>3084</v>
      </c>
      <c r="C192" s="646" t="s">
        <v>2144</v>
      </c>
      <c r="D192" s="374" t="s">
        <v>3038</v>
      </c>
      <c r="E192" s="374" t="s">
        <v>92</v>
      </c>
      <c r="F192" s="374" t="s">
        <v>3085</v>
      </c>
      <c r="G192" s="374" t="s">
        <v>3027</v>
      </c>
      <c r="H192" s="374" t="s">
        <v>3028</v>
      </c>
      <c r="I192" s="374" t="s">
        <v>3029</v>
      </c>
      <c r="J192" s="374" t="s">
        <v>3030</v>
      </c>
      <c r="K192" s="377" t="s">
        <v>3031</v>
      </c>
      <c r="L192" s="1029"/>
      <c r="M192" s="770">
        <v>79</v>
      </c>
      <c r="N192" s="1553" t="s">
        <v>3086</v>
      </c>
      <c r="O192" s="1029"/>
      <c r="P192" s="1029"/>
      <c r="Q192" s="1029"/>
      <c r="R192" s="1015"/>
      <c r="S192" s="771">
        <v>79</v>
      </c>
      <c r="T192" s="1553" t="s">
        <v>3087</v>
      </c>
      <c r="U192" s="1029"/>
      <c r="V192" s="1029"/>
      <c r="W192" s="1029"/>
      <c r="X192" s="1015"/>
      <c r="AM192" s="373" t="s">
        <v>1936</v>
      </c>
      <c r="BA192" s="374" t="s">
        <v>3088</v>
      </c>
      <c r="BC192" s="781" t="s">
        <v>3089</v>
      </c>
    </row>
    <row r="193" spans="2:55" ht="8.85" customHeight="1">
      <c r="B193" s="376" t="s">
        <v>3090</v>
      </c>
      <c r="C193" s="646" t="s">
        <v>2144</v>
      </c>
      <c r="D193" s="374" t="s">
        <v>3038</v>
      </c>
      <c r="E193" s="374" t="s">
        <v>92</v>
      </c>
      <c r="F193" s="374" t="s">
        <v>3091</v>
      </c>
      <c r="G193" s="374" t="s">
        <v>3027</v>
      </c>
      <c r="H193" s="374" t="s">
        <v>3028</v>
      </c>
      <c r="I193" s="374" t="s">
        <v>3029</v>
      </c>
      <c r="J193" s="374" t="s">
        <v>3030</v>
      </c>
      <c r="K193" s="377" t="s">
        <v>3031</v>
      </c>
      <c r="L193" s="1029"/>
      <c r="M193" s="770">
        <v>80</v>
      </c>
      <c r="N193" s="1553" t="s">
        <v>3092</v>
      </c>
      <c r="O193" s="1029"/>
      <c r="P193" s="1029"/>
      <c r="Q193" s="1029"/>
      <c r="R193" s="1015"/>
      <c r="S193" s="771">
        <v>80</v>
      </c>
      <c r="T193" s="1553" t="s">
        <v>3093</v>
      </c>
      <c r="U193" s="1029"/>
      <c r="V193" s="1029"/>
      <c r="W193" s="1029"/>
      <c r="X193" s="1015"/>
      <c r="AM193" s="373" t="s">
        <v>1944</v>
      </c>
      <c r="BC193" s="781" t="s">
        <v>3094</v>
      </c>
    </row>
    <row r="194" spans="2:55" ht="8.85" customHeight="1">
      <c r="B194" s="376" t="s">
        <v>3095</v>
      </c>
      <c r="C194" s="646" t="s">
        <v>2144</v>
      </c>
      <c r="D194" s="374" t="s">
        <v>3038</v>
      </c>
      <c r="E194" s="374" t="s">
        <v>92</v>
      </c>
      <c r="F194" s="374" t="s">
        <v>3096</v>
      </c>
      <c r="G194" s="374" t="s">
        <v>3027</v>
      </c>
      <c r="H194" s="374" t="s">
        <v>3028</v>
      </c>
      <c r="I194" s="374" t="s">
        <v>3029</v>
      </c>
      <c r="J194" s="374" t="s">
        <v>3030</v>
      </c>
      <c r="K194" s="377" t="s">
        <v>3031</v>
      </c>
      <c r="L194" s="1029"/>
      <c r="M194" s="770">
        <v>81</v>
      </c>
      <c r="N194" s="1553" t="s">
        <v>3097</v>
      </c>
      <c r="O194" s="1029"/>
      <c r="P194" s="1029"/>
      <c r="Q194" s="1029"/>
      <c r="R194" s="1015"/>
      <c r="S194" s="771">
        <v>81</v>
      </c>
      <c r="T194" s="1553" t="s">
        <v>3098</v>
      </c>
      <c r="U194" s="1029"/>
      <c r="V194" s="1029"/>
      <c r="W194" s="1029"/>
      <c r="X194" s="1015"/>
      <c r="AM194" s="373" t="s">
        <v>1953</v>
      </c>
      <c r="BA194" s="374" t="s">
        <v>3099</v>
      </c>
      <c r="BC194" s="781" t="s">
        <v>3100</v>
      </c>
    </row>
    <row r="195" spans="2:55" ht="8.85" customHeight="1">
      <c r="B195" s="376" t="s">
        <v>3101</v>
      </c>
      <c r="C195" s="646" t="s">
        <v>2144</v>
      </c>
      <c r="D195" s="374" t="s">
        <v>3038</v>
      </c>
      <c r="E195" s="374" t="s">
        <v>92</v>
      </c>
      <c r="F195" s="374" t="s">
        <v>3102</v>
      </c>
      <c r="G195" s="374" t="s">
        <v>3027</v>
      </c>
      <c r="H195" s="374" t="s">
        <v>3028</v>
      </c>
      <c r="I195" s="374" t="s">
        <v>3029</v>
      </c>
      <c r="J195" s="374" t="s">
        <v>3030</v>
      </c>
      <c r="K195" s="377" t="s">
        <v>3031</v>
      </c>
      <c r="L195" s="1029"/>
      <c r="M195" s="770">
        <v>82</v>
      </c>
      <c r="N195" s="1553" t="s">
        <v>3103</v>
      </c>
      <c r="O195" s="1029"/>
      <c r="P195" s="1029"/>
      <c r="Q195" s="1029"/>
      <c r="R195" s="1015"/>
      <c r="S195" s="771">
        <v>82</v>
      </c>
      <c r="T195" s="1553" t="s">
        <v>3104</v>
      </c>
      <c r="U195" s="1029"/>
      <c r="V195" s="1029"/>
      <c r="W195" s="1029"/>
      <c r="X195" s="1015"/>
      <c r="AM195" s="373" t="s">
        <v>1963</v>
      </c>
      <c r="BA195" s="374" t="s">
        <v>3105</v>
      </c>
      <c r="BC195" s="781" t="s">
        <v>3106</v>
      </c>
    </row>
    <row r="196" spans="2:55" ht="8.85" customHeight="1">
      <c r="B196" s="376" t="s">
        <v>3107</v>
      </c>
      <c r="C196" s="646" t="s">
        <v>2144</v>
      </c>
      <c r="D196" s="374" t="s">
        <v>3038</v>
      </c>
      <c r="E196" s="374" t="s">
        <v>92</v>
      </c>
      <c r="F196" s="374" t="s">
        <v>3108</v>
      </c>
      <c r="G196" s="374" t="s">
        <v>3027</v>
      </c>
      <c r="H196" s="374" t="s">
        <v>3028</v>
      </c>
      <c r="I196" s="374" t="s">
        <v>3029</v>
      </c>
      <c r="J196" s="374" t="s">
        <v>3030</v>
      </c>
      <c r="K196" s="377" t="s">
        <v>3031</v>
      </c>
      <c r="L196" s="1029"/>
      <c r="M196" s="770">
        <v>83</v>
      </c>
      <c r="N196" s="1553" t="s">
        <v>3109</v>
      </c>
      <c r="O196" s="1029"/>
      <c r="P196" s="1029"/>
      <c r="Q196" s="1029"/>
      <c r="R196" s="1015"/>
      <c r="S196" s="771">
        <v>83</v>
      </c>
      <c r="T196" s="1553" t="s">
        <v>3110</v>
      </c>
      <c r="U196" s="1029"/>
      <c r="V196" s="1029"/>
      <c r="W196" s="1029"/>
      <c r="X196" s="1015"/>
      <c r="AM196" s="373" t="s">
        <v>1972</v>
      </c>
      <c r="BA196" s="374" t="s">
        <v>3111</v>
      </c>
      <c r="BC196" s="781" t="s">
        <v>3112</v>
      </c>
    </row>
    <row r="197" spans="2:55" ht="8.85" customHeight="1">
      <c r="B197" s="376" t="s">
        <v>2183</v>
      </c>
      <c r="C197" s="646" t="s">
        <v>212</v>
      </c>
      <c r="D197" s="374" t="s">
        <v>212</v>
      </c>
      <c r="E197" s="374" t="s">
        <v>212</v>
      </c>
      <c r="F197" s="374" t="s">
        <v>212</v>
      </c>
      <c r="G197" s="374" t="s">
        <v>212</v>
      </c>
      <c r="H197" s="374" t="s">
        <v>212</v>
      </c>
      <c r="I197" s="374" t="s">
        <v>212</v>
      </c>
      <c r="J197" s="374" t="s">
        <v>212</v>
      </c>
      <c r="K197" s="377" t="s">
        <v>212</v>
      </c>
      <c r="L197" s="1029"/>
      <c r="M197" s="770">
        <v>84</v>
      </c>
      <c r="N197" s="1553" t="s">
        <v>3113</v>
      </c>
      <c r="O197" s="1029"/>
      <c r="P197" s="1029"/>
      <c r="Q197" s="1029"/>
      <c r="R197" s="1015"/>
      <c r="S197" s="771">
        <v>84</v>
      </c>
      <c r="T197" s="1553" t="s">
        <v>3114</v>
      </c>
      <c r="U197" s="1029"/>
      <c r="V197" s="1029"/>
      <c r="W197" s="1029"/>
      <c r="X197" s="1015"/>
      <c r="AM197" s="373" t="s">
        <v>1980</v>
      </c>
      <c r="BA197" s="374" t="s">
        <v>3115</v>
      </c>
      <c r="BC197" s="781" t="s">
        <v>3116</v>
      </c>
    </row>
    <row r="198" spans="2:55" ht="8.85" customHeight="1">
      <c r="B198" s="715" t="s">
        <v>121</v>
      </c>
      <c r="C198" s="646" t="s">
        <v>2565</v>
      </c>
      <c r="D198" s="374" t="s">
        <v>92</v>
      </c>
      <c r="E198" s="374" t="s">
        <v>3117</v>
      </c>
      <c r="F198" s="374" t="s">
        <v>3118</v>
      </c>
      <c r="G198" s="374" t="s">
        <v>3119</v>
      </c>
      <c r="H198" s="374" t="s">
        <v>3120</v>
      </c>
      <c r="I198" s="374" t="s">
        <v>3121</v>
      </c>
      <c r="J198" s="374" t="s">
        <v>3122</v>
      </c>
      <c r="K198" s="377" t="s">
        <v>3123</v>
      </c>
      <c r="L198" s="1029"/>
      <c r="M198" s="770">
        <v>85</v>
      </c>
      <c r="N198" s="1553" t="s">
        <v>3124</v>
      </c>
      <c r="O198" s="1029"/>
      <c r="P198" s="1029"/>
      <c r="Q198" s="1029"/>
      <c r="R198" s="1015"/>
      <c r="S198" s="771">
        <v>85</v>
      </c>
      <c r="T198" s="1553" t="s">
        <v>3125</v>
      </c>
      <c r="U198" s="1029"/>
      <c r="V198" s="1029"/>
      <c r="W198" s="1029"/>
      <c r="X198" s="1015"/>
      <c r="AM198" s="373" t="s">
        <v>1989</v>
      </c>
      <c r="BA198" s="374" t="s">
        <v>3126</v>
      </c>
      <c r="BC198" s="781" t="s">
        <v>3127</v>
      </c>
    </row>
    <row r="199" spans="2:55" ht="8.85" customHeight="1">
      <c r="B199" s="715" t="s">
        <v>123</v>
      </c>
      <c r="C199" s="646" t="s">
        <v>2635</v>
      </c>
      <c r="D199" s="374" t="s">
        <v>92</v>
      </c>
      <c r="E199" s="374" t="s">
        <v>3128</v>
      </c>
      <c r="F199" s="374" t="s">
        <v>3129</v>
      </c>
      <c r="G199" s="374" t="s">
        <v>3130</v>
      </c>
      <c r="H199" s="374" t="s">
        <v>3131</v>
      </c>
      <c r="I199" s="374" t="s">
        <v>3132</v>
      </c>
      <c r="J199" s="374" t="s">
        <v>3133</v>
      </c>
      <c r="K199" s="377" t="s">
        <v>3134</v>
      </c>
      <c r="L199" s="1029"/>
      <c r="M199" s="770">
        <v>86</v>
      </c>
      <c r="N199" s="1553" t="s">
        <v>3135</v>
      </c>
      <c r="O199" s="1029"/>
      <c r="P199" s="1029"/>
      <c r="Q199" s="1029"/>
      <c r="R199" s="1015"/>
      <c r="S199" s="771">
        <v>86</v>
      </c>
      <c r="T199" s="1553" t="s">
        <v>3136</v>
      </c>
      <c r="U199" s="1029"/>
      <c r="V199" s="1029"/>
      <c r="W199" s="1029"/>
      <c r="X199" s="1015"/>
      <c r="AM199" s="373" t="s">
        <v>1998</v>
      </c>
      <c r="BA199" s="374" t="s">
        <v>3137</v>
      </c>
      <c r="BC199" s="781" t="s">
        <v>212</v>
      </c>
    </row>
    <row r="200" spans="2:55" ht="8.85" customHeight="1">
      <c r="B200" s="715" t="s">
        <v>127</v>
      </c>
      <c r="C200" s="646" t="s">
        <v>2472</v>
      </c>
      <c r="D200" s="374" t="s">
        <v>92</v>
      </c>
      <c r="E200" s="374" t="s">
        <v>3138</v>
      </c>
      <c r="F200" s="374" t="s">
        <v>3139</v>
      </c>
      <c r="G200" s="374" t="s">
        <v>3140</v>
      </c>
      <c r="H200" s="374" t="s">
        <v>3141</v>
      </c>
      <c r="I200" s="374" t="s">
        <v>3142</v>
      </c>
      <c r="J200" s="374" t="s">
        <v>3143</v>
      </c>
      <c r="K200" s="377" t="s">
        <v>3144</v>
      </c>
      <c r="L200" s="1029"/>
      <c r="M200" s="770">
        <v>87</v>
      </c>
      <c r="N200" s="1553" t="s">
        <v>3145</v>
      </c>
      <c r="O200" s="1029"/>
      <c r="P200" s="1029"/>
      <c r="Q200" s="1029"/>
      <c r="R200" s="1015"/>
      <c r="S200" s="771">
        <v>87</v>
      </c>
      <c r="T200" s="1553" t="s">
        <v>3146</v>
      </c>
      <c r="U200" s="1029"/>
      <c r="V200" s="1029"/>
      <c r="W200" s="1029"/>
      <c r="X200" s="1015"/>
      <c r="AM200" s="373" t="s">
        <v>2007</v>
      </c>
      <c r="BA200" s="374" t="s">
        <v>3147</v>
      </c>
      <c r="BC200" s="781" t="s">
        <v>3148</v>
      </c>
    </row>
    <row r="201" spans="2:55" ht="8.85" customHeight="1">
      <c r="B201" s="715" t="s">
        <v>132</v>
      </c>
      <c r="C201" s="646" t="s">
        <v>2565</v>
      </c>
      <c r="D201" s="374" t="s">
        <v>2192</v>
      </c>
      <c r="E201" s="374" t="s">
        <v>3149</v>
      </c>
      <c r="F201" s="374" t="s">
        <v>3150</v>
      </c>
      <c r="G201" s="374" t="s">
        <v>3151</v>
      </c>
      <c r="H201" s="374" t="s">
        <v>3152</v>
      </c>
      <c r="I201" s="374" t="s">
        <v>3153</v>
      </c>
      <c r="J201" s="374" t="s">
        <v>3154</v>
      </c>
      <c r="K201" s="783" t="s">
        <v>3155</v>
      </c>
      <c r="L201" s="1029"/>
      <c r="M201" s="770">
        <v>88</v>
      </c>
      <c r="N201" s="1553" t="s">
        <v>3156</v>
      </c>
      <c r="O201" s="1029"/>
      <c r="P201" s="1029"/>
      <c r="Q201" s="1029"/>
      <c r="R201" s="1015"/>
      <c r="S201" s="771">
        <v>88</v>
      </c>
      <c r="T201" s="1553" t="s">
        <v>3157</v>
      </c>
      <c r="U201" s="1029"/>
      <c r="V201" s="1029"/>
      <c r="W201" s="1029"/>
      <c r="X201" s="1015"/>
      <c r="AM201" s="373" t="s">
        <v>2015</v>
      </c>
      <c r="BA201" s="374" t="s">
        <v>3158</v>
      </c>
      <c r="BC201" s="781" t="s">
        <v>3159</v>
      </c>
    </row>
    <row r="202" spans="2:55" ht="8.85" customHeight="1">
      <c r="B202" s="715" t="s">
        <v>135</v>
      </c>
      <c r="C202" s="646" t="s">
        <v>2472</v>
      </c>
      <c r="D202" s="374" t="s">
        <v>92</v>
      </c>
      <c r="E202" s="374" t="s">
        <v>3160</v>
      </c>
      <c r="F202" s="374" t="s">
        <v>3161</v>
      </c>
      <c r="G202" s="374" t="s">
        <v>3162</v>
      </c>
      <c r="H202" s="374" t="s">
        <v>3163</v>
      </c>
      <c r="I202" s="374" t="s">
        <v>3164</v>
      </c>
      <c r="J202" s="374" t="s">
        <v>3165</v>
      </c>
      <c r="K202" s="377" t="s">
        <v>3166</v>
      </c>
      <c r="L202" s="1029"/>
      <c r="M202" s="770">
        <v>89</v>
      </c>
      <c r="N202" s="1553" t="s">
        <v>3167</v>
      </c>
      <c r="O202" s="1029"/>
      <c r="P202" s="1029"/>
      <c r="Q202" s="1029"/>
      <c r="R202" s="1015"/>
      <c r="S202" s="771">
        <v>89</v>
      </c>
      <c r="T202" s="1553" t="s">
        <v>3168</v>
      </c>
      <c r="U202" s="1029"/>
      <c r="V202" s="1029"/>
      <c r="W202" s="1029"/>
      <c r="X202" s="1015"/>
      <c r="AM202" s="373" t="s">
        <v>2022</v>
      </c>
      <c r="BA202" s="374" t="s">
        <v>3169</v>
      </c>
      <c r="BC202" s="781" t="s">
        <v>3170</v>
      </c>
    </row>
    <row r="203" spans="2:55" ht="8.85" customHeight="1">
      <c r="B203" s="715" t="s">
        <v>138</v>
      </c>
      <c r="C203" s="646" t="s">
        <v>2472</v>
      </c>
      <c r="D203" s="374" t="s">
        <v>92</v>
      </c>
      <c r="E203" s="374" t="s">
        <v>3171</v>
      </c>
      <c r="F203" s="374" t="s">
        <v>3172</v>
      </c>
      <c r="G203" s="381" t="s">
        <v>3173</v>
      </c>
      <c r="H203" s="374" t="s">
        <v>3174</v>
      </c>
      <c r="I203" s="374" t="s">
        <v>3175</v>
      </c>
      <c r="J203" s="374" t="s">
        <v>3176</v>
      </c>
      <c r="K203" s="377" t="s">
        <v>3177</v>
      </c>
      <c r="L203" s="1029"/>
      <c r="M203" s="770">
        <v>90</v>
      </c>
      <c r="N203" s="1553" t="s">
        <v>3178</v>
      </c>
      <c r="O203" s="1029"/>
      <c r="P203" s="1029"/>
      <c r="Q203" s="1029"/>
      <c r="R203" s="1015"/>
      <c r="S203" s="771">
        <v>90</v>
      </c>
      <c r="T203" s="1553" t="s">
        <v>3179</v>
      </c>
      <c r="U203" s="1029"/>
      <c r="V203" s="1029"/>
      <c r="W203" s="1029"/>
      <c r="X203" s="1015"/>
      <c r="AM203" s="373" t="s">
        <v>2030</v>
      </c>
      <c r="BA203" s="374" t="s">
        <v>3180</v>
      </c>
      <c r="BC203" s="781" t="s">
        <v>3181</v>
      </c>
    </row>
    <row r="204" spans="2:55" ht="8.85" customHeight="1">
      <c r="B204" s="715" t="s">
        <v>140</v>
      </c>
      <c r="C204" s="646" t="s">
        <v>2565</v>
      </c>
      <c r="D204" s="374" t="s">
        <v>92</v>
      </c>
      <c r="E204" s="374" t="s">
        <v>3182</v>
      </c>
      <c r="F204" s="374" t="s">
        <v>3183</v>
      </c>
      <c r="G204" s="374" t="s">
        <v>3184</v>
      </c>
      <c r="H204" s="374" t="s">
        <v>3185</v>
      </c>
      <c r="I204" s="374" t="s">
        <v>3186</v>
      </c>
      <c r="J204" s="374" t="s">
        <v>3187</v>
      </c>
      <c r="K204" s="377" t="s">
        <v>3188</v>
      </c>
      <c r="L204" s="1029"/>
      <c r="M204" s="770">
        <v>91</v>
      </c>
      <c r="N204" s="1553" t="s">
        <v>3189</v>
      </c>
      <c r="O204" s="1029"/>
      <c r="P204" s="1029"/>
      <c r="Q204" s="1029"/>
      <c r="R204" s="1015"/>
      <c r="S204" s="771">
        <v>91</v>
      </c>
      <c r="T204" s="1553" t="s">
        <v>3190</v>
      </c>
      <c r="U204" s="1029"/>
      <c r="V204" s="1029"/>
      <c r="W204" s="1029"/>
      <c r="X204" s="1015"/>
      <c r="AM204" s="373" t="s">
        <v>2038</v>
      </c>
      <c r="BA204" s="374" t="s">
        <v>3191</v>
      </c>
      <c r="BC204" s="781" t="s">
        <v>3192</v>
      </c>
    </row>
    <row r="205" spans="2:55" ht="8.85" customHeight="1">
      <c r="B205" s="723" t="s">
        <v>142</v>
      </c>
      <c r="C205" s="646" t="s">
        <v>2129</v>
      </c>
      <c r="D205" s="374" t="s">
        <v>3193</v>
      </c>
      <c r="E205" s="374" t="s">
        <v>92</v>
      </c>
      <c r="F205" s="374" t="s">
        <v>3194</v>
      </c>
      <c r="G205" s="374" t="s">
        <v>3195</v>
      </c>
      <c r="H205" s="374" t="s">
        <v>3196</v>
      </c>
      <c r="I205" s="374" t="s">
        <v>3197</v>
      </c>
      <c r="J205" s="755" t="s">
        <v>3198</v>
      </c>
      <c r="K205" s="377" t="s">
        <v>3199</v>
      </c>
      <c r="L205" s="1029"/>
      <c r="M205" s="770">
        <v>92</v>
      </c>
      <c r="N205" s="1553" t="s">
        <v>3200</v>
      </c>
      <c r="O205" s="1029"/>
      <c r="P205" s="1029"/>
      <c r="Q205" s="1029"/>
      <c r="R205" s="1015"/>
      <c r="S205" s="771">
        <v>92</v>
      </c>
      <c r="T205" s="1553" t="s">
        <v>3201</v>
      </c>
      <c r="U205" s="1029"/>
      <c r="V205" s="1029"/>
      <c r="W205" s="1029"/>
      <c r="X205" s="1015"/>
      <c r="AM205" s="373" t="s">
        <v>2044</v>
      </c>
      <c r="BA205" s="374" t="s">
        <v>3202</v>
      </c>
      <c r="BC205" s="781" t="s">
        <v>3203</v>
      </c>
    </row>
    <row r="206" spans="2:55" ht="8.85" customHeight="1">
      <c r="B206" s="723" t="s">
        <v>144</v>
      </c>
      <c r="C206" s="646" t="s">
        <v>2144</v>
      </c>
      <c r="D206" s="374" t="s">
        <v>3193</v>
      </c>
      <c r="E206" s="374" t="s">
        <v>92</v>
      </c>
      <c r="F206" s="374" t="s">
        <v>3204</v>
      </c>
      <c r="G206" s="374" t="s">
        <v>3205</v>
      </c>
      <c r="H206" s="374" t="s">
        <v>3206</v>
      </c>
      <c r="I206" s="374" t="s">
        <v>3207</v>
      </c>
      <c r="J206" s="374" t="s">
        <v>3208</v>
      </c>
      <c r="K206" s="377" t="s">
        <v>3209</v>
      </c>
      <c r="L206" s="1029"/>
      <c r="M206" s="770">
        <v>93</v>
      </c>
      <c r="N206" s="1553" t="s">
        <v>3210</v>
      </c>
      <c r="O206" s="1029"/>
      <c r="P206" s="1029"/>
      <c r="Q206" s="1029"/>
      <c r="R206" s="1015"/>
      <c r="S206" s="771">
        <v>93</v>
      </c>
      <c r="T206" s="1553" t="s">
        <v>3211</v>
      </c>
      <c r="U206" s="1029"/>
      <c r="V206" s="1029"/>
      <c r="W206" s="1029"/>
      <c r="X206" s="1015"/>
      <c r="AM206" s="373" t="s">
        <v>2050</v>
      </c>
      <c r="BC206" s="781" t="s">
        <v>3212</v>
      </c>
    </row>
    <row r="207" spans="2:55" ht="8.85" customHeight="1">
      <c r="B207" s="723" t="s">
        <v>146</v>
      </c>
      <c r="C207" s="646" t="s">
        <v>2144</v>
      </c>
      <c r="D207" s="374" t="s">
        <v>3193</v>
      </c>
      <c r="E207" s="374" t="s">
        <v>92</v>
      </c>
      <c r="F207" s="374" t="s">
        <v>3213</v>
      </c>
      <c r="G207" s="374" t="s">
        <v>3214</v>
      </c>
      <c r="H207" s="381" t="s">
        <v>3215</v>
      </c>
      <c r="I207" s="374" t="s">
        <v>3216</v>
      </c>
      <c r="J207" s="374" t="s">
        <v>3217</v>
      </c>
      <c r="K207" s="377" t="s">
        <v>3218</v>
      </c>
      <c r="L207" s="1029"/>
      <c r="M207" s="770">
        <v>94</v>
      </c>
      <c r="N207" s="1553" t="s">
        <v>3219</v>
      </c>
      <c r="O207" s="1029"/>
      <c r="P207" s="1029"/>
      <c r="Q207" s="1029"/>
      <c r="R207" s="1015"/>
      <c r="S207" s="771">
        <v>94</v>
      </c>
      <c r="T207" s="1553" t="s">
        <v>3220</v>
      </c>
      <c r="U207" s="1029"/>
      <c r="V207" s="1029"/>
      <c r="W207" s="1029"/>
      <c r="X207" s="1015"/>
      <c r="AM207" s="373" t="s">
        <v>2058</v>
      </c>
      <c r="BA207" s="374" t="s">
        <v>3221</v>
      </c>
      <c r="BC207" s="781" t="s">
        <v>3222</v>
      </c>
    </row>
    <row r="208" spans="2:55" ht="8.85" customHeight="1">
      <c r="B208" s="723" t="s">
        <v>149</v>
      </c>
      <c r="C208" s="646" t="s">
        <v>2144</v>
      </c>
      <c r="D208" s="374" t="s">
        <v>3193</v>
      </c>
      <c r="E208" s="374" t="s">
        <v>3223</v>
      </c>
      <c r="F208" s="374" t="s">
        <v>3224</v>
      </c>
      <c r="G208" s="374" t="s">
        <v>3225</v>
      </c>
      <c r="H208" s="374" t="s">
        <v>3226</v>
      </c>
      <c r="I208" s="374" t="s">
        <v>3227</v>
      </c>
      <c r="J208" s="374" t="s">
        <v>3228</v>
      </c>
      <c r="K208" s="377" t="s">
        <v>3229</v>
      </c>
      <c r="L208" s="1029"/>
      <c r="M208" s="770">
        <v>95</v>
      </c>
      <c r="N208" s="1553" t="s">
        <v>3230</v>
      </c>
      <c r="O208" s="1029"/>
      <c r="P208" s="1029"/>
      <c r="Q208" s="1029"/>
      <c r="R208" s="1015"/>
      <c r="S208" s="771">
        <v>95</v>
      </c>
      <c r="T208" s="1553" t="s">
        <v>3231</v>
      </c>
      <c r="U208" s="1029"/>
      <c r="V208" s="1029"/>
      <c r="W208" s="1029"/>
      <c r="X208" s="1015"/>
      <c r="AM208" s="373" t="s">
        <v>2067</v>
      </c>
      <c r="BA208" s="374" t="s">
        <v>3232</v>
      </c>
      <c r="BC208" s="781" t="s">
        <v>3233</v>
      </c>
    </row>
    <row r="209" spans="2:55" ht="8.85" customHeight="1">
      <c r="B209" s="723" t="s">
        <v>151</v>
      </c>
      <c r="C209" s="646" t="s">
        <v>2144</v>
      </c>
      <c r="D209" s="374" t="s">
        <v>3193</v>
      </c>
      <c r="E209" s="374" t="s">
        <v>3234</v>
      </c>
      <c r="F209" s="374" t="s">
        <v>3235</v>
      </c>
      <c r="G209" s="374" t="s">
        <v>92</v>
      </c>
      <c r="H209" s="374" t="s">
        <v>92</v>
      </c>
      <c r="I209" s="374" t="s">
        <v>3236</v>
      </c>
      <c r="J209" s="374" t="s">
        <v>3237</v>
      </c>
      <c r="K209" s="377" t="s">
        <v>3238</v>
      </c>
      <c r="L209" s="1029"/>
      <c r="M209" s="770">
        <v>96</v>
      </c>
      <c r="N209" s="1553" t="s">
        <v>3239</v>
      </c>
      <c r="O209" s="1029"/>
      <c r="P209" s="1029"/>
      <c r="Q209" s="1029"/>
      <c r="R209" s="1015"/>
      <c r="S209" s="771">
        <v>96</v>
      </c>
      <c r="T209" s="1553" t="s">
        <v>3240</v>
      </c>
      <c r="U209" s="1029"/>
      <c r="V209" s="1029"/>
      <c r="W209" s="1029"/>
      <c r="X209" s="1015"/>
      <c r="AM209" s="373" t="s">
        <v>2075</v>
      </c>
      <c r="BA209" s="374" t="s">
        <v>3241</v>
      </c>
      <c r="BC209" s="781" t="s">
        <v>212</v>
      </c>
    </row>
    <row r="210" spans="2:55" ht="8.85" customHeight="1">
      <c r="B210" s="723" t="s">
        <v>153</v>
      </c>
      <c r="C210" s="646" t="s">
        <v>2144</v>
      </c>
      <c r="D210" s="374" t="s">
        <v>3242</v>
      </c>
      <c r="E210" s="374" t="s">
        <v>92</v>
      </c>
      <c r="F210" s="374" t="s">
        <v>3243</v>
      </c>
      <c r="G210" s="374" t="s">
        <v>3244</v>
      </c>
      <c r="H210" s="374" t="s">
        <v>3245</v>
      </c>
      <c r="I210" s="374" t="s">
        <v>2604</v>
      </c>
      <c r="J210" s="374" t="s">
        <v>92</v>
      </c>
      <c r="K210" s="377" t="s">
        <v>92</v>
      </c>
      <c r="L210" s="1029"/>
      <c r="M210" s="770">
        <v>97</v>
      </c>
      <c r="N210" s="1553" t="s">
        <v>3246</v>
      </c>
      <c r="O210" s="1029"/>
      <c r="P210" s="1029"/>
      <c r="Q210" s="1029"/>
      <c r="R210" s="1015"/>
      <c r="S210" s="771">
        <v>97</v>
      </c>
      <c r="T210" s="1553" t="s">
        <v>3247</v>
      </c>
      <c r="U210" s="1029"/>
      <c r="V210" s="1029"/>
      <c r="W210" s="1029"/>
      <c r="X210" s="1015"/>
      <c r="AM210" s="373" t="s">
        <v>2083</v>
      </c>
      <c r="BA210" s="374" t="s">
        <v>3248</v>
      </c>
      <c r="BC210" s="781" t="s">
        <v>3249</v>
      </c>
    </row>
    <row r="211" spans="2:55" ht="8.85" customHeight="1">
      <c r="B211" s="723" t="s">
        <v>155</v>
      </c>
      <c r="C211" s="646" t="s">
        <v>2144</v>
      </c>
      <c r="D211" s="374" t="s">
        <v>3250</v>
      </c>
      <c r="E211" s="374" t="s">
        <v>92</v>
      </c>
      <c r="F211" s="373" t="s">
        <v>3251</v>
      </c>
      <c r="G211" s="374" t="s">
        <v>92</v>
      </c>
      <c r="H211" s="374" t="s">
        <v>92</v>
      </c>
      <c r="I211" s="374" t="s">
        <v>92</v>
      </c>
      <c r="J211" s="374" t="s">
        <v>92</v>
      </c>
      <c r="K211" s="377" t="s">
        <v>92</v>
      </c>
      <c r="L211" s="1029"/>
      <c r="M211" s="770">
        <v>98</v>
      </c>
      <c r="N211" s="1553" t="s">
        <v>3252</v>
      </c>
      <c r="O211" s="1029"/>
      <c r="P211" s="1029"/>
      <c r="Q211" s="1029"/>
      <c r="R211" s="1015"/>
      <c r="S211" s="771">
        <v>98</v>
      </c>
      <c r="T211" s="1553" t="s">
        <v>3253</v>
      </c>
      <c r="U211" s="1029"/>
      <c r="V211" s="1029"/>
      <c r="W211" s="1029"/>
      <c r="X211" s="1015"/>
      <c r="AM211" s="373" t="s">
        <v>2091</v>
      </c>
      <c r="BA211" s="374" t="s">
        <v>303</v>
      </c>
      <c r="BC211" s="781" t="s">
        <v>3254</v>
      </c>
    </row>
    <row r="212" spans="2:55" ht="8.85" customHeight="1">
      <c r="B212" s="384" t="n">
        <f>人物卡!AU26</f>
        <v>0</v>
      </c>
      <c r="C212" s="784" t="n">
        <f>人物卡!BA26</f>
        <v>0</v>
      </c>
      <c r="D212" s="385" t="s">
        <v>157</v>
      </c>
      <c r="E212" s="385" t="s">
        <v>212</v>
      </c>
      <c r="F212" s="385" t="str">
        <f>IF(ISBLANK(人物卡!BA29),"",人物卡!BA29)</f>
        <v>基础值</v>
      </c>
      <c r="G212" s="385" t="s">
        <v>212</v>
      </c>
      <c r="H212" s="385" t="s">
        <v>212</v>
      </c>
      <c r="I212" s="385" t="s">
        <v>212</v>
      </c>
      <c r="J212" s="385" t="s">
        <v>212</v>
      </c>
      <c r="K212" s="388" t="s">
        <v>212</v>
      </c>
      <c r="L212" s="1029"/>
      <c r="M212" s="770">
        <v>99</v>
      </c>
      <c r="N212" s="1553" t="s">
        <v>3255</v>
      </c>
      <c r="O212" s="1029"/>
      <c r="P212" s="1029"/>
      <c r="Q212" s="1029"/>
      <c r="R212" s="1015"/>
      <c r="S212" s="771">
        <v>99</v>
      </c>
      <c r="T212" s="1553" t="s">
        <v>3256</v>
      </c>
      <c r="U212" s="1029"/>
      <c r="V212" s="1029"/>
      <c r="W212" s="1029"/>
      <c r="X212" s="1015"/>
      <c r="AM212" s="373" t="s">
        <v>2099</v>
      </c>
      <c r="BC212" s="781" t="s">
        <v>3257</v>
      </c>
    </row>
    <row r="213" spans="2:55" ht="8.85" customHeight="1">
      <c r="B213" s="373" t="s">
        <v>3258</v>
      </c>
      <c r="C213" s="374">
        <v>0</v>
      </c>
      <c r="D213" s="374">
        <v>0</v>
      </c>
      <c r="E213" s="374">
        <v>0</v>
      </c>
      <c r="F213" s="374">
        <v>0</v>
      </c>
      <c r="G213" s="374">
        <v>0</v>
      </c>
      <c r="H213" s="374">
        <v>0</v>
      </c>
      <c r="I213" s="374">
        <v>0</v>
      </c>
      <c r="J213" s="374">
        <v>0</v>
      </c>
      <c r="K213" s="374">
        <v>0</v>
      </c>
      <c r="L213" s="1029"/>
      <c r="M213" s="770">
        <v>100</v>
      </c>
      <c r="N213" s="1553" t="s">
        <v>3259</v>
      </c>
      <c r="O213" s="1029"/>
      <c r="P213" s="1029"/>
      <c r="Q213" s="1029"/>
      <c r="R213" s="1015"/>
      <c r="S213" s="771">
        <v>100</v>
      </c>
      <c r="T213" s="1553" t="s">
        <v>3260</v>
      </c>
      <c r="U213" s="1029"/>
      <c r="V213" s="1029"/>
      <c r="W213" s="1029"/>
      <c r="X213" s="1015"/>
      <c r="BC213" s="781" t="s">
        <v>3261</v>
      </c>
    </row>
    <row r="214" spans="2:55" ht="8.85" customHeight="1">
      <c r="L214" s="1029"/>
      <c r="M214" s="770"/>
      <c r="N214" s="1553" t="s">
        <v>3262</v>
      </c>
      <c r="O214" s="1029"/>
      <c r="P214" s="1029"/>
      <c r="Q214" s="1029"/>
      <c r="R214" s="1015"/>
      <c r="S214" s="766"/>
      <c r="T214" s="1592"/>
      <c r="U214" s="1029"/>
      <c r="V214" s="1029"/>
      <c r="W214" s="1029"/>
      <c r="X214" s="1015"/>
      <c r="BC214" s="781" t="s">
        <v>3263</v>
      </c>
    </row>
    <row r="215" spans="2:55" ht="8.85" customHeight="1">
      <c r="M215" s="785"/>
      <c r="N215" s="1586" t="s">
        <v>3264</v>
      </c>
      <c r="O215" s="1019"/>
      <c r="P215" s="1019"/>
      <c r="Q215" s="1019"/>
      <c r="R215" s="1091"/>
      <c r="S215" s="786"/>
      <c r="T215" s="1581"/>
      <c r="U215" s="1019"/>
      <c r="V215" s="1019"/>
      <c r="W215" s="1019"/>
      <c r="X215" s="1091"/>
      <c r="BC215" s="781" t="s">
        <v>3265</v>
      </c>
    </row>
    <row r="216" spans="2:55">
      <c r="BC216" s="781" t="s">
        <v>3266</v>
      </c>
    </row>
    <row r="217" spans="2:55" ht="16.350000000000001" customHeight="1">
      <c r="M217" s="1597" t="s">
        <v>2191</v>
      </c>
      <c r="N217" s="1088"/>
      <c r="O217" s="1597" t="s">
        <v>3025</v>
      </c>
      <c r="P217" s="1088"/>
      <c r="Q217" s="1564" t="s">
        <v>2680</v>
      </c>
      <c r="R217" s="1089"/>
      <c r="S217" s="1595" t="s">
        <v>360</v>
      </c>
      <c r="T217" s="1089"/>
      <c r="U217" s="1600" t="s">
        <v>160</v>
      </c>
      <c r="V217" s="1089"/>
      <c r="BC217" s="781" t="s">
        <v>3267</v>
      </c>
    </row>
    <row r="218" spans="2:55" ht="16.350000000000001" customHeight="1">
      <c r="M218" s="787" t="s">
        <v>311</v>
      </c>
      <c r="N218" s="788" t="s">
        <v>89</v>
      </c>
      <c r="O218" s="787" t="s">
        <v>311</v>
      </c>
      <c r="P218" s="788" t="s">
        <v>89</v>
      </c>
      <c r="Q218" s="787" t="s">
        <v>311</v>
      </c>
      <c r="R218" s="789" t="s">
        <v>89</v>
      </c>
      <c r="S218" s="790" t="s">
        <v>311</v>
      </c>
      <c r="T218" s="791" t="s">
        <v>89</v>
      </c>
      <c r="U218" s="792" t="s">
        <v>311</v>
      </c>
      <c r="V218" s="789" t="s">
        <v>89</v>
      </c>
      <c r="BC218" s="781" t="s">
        <v>3268</v>
      </c>
    </row>
    <row r="219" spans="2:55" ht="10.95" customHeight="1">
      <c r="M219" s="793" t="s">
        <v>1359</v>
      </c>
      <c r="N219" s="26">
        <v>5</v>
      </c>
      <c r="O219" s="793" t="s">
        <v>3037</v>
      </c>
      <c r="P219" s="26">
        <v>1</v>
      </c>
      <c r="Q219" s="794" t="s">
        <v>134</v>
      </c>
      <c r="R219" s="795">
        <v>20</v>
      </c>
      <c r="S219" s="796" t="s">
        <v>3269</v>
      </c>
      <c r="T219" s="797">
        <v>1</v>
      </c>
      <c r="U219" s="798" t="s">
        <v>120</v>
      </c>
      <c r="V219" s="799">
        <v>25</v>
      </c>
      <c r="Z219" s="1449" t="s">
        <v>3270</v>
      </c>
      <c r="AA219" s="1029"/>
      <c r="AB219" s="1029"/>
      <c r="AC219" s="1029"/>
      <c r="AD219" s="1029"/>
      <c r="AE219" s="1029"/>
      <c r="AF219" s="1029"/>
      <c r="AG219" s="1029"/>
      <c r="AH219" s="1029"/>
      <c r="BC219" s="781" t="s">
        <v>212</v>
      </c>
    </row>
    <row r="220" spans="2:55" ht="10.35" customHeight="1">
      <c r="M220" s="794" t="s">
        <v>2214</v>
      </c>
      <c r="N220" s="800">
        <v>5</v>
      </c>
      <c r="O220" s="794" t="s">
        <v>1407</v>
      </c>
      <c r="P220" s="800">
        <v>1</v>
      </c>
      <c r="Q220" s="793" t="s">
        <v>369</v>
      </c>
      <c r="R220" s="799">
        <v>25</v>
      </c>
      <c r="S220" s="801" t="s">
        <v>1400</v>
      </c>
      <c r="T220" s="802">
        <v>1</v>
      </c>
      <c r="U220" s="798" t="s">
        <v>2612</v>
      </c>
      <c r="V220" s="799">
        <v>5</v>
      </c>
      <c r="Z220" s="684"/>
      <c r="AA220" s="634"/>
      <c r="AJ220" s="774"/>
      <c r="BC220" s="781" t="s">
        <v>3271</v>
      </c>
    </row>
    <row r="221" spans="2:55" ht="10.35" customHeight="1">
      <c r="M221" s="793" t="s">
        <v>1364</v>
      </c>
      <c r="N221" s="26">
        <v>5</v>
      </c>
      <c r="O221" s="793" t="s">
        <v>3051</v>
      </c>
      <c r="P221" s="26">
        <v>1</v>
      </c>
      <c r="Q221" s="794" t="s">
        <v>2699</v>
      </c>
      <c r="R221" s="795">
        <v>15</v>
      </c>
      <c r="S221" s="803" t="str">
        <f>IF(ISBLANK(人物卡!AU26),"",人物卡!AU26)</f>
        <v/>
      </c>
      <c r="T221" s="802" t="str">
        <f>IF(ISBLANK(人物卡!BA26),"",人物卡!BA26)</f>
        <v/>
      </c>
      <c r="U221" s="804" t="s">
        <v>2623</v>
      </c>
      <c r="V221" s="795">
        <v>10</v>
      </c>
      <c r="Z221" s="1580" t="s">
        <v>3272</v>
      </c>
      <c r="AA221" s="1088"/>
      <c r="AB221" s="1596"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连贫穷都够不上的人才能够叫做身无分文。住所：大概只有睡大街。旅行：步行，扒车或逃票上火车轮船。</v>
      </c>
      <c r="AC221" s="1089"/>
      <c r="AD221" s="805" t="s">
        <v>3273</v>
      </c>
      <c r="AE221" s="1582" t="s">
        <v>3274</v>
      </c>
      <c r="AF221" s="1088"/>
      <c r="AG221" s="1089"/>
      <c r="BC221" s="781" t="s">
        <v>3275</v>
      </c>
    </row>
    <row r="222" spans="2:55" ht="10.35" customHeight="1">
      <c r="M222" s="794" t="s">
        <v>1363</v>
      </c>
      <c r="N222" s="800">
        <v>5</v>
      </c>
      <c r="O222" s="794" t="s">
        <v>1405</v>
      </c>
      <c r="P222" s="800">
        <v>1</v>
      </c>
      <c r="Q222" s="793" t="s">
        <v>1391</v>
      </c>
      <c r="R222" s="799">
        <v>15</v>
      </c>
      <c r="T222" s="26"/>
      <c r="U222" s="798" t="s">
        <v>2657</v>
      </c>
      <c r="V222" s="799">
        <v>10</v>
      </c>
      <c r="Z222" s="1576" t="s">
        <v>94</v>
      </c>
      <c r="AA222" s="1577"/>
      <c r="AB222" s="1029"/>
      <c r="AC222" s="1015"/>
      <c r="AD222" s="377" t="n">
        <f>人物卡!R26</f>
        <v>0</v>
      </c>
      <c r="AE222" s="383"/>
      <c r="AF222" s="383" t="s">
        <v>3276</v>
      </c>
      <c r="AG222" s="387">
        <v>1920</v>
      </c>
      <c r="BC222" s="781" t="s">
        <v>3277</v>
      </c>
    </row>
    <row r="223" spans="2:55" ht="10.35" customHeight="1">
      <c r="M223" s="793" t="s">
        <v>1375</v>
      </c>
      <c r="N223" s="26">
        <v>5</v>
      </c>
      <c r="O223" s="793" t="s">
        <v>1410</v>
      </c>
      <c r="P223" s="26">
        <v>1</v>
      </c>
      <c r="Q223" s="794" t="s">
        <v>2718</v>
      </c>
      <c r="R223" s="795">
        <v>10</v>
      </c>
      <c r="T223" s="26"/>
      <c r="U223" s="804" t="s">
        <v>2651</v>
      </c>
      <c r="V223" s="795">
        <v>15</v>
      </c>
      <c r="Z223" s="1589" t="str">
        <f>AD222&amp;"%/"&amp;AD223&amp;"%/"&amp;AD224&amp;"%"</f>
        <v>0%/0%/0%</v>
      </c>
      <c r="AA223" s="1590"/>
      <c r="AB223" s="1029"/>
      <c r="AC223" s="1015"/>
      <c r="AD223" s="377" t="n">
        <f>人物卡!T26</f>
        <v>0</v>
      </c>
      <c r="AE223" s="749" t="s">
        <v>182</v>
      </c>
      <c r="AF223" s="374" t="n">
        <f>IF(ISNUMBER('货币汇率'!$K$5),VLOOKUP(AF226,Z243:AC263,2,FALSE),"")</f>
        <v>0.5</v>
      </c>
      <c r="AG223" s="377" t="n">
        <f>IF(ISNUMBER('货币汇率'!$K$5),VLOOKUP(AF226,AE243:AH263,2,FALSE),"")</f>
        <v>0.5</v>
      </c>
      <c r="BC223" s="781" t="s">
        <v>3278</v>
      </c>
    </row>
    <row r="224" spans="2:55" ht="10.35" customHeight="1">
      <c r="M224" s="794" t="s">
        <v>1370</v>
      </c>
      <c r="N224" s="800">
        <v>5</v>
      </c>
      <c r="O224" s="794" t="s">
        <v>3067</v>
      </c>
      <c r="P224" s="800">
        <v>1</v>
      </c>
      <c r="Q224" s="793" t="s">
        <v>2730</v>
      </c>
      <c r="R224" s="799">
        <v>10</v>
      </c>
      <c r="T224" s="26"/>
      <c r="U224" s="804" t="s">
        <v>2634</v>
      </c>
      <c r="V224" s="795">
        <v>15</v>
      </c>
      <c r="Z224" s="1587" t="s">
        <v>181</v>
      </c>
      <c r="AA224" s="1029"/>
      <c r="AB224" s="1029"/>
      <c r="AC224" s="1015"/>
      <c r="AD224" s="388" t="n">
        <f>人物卡!V26</f>
        <v>0</v>
      </c>
      <c r="AE224" s="749" t="s">
        <v>3279</v>
      </c>
      <c r="AF224" s="374" t="n">
        <f>IF(ISNUMBER('货币汇率'!$K$5),VLOOKUP(AF226,Z243:AC263,3,FALSE),"")</f>
        <v>0.5</v>
      </c>
      <c r="AG224" s="377" t="n">
        <f>IF(ISNUMBER('货币汇率'!$K$5),VLOOKUP(AF226,AE243:AH263,3,FALSE),"")</f>
        <v>0.5</v>
      </c>
      <c r="BC224" s="781" t="s">
        <v>3280</v>
      </c>
    </row>
    <row r="225" spans="13:55" ht="10.35" customHeight="1">
      <c r="M225" s="793" t="s">
        <v>2251</v>
      </c>
      <c r="N225" s="26">
        <v>5</v>
      </c>
      <c r="O225" s="793" t="s">
        <v>1412</v>
      </c>
      <c r="P225" s="26">
        <v>1</v>
      </c>
      <c r="Q225" s="806" t="s">
        <v>2743</v>
      </c>
      <c r="R225" s="807">
        <v>10</v>
      </c>
      <c r="T225" s="26"/>
      <c r="U225" s="798" t="s">
        <v>1389</v>
      </c>
      <c r="V225" s="799">
        <v>20</v>
      </c>
      <c r="Z225" s="1562" t="str">
        <f>LOOKUP(AD222,{0,1,10,50,90,99},{"身无分文","贫穷","标准","小康","富裕","富豪"})</f>
        <v>身无分文</v>
      </c>
      <c r="AA225" s="1029"/>
      <c r="AB225" s="1029"/>
      <c r="AC225" s="1015"/>
      <c r="AE225" s="808" t="s">
        <v>183</v>
      </c>
      <c r="AF225" s="385" t="str">
        <f>IF(ISNUMBER('货币汇率'!$K$5),VLOOKUP(AF226,Z243:AC263,4,FALSE),"")</f>
        <v>没有</v>
      </c>
      <c r="AG225" s="388" t="str">
        <f>IF(ISNUMBER('货币汇率'!$K$5),VLOOKUP(AF226,AE243:AH263,4,FALSE),"")</f>
        <v>没有</v>
      </c>
      <c r="BC225" s="781" t="s">
        <v>3281</v>
      </c>
    </row>
    <row r="226" spans="13:55" ht="10.35" customHeight="1">
      <c r="M226" s="794" t="s">
        <v>1373</v>
      </c>
      <c r="N226" s="800">
        <v>5</v>
      </c>
      <c r="O226" s="794" t="s">
        <v>3078</v>
      </c>
      <c r="P226" s="800">
        <v>1</v>
      </c>
      <c r="Q226" s="806" t="str">
        <f>IF(ISBLANK(人物卡!AU26),"",人物卡!AU26)</f>
        <v/>
      </c>
      <c r="R226" s="807" t="str">
        <f>IF(ISBLANK(人物卡!BA26),"",人物卡!BA26)</f>
        <v/>
      </c>
      <c r="T226" s="26"/>
      <c r="U226" s="809" t="s">
        <v>1388</v>
      </c>
      <c r="V226" s="810">
        <v>20</v>
      </c>
      <c r="Z226" s="1585" t="s">
        <v>182</v>
      </c>
      <c r="AA226" s="1036"/>
      <c r="AB226" s="1029"/>
      <c r="AC226" s="1015"/>
      <c r="AE226" s="811" t="s">
        <v>3282</v>
      </c>
      <c r="AF226" s="699" t="str">
        <f>人物卡!S62</f>
        <v>美元（USD）</v>
      </c>
      <c r="BC226" s="781" t="s">
        <v>212</v>
      </c>
    </row>
    <row r="227" spans="13:55" ht="10.35" customHeight="1">
      <c r="M227" s="793" t="s">
        <v>2268</v>
      </c>
      <c r="N227" s="26">
        <v>5</v>
      </c>
      <c r="O227" s="793" t="s">
        <v>3084</v>
      </c>
      <c r="P227" s="799">
        <v>1</v>
      </c>
      <c r="Q227" s="26"/>
      <c r="T227" s="26"/>
      <c r="U227" s="812" t="str">
        <f>IF(ISBLANK(人物卡!AU26),"",人物卡!AU26)</f>
        <v/>
      </c>
      <c r="V227" s="807" t="str">
        <f>IF(ISBLANK(人物卡!BA26),"",人物卡!BA26)</f>
        <v/>
      </c>
      <c r="Z227" s="1591"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0.5</v>
      </c>
      <c r="AA227" s="1036"/>
      <c r="AB227" s="1029"/>
      <c r="AC227" s="1015"/>
      <c r="AE227" s="813" t="s">
        <v>3283</v>
      </c>
      <c r="AF227" s="632" t="str">
        <f>人物卡!M4</f>
        <v>1920s</v>
      </c>
      <c r="BC227" s="781" t="s">
        <v>3284</v>
      </c>
    </row>
    <row r="228" spans="13:55" ht="10.35" customHeight="1">
      <c r="M228" s="794" t="s">
        <v>2277</v>
      </c>
      <c r="N228" s="800">
        <v>5</v>
      </c>
      <c r="O228" s="794" t="s">
        <v>3090</v>
      </c>
      <c r="P228" s="795">
        <v>1</v>
      </c>
      <c r="Q228" s="26"/>
      <c r="T228" s="26"/>
      <c r="U228" s="26"/>
      <c r="V228" s="26"/>
      <c r="Z228" s="1588" t="s">
        <v>183</v>
      </c>
      <c r="AA228" s="1000"/>
      <c r="AB228" s="1029"/>
      <c r="AC228" s="1015"/>
      <c r="AE228" s="1594" t="s">
        <v>3285</v>
      </c>
      <c r="AF228" s="1088"/>
      <c r="AG228" s="1089"/>
      <c r="BC228" s="781" t="s">
        <v>3286</v>
      </c>
    </row>
    <row r="229" spans="13:55" ht="10.35" customHeight="1">
      <c r="M229" s="793" t="s">
        <v>2284</v>
      </c>
      <c r="N229" s="26">
        <v>5</v>
      </c>
      <c r="O229" s="793" t="s">
        <v>3095</v>
      </c>
      <c r="P229" s="799">
        <v>1</v>
      </c>
      <c r="Q229" s="26"/>
      <c r="T229" s="26"/>
      <c r="U229" s="26"/>
      <c r="V229" s="26"/>
      <c r="Z229" s="1562" t="str">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没有</v>
      </c>
      <c r="AA229" s="1029"/>
      <c r="AB229" s="1029"/>
      <c r="AC229" s="1015"/>
      <c r="AE229" s="814" t="s">
        <v>182</v>
      </c>
      <c r="AF229" s="815" t="s">
        <v>3279</v>
      </c>
      <c r="AG229" s="816" t="s">
        <v>183</v>
      </c>
      <c r="BC229" s="781" t="s">
        <v>3287</v>
      </c>
    </row>
    <row r="230" spans="13:55" ht="10.35" customHeight="1">
      <c r="M230" s="794" t="s">
        <v>1379</v>
      </c>
      <c r="N230" s="800">
        <v>5</v>
      </c>
      <c r="O230" s="794" t="s">
        <v>3101</v>
      </c>
      <c r="P230" s="795">
        <v>1</v>
      </c>
      <c r="Q230" s="26"/>
      <c r="T230" s="26"/>
      <c r="U230" s="26"/>
      <c r="V230" s="26"/>
      <c r="Z230" s="1576" t="s">
        <v>184</v>
      </c>
      <c r="AA230" s="1577"/>
      <c r="AB230" s="1029"/>
      <c r="AC230" s="1015"/>
      <c r="AE230" s="2223" t="n">
        <f>'人物卡'!I62</f>
        <v>0.5</v>
      </c>
      <c r="AF230" s="2224" t="n">
        <f>'人物卡'!O62</f>
        <v>0.5</v>
      </c>
      <c r="AG230" s="2225" t="n">
        <f>'人物卡'!L62</f>
        <v>0</v>
      </c>
      <c r="BC230" s="781" t="s">
        <v>3288</v>
      </c>
    </row>
    <row r="231" spans="13:55" ht="10.35" customHeight="1">
      <c r="M231" s="793" t="s">
        <v>2303</v>
      </c>
      <c r="N231" s="26">
        <v>5</v>
      </c>
      <c r="O231" s="806" t="s">
        <v>3107</v>
      </c>
      <c r="P231" s="807">
        <v>1</v>
      </c>
      <c r="Q231" s="26"/>
      <c r="T231" s="26"/>
      <c r="U231" s="26"/>
      <c r="V231" s="26"/>
      <c r="Z231" s="1598" t="str">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0.5</v>
      </c>
      <c r="AA231" s="1599"/>
      <c r="AB231" s="1019"/>
      <c r="AC231" s="1091"/>
      <c r="AE231" s="817" t="n">
        <f>IF(ISNUMBER('货币汇率'!$K$5),ABS(AE230),"")</f>
        <v>0.5</v>
      </c>
      <c r="AF231" s="817" t="n">
        <f>IF(ISNUMBER('货币汇率'!$K$5),ABS(AF230),"")</f>
        <v>0.5</v>
      </c>
      <c r="AG231" s="817" t="n">
        <f>IF(ISNUMBER('货币汇率'!$K$5),IF(AG230="没有",0,ABS(AG230)),"")</f>
        <v>0</v>
      </c>
      <c r="BC231" s="781" t="s">
        <v>3289</v>
      </c>
    </row>
    <row r="232" spans="13:55" ht="10.35" customHeight="1">
      <c r="M232" s="794" t="s">
        <v>2315</v>
      </c>
      <c r="N232" s="800">
        <v>5</v>
      </c>
      <c r="O232" s="806" t="str">
        <f>IF(ISBLANK(人物卡!AU26),"",人物卡!AU26)</f>
        <v/>
      </c>
      <c r="P232" s="807" t="str">
        <f>IF(ISBLANK(人物卡!BA26),"",人物卡!BA26)</f>
        <v/>
      </c>
      <c r="Q232" s="26"/>
      <c r="T232" s="26"/>
      <c r="U232" s="26"/>
      <c r="V232" s="26"/>
      <c r="AE232" s="1594" t="s">
        <v>3290</v>
      </c>
      <c r="AF232" s="1088"/>
      <c r="AG232" s="1089"/>
      <c r="BC232" s="781" t="s">
        <v>3291</v>
      </c>
    </row>
    <row r="233" spans="13:55" ht="10.35" customHeight="1">
      <c r="M233" s="793" t="s">
        <v>1372</v>
      </c>
      <c r="N233" s="799">
        <v>5</v>
      </c>
      <c r="Q233" s="26"/>
      <c r="T233" s="26"/>
      <c r="Z233" s="1594" t="s">
        <v>3292</v>
      </c>
      <c r="AA233" s="1088"/>
      <c r="AB233" s="1088"/>
      <c r="AC233" s="1089"/>
      <c r="AE233" s="814" t="s">
        <v>182</v>
      </c>
      <c r="AF233" s="815" t="s">
        <v>3279</v>
      </c>
      <c r="AG233" s="816" t="s">
        <v>183</v>
      </c>
      <c r="BC233" s="781" t="s">
        <v>3293</v>
      </c>
    </row>
    <row r="234" spans="13:55" ht="10.35" customHeight="1">
      <c r="M234" s="794" t="s">
        <v>2335</v>
      </c>
      <c r="N234" s="795">
        <v>5</v>
      </c>
      <c r="Q234" s="26"/>
      <c r="R234" s="818"/>
      <c r="Z234" s="724"/>
      <c r="AA234" s="815" t="s">
        <v>182</v>
      </c>
      <c r="AB234" s="815" t="s">
        <v>3279</v>
      </c>
      <c r="AC234" s="816" t="s">
        <v>183</v>
      </c>
      <c r="AE234" s="384" t="str">
        <f>IF(ISNUMBER('货币汇率'!$K$5),AE230/10000&amp;"万","")</f>
        <v>0.00005万</v>
      </c>
      <c r="AF234" s="385" t="str">
        <f>IF(ISNUMBER('货币汇率'!$K$5),AF230/10000&amp;"万","")</f>
        <v>0.00005万</v>
      </c>
      <c r="AG234" s="388" t="str">
        <f>IF(ISNUMBER('货币汇率'!$K$5),IF(AG230="没有","没有",AG230/10000&amp;"万"),"")</f>
        <v>0万</v>
      </c>
      <c r="BC234" s="781" t="s">
        <v>3294</v>
      </c>
    </row>
    <row r="235" spans="13:55" ht="10.35" customHeight="1">
      <c r="M235" s="793" t="s">
        <v>2345</v>
      </c>
      <c r="N235" s="799">
        <v>5</v>
      </c>
      <c r="Q235" s="26"/>
      <c r="R235" s="818"/>
      <c r="S235" s="819"/>
      <c r="T235" s="26"/>
      <c r="Z235" s="724" t="s">
        <v>3290</v>
      </c>
      <c r="AA235" s="374" t="n">
        <f>IF(ISNUMBER('货币汇率'!$K$5),IF((AE231&gt;=AA237),1,0),"")</f>
        <v>0</v>
      </c>
      <c r="AB235" s="374" t="n">
        <f>IF(ISNUMBER('货币汇率'!$K$5),IF(AF231&gt;=AA237,1,0),"")</f>
        <v>0</v>
      </c>
      <c r="AC235" s="377" t="n">
        <f>IF(ISNUMBER('货币汇率'!$K$5),IF(AG231&gt;=AA237,1,0),"")</f>
        <v>0</v>
      </c>
      <c r="AE235" s="1594" t="s">
        <v>3295</v>
      </c>
      <c r="AF235" s="1088"/>
      <c r="AG235" s="1089"/>
      <c r="BC235" s="781" t="s">
        <v>212</v>
      </c>
    </row>
    <row r="236" spans="13:55" ht="10.35" customHeight="1">
      <c r="M236" s="794" t="s">
        <v>1384</v>
      </c>
      <c r="N236" s="795">
        <v>5</v>
      </c>
      <c r="Q236" s="26"/>
      <c r="R236" s="818"/>
      <c r="S236" s="819"/>
      <c r="X236" s="820"/>
      <c r="Z236" s="727" t="s">
        <v>3295</v>
      </c>
      <c r="AA236" s="385" t="n">
        <f>IF(ISNUMBER('货币汇率'!$K$5),IF(AE231&gt;=AC237,1,0),"")</f>
        <v>0</v>
      </c>
      <c r="AB236" s="385" t="n">
        <f>IF(ISNUMBER('货币汇率'!$K$5),IF(AF231&gt;=AC237,1,0),"")</f>
        <v>0</v>
      </c>
      <c r="AC236" s="388" t="n">
        <f>IF(ISNUMBER('货币汇率'!$K$5),IF(AG231&gt;=AC237,1,0),"")</f>
        <v>0</v>
      </c>
      <c r="AE236" s="814" t="s">
        <v>182</v>
      </c>
      <c r="AF236" s="815" t="s">
        <v>3279</v>
      </c>
      <c r="AG236" s="816" t="s">
        <v>183</v>
      </c>
      <c r="BC236" s="781" t="s">
        <v>3296</v>
      </c>
    </row>
    <row r="237" spans="13:55" ht="10.35" customHeight="1">
      <c r="M237" s="793" t="s">
        <v>2363</v>
      </c>
      <c r="N237" s="799">
        <v>5</v>
      </c>
      <c r="Q237" s="26"/>
      <c r="R237" s="818"/>
      <c r="S237" s="819"/>
      <c r="AA237" s="817">
        <v>10000</v>
      </c>
      <c r="AC237" s="386">
        <v>100000000</v>
      </c>
      <c r="AE237" s="384" t="str">
        <f>IF(ISNUMBER('货币汇率'!$K$5),AE230/100000000&amp;"亿","")</f>
        <v>0.000000005亿</v>
      </c>
      <c r="AF237" s="385" t="str">
        <f>IF(ISNUMBER('货币汇率'!$K$5),AF230/100000000&amp;"亿","")</f>
        <v>0.000000005亿</v>
      </c>
      <c r="AG237" s="388" t="str">
        <f>IF(ISNUMBER('货币汇率'!$K$5),IF(AG230="没有","没有",AG230/100000000&amp;"亿"),"")</f>
        <v>0亿</v>
      </c>
      <c r="BC237" s="781" t="s">
        <v>3297</v>
      </c>
    </row>
    <row r="238" spans="13:55" ht="10.35" customHeight="1">
      <c r="M238" s="794" t="s">
        <v>2376</v>
      </c>
      <c r="N238" s="795">
        <v>5</v>
      </c>
      <c r="Q238" s="26"/>
      <c r="R238" s="818"/>
      <c r="S238" s="819"/>
      <c r="AE238" s="1594" t="s">
        <v>1475</v>
      </c>
      <c r="AF238" s="1088"/>
      <c r="AG238" s="1089"/>
      <c r="BC238" s="781" t="s">
        <v>3298</v>
      </c>
    </row>
    <row r="239" spans="13:55" ht="10.35" customHeight="1">
      <c r="M239" s="793" t="s">
        <v>1366</v>
      </c>
      <c r="N239" s="799">
        <v>5</v>
      </c>
      <c r="Q239" s="26"/>
      <c r="R239" s="818"/>
      <c r="S239" s="819"/>
      <c r="AE239" s="814" t="s">
        <v>182</v>
      </c>
      <c r="AF239" s="815" t="s">
        <v>3279</v>
      </c>
      <c r="AG239" s="816" t="s">
        <v>183</v>
      </c>
      <c r="BC239" s="781" t="s">
        <v>3299</v>
      </c>
    </row>
    <row r="240" spans="13:55" ht="10.35" customHeight="1">
      <c r="M240" s="794" t="s">
        <v>2395</v>
      </c>
      <c r="N240" s="795">
        <v>5</v>
      </c>
      <c r="Q240" s="26"/>
      <c r="R240" s="818"/>
      <c r="S240" s="819"/>
      <c r="AE240" s="384" t="n">
        <f>IF(ISNUMBER('货币汇率'!$K$5),IF(AF227="其他",AE230,IF(AA236=1,AE237,IF(AA235=1,AE234,AE230))),"")</f>
        <v>0.5</v>
      </c>
      <c r="AF240" s="385" t="n">
        <f>IF(ISNUMBER('货币汇率'!$K$5),IF(AF227="其他",AE230,IF(AB236=1,AF237,IF(AB235=1,AF234,AF230))),"")</f>
        <v>0.5</v>
      </c>
      <c r="AG240" s="388" t="n">
        <f>IF(ISNUMBER('货币汇率'!$K$5),IF(AF227="其他",AE230,IF(AC236=1,AG237,IF(AC235=1,AG234,AG230))),"")</f>
        <v>0</v>
      </c>
      <c r="BC240" s="781" t="s">
        <v>212</v>
      </c>
    </row>
    <row r="241" spans="13:55" ht="10.35" customHeight="1">
      <c r="M241" s="793" t="s">
        <v>2404</v>
      </c>
      <c r="N241" s="799">
        <v>5</v>
      </c>
      <c r="Q241" s="26"/>
      <c r="R241" s="818"/>
      <c r="S241" s="819"/>
      <c r="Z241" s="1593" t="s">
        <v>3300</v>
      </c>
      <c r="AA241" s="1088"/>
      <c r="AB241" s="1088"/>
      <c r="AC241" s="1088"/>
      <c r="AD241" s="1088"/>
      <c r="AE241" s="1088"/>
      <c r="AF241" s="1088"/>
      <c r="AG241" s="1089"/>
      <c r="BC241" s="781" t="s">
        <v>3301</v>
      </c>
    </row>
    <row r="242" spans="13:55" ht="10.35" customHeight="1">
      <c r="M242" s="821" t="s">
        <v>1371</v>
      </c>
      <c r="N242" s="654">
        <v>5</v>
      </c>
      <c r="Q242" s="26"/>
      <c r="R242" s="818"/>
      <c r="Z242" s="822"/>
      <c r="AA242" s="747" t="s">
        <v>182</v>
      </c>
      <c r="AB242" s="747" t="s">
        <v>3279</v>
      </c>
      <c r="AC242" s="747" t="s">
        <v>183</v>
      </c>
      <c r="AD242" s="823"/>
      <c r="AE242" s="824"/>
      <c r="AF242" s="747" t="s">
        <v>182</v>
      </c>
      <c r="AG242" s="747" t="s">
        <v>3279</v>
      </c>
      <c r="AH242" s="748" t="s">
        <v>183</v>
      </c>
      <c r="BC242" s="781" t="s">
        <v>3302</v>
      </c>
    </row>
    <row r="243" spans="13:55" ht="10.35" customHeight="1">
      <c r="M243" s="793" t="s">
        <v>2422</v>
      </c>
      <c r="N243" s="377">
        <v>5</v>
      </c>
      <c r="Q243" s="26"/>
      <c r="R243" s="818"/>
      <c r="S243" s="819"/>
      <c r="Z243" s="655" t="s">
        <v>187</v>
      </c>
      <c r="AA243" s="657" t="str">
        <f>Z227</f>
        <v>0.5</v>
      </c>
      <c r="AB243" s="657" t="str">
        <f>Z231</f>
        <v>0.5</v>
      </c>
      <c r="AC243" s="657" t="str">
        <f>Z229</f>
        <v>没有</v>
      </c>
      <c r="AD243" s="657"/>
      <c r="AE243" s="655" t="s">
        <v>187</v>
      </c>
      <c r="AF243" s="657" t="str">
        <f>Z227</f>
        <v>0.5</v>
      </c>
      <c r="AG243" s="657" t="str">
        <f>Z231</f>
        <v>0.5</v>
      </c>
      <c r="AH243" s="699" t="str">
        <f>Z229</f>
        <v>没有</v>
      </c>
      <c r="BC243" s="781" t="s">
        <v>3303</v>
      </c>
    </row>
    <row r="244" spans="13:55" ht="10.35" customHeight="1">
      <c r="M244" s="821" t="s">
        <v>2429</v>
      </c>
      <c r="N244" s="654">
        <v>5</v>
      </c>
      <c r="Q244" s="26"/>
      <c r="R244" s="818"/>
      <c r="S244" s="819"/>
      <c r="Z244" s="376" t="s">
        <v>3304</v>
      </c>
      <c r="AE244" s="376" t="s">
        <v>3305</v>
      </c>
      <c r="AH244" s="377"/>
      <c r="BC244" s="781" t="s">
        <v>212</v>
      </c>
    </row>
    <row r="245" spans="13:55" ht="10.35" customHeight="1">
      <c r="M245" s="793" t="s">
        <v>2436</v>
      </c>
      <c r="N245" s="377">
        <v>5</v>
      </c>
      <c r="Q245" s="26"/>
      <c r="R245" s="818"/>
      <c r="S245" s="819"/>
      <c r="Z245" s="825" t="s">
        <v>3306</v>
      </c>
      <c r="AA245" s="826" t="n">
        <f>Z227*AD245</f>
        <v>3.515</v>
      </c>
      <c r="AB245" s="826" t="n">
        <f>Z231*AD245</f>
        <v>3.515</v>
      </c>
      <c r="AC245" s="826" t="str">
        <f>IF(Z229="没有","没有",Z229*AD245)</f>
        <v>没有</v>
      </c>
      <c r="AD245" s="374">
        <v>7.03</v>
      </c>
      <c r="AE245" s="825" t="s">
        <v>3306</v>
      </c>
      <c r="AF245" s="827" t="n">
        <f>AA245</f>
        <v>3.515</v>
      </c>
      <c r="AG245" s="827" t="n">
        <f>AB245</f>
        <v>3.515</v>
      </c>
      <c r="AH245" s="828" t="str">
        <f>AC245</f>
        <v>没有</v>
      </c>
      <c r="BC245" s="781" t="s">
        <v>3307</v>
      </c>
    </row>
    <row r="246" spans="13:55" ht="10.35" customHeight="1">
      <c r="M246" s="829" t="s">
        <v>2445</v>
      </c>
      <c r="N246" s="830">
        <v>5</v>
      </c>
      <c r="Z246" s="814" t="s">
        <v>3308</v>
      </c>
      <c r="AA246" s="827" t="n">
        <f>附表!Z227*AD246</f>
        <v>3.915</v>
      </c>
      <c r="AB246" s="827" t="n">
        <f>附表!Z231*AD246</f>
        <v>3.915</v>
      </c>
      <c r="AC246" s="827" t="str">
        <f>IF(Z229="没有","没有",Z229*AD246)</f>
        <v>没有</v>
      </c>
      <c r="AD246" s="374">
        <v>7.83</v>
      </c>
      <c r="AE246" s="814" t="s">
        <v>3308</v>
      </c>
      <c r="AF246" s="827" t="n">
        <f>AA246</f>
        <v>3.915</v>
      </c>
      <c r="AG246" s="827" t="n">
        <f>AB246</f>
        <v>3.915</v>
      </c>
      <c r="AH246" s="828" t="str">
        <f>AC246</f>
        <v>没有</v>
      </c>
      <c r="BC246" s="781" t="s">
        <v>3309</v>
      </c>
    </row>
    <row r="247" spans="13:55" ht="10.35" customHeight="1">
      <c r="M247" s="831" t="str">
        <f>IF(ISBLANK(人物卡!AU26),"",人物卡!AU26)</f>
        <v/>
      </c>
      <c r="N247" s="388" t="str">
        <f>IF(ISBLANK(人物卡!BA26),"",人物卡!BA26)</f>
        <v/>
      </c>
      <c r="Z247" s="832" t="s">
        <v>3310</v>
      </c>
      <c r="AA247" s="827" t="n">
        <f>Z227*AD247</f>
        <v>15.67</v>
      </c>
      <c r="AB247" s="827" t="n">
        <f>Z231*AD247</f>
        <v>15.67</v>
      </c>
      <c r="AC247" s="827" t="str">
        <f>IF(Z229="没有","没有",Z229*AD247)</f>
        <v>没有</v>
      </c>
      <c r="AD247" s="374">
        <v>31.34</v>
      </c>
      <c r="AE247" s="832" t="s">
        <v>3310</v>
      </c>
      <c r="AF247" s="827" t="n">
        <f>AA247</f>
        <v>15.67</v>
      </c>
      <c r="AG247" s="827" t="n">
        <f>AB247</f>
        <v>15.67</v>
      </c>
      <c r="AH247" s="828" t="str">
        <f>AC247</f>
        <v>没有</v>
      </c>
      <c r="BC247" s="781" t="s">
        <v>3311</v>
      </c>
    </row>
    <row r="248" spans="13:55" ht="10.35" customHeight="1">
      <c r="Z248" s="832" t="s">
        <v>3312</v>
      </c>
      <c r="AA248" s="826" t="n">
        <f>Z227*AD248</f>
        <v>54.44</v>
      </c>
      <c r="AB248" s="826" t="n">
        <f>Z231*AD248</f>
        <v>54.44</v>
      </c>
      <c r="AC248" s="826" t="str">
        <f>IF(Z229="没有","没有",Z229*AD248)</f>
        <v>没有</v>
      </c>
      <c r="AD248" s="374">
        <v>108.88</v>
      </c>
      <c r="AE248" s="832" t="s">
        <v>3312</v>
      </c>
      <c r="AF248" s="827" t="n">
        <f>AA248</f>
        <v>54.44</v>
      </c>
      <c r="AG248" s="827" t="n">
        <f>AB248</f>
        <v>54.44</v>
      </c>
      <c r="AH248" s="828" t="str">
        <f>AC248</f>
        <v>没有</v>
      </c>
      <c r="BC248" s="781" t="s">
        <v>212</v>
      </c>
    </row>
    <row r="249" spans="13:55" ht="10.35" customHeight="1">
      <c r="Z249" s="832" t="s">
        <v>3313</v>
      </c>
      <c r="AA249" s="827" t="n">
        <f>Z227*AD249</f>
        <v>586.705</v>
      </c>
      <c r="AB249" s="827" t="n">
        <f>Z231*AD249</f>
        <v>586.705</v>
      </c>
      <c r="AC249" s="827" t="str">
        <f>IF(Z229="没有","没有",Z229*AD249)</f>
        <v>没有</v>
      </c>
      <c r="AD249" s="628">
        <v>1173.4100000000001</v>
      </c>
      <c r="AE249" s="832" t="s">
        <v>3313</v>
      </c>
      <c r="AF249" s="827" t="n">
        <f>AA249</f>
        <v>586.705</v>
      </c>
      <c r="AG249" s="827" t="n">
        <f>AB249</f>
        <v>586.705</v>
      </c>
      <c r="AH249" s="828" t="str">
        <f>AC249</f>
        <v>没有</v>
      </c>
      <c r="BC249" s="781" t="s">
        <v>3314</v>
      </c>
    </row>
    <row r="250" spans="13:55" ht="10.35" customHeight="1">
      <c r="Z250" s="832" t="s">
        <v>3315</v>
      </c>
      <c r="AA250" s="826" t="n">
        <f>Z227*AD250</f>
        <v>15.115</v>
      </c>
      <c r="AB250" s="826" t="n">
        <f>Z231*AD250</f>
        <v>15.115</v>
      </c>
      <c r="AC250" s="826" t="str">
        <f>IF(Z229="没有","没有",Z229*AD250)</f>
        <v>没有</v>
      </c>
      <c r="AD250" s="374">
        <v>30.23</v>
      </c>
      <c r="AE250" s="832" t="s">
        <v>3315</v>
      </c>
      <c r="AF250" s="827" t="n">
        <f>AA250</f>
        <v>15.115</v>
      </c>
      <c r="AG250" s="827" t="n">
        <f>AB250</f>
        <v>15.115</v>
      </c>
      <c r="AH250" s="828" t="str">
        <f>AC250</f>
        <v>没有</v>
      </c>
      <c r="BC250" s="781" t="s">
        <v>3316</v>
      </c>
    </row>
    <row r="251" spans="13:55" ht="10.35" customHeight="1">
      <c r="Z251" s="814" t="s">
        <v>3317</v>
      </c>
      <c r="AA251" s="826" t="n">
        <f>Z227*AD251</f>
        <v>0.685</v>
      </c>
      <c r="AB251" s="826" t="n">
        <f>Z231*AD251</f>
        <v>0.685</v>
      </c>
      <c r="AC251" s="826" t="str">
        <f>IF(Z229="没有","没有",Z229*AD251)</f>
        <v>没有</v>
      </c>
      <c r="AD251" s="628">
        <v>1.37</v>
      </c>
      <c r="AE251" s="814" t="s">
        <v>3317</v>
      </c>
      <c r="AF251" s="827" t="n">
        <f>AA251</f>
        <v>0.685</v>
      </c>
      <c r="AG251" s="827" t="n">
        <f>AB251</f>
        <v>0.685</v>
      </c>
      <c r="AH251" s="828" t="str">
        <f>AC251</f>
        <v>没有</v>
      </c>
      <c r="BC251" s="781" t="s">
        <v>3318</v>
      </c>
    </row>
    <row r="252" spans="13:55" ht="10.35" customHeight="1">
      <c r="Z252" s="376" t="s">
        <v>3319</v>
      </c>
      <c r="AE252" s="376" t="s">
        <v>3320</v>
      </c>
      <c r="AH252" s="377"/>
      <c r="BC252" s="781" t="s">
        <v>212</v>
      </c>
    </row>
    <row r="253" spans="13:55" ht="10.35" customHeight="1">
      <c r="Z253" s="814" t="s">
        <v>3321</v>
      </c>
      <c r="AA253" s="827" t="n">
        <f>附表!Z227*AD253</f>
        <v>0.455</v>
      </c>
      <c r="AB253" s="827" t="n">
        <f>附表!Z231*AD253</f>
        <v>0.455</v>
      </c>
      <c r="AC253" s="827" t="str">
        <f>IF(Z229="没有","没有",Z229*AD253)</f>
        <v>没有</v>
      </c>
      <c r="AD253" s="374">
        <v>0.91</v>
      </c>
      <c r="AE253" s="814" t="s">
        <v>3321</v>
      </c>
      <c r="AF253" s="827" t="n">
        <f>AA253</f>
        <v>0.455</v>
      </c>
      <c r="AG253" s="827" t="n">
        <f>AB253</f>
        <v>0.455</v>
      </c>
      <c r="AH253" s="828" t="str">
        <f>AC253</f>
        <v>没有</v>
      </c>
      <c r="AI253" s="833"/>
      <c r="BC253" s="781" t="s">
        <v>3322</v>
      </c>
    </row>
    <row r="254" spans="13:55" ht="10.35" customHeight="1">
      <c r="Z254" s="832" t="s">
        <v>3323</v>
      </c>
      <c r="AA254" s="827" t="n">
        <f>附表!Z227*AD254</f>
        <v>0.39</v>
      </c>
      <c r="AB254" s="827" t="n">
        <f>附表!Z231*AD254</f>
        <v>0.39</v>
      </c>
      <c r="AC254" s="827" t="str">
        <f>IF(Z229="没有","没有",Z229*AD254)</f>
        <v>没有</v>
      </c>
      <c r="AD254" s="374">
        <v>0.78</v>
      </c>
      <c r="AE254" s="832" t="s">
        <v>3323</v>
      </c>
      <c r="AF254" s="827" t="n">
        <f>AA254</f>
        <v>0.39</v>
      </c>
      <c r="AG254" s="827" t="n">
        <f>AB254</f>
        <v>0.39</v>
      </c>
      <c r="AH254" s="828" t="str">
        <f>AC254</f>
        <v>没有</v>
      </c>
      <c r="BC254" s="781" t="s">
        <v>3324</v>
      </c>
    </row>
    <row r="255" spans="13:55" ht="10.35" customHeight="1">
      <c r="Z255" s="832" t="s">
        <v>3325</v>
      </c>
      <c r="AA255" s="827" t="n">
        <f>附表!Z227*AD255</f>
        <v>31.95</v>
      </c>
      <c r="AB255" s="827" t="n">
        <f>附表!Z231*AD255</f>
        <v>31.95</v>
      </c>
      <c r="AC255" s="827" t="str">
        <f>IF(Z229="没有","没有",Z229*AD255)</f>
        <v>没有</v>
      </c>
      <c r="AD255" s="834">
        <v>63.9</v>
      </c>
      <c r="AE255" s="832" t="s">
        <v>3325</v>
      </c>
      <c r="AF255" s="827" t="n">
        <f>AA255</f>
        <v>31.95</v>
      </c>
      <c r="AG255" s="827" t="n">
        <f>AB255</f>
        <v>31.95</v>
      </c>
      <c r="AH255" s="828" t="str">
        <f>AC255</f>
        <v>没有</v>
      </c>
      <c r="BC255" s="781" t="s">
        <v>3326</v>
      </c>
    </row>
    <row r="256" spans="13:55" ht="10.35" customHeight="1">
      <c r="Z256" s="376" t="s">
        <v>3327</v>
      </c>
      <c r="AE256" s="376" t="s">
        <v>3328</v>
      </c>
      <c r="AH256" s="377"/>
      <c r="BC256" s="781" t="s">
        <v>3329</v>
      </c>
    </row>
    <row r="257" spans="26:55" ht="10.35" customHeight="1">
      <c r="Z257" s="814" t="s">
        <v>3330</v>
      </c>
      <c r="AA257" s="827" t="n">
        <f>Z227*AD257</f>
        <v>0.665</v>
      </c>
      <c r="AB257" s="827" t="n">
        <f>Z231*AD257</f>
        <v>0.665</v>
      </c>
      <c r="AC257" s="827" t="str">
        <f>IF(Z229="没有","没有",Z229*AD257)</f>
        <v>没有</v>
      </c>
      <c r="AD257" s="628">
        <v>1.33</v>
      </c>
      <c r="AE257" s="814" t="s">
        <v>3330</v>
      </c>
      <c r="AF257" s="827" t="n">
        <f>AA257</f>
        <v>0.665</v>
      </c>
      <c r="AG257" s="827" t="n">
        <f>AB257</f>
        <v>0.665</v>
      </c>
      <c r="AH257" s="828" t="str">
        <f>AC257</f>
        <v>没有</v>
      </c>
      <c r="BC257" s="781" t="s">
        <v>3331</v>
      </c>
    </row>
    <row r="258" spans="26:55" ht="10.35" customHeight="1">
      <c r="Z258" s="814" t="s">
        <v>3332</v>
      </c>
      <c r="AA258" s="826" t="n">
        <f>Z227*AD258</f>
        <v>9.7</v>
      </c>
      <c r="AB258" s="826" t="n">
        <f>Z231*AD258</f>
        <v>9.7</v>
      </c>
      <c r="AC258" s="826" t="str">
        <f>IF(Z229="没有","没有",Z229*AD258)</f>
        <v>没有</v>
      </c>
      <c r="AD258" s="835">
        <v>19.399999999999999</v>
      </c>
      <c r="AE258" s="814" t="s">
        <v>3332</v>
      </c>
      <c r="AF258" s="827" t="n">
        <f>AA258</f>
        <v>9.7</v>
      </c>
      <c r="AG258" s="827" t="n">
        <f>AB258</f>
        <v>9.7</v>
      </c>
      <c r="AH258" s="828" t="str">
        <f>AC258</f>
        <v>没有</v>
      </c>
      <c r="BC258" s="781" t="s">
        <v>212</v>
      </c>
    </row>
    <row r="259" spans="26:55" ht="10.35" customHeight="1">
      <c r="Z259" s="832" t="s">
        <v>3333</v>
      </c>
      <c r="AA259" s="826" t="n">
        <f>Z227*AD259</f>
        <v>2.015</v>
      </c>
      <c r="AB259" s="826" t="n">
        <f>Z231*AD259</f>
        <v>2.015</v>
      </c>
      <c r="AC259" s="826" t="str">
        <f>IF(Z229="没有","没有",Z229*AD259)</f>
        <v>没有</v>
      </c>
      <c r="AD259" s="374">
        <v>4.03</v>
      </c>
      <c r="AE259" s="832" t="s">
        <v>3333</v>
      </c>
      <c r="AF259" s="827" t="n">
        <f>AA259</f>
        <v>2.015</v>
      </c>
      <c r="AG259" s="827" t="n">
        <f>AB259</f>
        <v>2.015</v>
      </c>
      <c r="AH259" s="828" t="str">
        <f>AC259</f>
        <v>没有</v>
      </c>
      <c r="BC259" s="781" t="s">
        <v>3334</v>
      </c>
    </row>
    <row r="260" spans="26:55" ht="10.35" customHeight="1">
      <c r="Z260" s="376" t="s">
        <v>3335</v>
      </c>
      <c r="AE260" s="376" t="s">
        <v>1808</v>
      </c>
      <c r="AH260" s="377"/>
      <c r="BC260" s="781" t="s">
        <v>3336</v>
      </c>
    </row>
    <row r="261" spans="26:55" ht="10.35" customHeight="1">
      <c r="Z261" s="814" t="s">
        <v>3337</v>
      </c>
      <c r="AA261" s="826" t="n">
        <f>Z227*AD261</f>
        <v>0.74</v>
      </c>
      <c r="AB261" s="826" t="n">
        <f>Z231*AD261</f>
        <v>0.74</v>
      </c>
      <c r="AC261" s="826" t="str">
        <f>IF(Z229="没有","没有",Z229*AD261)</f>
        <v>没有</v>
      </c>
      <c r="AD261" s="374">
        <v>1.48</v>
      </c>
      <c r="AE261" s="814" t="s">
        <v>3337</v>
      </c>
      <c r="AF261" s="827" t="n">
        <f>AA261</f>
        <v>0.74</v>
      </c>
      <c r="AG261" s="827" t="n">
        <f>AB261</f>
        <v>0.74</v>
      </c>
      <c r="AH261" s="828" t="str">
        <f>AC261</f>
        <v>没有</v>
      </c>
      <c r="BC261" s="781" t="s">
        <v>3338</v>
      </c>
    </row>
    <row r="262" spans="26:55" ht="10.35" customHeight="1">
      <c r="Z262" s="814" t="s">
        <v>3339</v>
      </c>
      <c r="AA262" s="826" t="n">
        <f>Z227*AD262</f>
        <v>7.385</v>
      </c>
      <c r="AB262" s="826" t="n">
        <f>Z231*AD262</f>
        <v>7.385</v>
      </c>
      <c r="AC262" s="826" t="str">
        <f>IF(Z229="没有","没有",Z229*AD262)</f>
        <v>没有</v>
      </c>
      <c r="AD262" s="628">
        <v>14.77</v>
      </c>
      <c r="AE262" s="814" t="s">
        <v>3339</v>
      </c>
      <c r="AF262" s="827" t="n">
        <f>AA262</f>
        <v>7.385</v>
      </c>
      <c r="AG262" s="827" t="n">
        <f>AB262</f>
        <v>7.385</v>
      </c>
      <c r="AH262" s="828" t="str">
        <f>AC262</f>
        <v>没有</v>
      </c>
      <c r="BC262" s="781" t="s">
        <v>212</v>
      </c>
    </row>
    <row r="263" spans="26:55" ht="10.35" customHeight="1">
      <c r="Z263" s="836" t="str">
        <f>IF(ISBLANK(人物卡!BK37),"",人物卡!BK37)</f>
        <v>美元（USD）</v>
      </c>
      <c r="AA263" s="837" t="n">
        <f>IF(ISNUMBER('货币汇率'!$K$5),Z227*AD263,"")</f>
        <v>0.5</v>
      </c>
      <c r="AB263" s="837" t="n">
        <f>IF(ISNUMBER('货币汇率'!$K$5),Z231*AD263,"")</f>
        <v>0.5</v>
      </c>
      <c r="AC263" s="837" t="str">
        <f>IF(ISNUMBER('货币汇率'!$K$5),IF(Z229="没有","没有",Z229*AD263),"")</f>
        <v>没有</v>
      </c>
      <c r="AD263" s="753" t="n">
        <f>人物卡!BO37</f>
        <v>1</v>
      </c>
      <c r="AE263" s="836" t="str">
        <f>IF(ISBLANK(人物卡!BK37),"",人物卡!BK37)</f>
        <v>美元（USD）</v>
      </c>
      <c r="AF263" s="838" t="n">
        <f>IF(ISNUMBER('货币汇率'!$K$5),AA263,"")</f>
        <v>0.5</v>
      </c>
      <c r="AG263" s="838" t="n">
        <f>IF(ISNUMBER('货币汇率'!$K$5),AB263,"")</f>
        <v>0.5</v>
      </c>
      <c r="AH263" s="839" t="str">
        <f>IF(ISNUMBER('货币汇率'!$K$5),AC263,"")</f>
        <v>没有</v>
      </c>
      <c r="BC263" s="781" t="s">
        <v>3340</v>
      </c>
    </row>
    <row r="264" spans="26:55" ht="10.35" customHeight="1">
      <c r="BC264" s="781" t="s">
        <v>3341</v>
      </c>
    </row>
    <row r="265" spans="26:55" ht="10.35" customHeight="1">
      <c r="BC265" s="781" t="s">
        <v>3342</v>
      </c>
    </row>
    <row r="266" spans="26:55" ht="10.35" customHeight="1">
      <c r="BC266" s="781" t="s">
        <v>3343</v>
      </c>
    </row>
    <row r="267" spans="26:55" ht="10.35" customHeight="1">
      <c r="AA267" s="628"/>
      <c r="AB267" s="628"/>
      <c r="AC267" s="628"/>
      <c r="AD267" s="628"/>
      <c r="AF267" s="628"/>
      <c r="AG267" s="628"/>
      <c r="AH267" s="628"/>
      <c r="AI267" s="628"/>
      <c r="BC267" s="781" t="s">
        <v>212</v>
      </c>
    </row>
    <row r="268" spans="26:55" ht="10.35" customHeight="1">
      <c r="BC268" s="781" t="s">
        <v>3344</v>
      </c>
    </row>
    <row r="269" spans="26:55" ht="10.35" customHeight="1">
      <c r="AA269" s="628"/>
      <c r="AB269" s="628"/>
      <c r="AC269" s="628"/>
      <c r="AD269" s="628"/>
      <c r="AE269" s="628"/>
      <c r="AF269" s="628"/>
      <c r="AG269" s="628"/>
      <c r="AH269" s="628"/>
      <c r="AI269" s="628"/>
      <c r="AM269" s="373"/>
      <c r="BC269" s="781" t="s">
        <v>3345</v>
      </c>
    </row>
    <row r="270" spans="26:55" ht="10.35" customHeight="1">
      <c r="AA270" s="628"/>
      <c r="AB270" s="628"/>
      <c r="AC270" s="628"/>
      <c r="AD270" s="628"/>
      <c r="AE270" s="628"/>
      <c r="AF270" s="628"/>
      <c r="AG270" s="628"/>
      <c r="AH270" s="628"/>
      <c r="AI270" s="628"/>
      <c r="BC270" s="781" t="s">
        <v>3346</v>
      </c>
    </row>
    <row r="271" spans="26:55" ht="10.35" customHeight="1">
      <c r="AA271" s="628"/>
      <c r="AB271" s="628"/>
      <c r="AC271" s="628"/>
      <c r="AD271" s="628"/>
      <c r="AF271" s="628"/>
      <c r="AG271" s="628"/>
      <c r="AH271" s="628"/>
      <c r="AI271" s="628"/>
      <c r="BC271" s="781" t="s">
        <v>3347</v>
      </c>
    </row>
    <row r="272" spans="26:55" ht="10.35" customHeight="1">
      <c r="AA272" s="380"/>
      <c r="AB272" s="628"/>
      <c r="AC272" s="628"/>
      <c r="AD272" s="628"/>
      <c r="AF272" s="380"/>
      <c r="AG272" s="628"/>
      <c r="AH272" s="628"/>
      <c r="AI272" s="628"/>
      <c r="BC272" s="781" t="s">
        <v>212</v>
      </c>
    </row>
    <row r="273" spans="55:55" ht="10.35" customHeight="1">
      <c r="BC273" s="781" t="s">
        <v>3348</v>
      </c>
    </row>
    <row r="274" spans="55:55" ht="10.35" customHeight="1">
      <c r="BC274" s="781" t="s">
        <v>3349</v>
      </c>
    </row>
    <row r="275" spans="55:55" ht="10.35" customHeight="1">
      <c r="BC275" s="781" t="s">
        <v>3350</v>
      </c>
    </row>
    <row r="276" spans="55:55" ht="10.35" customHeight="1">
      <c r="BC276" s="781" t="s">
        <v>212</v>
      </c>
    </row>
    <row r="277" spans="55:55" ht="10.35" customHeight="1">
      <c r="BC277" s="781" t="s">
        <v>3351</v>
      </c>
    </row>
    <row r="278" spans="55:55" ht="10.35" customHeight="1">
      <c r="BC278" s="781" t="s">
        <v>3352</v>
      </c>
    </row>
    <row r="279" spans="55:55" ht="10.35" customHeight="1">
      <c r="BC279" s="781" t="s">
        <v>3353</v>
      </c>
    </row>
    <row r="280" spans="55:55" ht="10.35" customHeight="1">
      <c r="BC280" s="781" t="s">
        <v>212</v>
      </c>
    </row>
    <row r="281" spans="55:55" ht="10.35" customHeight="1">
      <c r="BC281" s="781" t="s">
        <v>3354</v>
      </c>
    </row>
    <row r="282" spans="55:55" ht="10.35" customHeight="1">
      <c r="BC282" s="781" t="s">
        <v>3355</v>
      </c>
    </row>
    <row r="283" spans="55:55" ht="10.35" customHeight="1">
      <c r="BC283" s="781" t="s">
        <v>212</v>
      </c>
    </row>
    <row r="284" spans="55:55" ht="10.35" customHeight="1">
      <c r="BC284" s="781" t="s">
        <v>3356</v>
      </c>
    </row>
    <row r="285" spans="55:55" ht="10.35" customHeight="1">
      <c r="BC285" s="781" t="s">
        <v>3357</v>
      </c>
    </row>
    <row r="286" spans="55:55" ht="10.35" customHeight="1">
      <c r="BC286" s="781" t="s">
        <v>212</v>
      </c>
    </row>
    <row r="287" spans="55:55" ht="10.35" customHeight="1">
      <c r="BC287" s="781" t="s">
        <v>3358</v>
      </c>
    </row>
    <row r="288" spans="55:55" ht="10.35" customHeight="1">
      <c r="BC288" s="781" t="s">
        <v>3359</v>
      </c>
    </row>
    <row r="289" spans="55:55" ht="10.35" customHeight="1">
      <c r="BC289" s="781" t="s">
        <v>212</v>
      </c>
    </row>
    <row r="290" spans="55:55" ht="10.35" customHeight="1">
      <c r="BC290" s="781" t="s">
        <v>3360</v>
      </c>
    </row>
    <row r="291" spans="55:55" ht="10.35" customHeight="1">
      <c r="BC291" s="781" t="s">
        <v>3361</v>
      </c>
    </row>
    <row r="292" spans="55:55" ht="10.35" customHeight="1">
      <c r="BC292" s="781" t="s">
        <v>212</v>
      </c>
    </row>
    <row r="293" spans="55:55" ht="10.35" customHeight="1">
      <c r="BC293" s="781" t="s">
        <v>3362</v>
      </c>
    </row>
    <row r="294" spans="55:55" ht="10.35" customHeight="1">
      <c r="BC294" s="781" t="s">
        <v>3363</v>
      </c>
    </row>
    <row r="295" spans="55:55" ht="10.35" customHeight="1">
      <c r="BC295" s="781" t="s">
        <v>212</v>
      </c>
    </row>
    <row r="296" spans="55:55" ht="10.35" customHeight="1">
      <c r="BC296" s="781" t="s">
        <v>3364</v>
      </c>
    </row>
    <row r="297" spans="55:55" ht="10.35" customHeight="1">
      <c r="BC297" s="781" t="s">
        <v>3365</v>
      </c>
    </row>
    <row r="298" spans="55:55" ht="10.35" customHeight="1">
      <c r="BC298" s="781" t="s">
        <v>212</v>
      </c>
    </row>
    <row r="299" spans="55:55" ht="10.35" customHeight="1">
      <c r="BC299" s="781" t="s">
        <v>3366</v>
      </c>
    </row>
    <row r="300" spans="55:55" ht="10.35" customHeight="1">
      <c r="BC300" s="781" t="s">
        <v>3367</v>
      </c>
    </row>
    <row r="301" spans="55:55" ht="10.35" customHeight="1">
      <c r="BC301" s="781" t="s">
        <v>212</v>
      </c>
    </row>
    <row r="302" spans="55:55" ht="10.35" customHeight="1">
      <c r="BC302" s="781" t="s">
        <v>3368</v>
      </c>
    </row>
    <row r="303" spans="55:55" ht="10.35" customHeight="1">
      <c r="BC303" s="781" t="s">
        <v>3369</v>
      </c>
    </row>
    <row r="304" spans="55:55" ht="10.35" customHeight="1">
      <c r="BC304" s="781" t="s">
        <v>212</v>
      </c>
    </row>
    <row r="305" spans="55:55" ht="10.35" customHeight="1">
      <c r="BC305" s="781" t="s">
        <v>3370</v>
      </c>
    </row>
    <row r="306" spans="55:55" ht="10.35" customHeight="1">
      <c r="BC306" s="781" t="s">
        <v>3371</v>
      </c>
    </row>
    <row r="307" spans="55:55" ht="10.35" customHeight="1">
      <c r="BC307" s="781" t="s">
        <v>212</v>
      </c>
    </row>
    <row r="308" spans="55:55" ht="10.35" customHeight="1">
      <c r="BC308" s="781" t="s">
        <v>212</v>
      </c>
    </row>
    <row r="309" spans="55:55" ht="10.35" customHeight="1">
      <c r="BC309" s="781" t="s">
        <v>3372</v>
      </c>
    </row>
    <row r="310" spans="55:55" ht="10.35" customHeight="1">
      <c r="BC310" s="781" t="s">
        <v>3373</v>
      </c>
    </row>
    <row r="311" spans="55:55" ht="10.35" customHeight="1">
      <c r="BC311" s="781" t="s">
        <v>3374</v>
      </c>
    </row>
    <row r="312" spans="55:55" ht="10.35" customHeight="1">
      <c r="BC312" s="781" t="s">
        <v>3375</v>
      </c>
    </row>
    <row r="313" spans="55:55" ht="10.35" customHeight="1">
      <c r="BC313" s="781" t="s">
        <v>3376</v>
      </c>
    </row>
    <row r="314" spans="55:55" ht="10.35" customHeight="1">
      <c r="BC314" s="781" t="s">
        <v>3377</v>
      </c>
    </row>
    <row r="315" spans="55:55" ht="10.35" customHeight="1">
      <c r="BC315" s="781" t="s">
        <v>3378</v>
      </c>
    </row>
    <row r="316" spans="55:55" ht="10.35" customHeight="1">
      <c r="BC316" s="781" t="s">
        <v>3379</v>
      </c>
    </row>
    <row r="317" spans="55:55" ht="10.35" customHeight="1">
      <c r="BC317" s="781" t="s">
        <v>3380</v>
      </c>
    </row>
    <row r="318" spans="55:55" ht="10.35" customHeight="1">
      <c r="BC318" s="781" t="s">
        <v>3381</v>
      </c>
    </row>
    <row r="319" spans="55:55" ht="10.35" customHeight="1">
      <c r="BC319" s="781" t="s">
        <v>3382</v>
      </c>
    </row>
    <row r="320" spans="55:55" ht="10.35" customHeight="1">
      <c r="BC320" s="781" t="s">
        <v>3383</v>
      </c>
    </row>
    <row r="321" spans="55:55" ht="10.35" customHeight="1">
      <c r="BC321" s="781" t="s">
        <v>3384</v>
      </c>
    </row>
    <row r="322" spans="55:55" ht="10.35" customHeight="1">
      <c r="BC322" s="781" t="s">
        <v>3385</v>
      </c>
    </row>
    <row r="323" spans="55:55" ht="10.35" customHeight="1">
      <c r="BC323" s="781" t="s">
        <v>3386</v>
      </c>
    </row>
    <row r="324" spans="55:55">
      <c r="BC324" s="781" t="s">
        <v>3387</v>
      </c>
    </row>
    <row r="325" spans="55:55">
      <c r="BC325" s="781" t="s">
        <v>3388</v>
      </c>
    </row>
    <row r="326" spans="55:55">
      <c r="BC326" s="781" t="s">
        <v>212</v>
      </c>
    </row>
    <row r="327" spans="55:55">
      <c r="BC327" s="781" t="s">
        <v>3389</v>
      </c>
    </row>
    <row r="328" spans="55:55">
      <c r="BC328" s="781" t="s">
        <v>3390</v>
      </c>
    </row>
    <row r="329" spans="55:55">
      <c r="BC329" s="781" t="s">
        <v>3391</v>
      </c>
    </row>
    <row r="330" spans="55:55">
      <c r="BC330" s="781" t="s">
        <v>3392</v>
      </c>
    </row>
    <row r="331" spans="55:55">
      <c r="BC331" s="781" t="s">
        <v>3393</v>
      </c>
    </row>
    <row r="332" spans="55:55">
      <c r="BC332" s="781" t="s">
        <v>3394</v>
      </c>
    </row>
    <row r="333" spans="55:55">
      <c r="BC333" s="781" t="s">
        <v>3395</v>
      </c>
    </row>
    <row r="334" spans="55:55">
      <c r="BC334" s="781" t="s">
        <v>3396</v>
      </c>
    </row>
    <row r="335" spans="55:55">
      <c r="BC335" s="781" t="s">
        <v>3397</v>
      </c>
    </row>
    <row r="336" spans="55:55">
      <c r="BC336" s="781" t="s">
        <v>212</v>
      </c>
    </row>
    <row r="337" spans="55:55">
      <c r="BC337" s="781" t="s">
        <v>3398</v>
      </c>
    </row>
    <row r="338" spans="55:55">
      <c r="BC338" s="781" t="s">
        <v>3399</v>
      </c>
    </row>
    <row r="339" spans="55:55">
      <c r="BC339" s="781" t="s">
        <v>3400</v>
      </c>
    </row>
    <row r="340" spans="55:55">
      <c r="BC340" s="781" t="s">
        <v>3401</v>
      </c>
    </row>
    <row r="341" spans="55:55">
      <c r="BC341" s="781" t="s">
        <v>212</v>
      </c>
    </row>
    <row r="342" spans="55:55">
      <c r="BC342" s="781" t="s">
        <v>3402</v>
      </c>
    </row>
    <row r="343" spans="55:55">
      <c r="BC343" s="781" t="s">
        <v>3403</v>
      </c>
    </row>
    <row r="344" spans="55:55">
      <c r="BC344" s="781" t="s">
        <v>3404</v>
      </c>
    </row>
    <row r="345" spans="55:55">
      <c r="BC345" s="781" t="s">
        <v>3405</v>
      </c>
    </row>
    <row r="346" spans="55:55">
      <c r="BC346" s="781" t="s">
        <v>3406</v>
      </c>
    </row>
    <row r="347" spans="55:55">
      <c r="BC347" s="781" t="s">
        <v>3407</v>
      </c>
    </row>
    <row r="348" spans="55:55">
      <c r="BC348" s="781" t="s">
        <v>3408</v>
      </c>
    </row>
    <row r="349" spans="55:55">
      <c r="BC349" s="781" t="s">
        <v>212</v>
      </c>
    </row>
    <row r="350" spans="55:55">
      <c r="BC350" s="781" t="s">
        <v>3409</v>
      </c>
    </row>
    <row r="351" spans="55:55">
      <c r="BC351" s="781" t="s">
        <v>3410</v>
      </c>
    </row>
    <row r="352" spans="55:55">
      <c r="BC352" s="781" t="s">
        <v>3411</v>
      </c>
    </row>
    <row r="353" spans="55:55">
      <c r="BC353" s="781" t="s">
        <v>3412</v>
      </c>
    </row>
    <row r="354" spans="55:55">
      <c r="BC354" s="781" t="s">
        <v>3413</v>
      </c>
    </row>
    <row r="355" spans="55:55">
      <c r="BC355" s="781" t="s">
        <v>3414</v>
      </c>
    </row>
    <row r="356" spans="55:55">
      <c r="BC356" s="781" t="s">
        <v>3415</v>
      </c>
    </row>
    <row r="357" spans="55:55">
      <c r="BC357" s="781" t="s">
        <v>212</v>
      </c>
    </row>
    <row r="358" spans="55:55">
      <c r="BC358" s="781" t="s">
        <v>3416</v>
      </c>
    </row>
    <row r="359" spans="55:55">
      <c r="BC359" s="781" t="s">
        <v>3417</v>
      </c>
    </row>
    <row r="360" spans="55:55">
      <c r="BC360" s="781" t="s">
        <v>3418</v>
      </c>
    </row>
    <row r="361" spans="55:55">
      <c r="BC361" s="781" t="s">
        <v>212</v>
      </c>
    </row>
    <row r="362" spans="55:55">
      <c r="BC362" s="781" t="s">
        <v>3419</v>
      </c>
    </row>
    <row r="363" spans="55:55">
      <c r="BC363" s="781" t="s">
        <v>3420</v>
      </c>
    </row>
    <row r="364" spans="55:55">
      <c r="BC364" s="781" t="s">
        <v>3421</v>
      </c>
    </row>
    <row r="365" spans="55:55">
      <c r="BC365" s="781" t="s">
        <v>3422</v>
      </c>
    </row>
    <row r="366" spans="55:55">
      <c r="BC366" s="781" t="s">
        <v>212</v>
      </c>
    </row>
    <row r="367" spans="55:55">
      <c r="BC367" s="781" t="s">
        <v>3423</v>
      </c>
    </row>
    <row r="368" spans="55:55">
      <c r="BC368" s="781" t="s">
        <v>3424</v>
      </c>
    </row>
    <row r="369" spans="55:55">
      <c r="BC369" s="781" t="s">
        <v>212</v>
      </c>
    </row>
    <row r="370" spans="55:55">
      <c r="BC370" s="781" t="s">
        <v>3425</v>
      </c>
    </row>
    <row r="371" spans="55:55">
      <c r="BC371" s="781" t="s">
        <v>3426</v>
      </c>
    </row>
    <row r="372" spans="55:55">
      <c r="BC372" s="781" t="s">
        <v>3427</v>
      </c>
    </row>
    <row r="373" spans="55:55">
      <c r="BC373" s="781" t="s">
        <v>3428</v>
      </c>
    </row>
    <row r="374" spans="55:55">
      <c r="BC374" s="781" t="s">
        <v>212</v>
      </c>
    </row>
    <row r="375" spans="55:55">
      <c r="BC375" s="781" t="s">
        <v>3429</v>
      </c>
    </row>
    <row r="376" spans="55:55">
      <c r="BC376" s="781" t="s">
        <v>3430</v>
      </c>
    </row>
    <row r="377" spans="55:55">
      <c r="BC377" s="781" t="s">
        <v>212</v>
      </c>
    </row>
    <row r="378" spans="55:55">
      <c r="BC378" s="781" t="s">
        <v>3431</v>
      </c>
    </row>
    <row r="379" spans="55:55">
      <c r="BC379" s="781" t="s">
        <v>3432</v>
      </c>
    </row>
    <row r="380" spans="55:55">
      <c r="BC380" s="781" t="s">
        <v>3433</v>
      </c>
    </row>
    <row r="381" spans="55:55">
      <c r="BC381" s="781" t="s">
        <v>3434</v>
      </c>
    </row>
    <row r="382" spans="55:55">
      <c r="BC382" s="781" t="s">
        <v>3435</v>
      </c>
    </row>
    <row r="383" spans="55:55">
      <c r="BC383" s="781" t="s">
        <v>3436</v>
      </c>
    </row>
    <row r="384" spans="55:55">
      <c r="BC384" s="781" t="s">
        <v>3437</v>
      </c>
    </row>
    <row r="385" spans="55:55">
      <c r="BC385" s="781" t="s">
        <v>3438</v>
      </c>
    </row>
    <row r="386" spans="55:55">
      <c r="BC386" s="781" t="s">
        <v>212</v>
      </c>
    </row>
    <row r="387" spans="55:55">
      <c r="BC387" s="781" t="s">
        <v>3439</v>
      </c>
    </row>
    <row r="388" spans="55:55">
      <c r="BC388" s="781" t="s">
        <v>3440</v>
      </c>
    </row>
    <row r="389" spans="55:55">
      <c r="BC389" s="781" t="s">
        <v>3441</v>
      </c>
    </row>
    <row r="390" spans="55:55">
      <c r="BC390" s="781" t="s">
        <v>3442</v>
      </c>
    </row>
    <row r="391" spans="55:55">
      <c r="BC391" s="781" t="s">
        <v>3443</v>
      </c>
    </row>
    <row r="392" spans="55:55">
      <c r="BC392" s="781" t="s">
        <v>3444</v>
      </c>
    </row>
    <row r="393" spans="55:55">
      <c r="BC393" s="781" t="s">
        <v>3445</v>
      </c>
    </row>
    <row r="394" spans="55:55">
      <c r="BC394" s="781" t="s">
        <v>212</v>
      </c>
    </row>
    <row r="395" spans="55:55">
      <c r="BC395" s="781" t="s">
        <v>3446</v>
      </c>
    </row>
    <row r="396" spans="55:55">
      <c r="BC396" s="781" t="s">
        <v>3447</v>
      </c>
    </row>
    <row r="397" spans="55:55">
      <c r="BC397" s="781" t="s">
        <v>212</v>
      </c>
    </row>
    <row r="398" spans="55:55">
      <c r="BC398" s="781" t="s">
        <v>3448</v>
      </c>
    </row>
    <row r="399" spans="55:55">
      <c r="BC399" s="781" t="s">
        <v>3449</v>
      </c>
    </row>
    <row r="400" spans="55:55">
      <c r="BC400" s="781" t="s">
        <v>3450</v>
      </c>
    </row>
    <row r="401" spans="55:55">
      <c r="BC401" s="781" t="s">
        <v>212</v>
      </c>
    </row>
    <row r="402" spans="55:55">
      <c r="BC402" s="781" t="s">
        <v>3451</v>
      </c>
    </row>
    <row r="403" spans="55:55">
      <c r="BC403" s="781" t="s">
        <v>3452</v>
      </c>
    </row>
    <row r="404" spans="55:55">
      <c r="BC404" s="781" t="s">
        <v>3453</v>
      </c>
    </row>
    <row r="405" spans="55:55">
      <c r="BC405" s="781" t="s">
        <v>3434</v>
      </c>
    </row>
    <row r="406" spans="55:55">
      <c r="BC406" s="781" t="s">
        <v>212</v>
      </c>
    </row>
    <row r="407" spans="55:55">
      <c r="BC407" s="781" t="s">
        <v>3454</v>
      </c>
    </row>
    <row r="408" spans="55:55">
      <c r="BC408" s="781" t="s">
        <v>3455</v>
      </c>
    </row>
    <row r="409" spans="55:55">
      <c r="BC409" s="781" t="s">
        <v>212</v>
      </c>
    </row>
    <row r="410" spans="55:55">
      <c r="BC410" s="781" t="s">
        <v>3456</v>
      </c>
    </row>
    <row r="411" spans="55:55">
      <c r="BC411" s="781" t="s">
        <v>3457</v>
      </c>
    </row>
    <row r="412" spans="55:55">
      <c r="BC412" s="781" t="s">
        <v>212</v>
      </c>
    </row>
    <row r="413" spans="55:55">
      <c r="BC413" s="781" t="s">
        <v>3458</v>
      </c>
    </row>
    <row r="414" spans="55:55">
      <c r="BC414" s="781" t="s">
        <v>3459</v>
      </c>
    </row>
    <row r="415" spans="55:55">
      <c r="BC415" s="781" t="s">
        <v>3444</v>
      </c>
    </row>
    <row r="416" spans="55:55">
      <c r="BC416" s="781" t="s">
        <v>3460</v>
      </c>
    </row>
    <row r="417" spans="55:55">
      <c r="BC417" s="781" t="s">
        <v>3461</v>
      </c>
    </row>
    <row r="418" spans="55:55">
      <c r="BC418" s="781" t="s">
        <v>212</v>
      </c>
    </row>
    <row r="419" spans="55:55">
      <c r="BC419" s="781" t="s">
        <v>3462</v>
      </c>
    </row>
    <row r="420" spans="55:55">
      <c r="BC420" s="781" t="s">
        <v>3463</v>
      </c>
    </row>
    <row r="421" spans="55:55">
      <c r="BC421" s="781" t="s">
        <v>3464</v>
      </c>
    </row>
    <row r="422" spans="55:55">
      <c r="BC422" s="781" t="s">
        <v>212</v>
      </c>
    </row>
    <row r="423" spans="55:55">
      <c r="BC423" s="781" t="s">
        <v>3465</v>
      </c>
    </row>
    <row r="424" spans="55:55">
      <c r="BC424" s="781" t="s">
        <v>3466</v>
      </c>
    </row>
    <row r="425" spans="55:55">
      <c r="BC425" s="781" t="s">
        <v>3467</v>
      </c>
    </row>
    <row r="426" spans="55:55">
      <c r="BC426" s="781" t="s">
        <v>3468</v>
      </c>
    </row>
    <row r="427" spans="55:55">
      <c r="BC427" s="781" t="s">
        <v>212</v>
      </c>
    </row>
    <row r="428" spans="55:55">
      <c r="BC428" s="781" t="s">
        <v>3469</v>
      </c>
    </row>
    <row r="429" spans="55:55">
      <c r="BC429" s="781" t="s">
        <v>3470</v>
      </c>
    </row>
    <row r="430" spans="55:55">
      <c r="BC430" s="781" t="s">
        <v>3471</v>
      </c>
    </row>
    <row r="431" spans="55:55">
      <c r="BC431" s="781" t="s">
        <v>3472</v>
      </c>
    </row>
    <row r="432" spans="55:55">
      <c r="BC432" s="781" t="s">
        <v>3473</v>
      </c>
    </row>
    <row r="433" spans="55:55">
      <c r="BC433" s="781" t="s">
        <v>3474</v>
      </c>
    </row>
    <row r="434" spans="55:55">
      <c r="BC434" s="781" t="s">
        <v>3475</v>
      </c>
    </row>
    <row r="435" spans="55:55">
      <c r="BC435" s="781" t="s">
        <v>3476</v>
      </c>
    </row>
    <row r="436" spans="55:55">
      <c r="BC436" s="781" t="s">
        <v>212</v>
      </c>
    </row>
    <row r="437" spans="55:55">
      <c r="BC437" s="781" t="s">
        <v>3477</v>
      </c>
    </row>
    <row r="438" spans="55:55">
      <c r="BC438" s="781" t="s">
        <v>3478</v>
      </c>
    </row>
    <row r="439" spans="55:55">
      <c r="BC439" s="781" t="s">
        <v>3479</v>
      </c>
    </row>
    <row r="440" spans="55:55">
      <c r="BC440" s="781" t="s">
        <v>3480</v>
      </c>
    </row>
    <row r="441" spans="55:55">
      <c r="BC441" s="781" t="s">
        <v>3481</v>
      </c>
    </row>
    <row r="442" spans="55:55">
      <c r="BC442" s="781" t="s">
        <v>3482</v>
      </c>
    </row>
    <row r="443" spans="55:55">
      <c r="BC443" s="781" t="s">
        <v>212</v>
      </c>
    </row>
    <row r="444" spans="55:55">
      <c r="BC444" s="781" t="s">
        <v>3483</v>
      </c>
    </row>
    <row r="445" spans="55:55">
      <c r="BC445" s="781" t="s">
        <v>3484</v>
      </c>
    </row>
    <row r="446" spans="55:55">
      <c r="BC446" s="781" t="s">
        <v>3485</v>
      </c>
    </row>
    <row r="447" spans="55:55">
      <c r="BC447" s="781" t="s">
        <v>3486</v>
      </c>
    </row>
    <row r="448" spans="55:55">
      <c r="BC448" s="781" t="s">
        <v>3487</v>
      </c>
    </row>
    <row r="449" spans="55:55">
      <c r="BC449" s="781" t="s">
        <v>212</v>
      </c>
    </row>
    <row r="450" spans="55:55">
      <c r="BC450" s="781" t="s">
        <v>3488</v>
      </c>
    </row>
    <row r="451" spans="55:55">
      <c r="BC451" s="781" t="s">
        <v>3489</v>
      </c>
    </row>
    <row r="452" spans="55:55">
      <c r="BC452" s="781" t="s">
        <v>212</v>
      </c>
    </row>
    <row r="453" spans="55:55">
      <c r="BC453" s="781" t="s">
        <v>3490</v>
      </c>
    </row>
    <row r="454" spans="55:55">
      <c r="BC454" s="781" t="s">
        <v>3491</v>
      </c>
    </row>
    <row r="455" spans="55:55">
      <c r="BC455" s="781" t="s">
        <v>212</v>
      </c>
    </row>
    <row r="456" spans="55:55">
      <c r="BC456" s="781" t="s">
        <v>3492</v>
      </c>
    </row>
    <row r="457" spans="55:55">
      <c r="BC457" s="781" t="s">
        <v>3493</v>
      </c>
    </row>
    <row r="458" spans="55:55">
      <c r="BC458" s="781" t="s">
        <v>3494</v>
      </c>
    </row>
    <row r="459" spans="55:55">
      <c r="BC459" s="781" t="s">
        <v>3495</v>
      </c>
    </row>
    <row r="460" spans="55:55">
      <c r="BC460" s="781" t="s">
        <v>3496</v>
      </c>
    </row>
    <row r="461" spans="55:55">
      <c r="BC461" s="781" t="s">
        <v>3497</v>
      </c>
    </row>
    <row r="462" spans="55:55">
      <c r="BC462" s="781" t="s">
        <v>3498</v>
      </c>
    </row>
    <row r="463" spans="55:55">
      <c r="BC463" s="781" t="s">
        <v>3499</v>
      </c>
    </row>
    <row r="464" spans="55:55">
      <c r="BC464" s="781" t="s">
        <v>212</v>
      </c>
    </row>
    <row r="465" spans="55:55">
      <c r="BC465" s="781" t="s">
        <v>3500</v>
      </c>
    </row>
    <row r="466" spans="55:55">
      <c r="BC466" s="781" t="s">
        <v>3501</v>
      </c>
    </row>
    <row r="467" spans="55:55">
      <c r="BC467" s="781" t="s">
        <v>3461</v>
      </c>
    </row>
    <row r="468" spans="55:55">
      <c r="BC468" s="781" t="s">
        <v>212</v>
      </c>
    </row>
    <row r="469" spans="55:55">
      <c r="BC469" s="781" t="s">
        <v>3502</v>
      </c>
    </row>
    <row r="470" spans="55:55">
      <c r="BC470" s="781" t="s">
        <v>3503</v>
      </c>
    </row>
    <row r="471" spans="55:55">
      <c r="BC471" s="781" t="s">
        <v>3436</v>
      </c>
    </row>
    <row r="472" spans="55:55">
      <c r="BC472" s="781" t="s">
        <v>212</v>
      </c>
    </row>
    <row r="473" spans="55:55">
      <c r="BC473" s="781" t="s">
        <v>3504</v>
      </c>
    </row>
    <row r="474" spans="55:55">
      <c r="BC474" s="781" t="s">
        <v>3505</v>
      </c>
    </row>
    <row r="475" spans="55:55">
      <c r="BC475" s="781" t="s">
        <v>3506</v>
      </c>
    </row>
    <row r="476" spans="55:55">
      <c r="BC476" s="781" t="s">
        <v>3507</v>
      </c>
    </row>
    <row r="477" spans="55:55">
      <c r="BC477" s="781" t="s">
        <v>3508</v>
      </c>
    </row>
    <row r="478" spans="55:55">
      <c r="BC478" s="781" t="s">
        <v>3509</v>
      </c>
    </row>
    <row r="479" spans="55:55">
      <c r="BC479" s="781" t="s">
        <v>212</v>
      </c>
    </row>
    <row r="480" spans="55:55">
      <c r="BC480" s="781" t="s">
        <v>3510</v>
      </c>
    </row>
    <row r="481" spans="55:55">
      <c r="BC481" s="781" t="s">
        <v>3511</v>
      </c>
    </row>
    <row r="482" spans="55:55">
      <c r="BC482" s="781" t="s">
        <v>212</v>
      </c>
    </row>
    <row r="483" spans="55:55">
      <c r="BC483" s="781" t="s">
        <v>3512</v>
      </c>
    </row>
    <row r="484" spans="55:55">
      <c r="BC484" s="781" t="s">
        <v>3513</v>
      </c>
    </row>
    <row r="485" spans="55:55">
      <c r="BC485" s="781" t="s">
        <v>212</v>
      </c>
    </row>
    <row r="486" spans="55:55">
      <c r="BC486" s="781" t="s">
        <v>3514</v>
      </c>
    </row>
    <row r="487" spans="55:55">
      <c r="BC487" s="781" t="s">
        <v>3515</v>
      </c>
    </row>
    <row r="488" spans="55:55">
      <c r="BC488" s="781" t="s">
        <v>3516</v>
      </c>
    </row>
    <row r="489" spans="55:55">
      <c r="BC489" s="781" t="s">
        <v>3517</v>
      </c>
    </row>
    <row r="490" spans="55:55">
      <c r="BC490" s="840" t="s">
        <v>3518</v>
      </c>
    </row>
    <row r="491" spans="55:55">
      <c r="BC491" s="374" t="s">
        <v>303</v>
      </c>
    </row>
  </sheetData>
  <mergeCells count="291">
    <mergeCell ref="Z241:AG241"/>
    <mergeCell ref="T197:X197"/>
    <mergeCell ref="N184:R184"/>
    <mergeCell ref="T146:X146"/>
    <mergeCell ref="N131:R131"/>
    <mergeCell ref="AE238:AG238"/>
    <mergeCell ref="AE228:AG228"/>
    <mergeCell ref="Z233:AC233"/>
    <mergeCell ref="N201:R201"/>
    <mergeCell ref="N144:R144"/>
    <mergeCell ref="N139:R139"/>
    <mergeCell ref="AE235:AG235"/>
    <mergeCell ref="T186:X186"/>
    <mergeCell ref="N153:R153"/>
    <mergeCell ref="T195:X195"/>
    <mergeCell ref="AE232:AG232"/>
    <mergeCell ref="S217:T217"/>
    <mergeCell ref="AB221:AC231"/>
    <mergeCell ref="N150:R150"/>
    <mergeCell ref="M217:N217"/>
    <mergeCell ref="Z231:AA231"/>
    <mergeCell ref="O217:P217"/>
    <mergeCell ref="T194:X194"/>
    <mergeCell ref="U217:V217"/>
    <mergeCell ref="Z228:AA228"/>
    <mergeCell ref="Z223:AA223"/>
    <mergeCell ref="Z230:AA230"/>
    <mergeCell ref="Z225:AA225"/>
    <mergeCell ref="Z227:AA227"/>
    <mergeCell ref="N129:R129"/>
    <mergeCell ref="T147:X147"/>
    <mergeCell ref="N212:R212"/>
    <mergeCell ref="N134:R134"/>
    <mergeCell ref="T156:X156"/>
    <mergeCell ref="N203:R203"/>
    <mergeCell ref="T137:X137"/>
    <mergeCell ref="T214:X214"/>
    <mergeCell ref="N170:R170"/>
    <mergeCell ref="T210:X210"/>
    <mergeCell ref="N214:R214"/>
    <mergeCell ref="N213:R213"/>
    <mergeCell ref="N193:R193"/>
    <mergeCell ref="T150:X150"/>
    <mergeCell ref="N115:R115"/>
    <mergeCell ref="T173:X173"/>
    <mergeCell ref="T117:X117"/>
    <mergeCell ref="Z226:AA226"/>
    <mergeCell ref="N215:R215"/>
    <mergeCell ref="N205:R205"/>
    <mergeCell ref="T208:X208"/>
    <mergeCell ref="N209:R209"/>
    <mergeCell ref="N161:R161"/>
    <mergeCell ref="T177:X177"/>
    <mergeCell ref="T207:X207"/>
    <mergeCell ref="Z224:AA224"/>
    <mergeCell ref="T211:X211"/>
    <mergeCell ref="T213:X213"/>
    <mergeCell ref="T212:X212"/>
    <mergeCell ref="N210:R210"/>
    <mergeCell ref="AS22:AS31"/>
    <mergeCell ref="T154:X154"/>
    <mergeCell ref="E29:K29"/>
    <mergeCell ref="N190:R190"/>
    <mergeCell ref="N132:R132"/>
    <mergeCell ref="N172:R172"/>
    <mergeCell ref="N199:R199"/>
    <mergeCell ref="S46:V61"/>
    <mergeCell ref="T188:X188"/>
    <mergeCell ref="N186:R186"/>
    <mergeCell ref="N196:R196"/>
    <mergeCell ref="T158:X158"/>
    <mergeCell ref="E31:K31"/>
    <mergeCell ref="N149:R149"/>
    <mergeCell ref="T190:X190"/>
    <mergeCell ref="N124:R124"/>
    <mergeCell ref="T199:X199"/>
    <mergeCell ref="N118:R118"/>
    <mergeCell ref="N133:R133"/>
    <mergeCell ref="N142:R142"/>
    <mergeCell ref="AG22:AG31"/>
    <mergeCell ref="T171:X171"/>
    <mergeCell ref="T114:X114"/>
    <mergeCell ref="AL22:AL31"/>
    <mergeCell ref="B3:B4"/>
    <mergeCell ref="Z222:AA222"/>
    <mergeCell ref="T120:X120"/>
    <mergeCell ref="T185:X185"/>
    <mergeCell ref="T200:X200"/>
    <mergeCell ref="T134:X134"/>
    <mergeCell ref="T112:X112"/>
    <mergeCell ref="I36:M36"/>
    <mergeCell ref="N159:R159"/>
    <mergeCell ref="Z221:AA221"/>
    <mergeCell ref="N112:R112"/>
    <mergeCell ref="T175:X175"/>
    <mergeCell ref="N164:R164"/>
    <mergeCell ref="T122:X122"/>
    <mergeCell ref="Z219:AH219"/>
    <mergeCell ref="T215:X215"/>
    <mergeCell ref="AE221:AG221"/>
    <mergeCell ref="N158:R158"/>
    <mergeCell ref="AA20:AD20"/>
    <mergeCell ref="B10:E10"/>
    <mergeCell ref="S37:V38"/>
    <mergeCell ref="L94:L214"/>
    <mergeCell ref="H52:I52"/>
    <mergeCell ref="T123:X123"/>
    <mergeCell ref="T119:X119"/>
    <mergeCell ref="T159:X159"/>
    <mergeCell ref="N202:R202"/>
    <mergeCell ref="T163:X163"/>
    <mergeCell ref="N148:R148"/>
    <mergeCell ref="N179:R179"/>
    <mergeCell ref="T132:X132"/>
    <mergeCell ref="N157:R157"/>
    <mergeCell ref="T131:X131"/>
    <mergeCell ref="T187:X187"/>
    <mergeCell ref="N178:R178"/>
    <mergeCell ref="T140:X140"/>
    <mergeCell ref="T125:X125"/>
    <mergeCell ref="N141:R141"/>
    <mergeCell ref="N121:R121"/>
    <mergeCell ref="N155:R155"/>
    <mergeCell ref="C3:C4"/>
    <mergeCell ref="E30:K30"/>
    <mergeCell ref="E19:G19"/>
    <mergeCell ref="J53:K58"/>
    <mergeCell ref="C9:E9"/>
    <mergeCell ref="E32:K32"/>
    <mergeCell ref="AH22:AH31"/>
    <mergeCell ref="T184:X184"/>
    <mergeCell ref="S63:V74"/>
    <mergeCell ref="T162:X162"/>
    <mergeCell ref="E53:I58"/>
    <mergeCell ref="T160:X160"/>
    <mergeCell ref="T136:X136"/>
    <mergeCell ref="N126:R126"/>
    <mergeCell ref="N135:R135"/>
    <mergeCell ref="N175:R175"/>
    <mergeCell ref="AF22:AF31"/>
    <mergeCell ref="T124:X124"/>
    <mergeCell ref="N122:R122"/>
    <mergeCell ref="N171:R171"/>
    <mergeCell ref="S44:V44"/>
    <mergeCell ref="T121:X121"/>
    <mergeCell ref="T181:X181"/>
    <mergeCell ref="N160:R160"/>
    <mergeCell ref="T149:X149"/>
    <mergeCell ref="T115:X115"/>
    <mergeCell ref="T130:X130"/>
    <mergeCell ref="S40:V40"/>
    <mergeCell ref="T189:X189"/>
    <mergeCell ref="N207:R207"/>
    <mergeCell ref="T151:X151"/>
    <mergeCell ref="T142:X142"/>
    <mergeCell ref="T202:X202"/>
    <mergeCell ref="N185:R185"/>
    <mergeCell ref="N167:R167"/>
    <mergeCell ref="N136:R136"/>
    <mergeCell ref="N127:R127"/>
    <mergeCell ref="N194:R194"/>
    <mergeCell ref="N176:R176"/>
    <mergeCell ref="S42:V42"/>
    <mergeCell ref="T192:X192"/>
    <mergeCell ref="T206:X206"/>
    <mergeCell ref="N140:R140"/>
    <mergeCell ref="S41:V41"/>
    <mergeCell ref="T196:X196"/>
    <mergeCell ref="T165:X165"/>
    <mergeCell ref="T143:X143"/>
    <mergeCell ref="N130:R130"/>
    <mergeCell ref="AJ1:AL1"/>
    <mergeCell ref="T144:X144"/>
    <mergeCell ref="N120:R120"/>
    <mergeCell ref="T113:X113"/>
    <mergeCell ref="N191:R191"/>
    <mergeCell ref="T153:X153"/>
    <mergeCell ref="T128:X128"/>
    <mergeCell ref="N119:R119"/>
    <mergeCell ref="AI22:AI31"/>
    <mergeCell ref="AK22:AK31"/>
    <mergeCell ref="N138:R138"/>
    <mergeCell ref="S24:V35"/>
    <mergeCell ref="N174:R174"/>
    <mergeCell ref="N156:R156"/>
    <mergeCell ref="AD29:AE29"/>
    <mergeCell ref="T141:X141"/>
    <mergeCell ref="S2:AI2"/>
    <mergeCell ref="T164:X164"/>
    <mergeCell ref="N189:R189"/>
    <mergeCell ref="N181:R181"/>
    <mergeCell ref="T148:X148"/>
    <mergeCell ref="T139:X139"/>
    <mergeCell ref="N147:R147"/>
    <mergeCell ref="T129:X129"/>
    <mergeCell ref="B2:E2"/>
    <mergeCell ref="N128:R128"/>
    <mergeCell ref="N211:R211"/>
    <mergeCell ref="N162:R162"/>
    <mergeCell ref="E28:K28"/>
    <mergeCell ref="Z229:AA229"/>
    <mergeCell ref="T178:X178"/>
    <mergeCell ref="N195:R195"/>
    <mergeCell ref="N177:R177"/>
    <mergeCell ref="B18:G18"/>
    <mergeCell ref="T155:X155"/>
    <mergeCell ref="Q217:R217"/>
    <mergeCell ref="N145:R145"/>
    <mergeCell ref="N114:R114"/>
    <mergeCell ref="J52:K52"/>
    <mergeCell ref="N197:R197"/>
    <mergeCell ref="N154:R154"/>
    <mergeCell ref="T116:X116"/>
    <mergeCell ref="N206:R206"/>
    <mergeCell ref="N163:R163"/>
    <mergeCell ref="N3:P3"/>
    <mergeCell ref="Z14:Z18"/>
    <mergeCell ref="T168:X168"/>
    <mergeCell ref="N125:R125"/>
    <mergeCell ref="A3:A4"/>
    <mergeCell ref="T205:X205"/>
    <mergeCell ref="T183:X183"/>
    <mergeCell ref="S76:V87"/>
    <mergeCell ref="N117:R117"/>
    <mergeCell ref="T180:X180"/>
    <mergeCell ref="N169:R169"/>
    <mergeCell ref="N151:R151"/>
    <mergeCell ref="T133:X133"/>
    <mergeCell ref="T118:X118"/>
    <mergeCell ref="S43:V43"/>
    <mergeCell ref="N180:R180"/>
    <mergeCell ref="T167:X167"/>
    <mergeCell ref="T198:X198"/>
    <mergeCell ref="T176:X176"/>
    <mergeCell ref="T127:X127"/>
    <mergeCell ref="N166:R166"/>
    <mergeCell ref="T182:X182"/>
    <mergeCell ref="T135:X135"/>
    <mergeCell ref="N200:R200"/>
    <mergeCell ref="T191:X191"/>
    <mergeCell ref="N188:R188"/>
    <mergeCell ref="E52:G52"/>
    <mergeCell ref="O15:Q15"/>
    <mergeCell ref="AP22:AP31"/>
    <mergeCell ref="T209:X209"/>
    <mergeCell ref="N168:R168"/>
    <mergeCell ref="T161:X161"/>
    <mergeCell ref="E34:K34"/>
    <mergeCell ref="T204:X204"/>
    <mergeCell ref="T157:X157"/>
    <mergeCell ref="T172:X172"/>
    <mergeCell ref="N165:R165"/>
    <mergeCell ref="T152:X152"/>
    <mergeCell ref="N143:R143"/>
    <mergeCell ref="N152:R152"/>
    <mergeCell ref="T193:X193"/>
    <mergeCell ref="C38:E38"/>
    <mergeCell ref="T201:X201"/>
    <mergeCell ref="AM22:AM31"/>
    <mergeCell ref="S39:V39"/>
    <mergeCell ref="T138:X138"/>
    <mergeCell ref="T203:X203"/>
    <mergeCell ref="N123:R123"/>
    <mergeCell ref="N137:R137"/>
    <mergeCell ref="N146:R146"/>
    <mergeCell ref="N187:R187"/>
    <mergeCell ref="T174:X174"/>
    <mergeCell ref="AZ24:BB24"/>
    <mergeCell ref="N208:R208"/>
    <mergeCell ref="T170:X170"/>
    <mergeCell ref="N183:R183"/>
    <mergeCell ref="T145:X145"/>
    <mergeCell ref="N192:R192"/>
    <mergeCell ref="E27:K27"/>
    <mergeCell ref="BA14:BA23"/>
    <mergeCell ref="T179:X179"/>
    <mergeCell ref="T126:X126"/>
    <mergeCell ref="N113:R113"/>
    <mergeCell ref="N204:R204"/>
    <mergeCell ref="N173:R173"/>
    <mergeCell ref="T166:X166"/>
    <mergeCell ref="AO22:AO31"/>
    <mergeCell ref="AR22:AR31"/>
    <mergeCell ref="N182:R182"/>
    <mergeCell ref="T169:X169"/>
    <mergeCell ref="N116:R116"/>
    <mergeCell ref="AN22:AN31"/>
    <mergeCell ref="AV38:AV47"/>
    <mergeCell ref="AJ22:AJ31"/>
    <mergeCell ref="AQ22:AQ31"/>
    <mergeCell ref="N198:R198"/>
  </mergeCells>
  <phoneticPr fontId="165" type="noConversion"/>
  <conditionalFormatting sqref="S4:S12">
    <cfRule type="expression" dxfId="3" priority="1">
      <formula>"人物卡!$F$5=1"</formula>
    </cfRule>
  </conditionalFormatting>
  <conditionalFormatting sqref="AJ1">
    <cfRule type="expression" dxfId="2" priority="6">
      <formula>"人物卡!$F$5=1"</formula>
    </cfRule>
  </conditionalFormatting>
  <conditionalFormatting sqref="AK4:AK11">
    <cfRule type="expression" dxfId="1" priority="2">
      <formula>"人物卡!$F$5=1"</formula>
    </cfRule>
  </conditionalFormatting>
  <dataValidations count="120">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X80" xr:uid="{00000000-0002-0000-0500-000000000000}"/>
    <dataValidation allowBlank="1" showInputMessage="1" showErrorMessage="1" promptTitle="Navigate (10%) 也译作“导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X66" xr:uid="{00000000-0002-0000-0500-000001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X47:X50" xr:uid="{00000000-0002-0000-0500-000002000000}"/>
    <dataValidation errorStyle="warning" allowBlank="1" sqref="G14:O14" xr:uid="{00000000-0002-0000-0500-000003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X29" xr:uid="{00000000-0002-0000-0500-000004000000}"/>
    <dataValidation allowBlank="1" showInputMessage="1" showErrorMessage="1" sqref="S4:S12" xr:uid="{00000000-0002-0000-0500-000005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X36" xr:uid="{00000000-0002-0000-0500-000006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X32" xr:uid="{00000000-0002-0000-0500-000007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500-000008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X63" xr:uid="{00000000-0002-0000-0500-000009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500-00000A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X26" xr:uid="{00000000-0002-0000-0500-00000B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X59" xr:uid="{00000000-0002-0000-0500-00000C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X87" xr:uid="{00000000-0002-0000-0500-00000D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X70" xr:uid="{00000000-0002-0000-0500-00000E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X25" xr:uid="{00000000-0002-0000-0500-00000F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X27" xr:uid="{00000000-0002-0000-0500-000010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X39" xr:uid="{00000000-0002-0000-0500-000011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500-000012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X28" xr:uid="{00000000-0002-0000-0500-000013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X33" xr:uid="{00000000-0002-0000-0500-000014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X89" xr:uid="{00000000-0002-0000-0500-000015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X34" xr:uid="{00000000-0002-0000-0500-000016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X35" xr:uid="{00000000-0002-0000-0500-000017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X52" xr:uid="{00000000-0002-0000-0500-000018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X37" xr:uid="{00000000-0002-0000-0500-000019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X78" xr:uid="{00000000-0002-0000-0500-00001A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X38" xr:uid="{00000000-0002-0000-0500-00001B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X79" xr:uid="{00000000-0002-0000-0500-00001C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X40" xr:uid="{00000000-0002-0000-0500-00001D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X41" xr:uid="{00000000-0002-0000-0500-00001E000000}"/>
    <dataValidation allowBlank="1" showInputMessage="1" showErrorMessage="1" promptTitle="Fine Art (05%)" prompt="- 艺术家在艺术绘画上十分熟练（油画、丙烯画、水彩画），同样在用铅笔、彩色蜡笔、粉笔的素描上十分熟练。_x000a_- 然而这各种各样的艺术工作许多天或者许多月来完成，艺术家可能能快速素描出准确的印象，物体或者人物。_x000a_- 这项技能也代表了对艺术世界的熟悉，以及技术家能确定特定艺术家的作品，他们的学校，以及了解的历史。" sqref="M220" xr:uid="{00000000-0002-0000-0500-00001F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500-000020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X88" xr:uid="{00000000-0002-0000-0500-000021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500-000022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X51" xr:uid="{00000000-0002-0000-0500-000023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X53" xr:uid="{00000000-0002-0000-0500-000024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X54" xr:uid="{00000000-0002-0000-0500-000025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500-000026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X58" xr:uid="{00000000-0002-0000-0500-000027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X60" xr:uid="{00000000-0002-0000-0500-000028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X62" xr:uid="{00000000-0002-0000-0500-000029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X61" xr:uid="{00000000-0002-0000-0500-00002A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X77" xr:uid="{00000000-0002-0000-0500-00002B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X64" xr:uid="{00000000-0002-0000-0500-00002C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X65" xr:uid="{00000000-0002-0000-0500-00002D000000}"/>
    <dataValidation allowBlank="1" showInputMessage="1" showErrorMessage="1" promptTitle="Whip (05%)" prompt="套索以及鞭子。" sqref="U220" xr:uid="{00000000-0002-0000-0500-00002E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500-00002F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X67" xr:uid="{00000000-0002-0000-0500-000030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X68" xr:uid="{00000000-0002-0000-0500-000031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X69" xr:uid="{00000000-0002-0000-0500-000032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500-000033000000}"/>
    <dataValidation allowBlank="1" showInputMessage="1" showErrorMessage="1" promptTitle="Psychology (10%)" prompt="对所有人来说都很通用的察觉方面的技能，允许使用者研究个人并且形成对于其他某人动机和人格的了解。" sqref="X72" xr:uid="{00000000-0002-0000-0500-000034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X85" xr:uid="{00000000-0002-0000-0500-000035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X73" xr:uid="{00000000-0002-0000-0500-000036000000}"/>
    <dataValidation allowBlank="1" showInputMessage="1" showErrorMessage="1" promptTitle="Swim (20%)" prompt="- 有能力在水或者其他液体中漂浮以及移动。_x000a_- 只有在遭遇危险的时候需要进行游泳技能检定，或者当 KP认为合适的时候。" sqref="X81" xr:uid="{00000000-0002-0000-0500-000037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X82" xr:uid="{00000000-0002-0000-0500-000038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X90" xr:uid="{00000000-0002-0000-0500-000039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X86" xr:uid="{00000000-0002-0000-0500-00003A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500-00003B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X83" xr:uid="{00000000-0002-0000-0500-00003C000000}"/>
    <dataValidation allowBlank="1" showErrorMessage="1" sqref="A153:A158 B152:B183 B197:B211" xr:uid="{00000000-0002-0000-0500-00003D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M243 AC83" xr:uid="{00000000-0002-0000-0500-00003E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X84" xr:uid="{00000000-0002-0000-0500-00003F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500-000040000000}"/>
    <dataValidation allowBlank="1" showInputMessage="1" showErrorMessage="1" promptTitle="Handgun (20%)" prompt="- 用来使用所有的类似于手枪的火器，进行非连续的射击。_x000a_- 对于现代游戏中的全自动手枪（MAC-11，乌兹手枪，等等），当使用全自动模式时，用冲锋枪的技能进行判定。" sqref="Q219" xr:uid="{00000000-0002-0000-0500-000041000000}"/>
    <dataValidation allowBlank="1" showInputMessage="1" showErrorMessage="1" promptTitle="Rifle/Shotgun (25%)" prompt="- 这个技能可以用于射击任何类型的步枪（无论是杠杆作用，手动栓式或者半自动的）或者霰弹枪。_x000a_- 因为霰弹枪中装填的弹药会以散射的方式发射，所以使用者的命中几率不会因为距离而减少，但是造成的伤害会受到影响。_x000a_- 当突击步枪进行单次射击时（或者多次进行单次），使用这个技能。" sqref="Q220" xr:uid="{00000000-0002-0000-0500-000042000000}"/>
    <dataValidation allowBlank="1" showInputMessage="1" showErrorMessage="1" promptTitle="Beast Training(05%)"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S219" xr:uid="{00000000-0002-0000-0500-000043000000}"/>
    <dataValidation allowBlank="1" showInputMessage="1" showErrorMessage="1" promptTitle="Brawl (25%)" prompt="- 包括空手格斗以及任何人都可以捡起并使用的基础武器，例如棍棒（例如板球棒或者棒球棍），小刀，以及许多临时武器，例如瓶子以及椅子腿。_x000a_- 为了决定这些临时武器所造成的伤害，KP 应当参考武器表并且挑选那些类似的。" sqref="U219" xr:uid="{00000000-0002-0000-0500-000044000000}"/>
    <dataValidation allowBlank="1" showInputMessage="1" showErrorMessage="1" promptTitle="boat （01%）" prompt="- 理解在风，暴风雨以及潮流下操纵小型摩托艇以及轮船的机理，并且可以读懂潮流以及风的流向，以此来得到暗礁以及将要逼近的暴风雨的情_x000a_报。_x000a_- 初学的水手将会发现到在大风中停靠一艘小船是多么困难。" sqref="S220" xr:uid="{00000000-0002-0000-0500-000045000000}"/>
    <dataValidation allowBlank="1" showInputMessage="1" showErrorMessage="1" promptTitle="Photography (05%)" prompt="（这里写不下了所以写进批注）" sqref="M221" xr:uid="{00000000-0002-0000-0500-000046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500-000047000000}"/>
    <dataValidation allowBlank="1" showInputMessage="1" showErrorMessage="1" promptTitle="Submachine Gun (15%)" prompt="当用任何自动手枪或者冲锋枪开火时使用这个技能；同样也用于突击步枪的全自动模式。" sqref="Q221" xr:uid="{00000000-0002-0000-0500-000048000000}"/>
    <dataValidation allowBlank="1" showInputMessage="1" showErrorMessage="1" promptTitle="Chainsaw (10%)" prompt="第一个以汽油为能源，大量生产的电锯出现于 1927 年；然而，也存在着一些早期版本。" sqref="U221" xr:uid="{00000000-0002-0000-0500-000049000000}"/>
    <dataValidation allowBlank="1" sqref="AB221 AB226:AB227" xr:uid="{00000000-0002-0000-0500-00004A000000}"/>
    <dataValidation allowBlank="1" showInputMessage="1" showErrorMessage="1" promptTitle="Forgery (05%)" prompt="- 熟练于细节，使用者可以制作高质量的伪造文档使它以某人的笔迹写成，制作官僚作风的形式或许可，或者进行卷册的复制。_x000a_- 伪造者需要合适的材料（墨水，不同的纸张等）以及想要复制的文档的原件。_x000a_- 一个成功的检定表示伪造文档将通过一个普通而草率的检查。_x000a_- 当有人花费时间并仔细检查伪造品时需要使用估价技能（与原始的伪造者的技能进行对抗）来决定是否能辨认出是伪造品。" sqref="M222" xr:uid="{00000000-0002-0000-0500-00004B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500-00004C000000}"/>
    <dataValidation allowBlank="1" showInputMessage="1" showErrorMessage="1" promptTitle="Bow (15%)" prompt="用来使用弓以及弩，包括从中世纪的长弓到现代，高性能的复合弓。" sqref="Q222" xr:uid="{00000000-0002-0000-0500-00004D000000}"/>
    <dataValidation allowBlank="1" showInputMessage="1" showErrorMessage="1" promptTitle="Flail (10%)" prompt="双节棍，钉锤，以及相似的中世纪兵器。" sqref="U222" xr:uid="{00000000-0002-0000-0500-00004E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500-00004F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500-000050000000}"/>
    <dataValidation allowBlank="1" showInputMessage="1" showErrorMessage="1" promptTitle="提示" prompt="以下汇率的时间为2018年10月" sqref="X236 Z241:AC241 AI253" xr:uid="{00000000-0002-0000-0500-000051000000}"/>
    <dataValidation allowBlank="1" showInputMessage="1" showErrorMessage="1" promptTitle="Flamethrower (10%)" prompt="- 喷射出一连串点燃的可燃烧液体或者气体的武器。_x000a_- 可以被操作者携带或者架设在交通工具上。" sqref="Q223" xr:uid="{00000000-0002-0000-0500-000052000000}"/>
    <dataValidation allowBlank="1" showInputMessage="1" showErrorMessage="1" promptTitle="Garrote (15%)" prompt="任何长度的材料被用于绞死对方。需要受害者进行一个战技检定来逃脱，否则就要遭受每轮 1D6 的伤害。" sqref="U223" xr:uid="{00000000-0002-0000-0500-000053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500-000054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500-000055000000}"/>
    <dataValidation allowBlank="1" showInputMessage="1" showErrorMessage="1" promptTitle="Machine Gun (10%)" prompt="- 用两脚架或者三脚架架设的进行连续射击的武器。_x000a_- 如果两脚架的类型进行单次射击，那么使用步枪技能。_x000a_- 对于今日来说，突击步枪，冲锋枪以及轻机枪之间的差别已经是十分细微的了。" sqref="Q224" xr:uid="{00000000-0002-0000-0500-000056000000}"/>
    <dataValidation allowBlank="1" showInputMessage="1" showErrorMessage="1" promptTitle="Axe (15%)" prompt="- 当使用大型的木斧时使用这个技能。_x000a_- 短柄小斧则可以用基础的斗殴技能；_x000a_- 如果投掷出去，使用投掷技能。" sqref="U224" xr:uid="{00000000-0002-0000-0500-000057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500-000058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500-000059000000}"/>
    <dataValidation allowBlank="1" showInputMessage="1" showErrorMessage="1" promptTitle="Heavy Weapons (10%)" prompt="用于使用枪榴弹发射器，反坦克火箭炮等等。" sqref="Q225" xr:uid="{00000000-0002-0000-0500-00005A000000}"/>
    <dataValidation allowBlank="1" showInputMessage="1" showErrorMessage="1" promptTitle="Sword (20%)" prompt="所有的长度超过两英尺（半米）的剑器。" sqref="U225" xr:uid="{00000000-0002-0000-0500-00005B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500-00005C000000}"/>
    <dataValidation allowBlank="1" showInputMessage="1" showErrorMessage="1" promptTitle="Spear (20%)" prompt="长枪或者投矛。如果投掷，使用投掷技能。" sqref="U226" xr:uid="{00000000-0002-0000-0500-00005D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500-00005E000000}"/>
    <dataValidation allowBlank="1" showInputMessage="1" showErrorMessage="1" promptTitle="Hairdressing (05%)" prompt="理发师可以使用剪刀等工具帮他人理发，如果要给自己理发建议困难鉴定。该技能偏向于RP，请自行扮演。" sqref="M228" xr:uid="{00000000-0002-0000-0500-00005F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500-000060000000}"/>
    <dataValidation allowBlank="1" showInputMessage="1" showErrorMessage="1" prompt="这是你所有资产加起来的总和。_x000a_包括房屋汽车家具等等等等。" sqref="Z228:AA228" xr:uid="{00000000-0002-0000-0500-000061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500-000062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500-000063000000}"/>
    <dataValidation allowBlank="1" showInputMessage="1" showErrorMessage="1" promptTitle="提示" prompt="现金单位自行更换" sqref="Z230:AA230" xr:uid="{00000000-0002-0000-0500-000064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500-000065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500-000066000000}"/>
    <dataValidation allowBlank="1" showInputMessage="1" showErrorMessage="1" promptTitle="Fishing (05%)" prompt="技艺者可以使用鱼竿、鱼叉、渔网等工具进行捕鱼。大成功说不定能钓到美人鱼上钩喔。" sqref="M232" xr:uid="{00000000-0002-0000-0500-000067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500-000068000000}"/>
    <dataValidation allowBlank="1" showInputMessage="1" showErrorMessage="1" promptTitle="Terracotta (05%)" prompt="使用者可以用来伪造陶瓷器，或者能理解某些陶瓷器的烧制过程。或许在某些时候（荒野求生）能有所帮助吧。" sqref="M234" xr:uid="{00000000-0002-0000-0500-000069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500-00006A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500-00006B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500-00006C000000}"/>
    <dataValidation allowBlank="1" showInputMessage="1" showErrorMessage="1" promptTitle="Technical Drawing (05%)" prompt="技术制图，主要是建筑师凭此设计建筑的说法（自行脑补，以下省略XX字）" sqref="M238" xr:uid="{00000000-0002-0000-0500-00006D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500-00006E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500-00006F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500-000070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500-000071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500-000072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500-000073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500-000074000000}"/>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X43:X46" xr:uid="{00000000-0002-0000-0500-000075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X55:X57" xr:uid="{00000000-0002-0000-0500-000076000000}"/>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X74:X76" xr:uid="{00000000-0002-0000-0500-000077000000}"/>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Z154"/>
  <sheetViews>
    <sheetView showGridLines="0" workbookViewId="0"/>
  </sheetViews>
  <sheetFormatPr defaultColWidth="8.44140625" defaultRowHeight="15.6"/>
  <cols>
    <col min="1" max="1" width="16.77734375" style="14" customWidth="1"/>
    <col min="2" max="12" width="8.44140625" style="14" customWidth="1"/>
    <col min="13" max="13" width="9" style="14" customWidth="1"/>
    <col min="14" max="15" width="8.44140625" style="14" customWidth="1"/>
    <col min="16" max="16384" width="8.44140625" style="14"/>
  </cols>
  <sheetData>
    <row r="2" spans="1:26" s="225" customFormat="1" ht="17.55" customHeight="1">
      <c r="A2" s="1632" t="s">
        <v>3519</v>
      </c>
      <c r="B2" s="1631" t="s">
        <v>3520</v>
      </c>
      <c r="C2" s="1023"/>
      <c r="D2" s="1023"/>
      <c r="E2" s="1023"/>
      <c r="F2" s="1023"/>
      <c r="G2" s="1023"/>
      <c r="H2" s="1023"/>
      <c r="I2" s="1023"/>
      <c r="J2" s="1023"/>
      <c r="K2" s="1023"/>
      <c r="L2" s="1024"/>
      <c r="M2" s="1640" t="s">
        <v>3521</v>
      </c>
      <c r="N2" s="1617" t="s">
        <v>3522</v>
      </c>
      <c r="O2" s="1088"/>
      <c r="P2" s="1088"/>
      <c r="Q2" s="1088"/>
      <c r="R2" s="1088"/>
      <c r="S2" s="1088"/>
      <c r="T2" s="1088"/>
      <c r="U2" s="1088"/>
      <c r="V2" s="1088"/>
      <c r="W2" s="1088"/>
      <c r="X2" s="1088"/>
      <c r="Y2" s="1088"/>
      <c r="Z2" s="1089"/>
    </row>
    <row r="3" spans="1:26" ht="17.399999999999999">
      <c r="A3" s="1603"/>
      <c r="B3" s="1638" t="s">
        <v>54</v>
      </c>
      <c r="C3" s="1007"/>
      <c r="D3" s="1000"/>
      <c r="E3" s="1619" t="s">
        <v>3523</v>
      </c>
      <c r="F3" s="1000"/>
      <c r="G3" s="1619" t="s">
        <v>2114</v>
      </c>
      <c r="H3" s="1000"/>
      <c r="I3" s="1656" t="s">
        <v>3524</v>
      </c>
      <c r="J3" s="1007"/>
      <c r="K3" s="1007"/>
      <c r="L3" s="1000"/>
      <c r="M3" s="1559"/>
      <c r="N3" s="340" t="s">
        <v>164</v>
      </c>
      <c r="O3" s="1655" t="s">
        <v>3525</v>
      </c>
      <c r="P3" s="1603"/>
      <c r="Q3" s="1603"/>
      <c r="R3" s="1603"/>
      <c r="S3" s="1603"/>
      <c r="T3" s="1603"/>
      <c r="U3" s="1603"/>
      <c r="V3" s="1603"/>
      <c r="W3" s="1603"/>
      <c r="X3" s="1603"/>
      <c r="Y3" s="1603"/>
      <c r="Z3" s="1015"/>
    </row>
    <row r="4" spans="1:26">
      <c r="A4" s="1603"/>
      <c r="B4" s="1630" t="s">
        <v>3258</v>
      </c>
      <c r="C4" s="1033"/>
      <c r="D4" s="1033"/>
      <c r="E4" s="1641" t="str">
        <f>IF($B4=附表!B213,"【←下拉框】",VLOOKUP($B4,附表!B95:K212,2,FALSE))</f>
        <v>【←下拉框】</v>
      </c>
      <c r="F4" s="1031"/>
      <c r="G4" s="1633" t="str">
        <f>IF($B4=附表!B213,"",VLOOKUP($B4,附表!B95:K212,3,FALSE))</f>
        <v/>
      </c>
      <c r="H4" s="1031"/>
      <c r="I4" s="1621" t="str">
        <f>IF($B4=附表!B213,"",VLOOKUP($B4,附表!B95:K212,4,FALSE))</f>
        <v/>
      </c>
      <c r="J4" s="1033"/>
      <c r="K4" s="1033"/>
      <c r="L4" s="1031"/>
      <c r="M4" s="1559"/>
      <c r="N4" s="341" t="s">
        <v>3526</v>
      </c>
      <c r="O4" s="1657" t="s">
        <v>3527</v>
      </c>
      <c r="P4" s="1603"/>
      <c r="Q4" s="1603"/>
      <c r="R4" s="1603"/>
      <c r="S4" s="1603"/>
      <c r="T4" s="1603"/>
      <c r="U4" s="1603"/>
      <c r="V4" s="1603"/>
      <c r="W4" s="1603"/>
      <c r="X4" s="1603"/>
      <c r="Y4" s="1603"/>
      <c r="Z4" s="1015"/>
    </row>
    <row r="5" spans="1:26">
      <c r="A5" s="1603"/>
      <c r="B5" s="1034"/>
      <c r="C5" s="1603"/>
      <c r="D5" s="1603"/>
      <c r="E5" s="1114"/>
      <c r="F5" s="1013"/>
      <c r="G5" s="1114"/>
      <c r="H5" s="1013"/>
      <c r="I5" s="1114"/>
      <c r="J5" s="1603"/>
      <c r="K5" s="1603"/>
      <c r="L5" s="1013"/>
      <c r="M5" s="1559"/>
      <c r="N5" s="342"/>
      <c r="O5" s="343"/>
      <c r="P5" s="343"/>
      <c r="Q5" s="343"/>
      <c r="R5" s="343"/>
      <c r="S5" s="343"/>
      <c r="T5" s="343"/>
      <c r="U5" s="343"/>
      <c r="V5" s="343"/>
      <c r="W5" s="343"/>
      <c r="X5" s="343"/>
      <c r="Y5" s="343"/>
      <c r="Z5" s="350"/>
    </row>
    <row r="6" spans="1:26">
      <c r="A6" s="1603"/>
      <c r="B6" s="1034"/>
      <c r="C6" s="1603"/>
      <c r="D6" s="1603"/>
      <c r="E6" s="1114"/>
      <c r="F6" s="1013"/>
      <c r="G6" s="1114"/>
      <c r="H6" s="1013"/>
      <c r="I6" s="1114"/>
      <c r="J6" s="1603"/>
      <c r="K6" s="1603"/>
      <c r="L6" s="1013"/>
      <c r="M6" s="1559"/>
      <c r="N6" s="344" t="s">
        <v>3528</v>
      </c>
      <c r="O6" s="1606" t="s">
        <v>3529</v>
      </c>
      <c r="P6" s="1603"/>
      <c r="Q6" s="1603"/>
      <c r="R6" s="1603"/>
      <c r="S6" s="1603"/>
      <c r="T6" s="1603"/>
      <c r="U6" s="1603"/>
      <c r="V6" s="1603"/>
      <c r="W6" s="1603"/>
      <c r="X6" s="1603"/>
      <c r="Y6" s="1603"/>
      <c r="Z6" s="1015"/>
    </row>
    <row r="7" spans="1:26">
      <c r="A7" s="1603"/>
      <c r="B7" s="1034"/>
      <c r="C7" s="1603"/>
      <c r="D7" s="1603"/>
      <c r="E7" s="1114"/>
      <c r="F7" s="1013"/>
      <c r="G7" s="1114"/>
      <c r="H7" s="1013"/>
      <c r="I7" s="1114"/>
      <c r="J7" s="1603"/>
      <c r="K7" s="1603"/>
      <c r="L7" s="1013"/>
      <c r="M7" s="1559"/>
      <c r="N7" s="346"/>
      <c r="O7" s="345"/>
      <c r="P7" s="345"/>
      <c r="Q7" s="345"/>
      <c r="R7" s="345"/>
      <c r="S7" s="345"/>
      <c r="T7" s="345"/>
      <c r="U7" s="345"/>
      <c r="V7" s="345"/>
      <c r="W7" s="345"/>
      <c r="X7" s="345"/>
      <c r="Y7" s="345"/>
      <c r="Z7" s="351"/>
    </row>
    <row r="8" spans="1:26">
      <c r="A8" s="1603"/>
      <c r="B8" s="1034"/>
      <c r="C8" s="1603"/>
      <c r="D8" s="1603"/>
      <c r="E8" s="1114"/>
      <c r="F8" s="1013"/>
      <c r="G8" s="1114"/>
      <c r="H8" s="1013"/>
      <c r="I8" s="1114"/>
      <c r="J8" s="1603"/>
      <c r="K8" s="1603"/>
      <c r="L8" s="1013"/>
      <c r="M8" s="1559"/>
      <c r="N8" s="344" t="s">
        <v>892</v>
      </c>
      <c r="O8" s="1606" t="s">
        <v>3530</v>
      </c>
      <c r="P8" s="1603"/>
      <c r="Q8" s="1603"/>
      <c r="R8" s="1603"/>
      <c r="S8" s="1603"/>
      <c r="T8" s="1603"/>
      <c r="U8" s="1603"/>
      <c r="V8" s="1603"/>
      <c r="W8" s="1603"/>
      <c r="X8" s="1603"/>
      <c r="Y8" s="1603"/>
      <c r="Z8" s="1015"/>
    </row>
    <row r="9" spans="1:26">
      <c r="A9" s="1603"/>
      <c r="B9" s="1034"/>
      <c r="C9" s="1603"/>
      <c r="D9" s="1603"/>
      <c r="E9" s="1026"/>
      <c r="F9" s="1027"/>
      <c r="G9" s="1026"/>
      <c r="H9" s="1027"/>
      <c r="I9" s="1026"/>
      <c r="J9" s="1036"/>
      <c r="K9" s="1036"/>
      <c r="L9" s="1027"/>
      <c r="M9" s="1559"/>
      <c r="N9" s="344"/>
      <c r="O9" s="347"/>
      <c r="P9" s="347"/>
      <c r="Q9" s="347"/>
      <c r="R9" s="347"/>
      <c r="S9" s="347"/>
      <c r="T9" s="347"/>
      <c r="U9" s="347"/>
      <c r="V9" s="347"/>
      <c r="W9" s="347"/>
      <c r="X9" s="347"/>
      <c r="Y9" s="347"/>
      <c r="Z9" s="352"/>
    </row>
    <row r="10" spans="1:26" ht="17.399999999999999">
      <c r="A10" s="1603"/>
      <c r="B10" s="1638" t="s">
        <v>2119</v>
      </c>
      <c r="C10" s="1007"/>
      <c r="D10" s="1007"/>
      <c r="E10" s="1007"/>
      <c r="F10" s="1007"/>
      <c r="G10" s="1007"/>
      <c r="H10" s="1000"/>
      <c r="I10" s="1619" t="s">
        <v>2117</v>
      </c>
      <c r="J10" s="1000"/>
      <c r="K10" s="1620" t="s">
        <v>2118</v>
      </c>
      <c r="L10" s="1000"/>
      <c r="M10" s="1559"/>
      <c r="N10" s="342" t="s">
        <v>3531</v>
      </c>
      <c r="O10" s="1606" t="s">
        <v>3532</v>
      </c>
      <c r="P10" s="1603"/>
      <c r="Q10" s="1603"/>
      <c r="R10" s="1603"/>
      <c r="S10" s="1603"/>
      <c r="T10" s="1603"/>
      <c r="U10" s="1603"/>
      <c r="V10" s="1603"/>
      <c r="W10" s="1603"/>
      <c r="X10" s="1603"/>
      <c r="Y10" s="1603"/>
      <c r="Z10" s="1015"/>
    </row>
    <row r="11" spans="1:26">
      <c r="A11" s="1603"/>
      <c r="B11" s="1637" t="str">
        <f>IF($B4=附表!B213,"",VLOOKUP($B4,附表!B95:K212,8,FALSE))</f>
        <v/>
      </c>
      <c r="C11" s="1033"/>
      <c r="D11" s="1033"/>
      <c r="E11" s="1033"/>
      <c r="F11" s="1033"/>
      <c r="G11" s="1033"/>
      <c r="H11" s="1031"/>
      <c r="I11" s="1658" t="str">
        <f>IF($B4=附表!B213,"",VLOOKUP($B4,附表!B95:K212,6,FALSE))</f>
        <v/>
      </c>
      <c r="J11" s="1031"/>
      <c r="K11" s="1645" t="str">
        <f>IF($B4=附表!B213,"",VLOOKUP($B4,附表!B95:K212,7,FALSE))</f>
        <v/>
      </c>
      <c r="L11" s="1031"/>
      <c r="M11" s="1559"/>
      <c r="N11" s="346"/>
      <c r="O11" s="345"/>
      <c r="P11" s="345"/>
      <c r="Q11" s="345"/>
      <c r="R11" s="345"/>
      <c r="S11" s="345"/>
      <c r="T11" s="345"/>
      <c r="U11" s="345"/>
      <c r="V11" s="345"/>
      <c r="W11" s="345"/>
      <c r="X11" s="345"/>
      <c r="Y11" s="345"/>
      <c r="Z11" s="351"/>
    </row>
    <row r="12" spans="1:26" ht="15.75" customHeight="1">
      <c r="A12" s="1603"/>
      <c r="B12" s="1034"/>
      <c r="C12" s="1603"/>
      <c r="D12" s="1603"/>
      <c r="E12" s="1603"/>
      <c r="F12" s="1603"/>
      <c r="G12" s="1603"/>
      <c r="H12" s="1013"/>
      <c r="I12" s="1114"/>
      <c r="J12" s="1013"/>
      <c r="K12" s="1603"/>
      <c r="L12" s="1013"/>
      <c r="M12" s="1559"/>
      <c r="N12" s="344" t="s">
        <v>3533</v>
      </c>
      <c r="O12" s="1606" t="s">
        <v>3534</v>
      </c>
      <c r="P12" s="1603"/>
      <c r="Q12" s="1603"/>
      <c r="R12" s="1603"/>
      <c r="S12" s="1603"/>
      <c r="T12" s="1603"/>
      <c r="U12" s="1603"/>
      <c r="V12" s="1603"/>
      <c r="W12" s="1603"/>
      <c r="X12" s="1603"/>
      <c r="Y12" s="1603"/>
      <c r="Z12" s="1015"/>
    </row>
    <row r="13" spans="1:26">
      <c r="A13" s="1603"/>
      <c r="B13" s="1034"/>
      <c r="C13" s="1603"/>
      <c r="D13" s="1603"/>
      <c r="E13" s="1603"/>
      <c r="F13" s="1603"/>
      <c r="G13" s="1603"/>
      <c r="H13" s="1013"/>
      <c r="I13" s="1114"/>
      <c r="J13" s="1013"/>
      <c r="K13" s="1603"/>
      <c r="L13" s="1013"/>
      <c r="M13" s="1559"/>
      <c r="N13" s="348"/>
      <c r="Z13" s="353"/>
    </row>
    <row r="14" spans="1:26">
      <c r="A14" s="1603"/>
      <c r="B14" s="1034"/>
      <c r="C14" s="1603"/>
      <c r="D14" s="1603"/>
      <c r="E14" s="1603"/>
      <c r="F14" s="1603"/>
      <c r="G14" s="1603"/>
      <c r="H14" s="1013"/>
      <c r="I14" s="1114"/>
      <c r="J14" s="1013"/>
      <c r="K14" s="1603"/>
      <c r="L14" s="1013"/>
      <c r="M14" s="1559"/>
      <c r="N14" s="1611" t="s">
        <v>3535</v>
      </c>
      <c r="O14" s="1606" t="s">
        <v>3536</v>
      </c>
      <c r="P14" s="1603"/>
      <c r="Q14" s="1603"/>
      <c r="R14" s="1603"/>
      <c r="S14" s="1603"/>
      <c r="T14" s="1603"/>
      <c r="U14" s="1603"/>
      <c r="V14" s="1603"/>
      <c r="W14" s="1603"/>
      <c r="X14" s="1603"/>
      <c r="Y14" s="1603"/>
      <c r="Z14" s="1015"/>
    </row>
    <row r="15" spans="1:26">
      <c r="A15" s="1603"/>
      <c r="B15" s="1034"/>
      <c r="C15" s="1603"/>
      <c r="D15" s="1603"/>
      <c r="E15" s="1603"/>
      <c r="F15" s="1603"/>
      <c r="G15" s="1603"/>
      <c r="H15" s="1013"/>
      <c r="I15" s="1114"/>
      <c r="J15" s="1013"/>
      <c r="K15" s="1603"/>
      <c r="L15" s="1013"/>
      <c r="M15" s="1559"/>
      <c r="N15" s="1034"/>
      <c r="O15" s="1603"/>
      <c r="P15" s="1603"/>
      <c r="Q15" s="1603"/>
      <c r="R15" s="1603"/>
      <c r="S15" s="1603"/>
      <c r="T15" s="1603"/>
      <c r="U15" s="1603"/>
      <c r="V15" s="1603"/>
      <c r="W15" s="1603"/>
      <c r="X15" s="1603"/>
      <c r="Y15" s="1603"/>
      <c r="Z15" s="1015"/>
    </row>
    <row r="16" spans="1:26">
      <c r="A16" s="1603"/>
      <c r="B16" s="1034"/>
      <c r="C16" s="1603"/>
      <c r="D16" s="1603"/>
      <c r="E16" s="1603"/>
      <c r="F16" s="1603"/>
      <c r="G16" s="1603"/>
      <c r="H16" s="1013"/>
      <c r="I16" s="1114"/>
      <c r="J16" s="1013"/>
      <c r="K16" s="1603"/>
      <c r="L16" s="1013"/>
      <c r="M16" s="1559"/>
      <c r="N16" s="348"/>
      <c r="Z16" s="353"/>
    </row>
    <row r="17" spans="1:26">
      <c r="A17" s="1603"/>
      <c r="B17" s="1034"/>
      <c r="C17" s="1603"/>
      <c r="D17" s="1603"/>
      <c r="E17" s="1603"/>
      <c r="F17" s="1603"/>
      <c r="G17" s="1603"/>
      <c r="H17" s="1013"/>
      <c r="I17" s="1114"/>
      <c r="J17" s="1013"/>
      <c r="K17" s="1603"/>
      <c r="L17" s="1013"/>
      <c r="M17" s="1559"/>
      <c r="N17" s="1611" t="s">
        <v>3537</v>
      </c>
      <c r="O17" s="1606" t="s">
        <v>3538</v>
      </c>
      <c r="P17" s="1603"/>
      <c r="Q17" s="1603"/>
      <c r="R17" s="1603"/>
      <c r="S17" s="1603"/>
      <c r="T17" s="1603"/>
      <c r="U17" s="1603"/>
      <c r="V17" s="1603"/>
      <c r="W17" s="1603"/>
      <c r="X17" s="1603"/>
      <c r="Y17" s="1603"/>
      <c r="Z17" s="1015"/>
    </row>
    <row r="18" spans="1:26">
      <c r="A18" s="1603"/>
      <c r="B18" s="1034"/>
      <c r="C18" s="1603"/>
      <c r="D18" s="1603"/>
      <c r="E18" s="1603"/>
      <c r="F18" s="1603"/>
      <c r="G18" s="1603"/>
      <c r="H18" s="1013"/>
      <c r="I18" s="1114"/>
      <c r="J18" s="1013"/>
      <c r="K18" s="1603"/>
      <c r="L18" s="1013"/>
      <c r="M18" s="1559"/>
      <c r="N18" s="1034"/>
      <c r="O18" s="1603"/>
      <c r="P18" s="1603"/>
      <c r="Q18" s="1603"/>
      <c r="R18" s="1603"/>
      <c r="S18" s="1603"/>
      <c r="T18" s="1603"/>
      <c r="U18" s="1603"/>
      <c r="V18" s="1603"/>
      <c r="W18" s="1603"/>
      <c r="X18" s="1603"/>
      <c r="Y18" s="1603"/>
      <c r="Z18" s="1015"/>
    </row>
    <row r="19" spans="1:26">
      <c r="A19" s="1603"/>
      <c r="B19" s="1034"/>
      <c r="C19" s="1603"/>
      <c r="D19" s="1603"/>
      <c r="E19" s="1603"/>
      <c r="F19" s="1603"/>
      <c r="G19" s="1603"/>
      <c r="H19" s="1013"/>
      <c r="I19" s="1114"/>
      <c r="J19" s="1013"/>
      <c r="K19" s="1603"/>
      <c r="L19" s="1013"/>
      <c r="M19" s="1559"/>
      <c r="N19" s="344"/>
      <c r="O19" s="347"/>
      <c r="P19" s="347"/>
      <c r="Q19" s="347"/>
      <c r="R19" s="347"/>
      <c r="S19" s="347"/>
      <c r="T19" s="347"/>
      <c r="U19" s="347"/>
      <c r="V19" s="347"/>
      <c r="W19" s="347"/>
      <c r="X19" s="347"/>
      <c r="Y19" s="347"/>
      <c r="Z19" s="352"/>
    </row>
    <row r="20" spans="1:26">
      <c r="A20" s="1603"/>
      <c r="B20" s="1034"/>
      <c r="C20" s="1603"/>
      <c r="D20" s="1603"/>
      <c r="E20" s="1603"/>
      <c r="F20" s="1603"/>
      <c r="G20" s="1603"/>
      <c r="H20" s="1013"/>
      <c r="I20" s="1114"/>
      <c r="J20" s="1013"/>
      <c r="K20" s="1603"/>
      <c r="L20" s="1013"/>
      <c r="M20" s="1559"/>
      <c r="N20" s="1611" t="s">
        <v>3539</v>
      </c>
      <c r="O20" s="1639" t="s">
        <v>3540</v>
      </c>
      <c r="P20" s="1603"/>
      <c r="Q20" s="1603"/>
      <c r="R20" s="1603"/>
      <c r="S20" s="1603"/>
      <c r="T20" s="1603"/>
      <c r="U20" s="1603"/>
      <c r="V20" s="1603"/>
      <c r="W20" s="1603"/>
      <c r="X20" s="1603"/>
      <c r="Y20" s="1603"/>
      <c r="Z20" s="1015"/>
    </row>
    <row r="21" spans="1:26">
      <c r="A21" s="1603"/>
      <c r="B21" s="1034"/>
      <c r="C21" s="1603"/>
      <c r="D21" s="1603"/>
      <c r="E21" s="1603"/>
      <c r="F21" s="1603"/>
      <c r="G21" s="1603"/>
      <c r="H21" s="1013"/>
      <c r="I21" s="1114"/>
      <c r="J21" s="1013"/>
      <c r="K21" s="1603"/>
      <c r="L21" s="1013"/>
      <c r="M21" s="1559"/>
      <c r="N21" s="1034"/>
      <c r="O21" s="1603"/>
      <c r="P21" s="1603"/>
      <c r="Q21" s="1603"/>
      <c r="R21" s="1603"/>
      <c r="S21" s="1603"/>
      <c r="T21" s="1603"/>
      <c r="U21" s="1603"/>
      <c r="V21" s="1603"/>
      <c r="W21" s="1603"/>
      <c r="X21" s="1603"/>
      <c r="Y21" s="1603"/>
      <c r="Z21" s="1015"/>
    </row>
    <row r="22" spans="1:26">
      <c r="A22" s="1603"/>
      <c r="B22" s="1034"/>
      <c r="C22" s="1603"/>
      <c r="D22" s="1603"/>
      <c r="E22" s="1603"/>
      <c r="F22" s="1603"/>
      <c r="G22" s="1603"/>
      <c r="H22" s="1013"/>
      <c r="I22" s="1114"/>
      <c r="J22" s="1013"/>
      <c r="K22" s="1603"/>
      <c r="L22" s="1013"/>
      <c r="M22" s="1559"/>
      <c r="N22" s="346"/>
      <c r="O22" s="345"/>
      <c r="P22" s="345"/>
      <c r="Q22" s="345"/>
      <c r="R22" s="345"/>
      <c r="S22" s="345"/>
      <c r="T22" s="345"/>
      <c r="U22" s="345"/>
      <c r="V22" s="345"/>
      <c r="W22" s="345"/>
      <c r="X22" s="345"/>
      <c r="Y22" s="345"/>
      <c r="Z22" s="351"/>
    </row>
    <row r="23" spans="1:26">
      <c r="A23" s="1603"/>
      <c r="B23" s="1035"/>
      <c r="C23" s="1036"/>
      <c r="D23" s="1036"/>
      <c r="E23" s="1036"/>
      <c r="F23" s="1036"/>
      <c r="G23" s="1036"/>
      <c r="H23" s="1027"/>
      <c r="I23" s="1026"/>
      <c r="J23" s="1027"/>
      <c r="K23" s="1036"/>
      <c r="L23" s="1027"/>
      <c r="M23" s="1559"/>
      <c r="N23" s="344" t="s">
        <v>3541</v>
      </c>
      <c r="O23" s="1606" t="s">
        <v>3542</v>
      </c>
      <c r="P23" s="1603"/>
      <c r="Q23" s="1603"/>
      <c r="R23" s="1603"/>
      <c r="S23" s="1603"/>
      <c r="T23" s="1603"/>
      <c r="U23" s="1603"/>
      <c r="V23" s="1603"/>
      <c r="W23" s="1603"/>
      <c r="X23" s="1603"/>
      <c r="Y23" s="1603"/>
      <c r="Z23" s="1015"/>
    </row>
    <row r="24" spans="1:26" ht="17.399999999999999">
      <c r="A24" s="32"/>
      <c r="B24" s="1638" t="s">
        <v>2120</v>
      </c>
      <c r="C24" s="1007"/>
      <c r="D24" s="1007"/>
      <c r="E24" s="1007"/>
      <c r="F24" s="1007"/>
      <c r="G24" s="1000"/>
      <c r="H24" s="1619" t="s">
        <v>2121</v>
      </c>
      <c r="I24" s="1007"/>
      <c r="J24" s="1007"/>
      <c r="K24" s="1007"/>
      <c r="L24" s="1000"/>
      <c r="M24" s="1559"/>
      <c r="N24" s="346"/>
      <c r="O24" s="345"/>
      <c r="P24" s="345"/>
      <c r="Q24" s="345"/>
      <c r="R24" s="345"/>
      <c r="S24" s="345"/>
      <c r="T24" s="345"/>
      <c r="U24" s="345"/>
      <c r="V24" s="345"/>
      <c r="W24" s="345"/>
      <c r="X24" s="345"/>
      <c r="Y24" s="345"/>
      <c r="Z24" s="351"/>
    </row>
    <row r="25" spans="1:26">
      <c r="A25" s="32"/>
      <c r="B25" s="1637" t="str">
        <f>IF($B4=附表!B213,"",VLOOKUP($B4,附表!B95:K212,9,FALSE))</f>
        <v/>
      </c>
      <c r="C25" s="1033"/>
      <c r="D25" s="1033"/>
      <c r="E25" s="1033"/>
      <c r="F25" s="1033"/>
      <c r="G25" s="1031"/>
      <c r="H25" s="1659" t="str">
        <f>IF($B4=附表!B213,"",VLOOKUP($B4,附表!B95:K212,10,FALSE))</f>
        <v/>
      </c>
      <c r="I25" s="1033"/>
      <c r="J25" s="1033"/>
      <c r="K25" s="1033"/>
      <c r="L25" s="1031"/>
      <c r="M25" s="339"/>
      <c r="N25" s="1611" t="s">
        <v>3543</v>
      </c>
      <c r="O25" s="1606" t="s">
        <v>3544</v>
      </c>
      <c r="P25" s="1603"/>
      <c r="Q25" s="1603"/>
      <c r="R25" s="1603"/>
      <c r="S25" s="1603"/>
      <c r="T25" s="1603"/>
      <c r="U25" s="1603"/>
      <c r="V25" s="1603"/>
      <c r="W25" s="1603"/>
      <c r="X25" s="1603"/>
      <c r="Y25" s="1603"/>
      <c r="Z25" s="1015"/>
    </row>
    <row r="26" spans="1:26">
      <c r="A26" s="32"/>
      <c r="B26" s="1034"/>
      <c r="C26" s="1603"/>
      <c r="D26" s="1603"/>
      <c r="E26" s="1603"/>
      <c r="F26" s="1603"/>
      <c r="G26" s="1013"/>
      <c r="H26" s="1114"/>
      <c r="I26" s="1603"/>
      <c r="J26" s="1603"/>
      <c r="K26" s="1603"/>
      <c r="L26" s="1013"/>
      <c r="M26" s="339"/>
      <c r="N26" s="1034"/>
      <c r="O26" s="1603"/>
      <c r="P26" s="1603"/>
      <c r="Q26" s="1603"/>
      <c r="R26" s="1603"/>
      <c r="S26" s="1603"/>
      <c r="T26" s="1603"/>
      <c r="U26" s="1603"/>
      <c r="V26" s="1603"/>
      <c r="W26" s="1603"/>
      <c r="X26" s="1603"/>
      <c r="Y26" s="1603"/>
      <c r="Z26" s="1015"/>
    </row>
    <row r="27" spans="1:26">
      <c r="A27" s="32"/>
      <c r="B27" s="1034"/>
      <c r="C27" s="1603"/>
      <c r="D27" s="1603"/>
      <c r="E27" s="1603"/>
      <c r="F27" s="1603"/>
      <c r="G27" s="1013"/>
      <c r="H27" s="1114"/>
      <c r="I27" s="1603"/>
      <c r="J27" s="1603"/>
      <c r="K27" s="1603"/>
      <c r="L27" s="1013"/>
      <c r="M27" s="339"/>
      <c r="N27" s="346"/>
      <c r="O27" s="345"/>
      <c r="P27" s="345"/>
      <c r="Q27" s="345"/>
      <c r="R27" s="345"/>
      <c r="S27" s="345"/>
      <c r="T27" s="345"/>
      <c r="U27" s="345"/>
      <c r="V27" s="345"/>
      <c r="W27" s="345"/>
      <c r="X27" s="345"/>
      <c r="Y27" s="345"/>
      <c r="Z27" s="351"/>
    </row>
    <row r="28" spans="1:26">
      <c r="A28" s="32"/>
      <c r="B28" s="1034"/>
      <c r="C28" s="1603"/>
      <c r="D28" s="1603"/>
      <c r="E28" s="1603"/>
      <c r="F28" s="1603"/>
      <c r="G28" s="1013"/>
      <c r="H28" s="1114"/>
      <c r="I28" s="1603"/>
      <c r="J28" s="1603"/>
      <c r="K28" s="1603"/>
      <c r="L28" s="1013"/>
      <c r="M28" s="339"/>
      <c r="N28" s="344" t="s">
        <v>3545</v>
      </c>
      <c r="O28" s="1606" t="s">
        <v>3546</v>
      </c>
      <c r="P28" s="1603"/>
      <c r="Q28" s="1603"/>
      <c r="R28" s="1603"/>
      <c r="S28" s="1603"/>
      <c r="T28" s="1603"/>
      <c r="U28" s="1603"/>
      <c r="V28" s="1603"/>
      <c r="W28" s="1603"/>
      <c r="X28" s="1603"/>
      <c r="Y28" s="1603"/>
      <c r="Z28" s="1015"/>
    </row>
    <row r="29" spans="1:26">
      <c r="A29" s="32"/>
      <c r="B29" s="1034"/>
      <c r="C29" s="1603"/>
      <c r="D29" s="1603"/>
      <c r="E29" s="1603"/>
      <c r="F29" s="1603"/>
      <c r="G29" s="1013"/>
      <c r="H29" s="1114"/>
      <c r="I29" s="1603"/>
      <c r="J29" s="1603"/>
      <c r="K29" s="1603"/>
      <c r="L29" s="1013"/>
      <c r="M29" s="339"/>
      <c r="N29" s="346"/>
      <c r="O29" s="345"/>
      <c r="P29" s="345"/>
      <c r="Q29" s="345"/>
      <c r="R29" s="345"/>
      <c r="S29" s="345"/>
      <c r="T29" s="345"/>
      <c r="U29" s="345"/>
      <c r="V29" s="345"/>
      <c r="W29" s="345"/>
      <c r="X29" s="345"/>
      <c r="Y29" s="345"/>
      <c r="Z29" s="351"/>
    </row>
    <row r="30" spans="1:26">
      <c r="A30" s="32"/>
      <c r="B30" s="1034"/>
      <c r="C30" s="1603"/>
      <c r="D30" s="1603"/>
      <c r="E30" s="1603"/>
      <c r="F30" s="1603"/>
      <c r="G30" s="1013"/>
      <c r="H30" s="1114"/>
      <c r="I30" s="1603"/>
      <c r="J30" s="1603"/>
      <c r="K30" s="1603"/>
      <c r="L30" s="1013"/>
      <c r="M30" s="339"/>
      <c r="N30" s="344" t="s">
        <v>3547</v>
      </c>
      <c r="O30" s="1606" t="s">
        <v>3548</v>
      </c>
      <c r="P30" s="1603"/>
      <c r="Q30" s="1603"/>
      <c r="R30" s="1603"/>
      <c r="S30" s="1603"/>
      <c r="T30" s="1603"/>
      <c r="U30" s="1603"/>
      <c r="V30" s="1603"/>
      <c r="W30" s="1603"/>
      <c r="X30" s="1603"/>
      <c r="Y30" s="1603"/>
      <c r="Z30" s="1015"/>
    </row>
    <row r="31" spans="1:26">
      <c r="A31" s="32"/>
      <c r="B31" s="1034"/>
      <c r="C31" s="1603"/>
      <c r="D31" s="1603"/>
      <c r="E31" s="1603"/>
      <c r="F31" s="1603"/>
      <c r="G31" s="1013"/>
      <c r="H31" s="1114"/>
      <c r="I31" s="1603"/>
      <c r="J31" s="1603"/>
      <c r="K31" s="1603"/>
      <c r="L31" s="1013"/>
      <c r="M31" s="339"/>
      <c r="N31" s="344"/>
      <c r="O31" s="345"/>
      <c r="P31" s="345"/>
      <c r="Q31" s="345"/>
      <c r="R31" s="345"/>
      <c r="S31" s="345"/>
      <c r="T31" s="345"/>
      <c r="U31" s="345"/>
      <c r="V31" s="345"/>
      <c r="W31" s="345"/>
      <c r="X31" s="345"/>
      <c r="Y31" s="345"/>
      <c r="Z31" s="351"/>
    </row>
    <row r="32" spans="1:26">
      <c r="A32" s="32"/>
      <c r="B32" s="1034"/>
      <c r="C32" s="1603"/>
      <c r="D32" s="1603"/>
      <c r="E32" s="1603"/>
      <c r="F32" s="1603"/>
      <c r="G32" s="1013"/>
      <c r="H32" s="1114"/>
      <c r="I32" s="1603"/>
      <c r="J32" s="1603"/>
      <c r="K32" s="1603"/>
      <c r="L32" s="1013"/>
      <c r="M32" s="339"/>
      <c r="N32" s="344" t="s">
        <v>3549</v>
      </c>
      <c r="O32" s="1606" t="s">
        <v>3550</v>
      </c>
      <c r="P32" s="1603"/>
      <c r="Q32" s="1603"/>
      <c r="R32" s="1603"/>
      <c r="S32" s="1603"/>
      <c r="T32" s="1603"/>
      <c r="U32" s="1603"/>
      <c r="V32" s="1603"/>
      <c r="W32" s="1603"/>
      <c r="X32" s="1603"/>
      <c r="Y32" s="1603"/>
      <c r="Z32" s="1015"/>
    </row>
    <row r="33" spans="1:26">
      <c r="A33" s="32"/>
      <c r="B33" s="1034"/>
      <c r="C33" s="1603"/>
      <c r="D33" s="1603"/>
      <c r="E33" s="1603"/>
      <c r="F33" s="1603"/>
      <c r="G33" s="1013"/>
      <c r="H33" s="1114"/>
      <c r="I33" s="1603"/>
      <c r="J33" s="1603"/>
      <c r="K33" s="1603"/>
      <c r="L33" s="1013"/>
      <c r="M33" s="339"/>
      <c r="N33" s="344"/>
      <c r="O33" s="347"/>
      <c r="P33" s="347"/>
      <c r="Q33" s="347"/>
      <c r="R33" s="347"/>
      <c r="S33" s="347"/>
      <c r="T33" s="347"/>
      <c r="U33" s="347"/>
      <c r="V33" s="347"/>
      <c r="W33" s="347"/>
      <c r="X33" s="347"/>
      <c r="Y33" s="347"/>
      <c r="Z33" s="352"/>
    </row>
    <row r="34" spans="1:26" ht="31.2">
      <c r="A34" s="32"/>
      <c r="B34" s="1034"/>
      <c r="C34" s="1603"/>
      <c r="D34" s="1603"/>
      <c r="E34" s="1603"/>
      <c r="F34" s="1603"/>
      <c r="G34" s="1013"/>
      <c r="H34" s="1114"/>
      <c r="I34" s="1603"/>
      <c r="J34" s="1603"/>
      <c r="K34" s="1603"/>
      <c r="L34" s="1013"/>
      <c r="M34" s="339"/>
      <c r="N34" s="344" t="s">
        <v>3551</v>
      </c>
      <c r="O34" s="1606" t="s">
        <v>3552</v>
      </c>
      <c r="P34" s="1603"/>
      <c r="Q34" s="1603"/>
      <c r="R34" s="1603"/>
      <c r="S34" s="1603"/>
      <c r="T34" s="1603"/>
      <c r="U34" s="1603"/>
      <c r="V34" s="1603"/>
      <c r="W34" s="1603"/>
      <c r="X34" s="1603"/>
      <c r="Y34" s="1603"/>
      <c r="Z34" s="1015"/>
    </row>
    <row r="35" spans="1:26">
      <c r="A35" s="32"/>
      <c r="B35" s="1034"/>
      <c r="C35" s="1603"/>
      <c r="D35" s="1603"/>
      <c r="E35" s="1603"/>
      <c r="F35" s="1603"/>
      <c r="G35" s="1013"/>
      <c r="H35" s="1114"/>
      <c r="I35" s="1603"/>
      <c r="J35" s="1603"/>
      <c r="K35" s="1603"/>
      <c r="L35" s="1013"/>
      <c r="M35" s="339"/>
      <c r="N35" s="1615"/>
      <c r="O35" s="1603"/>
      <c r="P35" s="1603"/>
      <c r="Q35" s="1603"/>
      <c r="R35" s="1603"/>
      <c r="S35" s="1603"/>
      <c r="T35" s="1603"/>
      <c r="U35" s="1603"/>
      <c r="V35" s="1603"/>
      <c r="W35" s="1603"/>
      <c r="X35" s="1603"/>
      <c r="Y35" s="1603"/>
      <c r="Z35" s="1015"/>
    </row>
    <row r="36" spans="1:26">
      <c r="A36" s="32"/>
      <c r="B36" s="1034"/>
      <c r="C36" s="1603"/>
      <c r="D36" s="1603"/>
      <c r="E36" s="1603"/>
      <c r="F36" s="1603"/>
      <c r="G36" s="1013"/>
      <c r="H36" s="1114"/>
      <c r="I36" s="1603"/>
      <c r="J36" s="1603"/>
      <c r="K36" s="1603"/>
      <c r="L36" s="1013"/>
      <c r="M36" s="339"/>
      <c r="N36" s="1611" t="s">
        <v>3553</v>
      </c>
      <c r="O36" s="1606" t="s">
        <v>3554</v>
      </c>
      <c r="P36" s="1603"/>
      <c r="Q36" s="1603"/>
      <c r="R36" s="1603"/>
      <c r="S36" s="1603"/>
      <c r="T36" s="1603"/>
      <c r="U36" s="1603"/>
      <c r="V36" s="1603"/>
      <c r="W36" s="1603"/>
      <c r="X36" s="1603"/>
      <c r="Y36" s="1603"/>
      <c r="Z36" s="1015"/>
    </row>
    <row r="37" spans="1:26">
      <c r="A37" s="32"/>
      <c r="B37" s="1034"/>
      <c r="C37" s="1603"/>
      <c r="D37" s="1603"/>
      <c r="E37" s="1603"/>
      <c r="F37" s="1603"/>
      <c r="G37" s="1013"/>
      <c r="H37" s="1114"/>
      <c r="I37" s="1603"/>
      <c r="J37" s="1603"/>
      <c r="K37" s="1603"/>
      <c r="L37" s="1013"/>
      <c r="M37" s="339"/>
      <c r="N37" s="1034"/>
      <c r="O37" s="1603"/>
      <c r="P37" s="1603"/>
      <c r="Q37" s="1603"/>
      <c r="R37" s="1603"/>
      <c r="S37" s="1603"/>
      <c r="T37" s="1603"/>
      <c r="U37" s="1603"/>
      <c r="V37" s="1603"/>
      <c r="W37" s="1603"/>
      <c r="X37" s="1603"/>
      <c r="Y37" s="1603"/>
      <c r="Z37" s="1015"/>
    </row>
    <row r="38" spans="1:26">
      <c r="A38" s="32"/>
      <c r="B38" s="1035"/>
      <c r="C38" s="1036"/>
      <c r="D38" s="1036"/>
      <c r="E38" s="1036"/>
      <c r="F38" s="1036"/>
      <c r="G38" s="1027"/>
      <c r="H38" s="1026"/>
      <c r="I38" s="1036"/>
      <c r="J38" s="1036"/>
      <c r="K38" s="1036"/>
      <c r="L38" s="1027"/>
      <c r="M38" s="339"/>
      <c r="N38" s="1615"/>
      <c r="O38" s="1603"/>
      <c r="P38" s="1603"/>
      <c r="Q38" s="1603"/>
      <c r="R38" s="1603"/>
      <c r="S38" s="1603"/>
      <c r="T38" s="1603"/>
      <c r="U38" s="1603"/>
      <c r="V38" s="1603"/>
      <c r="W38" s="1603"/>
      <c r="X38" s="1603"/>
      <c r="Y38" s="1603"/>
      <c r="Z38" s="1015"/>
    </row>
    <row r="39" spans="1:26" ht="17.399999999999999">
      <c r="A39" s="32"/>
      <c r="B39" s="1638" t="s">
        <v>3555</v>
      </c>
      <c r="C39" s="1007"/>
      <c r="D39" s="1007"/>
      <c r="E39" s="1007"/>
      <c r="F39" s="1007"/>
      <c r="G39" s="1007"/>
      <c r="H39" s="1007"/>
      <c r="I39" s="1007"/>
      <c r="J39" s="1007"/>
      <c r="K39" s="1007"/>
      <c r="L39" s="1000"/>
      <c r="M39" s="339"/>
      <c r="N39" s="1611" t="s">
        <v>3556</v>
      </c>
      <c r="O39" s="1606" t="s">
        <v>3557</v>
      </c>
      <c r="P39" s="1603"/>
      <c r="Q39" s="1603"/>
      <c r="R39" s="1603"/>
      <c r="S39" s="1603"/>
      <c r="T39" s="1603"/>
      <c r="U39" s="1603"/>
      <c r="V39" s="1603"/>
      <c r="W39" s="1603"/>
      <c r="X39" s="1603"/>
      <c r="Y39" s="1603"/>
      <c r="Z39" s="1015"/>
    </row>
    <row r="40" spans="1:26">
      <c r="A40" s="32"/>
      <c r="B40" s="1636" t="str">
        <f>IF($B4=附表!B213,"",VLOOKUP($B4,附表!B95:K212,5,FALSE))</f>
        <v/>
      </c>
      <c r="C40" s="1033"/>
      <c r="D40" s="1033"/>
      <c r="E40" s="1033"/>
      <c r="F40" s="1033"/>
      <c r="G40" s="1033"/>
      <c r="H40" s="1033"/>
      <c r="I40" s="1033"/>
      <c r="J40" s="1033"/>
      <c r="K40" s="1033"/>
      <c r="L40" s="1038"/>
      <c r="M40" s="339"/>
      <c r="N40" s="1034"/>
      <c r="O40" s="1603"/>
      <c r="P40" s="1603"/>
      <c r="Q40" s="1603"/>
      <c r="R40" s="1603"/>
      <c r="S40" s="1603"/>
      <c r="T40" s="1603"/>
      <c r="U40" s="1603"/>
      <c r="V40" s="1603"/>
      <c r="W40" s="1603"/>
      <c r="X40" s="1603"/>
      <c r="Y40" s="1603"/>
      <c r="Z40" s="1015"/>
    </row>
    <row r="41" spans="1:26">
      <c r="A41" s="32"/>
      <c r="B41" s="1034"/>
      <c r="C41" s="1603"/>
      <c r="D41" s="1603"/>
      <c r="E41" s="1603"/>
      <c r="F41" s="1603"/>
      <c r="G41" s="1603"/>
      <c r="H41" s="1603"/>
      <c r="I41" s="1603"/>
      <c r="J41" s="1603"/>
      <c r="K41" s="1603"/>
      <c r="L41" s="1015"/>
      <c r="M41" s="339"/>
      <c r="N41" s="1615"/>
      <c r="O41" s="1603"/>
      <c r="P41" s="1603"/>
      <c r="Q41" s="1603"/>
      <c r="R41" s="1603"/>
      <c r="S41" s="1603"/>
      <c r="T41" s="1603"/>
      <c r="U41" s="1603"/>
      <c r="V41" s="1603"/>
      <c r="W41" s="1603"/>
      <c r="X41" s="1603"/>
      <c r="Y41" s="1603"/>
      <c r="Z41" s="1015"/>
    </row>
    <row r="42" spans="1:26">
      <c r="A42" s="32"/>
      <c r="B42" s="1034"/>
      <c r="C42" s="1603"/>
      <c r="D42" s="1603"/>
      <c r="E42" s="1603"/>
      <c r="F42" s="1603"/>
      <c r="G42" s="1603"/>
      <c r="H42" s="1603"/>
      <c r="I42" s="1603"/>
      <c r="J42" s="1603"/>
      <c r="K42" s="1603"/>
      <c r="L42" s="1015"/>
      <c r="M42" s="339"/>
      <c r="N42" s="346"/>
      <c r="O42" s="345"/>
      <c r="P42" s="345"/>
      <c r="Q42" s="345"/>
      <c r="R42" s="345"/>
      <c r="S42" s="345"/>
      <c r="T42" s="345"/>
      <c r="U42" s="345"/>
      <c r="V42" s="345"/>
      <c r="W42" s="345"/>
      <c r="X42" s="345"/>
      <c r="Y42" s="345"/>
      <c r="Z42" s="351"/>
    </row>
    <row r="43" spans="1:26" ht="16.95" customHeight="1">
      <c r="A43" s="32"/>
      <c r="B43" s="1034"/>
      <c r="C43" s="1603"/>
      <c r="D43" s="1603"/>
      <c r="E43" s="1603"/>
      <c r="F43" s="1603"/>
      <c r="G43" s="1603"/>
      <c r="H43" s="1603"/>
      <c r="I43" s="1603"/>
      <c r="J43" s="1603"/>
      <c r="K43" s="1603"/>
      <c r="L43" s="1015"/>
      <c r="M43" s="339"/>
      <c r="N43" s="349" t="s">
        <v>3558</v>
      </c>
      <c r="O43" s="1663" t="s">
        <v>3559</v>
      </c>
      <c r="P43" s="1019"/>
      <c r="Q43" s="1019"/>
      <c r="R43" s="1019"/>
      <c r="S43" s="1019"/>
      <c r="T43" s="1019"/>
      <c r="U43" s="1019"/>
      <c r="V43" s="1019"/>
      <c r="W43" s="1019"/>
      <c r="X43" s="1019"/>
      <c r="Y43" s="1019"/>
      <c r="Z43" s="1091"/>
    </row>
    <row r="44" spans="1:26" ht="16.95" customHeight="1">
      <c r="A44" s="32"/>
      <c r="B44" s="1034"/>
      <c r="C44" s="1603"/>
      <c r="D44" s="1603"/>
      <c r="E44" s="1603"/>
      <c r="F44" s="1603"/>
      <c r="G44" s="1603"/>
      <c r="H44" s="1603"/>
      <c r="I44" s="1603"/>
      <c r="J44" s="1603"/>
      <c r="K44" s="1603"/>
      <c r="L44" s="1015"/>
      <c r="M44" s="32"/>
    </row>
    <row r="45" spans="1:26">
      <c r="B45" s="1034"/>
      <c r="C45" s="1603"/>
      <c r="D45" s="1603"/>
      <c r="E45" s="1603"/>
      <c r="F45" s="1603"/>
      <c r="G45" s="1603"/>
      <c r="H45" s="1603"/>
      <c r="I45" s="1603"/>
      <c r="J45" s="1603"/>
      <c r="K45" s="1603"/>
      <c r="L45" s="1015"/>
      <c r="O45" s="1208" t="s">
        <v>306</v>
      </c>
      <c r="P45" s="1603"/>
      <c r="Q45" s="1603"/>
      <c r="R45" s="1603"/>
      <c r="S45" s="1603"/>
      <c r="T45" s="1603"/>
      <c r="U45" s="1603"/>
      <c r="V45" s="1603"/>
      <c r="W45" s="1603"/>
      <c r="X45" s="1603"/>
      <c r="Y45" s="1603"/>
    </row>
    <row r="46" spans="1:26">
      <c r="B46" s="1034"/>
      <c r="C46" s="1603"/>
      <c r="D46" s="1603"/>
      <c r="E46" s="1603"/>
      <c r="F46" s="1603"/>
      <c r="G46" s="1603"/>
      <c r="H46" s="1603"/>
      <c r="I46" s="1603"/>
      <c r="J46" s="1603"/>
      <c r="K46" s="1603"/>
      <c r="L46" s="1015"/>
    </row>
    <row r="47" spans="1:26">
      <c r="B47" s="1034"/>
      <c r="C47" s="1603"/>
      <c r="D47" s="1603"/>
      <c r="E47" s="1603"/>
      <c r="F47" s="1603"/>
      <c r="G47" s="1603"/>
      <c r="H47" s="1603"/>
      <c r="I47" s="1603"/>
      <c r="J47" s="1603"/>
      <c r="K47" s="1603"/>
      <c r="L47" s="1015"/>
    </row>
    <row r="48" spans="1:26">
      <c r="B48" s="1034"/>
      <c r="C48" s="1603"/>
      <c r="D48" s="1603"/>
      <c r="E48" s="1603"/>
      <c r="F48" s="1603"/>
      <c r="G48" s="1603"/>
      <c r="H48" s="1603"/>
      <c r="I48" s="1603"/>
      <c r="J48" s="1603"/>
      <c r="K48" s="1603"/>
      <c r="L48" s="1015"/>
    </row>
    <row r="49" spans="2:26">
      <c r="B49" s="1034"/>
      <c r="C49" s="1603"/>
      <c r="D49" s="1603"/>
      <c r="E49" s="1603"/>
      <c r="F49" s="1603"/>
      <c r="G49" s="1603"/>
      <c r="H49" s="1603"/>
      <c r="I49" s="1603"/>
      <c r="J49" s="1603"/>
      <c r="K49" s="1603"/>
      <c r="L49" s="1015"/>
    </row>
    <row r="50" spans="2:26" ht="16.5" customHeight="1">
      <c r="B50" s="1034"/>
      <c r="C50" s="1603"/>
      <c r="D50" s="1603"/>
      <c r="E50" s="1603"/>
      <c r="F50" s="1603"/>
      <c r="G50" s="1603"/>
      <c r="H50" s="1603"/>
      <c r="I50" s="1603"/>
      <c r="J50" s="1603"/>
      <c r="K50" s="1603"/>
      <c r="L50" s="1015"/>
    </row>
    <row r="51" spans="2:26" ht="16.5" customHeight="1">
      <c r="B51" s="1034"/>
      <c r="C51" s="1603"/>
      <c r="D51" s="1603"/>
      <c r="E51" s="1603"/>
      <c r="F51" s="1603"/>
      <c r="G51" s="1603"/>
      <c r="H51" s="1603"/>
      <c r="I51" s="1603"/>
      <c r="J51" s="1603"/>
      <c r="K51" s="1603"/>
      <c r="L51" s="1015"/>
    </row>
    <row r="52" spans="2:26" ht="16.5" customHeight="1">
      <c r="B52" s="1034"/>
      <c r="C52" s="1603"/>
      <c r="D52" s="1603"/>
      <c r="E52" s="1603"/>
      <c r="F52" s="1603"/>
      <c r="G52" s="1603"/>
      <c r="H52" s="1603"/>
      <c r="I52" s="1603"/>
      <c r="J52" s="1603"/>
      <c r="K52" s="1603"/>
      <c r="L52" s="1015"/>
    </row>
    <row r="53" spans="2:26" ht="16.5" customHeight="1">
      <c r="B53" s="1034"/>
      <c r="C53" s="1603"/>
      <c r="D53" s="1603"/>
      <c r="E53" s="1603"/>
      <c r="F53" s="1603"/>
      <c r="G53" s="1603"/>
      <c r="H53" s="1603"/>
      <c r="I53" s="1603"/>
      <c r="J53" s="1603"/>
      <c r="K53" s="1603"/>
      <c r="L53" s="1015"/>
    </row>
    <row r="54" spans="2:26" ht="16.5" customHeight="1">
      <c r="B54" s="1034"/>
      <c r="C54" s="1603"/>
      <c r="D54" s="1603"/>
      <c r="E54" s="1603"/>
      <c r="F54" s="1603"/>
      <c r="G54" s="1603"/>
      <c r="H54" s="1603"/>
      <c r="I54" s="1603"/>
      <c r="J54" s="1603"/>
      <c r="K54" s="1603"/>
      <c r="L54" s="1015"/>
    </row>
    <row r="55" spans="2:26" ht="16.5" customHeight="1">
      <c r="B55" s="1034"/>
      <c r="C55" s="1603"/>
      <c r="D55" s="1603"/>
      <c r="E55" s="1603"/>
      <c r="F55" s="1603"/>
      <c r="G55" s="1603"/>
      <c r="H55" s="1603"/>
      <c r="I55" s="1603"/>
      <c r="J55" s="1603"/>
      <c r="K55" s="1603"/>
      <c r="L55" s="1015"/>
    </row>
    <row r="56" spans="2:26" ht="16.5" customHeight="1">
      <c r="B56" s="1034"/>
      <c r="C56" s="1603"/>
      <c r="D56" s="1603"/>
      <c r="E56" s="1603"/>
      <c r="F56" s="1603"/>
      <c r="G56" s="1603"/>
      <c r="H56" s="1603"/>
      <c r="I56" s="1603"/>
      <c r="J56" s="1603"/>
      <c r="K56" s="1603"/>
      <c r="L56" s="1015"/>
    </row>
    <row r="57" spans="2:26" ht="16.5" customHeight="1">
      <c r="B57" s="1034"/>
      <c r="C57" s="1603"/>
      <c r="D57" s="1603"/>
      <c r="E57" s="1603"/>
      <c r="F57" s="1603"/>
      <c r="G57" s="1603"/>
      <c r="H57" s="1603"/>
      <c r="I57" s="1603"/>
      <c r="J57" s="1603"/>
      <c r="K57" s="1603"/>
      <c r="L57" s="1015"/>
    </row>
    <row r="58" spans="2:26" ht="16.5" customHeight="1">
      <c r="B58" s="1034"/>
      <c r="C58" s="1603"/>
      <c r="D58" s="1603"/>
      <c r="E58" s="1603"/>
      <c r="F58" s="1603"/>
      <c r="G58" s="1603"/>
      <c r="H58" s="1603"/>
      <c r="I58" s="1603"/>
      <c r="J58" s="1603"/>
      <c r="K58" s="1603"/>
      <c r="L58" s="1015"/>
    </row>
    <row r="59" spans="2:26" ht="16.5" customHeight="1">
      <c r="B59" s="1034"/>
      <c r="C59" s="1603"/>
      <c r="D59" s="1603"/>
      <c r="E59" s="1603"/>
      <c r="F59" s="1603"/>
      <c r="G59" s="1603"/>
      <c r="H59" s="1603"/>
      <c r="I59" s="1603"/>
      <c r="J59" s="1603"/>
      <c r="K59" s="1603"/>
      <c r="L59" s="1015"/>
    </row>
    <row r="60" spans="2:26" ht="16.5" customHeight="1">
      <c r="B60" s="1090"/>
      <c r="C60" s="1019"/>
      <c r="D60" s="1019"/>
      <c r="E60" s="1019"/>
      <c r="F60" s="1019"/>
      <c r="G60" s="1019"/>
      <c r="H60" s="1019"/>
      <c r="I60" s="1019"/>
      <c r="J60" s="1019"/>
      <c r="K60" s="1019"/>
      <c r="L60" s="1091"/>
    </row>
    <row r="61" spans="2:26" ht="16.5" customHeight="1">
      <c r="B61" s="338"/>
      <c r="C61" s="338"/>
      <c r="D61" s="338"/>
      <c r="E61" s="338"/>
      <c r="F61" s="338"/>
      <c r="G61" s="338"/>
      <c r="H61" s="338"/>
      <c r="I61" s="338"/>
      <c r="J61" s="338"/>
      <c r="K61" s="338"/>
      <c r="L61" s="338"/>
    </row>
    <row r="62" spans="2:26" ht="16.5" customHeight="1"/>
    <row r="63" spans="2:26" ht="16.5" customHeight="1"/>
    <row r="64" spans="2:26" ht="16.5" customHeight="1">
      <c r="B64" s="1649" t="s">
        <v>3560</v>
      </c>
      <c r="C64" s="1088"/>
      <c r="D64" s="1088"/>
      <c r="E64" s="1088"/>
      <c r="F64" s="1088"/>
      <c r="G64" s="1088"/>
      <c r="H64" s="1088"/>
      <c r="I64" s="1088"/>
      <c r="J64" s="1088"/>
      <c r="K64" s="1088"/>
      <c r="L64" s="1088"/>
      <c r="M64" s="1088"/>
      <c r="N64" s="1088"/>
      <c r="O64" s="1088"/>
      <c r="P64" s="1088"/>
      <c r="Q64" s="1088"/>
      <c r="R64" s="1088"/>
      <c r="S64" s="1088"/>
      <c r="T64" s="1088"/>
      <c r="U64" s="1088"/>
      <c r="V64" s="1088"/>
      <c r="W64" s="1088"/>
      <c r="X64" s="1088"/>
      <c r="Y64" s="1088"/>
      <c r="Z64" s="1089"/>
    </row>
    <row r="65" spans="2:26" ht="16.5" customHeight="1">
      <c r="B65" s="1034"/>
      <c r="C65" s="1603"/>
      <c r="D65" s="1603"/>
      <c r="E65" s="1603"/>
      <c r="F65" s="1603"/>
      <c r="G65" s="1603"/>
      <c r="H65" s="1603"/>
      <c r="I65" s="1603"/>
      <c r="J65" s="1603"/>
      <c r="K65" s="1603"/>
      <c r="L65" s="1603"/>
      <c r="M65" s="1603"/>
      <c r="N65" s="1603"/>
      <c r="O65" s="1603"/>
      <c r="P65" s="1603"/>
      <c r="Q65" s="1603"/>
      <c r="R65" s="1603"/>
      <c r="S65" s="1603"/>
      <c r="T65" s="1603"/>
      <c r="U65" s="1603"/>
      <c r="V65" s="1603"/>
      <c r="W65" s="1603"/>
      <c r="X65" s="1603"/>
      <c r="Y65" s="1603"/>
      <c r="Z65" s="1015"/>
    </row>
    <row r="66" spans="2:26" ht="16.5" customHeight="1">
      <c r="B66" s="1090"/>
      <c r="C66" s="1019"/>
      <c r="D66" s="1019"/>
      <c r="E66" s="1019"/>
      <c r="F66" s="1019"/>
      <c r="G66" s="1019"/>
      <c r="H66" s="1019"/>
      <c r="I66" s="1019"/>
      <c r="J66" s="1019"/>
      <c r="K66" s="1019"/>
      <c r="L66" s="1019"/>
      <c r="M66" s="1019"/>
      <c r="N66" s="1019"/>
      <c r="O66" s="1019"/>
      <c r="P66" s="1019"/>
      <c r="Q66" s="1019"/>
      <c r="R66" s="1019"/>
      <c r="S66" s="1019"/>
      <c r="T66" s="1019"/>
      <c r="U66" s="1019"/>
      <c r="V66" s="1019"/>
      <c r="W66" s="1019"/>
      <c r="X66" s="1019"/>
      <c r="Y66" s="1019"/>
      <c r="Z66" s="1091"/>
    </row>
    <row r="67" spans="2:26" ht="16.5" customHeight="1"/>
    <row r="68" spans="2:26" ht="16.5" customHeight="1">
      <c r="B68" s="1486" t="s">
        <v>3561</v>
      </c>
      <c r="C68" s="1088"/>
      <c r="D68" s="1088"/>
      <c r="E68" s="1088"/>
      <c r="F68" s="1088"/>
      <c r="G68" s="1088"/>
      <c r="H68" s="1088"/>
      <c r="I68" s="1088"/>
      <c r="J68" s="1088"/>
      <c r="K68" s="1088"/>
      <c r="L68" s="1088"/>
      <c r="M68" s="1088"/>
      <c r="N68" s="1088"/>
      <c r="O68" s="1088"/>
      <c r="P68" s="1088"/>
      <c r="Q68" s="1088"/>
      <c r="R68" s="1088"/>
      <c r="S68" s="1088"/>
      <c r="T68" s="1088"/>
      <c r="U68" s="1088"/>
      <c r="V68" s="1088"/>
      <c r="W68" s="1088"/>
      <c r="X68" s="1088"/>
      <c r="Y68" s="1088"/>
      <c r="Z68" s="1089"/>
    </row>
    <row r="69" spans="2:26" ht="16.5" customHeight="1">
      <c r="B69" s="1090"/>
      <c r="C69" s="1019"/>
      <c r="D69" s="1019"/>
      <c r="E69" s="1019"/>
      <c r="F69" s="1019"/>
      <c r="G69" s="1019"/>
      <c r="H69" s="1019"/>
      <c r="I69" s="1019"/>
      <c r="J69" s="1019"/>
      <c r="K69" s="1019"/>
      <c r="L69" s="1019"/>
      <c r="M69" s="1019"/>
      <c r="N69" s="1019"/>
      <c r="O69" s="1019"/>
      <c r="P69" s="1019"/>
      <c r="Q69" s="1019"/>
      <c r="R69" s="1019"/>
      <c r="S69" s="1019"/>
      <c r="T69" s="1019"/>
      <c r="U69" s="1019"/>
      <c r="V69" s="1019"/>
      <c r="W69" s="1019"/>
      <c r="X69" s="1019"/>
      <c r="Y69" s="1019"/>
      <c r="Z69" s="1091"/>
    </row>
    <row r="70" spans="2:26" ht="16.5" customHeight="1">
      <c r="B70" s="1605" t="s">
        <v>3562</v>
      </c>
      <c r="C70" s="1088"/>
      <c r="D70" s="1088"/>
      <c r="E70" s="1088"/>
      <c r="F70" s="1088"/>
      <c r="G70" s="1088"/>
      <c r="H70" s="1088"/>
      <c r="I70" s="1088"/>
      <c r="J70" s="1088"/>
      <c r="K70" s="1088"/>
      <c r="L70" s="1088"/>
      <c r="M70" s="1089"/>
      <c r="O70" s="1643" t="s">
        <v>3563</v>
      </c>
      <c r="P70" s="1603"/>
      <c r="Q70" s="1603"/>
      <c r="R70" s="1603"/>
      <c r="S70" s="1603"/>
      <c r="T70" s="1603"/>
      <c r="U70" s="1603"/>
      <c r="V70" s="1603"/>
      <c r="W70" s="1603"/>
      <c r="X70" s="1603"/>
      <c r="Y70" s="1603"/>
      <c r="Z70" s="1015"/>
    </row>
    <row r="71" spans="2:26" ht="16.5" customHeight="1">
      <c r="B71" s="1034"/>
      <c r="C71" s="1603"/>
      <c r="D71" s="1603"/>
      <c r="E71" s="1603"/>
      <c r="F71" s="1603"/>
      <c r="G71" s="1603"/>
      <c r="H71" s="1603"/>
      <c r="I71" s="1603"/>
      <c r="J71" s="1603"/>
      <c r="K71" s="1603"/>
      <c r="L71" s="1603"/>
      <c r="M71" s="1015"/>
      <c r="O71" s="1624"/>
      <c r="P71" s="1625"/>
      <c r="Q71" s="1625"/>
      <c r="R71" s="1625"/>
      <c r="S71" s="1625"/>
      <c r="T71" s="1625"/>
      <c r="U71" s="1625"/>
      <c r="V71" s="1625"/>
      <c r="W71" s="1625"/>
      <c r="X71" s="1625"/>
      <c r="Y71" s="1625"/>
      <c r="Z71" s="1644"/>
    </row>
    <row r="72" spans="2:26" ht="16.5" customHeight="1">
      <c r="B72" s="1612" t="s">
        <v>3564</v>
      </c>
      <c r="C72" s="1613"/>
      <c r="D72" s="1613"/>
      <c r="E72" s="1613"/>
      <c r="F72" s="1613"/>
      <c r="G72" s="1613"/>
      <c r="H72" s="1627" t="s">
        <v>3565</v>
      </c>
      <c r="I72" s="1613"/>
      <c r="J72" s="1613"/>
      <c r="K72" s="1613"/>
      <c r="L72" s="1613"/>
      <c r="M72" s="1628"/>
      <c r="O72" s="1634" t="s">
        <v>3566</v>
      </c>
      <c r="P72" s="1603"/>
      <c r="Q72" s="1603"/>
      <c r="R72" s="1603"/>
      <c r="S72" s="1603"/>
      <c r="T72" s="1635"/>
      <c r="U72" s="1626" t="s">
        <v>3567</v>
      </c>
      <c r="V72" s="1603"/>
      <c r="W72" s="1603"/>
      <c r="X72" s="1603"/>
      <c r="Y72" s="1603"/>
      <c r="Z72" s="1015"/>
    </row>
    <row r="73" spans="2:26" ht="16.5" customHeight="1">
      <c r="B73" s="1034"/>
      <c r="C73" s="1603"/>
      <c r="D73" s="1603"/>
      <c r="E73" s="1603"/>
      <c r="F73" s="1603"/>
      <c r="G73" s="1603"/>
      <c r="H73" s="1629"/>
      <c r="I73" s="1603"/>
      <c r="J73" s="1603"/>
      <c r="K73" s="1603"/>
      <c r="L73" s="1603"/>
      <c r="M73" s="1015"/>
      <c r="O73" s="1034"/>
      <c r="P73" s="1603"/>
      <c r="Q73" s="1603"/>
      <c r="R73" s="1603"/>
      <c r="S73" s="1603"/>
      <c r="T73" s="1635"/>
      <c r="U73" s="1603"/>
      <c r="V73" s="1603"/>
      <c r="W73" s="1603"/>
      <c r="X73" s="1603"/>
      <c r="Y73" s="1603"/>
      <c r="Z73" s="1015"/>
    </row>
    <row r="74" spans="2:26" ht="16.5" customHeight="1">
      <c r="B74" s="1034"/>
      <c r="C74" s="1603"/>
      <c r="D74" s="1603"/>
      <c r="E74" s="1603"/>
      <c r="F74" s="1603"/>
      <c r="G74" s="1603"/>
      <c r="H74" s="1629"/>
      <c r="I74" s="1603"/>
      <c r="J74" s="1603"/>
      <c r="K74" s="1603"/>
      <c r="L74" s="1603"/>
      <c r="M74" s="1015"/>
      <c r="O74" s="1034"/>
      <c r="P74" s="1603"/>
      <c r="Q74" s="1603"/>
      <c r="R74" s="1603"/>
      <c r="S74" s="1603"/>
      <c r="T74" s="1635"/>
      <c r="U74" s="1603"/>
      <c r="V74" s="1603"/>
      <c r="W74" s="1603"/>
      <c r="X74" s="1603"/>
      <c r="Y74" s="1603"/>
      <c r="Z74" s="1015"/>
    </row>
    <row r="75" spans="2:26" ht="16.5" customHeight="1">
      <c r="B75" s="1623" t="s">
        <v>3568</v>
      </c>
      <c r="C75" s="1603"/>
      <c r="D75" s="1603"/>
      <c r="E75" s="1603"/>
      <c r="F75" s="1603"/>
      <c r="G75" s="1603"/>
      <c r="H75" s="1647" t="s">
        <v>3569</v>
      </c>
      <c r="I75" s="1603"/>
      <c r="J75" s="1603"/>
      <c r="K75" s="1603"/>
      <c r="L75" s="1603"/>
      <c r="M75" s="1015"/>
      <c r="O75" s="1651" t="s">
        <v>3570</v>
      </c>
      <c r="P75" s="1603"/>
      <c r="Q75" s="1603"/>
      <c r="R75" s="1603"/>
      <c r="S75" s="1603"/>
      <c r="T75" s="1635"/>
      <c r="U75" s="1654" t="s">
        <v>3571</v>
      </c>
      <c r="V75" s="1603"/>
      <c r="W75" s="1603"/>
      <c r="X75" s="1603"/>
      <c r="Y75" s="1603"/>
      <c r="Z75" s="1015"/>
    </row>
    <row r="76" spans="2:26" ht="16.5" customHeight="1">
      <c r="B76" s="1624"/>
      <c r="C76" s="1625"/>
      <c r="D76" s="1625"/>
      <c r="E76" s="1625"/>
      <c r="F76" s="1625"/>
      <c r="G76" s="1625"/>
      <c r="H76" s="1648"/>
      <c r="I76" s="1625"/>
      <c r="J76" s="1625"/>
      <c r="K76" s="1625"/>
      <c r="L76" s="1625"/>
      <c r="M76" s="1644"/>
      <c r="O76" s="1624"/>
      <c r="P76" s="1625"/>
      <c r="Q76" s="1625"/>
      <c r="R76" s="1625"/>
      <c r="S76" s="1625"/>
      <c r="T76" s="1652"/>
      <c r="U76" s="1625"/>
      <c r="V76" s="1625"/>
      <c r="W76" s="1625"/>
      <c r="X76" s="1625"/>
      <c r="Y76" s="1625"/>
      <c r="Z76" s="1644"/>
    </row>
    <row r="77" spans="2:26" ht="16.5" customHeight="1">
      <c r="B77" s="1607" t="s">
        <v>3572</v>
      </c>
      <c r="C77" s="1603"/>
      <c r="D77" s="1603"/>
      <c r="E77" s="1603"/>
      <c r="F77" s="1603"/>
      <c r="G77" s="1603"/>
      <c r="H77" s="1603"/>
      <c r="I77" s="1603"/>
      <c r="J77" s="1603"/>
      <c r="K77" s="1603"/>
      <c r="L77" s="1603"/>
      <c r="M77" s="1015"/>
      <c r="O77" s="1607" t="s">
        <v>3573</v>
      </c>
      <c r="P77" s="1603"/>
      <c r="Q77" s="1603"/>
      <c r="R77" s="1603"/>
      <c r="S77" s="1603"/>
      <c r="T77" s="1603"/>
      <c r="U77" s="1603"/>
      <c r="V77" s="1603"/>
      <c r="W77" s="1603"/>
      <c r="X77" s="1603"/>
      <c r="Y77" s="1603"/>
      <c r="Z77" s="1015"/>
    </row>
    <row r="78" spans="2:26" ht="16.5" customHeight="1">
      <c r="B78" s="1034"/>
      <c r="C78" s="1603"/>
      <c r="D78" s="1603"/>
      <c r="E78" s="1603"/>
      <c r="F78" s="1603"/>
      <c r="G78" s="1603"/>
      <c r="H78" s="1603"/>
      <c r="I78" s="1603"/>
      <c r="J78" s="1603"/>
      <c r="K78" s="1603"/>
      <c r="L78" s="1603"/>
      <c r="M78" s="1015"/>
      <c r="O78" s="1034"/>
      <c r="P78" s="1603"/>
      <c r="Q78" s="1603"/>
      <c r="R78" s="1603"/>
      <c r="S78" s="1603"/>
      <c r="T78" s="1603"/>
      <c r="U78" s="1603"/>
      <c r="V78" s="1603"/>
      <c r="W78" s="1603"/>
      <c r="X78" s="1603"/>
      <c r="Y78" s="1603"/>
      <c r="Z78" s="1015"/>
    </row>
    <row r="79" spans="2:26" ht="16.5" customHeight="1">
      <c r="B79" s="1034"/>
      <c r="C79" s="1603"/>
      <c r="D79" s="1603"/>
      <c r="E79" s="1603"/>
      <c r="F79" s="1603"/>
      <c r="G79" s="1603"/>
      <c r="H79" s="1603"/>
      <c r="I79" s="1603"/>
      <c r="J79" s="1603"/>
      <c r="K79" s="1603"/>
      <c r="L79" s="1603"/>
      <c r="M79" s="1015"/>
      <c r="O79" s="1034"/>
      <c r="P79" s="1603"/>
      <c r="Q79" s="1603"/>
      <c r="R79" s="1603"/>
      <c r="S79" s="1603"/>
      <c r="T79" s="1603"/>
      <c r="U79" s="1603"/>
      <c r="V79" s="1603"/>
      <c r="W79" s="1603"/>
      <c r="X79" s="1603"/>
      <c r="Y79" s="1603"/>
      <c r="Z79" s="1015"/>
    </row>
    <row r="80" spans="2:26" ht="16.5" customHeight="1">
      <c r="B80" s="1090"/>
      <c r="C80" s="1019"/>
      <c r="D80" s="1019"/>
      <c r="E80" s="1019"/>
      <c r="F80" s="1019"/>
      <c r="G80" s="1019"/>
      <c r="H80" s="1019"/>
      <c r="I80" s="1019"/>
      <c r="J80" s="1019"/>
      <c r="K80" s="1019"/>
      <c r="L80" s="1019"/>
      <c r="M80" s="1091"/>
      <c r="O80" s="1090"/>
      <c r="P80" s="1019"/>
      <c r="Q80" s="1019"/>
      <c r="R80" s="1019"/>
      <c r="S80" s="1019"/>
      <c r="T80" s="1019"/>
      <c r="U80" s="1019"/>
      <c r="V80" s="1019"/>
      <c r="W80" s="1019"/>
      <c r="X80" s="1019"/>
      <c r="Y80" s="1019"/>
      <c r="Z80" s="1091"/>
    </row>
    <row r="81" spans="2:26" ht="16.5" customHeight="1">
      <c r="B81" s="1622" t="s">
        <v>3574</v>
      </c>
      <c r="C81" s="1603"/>
      <c r="D81" s="1603"/>
      <c r="E81" s="1603"/>
      <c r="F81" s="1603"/>
      <c r="G81" s="1603"/>
      <c r="H81" s="1603"/>
      <c r="I81" s="1603"/>
      <c r="J81" s="1015"/>
      <c r="K81" s="355"/>
      <c r="L81" s="355"/>
      <c r="M81" s="356"/>
      <c r="N81" s="356"/>
      <c r="O81" s="356"/>
      <c r="P81" s="356"/>
      <c r="Q81" s="356"/>
      <c r="R81" s="356"/>
      <c r="S81" s="356"/>
      <c r="T81" s="356"/>
      <c r="U81" s="356"/>
      <c r="V81" s="356"/>
      <c r="W81" s="356"/>
      <c r="X81" s="356"/>
      <c r="Y81" s="356"/>
      <c r="Z81" s="356"/>
    </row>
    <row r="82" spans="2:26" ht="16.5" customHeight="1">
      <c r="B82" s="1034"/>
      <c r="C82" s="1603"/>
      <c r="D82" s="1603"/>
      <c r="E82" s="1603"/>
      <c r="F82" s="1603"/>
      <c r="G82" s="1603"/>
      <c r="H82" s="1603"/>
      <c r="I82" s="1603"/>
      <c r="J82" s="1015"/>
      <c r="K82" s="355"/>
      <c r="L82" s="355"/>
      <c r="N82"/>
      <c r="O82"/>
      <c r="P82"/>
      <c r="Q82"/>
      <c r="R82"/>
      <c r="S82"/>
      <c r="T82"/>
      <c r="U82"/>
      <c r="V82"/>
      <c r="W82"/>
      <c r="X82"/>
      <c r="Y82"/>
      <c r="Z82"/>
    </row>
    <row r="83" spans="2:26" ht="16.5" customHeight="1">
      <c r="B83" s="1034"/>
      <c r="C83" s="1603"/>
      <c r="D83" s="1603"/>
      <c r="E83" s="1603"/>
      <c r="F83" s="1603"/>
      <c r="G83" s="1603"/>
      <c r="H83" s="1603"/>
      <c r="I83" s="1603"/>
      <c r="J83" s="1015"/>
      <c r="K83" s="355"/>
      <c r="L83" s="355"/>
      <c r="N83"/>
      <c r="O83"/>
      <c r="P83"/>
      <c r="Q83"/>
      <c r="R83"/>
      <c r="S83"/>
      <c r="T83"/>
      <c r="U83"/>
      <c r="V83"/>
      <c r="W83"/>
      <c r="X83"/>
      <c r="Y83"/>
      <c r="Z83"/>
    </row>
    <row r="84" spans="2:26" ht="16.5" customHeight="1">
      <c r="B84" s="1650" t="s">
        <v>3575</v>
      </c>
      <c r="C84" s="1603"/>
      <c r="D84" s="1603"/>
      <c r="E84" s="1603"/>
      <c r="F84" s="1603"/>
      <c r="G84" s="1603"/>
      <c r="H84" s="1603"/>
      <c r="I84" s="1603"/>
      <c r="J84" s="1015"/>
      <c r="K84" s="357"/>
      <c r="L84" s="357"/>
      <c r="M84" s="335"/>
      <c r="N84" s="335"/>
      <c r="O84" s="335"/>
      <c r="P84" s="335"/>
      <c r="Q84" s="335"/>
      <c r="R84" s="335"/>
      <c r="S84" s="335"/>
    </row>
    <row r="85" spans="2:26" ht="16.5" customHeight="1">
      <c r="B85" s="1653" t="s">
        <v>3576</v>
      </c>
      <c r="C85" s="1019"/>
      <c r="D85" s="1019"/>
      <c r="E85" s="1019"/>
      <c r="F85" s="1019"/>
      <c r="G85" s="1019"/>
      <c r="H85" s="1019"/>
      <c r="I85" s="1019"/>
      <c r="J85" s="1091"/>
      <c r="K85" s="334"/>
      <c r="L85" s="334"/>
      <c r="M85" s="1"/>
      <c r="N85" s="1"/>
      <c r="O85" s="1"/>
      <c r="P85" s="1"/>
      <c r="Q85" s="1"/>
      <c r="R85" s="1"/>
      <c r="S85" s="1"/>
    </row>
    <row r="86" spans="2:26" ht="16.5" customHeight="1">
      <c r="M86" s="1"/>
      <c r="N86" s="1"/>
      <c r="O86" s="1"/>
      <c r="P86" s="1"/>
      <c r="Q86" s="1"/>
      <c r="R86" s="1"/>
      <c r="S86" s="1"/>
    </row>
    <row r="87" spans="2:26" ht="16.5" customHeight="1">
      <c r="M87" s="1"/>
      <c r="N87" s="1"/>
      <c r="O87" s="1"/>
      <c r="P87" s="1"/>
      <c r="Q87" s="1"/>
      <c r="R87" s="1"/>
      <c r="S87" s="1"/>
    </row>
    <row r="88" spans="2:26" ht="16.5" customHeight="1">
      <c r="M88" s="1"/>
      <c r="N88" s="1"/>
      <c r="O88" s="1"/>
      <c r="P88" s="1"/>
      <c r="Q88" s="1"/>
      <c r="R88" s="1"/>
      <c r="S88" s="1"/>
    </row>
    <row r="89" spans="2:26" ht="16.5" customHeight="1">
      <c r="M89" s="1"/>
      <c r="N89" s="1"/>
      <c r="O89" s="1"/>
      <c r="P89" s="1"/>
      <c r="Q89" s="1"/>
      <c r="R89" s="1"/>
      <c r="S89" s="1"/>
    </row>
    <row r="90" spans="2:26" ht="16.5" customHeight="1">
      <c r="M90" s="1"/>
      <c r="N90" s="1"/>
      <c r="O90" s="1"/>
      <c r="P90" s="1"/>
      <c r="Q90" s="1"/>
      <c r="R90" s="1"/>
      <c r="S90" s="1"/>
    </row>
    <row r="91" spans="2:26" ht="16.5" customHeight="1">
      <c r="M91" s="1"/>
      <c r="N91" s="1"/>
      <c r="O91" s="1"/>
      <c r="P91" s="1"/>
      <c r="Q91" s="1"/>
      <c r="R91" s="1"/>
      <c r="S91" s="1"/>
    </row>
    <row r="92" spans="2:26" ht="16.5" customHeight="1">
      <c r="M92" s="1"/>
      <c r="N92" s="1"/>
      <c r="O92" s="1"/>
      <c r="P92" s="1"/>
      <c r="Q92" s="1"/>
      <c r="R92" s="1"/>
      <c r="S92" s="1"/>
    </row>
    <row r="93" spans="2:26" ht="16.5" customHeight="1">
      <c r="M93" s="1"/>
      <c r="N93" s="1"/>
      <c r="O93" s="1"/>
      <c r="P93" s="1"/>
      <c r="Q93" s="1"/>
      <c r="R93" s="1"/>
      <c r="S93" s="1"/>
    </row>
    <row r="94" spans="2:26" ht="16.5" customHeight="1">
      <c r="B94" s="1642" t="s">
        <v>3577</v>
      </c>
      <c r="C94" s="1088"/>
      <c r="D94" s="1088"/>
      <c r="E94" s="1088"/>
      <c r="F94" s="1088"/>
      <c r="G94" s="1088"/>
      <c r="H94" s="1088"/>
      <c r="I94" s="1088"/>
      <c r="J94" s="1089"/>
      <c r="K94" s="354"/>
      <c r="L94" s="354"/>
      <c r="O94" s="1"/>
      <c r="P94" s="1"/>
      <c r="Q94" s="1"/>
      <c r="R94" s="1"/>
      <c r="S94" s="1"/>
      <c r="T94" s="1"/>
      <c r="U94" s="1"/>
      <c r="V94" s="1"/>
      <c r="W94" s="1"/>
      <c r="X94" s="1"/>
      <c r="Y94" s="1"/>
      <c r="Z94" s="1"/>
    </row>
    <row r="95" spans="2:26" ht="16.5" customHeight="1">
      <c r="B95" s="1034"/>
      <c r="C95" s="1603"/>
      <c r="D95" s="1603"/>
      <c r="E95" s="1603"/>
      <c r="F95" s="1603"/>
      <c r="G95" s="1603"/>
      <c r="H95" s="1603"/>
      <c r="I95" s="1603"/>
      <c r="J95" s="1015"/>
      <c r="K95" s="354"/>
      <c r="L95" s="354"/>
    </row>
    <row r="96" spans="2:26" ht="16.5" customHeight="1">
      <c r="B96" s="1646" t="s">
        <v>3578</v>
      </c>
      <c r="C96" s="1603"/>
      <c r="D96" s="1603"/>
      <c r="E96" s="1603"/>
      <c r="F96" s="1603"/>
      <c r="G96" s="1603"/>
      <c r="H96" s="1603"/>
      <c r="I96" s="1603"/>
      <c r="J96" s="1015"/>
      <c r="K96" s="27"/>
      <c r="L96" s="27"/>
    </row>
    <row r="97" spans="2:10" ht="16.5" customHeight="1">
      <c r="B97" s="1034"/>
      <c r="C97" s="1603"/>
      <c r="D97" s="1603"/>
      <c r="E97" s="1603"/>
      <c r="F97" s="1603"/>
      <c r="G97" s="1603"/>
      <c r="H97" s="1603"/>
      <c r="I97" s="1603"/>
      <c r="J97" s="1015"/>
    </row>
    <row r="98" spans="2:10" ht="16.5" customHeight="1">
      <c r="B98" s="1034"/>
      <c r="C98" s="1603"/>
      <c r="D98" s="1603"/>
      <c r="E98" s="1603"/>
      <c r="F98" s="1603"/>
      <c r="G98" s="1603"/>
      <c r="H98" s="1603"/>
      <c r="I98" s="1603"/>
      <c r="J98" s="1015"/>
    </row>
    <row r="99" spans="2:10" ht="16.5" customHeight="1">
      <c r="B99" s="1034"/>
      <c r="C99" s="1603"/>
      <c r="D99" s="1603"/>
      <c r="E99" s="1603"/>
      <c r="F99" s="1603"/>
      <c r="G99" s="1603"/>
      <c r="H99" s="1603"/>
      <c r="I99" s="1603"/>
      <c r="J99" s="1015"/>
    </row>
    <row r="100" spans="2:10" ht="16.5" customHeight="1">
      <c r="B100" s="1034"/>
      <c r="C100" s="1603"/>
      <c r="D100" s="1603"/>
      <c r="E100" s="1603"/>
      <c r="F100" s="1603"/>
      <c r="G100" s="1603"/>
      <c r="H100" s="1603"/>
      <c r="I100" s="1603"/>
      <c r="J100" s="1015"/>
    </row>
    <row r="101" spans="2:10" ht="16.5" customHeight="1">
      <c r="B101" s="1034"/>
      <c r="C101" s="1603"/>
      <c r="D101" s="1603"/>
      <c r="E101" s="1603"/>
      <c r="F101" s="1603"/>
      <c r="G101" s="1603"/>
      <c r="H101" s="1603"/>
      <c r="I101" s="1603"/>
      <c r="J101" s="1015"/>
    </row>
    <row r="102" spans="2:10" ht="16.5" customHeight="1">
      <c r="B102" s="1661" t="s">
        <v>3579</v>
      </c>
      <c r="C102" s="1613"/>
      <c r="D102" s="1613"/>
      <c r="E102" s="1613"/>
      <c r="F102" s="1613"/>
      <c r="G102" s="1613"/>
      <c r="H102" s="1613"/>
      <c r="I102" s="1613"/>
      <c r="J102" s="1628"/>
    </row>
    <row r="103" spans="2:10" s="225" customFormat="1" ht="16.5" customHeight="1">
      <c r="B103" s="1034"/>
      <c r="C103" s="1662"/>
      <c r="D103" s="1662"/>
      <c r="E103" s="1662"/>
      <c r="F103" s="1662"/>
      <c r="G103" s="1662"/>
      <c r="H103" s="1662"/>
      <c r="I103" s="1662"/>
      <c r="J103" s="1015"/>
    </row>
    <row r="104" spans="2:10" ht="16.5" customHeight="1">
      <c r="B104" s="1034"/>
      <c r="C104" s="1603"/>
      <c r="D104" s="1603"/>
      <c r="E104" s="1603"/>
      <c r="F104" s="1603"/>
      <c r="G104" s="1603"/>
      <c r="H104" s="1603"/>
      <c r="I104" s="1603"/>
      <c r="J104" s="1015"/>
    </row>
    <row r="105" spans="2:10" ht="16.5" customHeight="1">
      <c r="B105" s="1090"/>
      <c r="C105" s="1019"/>
      <c r="D105" s="1019"/>
      <c r="E105" s="1019"/>
      <c r="F105" s="1019"/>
      <c r="G105" s="1019"/>
      <c r="H105" s="1019"/>
      <c r="I105" s="1019"/>
      <c r="J105" s="1091"/>
    </row>
    <row r="113" spans="2:26" ht="16.5" customHeight="1">
      <c r="B113" s="1649" t="s">
        <v>3580</v>
      </c>
      <c r="C113" s="1088"/>
      <c r="D113" s="1088"/>
      <c r="E113" s="1088"/>
      <c r="F113" s="1088"/>
      <c r="G113" s="1088"/>
      <c r="H113" s="1088"/>
      <c r="I113" s="1088"/>
      <c r="J113" s="1088"/>
      <c r="K113" s="1088"/>
      <c r="L113" s="1088"/>
      <c r="M113" s="1088"/>
      <c r="N113" s="1088"/>
      <c r="O113" s="1088"/>
      <c r="P113" s="1088"/>
      <c r="Q113" s="1088"/>
      <c r="R113" s="1088"/>
      <c r="S113" s="1088"/>
      <c r="T113" s="1088"/>
      <c r="U113" s="1088"/>
      <c r="V113" s="1088"/>
      <c r="W113" s="1088"/>
      <c r="X113" s="1088"/>
      <c r="Y113" s="1088"/>
      <c r="Z113" s="1089"/>
    </row>
    <row r="114" spans="2:26" ht="16.5" customHeight="1">
      <c r="B114" s="1034"/>
      <c r="C114" s="1603"/>
      <c r="D114" s="1603"/>
      <c r="E114" s="1603"/>
      <c r="F114" s="1603"/>
      <c r="G114" s="1603"/>
      <c r="H114" s="1603"/>
      <c r="I114" s="1603"/>
      <c r="J114" s="1603"/>
      <c r="K114" s="1603"/>
      <c r="L114" s="1603"/>
      <c r="M114" s="1603"/>
      <c r="N114" s="1603"/>
      <c r="O114" s="1603"/>
      <c r="P114" s="1603"/>
      <c r="Q114" s="1603"/>
      <c r="R114" s="1603"/>
      <c r="S114" s="1603"/>
      <c r="T114" s="1603"/>
      <c r="U114" s="1603"/>
      <c r="V114" s="1603"/>
      <c r="W114" s="1603"/>
      <c r="X114" s="1603"/>
      <c r="Y114" s="1603"/>
      <c r="Z114" s="1015"/>
    </row>
    <row r="115" spans="2:26" ht="16.5" customHeight="1">
      <c r="B115" s="1090"/>
      <c r="C115" s="1019"/>
      <c r="D115" s="1019"/>
      <c r="E115" s="1019"/>
      <c r="F115" s="1019"/>
      <c r="G115" s="1019"/>
      <c r="H115" s="1019"/>
      <c r="I115" s="1019"/>
      <c r="J115" s="1019"/>
      <c r="K115" s="1019"/>
      <c r="L115" s="1019"/>
      <c r="M115" s="1019"/>
      <c r="N115" s="1019"/>
      <c r="O115" s="1019"/>
      <c r="P115" s="1019"/>
      <c r="Q115" s="1019"/>
      <c r="R115" s="1019"/>
      <c r="S115" s="1019"/>
      <c r="T115" s="1019"/>
      <c r="U115" s="1019"/>
      <c r="V115" s="1019"/>
      <c r="W115" s="1019"/>
      <c r="X115" s="1019"/>
      <c r="Y115" s="1019"/>
      <c r="Z115" s="1091"/>
    </row>
    <row r="116" spans="2:26" ht="27.15" customHeight="1">
      <c r="B116" s="183"/>
      <c r="C116" s="183"/>
      <c r="D116" s="183"/>
      <c r="E116" s="183"/>
      <c r="F116" s="183"/>
      <c r="G116" s="183"/>
      <c r="H116" s="183"/>
      <c r="I116" s="183"/>
      <c r="J116" s="183"/>
      <c r="K116" s="183"/>
      <c r="L116" s="183"/>
      <c r="M116" s="183"/>
      <c r="N116" s="183"/>
      <c r="O116" s="183"/>
      <c r="P116" s="183"/>
      <c r="Q116" s="183"/>
      <c r="R116" s="183"/>
      <c r="S116" s="183"/>
      <c r="T116" s="183"/>
      <c r="U116" s="183"/>
      <c r="V116" s="183"/>
      <c r="W116" s="183"/>
      <c r="X116" s="183"/>
      <c r="Y116" s="183"/>
      <c r="Z116" s="183"/>
    </row>
    <row r="117" spans="2:26" ht="16.5" customHeight="1">
      <c r="B117" s="1642" t="s">
        <v>3581</v>
      </c>
      <c r="C117" s="1088"/>
      <c r="D117" s="1088"/>
      <c r="E117" s="1089"/>
      <c r="F117" s="354"/>
      <c r="G117" s="1642" t="s">
        <v>3582</v>
      </c>
      <c r="H117" s="1088"/>
      <c r="I117" s="1088"/>
      <c r="J117" s="1089"/>
      <c r="K117" s="358"/>
      <c r="L117" s="1642" t="s">
        <v>3583</v>
      </c>
      <c r="M117" s="1088"/>
      <c r="N117" s="1088"/>
      <c r="O117" s="1088"/>
      <c r="P117" s="1088"/>
      <c r="Q117" s="1088"/>
      <c r="R117" s="1088"/>
      <c r="S117" s="1089"/>
      <c r="T117" s="183"/>
      <c r="U117" s="1642" t="s">
        <v>3584</v>
      </c>
      <c r="V117" s="1088"/>
      <c r="W117" s="1088"/>
      <c r="X117" s="1088"/>
      <c r="Y117" s="1088"/>
      <c r="Z117" s="1089"/>
    </row>
    <row r="118" spans="2:26" ht="16.5" customHeight="1">
      <c r="B118" s="1034"/>
      <c r="C118" s="1603"/>
      <c r="D118" s="1603"/>
      <c r="E118" s="1015"/>
      <c r="F118" s="354"/>
      <c r="G118" s="1034"/>
      <c r="H118" s="1603"/>
      <c r="I118" s="1603"/>
      <c r="J118" s="1015"/>
      <c r="K118" s="358"/>
      <c r="L118" s="1034"/>
      <c r="M118" s="1603"/>
      <c r="N118" s="1603"/>
      <c r="O118" s="1603"/>
      <c r="P118" s="1603"/>
      <c r="Q118" s="1603"/>
      <c r="R118" s="1603"/>
      <c r="S118" s="1015"/>
      <c r="T118" s="183"/>
      <c r="U118" s="1034"/>
      <c r="V118" s="1603"/>
      <c r="W118" s="1603"/>
      <c r="X118" s="1603"/>
      <c r="Y118" s="1603"/>
      <c r="Z118" s="1015"/>
    </row>
    <row r="119" spans="2:26" ht="16.5" customHeight="1">
      <c r="B119" s="1614" t="s">
        <v>3585</v>
      </c>
      <c r="C119" s="1603"/>
      <c r="D119" s="1603"/>
      <c r="E119" s="1015"/>
      <c r="F119" s="180"/>
      <c r="G119" s="1614" t="s">
        <v>3586</v>
      </c>
      <c r="H119" s="1603"/>
      <c r="I119" s="1603"/>
      <c r="J119" s="1015"/>
      <c r="K119" s="183"/>
      <c r="L119" s="1618" t="s">
        <v>3587</v>
      </c>
      <c r="M119" s="1603"/>
      <c r="N119" s="1603"/>
      <c r="O119" s="1603"/>
      <c r="P119" s="1603"/>
      <c r="Q119" s="1603"/>
      <c r="R119" s="1603"/>
      <c r="S119" s="1015"/>
      <c r="T119" s="183"/>
      <c r="U119" s="1614" t="s">
        <v>3588</v>
      </c>
      <c r="V119" s="1603"/>
      <c r="W119" s="1603"/>
      <c r="X119" s="1603"/>
      <c r="Y119" s="1603"/>
      <c r="Z119" s="1015"/>
    </row>
    <row r="120" spans="2:26" ht="16.5" customHeight="1">
      <c r="B120" s="1034"/>
      <c r="C120" s="1603"/>
      <c r="D120" s="1603"/>
      <c r="E120" s="1015"/>
      <c r="F120" s="180"/>
      <c r="G120" s="1034"/>
      <c r="H120" s="1603"/>
      <c r="I120" s="1603"/>
      <c r="J120" s="1015"/>
      <c r="K120" s="183"/>
      <c r="L120" s="1034"/>
      <c r="M120" s="1603"/>
      <c r="N120" s="1603"/>
      <c r="O120" s="1603"/>
      <c r="P120" s="1603"/>
      <c r="Q120" s="1603"/>
      <c r="R120" s="1603"/>
      <c r="S120" s="1015"/>
      <c r="T120" s="183"/>
      <c r="U120" s="1034"/>
      <c r="V120" s="1603"/>
      <c r="W120" s="1603"/>
      <c r="X120" s="1603"/>
      <c r="Y120" s="1603"/>
      <c r="Z120" s="1015"/>
    </row>
    <row r="121" spans="2:26" ht="16.5" customHeight="1">
      <c r="B121" s="1034"/>
      <c r="C121" s="1603"/>
      <c r="D121" s="1603"/>
      <c r="E121" s="1015"/>
      <c r="F121" s="180"/>
      <c r="G121" s="1034"/>
      <c r="H121" s="1603"/>
      <c r="I121" s="1603"/>
      <c r="J121" s="1015"/>
      <c r="K121" s="183"/>
      <c r="L121" s="1034"/>
      <c r="M121" s="1603"/>
      <c r="N121" s="1603"/>
      <c r="O121" s="1603"/>
      <c r="P121" s="1603"/>
      <c r="Q121" s="1603"/>
      <c r="R121" s="1603"/>
      <c r="S121" s="1015"/>
      <c r="T121" s="183"/>
      <c r="U121" s="1034"/>
      <c r="V121" s="1603"/>
      <c r="W121" s="1603"/>
      <c r="X121" s="1603"/>
      <c r="Y121" s="1603"/>
      <c r="Z121" s="1015"/>
    </row>
    <row r="122" spans="2:26" ht="16.5" customHeight="1">
      <c r="B122" s="1034"/>
      <c r="C122" s="1603"/>
      <c r="D122" s="1603"/>
      <c r="E122" s="1015"/>
      <c r="F122" s="180"/>
      <c r="G122" s="1034"/>
      <c r="H122" s="1603"/>
      <c r="I122" s="1603"/>
      <c r="J122" s="1015"/>
      <c r="K122" s="183"/>
      <c r="L122" s="1034"/>
      <c r="M122" s="1603"/>
      <c r="N122" s="1603"/>
      <c r="O122" s="1603"/>
      <c r="P122" s="1603"/>
      <c r="Q122" s="1603"/>
      <c r="R122" s="1603"/>
      <c r="S122" s="1015"/>
      <c r="T122" s="183"/>
      <c r="U122" s="1034"/>
      <c r="V122" s="1603"/>
      <c r="W122" s="1603"/>
      <c r="X122" s="1603"/>
      <c r="Y122" s="1603"/>
      <c r="Z122" s="1015"/>
    </row>
    <row r="123" spans="2:26" ht="24" customHeight="1">
      <c r="B123" s="1034"/>
      <c r="C123" s="1603"/>
      <c r="D123" s="1603"/>
      <c r="E123" s="1015"/>
      <c r="F123" s="180"/>
      <c r="G123" s="1034"/>
      <c r="H123" s="1603"/>
      <c r="I123" s="1603"/>
      <c r="J123" s="1015"/>
      <c r="K123" s="183"/>
      <c r="L123" s="1034"/>
      <c r="M123" s="1603"/>
      <c r="N123" s="1603"/>
      <c r="O123" s="1603"/>
      <c r="P123" s="1603"/>
      <c r="Q123" s="1603"/>
      <c r="R123" s="1603"/>
      <c r="S123" s="1015"/>
      <c r="T123" s="183"/>
      <c r="U123" s="1034"/>
      <c r="V123" s="1603"/>
      <c r="W123" s="1603"/>
      <c r="X123" s="1603"/>
      <c r="Y123" s="1603"/>
      <c r="Z123" s="1015"/>
    </row>
    <row r="124" spans="2:26" ht="16.5" customHeight="1">
      <c r="B124" s="1034"/>
      <c r="C124" s="1603"/>
      <c r="D124" s="1603"/>
      <c r="E124" s="1015"/>
      <c r="F124" s="180"/>
      <c r="G124" s="1034"/>
      <c r="H124" s="1603"/>
      <c r="I124" s="1603"/>
      <c r="J124" s="1015"/>
      <c r="K124" s="183"/>
      <c r="L124" s="1610" t="s">
        <v>3589</v>
      </c>
      <c r="M124" s="1603"/>
      <c r="N124" s="1603"/>
      <c r="O124" s="1603"/>
      <c r="P124" s="1603"/>
      <c r="Q124" s="1603"/>
      <c r="R124" s="1603"/>
      <c r="S124" s="1015"/>
      <c r="T124" s="183"/>
      <c r="U124" s="1034"/>
      <c r="V124" s="1603"/>
      <c r="W124" s="1603"/>
      <c r="X124" s="1603"/>
      <c r="Y124" s="1603"/>
      <c r="Z124" s="1015"/>
    </row>
    <row r="125" spans="2:26" ht="16.5" customHeight="1">
      <c r="B125" s="1090"/>
      <c r="C125" s="1019"/>
      <c r="D125" s="1019"/>
      <c r="E125" s="1091"/>
      <c r="F125" s="180"/>
      <c r="G125" s="1090"/>
      <c r="H125" s="1019"/>
      <c r="I125" s="1019"/>
      <c r="J125" s="1091"/>
      <c r="K125" s="183"/>
      <c r="L125" s="1618" t="s">
        <v>3590</v>
      </c>
      <c r="M125" s="1603"/>
      <c r="N125" s="1603"/>
      <c r="O125" s="1603"/>
      <c r="P125" s="1603"/>
      <c r="Q125" s="1603"/>
      <c r="R125" s="1603"/>
      <c r="S125" s="1015"/>
      <c r="T125" s="183"/>
      <c r="U125" s="1034"/>
      <c r="V125" s="1603"/>
      <c r="W125" s="1603"/>
      <c r="X125" s="1603"/>
      <c r="Y125" s="1603"/>
      <c r="Z125" s="1015"/>
    </row>
    <row r="126" spans="2:26" ht="16.5" customHeight="1">
      <c r="B126" s="183"/>
      <c r="C126" s="183"/>
      <c r="D126" s="183"/>
      <c r="E126" s="183"/>
      <c r="F126" s="183"/>
      <c r="G126" s="183"/>
      <c r="H126" s="183"/>
      <c r="I126" s="183"/>
      <c r="J126" s="183"/>
      <c r="K126" s="183"/>
      <c r="L126" s="1034"/>
      <c r="M126" s="1603"/>
      <c r="N126" s="1603"/>
      <c r="O126" s="1603"/>
      <c r="P126" s="1603"/>
      <c r="Q126" s="1603"/>
      <c r="R126" s="1603"/>
      <c r="S126" s="1015"/>
      <c r="T126" s="183"/>
      <c r="U126" s="1034"/>
      <c r="V126" s="1603"/>
      <c r="W126" s="1603"/>
      <c r="X126" s="1603"/>
      <c r="Y126" s="1603"/>
      <c r="Z126" s="1015"/>
    </row>
    <row r="127" spans="2:26" ht="16.5" customHeight="1">
      <c r="B127" s="183"/>
      <c r="C127" s="183"/>
      <c r="D127" s="183"/>
      <c r="E127" s="183"/>
      <c r="F127" s="183"/>
      <c r="G127" s="183"/>
      <c r="H127" s="183"/>
      <c r="I127" s="183"/>
      <c r="J127" s="183"/>
      <c r="K127" s="183"/>
      <c r="L127" s="1664" t="s">
        <v>3591</v>
      </c>
      <c r="M127" s="1406"/>
      <c r="N127" s="1406"/>
      <c r="O127" s="1407"/>
      <c r="P127" s="1609" t="s">
        <v>3592</v>
      </c>
      <c r="Q127" s="1407"/>
      <c r="R127" s="1609" t="s">
        <v>3593</v>
      </c>
      <c r="S127" s="1407"/>
      <c r="T127" s="183"/>
      <c r="U127" s="1090"/>
      <c r="V127" s="1019"/>
      <c r="W127" s="1019"/>
      <c r="X127" s="1019"/>
      <c r="Y127" s="1019"/>
      <c r="Z127" s="1091"/>
    </row>
    <row r="128" spans="2:26" ht="16.5" customHeight="1">
      <c r="B128" s="183"/>
      <c r="C128" s="183"/>
      <c r="D128" s="183"/>
      <c r="E128" s="183"/>
      <c r="F128" s="183"/>
      <c r="G128" s="183"/>
      <c r="H128" s="183"/>
      <c r="I128" s="183"/>
      <c r="J128" s="183"/>
      <c r="K128" s="183"/>
      <c r="L128" s="1034"/>
      <c r="M128" s="1603"/>
      <c r="N128" s="1603"/>
      <c r="O128" s="1378"/>
      <c r="P128" s="1409"/>
      <c r="Q128" s="1411"/>
      <c r="R128" s="1409"/>
      <c r="S128" s="1411"/>
      <c r="T128" s="183"/>
      <c r="U128" s="183"/>
      <c r="V128" s="183"/>
      <c r="W128" s="183"/>
      <c r="X128" s="183"/>
      <c r="Y128" s="183"/>
      <c r="Z128" s="183"/>
    </row>
    <row r="129" spans="12:26" ht="16.5" customHeight="1">
      <c r="L129" s="1034"/>
      <c r="M129" s="1603"/>
      <c r="N129" s="1603"/>
      <c r="O129" s="1378"/>
      <c r="P129" s="1609" t="s">
        <v>3594</v>
      </c>
      <c r="Q129" s="1407"/>
      <c r="R129" s="1609" t="s">
        <v>3595</v>
      </c>
      <c r="S129" s="1407"/>
      <c r="T129" s="183"/>
      <c r="U129" s="183"/>
      <c r="V129" s="183"/>
      <c r="W129" s="183"/>
      <c r="X129" s="183"/>
      <c r="Y129" s="183"/>
      <c r="Z129" s="183"/>
    </row>
    <row r="130" spans="12:26" ht="16.5" customHeight="1">
      <c r="L130" s="1665"/>
      <c r="M130" s="1410"/>
      <c r="N130" s="1410"/>
      <c r="O130" s="1411"/>
      <c r="P130" s="1409"/>
      <c r="Q130" s="1411"/>
      <c r="R130" s="1409"/>
      <c r="S130" s="1411"/>
      <c r="T130" s="183"/>
      <c r="U130" s="183"/>
      <c r="V130" s="183"/>
      <c r="W130" s="183"/>
      <c r="X130" s="183"/>
      <c r="Y130" s="183"/>
      <c r="Z130" s="183"/>
    </row>
    <row r="131" spans="12:26" ht="16.5" customHeight="1">
      <c r="L131" s="1660" t="s">
        <v>3596</v>
      </c>
      <c r="M131" s="1603"/>
      <c r="N131" s="1603"/>
      <c r="O131" s="1603"/>
      <c r="P131" s="1603"/>
      <c r="Q131" s="1603"/>
      <c r="R131" s="1603"/>
      <c r="S131" s="1015"/>
      <c r="T131" s="183"/>
      <c r="U131" s="183"/>
      <c r="V131" s="183"/>
      <c r="W131" s="183"/>
      <c r="X131" s="183"/>
      <c r="Y131" s="183"/>
      <c r="Z131" s="183"/>
    </row>
    <row r="132" spans="12:26" ht="25.05" customHeight="1">
      <c r="L132" s="359" t="s">
        <v>3597</v>
      </c>
      <c r="M132" s="1601" t="s">
        <v>3598</v>
      </c>
      <c r="N132" s="1406"/>
      <c r="O132" s="1406"/>
      <c r="P132" s="1406"/>
      <c r="Q132" s="1406"/>
      <c r="R132" s="1406"/>
      <c r="S132" s="1602"/>
      <c r="T132" s="183"/>
      <c r="U132" s="183"/>
      <c r="V132" s="183"/>
      <c r="W132" s="183"/>
      <c r="X132" s="183"/>
      <c r="Y132" s="183"/>
      <c r="Z132" s="183"/>
    </row>
    <row r="133" spans="12:26" ht="16.5" customHeight="1">
      <c r="L133" s="360"/>
      <c r="M133" s="1603"/>
      <c r="N133" s="1603"/>
      <c r="O133" s="1603"/>
      <c r="P133" s="1603"/>
      <c r="Q133" s="1603"/>
      <c r="R133" s="1603"/>
      <c r="S133" s="1015"/>
      <c r="T133" s="183"/>
      <c r="U133" s="183"/>
      <c r="V133" s="183"/>
      <c r="W133" s="183"/>
      <c r="X133" s="183"/>
      <c r="Y133" s="183"/>
      <c r="Z133" s="183"/>
    </row>
    <row r="134" spans="12:26" ht="16.5" customHeight="1">
      <c r="L134" s="360"/>
      <c r="M134" s="1603"/>
      <c r="N134" s="1603"/>
      <c r="O134" s="1603"/>
      <c r="P134" s="1603"/>
      <c r="Q134" s="1603"/>
      <c r="R134" s="1603"/>
      <c r="S134" s="1015"/>
      <c r="T134" s="183"/>
      <c r="U134" s="183"/>
      <c r="V134" s="183"/>
      <c r="W134" s="183"/>
      <c r="X134" s="183"/>
      <c r="Y134" s="183"/>
      <c r="Z134" s="183"/>
    </row>
    <row r="135" spans="12:26" ht="16.5" customHeight="1">
      <c r="L135" s="360"/>
      <c r="M135" s="1603"/>
      <c r="N135" s="1603"/>
      <c r="O135" s="1603"/>
      <c r="P135" s="1603"/>
      <c r="Q135" s="1603"/>
      <c r="R135" s="1603"/>
      <c r="S135" s="1015"/>
      <c r="T135" s="183"/>
      <c r="U135" s="183"/>
      <c r="V135" s="183"/>
      <c r="W135" s="183"/>
      <c r="X135" s="183"/>
      <c r="Y135" s="183"/>
      <c r="Z135" s="183"/>
    </row>
    <row r="136" spans="12:26" ht="16.5" customHeight="1">
      <c r="L136" s="360"/>
      <c r="M136" s="1603"/>
      <c r="N136" s="1603"/>
      <c r="O136" s="1603"/>
      <c r="P136" s="1603"/>
      <c r="Q136" s="1603"/>
      <c r="R136" s="1603"/>
      <c r="S136" s="1015"/>
      <c r="T136" s="183"/>
      <c r="U136" s="183"/>
      <c r="V136" s="183"/>
      <c r="W136" s="183"/>
      <c r="X136" s="183"/>
      <c r="Y136" s="183"/>
      <c r="Z136" s="183"/>
    </row>
    <row r="137" spans="12:26" ht="16.5" customHeight="1">
      <c r="L137" s="360"/>
      <c r="M137" s="1603"/>
      <c r="N137" s="1603"/>
      <c r="O137" s="1603"/>
      <c r="P137" s="1603"/>
      <c r="Q137" s="1603"/>
      <c r="R137" s="1603"/>
      <c r="S137" s="1015"/>
      <c r="T137" s="183"/>
      <c r="U137" s="183"/>
      <c r="V137" s="183"/>
      <c r="W137" s="183"/>
      <c r="X137" s="183"/>
      <c r="Y137" s="183"/>
      <c r="Z137" s="183"/>
    </row>
    <row r="138" spans="12:26" ht="16.5" customHeight="1">
      <c r="L138" s="360"/>
      <c r="M138" s="1603"/>
      <c r="N138" s="1603"/>
      <c r="O138" s="1603"/>
      <c r="P138" s="1603"/>
      <c r="Q138" s="1603"/>
      <c r="R138" s="1603"/>
      <c r="S138" s="1015"/>
      <c r="T138" s="183"/>
      <c r="U138" s="183"/>
      <c r="V138" s="183"/>
      <c r="W138" s="183"/>
      <c r="X138" s="183"/>
      <c r="Y138" s="183"/>
      <c r="Z138" s="183"/>
    </row>
    <row r="139" spans="12:26" ht="16.5" customHeight="1">
      <c r="L139" s="361"/>
      <c r="M139" s="1410"/>
      <c r="N139" s="1410"/>
      <c r="O139" s="1410"/>
      <c r="P139" s="1410"/>
      <c r="Q139" s="1410"/>
      <c r="R139" s="1410"/>
      <c r="S139" s="1604"/>
      <c r="T139" s="183"/>
      <c r="U139" s="183"/>
      <c r="V139" s="183"/>
      <c r="W139" s="183"/>
      <c r="X139" s="183"/>
      <c r="Y139" s="183"/>
      <c r="Z139" s="183"/>
    </row>
    <row r="140" spans="12:26" ht="16.5" customHeight="1">
      <c r="L140" s="360" t="s">
        <v>3599</v>
      </c>
      <c r="M140" s="1608" t="s">
        <v>3600</v>
      </c>
      <c r="N140" s="1603"/>
      <c r="O140" s="1603"/>
      <c r="P140" s="1603"/>
      <c r="Q140" s="1603"/>
      <c r="R140" s="1603"/>
      <c r="S140" s="1015"/>
      <c r="T140" s="183"/>
      <c r="U140" s="183"/>
      <c r="V140" s="183"/>
      <c r="W140" s="183"/>
      <c r="X140" s="183"/>
      <c r="Y140" s="183"/>
      <c r="Z140" s="183"/>
    </row>
    <row r="141" spans="12:26" ht="16.5" customHeight="1">
      <c r="L141" s="360"/>
      <c r="M141" s="1603"/>
      <c r="N141" s="1603"/>
      <c r="O141" s="1603"/>
      <c r="P141" s="1603"/>
      <c r="Q141" s="1603"/>
      <c r="R141" s="1603"/>
      <c r="S141" s="1015"/>
      <c r="T141" s="183"/>
      <c r="U141" s="183"/>
      <c r="V141" s="183"/>
      <c r="W141" s="183"/>
      <c r="X141" s="183"/>
      <c r="Y141" s="183"/>
      <c r="Z141" s="183"/>
    </row>
    <row r="142" spans="12:26" ht="16.5" customHeight="1">
      <c r="L142" s="360"/>
      <c r="M142" s="1603"/>
      <c r="N142" s="1603"/>
      <c r="O142" s="1603"/>
      <c r="P142" s="1603"/>
      <c r="Q142" s="1603"/>
      <c r="R142" s="1603"/>
      <c r="S142" s="1015"/>
      <c r="T142" s="183"/>
      <c r="U142" s="183"/>
      <c r="V142" s="183"/>
      <c r="W142" s="183"/>
      <c r="X142" s="183"/>
      <c r="Y142" s="183"/>
      <c r="Z142" s="183"/>
    </row>
    <row r="143" spans="12:26" ht="16.5" customHeight="1">
      <c r="L143" s="360"/>
      <c r="M143" s="1603"/>
      <c r="N143" s="1603"/>
      <c r="O143" s="1603"/>
      <c r="P143" s="1603"/>
      <c r="Q143" s="1603"/>
      <c r="R143" s="1603"/>
      <c r="S143" s="1015"/>
      <c r="T143" s="183"/>
      <c r="U143" s="183"/>
      <c r="V143" s="183"/>
      <c r="W143" s="183"/>
      <c r="X143" s="183"/>
      <c r="Y143" s="183"/>
      <c r="Z143" s="183"/>
    </row>
    <row r="144" spans="12:26" ht="16.5" customHeight="1">
      <c r="L144" s="360"/>
      <c r="M144" s="1603"/>
      <c r="N144" s="1603"/>
      <c r="O144" s="1603"/>
      <c r="P144" s="1603"/>
      <c r="Q144" s="1603"/>
      <c r="R144" s="1603"/>
      <c r="S144" s="1015"/>
      <c r="T144" s="183"/>
      <c r="U144" s="183"/>
      <c r="V144" s="183"/>
      <c r="W144" s="183"/>
      <c r="X144" s="183"/>
      <c r="Y144" s="183"/>
      <c r="Z144" s="183"/>
    </row>
    <row r="145" spans="12:26" ht="16.5" customHeight="1">
      <c r="L145" s="360"/>
      <c r="M145" s="1603"/>
      <c r="N145" s="1603"/>
      <c r="O145" s="1603"/>
      <c r="P145" s="1603"/>
      <c r="Q145" s="1603"/>
      <c r="R145" s="1603"/>
      <c r="S145" s="1015"/>
      <c r="T145" s="183"/>
      <c r="U145" s="183"/>
      <c r="V145" s="183"/>
      <c r="W145" s="183"/>
      <c r="X145" s="183"/>
      <c r="Y145" s="183"/>
      <c r="Z145" s="183"/>
    </row>
    <row r="146" spans="12:26" ht="16.5" customHeight="1">
      <c r="L146" s="360"/>
      <c r="M146" s="1603"/>
      <c r="N146" s="1603"/>
      <c r="O146" s="1603"/>
      <c r="P146" s="1603"/>
      <c r="Q146" s="1603"/>
      <c r="R146" s="1603"/>
      <c r="S146" s="1015"/>
      <c r="T146" s="183"/>
      <c r="U146" s="183"/>
      <c r="V146" s="183"/>
      <c r="W146" s="183"/>
      <c r="X146" s="183"/>
      <c r="Y146" s="183"/>
      <c r="Z146" s="183"/>
    </row>
    <row r="147" spans="12:26" ht="16.5" customHeight="1">
      <c r="L147" s="361"/>
      <c r="M147" s="1410"/>
      <c r="N147" s="1410"/>
      <c r="O147" s="1410"/>
      <c r="P147" s="1410"/>
      <c r="Q147" s="1410"/>
      <c r="R147" s="1410"/>
      <c r="S147" s="1604"/>
      <c r="T147" s="183"/>
      <c r="U147" s="183"/>
      <c r="V147" s="183"/>
      <c r="W147" s="183"/>
      <c r="X147" s="183"/>
      <c r="Y147" s="183"/>
      <c r="Z147" s="183"/>
    </row>
    <row r="148" spans="12:26" ht="16.5" customHeight="1">
      <c r="L148" s="360" t="s">
        <v>3601</v>
      </c>
      <c r="M148" s="1616" t="s">
        <v>3602</v>
      </c>
      <c r="N148" s="1603"/>
      <c r="O148" s="1603"/>
      <c r="P148" s="1603"/>
      <c r="Q148" s="1603"/>
      <c r="R148" s="1603"/>
      <c r="S148" s="1015"/>
      <c r="T148" s="183"/>
      <c r="U148" s="183"/>
      <c r="V148" s="183"/>
      <c r="W148" s="183"/>
      <c r="X148" s="183"/>
      <c r="Y148" s="183"/>
      <c r="Z148" s="183"/>
    </row>
    <row r="149" spans="12:26" ht="16.5" customHeight="1">
      <c r="L149" s="360"/>
      <c r="M149" s="1603"/>
      <c r="N149" s="1603"/>
      <c r="O149" s="1603"/>
      <c r="P149" s="1603"/>
      <c r="Q149" s="1603"/>
      <c r="R149" s="1603"/>
      <c r="S149" s="1015"/>
      <c r="T149" s="183"/>
      <c r="U149" s="183"/>
      <c r="V149" s="183"/>
      <c r="W149" s="183"/>
      <c r="X149" s="183"/>
      <c r="Y149" s="183"/>
      <c r="Z149" s="183"/>
    </row>
    <row r="150" spans="12:26" ht="16.5" customHeight="1">
      <c r="L150" s="360"/>
      <c r="M150" s="1603"/>
      <c r="N150" s="1603"/>
      <c r="O150" s="1603"/>
      <c r="P150" s="1603"/>
      <c r="Q150" s="1603"/>
      <c r="R150" s="1603"/>
      <c r="S150" s="1015"/>
      <c r="T150" s="183"/>
      <c r="U150" s="183"/>
      <c r="V150" s="183"/>
      <c r="W150" s="183"/>
      <c r="X150" s="183"/>
      <c r="Y150" s="183"/>
      <c r="Z150" s="183"/>
    </row>
    <row r="151" spans="12:26" ht="16.5" customHeight="1">
      <c r="L151" s="360"/>
      <c r="M151" s="1603"/>
      <c r="N151" s="1603"/>
      <c r="O151" s="1603"/>
      <c r="P151" s="1603"/>
      <c r="Q151" s="1603"/>
      <c r="R151" s="1603"/>
      <c r="S151" s="1015"/>
      <c r="T151" s="183"/>
      <c r="U151" s="183"/>
      <c r="V151" s="183"/>
      <c r="W151" s="183"/>
      <c r="X151" s="183"/>
      <c r="Y151" s="183"/>
      <c r="Z151" s="183"/>
    </row>
    <row r="152" spans="12:26" ht="17.399999999999999">
      <c r="L152" s="360"/>
      <c r="M152" s="1603"/>
      <c r="N152" s="1603"/>
      <c r="O152" s="1603"/>
      <c r="P152" s="1603"/>
      <c r="Q152" s="1603"/>
      <c r="R152" s="1603"/>
      <c r="S152" s="1015"/>
      <c r="T152" s="183"/>
      <c r="U152" s="183"/>
      <c r="V152" s="183"/>
      <c r="W152" s="183"/>
      <c r="X152" s="183"/>
      <c r="Y152" s="183"/>
      <c r="Z152" s="183"/>
    </row>
    <row r="153" spans="12:26" ht="17.399999999999999">
      <c r="L153" s="360"/>
      <c r="M153" s="1603"/>
      <c r="N153" s="1603"/>
      <c r="O153" s="1603"/>
      <c r="P153" s="1603"/>
      <c r="Q153" s="1603"/>
      <c r="R153" s="1603"/>
      <c r="S153" s="1015"/>
      <c r="T153" s="183"/>
      <c r="U153" s="183"/>
      <c r="V153" s="183"/>
      <c r="W153" s="183"/>
      <c r="X153" s="183"/>
      <c r="Y153" s="183"/>
      <c r="Z153" s="183"/>
    </row>
    <row r="154" spans="12:26" ht="17.399999999999999">
      <c r="L154" s="362"/>
      <c r="M154" s="1019"/>
      <c r="N154" s="1019"/>
      <c r="O154" s="1019"/>
      <c r="P154" s="1019"/>
      <c r="Q154" s="1019"/>
      <c r="R154" s="1019"/>
      <c r="S154" s="1091"/>
      <c r="T154" s="363" t="s">
        <v>3603</v>
      </c>
      <c r="U154" s="183"/>
      <c r="V154" s="183"/>
      <c r="W154" s="183"/>
      <c r="X154" s="183"/>
      <c r="Y154" s="183"/>
      <c r="Z154" s="183"/>
    </row>
  </sheetData>
  <mergeCells count="92">
    <mergeCell ref="L117:S118"/>
    <mergeCell ref="L131:S131"/>
    <mergeCell ref="N25:N26"/>
    <mergeCell ref="G117:J118"/>
    <mergeCell ref="B94:J95"/>
    <mergeCell ref="G119:J125"/>
    <mergeCell ref="P127:Q128"/>
    <mergeCell ref="R127:S128"/>
    <mergeCell ref="B117:E118"/>
    <mergeCell ref="B113:Z115"/>
    <mergeCell ref="B77:M80"/>
    <mergeCell ref="B102:J105"/>
    <mergeCell ref="B68:Z69"/>
    <mergeCell ref="O43:Z43"/>
    <mergeCell ref="B119:E125"/>
    <mergeCell ref="L127:O130"/>
    <mergeCell ref="O3:Z3"/>
    <mergeCell ref="B3:D3"/>
    <mergeCell ref="I3:L3"/>
    <mergeCell ref="N14:N15"/>
    <mergeCell ref="B39:L39"/>
    <mergeCell ref="N39:N40"/>
    <mergeCell ref="O4:Z4"/>
    <mergeCell ref="I11:J23"/>
    <mergeCell ref="E3:F3"/>
    <mergeCell ref="B11:H23"/>
    <mergeCell ref="H25:L38"/>
    <mergeCell ref="G3:H3"/>
    <mergeCell ref="L125:S126"/>
    <mergeCell ref="N36:N37"/>
    <mergeCell ref="E4:F9"/>
    <mergeCell ref="U117:Z118"/>
    <mergeCell ref="O32:Z32"/>
    <mergeCell ref="O70:Z71"/>
    <mergeCell ref="O10:Z10"/>
    <mergeCell ref="K11:L23"/>
    <mergeCell ref="B96:J101"/>
    <mergeCell ref="H75:M76"/>
    <mergeCell ref="B64:Z66"/>
    <mergeCell ref="O45:Y45"/>
    <mergeCell ref="B84:J84"/>
    <mergeCell ref="O75:T76"/>
    <mergeCell ref="B85:J85"/>
    <mergeCell ref="U75:Z76"/>
    <mergeCell ref="A2:A23"/>
    <mergeCell ref="N35:Z35"/>
    <mergeCell ref="G4:H9"/>
    <mergeCell ref="O23:Z23"/>
    <mergeCell ref="O72:T74"/>
    <mergeCell ref="B40:L60"/>
    <mergeCell ref="B25:G38"/>
    <mergeCell ref="B10:H10"/>
    <mergeCell ref="O12:Z12"/>
    <mergeCell ref="B24:G24"/>
    <mergeCell ref="N41:Z41"/>
    <mergeCell ref="O20:Z21"/>
    <mergeCell ref="O36:Z37"/>
    <mergeCell ref="M2:M24"/>
    <mergeCell ref="O6:Z6"/>
    <mergeCell ref="H24:L24"/>
    <mergeCell ref="M148:S154"/>
    <mergeCell ref="N2:Z2"/>
    <mergeCell ref="L119:S123"/>
    <mergeCell ref="I10:J10"/>
    <mergeCell ref="K10:L10"/>
    <mergeCell ref="I4:L9"/>
    <mergeCell ref="B81:J83"/>
    <mergeCell ref="O17:Z18"/>
    <mergeCell ref="R129:S130"/>
    <mergeCell ref="B75:G76"/>
    <mergeCell ref="U72:Z74"/>
    <mergeCell ref="H72:M74"/>
    <mergeCell ref="N17:N18"/>
    <mergeCell ref="O39:Z40"/>
    <mergeCell ref="B4:D9"/>
    <mergeCell ref="B2:L2"/>
    <mergeCell ref="M132:S139"/>
    <mergeCell ref="B70:M71"/>
    <mergeCell ref="O8:Z8"/>
    <mergeCell ref="O77:Z80"/>
    <mergeCell ref="M140:S147"/>
    <mergeCell ref="P129:Q130"/>
    <mergeCell ref="O34:Z34"/>
    <mergeCell ref="O28:Z28"/>
    <mergeCell ref="O25:Z26"/>
    <mergeCell ref="L124:S124"/>
    <mergeCell ref="N20:N21"/>
    <mergeCell ref="O30:Z30"/>
    <mergeCell ref="B72:G74"/>
    <mergeCell ref="U119:Z127"/>
    <mergeCell ref="O14:Z15"/>
    <mergeCell ref="N38:Z38"/>
  </mergeCells>
  <phoneticPr fontId="16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BU121"/>
  <sheetViews>
    <sheetView showGridLines="0" topLeftCell="A102" workbookViewId="0"/>
  </sheetViews>
  <sheetFormatPr defaultColWidth="4" defaultRowHeight="17.399999999999999"/>
  <cols>
    <col min="1" max="1" width="4" style="288" customWidth="1"/>
    <col min="2" max="2" width="4.33203125" style="287" customWidth="1"/>
    <col min="3" max="7" width="4" style="287" customWidth="1"/>
    <col min="8" max="8" width="4.33203125" style="287" customWidth="1"/>
    <col min="9" max="19" width="4" style="287" customWidth="1"/>
    <col min="20" max="20" width="4.33203125" style="287" customWidth="1"/>
    <col min="21" max="22" width="4" style="287" customWidth="1"/>
    <col min="23" max="16384" width="4" style="287"/>
  </cols>
  <sheetData>
    <row r="2" spans="1:49">
      <c r="A2" s="288" t="n">
        <f ca="1">RANDBETWEEN(1,6)</f>
        <v>5</v>
      </c>
      <c r="B2" s="1755" t="s">
        <v>3604</v>
      </c>
      <c r="C2" s="1088"/>
      <c r="D2" s="1088"/>
      <c r="E2" s="1088"/>
      <c r="F2" s="1088"/>
      <c r="G2" s="1088"/>
      <c r="H2" s="1088"/>
      <c r="I2" s="1088"/>
      <c r="J2" s="1088"/>
      <c r="K2" s="1088"/>
      <c r="L2" s="1088"/>
      <c r="M2" s="1088"/>
      <c r="N2" s="1088"/>
      <c r="O2" s="1088"/>
      <c r="P2" s="1088"/>
      <c r="Q2" s="1088"/>
      <c r="R2" s="1088"/>
      <c r="S2" s="1088"/>
      <c r="T2" s="1088"/>
      <c r="U2" s="1088"/>
      <c r="V2" s="1088"/>
      <c r="W2" s="1088"/>
      <c r="X2" s="1088"/>
      <c r="Y2" s="1088"/>
      <c r="Z2" s="1088"/>
      <c r="AA2" s="1088"/>
      <c r="AB2" s="1088"/>
      <c r="AC2" s="1088"/>
      <c r="AD2" s="1088"/>
      <c r="AE2" s="1088"/>
      <c r="AF2" s="1088"/>
      <c r="AG2" s="1088"/>
      <c r="AH2" s="1088"/>
      <c r="AI2" s="1088"/>
      <c r="AJ2" s="1088"/>
      <c r="AK2" s="1088"/>
      <c r="AL2" s="1088"/>
      <c r="AM2" s="1088"/>
      <c r="AN2" s="1088"/>
      <c r="AO2" s="1088"/>
      <c r="AP2" s="1088"/>
      <c r="AQ2" s="1088"/>
      <c r="AR2" s="1088"/>
      <c r="AS2" s="1088"/>
      <c r="AT2" s="1088"/>
      <c r="AU2" s="1088"/>
      <c r="AV2" s="1088"/>
      <c r="AW2" s="1089"/>
    </row>
    <row r="3" spans="1:49">
      <c r="A3" s="287"/>
      <c r="B3" s="1691" t="s">
        <v>3605</v>
      </c>
      <c r="C3" s="1036"/>
      <c r="D3" s="1036"/>
      <c r="E3" s="1036"/>
      <c r="F3" s="1036"/>
      <c r="G3" s="1036"/>
      <c r="H3" s="1681" t="s">
        <v>3606</v>
      </c>
      <c r="I3" s="1036"/>
      <c r="J3" s="1036"/>
      <c r="K3" s="1036"/>
      <c r="L3" s="1036"/>
      <c r="M3" s="1036"/>
      <c r="N3" s="1681" t="s">
        <v>3607</v>
      </c>
      <c r="O3" s="1036"/>
      <c r="P3" s="1036"/>
      <c r="Q3" s="1036"/>
      <c r="R3" s="1036"/>
      <c r="S3" s="1036"/>
      <c r="T3" s="1681" t="s">
        <v>3608</v>
      </c>
      <c r="U3" s="1036"/>
      <c r="V3" s="1036"/>
      <c r="W3" s="1036"/>
      <c r="X3" s="1036"/>
      <c r="Y3" s="1036"/>
      <c r="Z3" s="1681" t="s">
        <v>3609</v>
      </c>
      <c r="AA3" s="1036"/>
      <c r="AB3" s="1036"/>
      <c r="AC3" s="1036"/>
      <c r="AD3" s="1036"/>
      <c r="AE3" s="1036"/>
      <c r="AF3" s="1681" t="s">
        <v>3610</v>
      </c>
      <c r="AG3" s="1036"/>
      <c r="AH3" s="1036"/>
      <c r="AI3" s="1036"/>
      <c r="AJ3" s="1036"/>
      <c r="AK3" s="1036"/>
      <c r="AL3" s="1681" t="s">
        <v>3611</v>
      </c>
      <c r="AM3" s="1036"/>
      <c r="AN3" s="1036"/>
      <c r="AO3" s="1036"/>
      <c r="AP3" s="1036"/>
      <c r="AQ3" s="1036"/>
      <c r="AR3" s="1684" t="s">
        <v>3612</v>
      </c>
      <c r="AS3" s="1036"/>
      <c r="AT3" s="1036"/>
      <c r="AU3" s="1036"/>
      <c r="AV3" s="1036"/>
      <c r="AW3" s="998"/>
    </row>
    <row r="4" spans="1:49">
      <c r="A4" s="287"/>
      <c r="B4" s="1762" t="s">
        <v>3613</v>
      </c>
      <c r="C4" s="1667"/>
      <c r="D4" s="1667"/>
      <c r="E4" s="1667"/>
      <c r="F4" s="1667"/>
      <c r="G4" s="1667"/>
      <c r="H4" s="1683" t="s">
        <v>3613</v>
      </c>
      <c r="I4" s="1033"/>
      <c r="J4" s="1033"/>
      <c r="K4" s="1033"/>
      <c r="L4" s="1033"/>
      <c r="M4" s="1031"/>
      <c r="N4" s="1773" t="s">
        <v>3614</v>
      </c>
      <c r="O4" s="1667"/>
      <c r="P4" s="1667"/>
      <c r="Q4" s="1667"/>
      <c r="R4" s="1667"/>
      <c r="S4" s="1013"/>
      <c r="T4" s="1696" t="s">
        <v>3613</v>
      </c>
      <c r="U4" s="1667"/>
      <c r="V4" s="1667"/>
      <c r="W4" s="1667"/>
      <c r="X4" s="1667"/>
      <c r="Y4" s="1667"/>
      <c r="Z4" s="1765" t="s">
        <v>3613</v>
      </c>
      <c r="AA4" s="1667"/>
      <c r="AB4" s="1667"/>
      <c r="AC4" s="1667"/>
      <c r="AD4" s="1667"/>
      <c r="AE4" s="1013"/>
      <c r="AF4" s="1767" t="s">
        <v>3614</v>
      </c>
      <c r="AG4" s="1667"/>
      <c r="AH4" s="1667"/>
      <c r="AI4" s="1667"/>
      <c r="AJ4" s="1667"/>
      <c r="AK4" s="1667"/>
      <c r="AL4" s="1739" t="s">
        <v>3613</v>
      </c>
      <c r="AM4" s="1667"/>
      <c r="AN4" s="1667"/>
      <c r="AO4" s="1667"/>
      <c r="AP4" s="1667"/>
      <c r="AQ4" s="1667"/>
      <c r="AR4" s="1769" t="s">
        <v>3614</v>
      </c>
      <c r="AS4" s="1667"/>
      <c r="AT4" s="1667"/>
      <c r="AU4" s="1667"/>
      <c r="AV4" s="1667"/>
      <c r="AW4" s="1015"/>
    </row>
    <row r="5" spans="1:49">
      <c r="A5" s="287"/>
      <c r="B5" s="1090"/>
      <c r="C5" s="1019"/>
      <c r="D5" s="1019"/>
      <c r="E5" s="1019"/>
      <c r="F5" s="1019"/>
      <c r="G5" s="1019"/>
      <c r="H5" s="1026"/>
      <c r="I5" s="1036"/>
      <c r="J5" s="1036"/>
      <c r="K5" s="1036"/>
      <c r="L5" s="1036"/>
      <c r="M5" s="1027"/>
      <c r="N5" s="1326"/>
      <c r="O5" s="1019"/>
      <c r="P5" s="1019"/>
      <c r="Q5" s="1019"/>
      <c r="R5" s="1019"/>
      <c r="S5" s="1020"/>
      <c r="T5" s="1019"/>
      <c r="U5" s="1019"/>
      <c r="V5" s="1019"/>
      <c r="W5" s="1019"/>
      <c r="X5" s="1019"/>
      <c r="Y5" s="1019"/>
      <c r="Z5" s="1326"/>
      <c r="AA5" s="1019"/>
      <c r="AB5" s="1019"/>
      <c r="AC5" s="1019"/>
      <c r="AD5" s="1019"/>
      <c r="AE5" s="1020"/>
      <c r="AF5" s="1326"/>
      <c r="AG5" s="1019"/>
      <c r="AH5" s="1019"/>
      <c r="AI5" s="1019"/>
      <c r="AJ5" s="1019"/>
      <c r="AK5" s="1019"/>
      <c r="AL5" s="1326"/>
      <c r="AM5" s="1019"/>
      <c r="AN5" s="1019"/>
      <c r="AO5" s="1019"/>
      <c r="AP5" s="1019"/>
      <c r="AQ5" s="1019"/>
      <c r="AR5" s="1326"/>
      <c r="AS5" s="1019"/>
      <c r="AT5" s="1019"/>
      <c r="AU5" s="1019"/>
      <c r="AV5" s="1019"/>
      <c r="AW5" s="1091"/>
    </row>
    <row r="6" spans="1:49">
      <c r="A6" s="287"/>
    </row>
    <row r="7" spans="1:49">
      <c r="A7" s="288" t="n">
        <f ca="1">RANDBETWEEN(1,6)</f>
        <v>4</v>
      </c>
      <c r="B7" s="1755" t="s">
        <v>3615</v>
      </c>
      <c r="C7" s="1088"/>
      <c r="D7" s="1088"/>
      <c r="E7" s="1088"/>
      <c r="F7" s="1088"/>
      <c r="G7" s="1088"/>
      <c r="H7" s="1088"/>
      <c r="I7" s="1088"/>
      <c r="J7" s="1088"/>
      <c r="K7" s="1088"/>
      <c r="L7" s="1088"/>
      <c r="M7" s="1088"/>
      <c r="N7" s="1088"/>
      <c r="O7" s="1088"/>
      <c r="P7" s="1088"/>
      <c r="Q7" s="1088"/>
      <c r="R7" s="1088"/>
      <c r="S7" s="1088"/>
      <c r="T7" s="1088"/>
      <c r="U7" s="1088"/>
      <c r="V7" s="1088"/>
      <c r="W7" s="1088"/>
      <c r="X7" s="1088"/>
      <c r="Y7" s="1088"/>
      <c r="Z7" s="1088"/>
      <c r="AA7" s="1088"/>
      <c r="AB7" s="1088"/>
      <c r="AC7" s="1088"/>
      <c r="AD7" s="1088"/>
      <c r="AE7" s="1088"/>
      <c r="AF7" s="1088"/>
      <c r="AG7" s="1088"/>
      <c r="AH7" s="1088"/>
      <c r="AI7" s="1088"/>
      <c r="AJ7" s="1088"/>
      <c r="AK7" s="1088"/>
      <c r="AL7" s="1088"/>
      <c r="AM7" s="1088"/>
      <c r="AN7" s="1088"/>
      <c r="AO7" s="1088"/>
      <c r="AP7" s="1088"/>
      <c r="AQ7" s="1088"/>
      <c r="AR7" s="1088"/>
      <c r="AS7" s="1088"/>
      <c r="AT7" s="1088"/>
      <c r="AU7" s="1088"/>
      <c r="AV7" s="1088"/>
      <c r="AW7" s="1089"/>
    </row>
    <row r="8" spans="1:49">
      <c r="A8" s="288" t="n">
        <f ca="1">RANDBETWEEN(1,6)</f>
        <v>2</v>
      </c>
      <c r="B8" s="1738" t="s">
        <v>3605</v>
      </c>
      <c r="C8" s="1667"/>
      <c r="D8" s="1667"/>
      <c r="E8" s="1667"/>
      <c r="F8" s="1667"/>
      <c r="G8" s="1667"/>
      <c r="H8" s="1685" t="s">
        <v>3606</v>
      </c>
      <c r="I8" s="1667"/>
      <c r="J8" s="1667"/>
      <c r="K8" s="1667"/>
      <c r="L8" s="1667"/>
      <c r="M8" s="1667"/>
      <c r="N8" s="1685" t="s">
        <v>3607</v>
      </c>
      <c r="O8" s="1667"/>
      <c r="P8" s="1667"/>
      <c r="Q8" s="1667"/>
      <c r="R8" s="1667"/>
      <c r="S8" s="1667"/>
      <c r="T8" s="1685" t="s">
        <v>3608</v>
      </c>
      <c r="U8" s="1667"/>
      <c r="V8" s="1667"/>
      <c r="W8" s="1667"/>
      <c r="X8" s="1667"/>
      <c r="Y8" s="1667"/>
      <c r="Z8" s="1685" t="s">
        <v>3609</v>
      </c>
      <c r="AA8" s="1667"/>
      <c r="AB8" s="1667"/>
      <c r="AC8" s="1667"/>
      <c r="AD8" s="1667"/>
      <c r="AE8" s="1667"/>
      <c r="AF8" s="1685" t="s">
        <v>3610</v>
      </c>
      <c r="AG8" s="1667"/>
      <c r="AH8" s="1667"/>
      <c r="AI8" s="1667"/>
      <c r="AJ8" s="1667"/>
      <c r="AK8" s="1667"/>
      <c r="AL8" s="1685" t="s">
        <v>3611</v>
      </c>
      <c r="AM8" s="1667"/>
      <c r="AN8" s="1667"/>
      <c r="AO8" s="1667"/>
      <c r="AP8" s="1667"/>
      <c r="AQ8" s="1667"/>
      <c r="AR8" s="1774" t="s">
        <v>3612</v>
      </c>
      <c r="AS8" s="1667"/>
      <c r="AT8" s="1667"/>
      <c r="AU8" s="1667"/>
      <c r="AV8" s="1667"/>
      <c r="AW8" s="1015"/>
    </row>
    <row r="9" spans="1:49">
      <c r="A9" s="288" t="n">
        <f ca="1">RANDBETWEEN(1,6)</f>
        <v>2</v>
      </c>
      <c r="B9" s="1689">
        <v>0</v>
      </c>
      <c r="C9" s="1393" t="s">
        <v>3616</v>
      </c>
      <c r="D9" s="1667"/>
      <c r="E9" s="1667"/>
      <c r="F9" s="1667"/>
      <c r="G9" s="1667"/>
      <c r="H9" s="1675">
        <v>0</v>
      </c>
      <c r="I9" s="1675" t="s">
        <v>3617</v>
      </c>
      <c r="J9" s="1667"/>
      <c r="K9" s="1667"/>
      <c r="L9" s="1667"/>
      <c r="M9" s="1667"/>
      <c r="N9" s="1675">
        <v>0</v>
      </c>
      <c r="O9" s="1675" t="s">
        <v>3618</v>
      </c>
      <c r="P9" s="1667"/>
      <c r="Q9" s="1667"/>
      <c r="R9" s="1667"/>
      <c r="S9" s="1667"/>
      <c r="T9" s="1675">
        <v>0</v>
      </c>
      <c r="U9" s="1675" t="s">
        <v>3619</v>
      </c>
      <c r="V9" s="1667"/>
      <c r="W9" s="1667"/>
      <c r="X9" s="1667"/>
      <c r="Y9" s="1667"/>
      <c r="Z9" s="1675">
        <v>0</v>
      </c>
      <c r="AA9" s="1393" t="s">
        <v>3620</v>
      </c>
      <c r="AB9" s="1667"/>
      <c r="AC9" s="1667"/>
      <c r="AD9" s="1667"/>
      <c r="AE9" s="1667"/>
      <c r="AF9" s="1675">
        <v>0</v>
      </c>
      <c r="AG9" s="1393" t="s">
        <v>3621</v>
      </c>
      <c r="AH9" s="1667"/>
      <c r="AI9" s="1667"/>
      <c r="AJ9" s="1667"/>
      <c r="AK9" s="1667"/>
      <c r="AL9" s="1675">
        <v>0</v>
      </c>
      <c r="AM9" s="1393" t="s">
        <v>3622</v>
      </c>
      <c r="AN9" s="1667"/>
      <c r="AO9" s="1667"/>
      <c r="AP9" s="1667"/>
      <c r="AQ9" s="1667"/>
      <c r="AR9" s="1675">
        <v>0</v>
      </c>
      <c r="AS9" s="1686" t="s">
        <v>3623</v>
      </c>
      <c r="AT9" s="1667"/>
      <c r="AU9" s="1667"/>
      <c r="AV9" s="1667"/>
      <c r="AW9" s="1015"/>
    </row>
    <row r="10" spans="1:49">
      <c r="A10" s="288" t="n">
        <f ca="1">RANDBETWEEN(1,6)</f>
        <v>1</v>
      </c>
      <c r="B10" s="1034"/>
      <c r="C10" s="1667"/>
      <c r="D10" s="1667"/>
      <c r="E10" s="1667"/>
      <c r="F10" s="1667"/>
      <c r="G10" s="1667"/>
      <c r="H10" s="1667"/>
      <c r="I10" s="1667"/>
      <c r="J10" s="1667"/>
      <c r="K10" s="1667"/>
      <c r="L10" s="1667"/>
      <c r="M10" s="1667"/>
      <c r="N10" s="1667"/>
      <c r="O10" s="1667"/>
      <c r="P10" s="1667"/>
      <c r="Q10" s="1667"/>
      <c r="R10" s="1667"/>
      <c r="S10" s="1667"/>
      <c r="T10" s="1667"/>
      <c r="U10" s="1667"/>
      <c r="V10" s="1667"/>
      <c r="W10" s="1667"/>
      <c r="X10" s="1667"/>
      <c r="Y10" s="1667"/>
      <c r="Z10" s="1667"/>
      <c r="AA10" s="1667"/>
      <c r="AB10" s="1667"/>
      <c r="AC10" s="1667"/>
      <c r="AD10" s="1667"/>
      <c r="AE10" s="1667"/>
      <c r="AF10" s="1667"/>
      <c r="AG10" s="1667"/>
      <c r="AH10" s="1667"/>
      <c r="AI10" s="1667"/>
      <c r="AJ10" s="1667"/>
      <c r="AK10" s="1667"/>
      <c r="AL10" s="1667"/>
      <c r="AM10" s="1667"/>
      <c r="AN10" s="1667"/>
      <c r="AO10" s="1667"/>
      <c r="AP10" s="1667"/>
      <c r="AQ10" s="1667"/>
      <c r="AR10" s="1667"/>
      <c r="AS10" s="1667"/>
      <c r="AT10" s="1667"/>
      <c r="AU10" s="1667"/>
      <c r="AV10" s="1667"/>
      <c r="AW10" s="1015"/>
    </row>
    <row r="11" spans="1:49">
      <c r="B11" s="1705"/>
      <c r="C11" s="1394"/>
      <c r="D11" s="1667"/>
      <c r="E11" s="1667"/>
      <c r="F11" s="1667"/>
      <c r="G11" s="1667"/>
      <c r="H11" s="1668">
        <v>1</v>
      </c>
      <c r="I11" s="1394" t="s">
        <v>3624</v>
      </c>
      <c r="J11" s="1667"/>
      <c r="K11" s="1667"/>
      <c r="L11" s="1667"/>
      <c r="M11" s="1667"/>
      <c r="N11" s="1668">
        <v>1</v>
      </c>
      <c r="O11" s="1668" t="s">
        <v>3625</v>
      </c>
      <c r="P11" s="1667"/>
      <c r="Q11" s="1667"/>
      <c r="R11" s="1667"/>
      <c r="S11" s="1667"/>
      <c r="T11" s="1668"/>
      <c r="U11" s="1668"/>
      <c r="V11" s="1667"/>
      <c r="W11" s="1667"/>
      <c r="X11" s="1667"/>
      <c r="Y11" s="1667"/>
      <c r="Z11" s="1668"/>
      <c r="AA11" s="1394"/>
      <c r="AB11" s="1667"/>
      <c r="AC11" s="1667"/>
      <c r="AD11" s="1667"/>
      <c r="AE11" s="1667"/>
      <c r="AF11" s="1668"/>
      <c r="AG11" s="1394"/>
      <c r="AH11" s="1667"/>
      <c r="AI11" s="1667"/>
      <c r="AJ11" s="1667"/>
      <c r="AK11" s="1667"/>
      <c r="AL11" s="1732"/>
      <c r="AM11" s="1732"/>
      <c r="AN11" s="1667"/>
      <c r="AO11" s="1667"/>
      <c r="AP11" s="1667"/>
      <c r="AQ11" s="1667"/>
      <c r="AR11" s="1668">
        <v>15</v>
      </c>
      <c r="AS11" s="1666" t="s">
        <v>3626</v>
      </c>
      <c r="AT11" s="1667"/>
      <c r="AU11" s="1667"/>
      <c r="AV11" s="1667"/>
      <c r="AW11" s="1015"/>
    </row>
    <row r="12" spans="1:49">
      <c r="A12" s="288" t="n">
        <f>RANDBETWEEN(1,6)</f>
        <v>6</v>
      </c>
      <c r="B12" s="1034"/>
      <c r="C12" s="1667"/>
      <c r="D12" s="1667"/>
      <c r="E12" s="1667"/>
      <c r="F12" s="1667"/>
      <c r="G12" s="1667"/>
      <c r="H12" s="1667"/>
      <c r="I12" s="1667"/>
      <c r="J12" s="1667"/>
      <c r="K12" s="1667"/>
      <c r="L12" s="1667"/>
      <c r="M12" s="1667"/>
      <c r="N12" s="1667"/>
      <c r="O12" s="1667"/>
      <c r="P12" s="1667"/>
      <c r="Q12" s="1667"/>
      <c r="R12" s="1667"/>
      <c r="S12" s="1667"/>
      <c r="T12" s="1667"/>
      <c r="U12" s="1667"/>
      <c r="V12" s="1667"/>
      <c r="W12" s="1667"/>
      <c r="X12" s="1667"/>
      <c r="Y12" s="1667"/>
      <c r="Z12" s="1667"/>
      <c r="AA12" s="1667"/>
      <c r="AB12" s="1667"/>
      <c r="AC12" s="1667"/>
      <c r="AD12" s="1667"/>
      <c r="AE12" s="1667"/>
      <c r="AF12" s="1667"/>
      <c r="AG12" s="1667"/>
      <c r="AH12" s="1667"/>
      <c r="AI12" s="1667"/>
      <c r="AJ12" s="1667"/>
      <c r="AK12" s="1667"/>
      <c r="AL12" s="1667"/>
      <c r="AM12" s="1667"/>
      <c r="AN12" s="1667"/>
      <c r="AO12" s="1667"/>
      <c r="AP12" s="1667"/>
      <c r="AQ12" s="1667"/>
      <c r="AR12" s="1667"/>
      <c r="AS12" s="1667"/>
      <c r="AT12" s="1667"/>
      <c r="AU12" s="1667"/>
      <c r="AV12" s="1667"/>
      <c r="AW12" s="1015"/>
    </row>
    <row r="13" spans="1:49">
      <c r="A13" s="288" t="n">
        <f>RANDBETWEEN(1,6)</f>
        <v>1</v>
      </c>
      <c r="B13" s="1689">
        <v>15</v>
      </c>
      <c r="C13" s="1393" t="s">
        <v>3627</v>
      </c>
      <c r="D13" s="1667"/>
      <c r="E13" s="1667"/>
      <c r="F13" s="1667"/>
      <c r="G13" s="1667"/>
      <c r="H13" s="1675">
        <v>15</v>
      </c>
      <c r="I13" s="1393" t="s">
        <v>3628</v>
      </c>
      <c r="J13" s="1667"/>
      <c r="K13" s="1667"/>
      <c r="L13" s="1667"/>
      <c r="M13" s="1667"/>
      <c r="N13" s="1675">
        <v>15</v>
      </c>
      <c r="O13" s="1393" t="s">
        <v>3629</v>
      </c>
      <c r="P13" s="1667"/>
      <c r="Q13" s="1667"/>
      <c r="R13" s="1667"/>
      <c r="S13" s="1667"/>
      <c r="T13" s="1675">
        <v>15</v>
      </c>
      <c r="U13" s="1393" t="s">
        <v>3630</v>
      </c>
      <c r="V13" s="1667"/>
      <c r="W13" s="1667"/>
      <c r="X13" s="1667"/>
      <c r="Y13" s="1667"/>
      <c r="Z13" s="1675">
        <v>15</v>
      </c>
      <c r="AA13" s="1393" t="s">
        <v>3631</v>
      </c>
      <c r="AB13" s="1667"/>
      <c r="AC13" s="1667"/>
      <c r="AD13" s="1667"/>
      <c r="AE13" s="1667"/>
      <c r="AF13" s="1675">
        <v>15</v>
      </c>
      <c r="AG13" s="1393" t="s">
        <v>3632</v>
      </c>
      <c r="AH13" s="1667"/>
      <c r="AI13" s="1667"/>
      <c r="AJ13" s="1667"/>
      <c r="AK13" s="1667"/>
      <c r="AL13" s="1675">
        <v>15</v>
      </c>
      <c r="AM13" s="1393" t="s">
        <v>3633</v>
      </c>
      <c r="AN13" s="1667"/>
      <c r="AO13" s="1667"/>
      <c r="AP13" s="1667"/>
      <c r="AQ13" s="1667"/>
      <c r="AR13" s="1675">
        <v>60</v>
      </c>
      <c r="AS13" s="1694" t="s">
        <v>3634</v>
      </c>
      <c r="AT13" s="1667"/>
      <c r="AU13" s="1667"/>
      <c r="AV13" s="1667"/>
      <c r="AW13" s="1015"/>
    </row>
    <row r="14" spans="1:49">
      <c r="A14" s="288" t="n">
        <f>RANDBETWEEN(1,6)</f>
        <v>6</v>
      </c>
      <c r="B14" s="1034"/>
      <c r="C14" s="1667"/>
      <c r="D14" s="1667"/>
      <c r="E14" s="1667"/>
      <c r="F14" s="1667"/>
      <c r="G14" s="1667"/>
      <c r="H14" s="1667"/>
      <c r="I14" s="1667"/>
      <c r="J14" s="1667"/>
      <c r="K14" s="1667"/>
      <c r="L14" s="1667"/>
      <c r="M14" s="1667"/>
      <c r="N14" s="1667"/>
      <c r="O14" s="1667"/>
      <c r="P14" s="1667"/>
      <c r="Q14" s="1667"/>
      <c r="R14" s="1667"/>
      <c r="S14" s="1667"/>
      <c r="T14" s="1667"/>
      <c r="U14" s="1667"/>
      <c r="V14" s="1667"/>
      <c r="W14" s="1667"/>
      <c r="X14" s="1667"/>
      <c r="Y14" s="1667"/>
      <c r="Z14" s="1667"/>
      <c r="AA14" s="1667"/>
      <c r="AB14" s="1667"/>
      <c r="AC14" s="1667"/>
      <c r="AD14" s="1667"/>
      <c r="AE14" s="1667"/>
      <c r="AF14" s="1667"/>
      <c r="AG14" s="1667"/>
      <c r="AH14" s="1667"/>
      <c r="AI14" s="1667"/>
      <c r="AJ14" s="1667"/>
      <c r="AK14" s="1667"/>
      <c r="AL14" s="1667"/>
      <c r="AM14" s="1667"/>
      <c r="AN14" s="1667"/>
      <c r="AO14" s="1667"/>
      <c r="AP14" s="1667"/>
      <c r="AQ14" s="1667"/>
      <c r="AR14" s="1667"/>
      <c r="AS14" s="1667"/>
      <c r="AT14" s="1667"/>
      <c r="AU14" s="1667"/>
      <c r="AV14" s="1667"/>
      <c r="AW14" s="1015"/>
    </row>
    <row r="15" spans="1:49">
      <c r="A15" s="288" t="n">
        <f>RANDBETWEEN(1,6)</f>
        <v>5</v>
      </c>
      <c r="B15" s="1705">
        <v>50</v>
      </c>
      <c r="C15" s="1394" t="s">
        <v>3635</v>
      </c>
      <c r="D15" s="1667"/>
      <c r="E15" s="1667"/>
      <c r="F15" s="1667"/>
      <c r="G15" s="1667"/>
      <c r="H15" s="1668">
        <v>50</v>
      </c>
      <c r="I15" s="1394" t="s">
        <v>3636</v>
      </c>
      <c r="J15" s="1667"/>
      <c r="K15" s="1667"/>
      <c r="L15" s="1667"/>
      <c r="M15" s="1667"/>
      <c r="N15" s="1668">
        <v>65</v>
      </c>
      <c r="O15" s="1394" t="s">
        <v>3637</v>
      </c>
      <c r="P15" s="1667"/>
      <c r="Q15" s="1667"/>
      <c r="R15" s="1667"/>
      <c r="S15" s="1667"/>
      <c r="T15" s="1668">
        <v>50</v>
      </c>
      <c r="U15" s="1394" t="s">
        <v>3636</v>
      </c>
      <c r="V15" s="1667"/>
      <c r="W15" s="1667"/>
      <c r="X15" s="1667"/>
      <c r="Y15" s="1667"/>
      <c r="Z15" s="1668">
        <v>50</v>
      </c>
      <c r="AA15" s="1394" t="s">
        <v>3635</v>
      </c>
      <c r="AB15" s="1667"/>
      <c r="AC15" s="1667"/>
      <c r="AD15" s="1667"/>
      <c r="AE15" s="1667"/>
      <c r="AF15" s="1668">
        <v>50</v>
      </c>
      <c r="AG15" s="1394" t="s">
        <v>3635</v>
      </c>
      <c r="AH15" s="1667"/>
      <c r="AI15" s="1667"/>
      <c r="AJ15" s="1667"/>
      <c r="AK15" s="1667"/>
      <c r="AL15" s="1668">
        <v>50</v>
      </c>
      <c r="AM15" s="1394" t="s">
        <v>3638</v>
      </c>
      <c r="AN15" s="1667"/>
      <c r="AO15" s="1667"/>
      <c r="AP15" s="1667"/>
      <c r="AQ15" s="1667"/>
      <c r="AR15" s="1668">
        <v>70</v>
      </c>
      <c r="AS15" s="1674" t="s">
        <v>3639</v>
      </c>
      <c r="AT15" s="1667"/>
      <c r="AU15" s="1667"/>
      <c r="AV15" s="1667"/>
      <c r="AW15" s="1015"/>
    </row>
    <row r="16" spans="1:49">
      <c r="A16" s="288" t="n">
        <f>RANDBETWEEN(1,6)</f>
        <v>3</v>
      </c>
      <c r="B16" s="1034"/>
      <c r="C16" s="1667"/>
      <c r="D16" s="1667"/>
      <c r="E16" s="1667"/>
      <c r="F16" s="1667"/>
      <c r="G16" s="1667"/>
      <c r="H16" s="1667"/>
      <c r="I16" s="1667"/>
      <c r="J16" s="1667"/>
      <c r="K16" s="1667"/>
      <c r="L16" s="1667"/>
      <c r="M16" s="1667"/>
      <c r="N16" s="1667"/>
      <c r="O16" s="1667"/>
      <c r="P16" s="1667"/>
      <c r="Q16" s="1667"/>
      <c r="R16" s="1667"/>
      <c r="S16" s="1667"/>
      <c r="T16" s="1667"/>
      <c r="U16" s="1667"/>
      <c r="V16" s="1667"/>
      <c r="W16" s="1667"/>
      <c r="X16" s="1667"/>
      <c r="Y16" s="1667"/>
      <c r="Z16" s="1667"/>
      <c r="AA16" s="1667"/>
      <c r="AB16" s="1667"/>
      <c r="AC16" s="1667"/>
      <c r="AD16" s="1667"/>
      <c r="AE16" s="1667"/>
      <c r="AF16" s="1667"/>
      <c r="AG16" s="1667"/>
      <c r="AH16" s="1667"/>
      <c r="AI16" s="1667"/>
      <c r="AJ16" s="1667"/>
      <c r="AK16" s="1667"/>
      <c r="AL16" s="1667"/>
      <c r="AM16" s="1667"/>
      <c r="AN16" s="1667"/>
      <c r="AO16" s="1667"/>
      <c r="AP16" s="1667"/>
      <c r="AQ16" s="1667"/>
      <c r="AR16" s="1667"/>
      <c r="AS16" s="1667"/>
      <c r="AT16" s="1667"/>
      <c r="AU16" s="1667"/>
      <c r="AV16" s="1667"/>
      <c r="AW16" s="1015"/>
    </row>
    <row r="17" spans="1:49">
      <c r="A17" s="288" t="n">
        <f>RANDBETWEEN(1,6)</f>
        <v>3</v>
      </c>
      <c r="B17" s="1689">
        <v>90</v>
      </c>
      <c r="C17" s="1393" t="s">
        <v>3640</v>
      </c>
      <c r="D17" s="1667"/>
      <c r="E17" s="1667"/>
      <c r="F17" s="1667"/>
      <c r="G17" s="1667"/>
      <c r="H17" s="1675">
        <v>90</v>
      </c>
      <c r="I17" s="1393" t="s">
        <v>3641</v>
      </c>
      <c r="J17" s="1667"/>
      <c r="K17" s="1667"/>
      <c r="L17" s="1667"/>
      <c r="M17" s="1667"/>
      <c r="N17" s="1675">
        <v>80</v>
      </c>
      <c r="O17" s="1393" t="s">
        <v>3642</v>
      </c>
      <c r="P17" s="1667"/>
      <c r="Q17" s="1667"/>
      <c r="R17" s="1667"/>
      <c r="S17" s="1667"/>
      <c r="T17" s="1675">
        <v>90</v>
      </c>
      <c r="U17" s="1393" t="s">
        <v>3643</v>
      </c>
      <c r="V17" s="1667"/>
      <c r="W17" s="1667"/>
      <c r="X17" s="1667"/>
      <c r="Y17" s="1667"/>
      <c r="Z17" s="1675">
        <v>90</v>
      </c>
      <c r="AA17" s="1393" t="s">
        <v>3644</v>
      </c>
      <c r="AB17" s="1667"/>
      <c r="AC17" s="1667"/>
      <c r="AD17" s="1667"/>
      <c r="AE17" s="1667"/>
      <c r="AF17" s="1675">
        <v>90</v>
      </c>
      <c r="AG17" s="1393" t="s">
        <v>3645</v>
      </c>
      <c r="AH17" s="1667"/>
      <c r="AI17" s="1667"/>
      <c r="AJ17" s="1667"/>
      <c r="AK17" s="1667"/>
      <c r="AL17" s="1675">
        <v>90</v>
      </c>
      <c r="AM17" s="1393" t="s">
        <v>3646</v>
      </c>
      <c r="AN17" s="1667"/>
      <c r="AO17" s="1667"/>
      <c r="AP17" s="1667"/>
      <c r="AQ17" s="1667"/>
      <c r="AR17" s="1675">
        <v>80</v>
      </c>
      <c r="AS17" s="1694" t="s">
        <v>3647</v>
      </c>
      <c r="AT17" s="1667"/>
      <c r="AU17" s="1667"/>
      <c r="AV17" s="1667"/>
      <c r="AW17" s="1015"/>
    </row>
    <row r="18" spans="1:49">
      <c r="B18" s="1034"/>
      <c r="C18" s="1667"/>
      <c r="D18" s="1667"/>
      <c r="E18" s="1667"/>
      <c r="F18" s="1667"/>
      <c r="G18" s="1667"/>
      <c r="H18" s="1667"/>
      <c r="I18" s="1667"/>
      <c r="J18" s="1667"/>
      <c r="K18" s="1667"/>
      <c r="L18" s="1667"/>
      <c r="M18" s="1667"/>
      <c r="N18" s="1667"/>
      <c r="O18" s="1667"/>
      <c r="P18" s="1667"/>
      <c r="Q18" s="1667"/>
      <c r="R18" s="1667"/>
      <c r="S18" s="1667"/>
      <c r="T18" s="1667"/>
      <c r="U18" s="1667"/>
      <c r="V18" s="1667"/>
      <c r="W18" s="1667"/>
      <c r="X18" s="1667"/>
      <c r="Y18" s="1667"/>
      <c r="Z18" s="1667"/>
      <c r="AA18" s="1667"/>
      <c r="AB18" s="1667"/>
      <c r="AC18" s="1667"/>
      <c r="AD18" s="1667"/>
      <c r="AE18" s="1667"/>
      <c r="AF18" s="1667"/>
      <c r="AG18" s="1667"/>
      <c r="AH18" s="1667"/>
      <c r="AI18" s="1667"/>
      <c r="AJ18" s="1667"/>
      <c r="AK18" s="1667"/>
      <c r="AL18" s="1667"/>
      <c r="AM18" s="1667"/>
      <c r="AN18" s="1667"/>
      <c r="AO18" s="1667"/>
      <c r="AP18" s="1667"/>
      <c r="AQ18" s="1667"/>
      <c r="AR18" s="1667"/>
      <c r="AS18" s="1667"/>
      <c r="AT18" s="1667"/>
      <c r="AU18" s="1667"/>
      <c r="AV18" s="1667"/>
      <c r="AW18" s="1015"/>
    </row>
    <row r="19" spans="1:49">
      <c r="B19" s="1705">
        <v>99</v>
      </c>
      <c r="C19" s="1394" t="s">
        <v>3648</v>
      </c>
      <c r="D19" s="1667"/>
      <c r="E19" s="1667"/>
      <c r="F19" s="1667"/>
      <c r="G19" s="1667"/>
      <c r="H19" s="1668">
        <v>99</v>
      </c>
      <c r="I19" s="1394" t="s">
        <v>3649</v>
      </c>
      <c r="J19" s="1667"/>
      <c r="K19" s="1667"/>
      <c r="L19" s="1667"/>
      <c r="M19" s="1667"/>
      <c r="N19" s="1668">
        <v>99</v>
      </c>
      <c r="O19" s="1394" t="s">
        <v>3650</v>
      </c>
      <c r="P19" s="1667"/>
      <c r="Q19" s="1667"/>
      <c r="R19" s="1667"/>
      <c r="S19" s="1667"/>
      <c r="T19" s="1668">
        <v>99</v>
      </c>
      <c r="U19" s="1394" t="s">
        <v>3651</v>
      </c>
      <c r="V19" s="1667"/>
      <c r="W19" s="1667"/>
      <c r="X19" s="1667"/>
      <c r="Y19" s="1667"/>
      <c r="Z19" s="1668">
        <v>99</v>
      </c>
      <c r="AA19" s="1394" t="s">
        <v>3652</v>
      </c>
      <c r="AB19" s="1667"/>
      <c r="AC19" s="1667"/>
      <c r="AD19" s="1667"/>
      <c r="AE19" s="1667"/>
      <c r="AF19" s="1668">
        <v>99</v>
      </c>
      <c r="AG19" s="1394" t="s">
        <v>3653</v>
      </c>
      <c r="AH19" s="1667"/>
      <c r="AI19" s="1667"/>
      <c r="AJ19" s="1667"/>
      <c r="AK19" s="1667"/>
      <c r="AL19" s="1668">
        <v>100</v>
      </c>
      <c r="AM19" s="1394" t="s">
        <v>3654</v>
      </c>
      <c r="AN19" s="1667"/>
      <c r="AO19" s="1667"/>
      <c r="AP19" s="1667"/>
      <c r="AQ19" s="1667"/>
      <c r="AR19" s="1668">
        <v>90</v>
      </c>
      <c r="AS19" s="1674" t="s">
        <v>3655</v>
      </c>
      <c r="AT19" s="1667"/>
      <c r="AU19" s="1667"/>
      <c r="AV19" s="1667"/>
      <c r="AW19" s="1015"/>
    </row>
    <row r="20" spans="1:49">
      <c r="B20" s="1034"/>
      <c r="C20" s="1667"/>
      <c r="D20" s="1667"/>
      <c r="E20" s="1667"/>
      <c r="F20" s="1667"/>
      <c r="G20" s="1667"/>
      <c r="H20" s="1667"/>
      <c r="I20" s="1667"/>
      <c r="J20" s="1667"/>
      <c r="K20" s="1667"/>
      <c r="L20" s="1667"/>
      <c r="M20" s="1667"/>
      <c r="N20" s="1667"/>
      <c r="O20" s="1667"/>
      <c r="P20" s="1667"/>
      <c r="Q20" s="1667"/>
      <c r="R20" s="1667"/>
      <c r="S20" s="1667"/>
      <c r="T20" s="1667"/>
      <c r="U20" s="1667"/>
      <c r="V20" s="1667"/>
      <c r="W20" s="1667"/>
      <c r="X20" s="1667"/>
      <c r="Y20" s="1667"/>
      <c r="Z20" s="1667"/>
      <c r="AA20" s="1667"/>
      <c r="AB20" s="1667"/>
      <c r="AC20" s="1667"/>
      <c r="AD20" s="1667"/>
      <c r="AE20" s="1667"/>
      <c r="AF20" s="1667"/>
      <c r="AG20" s="1667"/>
      <c r="AH20" s="1667"/>
      <c r="AI20" s="1667"/>
      <c r="AJ20" s="1667"/>
      <c r="AK20" s="1667"/>
      <c r="AL20" s="1667"/>
      <c r="AM20" s="1667"/>
      <c r="AN20" s="1667"/>
      <c r="AO20" s="1667"/>
      <c r="AP20" s="1667"/>
      <c r="AQ20" s="1667"/>
      <c r="AR20" s="1667"/>
      <c r="AS20" s="1667"/>
      <c r="AT20" s="1667"/>
      <c r="AU20" s="1667"/>
      <c r="AV20" s="1667"/>
      <c r="AW20" s="1015"/>
    </row>
    <row r="21" spans="1:49">
      <c r="B21" s="1689">
        <v>140</v>
      </c>
      <c r="C21" s="1393" t="s">
        <v>3656</v>
      </c>
      <c r="D21" s="1667"/>
      <c r="E21" s="1667"/>
      <c r="F21" s="1667"/>
      <c r="G21" s="1667"/>
      <c r="H21" s="1675">
        <v>140</v>
      </c>
      <c r="I21" s="1393" t="s">
        <v>3657</v>
      </c>
      <c r="J21" s="1667"/>
      <c r="K21" s="1667"/>
      <c r="L21" s="1667"/>
      <c r="M21" s="1667"/>
      <c r="N21" s="1675">
        <v>150</v>
      </c>
      <c r="O21" s="1393" t="s">
        <v>3658</v>
      </c>
      <c r="P21" s="1667"/>
      <c r="Q21" s="1667"/>
      <c r="R21" s="1667"/>
      <c r="S21" s="1667"/>
      <c r="T21" s="1675">
        <v>120</v>
      </c>
      <c r="U21" s="1675" t="s">
        <v>3659</v>
      </c>
      <c r="V21" s="1667"/>
      <c r="W21" s="1667"/>
      <c r="X21" s="1667"/>
      <c r="Y21" s="1667"/>
      <c r="Z21" s="1675"/>
      <c r="AA21" s="1393"/>
      <c r="AB21" s="1667"/>
      <c r="AC21" s="1667"/>
      <c r="AD21" s="1667"/>
      <c r="AE21" s="1667"/>
      <c r="AF21" s="1675">
        <v>140</v>
      </c>
      <c r="AG21" s="1675" t="s">
        <v>3660</v>
      </c>
      <c r="AH21" s="1667"/>
      <c r="AI21" s="1667"/>
      <c r="AJ21" s="1667"/>
      <c r="AK21" s="1667"/>
      <c r="AL21" s="1675">
        <v>140</v>
      </c>
      <c r="AM21" s="1393" t="s">
        <v>3661</v>
      </c>
      <c r="AN21" s="1667"/>
      <c r="AO21" s="1667"/>
      <c r="AP21" s="1667"/>
      <c r="AQ21" s="1667"/>
      <c r="AR21" s="1675">
        <v>96</v>
      </c>
      <c r="AS21" s="1694" t="s">
        <v>3662</v>
      </c>
      <c r="AT21" s="1667"/>
      <c r="AU21" s="1667"/>
      <c r="AV21" s="1667"/>
      <c r="AW21" s="1015"/>
    </row>
    <row r="22" spans="1:49">
      <c r="B22" s="1034"/>
      <c r="C22" s="1667"/>
      <c r="D22" s="1667"/>
      <c r="E22" s="1667"/>
      <c r="F22" s="1667"/>
      <c r="G22" s="1667"/>
      <c r="H22" s="1667"/>
      <c r="I22" s="1667"/>
      <c r="J22" s="1667"/>
      <c r="K22" s="1667"/>
      <c r="L22" s="1667"/>
      <c r="M22" s="1667"/>
      <c r="N22" s="1667"/>
      <c r="O22" s="1667"/>
      <c r="P22" s="1667"/>
      <c r="Q22" s="1667"/>
      <c r="R22" s="1667"/>
      <c r="S22" s="1667"/>
      <c r="T22" s="1667"/>
      <c r="U22" s="1667"/>
      <c r="V22" s="1667"/>
      <c r="W22" s="1667"/>
      <c r="X22" s="1667"/>
      <c r="Y22" s="1667"/>
      <c r="Z22" s="1667"/>
      <c r="AA22" s="1667"/>
      <c r="AB22" s="1667"/>
      <c r="AC22" s="1667"/>
      <c r="AD22" s="1667"/>
      <c r="AE22" s="1667"/>
      <c r="AF22" s="1667"/>
      <c r="AG22" s="1667"/>
      <c r="AH22" s="1667"/>
      <c r="AI22" s="1667"/>
      <c r="AJ22" s="1667"/>
      <c r="AK22" s="1667"/>
      <c r="AL22" s="1667"/>
      <c r="AM22" s="1667"/>
      <c r="AN22" s="1667"/>
      <c r="AO22" s="1667"/>
      <c r="AP22" s="1667"/>
      <c r="AQ22" s="1667"/>
      <c r="AR22" s="1667"/>
      <c r="AS22" s="1667"/>
      <c r="AT22" s="1667"/>
      <c r="AU22" s="1667"/>
      <c r="AV22" s="1667"/>
      <c r="AW22" s="1015"/>
    </row>
    <row r="23" spans="1:49">
      <c r="B23" s="289"/>
      <c r="C23" s="290"/>
      <c r="D23" s="290"/>
      <c r="E23" s="290"/>
      <c r="F23" s="290"/>
      <c r="G23" s="290"/>
      <c r="H23" s="1668"/>
      <c r="I23" s="1394"/>
      <c r="J23" s="1667"/>
      <c r="K23" s="1667"/>
      <c r="L23" s="1667"/>
      <c r="M23" s="1667"/>
      <c r="N23" s="1668">
        <v>180</v>
      </c>
      <c r="O23" s="1394" t="s">
        <v>3663</v>
      </c>
      <c r="P23" s="1667"/>
      <c r="Q23" s="1667"/>
      <c r="R23" s="1667"/>
      <c r="S23" s="1667"/>
      <c r="T23" s="1668"/>
      <c r="U23" s="1394"/>
      <c r="V23" s="1667"/>
      <c r="W23" s="1667"/>
      <c r="X23" s="1667"/>
      <c r="Y23" s="1667"/>
      <c r="Z23" s="1668"/>
      <c r="AA23" s="1394"/>
      <c r="AB23" s="1667"/>
      <c r="AC23" s="1667"/>
      <c r="AD23" s="1667"/>
      <c r="AE23" s="1667"/>
      <c r="AF23" s="1668"/>
      <c r="AG23" s="1394"/>
      <c r="AH23" s="1667"/>
      <c r="AI23" s="1667"/>
      <c r="AJ23" s="1667"/>
      <c r="AK23" s="1667"/>
      <c r="AL23" s="1668"/>
      <c r="AM23" s="1394"/>
      <c r="AN23" s="1667"/>
      <c r="AO23" s="1667"/>
      <c r="AP23" s="1667"/>
      <c r="AQ23" s="1667"/>
      <c r="AR23" s="1668">
        <v>99</v>
      </c>
      <c r="AS23" s="1674" t="s">
        <v>3664</v>
      </c>
      <c r="AT23" s="1667"/>
      <c r="AU23" s="1667"/>
      <c r="AV23" s="1667"/>
      <c r="AW23" s="1015"/>
    </row>
    <row r="24" spans="1:49">
      <c r="B24" s="289"/>
      <c r="C24" s="290"/>
      <c r="D24" s="290"/>
      <c r="E24" s="290"/>
      <c r="F24" s="290"/>
      <c r="G24" s="290"/>
      <c r="H24" s="1667"/>
      <c r="I24" s="1667"/>
      <c r="J24" s="1667"/>
      <c r="K24" s="1667"/>
      <c r="L24" s="1667"/>
      <c r="M24" s="1667"/>
      <c r="N24" s="1667"/>
      <c r="O24" s="1667"/>
      <c r="P24" s="1667"/>
      <c r="Q24" s="1667"/>
      <c r="R24" s="1667"/>
      <c r="S24" s="1667"/>
      <c r="T24" s="1667"/>
      <c r="U24" s="1667"/>
      <c r="V24" s="1667"/>
      <c r="W24" s="1667"/>
      <c r="X24" s="1667"/>
      <c r="Y24" s="1667"/>
      <c r="Z24" s="1667"/>
      <c r="AA24" s="1667"/>
      <c r="AB24" s="1667"/>
      <c r="AC24" s="1667"/>
      <c r="AD24" s="1667"/>
      <c r="AE24" s="1667"/>
      <c r="AF24" s="1667"/>
      <c r="AG24" s="1667"/>
      <c r="AH24" s="1667"/>
      <c r="AI24" s="1667"/>
      <c r="AJ24" s="1667"/>
      <c r="AK24" s="1667"/>
      <c r="AL24" s="1667"/>
      <c r="AM24" s="1667"/>
      <c r="AN24" s="1667"/>
      <c r="AO24" s="1667"/>
      <c r="AP24" s="1667"/>
      <c r="AQ24" s="1667"/>
      <c r="AR24" s="1667"/>
      <c r="AS24" s="1667"/>
      <c r="AT24" s="1667"/>
      <c r="AU24" s="1667"/>
      <c r="AV24" s="1667"/>
      <c r="AW24" s="1015"/>
    </row>
    <row r="25" spans="1:49">
      <c r="B25" s="1727" t="s">
        <v>3665</v>
      </c>
      <c r="C25" s="1701" t="s">
        <v>3666</v>
      </c>
      <c r="D25" s="1667"/>
      <c r="E25" s="1667"/>
      <c r="F25" s="1667"/>
      <c r="G25" s="1667"/>
      <c r="H25" s="1701" t="s">
        <v>3665</v>
      </c>
      <c r="I25" s="1480" t="s">
        <v>3667</v>
      </c>
      <c r="J25" s="1667"/>
      <c r="K25" s="1667"/>
      <c r="L25" s="1667"/>
      <c r="M25" s="1667"/>
      <c r="N25" s="1701" t="s">
        <v>3665</v>
      </c>
      <c r="O25" s="1480" t="s">
        <v>3668</v>
      </c>
      <c r="P25" s="1667"/>
      <c r="Q25" s="1667"/>
      <c r="R25" s="1667"/>
      <c r="S25" s="1667"/>
      <c r="T25" s="1701" t="s">
        <v>3665</v>
      </c>
      <c r="U25" s="1480" t="s">
        <v>3669</v>
      </c>
      <c r="V25" s="1667"/>
      <c r="W25" s="1667"/>
      <c r="X25" s="1667"/>
      <c r="Y25" s="1667"/>
      <c r="Z25" s="1701"/>
      <c r="AA25" s="1480"/>
      <c r="AB25" s="1667"/>
      <c r="AC25" s="1667"/>
      <c r="AD25" s="1667"/>
      <c r="AE25" s="1667"/>
      <c r="AF25" s="1701" t="s">
        <v>3670</v>
      </c>
      <c r="AG25" s="1480" t="s">
        <v>3671</v>
      </c>
      <c r="AH25" s="1667"/>
      <c r="AI25" s="1667"/>
      <c r="AJ25" s="1667"/>
      <c r="AK25" s="1667"/>
      <c r="AL25" s="1701" t="s">
        <v>3670</v>
      </c>
      <c r="AM25" s="1480" t="s">
        <v>3672</v>
      </c>
      <c r="AN25" s="1667"/>
      <c r="AO25" s="1667"/>
      <c r="AP25" s="1667"/>
      <c r="AQ25" s="1667"/>
      <c r="AR25" s="1701"/>
      <c r="AS25" s="1779"/>
      <c r="AT25" s="1667"/>
      <c r="AU25" s="1667"/>
      <c r="AV25" s="1667"/>
      <c r="AW25" s="1015"/>
    </row>
    <row r="26" spans="1:49">
      <c r="B26" s="1090"/>
      <c r="C26" s="1019"/>
      <c r="D26" s="1019"/>
      <c r="E26" s="1019"/>
      <c r="F26" s="1019"/>
      <c r="G26" s="1019"/>
      <c r="H26" s="1019"/>
      <c r="I26" s="1019"/>
      <c r="J26" s="1019"/>
      <c r="K26" s="1019"/>
      <c r="L26" s="1019"/>
      <c r="M26" s="1019"/>
      <c r="N26" s="1019"/>
      <c r="O26" s="1019"/>
      <c r="P26" s="1019"/>
      <c r="Q26" s="1019"/>
      <c r="R26" s="1019"/>
      <c r="S26" s="1019"/>
      <c r="T26" s="1019"/>
      <c r="U26" s="1019"/>
      <c r="V26" s="1019"/>
      <c r="W26" s="1019"/>
      <c r="X26" s="1019"/>
      <c r="Y26" s="1019"/>
      <c r="Z26" s="1019"/>
      <c r="AA26" s="1019"/>
      <c r="AB26" s="1019"/>
      <c r="AC26" s="1019"/>
      <c r="AD26" s="1019"/>
      <c r="AE26" s="1019"/>
      <c r="AF26" s="1019"/>
      <c r="AG26" s="1019"/>
      <c r="AH26" s="1019"/>
      <c r="AI26" s="1019"/>
      <c r="AJ26" s="1019"/>
      <c r="AK26" s="1019"/>
      <c r="AL26" s="1019"/>
      <c r="AM26" s="1019"/>
      <c r="AN26" s="1019"/>
      <c r="AO26" s="1019"/>
      <c r="AP26" s="1019"/>
      <c r="AQ26" s="1019"/>
      <c r="AR26" s="1019"/>
      <c r="AS26" s="1019"/>
      <c r="AT26" s="1019"/>
      <c r="AU26" s="1019"/>
      <c r="AV26" s="1019"/>
      <c r="AW26" s="1091"/>
    </row>
    <row r="27" spans="1:49">
      <c r="A27" s="1766" t="s">
        <v>3673</v>
      </c>
      <c r="B27" s="1673" t="s">
        <v>3674</v>
      </c>
      <c r="C27" s="1667"/>
      <c r="D27" s="1667"/>
      <c r="E27" s="1667"/>
      <c r="F27" s="1667"/>
      <c r="G27" s="1378"/>
      <c r="H27" s="1673" t="s">
        <v>3675</v>
      </c>
      <c r="I27" s="1667"/>
      <c r="J27" s="1667"/>
      <c r="K27" s="1667"/>
      <c r="L27" s="1667"/>
      <c r="M27" s="1378"/>
      <c r="N27" s="1673" t="s">
        <v>3676</v>
      </c>
      <c r="O27" s="1667"/>
      <c r="P27" s="1667"/>
      <c r="Q27" s="1667"/>
      <c r="R27" s="1667"/>
      <c r="S27" s="1378"/>
      <c r="T27" s="1673" t="s">
        <v>3677</v>
      </c>
      <c r="U27" s="1667"/>
      <c r="V27" s="1667"/>
      <c r="W27" s="1667"/>
      <c r="X27" s="1667"/>
      <c r="Y27" s="1378"/>
      <c r="Z27" s="1673" t="s">
        <v>3678</v>
      </c>
      <c r="AA27" s="1667"/>
      <c r="AB27" s="1667"/>
      <c r="AC27" s="1667"/>
      <c r="AD27" s="1667"/>
      <c r="AE27" s="1378"/>
      <c r="AF27" s="1673" t="s">
        <v>3679</v>
      </c>
      <c r="AG27" s="1667"/>
      <c r="AH27" s="1667"/>
      <c r="AI27" s="1667"/>
      <c r="AJ27" s="1667"/>
      <c r="AK27" s="1378"/>
      <c r="AL27" s="1673" t="s">
        <v>3680</v>
      </c>
      <c r="AM27" s="1667"/>
      <c r="AN27" s="1667"/>
      <c r="AO27" s="1667"/>
      <c r="AP27" s="1667"/>
      <c r="AQ27" s="1378"/>
      <c r="AR27" s="1673" t="s">
        <v>3681</v>
      </c>
      <c r="AS27" s="1667"/>
      <c r="AT27" s="1667"/>
      <c r="AU27" s="1667"/>
      <c r="AV27" s="1667"/>
      <c r="AW27" s="1378"/>
    </row>
    <row r="28" spans="1:49">
      <c r="A28" s="1714"/>
      <c r="B28" s="1408"/>
      <c r="C28" s="1667"/>
      <c r="D28" s="1667"/>
      <c r="E28" s="1667"/>
      <c r="F28" s="1667"/>
      <c r="G28" s="1378"/>
      <c r="H28" s="1408"/>
      <c r="I28" s="1667"/>
      <c r="J28" s="1667"/>
      <c r="K28" s="1667"/>
      <c r="L28" s="1667"/>
      <c r="M28" s="1378"/>
      <c r="N28" s="1408"/>
      <c r="O28" s="1667"/>
      <c r="P28" s="1667"/>
      <c r="Q28" s="1667"/>
      <c r="R28" s="1667"/>
      <c r="S28" s="1378"/>
      <c r="T28" s="1408"/>
      <c r="U28" s="1667"/>
      <c r="V28" s="1667"/>
      <c r="W28" s="1667"/>
      <c r="X28" s="1667"/>
      <c r="Y28" s="1378"/>
      <c r="Z28" s="1408"/>
      <c r="AA28" s="1667"/>
      <c r="AB28" s="1667"/>
      <c r="AC28" s="1667"/>
      <c r="AD28" s="1667"/>
      <c r="AE28" s="1378"/>
      <c r="AF28" s="1408"/>
      <c r="AG28" s="1667"/>
      <c r="AH28" s="1667"/>
      <c r="AI28" s="1667"/>
      <c r="AJ28" s="1667"/>
      <c r="AK28" s="1378"/>
      <c r="AL28" s="1408"/>
      <c r="AM28" s="1667"/>
      <c r="AN28" s="1667"/>
      <c r="AO28" s="1667"/>
      <c r="AP28" s="1667"/>
      <c r="AQ28" s="1378"/>
      <c r="AR28" s="1408"/>
      <c r="AS28" s="1667"/>
      <c r="AT28" s="1667"/>
      <c r="AU28" s="1667"/>
      <c r="AV28" s="1667"/>
      <c r="AW28" s="1378"/>
    </row>
    <row r="29" spans="1:49">
      <c r="A29" s="1714"/>
      <c r="B29" s="1408"/>
      <c r="C29" s="1667"/>
      <c r="D29" s="1667"/>
      <c r="E29" s="1667"/>
      <c r="F29" s="1667"/>
      <c r="G29" s="1378"/>
      <c r="H29" s="1408"/>
      <c r="I29" s="1667"/>
      <c r="J29" s="1667"/>
      <c r="K29" s="1667"/>
      <c r="L29" s="1667"/>
      <c r="M29" s="1378"/>
      <c r="N29" s="1408"/>
      <c r="O29" s="1667"/>
      <c r="P29" s="1667"/>
      <c r="Q29" s="1667"/>
      <c r="R29" s="1667"/>
      <c r="S29" s="1378"/>
      <c r="T29" s="1408"/>
      <c r="U29" s="1667"/>
      <c r="V29" s="1667"/>
      <c r="W29" s="1667"/>
      <c r="X29" s="1667"/>
      <c r="Y29" s="1378"/>
      <c r="Z29" s="1408"/>
      <c r="AA29" s="1667"/>
      <c r="AB29" s="1667"/>
      <c r="AC29" s="1667"/>
      <c r="AD29" s="1667"/>
      <c r="AE29" s="1378"/>
      <c r="AF29" s="1408"/>
      <c r="AG29" s="1667"/>
      <c r="AH29" s="1667"/>
      <c r="AI29" s="1667"/>
      <c r="AJ29" s="1667"/>
      <c r="AK29" s="1378"/>
      <c r="AL29" s="1408"/>
      <c r="AM29" s="1667"/>
      <c r="AN29" s="1667"/>
      <c r="AO29" s="1667"/>
      <c r="AP29" s="1667"/>
      <c r="AQ29" s="1378"/>
      <c r="AR29" s="1408"/>
      <c r="AS29" s="1667"/>
      <c r="AT29" s="1667"/>
      <c r="AU29" s="1667"/>
      <c r="AV29" s="1667"/>
      <c r="AW29" s="1378"/>
    </row>
    <row r="30" spans="1:49">
      <c r="A30" s="1714"/>
      <c r="B30" s="1408"/>
      <c r="C30" s="1667"/>
      <c r="D30" s="1667"/>
      <c r="E30" s="1667"/>
      <c r="F30" s="1667"/>
      <c r="G30" s="1378"/>
      <c r="H30" s="1408"/>
      <c r="I30" s="1667"/>
      <c r="J30" s="1667"/>
      <c r="K30" s="1667"/>
      <c r="L30" s="1667"/>
      <c r="M30" s="1378"/>
      <c r="N30" s="1408"/>
      <c r="O30" s="1667"/>
      <c r="P30" s="1667"/>
      <c r="Q30" s="1667"/>
      <c r="R30" s="1667"/>
      <c r="S30" s="1378"/>
      <c r="T30" s="1408"/>
      <c r="U30" s="1667"/>
      <c r="V30" s="1667"/>
      <c r="W30" s="1667"/>
      <c r="X30" s="1667"/>
      <c r="Y30" s="1378"/>
      <c r="Z30" s="1408"/>
      <c r="AA30" s="1667"/>
      <c r="AB30" s="1667"/>
      <c r="AC30" s="1667"/>
      <c r="AD30" s="1667"/>
      <c r="AE30" s="1378"/>
      <c r="AF30" s="1408"/>
      <c r="AG30" s="1667"/>
      <c r="AH30" s="1667"/>
      <c r="AI30" s="1667"/>
      <c r="AJ30" s="1667"/>
      <c r="AK30" s="1378"/>
      <c r="AL30" s="1408"/>
      <c r="AM30" s="1667"/>
      <c r="AN30" s="1667"/>
      <c r="AO30" s="1667"/>
      <c r="AP30" s="1667"/>
      <c r="AQ30" s="1378"/>
      <c r="AR30" s="1408"/>
      <c r="AS30" s="1667"/>
      <c r="AT30" s="1667"/>
      <c r="AU30" s="1667"/>
      <c r="AV30" s="1667"/>
      <c r="AW30" s="1378"/>
    </row>
    <row r="31" spans="1:49">
      <c r="A31" s="1715"/>
      <c r="B31" s="1409"/>
      <c r="C31" s="1410"/>
      <c r="D31" s="1410"/>
      <c r="E31" s="1410"/>
      <c r="F31" s="1410"/>
      <c r="G31" s="1411"/>
      <c r="H31" s="1409"/>
      <c r="I31" s="1410"/>
      <c r="J31" s="1410"/>
      <c r="K31" s="1410"/>
      <c r="L31" s="1410"/>
      <c r="M31" s="1411"/>
      <c r="N31" s="1409"/>
      <c r="O31" s="1410"/>
      <c r="P31" s="1410"/>
      <c r="Q31" s="1410"/>
      <c r="R31" s="1410"/>
      <c r="S31" s="1411"/>
      <c r="T31" s="1409"/>
      <c r="U31" s="1410"/>
      <c r="V31" s="1410"/>
      <c r="W31" s="1410"/>
      <c r="X31" s="1410"/>
      <c r="Y31" s="1411"/>
      <c r="Z31" s="1409"/>
      <c r="AA31" s="1410"/>
      <c r="AB31" s="1410"/>
      <c r="AC31" s="1410"/>
      <c r="AD31" s="1410"/>
      <c r="AE31" s="1411"/>
      <c r="AF31" s="1409"/>
      <c r="AG31" s="1410"/>
      <c r="AH31" s="1410"/>
      <c r="AI31" s="1410"/>
      <c r="AJ31" s="1410"/>
      <c r="AK31" s="1411"/>
      <c r="AL31" s="1409"/>
      <c r="AM31" s="1410"/>
      <c r="AN31" s="1410"/>
      <c r="AO31" s="1410"/>
      <c r="AP31" s="1410"/>
      <c r="AQ31" s="1411"/>
      <c r="AR31" s="1409"/>
      <c r="AS31" s="1410"/>
      <c r="AT31" s="1410"/>
      <c r="AU31" s="1410"/>
      <c r="AV31" s="1410"/>
      <c r="AW31" s="1411"/>
    </row>
    <row r="32" spans="1:49" ht="25.8" customHeight="1">
      <c r="A32" s="1713" t="s">
        <v>3682</v>
      </c>
      <c r="B32" s="1679" t="s">
        <v>3683</v>
      </c>
      <c r="C32" s="1406"/>
      <c r="D32" s="1406"/>
      <c r="E32" s="1406"/>
      <c r="F32" s="1406"/>
      <c r="G32" s="1407"/>
      <c r="H32" s="1679" t="s">
        <v>3684</v>
      </c>
      <c r="I32" s="1406"/>
      <c r="J32" s="1406"/>
      <c r="K32" s="1406"/>
      <c r="L32" s="1406"/>
      <c r="M32" s="1407"/>
      <c r="N32" s="1679" t="s">
        <v>3685</v>
      </c>
      <c r="O32" s="1406"/>
      <c r="P32" s="1406"/>
      <c r="Q32" s="1406"/>
      <c r="R32" s="1406"/>
      <c r="S32" s="1407"/>
      <c r="T32" s="1679" t="s">
        <v>3686</v>
      </c>
      <c r="U32" s="1406"/>
      <c r="V32" s="1406"/>
      <c r="W32" s="1406"/>
      <c r="X32" s="1406"/>
      <c r="Y32" s="1407"/>
      <c r="Z32" s="1679" t="s">
        <v>3687</v>
      </c>
      <c r="AA32" s="1406"/>
      <c r="AB32" s="1406"/>
      <c r="AC32" s="1406"/>
      <c r="AD32" s="1406"/>
      <c r="AE32" s="1407"/>
      <c r="AF32" s="1679" t="s">
        <v>3688</v>
      </c>
      <c r="AG32" s="1406"/>
      <c r="AH32" s="1406"/>
      <c r="AI32" s="1406"/>
      <c r="AJ32" s="1406"/>
      <c r="AK32" s="1407"/>
      <c r="AL32" s="1679"/>
      <c r="AM32" s="1406"/>
      <c r="AN32" s="1406"/>
      <c r="AO32" s="1406"/>
      <c r="AP32" s="1406"/>
      <c r="AQ32" s="1407"/>
      <c r="AR32" s="1679" t="s">
        <v>3689</v>
      </c>
      <c r="AS32" s="1406"/>
      <c r="AT32" s="1406"/>
      <c r="AU32" s="1406"/>
      <c r="AV32" s="1406"/>
      <c r="AW32" s="1407"/>
    </row>
    <row r="33" spans="1:73">
      <c r="A33" s="1714"/>
      <c r="B33" s="1408"/>
      <c r="C33" s="1667"/>
      <c r="D33" s="1667"/>
      <c r="E33" s="1667"/>
      <c r="F33" s="1667"/>
      <c r="G33" s="1378"/>
      <c r="H33" s="1408"/>
      <c r="I33" s="1667"/>
      <c r="J33" s="1667"/>
      <c r="K33" s="1667"/>
      <c r="L33" s="1667"/>
      <c r="M33" s="1378"/>
      <c r="N33" s="1408"/>
      <c r="O33" s="1667"/>
      <c r="P33" s="1667"/>
      <c r="Q33" s="1667"/>
      <c r="R33" s="1667"/>
      <c r="S33" s="1378"/>
      <c r="T33" s="1408"/>
      <c r="U33" s="1667"/>
      <c r="V33" s="1667"/>
      <c r="W33" s="1667"/>
      <c r="X33" s="1667"/>
      <c r="Y33" s="1378"/>
      <c r="Z33" s="1408"/>
      <c r="AA33" s="1667"/>
      <c r="AB33" s="1667"/>
      <c r="AC33" s="1667"/>
      <c r="AD33" s="1667"/>
      <c r="AE33" s="1378"/>
      <c r="AF33" s="1408"/>
      <c r="AG33" s="1667"/>
      <c r="AH33" s="1667"/>
      <c r="AI33" s="1667"/>
      <c r="AJ33" s="1667"/>
      <c r="AK33" s="1378"/>
      <c r="AL33" s="1408"/>
      <c r="AM33" s="1667"/>
      <c r="AN33" s="1667"/>
      <c r="AO33" s="1667"/>
      <c r="AP33" s="1667"/>
      <c r="AQ33" s="1378"/>
      <c r="AR33" s="1408"/>
      <c r="AS33" s="1667"/>
      <c r="AT33" s="1667"/>
      <c r="AU33" s="1667"/>
      <c r="AV33" s="1667"/>
      <c r="AW33" s="1378"/>
    </row>
    <row r="34" spans="1:73">
      <c r="A34" s="1714"/>
      <c r="B34" s="1408"/>
      <c r="C34" s="1667"/>
      <c r="D34" s="1667"/>
      <c r="E34" s="1667"/>
      <c r="F34" s="1667"/>
      <c r="G34" s="1378"/>
      <c r="H34" s="1408"/>
      <c r="I34" s="1667"/>
      <c r="J34" s="1667"/>
      <c r="K34" s="1667"/>
      <c r="L34" s="1667"/>
      <c r="M34" s="1378"/>
      <c r="N34" s="1408"/>
      <c r="O34" s="1667"/>
      <c r="P34" s="1667"/>
      <c r="Q34" s="1667"/>
      <c r="R34" s="1667"/>
      <c r="S34" s="1378"/>
      <c r="T34" s="1408"/>
      <c r="U34" s="1667"/>
      <c r="V34" s="1667"/>
      <c r="W34" s="1667"/>
      <c r="X34" s="1667"/>
      <c r="Y34" s="1378"/>
      <c r="Z34" s="1408"/>
      <c r="AA34" s="1667"/>
      <c r="AB34" s="1667"/>
      <c r="AC34" s="1667"/>
      <c r="AD34" s="1667"/>
      <c r="AE34" s="1378"/>
      <c r="AF34" s="1408"/>
      <c r="AG34" s="1667"/>
      <c r="AH34" s="1667"/>
      <c r="AI34" s="1667"/>
      <c r="AJ34" s="1667"/>
      <c r="AK34" s="1378"/>
      <c r="AL34" s="1408"/>
      <c r="AM34" s="1667"/>
      <c r="AN34" s="1667"/>
      <c r="AO34" s="1667"/>
      <c r="AP34" s="1667"/>
      <c r="AQ34" s="1378"/>
      <c r="AR34" s="1408"/>
      <c r="AS34" s="1667"/>
      <c r="AT34" s="1667"/>
      <c r="AU34" s="1667"/>
      <c r="AV34" s="1667"/>
      <c r="AW34" s="1378"/>
    </row>
    <row r="35" spans="1:73">
      <c r="A35" s="1715"/>
      <c r="B35" s="1409"/>
      <c r="C35" s="1410"/>
      <c r="D35" s="1410"/>
      <c r="E35" s="1410"/>
      <c r="F35" s="1410"/>
      <c r="G35" s="1411"/>
      <c r="H35" s="1409"/>
      <c r="I35" s="1410"/>
      <c r="J35" s="1410"/>
      <c r="K35" s="1410"/>
      <c r="L35" s="1410"/>
      <c r="M35" s="1411"/>
      <c r="N35" s="1409"/>
      <c r="O35" s="1410"/>
      <c r="P35" s="1410"/>
      <c r="Q35" s="1410"/>
      <c r="R35" s="1410"/>
      <c r="S35" s="1411"/>
      <c r="T35" s="1409"/>
      <c r="U35" s="1410"/>
      <c r="V35" s="1410"/>
      <c r="W35" s="1410"/>
      <c r="X35" s="1410"/>
      <c r="Y35" s="1411"/>
      <c r="Z35" s="1409"/>
      <c r="AA35" s="1410"/>
      <c r="AB35" s="1410"/>
      <c r="AC35" s="1410"/>
      <c r="AD35" s="1410"/>
      <c r="AE35" s="1411"/>
      <c r="AF35" s="1409"/>
      <c r="AG35" s="1410"/>
      <c r="AH35" s="1410"/>
      <c r="AI35" s="1410"/>
      <c r="AJ35" s="1410"/>
      <c r="AK35" s="1411"/>
      <c r="AL35" s="1409"/>
      <c r="AM35" s="1410"/>
      <c r="AN35" s="1410"/>
      <c r="AO35" s="1410"/>
      <c r="AP35" s="1410"/>
      <c r="AQ35" s="1411"/>
      <c r="AR35" s="1409"/>
      <c r="AS35" s="1410"/>
      <c r="AT35" s="1410"/>
      <c r="AU35" s="1410"/>
      <c r="AV35" s="1410"/>
      <c r="AW35" s="1411"/>
    </row>
    <row r="36" spans="1:73" ht="17.25" customHeight="1">
      <c r="A36" s="1713" t="s">
        <v>3690</v>
      </c>
      <c r="B36" s="1679" t="s">
        <v>3691</v>
      </c>
      <c r="C36" s="1406"/>
      <c r="D36" s="1406"/>
      <c r="E36" s="1406"/>
      <c r="F36" s="1406"/>
      <c r="G36" s="1407"/>
      <c r="H36" s="1679" t="s">
        <v>3692</v>
      </c>
      <c r="I36" s="1406"/>
      <c r="J36" s="1406"/>
      <c r="K36" s="1406"/>
      <c r="L36" s="1406"/>
      <c r="M36" s="1407"/>
      <c r="N36" s="1679" t="s">
        <v>3693</v>
      </c>
      <c r="O36" s="1406"/>
      <c r="P36" s="1406"/>
      <c r="Q36" s="1406"/>
      <c r="R36" s="1406"/>
      <c r="S36" s="1407"/>
      <c r="T36" s="1679" t="s">
        <v>3694</v>
      </c>
      <c r="U36" s="1406"/>
      <c r="V36" s="1406"/>
      <c r="W36" s="1406"/>
      <c r="X36" s="1406"/>
      <c r="Y36" s="1407"/>
      <c r="Z36" s="1679" t="s">
        <v>3695</v>
      </c>
      <c r="AA36" s="1406"/>
      <c r="AB36" s="1406"/>
      <c r="AC36" s="1406"/>
      <c r="AD36" s="1406"/>
      <c r="AE36" s="1407"/>
      <c r="AF36" s="1679" t="s">
        <v>3696</v>
      </c>
      <c r="AG36" s="1406"/>
      <c r="AH36" s="1406"/>
      <c r="AI36" s="1406"/>
      <c r="AJ36" s="1406"/>
      <c r="AK36" s="1407"/>
      <c r="AL36" s="1679"/>
      <c r="AM36" s="1406"/>
      <c r="AN36" s="1406"/>
      <c r="AO36" s="1406"/>
      <c r="AP36" s="1406"/>
      <c r="AQ36" s="1407"/>
      <c r="AR36" s="1712"/>
      <c r="AS36" s="1406"/>
      <c r="AT36" s="1406"/>
      <c r="AU36" s="1406"/>
      <c r="AV36" s="1406"/>
      <c r="AW36" s="1407"/>
    </row>
    <row r="37" spans="1:73" ht="17.25" customHeight="1">
      <c r="A37" s="1714"/>
      <c r="B37" s="1408"/>
      <c r="C37" s="1667"/>
      <c r="D37" s="1667"/>
      <c r="E37" s="1667"/>
      <c r="F37" s="1667"/>
      <c r="G37" s="1378"/>
      <c r="H37" s="1408"/>
      <c r="I37" s="1667"/>
      <c r="J37" s="1667"/>
      <c r="K37" s="1667"/>
      <c r="L37" s="1667"/>
      <c r="M37" s="1378"/>
      <c r="N37" s="1408"/>
      <c r="O37" s="1667"/>
      <c r="P37" s="1667"/>
      <c r="Q37" s="1667"/>
      <c r="R37" s="1667"/>
      <c r="S37" s="1378"/>
      <c r="T37" s="1408"/>
      <c r="U37" s="1667"/>
      <c r="V37" s="1667"/>
      <c r="W37" s="1667"/>
      <c r="X37" s="1667"/>
      <c r="Y37" s="1378"/>
      <c r="Z37" s="1408"/>
      <c r="AA37" s="1667"/>
      <c r="AB37" s="1667"/>
      <c r="AC37" s="1667"/>
      <c r="AD37" s="1667"/>
      <c r="AE37" s="1378"/>
      <c r="AF37" s="1408"/>
      <c r="AG37" s="1667"/>
      <c r="AH37" s="1667"/>
      <c r="AI37" s="1667"/>
      <c r="AJ37" s="1667"/>
      <c r="AK37" s="1378"/>
      <c r="AL37" s="1408"/>
      <c r="AM37" s="1667"/>
      <c r="AN37" s="1667"/>
      <c r="AO37" s="1667"/>
      <c r="AP37" s="1667"/>
      <c r="AQ37" s="1378"/>
      <c r="AR37" s="1408"/>
      <c r="AS37" s="1667"/>
      <c r="AT37" s="1667"/>
      <c r="AU37" s="1667"/>
      <c r="AV37" s="1667"/>
      <c r="AW37" s="1378"/>
    </row>
    <row r="38" spans="1:73" ht="17.25" customHeight="1">
      <c r="A38" s="1714"/>
      <c r="B38" s="1408"/>
      <c r="C38" s="1667"/>
      <c r="D38" s="1667"/>
      <c r="E38" s="1667"/>
      <c r="F38" s="1667"/>
      <c r="G38" s="1378"/>
      <c r="H38" s="1408"/>
      <c r="I38" s="1667"/>
      <c r="J38" s="1667"/>
      <c r="K38" s="1667"/>
      <c r="L38" s="1667"/>
      <c r="M38" s="1378"/>
      <c r="N38" s="1408"/>
      <c r="O38" s="1667"/>
      <c r="P38" s="1667"/>
      <c r="Q38" s="1667"/>
      <c r="R38" s="1667"/>
      <c r="S38" s="1378"/>
      <c r="T38" s="1408"/>
      <c r="U38" s="1667"/>
      <c r="V38" s="1667"/>
      <c r="W38" s="1667"/>
      <c r="X38" s="1667"/>
      <c r="Y38" s="1378"/>
      <c r="Z38" s="1408"/>
      <c r="AA38" s="1667"/>
      <c r="AB38" s="1667"/>
      <c r="AC38" s="1667"/>
      <c r="AD38" s="1667"/>
      <c r="AE38" s="1378"/>
      <c r="AF38" s="1408"/>
      <c r="AG38" s="1667"/>
      <c r="AH38" s="1667"/>
      <c r="AI38" s="1667"/>
      <c r="AJ38" s="1667"/>
      <c r="AK38" s="1378"/>
      <c r="AL38" s="1408"/>
      <c r="AM38" s="1667"/>
      <c r="AN38" s="1667"/>
      <c r="AO38" s="1667"/>
      <c r="AP38" s="1667"/>
      <c r="AQ38" s="1378"/>
      <c r="AR38" s="1408"/>
      <c r="AS38" s="1667"/>
      <c r="AT38" s="1667"/>
      <c r="AU38" s="1667"/>
      <c r="AV38" s="1667"/>
      <c r="AW38" s="1378"/>
      <c r="BD38" s="1702"/>
      <c r="BE38" s="1667"/>
      <c r="BF38" s="1667"/>
      <c r="BG38" s="1667"/>
      <c r="BH38" s="1667"/>
      <c r="BI38" s="1667"/>
      <c r="BJ38" s="1667"/>
      <c r="BK38" s="1667"/>
      <c r="BL38" s="1667"/>
      <c r="BM38" s="1667"/>
      <c r="BN38" s="1667"/>
      <c r="BO38" s="1667"/>
      <c r="BP38" s="1667"/>
      <c r="BQ38" s="1667"/>
      <c r="BR38" s="1667"/>
      <c r="BS38" s="1667"/>
      <c r="BT38" s="1667"/>
      <c r="BU38" s="1667"/>
    </row>
    <row r="39" spans="1:73" ht="17.25" customHeight="1">
      <c r="A39" s="1715"/>
      <c r="B39" s="1409"/>
      <c r="C39" s="1410"/>
      <c r="D39" s="1410"/>
      <c r="E39" s="1410"/>
      <c r="F39" s="1410"/>
      <c r="G39" s="1411"/>
      <c r="H39" s="1409"/>
      <c r="I39" s="1410"/>
      <c r="J39" s="1410"/>
      <c r="K39" s="1410"/>
      <c r="L39" s="1410"/>
      <c r="M39" s="1411"/>
      <c r="N39" s="1409"/>
      <c r="O39" s="1410"/>
      <c r="P39" s="1410"/>
      <c r="Q39" s="1410"/>
      <c r="R39" s="1410"/>
      <c r="S39" s="1411"/>
      <c r="T39" s="1409"/>
      <c r="U39" s="1410"/>
      <c r="V39" s="1410"/>
      <c r="W39" s="1410"/>
      <c r="X39" s="1410"/>
      <c r="Y39" s="1411"/>
      <c r="Z39" s="1409"/>
      <c r="AA39" s="1410"/>
      <c r="AB39" s="1410"/>
      <c r="AC39" s="1410"/>
      <c r="AD39" s="1410"/>
      <c r="AE39" s="1411"/>
      <c r="AF39" s="1409"/>
      <c r="AG39" s="1410"/>
      <c r="AH39" s="1410"/>
      <c r="AI39" s="1410"/>
      <c r="AJ39" s="1410"/>
      <c r="AK39" s="1411"/>
      <c r="AL39" s="1409"/>
      <c r="AM39" s="1410"/>
      <c r="AN39" s="1410"/>
      <c r="AO39" s="1410"/>
      <c r="AP39" s="1410"/>
      <c r="AQ39" s="1411"/>
      <c r="AR39" s="1409"/>
      <c r="AS39" s="1410"/>
      <c r="AT39" s="1410"/>
      <c r="AU39" s="1410"/>
      <c r="AV39" s="1410"/>
      <c r="AW39" s="1411"/>
      <c r="BD39" s="1667"/>
      <c r="BE39" s="1667"/>
      <c r="BF39" s="1667"/>
      <c r="BG39" s="1667"/>
      <c r="BH39" s="1667"/>
      <c r="BI39" s="1667"/>
      <c r="BJ39" s="1667"/>
      <c r="BK39" s="1667"/>
      <c r="BL39" s="1667"/>
      <c r="BM39" s="1667"/>
      <c r="BN39" s="1667"/>
      <c r="BO39" s="1667"/>
      <c r="BP39" s="1667"/>
      <c r="BQ39" s="1667"/>
      <c r="BR39" s="1667"/>
      <c r="BS39" s="1667"/>
      <c r="BT39" s="1667"/>
      <c r="BU39" s="1667"/>
    </row>
    <row r="40" spans="1:73" ht="17.25" customHeight="1">
      <c r="A40" s="1766" t="s">
        <v>108</v>
      </c>
      <c r="B40" s="1688"/>
      <c r="C40" s="1406"/>
      <c r="D40" s="1406"/>
      <c r="E40" s="1406"/>
      <c r="F40" s="1406"/>
      <c r="G40" s="1406"/>
      <c r="H40" s="1688"/>
      <c r="I40" s="1406"/>
      <c r="J40" s="1406"/>
      <c r="K40" s="1406"/>
      <c r="L40" s="1406"/>
      <c r="M40" s="1406"/>
      <c r="N40" s="1688"/>
      <c r="O40" s="1406"/>
      <c r="P40" s="1406"/>
      <c r="Q40" s="1406"/>
      <c r="R40" s="1406"/>
      <c r="S40" s="1406"/>
      <c r="T40" s="1734" t="s">
        <v>3697</v>
      </c>
      <c r="U40" s="1406"/>
      <c r="V40" s="1406"/>
      <c r="W40" s="1406"/>
      <c r="X40" s="1406"/>
      <c r="Y40" s="1406"/>
      <c r="Z40" s="1679" t="s">
        <v>3698</v>
      </c>
      <c r="AA40" s="1406"/>
      <c r="AB40" s="1406"/>
      <c r="AC40" s="1406"/>
      <c r="AD40" s="1406"/>
      <c r="AE40" s="1407"/>
      <c r="AF40" s="1740"/>
      <c r="AG40" s="1406"/>
      <c r="AH40" s="1406"/>
      <c r="AI40" s="1406"/>
      <c r="AJ40" s="1406"/>
      <c r="AK40" s="1407"/>
      <c r="AL40" s="1669" t="s">
        <v>3699</v>
      </c>
      <c r="AM40" s="1406"/>
      <c r="AN40" s="1406"/>
      <c r="AO40" s="1406"/>
      <c r="AP40" s="1406"/>
      <c r="AQ40" s="1407"/>
      <c r="AR40" s="1669" t="s">
        <v>3700</v>
      </c>
      <c r="AS40" s="1406"/>
      <c r="AT40" s="1406"/>
      <c r="AU40" s="1406"/>
      <c r="AV40" s="1406"/>
      <c r="AW40" s="1407"/>
      <c r="BD40" s="1667"/>
      <c r="BE40" s="1667"/>
      <c r="BF40" s="1667"/>
      <c r="BG40" s="1667"/>
      <c r="BH40" s="1667"/>
      <c r="BI40" s="1667"/>
      <c r="BJ40" s="1667"/>
      <c r="BK40" s="1667"/>
      <c r="BL40" s="1667"/>
      <c r="BM40" s="1667"/>
      <c r="BN40" s="1667"/>
      <c r="BO40" s="1667"/>
      <c r="BP40" s="1667"/>
      <c r="BQ40" s="1667"/>
      <c r="BR40" s="1667"/>
      <c r="BS40" s="1667"/>
      <c r="BT40" s="1667"/>
      <c r="BU40" s="1667"/>
    </row>
    <row r="41" spans="1:73" ht="17.25" customHeight="1">
      <c r="A41" s="1714"/>
      <c r="B41" s="1408"/>
      <c r="C41" s="1667"/>
      <c r="D41" s="1667"/>
      <c r="E41" s="1667"/>
      <c r="F41" s="1667"/>
      <c r="G41" s="1667"/>
      <c r="H41" s="1408"/>
      <c r="I41" s="1667"/>
      <c r="J41" s="1667"/>
      <c r="K41" s="1667"/>
      <c r="L41" s="1667"/>
      <c r="M41" s="1667"/>
      <c r="N41" s="1408"/>
      <c r="O41" s="1667"/>
      <c r="P41" s="1667"/>
      <c r="Q41" s="1667"/>
      <c r="R41" s="1667"/>
      <c r="S41" s="1667"/>
      <c r="T41" s="1408"/>
      <c r="U41" s="1667"/>
      <c r="V41" s="1667"/>
      <c r="W41" s="1667"/>
      <c r="X41" s="1667"/>
      <c r="Y41" s="1667"/>
      <c r="Z41" s="1408"/>
      <c r="AA41" s="1667"/>
      <c r="AB41" s="1667"/>
      <c r="AC41" s="1667"/>
      <c r="AD41" s="1667"/>
      <c r="AE41" s="1378"/>
      <c r="AF41" s="1667"/>
      <c r="AG41" s="1667"/>
      <c r="AH41" s="1667"/>
      <c r="AI41" s="1667"/>
      <c r="AJ41" s="1667"/>
      <c r="AK41" s="1378"/>
      <c r="AL41" s="1667"/>
      <c r="AM41" s="1667"/>
      <c r="AN41" s="1667"/>
      <c r="AO41" s="1667"/>
      <c r="AP41" s="1667"/>
      <c r="AQ41" s="1378"/>
      <c r="AR41" s="1667"/>
      <c r="AS41" s="1667"/>
      <c r="AT41" s="1667"/>
      <c r="AU41" s="1667"/>
      <c r="AV41" s="1667"/>
      <c r="AW41" s="1378"/>
      <c r="BD41" s="1667"/>
      <c r="BE41" s="1667"/>
      <c r="BF41" s="1667"/>
      <c r="BG41" s="1667"/>
      <c r="BH41" s="1667"/>
      <c r="BI41" s="1667"/>
      <c r="BJ41" s="1667"/>
      <c r="BK41" s="1667"/>
      <c r="BL41" s="1667"/>
      <c r="BM41" s="1667"/>
      <c r="BN41" s="1667"/>
      <c r="BO41" s="1667"/>
      <c r="BP41" s="1667"/>
      <c r="BQ41" s="1667"/>
      <c r="BR41" s="1667"/>
      <c r="BS41" s="1667"/>
      <c r="BT41" s="1667"/>
      <c r="BU41" s="1667"/>
    </row>
    <row r="42" spans="1:73" ht="17.25" customHeight="1">
      <c r="A42" s="1714"/>
      <c r="B42" s="1408"/>
      <c r="C42" s="1667"/>
      <c r="D42" s="1667"/>
      <c r="E42" s="1667"/>
      <c r="F42" s="1667"/>
      <c r="G42" s="1667"/>
      <c r="H42" s="1408"/>
      <c r="I42" s="1667"/>
      <c r="J42" s="1667"/>
      <c r="K42" s="1667"/>
      <c r="L42" s="1667"/>
      <c r="M42" s="1667"/>
      <c r="N42" s="1408"/>
      <c r="O42" s="1667"/>
      <c r="P42" s="1667"/>
      <c r="Q42" s="1667"/>
      <c r="R42" s="1667"/>
      <c r="S42" s="1667"/>
      <c r="T42" s="1408"/>
      <c r="U42" s="1667"/>
      <c r="V42" s="1667"/>
      <c r="W42" s="1667"/>
      <c r="X42" s="1667"/>
      <c r="Y42" s="1667"/>
      <c r="Z42" s="1408"/>
      <c r="AA42" s="1667"/>
      <c r="AB42" s="1667"/>
      <c r="AC42" s="1667"/>
      <c r="AD42" s="1667"/>
      <c r="AE42" s="1378"/>
      <c r="AF42" s="1667"/>
      <c r="AG42" s="1667"/>
      <c r="AH42" s="1667"/>
      <c r="AI42" s="1667"/>
      <c r="AJ42" s="1667"/>
      <c r="AK42" s="1378"/>
      <c r="AL42" s="1667"/>
      <c r="AM42" s="1667"/>
      <c r="AN42" s="1667"/>
      <c r="AO42" s="1667"/>
      <c r="AP42" s="1667"/>
      <c r="AQ42" s="1378"/>
      <c r="AR42" s="1667"/>
      <c r="AS42" s="1667"/>
      <c r="AT42" s="1667"/>
      <c r="AU42" s="1667"/>
      <c r="AV42" s="1667"/>
      <c r="AW42" s="1378"/>
      <c r="BD42" s="1667"/>
      <c r="BE42" s="1667"/>
      <c r="BF42" s="1667"/>
      <c r="BG42" s="1667"/>
      <c r="BH42" s="1667"/>
      <c r="BI42" s="1667"/>
      <c r="BJ42" s="1667"/>
      <c r="BK42" s="1667"/>
      <c r="BL42" s="1667"/>
      <c r="BM42" s="1667"/>
      <c r="BN42" s="1667"/>
      <c r="BO42" s="1667"/>
      <c r="BP42" s="1667"/>
      <c r="BQ42" s="1667"/>
      <c r="BR42" s="1667"/>
      <c r="BS42" s="1667"/>
      <c r="BT42" s="1667"/>
      <c r="BU42" s="1667"/>
    </row>
    <row r="43" spans="1:73" ht="17.25" customHeight="1">
      <c r="A43" s="1715"/>
      <c r="B43" s="1409"/>
      <c r="C43" s="1410"/>
      <c r="D43" s="1410"/>
      <c r="E43" s="1410"/>
      <c r="F43" s="1410"/>
      <c r="G43" s="1410"/>
      <c r="H43" s="1409"/>
      <c r="I43" s="1410"/>
      <c r="J43" s="1410"/>
      <c r="K43" s="1410"/>
      <c r="L43" s="1410"/>
      <c r="M43" s="1410"/>
      <c r="N43" s="1409"/>
      <c r="O43" s="1410"/>
      <c r="P43" s="1410"/>
      <c r="Q43" s="1410"/>
      <c r="R43" s="1410"/>
      <c r="S43" s="1410"/>
      <c r="T43" s="1409"/>
      <c r="U43" s="1410"/>
      <c r="V43" s="1410"/>
      <c r="W43" s="1410"/>
      <c r="X43" s="1410"/>
      <c r="Y43" s="1410"/>
      <c r="Z43" s="1409"/>
      <c r="AA43" s="1410"/>
      <c r="AB43" s="1410"/>
      <c r="AC43" s="1410"/>
      <c r="AD43" s="1410"/>
      <c r="AE43" s="1411"/>
      <c r="AF43" s="1410"/>
      <c r="AG43" s="1410"/>
      <c r="AH43" s="1410"/>
      <c r="AI43" s="1410"/>
      <c r="AJ43" s="1410"/>
      <c r="AK43" s="1411"/>
      <c r="AL43" s="1410"/>
      <c r="AM43" s="1410"/>
      <c r="AN43" s="1410"/>
      <c r="AO43" s="1410"/>
      <c r="AP43" s="1410"/>
      <c r="AQ43" s="1411"/>
      <c r="AR43" s="1410"/>
      <c r="AS43" s="1410"/>
      <c r="AT43" s="1410"/>
      <c r="AU43" s="1410"/>
      <c r="AV43" s="1410"/>
      <c r="AW43" s="1411"/>
      <c r="BD43" s="1667"/>
      <c r="BE43" s="1667"/>
      <c r="BF43" s="1667"/>
      <c r="BG43" s="1667"/>
      <c r="BH43" s="1667"/>
      <c r="BI43" s="1667"/>
      <c r="BJ43" s="1667"/>
      <c r="BK43" s="1667"/>
      <c r="BL43" s="1667"/>
      <c r="BM43" s="1667"/>
      <c r="BN43" s="1667"/>
      <c r="BO43" s="1667"/>
      <c r="BP43" s="1667"/>
      <c r="BQ43" s="1667"/>
      <c r="BR43" s="1667"/>
      <c r="BS43" s="1667"/>
      <c r="BT43" s="1667"/>
      <c r="BU43" s="1667"/>
    </row>
    <row r="44" spans="1:73" ht="17.25" customHeight="1">
      <c r="A44" s="1766" t="s">
        <v>3701</v>
      </c>
      <c r="B44" s="1764" t="s">
        <v>3605</v>
      </c>
      <c r="C44" s="1667"/>
      <c r="D44" s="1667"/>
      <c r="E44" s="1667"/>
      <c r="F44" s="1667"/>
      <c r="G44" s="1667"/>
      <c r="H44" s="1728" t="s">
        <v>3606</v>
      </c>
      <c r="I44" s="1667"/>
      <c r="J44" s="1667"/>
      <c r="K44" s="1667"/>
      <c r="L44" s="1667"/>
      <c r="M44" s="1667"/>
      <c r="N44" s="1746" t="s">
        <v>3607</v>
      </c>
      <c r="O44" s="1667"/>
      <c r="P44" s="1667"/>
      <c r="Q44" s="1667"/>
      <c r="R44" s="1667"/>
      <c r="S44" s="1667"/>
      <c r="T44" s="1677" t="s">
        <v>3608</v>
      </c>
      <c r="U44" s="1667"/>
      <c r="V44" s="1667"/>
      <c r="W44" s="1667"/>
      <c r="X44" s="1667"/>
      <c r="Y44" s="1667"/>
      <c r="Z44" s="1697" t="s">
        <v>3609</v>
      </c>
      <c r="AA44" s="1667"/>
      <c r="AB44" s="1667"/>
      <c r="AC44" s="1667"/>
      <c r="AD44" s="1667"/>
      <c r="AE44" s="1667"/>
      <c r="AF44" s="1771" t="s">
        <v>3610</v>
      </c>
      <c r="AG44" s="1667"/>
      <c r="AH44" s="1667"/>
      <c r="AI44" s="1667"/>
      <c r="AJ44" s="1667"/>
      <c r="AK44" s="1667"/>
      <c r="AL44" s="1735" t="s">
        <v>3611</v>
      </c>
      <c r="AM44" s="1667"/>
      <c r="AN44" s="1667"/>
      <c r="AO44" s="1667"/>
      <c r="AP44" s="1667"/>
      <c r="AQ44" s="1667"/>
      <c r="AR44" s="1710" t="s">
        <v>3612</v>
      </c>
      <c r="AS44" s="1667"/>
      <c r="AT44" s="1667"/>
      <c r="AU44" s="1667"/>
      <c r="AV44" s="1667"/>
      <c r="AW44" s="1667"/>
    </row>
    <row r="45" spans="1:73" ht="17.25" customHeight="1">
      <c r="A45" s="1714"/>
      <c r="B45" s="1667"/>
      <c r="C45" s="1667"/>
      <c r="D45" s="1667"/>
      <c r="E45" s="1667"/>
      <c r="F45" s="1667"/>
      <c r="G45" s="1667"/>
      <c r="H45" s="1667"/>
      <c r="I45" s="1667"/>
      <c r="J45" s="1667"/>
      <c r="K45" s="1667"/>
      <c r="L45" s="1667"/>
      <c r="M45" s="1667"/>
      <c r="N45" s="1667"/>
      <c r="O45" s="1667"/>
      <c r="P45" s="1667"/>
      <c r="Q45" s="1667"/>
      <c r="R45" s="1667"/>
      <c r="S45" s="1667"/>
      <c r="T45" s="1667"/>
      <c r="U45" s="1667"/>
      <c r="V45" s="1667"/>
      <c r="W45" s="1667"/>
      <c r="X45" s="1667"/>
      <c r="Y45" s="1667"/>
      <c r="Z45" s="1667"/>
      <c r="AA45" s="1667"/>
      <c r="AB45" s="1667"/>
      <c r="AC45" s="1667"/>
      <c r="AD45" s="1667"/>
      <c r="AE45" s="1667"/>
      <c r="AF45" s="1667"/>
      <c r="AG45" s="1667"/>
      <c r="AH45" s="1667"/>
      <c r="AI45" s="1667"/>
      <c r="AJ45" s="1667"/>
      <c r="AK45" s="1667"/>
      <c r="AL45" s="1667"/>
      <c r="AM45" s="1667"/>
      <c r="AN45" s="1667"/>
      <c r="AO45" s="1667"/>
      <c r="AP45" s="1667"/>
      <c r="AQ45" s="1667"/>
      <c r="AR45" s="1667"/>
      <c r="AS45" s="1667"/>
      <c r="AT45" s="1667"/>
      <c r="AU45" s="1667"/>
      <c r="AV45" s="1667"/>
      <c r="AW45" s="1667"/>
    </row>
    <row r="46" spans="1:73" ht="17.25" customHeight="1">
      <c r="A46" s="1714"/>
      <c r="B46" s="1667"/>
      <c r="C46" s="1667"/>
      <c r="D46" s="1667"/>
      <c r="E46" s="1667"/>
      <c r="F46" s="1667"/>
      <c r="G46" s="1667"/>
      <c r="H46" s="1667"/>
      <c r="I46" s="1667"/>
      <c r="J46" s="1667"/>
      <c r="K46" s="1667"/>
      <c r="L46" s="1667"/>
      <c r="M46" s="1667"/>
      <c r="N46" s="1667"/>
      <c r="O46" s="1667"/>
      <c r="P46" s="1667"/>
      <c r="Q46" s="1667"/>
      <c r="R46" s="1667"/>
      <c r="S46" s="1667"/>
      <c r="T46" s="1667"/>
      <c r="U46" s="1667"/>
      <c r="V46" s="1667"/>
      <c r="W46" s="1667"/>
      <c r="X46" s="1667"/>
      <c r="Y46" s="1667"/>
      <c r="Z46" s="1667"/>
      <c r="AA46" s="1667"/>
      <c r="AB46" s="1667"/>
      <c r="AC46" s="1667"/>
      <c r="AD46" s="1667"/>
      <c r="AE46" s="1667"/>
      <c r="AF46" s="1667"/>
      <c r="AG46" s="1667"/>
      <c r="AH46" s="1667"/>
      <c r="AI46" s="1667"/>
      <c r="AJ46" s="1667"/>
      <c r="AK46" s="1667"/>
      <c r="AL46" s="1667"/>
      <c r="AM46" s="1667"/>
      <c r="AN46" s="1667"/>
      <c r="AO46" s="1667"/>
      <c r="AP46" s="1667"/>
      <c r="AQ46" s="1667"/>
      <c r="AR46" s="1667"/>
      <c r="AS46" s="1667"/>
      <c r="AT46" s="1667"/>
      <c r="AU46" s="1667"/>
      <c r="AV46" s="1667"/>
      <c r="AW46" s="1667"/>
    </row>
    <row r="47" spans="1:73" ht="17.25" customHeight="1">
      <c r="A47" s="1714"/>
      <c r="E47" s="291"/>
      <c r="L47" s="301"/>
      <c r="N47" s="302"/>
      <c r="R47" s="307"/>
      <c r="W47" s="308"/>
      <c r="AH47" s="321"/>
      <c r="AN47" s="322"/>
      <c r="AU47" s="328"/>
    </row>
    <row r="48" spans="1:73" ht="17.25" customHeight="1">
      <c r="A48" s="1714"/>
      <c r="E48" s="291"/>
      <c r="L48" s="301"/>
      <c r="N48" s="302"/>
      <c r="R48" s="307"/>
      <c r="W48" s="308"/>
      <c r="AH48" s="321"/>
      <c r="AN48" s="322"/>
      <c r="AU48" s="328"/>
    </row>
    <row r="49" spans="1:49" ht="17.25" customHeight="1">
      <c r="A49" s="1714"/>
      <c r="E49" s="291"/>
      <c r="K49" s="1770" t="s">
        <v>3702</v>
      </c>
      <c r="L49" s="1667"/>
      <c r="M49" s="1667"/>
      <c r="N49" s="1667"/>
      <c r="O49" s="1667"/>
      <c r="P49" s="1667"/>
      <c r="R49" s="307"/>
      <c r="T49" s="1677" t="s">
        <v>3703</v>
      </c>
      <c r="U49" s="1667"/>
      <c r="V49" s="1667"/>
      <c r="W49" s="1667"/>
      <c r="X49" s="1667"/>
      <c r="Y49" s="1667"/>
      <c r="AF49" s="1676" t="s">
        <v>3704</v>
      </c>
      <c r="AG49" s="1667"/>
      <c r="AH49" s="1667"/>
      <c r="AI49" s="1667"/>
      <c r="AJ49" s="1667"/>
      <c r="AK49" s="1667"/>
      <c r="AL49" s="1761" t="s">
        <v>3705</v>
      </c>
      <c r="AM49" s="1667"/>
      <c r="AN49" s="1667"/>
      <c r="AO49" s="1667"/>
      <c r="AP49" s="1667"/>
      <c r="AQ49" s="1667"/>
      <c r="AR49" s="1709" t="s">
        <v>3706</v>
      </c>
      <c r="AS49" s="1667"/>
      <c r="AT49" s="1667"/>
      <c r="AU49" s="1667"/>
      <c r="AV49" s="1667"/>
      <c r="AW49" s="1667"/>
    </row>
    <row r="50" spans="1:49" ht="17.25" customHeight="1">
      <c r="A50" s="1714"/>
      <c r="E50" s="291"/>
      <c r="K50" s="1667"/>
      <c r="L50" s="1667"/>
      <c r="M50" s="1667"/>
      <c r="N50" s="1667"/>
      <c r="O50" s="1667"/>
      <c r="P50" s="1667"/>
      <c r="R50" s="307"/>
      <c r="T50" s="1667"/>
      <c r="U50" s="1667"/>
      <c r="V50" s="1667"/>
      <c r="W50" s="1667"/>
      <c r="X50" s="1667"/>
      <c r="Y50" s="1667"/>
      <c r="AF50" s="1667"/>
      <c r="AG50" s="1667"/>
      <c r="AH50" s="1667"/>
      <c r="AI50" s="1667"/>
      <c r="AJ50" s="1667"/>
      <c r="AK50" s="1667"/>
      <c r="AL50" s="1667"/>
      <c r="AM50" s="1667"/>
      <c r="AN50" s="1667"/>
      <c r="AO50" s="1667"/>
      <c r="AP50" s="1667"/>
      <c r="AQ50" s="1667"/>
      <c r="AR50" s="1667"/>
      <c r="AS50" s="1667"/>
      <c r="AT50" s="1667"/>
      <c r="AU50" s="1667"/>
      <c r="AV50" s="1667"/>
      <c r="AW50" s="1667"/>
    </row>
    <row r="51" spans="1:49" ht="17.25" customHeight="1">
      <c r="A51" s="1714"/>
      <c r="E51" s="291"/>
      <c r="K51" s="1667"/>
      <c r="L51" s="1667"/>
      <c r="M51" s="1667"/>
      <c r="N51" s="1667"/>
      <c r="O51" s="1667"/>
      <c r="P51" s="1667"/>
      <c r="R51" s="307"/>
      <c r="T51" s="1667"/>
      <c r="U51" s="1667"/>
      <c r="V51" s="1667"/>
      <c r="W51" s="1667"/>
      <c r="X51" s="1667"/>
      <c r="Y51" s="1667"/>
      <c r="AF51" s="1667"/>
      <c r="AG51" s="1667"/>
      <c r="AH51" s="1667"/>
      <c r="AI51" s="1667"/>
      <c r="AJ51" s="1667"/>
      <c r="AK51" s="1667"/>
      <c r="AL51" s="1667"/>
      <c r="AM51" s="1667"/>
      <c r="AN51" s="1667"/>
      <c r="AO51" s="1667"/>
      <c r="AP51" s="1667"/>
      <c r="AQ51" s="1667"/>
      <c r="AR51" s="1667"/>
      <c r="AS51" s="1667"/>
      <c r="AT51" s="1667"/>
      <c r="AU51" s="1667"/>
      <c r="AV51" s="1667"/>
      <c r="AW51" s="1667"/>
    </row>
    <row r="52" spans="1:49" ht="17.25" customHeight="1">
      <c r="A52" s="1714"/>
      <c r="E52" s="291"/>
      <c r="R52" s="307"/>
      <c r="T52" s="309"/>
      <c r="U52" s="309"/>
      <c r="V52" s="310"/>
      <c r="W52" s="309"/>
      <c r="X52" s="309"/>
      <c r="Y52" s="309"/>
      <c r="AL52" s="323"/>
      <c r="AM52" s="323"/>
      <c r="AN52" s="324"/>
      <c r="AO52" s="323"/>
      <c r="AP52" s="323"/>
      <c r="AQ52" s="323"/>
    </row>
    <row r="53" spans="1:49" ht="17.25" customHeight="1">
      <c r="A53" s="1714"/>
      <c r="E53" s="291"/>
      <c r="N53" s="303"/>
      <c r="O53" s="304"/>
      <c r="P53" s="304"/>
      <c r="Q53" s="304"/>
      <c r="R53" s="311"/>
      <c r="V53" s="312"/>
      <c r="AN53" s="322"/>
      <c r="AO53" s="329"/>
      <c r="AP53" s="329"/>
      <c r="AQ53" s="329"/>
      <c r="AR53" s="330"/>
      <c r="AS53" s="323"/>
      <c r="AT53" s="323"/>
      <c r="AU53" s="323"/>
      <c r="AV53" s="323"/>
      <c r="AW53" s="323"/>
    </row>
    <row r="54" spans="1:49" ht="17.25" customHeight="1">
      <c r="A54" s="1714"/>
      <c r="B54" s="292"/>
      <c r="C54" s="292"/>
      <c r="D54" s="292"/>
      <c r="E54" s="293"/>
      <c r="F54" s="292"/>
      <c r="G54" s="292"/>
      <c r="H54" s="1733" t="s">
        <v>3707</v>
      </c>
      <c r="I54" s="1667"/>
      <c r="J54" s="1667"/>
      <c r="K54" s="1667"/>
      <c r="L54" s="1667"/>
      <c r="M54" s="1667"/>
      <c r="N54" s="1756" t="s">
        <v>3708</v>
      </c>
      <c r="O54" s="1667"/>
      <c r="P54" s="1667"/>
      <c r="Q54" s="313"/>
      <c r="R54" s="314"/>
      <c r="S54" s="313"/>
      <c r="T54" s="313"/>
      <c r="U54" s="313"/>
      <c r="V54" s="315"/>
      <c r="W54" s="292"/>
      <c r="Y54" s="1703" t="s">
        <v>3709</v>
      </c>
      <c r="Z54" s="1667"/>
      <c r="AA54" s="1667"/>
      <c r="AB54" s="1667"/>
      <c r="AC54" s="1667"/>
      <c r="AD54" s="1667"/>
      <c r="AE54" s="1667"/>
      <c r="AF54" s="1667"/>
      <c r="AL54" s="1761" t="s">
        <v>3710</v>
      </c>
      <c r="AM54" s="1667"/>
      <c r="AN54" s="1667"/>
      <c r="AO54" s="1667"/>
      <c r="AP54" s="1667"/>
      <c r="AQ54" s="1667"/>
      <c r="AR54" s="331"/>
    </row>
    <row r="55" spans="1:49" ht="17.25" customHeight="1">
      <c r="A55" s="1714"/>
      <c r="B55" s="292"/>
      <c r="C55" s="292"/>
      <c r="D55" s="292"/>
      <c r="E55" s="294"/>
      <c r="F55" s="294"/>
      <c r="G55" s="295"/>
      <c r="H55" s="1667"/>
      <c r="I55" s="1667"/>
      <c r="J55" s="1667"/>
      <c r="K55" s="1667"/>
      <c r="L55" s="1667"/>
      <c r="M55" s="1667"/>
      <c r="N55" s="1667"/>
      <c r="O55" s="1667"/>
      <c r="P55" s="1667"/>
      <c r="Q55" s="316"/>
      <c r="R55" s="317"/>
      <c r="S55" s="292"/>
      <c r="T55" s="292"/>
      <c r="U55" s="292"/>
      <c r="V55" s="292"/>
      <c r="W55" s="292"/>
      <c r="Y55" s="1667"/>
      <c r="Z55" s="1667"/>
      <c r="AA55" s="1667"/>
      <c r="AB55" s="1667"/>
      <c r="AC55" s="1667"/>
      <c r="AD55" s="1667"/>
      <c r="AE55" s="1667"/>
      <c r="AF55" s="1667"/>
      <c r="AG55" s="325"/>
      <c r="AH55" s="325"/>
      <c r="AI55" s="325"/>
      <c r="AJ55" s="325"/>
      <c r="AK55" s="325"/>
      <c r="AL55" s="1667"/>
      <c r="AM55" s="1667"/>
      <c r="AN55" s="1667"/>
      <c r="AO55" s="1667"/>
      <c r="AP55" s="1667"/>
      <c r="AQ55" s="1667"/>
      <c r="AR55" s="331"/>
    </row>
    <row r="56" spans="1:49" ht="17.25" customHeight="1">
      <c r="A56" s="1714"/>
      <c r="B56" s="292"/>
      <c r="C56" s="292"/>
      <c r="D56" s="292"/>
      <c r="E56" s="292"/>
      <c r="F56" s="292"/>
      <c r="G56" s="293"/>
      <c r="H56" s="1667"/>
      <c r="I56" s="1667"/>
      <c r="J56" s="1667"/>
      <c r="K56" s="1667"/>
      <c r="L56" s="1667"/>
      <c r="M56" s="1667"/>
      <c r="N56" s="1667"/>
      <c r="O56" s="1667"/>
      <c r="P56" s="1667"/>
      <c r="Q56" s="316"/>
      <c r="R56" s="317"/>
      <c r="S56" s="318"/>
      <c r="T56" s="318"/>
      <c r="U56" s="318"/>
      <c r="V56" s="318"/>
      <c r="W56" s="318"/>
      <c r="X56" s="319"/>
      <c r="Y56" s="1667"/>
      <c r="Z56" s="1667"/>
      <c r="AA56" s="1667"/>
      <c r="AB56" s="1667"/>
      <c r="AC56" s="1667"/>
      <c r="AD56" s="1667"/>
      <c r="AE56" s="1667"/>
      <c r="AF56" s="1667"/>
      <c r="AL56" s="1667"/>
      <c r="AM56" s="1667"/>
      <c r="AN56" s="1667"/>
      <c r="AO56" s="1667"/>
      <c r="AP56" s="1667"/>
      <c r="AQ56" s="1667"/>
      <c r="AR56" s="331"/>
    </row>
    <row r="57" spans="1:49" ht="17.25" customHeight="1">
      <c r="A57" s="1714"/>
      <c r="B57" s="292"/>
      <c r="C57" s="292"/>
      <c r="D57" s="292"/>
      <c r="E57" s="292"/>
      <c r="F57" s="292"/>
      <c r="G57" s="293"/>
      <c r="H57" s="1667"/>
      <c r="I57" s="1667"/>
      <c r="J57" s="1667"/>
      <c r="K57" s="1667"/>
      <c r="L57" s="1667"/>
      <c r="M57" s="1667"/>
      <c r="N57" s="1667"/>
      <c r="O57" s="1667"/>
      <c r="P57" s="1667"/>
      <c r="Q57" s="316"/>
      <c r="R57" s="317"/>
      <c r="S57" s="292"/>
      <c r="T57" s="292"/>
      <c r="U57" s="292"/>
      <c r="V57" s="292"/>
      <c r="W57" s="292"/>
      <c r="Y57" s="1667"/>
      <c r="Z57" s="1667"/>
      <c r="AA57" s="1667"/>
      <c r="AB57" s="1667"/>
      <c r="AC57" s="1667"/>
      <c r="AD57" s="1667"/>
      <c r="AE57" s="1667"/>
      <c r="AF57" s="1667"/>
      <c r="AO57" s="332"/>
      <c r="AR57" s="331"/>
    </row>
    <row r="58" spans="1:49" ht="17.25" customHeight="1">
      <c r="A58" s="1714"/>
      <c r="B58" s="296"/>
      <c r="C58" s="296"/>
      <c r="D58" s="296"/>
      <c r="E58" s="296"/>
      <c r="F58" s="296"/>
      <c r="G58" s="297"/>
      <c r="H58" s="1743" t="s">
        <v>3711</v>
      </c>
      <c r="I58" s="1667"/>
      <c r="J58" s="1667"/>
      <c r="K58" s="1667"/>
      <c r="L58" s="1667"/>
      <c r="M58" s="1667"/>
      <c r="N58" s="1687" t="s">
        <v>3712</v>
      </c>
      <c r="O58" s="1667"/>
      <c r="P58" s="1667"/>
      <c r="Q58" s="316"/>
      <c r="R58" s="317"/>
      <c r="S58" s="292"/>
      <c r="T58" s="292"/>
      <c r="U58" s="292"/>
      <c r="V58" s="292"/>
      <c r="W58" s="292"/>
      <c r="AE58" s="309"/>
      <c r="AN58" s="326"/>
      <c r="AR58" s="331"/>
    </row>
    <row r="59" spans="1:49" ht="17.25" customHeight="1">
      <c r="A59" s="1714"/>
      <c r="B59" s="296"/>
      <c r="C59" s="296"/>
      <c r="D59" s="296"/>
      <c r="E59" s="296"/>
      <c r="F59" s="298"/>
      <c r="G59" s="299"/>
      <c r="H59" s="1667"/>
      <c r="I59" s="1667"/>
      <c r="J59" s="1667"/>
      <c r="K59" s="1667"/>
      <c r="L59" s="1667"/>
      <c r="M59" s="1667"/>
      <c r="N59" s="1667"/>
      <c r="O59" s="1667"/>
      <c r="P59" s="1667"/>
      <c r="Q59" s="315"/>
      <c r="R59" s="317"/>
      <c r="S59" s="292"/>
      <c r="T59" s="292"/>
      <c r="U59" s="292"/>
      <c r="V59" s="292"/>
      <c r="W59" s="292"/>
      <c r="AE59" s="309"/>
      <c r="AL59" s="1690" t="s">
        <v>3713</v>
      </c>
      <c r="AM59" s="1667"/>
      <c r="AN59" s="1667"/>
      <c r="AO59" s="1667"/>
      <c r="AP59" s="1667"/>
      <c r="AQ59" s="1667"/>
      <c r="AR59" s="331"/>
    </row>
    <row r="60" spans="1:49" ht="17.25" customHeight="1">
      <c r="A60" s="1714"/>
      <c r="B60" s="296"/>
      <c r="C60" s="296"/>
      <c r="D60" s="296"/>
      <c r="E60" s="296"/>
      <c r="F60" s="298"/>
      <c r="G60" s="296"/>
      <c r="H60" s="1667"/>
      <c r="I60" s="1667"/>
      <c r="J60" s="1667"/>
      <c r="K60" s="1667"/>
      <c r="L60" s="1667"/>
      <c r="M60" s="1667"/>
      <c r="N60" s="1667"/>
      <c r="O60" s="1667"/>
      <c r="P60" s="1667"/>
      <c r="Q60" s="292"/>
      <c r="R60" s="317"/>
      <c r="S60" s="292"/>
      <c r="T60" s="292"/>
      <c r="U60" s="292"/>
      <c r="V60" s="292"/>
      <c r="W60" s="292"/>
      <c r="AL60" s="1667"/>
      <c r="AM60" s="1667"/>
      <c r="AN60" s="1667"/>
      <c r="AO60" s="1667"/>
      <c r="AP60" s="1667"/>
      <c r="AQ60" s="1667"/>
      <c r="AR60" s="331"/>
    </row>
    <row r="61" spans="1:49" ht="17.25" customHeight="1">
      <c r="A61" s="1714"/>
      <c r="B61" s="296"/>
      <c r="C61" s="296"/>
      <c r="D61" s="296"/>
      <c r="E61" s="296"/>
      <c r="F61" s="298"/>
      <c r="G61" s="296"/>
      <c r="H61" s="1667"/>
      <c r="I61" s="1667"/>
      <c r="J61" s="1667"/>
      <c r="K61" s="1667"/>
      <c r="L61" s="1667"/>
      <c r="M61" s="1667"/>
      <c r="N61" s="1667"/>
      <c r="O61" s="1667"/>
      <c r="P61" s="1667"/>
      <c r="Q61" s="292"/>
      <c r="R61" s="317"/>
      <c r="S61" s="292"/>
      <c r="T61" s="292"/>
      <c r="U61" s="292"/>
      <c r="V61" s="292"/>
      <c r="W61" s="292"/>
      <c r="AL61" s="1667"/>
      <c r="AM61" s="1667"/>
      <c r="AN61" s="1667"/>
      <c r="AO61" s="1667"/>
      <c r="AP61" s="1667"/>
      <c r="AQ61" s="1667"/>
      <c r="AR61" s="331"/>
    </row>
    <row r="62" spans="1:49" ht="17.25" customHeight="1">
      <c r="A62" s="1714"/>
      <c r="B62" s="296"/>
      <c r="C62" s="296"/>
      <c r="D62" s="296"/>
      <c r="E62" s="296"/>
      <c r="F62" s="298"/>
      <c r="G62" s="300"/>
      <c r="H62" s="300"/>
      <c r="I62" s="305"/>
      <c r="J62" s="305"/>
      <c r="K62" s="305"/>
      <c r="L62" s="305"/>
      <c r="M62" s="305"/>
      <c r="N62" s="305"/>
      <c r="O62" s="305"/>
      <c r="P62" s="305"/>
      <c r="Q62" s="305"/>
      <c r="R62" s="320"/>
      <c r="S62" s="292"/>
      <c r="T62" s="292"/>
      <c r="U62" s="292"/>
      <c r="V62" s="292"/>
      <c r="W62" s="292"/>
      <c r="AL62" s="327"/>
      <c r="AM62" s="327"/>
      <c r="AN62" s="327"/>
      <c r="AO62" s="327"/>
      <c r="AP62" s="327"/>
      <c r="AQ62" s="327"/>
      <c r="AR62" s="331"/>
    </row>
    <row r="63" spans="1:49" ht="17.25" customHeight="1">
      <c r="A63" s="1714"/>
      <c r="B63" s="296"/>
      <c r="C63" s="296"/>
      <c r="D63" s="296"/>
      <c r="E63" s="296"/>
      <c r="F63" s="298"/>
      <c r="G63" s="300"/>
      <c r="H63" s="300"/>
      <c r="I63" s="306"/>
      <c r="J63" s="300"/>
      <c r="K63" s="300"/>
      <c r="L63" s="300"/>
      <c r="M63" s="300"/>
      <c r="N63" s="300"/>
      <c r="O63" s="300"/>
      <c r="P63" s="300"/>
      <c r="Q63" s="300"/>
      <c r="R63" s="300"/>
      <c r="S63" s="292"/>
      <c r="T63" s="292"/>
      <c r="U63" s="292"/>
      <c r="V63" s="292"/>
      <c r="W63" s="292"/>
      <c r="AR63" s="331"/>
    </row>
    <row r="64" spans="1:49" ht="17.25" customHeight="1">
      <c r="A64" s="1714"/>
      <c r="B64" s="296"/>
      <c r="C64" s="296"/>
      <c r="D64" s="296"/>
      <c r="E64" s="296"/>
      <c r="F64" s="298"/>
      <c r="G64" s="300"/>
      <c r="H64" s="300"/>
      <c r="I64" s="306"/>
      <c r="J64" s="300"/>
      <c r="K64" s="300"/>
      <c r="L64" s="300"/>
      <c r="M64" s="300"/>
      <c r="N64" s="300"/>
      <c r="O64" s="300"/>
      <c r="P64" s="300"/>
      <c r="Q64" s="300"/>
      <c r="R64" s="300"/>
      <c r="S64" s="292"/>
      <c r="T64" s="292"/>
      <c r="U64" s="1718" t="s">
        <v>3714</v>
      </c>
      <c r="V64" s="1719"/>
      <c r="W64" s="1741" t="s">
        <v>3715</v>
      </c>
      <c r="X64" s="1719"/>
      <c r="Y64" s="1719"/>
      <c r="Z64" s="1719"/>
      <c r="AA64" s="1719"/>
      <c r="AB64" s="1719"/>
      <c r="AC64" s="1719"/>
      <c r="AD64" s="1719"/>
      <c r="AE64" s="1719"/>
      <c r="AF64" s="1719"/>
      <c r="AG64" s="1719"/>
      <c r="AH64" s="1719"/>
      <c r="AI64" s="1719"/>
      <c r="AJ64" s="1742"/>
      <c r="AN64" s="1780" t="s">
        <v>3716</v>
      </c>
      <c r="AO64" s="1667"/>
      <c r="AP64" s="1667"/>
      <c r="AQ64" s="1667"/>
      <c r="AR64" s="1667"/>
      <c r="AS64" s="1667"/>
      <c r="AT64" s="1667"/>
      <c r="AU64" s="1667"/>
      <c r="AV64" s="1667"/>
      <c r="AW64" s="1667"/>
    </row>
    <row r="65" spans="1:49" ht="17.25" customHeight="1">
      <c r="A65" s="1714"/>
      <c r="F65" s="1716" t="s">
        <v>3717</v>
      </c>
      <c r="G65" s="1088"/>
      <c r="H65" s="1680" t="s">
        <v>3718</v>
      </c>
      <c r="I65" s="1088"/>
      <c r="J65" s="1088"/>
      <c r="K65" s="1680" t="s">
        <v>3719</v>
      </c>
      <c r="L65" s="1088"/>
      <c r="M65" s="1680" t="s">
        <v>3720</v>
      </c>
      <c r="N65" s="1088"/>
      <c r="O65" s="1678" t="s">
        <v>3721</v>
      </c>
      <c r="P65" s="1088"/>
      <c r="Q65" s="1088"/>
      <c r="R65" s="1089"/>
      <c r="T65" s="292"/>
      <c r="U65" s="1671"/>
      <c r="V65" s="1667"/>
      <c r="W65" s="1667"/>
      <c r="X65" s="1667"/>
      <c r="Y65" s="1667"/>
      <c r="Z65" s="1667"/>
      <c r="AA65" s="1667"/>
      <c r="AB65" s="1667"/>
      <c r="AC65" s="1667"/>
      <c r="AD65" s="1667"/>
      <c r="AE65" s="1667"/>
      <c r="AF65" s="1667"/>
      <c r="AG65" s="1667"/>
      <c r="AH65" s="1667"/>
      <c r="AI65" s="1667"/>
      <c r="AJ65" s="1725"/>
      <c r="AN65" s="1667"/>
      <c r="AO65" s="1667"/>
      <c r="AP65" s="1667"/>
      <c r="AQ65" s="1667"/>
      <c r="AR65" s="1667"/>
      <c r="AS65" s="1667"/>
      <c r="AT65" s="1667"/>
      <c r="AU65" s="1667"/>
      <c r="AV65" s="1667"/>
      <c r="AW65" s="1667"/>
    </row>
    <row r="66" spans="1:49" ht="17.25" customHeight="1">
      <c r="A66" s="1714"/>
      <c r="F66" s="1034"/>
      <c r="G66" s="1667"/>
      <c r="H66" s="1731" t="s">
        <v>3722</v>
      </c>
      <c r="I66" s="1667"/>
      <c r="J66" s="1667"/>
      <c r="K66" s="1731">
        <v>-2</v>
      </c>
      <c r="L66" s="1667"/>
      <c r="M66" s="1731">
        <v>-2</v>
      </c>
      <c r="N66" s="1667"/>
      <c r="O66" s="1723" t="s">
        <v>3723</v>
      </c>
      <c r="P66" s="1667"/>
      <c r="Q66" s="1667"/>
      <c r="R66" s="203">
        <v>-3</v>
      </c>
      <c r="T66" s="292"/>
      <c r="U66" s="1671"/>
      <c r="V66" s="1667"/>
      <c r="W66" s="1667"/>
      <c r="X66" s="1667"/>
      <c r="Y66" s="1667"/>
      <c r="Z66" s="1667"/>
      <c r="AA66" s="1667"/>
      <c r="AB66" s="1667"/>
      <c r="AC66" s="1667"/>
      <c r="AD66" s="1667"/>
      <c r="AE66" s="1667"/>
      <c r="AF66" s="1667"/>
      <c r="AG66" s="1667"/>
      <c r="AH66" s="1667"/>
      <c r="AI66" s="1667"/>
      <c r="AJ66" s="1725"/>
      <c r="AN66" s="1700" t="s">
        <v>3724</v>
      </c>
      <c r="AO66" s="1667"/>
      <c r="AP66" s="1667"/>
      <c r="AQ66" s="1667"/>
      <c r="AR66" s="1667"/>
      <c r="AS66" s="1667"/>
      <c r="AT66" s="1667"/>
      <c r="AU66" s="1667"/>
      <c r="AV66" s="1667"/>
      <c r="AW66" s="1667"/>
    </row>
    <row r="67" spans="1:49" ht="17.25" customHeight="1">
      <c r="A67" s="1714"/>
      <c r="F67" s="1034"/>
      <c r="G67" s="1667"/>
      <c r="H67" s="1682" t="s">
        <v>3725</v>
      </c>
      <c r="I67" s="1667"/>
      <c r="J67" s="1667"/>
      <c r="K67" s="1682">
        <v>-1</v>
      </c>
      <c r="L67" s="1667"/>
      <c r="M67" s="1682">
        <v>-1</v>
      </c>
      <c r="N67" s="1667"/>
      <c r="O67" s="1720" t="s">
        <v>3726</v>
      </c>
      <c r="P67" s="1667"/>
      <c r="Q67" s="1667"/>
      <c r="R67" s="187">
        <v>-2</v>
      </c>
      <c r="U67" s="1670" t="s">
        <v>3727</v>
      </c>
      <c r="V67" s="1667"/>
      <c r="W67" s="1724" t="s">
        <v>3728</v>
      </c>
      <c r="X67" s="1667"/>
      <c r="Y67" s="1667"/>
      <c r="Z67" s="1667"/>
      <c r="AA67" s="1667"/>
      <c r="AB67" s="1667"/>
      <c r="AC67" s="1667"/>
      <c r="AD67" s="1667"/>
      <c r="AE67" s="1667"/>
      <c r="AF67" s="1667"/>
      <c r="AG67" s="1667"/>
      <c r="AH67" s="1667"/>
      <c r="AI67" s="1667"/>
      <c r="AJ67" s="1725"/>
      <c r="AN67" s="1667"/>
      <c r="AO67" s="1667"/>
      <c r="AP67" s="1667"/>
      <c r="AQ67" s="1667"/>
      <c r="AR67" s="1667"/>
      <c r="AS67" s="1667"/>
      <c r="AT67" s="1667"/>
      <c r="AU67" s="1667"/>
      <c r="AV67" s="1667"/>
      <c r="AW67" s="1667"/>
    </row>
    <row r="68" spans="1:49" ht="17.25" customHeight="1">
      <c r="A68" s="1714"/>
      <c r="F68" s="1034"/>
      <c r="G68" s="1667"/>
      <c r="H68" s="1726" t="s">
        <v>3729</v>
      </c>
      <c r="I68" s="1667"/>
      <c r="J68" s="1667"/>
      <c r="K68" s="1726">
        <v>0</v>
      </c>
      <c r="L68" s="1667"/>
      <c r="M68" s="1726">
        <v>0</v>
      </c>
      <c r="N68" s="1667"/>
      <c r="O68" s="1723" t="s">
        <v>3730</v>
      </c>
      <c r="P68" s="1667"/>
      <c r="Q68" s="1667"/>
      <c r="R68" s="203">
        <v>-1</v>
      </c>
      <c r="U68" s="1671"/>
      <c r="V68" s="1667"/>
      <c r="W68" s="1667"/>
      <c r="X68" s="1667"/>
      <c r="Y68" s="1667"/>
      <c r="Z68" s="1667"/>
      <c r="AA68" s="1667"/>
      <c r="AB68" s="1667"/>
      <c r="AC68" s="1667"/>
      <c r="AD68" s="1667"/>
      <c r="AE68" s="1667"/>
      <c r="AF68" s="1667"/>
      <c r="AG68" s="1667"/>
      <c r="AH68" s="1667"/>
      <c r="AI68" s="1667"/>
      <c r="AJ68" s="1725"/>
      <c r="AN68" s="1667"/>
      <c r="AO68" s="1667"/>
      <c r="AP68" s="1667"/>
      <c r="AQ68" s="1667"/>
      <c r="AR68" s="1667"/>
      <c r="AS68" s="1667"/>
      <c r="AT68" s="1667"/>
      <c r="AU68" s="1667"/>
      <c r="AV68" s="1667"/>
      <c r="AW68" s="1667"/>
    </row>
    <row r="69" spans="1:49" ht="17.25" customHeight="1">
      <c r="A69" s="1714"/>
      <c r="F69" s="1034"/>
      <c r="G69" s="1667"/>
      <c r="H69" s="1682" t="s">
        <v>3731</v>
      </c>
      <c r="I69" s="1667"/>
      <c r="J69" s="1667"/>
      <c r="K69" s="1682" t="s">
        <v>3732</v>
      </c>
      <c r="L69" s="1667"/>
      <c r="M69" s="1682">
        <v>1</v>
      </c>
      <c r="N69" s="1667"/>
      <c r="O69" s="1763" t="s">
        <v>3733</v>
      </c>
      <c r="P69" s="1667"/>
      <c r="Q69" s="1667"/>
      <c r="R69" s="333">
        <v>0</v>
      </c>
      <c r="U69" s="1671"/>
      <c r="V69" s="1667"/>
      <c r="W69" s="1667"/>
      <c r="X69" s="1667"/>
      <c r="Y69" s="1667"/>
      <c r="Z69" s="1667"/>
      <c r="AA69" s="1667"/>
      <c r="AB69" s="1667"/>
      <c r="AC69" s="1667"/>
      <c r="AD69" s="1667"/>
      <c r="AE69" s="1667"/>
      <c r="AF69" s="1667"/>
      <c r="AG69" s="1667"/>
      <c r="AH69" s="1667"/>
      <c r="AI69" s="1667"/>
      <c r="AJ69" s="1725"/>
      <c r="AN69" s="1667"/>
      <c r="AO69" s="1667"/>
      <c r="AP69" s="1667"/>
      <c r="AQ69" s="1667"/>
      <c r="AR69" s="1667"/>
      <c r="AS69" s="1667"/>
      <c r="AT69" s="1667"/>
      <c r="AU69" s="1667"/>
      <c r="AV69" s="1667"/>
      <c r="AW69" s="1667"/>
    </row>
    <row r="70" spans="1:49" ht="17.25" customHeight="1">
      <c r="A70" s="1714"/>
      <c r="F70" s="1034"/>
      <c r="G70" s="1667"/>
      <c r="H70" s="1731" t="s">
        <v>3734</v>
      </c>
      <c r="I70" s="1667"/>
      <c r="J70" s="1667"/>
      <c r="K70" s="1731" t="s">
        <v>3735</v>
      </c>
      <c r="L70" s="1667"/>
      <c r="M70" s="1731">
        <v>2</v>
      </c>
      <c r="N70" s="1667"/>
      <c r="O70" s="1723" t="s">
        <v>3736</v>
      </c>
      <c r="P70" s="1667"/>
      <c r="Q70" s="1667"/>
      <c r="R70" s="203" t="s">
        <v>3737</v>
      </c>
      <c r="U70" s="1749" t="s">
        <v>3738</v>
      </c>
      <c r="V70" s="1667"/>
      <c r="W70" s="1768" t="s">
        <v>3739</v>
      </c>
      <c r="X70" s="1667"/>
      <c r="Y70" s="1667"/>
      <c r="Z70" s="1667"/>
      <c r="AA70" s="1667"/>
      <c r="AB70" s="1667"/>
      <c r="AC70" s="1667"/>
      <c r="AD70" s="1667"/>
      <c r="AE70" s="1667"/>
      <c r="AF70" s="1667"/>
      <c r="AG70" s="1667"/>
      <c r="AH70" s="1667"/>
      <c r="AI70" s="1667"/>
      <c r="AJ70" s="1725"/>
      <c r="AN70" s="1706" t="s">
        <v>3740</v>
      </c>
      <c r="AO70" s="1667"/>
      <c r="AP70" s="1667"/>
      <c r="AQ70" s="1667"/>
      <c r="AR70" s="1667"/>
      <c r="AS70" s="1667"/>
      <c r="AT70" s="1667"/>
      <c r="AU70" s="1667"/>
      <c r="AV70" s="1667"/>
      <c r="AW70" s="1667"/>
    </row>
    <row r="71" spans="1:49">
      <c r="A71" s="1714"/>
      <c r="F71" s="1034"/>
      <c r="G71" s="1667"/>
      <c r="H71" s="1682" t="s">
        <v>3741</v>
      </c>
      <c r="I71" s="1667"/>
      <c r="J71" s="1667"/>
      <c r="K71" s="1682" t="s">
        <v>3742</v>
      </c>
      <c r="L71" s="1667"/>
      <c r="M71" s="1682">
        <v>3</v>
      </c>
      <c r="N71" s="1667"/>
      <c r="O71" s="1720" t="s">
        <v>3743</v>
      </c>
      <c r="P71" s="1667"/>
      <c r="Q71" s="1667"/>
      <c r="R71" s="187" t="s">
        <v>3744</v>
      </c>
      <c r="U71" s="1671"/>
      <c r="V71" s="1667"/>
      <c r="W71" s="1667"/>
      <c r="X71" s="1667"/>
      <c r="Y71" s="1667"/>
      <c r="Z71" s="1667"/>
      <c r="AA71" s="1667"/>
      <c r="AB71" s="1667"/>
      <c r="AC71" s="1667"/>
      <c r="AD71" s="1667"/>
      <c r="AE71" s="1667"/>
      <c r="AF71" s="1667"/>
      <c r="AG71" s="1667"/>
      <c r="AH71" s="1667"/>
      <c r="AI71" s="1667"/>
      <c r="AJ71" s="1725"/>
      <c r="AN71" s="1667"/>
      <c r="AO71" s="1667"/>
      <c r="AP71" s="1667"/>
      <c r="AQ71" s="1667"/>
      <c r="AR71" s="1667"/>
      <c r="AS71" s="1667"/>
      <c r="AT71" s="1667"/>
      <c r="AU71" s="1667"/>
      <c r="AV71" s="1667"/>
      <c r="AW71" s="1667"/>
    </row>
    <row r="72" spans="1:49">
      <c r="A72" s="1714"/>
      <c r="F72" s="1034"/>
      <c r="G72" s="1667"/>
      <c r="H72" s="1731" t="s">
        <v>3745</v>
      </c>
      <c r="I72" s="1667"/>
      <c r="J72" s="1667"/>
      <c r="K72" s="1731" t="s">
        <v>3746</v>
      </c>
      <c r="L72" s="1667"/>
      <c r="M72" s="1731">
        <v>4</v>
      </c>
      <c r="N72" s="1667"/>
      <c r="O72" s="1723" t="s">
        <v>3747</v>
      </c>
      <c r="P72" s="1667"/>
      <c r="Q72" s="1667"/>
      <c r="R72" s="203" t="s">
        <v>3748</v>
      </c>
      <c r="U72" s="1671"/>
      <c r="V72" s="1667"/>
      <c r="W72" s="1667"/>
      <c r="X72" s="1667"/>
      <c r="Y72" s="1667"/>
      <c r="Z72" s="1667"/>
      <c r="AA72" s="1667"/>
      <c r="AB72" s="1667"/>
      <c r="AC72" s="1667"/>
      <c r="AD72" s="1667"/>
      <c r="AE72" s="1667"/>
      <c r="AF72" s="1667"/>
      <c r="AG72" s="1667"/>
      <c r="AH72" s="1667"/>
      <c r="AI72" s="1667"/>
      <c r="AJ72" s="1725"/>
      <c r="AN72" s="1667"/>
      <c r="AO72" s="1667"/>
      <c r="AP72" s="1667"/>
      <c r="AQ72" s="1667"/>
      <c r="AR72" s="1667"/>
      <c r="AS72" s="1667"/>
      <c r="AT72" s="1667"/>
      <c r="AU72" s="1667"/>
      <c r="AV72" s="1667"/>
      <c r="AW72" s="1667"/>
    </row>
    <row r="73" spans="1:49">
      <c r="A73" s="1714"/>
      <c r="F73" s="1090"/>
      <c r="G73" s="1019"/>
      <c r="H73" s="1699" t="s">
        <v>3749</v>
      </c>
      <c r="I73" s="1019"/>
      <c r="J73" s="1019"/>
      <c r="K73" s="1699" t="s">
        <v>3750</v>
      </c>
      <c r="L73" s="1019"/>
      <c r="M73" s="1699">
        <v>5</v>
      </c>
      <c r="N73" s="1019"/>
      <c r="O73" s="1722" t="s">
        <v>3751</v>
      </c>
      <c r="P73" s="1019"/>
      <c r="Q73" s="1019"/>
      <c r="R73" s="623" t="s">
        <v>3752</v>
      </c>
      <c r="U73" s="1670" t="s">
        <v>3753</v>
      </c>
      <c r="V73" s="1667"/>
      <c r="W73" s="1748" t="s">
        <v>3754</v>
      </c>
      <c r="X73" s="1667"/>
      <c r="Y73" s="1667"/>
      <c r="Z73" s="1667"/>
      <c r="AA73" s="1667"/>
      <c r="AB73" s="1667"/>
      <c r="AC73" s="1667"/>
      <c r="AD73" s="1667"/>
      <c r="AE73" s="1667"/>
      <c r="AF73" s="1667"/>
      <c r="AG73" s="1667"/>
      <c r="AH73" s="1667"/>
      <c r="AI73" s="1667"/>
      <c r="AJ73" s="1725"/>
      <c r="AN73" s="1667"/>
      <c r="AO73" s="1667"/>
      <c r="AP73" s="1667"/>
      <c r="AQ73" s="1667"/>
      <c r="AR73" s="1667"/>
      <c r="AS73" s="1667"/>
      <c r="AT73" s="1667"/>
      <c r="AU73" s="1667"/>
      <c r="AV73" s="1667"/>
      <c r="AW73" s="1667"/>
    </row>
    <row r="74" spans="1:49">
      <c r="A74" s="1714"/>
      <c r="F74" s="1721" t="s">
        <v>3755</v>
      </c>
      <c r="G74" s="1667"/>
      <c r="H74" s="1667"/>
      <c r="I74" s="1667"/>
      <c r="J74" s="1667"/>
      <c r="K74" s="1667"/>
      <c r="L74" s="1667"/>
      <c r="M74" s="1667"/>
      <c r="N74" s="1667"/>
      <c r="U74" s="1671"/>
      <c r="V74" s="1667"/>
      <c r="W74" s="1667"/>
      <c r="X74" s="1667"/>
      <c r="Y74" s="1667"/>
      <c r="Z74" s="1667"/>
      <c r="AA74" s="1667"/>
      <c r="AB74" s="1667"/>
      <c r="AC74" s="1667"/>
      <c r="AD74" s="1667"/>
      <c r="AE74" s="1667"/>
      <c r="AF74" s="1667"/>
      <c r="AG74" s="1667"/>
      <c r="AH74" s="1667"/>
      <c r="AI74" s="1667"/>
      <c r="AJ74" s="1725"/>
      <c r="AN74" s="309"/>
      <c r="AO74" s="309"/>
      <c r="AP74" s="309"/>
      <c r="AQ74" s="309"/>
      <c r="AR74" s="309"/>
      <c r="AS74" s="309"/>
      <c r="AT74" s="309"/>
      <c r="AU74" s="309"/>
      <c r="AV74" s="309"/>
      <c r="AW74" s="309"/>
    </row>
    <row r="75" spans="1:49">
      <c r="A75" s="1714"/>
      <c r="F75" s="1667"/>
      <c r="G75" s="1667"/>
      <c r="H75" s="1667"/>
      <c r="I75" s="1667"/>
      <c r="J75" s="1667"/>
      <c r="K75" s="1667"/>
      <c r="L75" s="1667"/>
      <c r="M75" s="1667"/>
      <c r="N75" s="1667"/>
      <c r="U75" s="1671"/>
      <c r="V75" s="1667"/>
      <c r="W75" s="1667"/>
      <c r="X75" s="1667"/>
      <c r="Y75" s="1667"/>
      <c r="Z75" s="1667"/>
      <c r="AA75" s="1667"/>
      <c r="AB75" s="1667"/>
      <c r="AC75" s="1667"/>
      <c r="AD75" s="1667"/>
      <c r="AE75" s="1667"/>
      <c r="AF75" s="1667"/>
      <c r="AG75" s="1667"/>
      <c r="AH75" s="1667"/>
      <c r="AI75" s="1667"/>
      <c r="AJ75" s="1725"/>
      <c r="AO75" s="337"/>
      <c r="AP75" s="337"/>
      <c r="AQ75" s="337"/>
      <c r="AR75" s="337"/>
      <c r="AS75" s="337"/>
      <c r="AT75" s="337"/>
      <c r="AU75" s="337"/>
      <c r="AV75" s="337"/>
      <c r="AW75" s="337"/>
    </row>
    <row r="76" spans="1:49">
      <c r="A76" s="1714"/>
      <c r="G76" s="309"/>
      <c r="H76" s="309"/>
      <c r="U76" s="1749" t="s">
        <v>3756</v>
      </c>
      <c r="V76" s="1667"/>
      <c r="W76" s="1768" t="s">
        <v>3757</v>
      </c>
      <c r="X76" s="1667"/>
      <c r="Y76" s="1667"/>
      <c r="Z76" s="1667"/>
      <c r="AA76" s="1667"/>
      <c r="AB76" s="1667"/>
      <c r="AC76" s="1667"/>
      <c r="AD76" s="1667"/>
      <c r="AE76" s="1667"/>
      <c r="AF76" s="1667"/>
      <c r="AG76" s="1667"/>
      <c r="AH76" s="1667"/>
      <c r="AI76" s="1667"/>
      <c r="AJ76" s="1725"/>
      <c r="AO76" s="337"/>
      <c r="AP76" s="337"/>
      <c r="AQ76" s="337"/>
      <c r="AR76" s="337"/>
      <c r="AS76" s="337"/>
      <c r="AT76" s="337"/>
      <c r="AU76" s="337"/>
      <c r="AV76" s="337"/>
      <c r="AW76" s="337"/>
    </row>
    <row r="77" spans="1:49">
      <c r="A77" s="1714"/>
      <c r="U77" s="1671"/>
      <c r="V77" s="1667"/>
      <c r="W77" s="1667"/>
      <c r="X77" s="1667"/>
      <c r="Y77" s="1667"/>
      <c r="Z77" s="1667"/>
      <c r="AA77" s="1667"/>
      <c r="AB77" s="1667"/>
      <c r="AC77" s="1667"/>
      <c r="AD77" s="1667"/>
      <c r="AE77" s="1667"/>
      <c r="AF77" s="1667"/>
      <c r="AG77" s="1667"/>
      <c r="AH77" s="1667"/>
      <c r="AI77" s="1667"/>
      <c r="AJ77" s="1725"/>
      <c r="AO77" s="337"/>
      <c r="AP77" s="337"/>
      <c r="AQ77" s="337"/>
      <c r="AR77" s="337"/>
      <c r="AS77" s="337"/>
      <c r="AT77" s="337"/>
      <c r="AU77" s="337"/>
      <c r="AV77" s="337"/>
      <c r="AW77" s="337"/>
    </row>
    <row r="78" spans="1:49">
      <c r="A78" s="1714"/>
      <c r="U78" s="1671"/>
      <c r="V78" s="1667"/>
      <c r="W78" s="1667"/>
      <c r="X78" s="1667"/>
      <c r="Y78" s="1667"/>
      <c r="Z78" s="1667"/>
      <c r="AA78" s="1667"/>
      <c r="AB78" s="1667"/>
      <c r="AC78" s="1667"/>
      <c r="AD78" s="1667"/>
      <c r="AE78" s="1667"/>
      <c r="AF78" s="1667"/>
      <c r="AG78" s="1667"/>
      <c r="AH78" s="1667"/>
      <c r="AI78" s="1667"/>
      <c r="AJ78" s="1725"/>
      <c r="AO78" s="337"/>
      <c r="AP78" s="337"/>
      <c r="AQ78" s="337"/>
      <c r="AR78" s="337"/>
      <c r="AS78" s="337"/>
      <c r="AT78" s="337"/>
      <c r="AU78" s="337"/>
      <c r="AV78" s="337"/>
      <c r="AW78" s="337"/>
    </row>
    <row r="79" spans="1:49">
      <c r="A79" s="1714"/>
      <c r="U79" s="1670" t="s">
        <v>3758</v>
      </c>
      <c r="V79" s="1667"/>
      <c r="W79" s="1748" t="s">
        <v>3759</v>
      </c>
      <c r="X79" s="1667"/>
      <c r="Y79" s="1667"/>
      <c r="Z79" s="1667"/>
      <c r="AA79" s="1667"/>
      <c r="AB79" s="1667"/>
      <c r="AC79" s="1667"/>
      <c r="AD79" s="1667"/>
      <c r="AE79" s="1667"/>
      <c r="AF79" s="1667"/>
      <c r="AG79" s="1667"/>
      <c r="AH79" s="1667"/>
      <c r="AI79" s="1667"/>
      <c r="AJ79" s="1725"/>
    </row>
    <row r="80" spans="1:49">
      <c r="A80" s="1714"/>
      <c r="U80" s="1671"/>
      <c r="V80" s="1667"/>
      <c r="W80" s="1667"/>
      <c r="X80" s="1667"/>
      <c r="Y80" s="1667"/>
      <c r="Z80" s="1667"/>
      <c r="AA80" s="1667"/>
      <c r="AB80" s="1667"/>
      <c r="AC80" s="1667"/>
      <c r="AD80" s="1667"/>
      <c r="AE80" s="1667"/>
      <c r="AF80" s="1667"/>
      <c r="AG80" s="1667"/>
      <c r="AH80" s="1667"/>
      <c r="AI80" s="1667"/>
      <c r="AJ80" s="1725"/>
    </row>
    <row r="81" spans="1:47">
      <c r="A81" s="1714"/>
      <c r="U81" s="1671"/>
      <c r="V81" s="1667"/>
      <c r="W81" s="1667"/>
      <c r="X81" s="1667"/>
      <c r="Y81" s="1667"/>
      <c r="Z81" s="1667"/>
      <c r="AA81" s="1667"/>
      <c r="AB81" s="1667"/>
      <c r="AC81" s="1667"/>
      <c r="AD81" s="1667"/>
      <c r="AE81" s="1667"/>
      <c r="AF81" s="1667"/>
      <c r="AG81" s="1667"/>
      <c r="AH81" s="1667"/>
      <c r="AI81" s="1667"/>
      <c r="AJ81" s="1725"/>
    </row>
    <row r="82" spans="1:47">
      <c r="A82" s="1714"/>
      <c r="U82" s="1757" t="s">
        <v>3760</v>
      </c>
      <c r="V82" s="1667"/>
      <c r="W82" s="1667"/>
      <c r="X82" s="1667"/>
      <c r="Y82" s="1667"/>
      <c r="Z82" s="1667"/>
      <c r="AA82" s="1667"/>
      <c r="AB82" s="1667"/>
      <c r="AC82" s="1667"/>
      <c r="AD82" s="1667"/>
      <c r="AE82" s="1667"/>
      <c r="AF82" s="1667"/>
      <c r="AG82" s="1667"/>
      <c r="AH82" s="1667"/>
      <c r="AI82" s="1667"/>
      <c r="AJ82" s="1725"/>
    </row>
    <row r="83" spans="1:47">
      <c r="A83" s="1714"/>
      <c r="U83" s="1671"/>
      <c r="V83" s="1667"/>
      <c r="W83" s="1667"/>
      <c r="X83" s="1667"/>
      <c r="Y83" s="1667"/>
      <c r="Z83" s="1667"/>
      <c r="AA83" s="1667"/>
      <c r="AB83" s="1667"/>
      <c r="AC83" s="1667"/>
      <c r="AD83" s="1667"/>
      <c r="AE83" s="1667"/>
      <c r="AF83" s="1667"/>
      <c r="AG83" s="1667"/>
      <c r="AH83" s="1667"/>
      <c r="AI83" s="1667"/>
      <c r="AJ83" s="1725"/>
    </row>
    <row r="84" spans="1:47">
      <c r="A84" s="1715"/>
      <c r="U84" s="1758"/>
      <c r="V84" s="1759"/>
      <c r="W84" s="1759"/>
      <c r="X84" s="1759"/>
      <c r="Y84" s="1759"/>
      <c r="Z84" s="1759"/>
      <c r="AA84" s="1759"/>
      <c r="AB84" s="1759"/>
      <c r="AC84" s="1759"/>
      <c r="AD84" s="1759"/>
      <c r="AE84" s="1759"/>
      <c r="AF84" s="1759"/>
      <c r="AG84" s="1759"/>
      <c r="AH84" s="1759"/>
      <c r="AI84" s="1759"/>
      <c r="AJ84" s="1760"/>
    </row>
    <row r="86" spans="1:47">
      <c r="B86" s="1649" t="s">
        <v>3761</v>
      </c>
      <c r="C86" s="1088"/>
      <c r="D86" s="1088"/>
      <c r="E86" s="1088"/>
      <c r="F86" s="1088"/>
      <c r="G86" s="1088"/>
      <c r="H86" s="1088"/>
      <c r="I86" s="1088"/>
      <c r="J86" s="1088"/>
      <c r="K86" s="1088"/>
      <c r="L86" s="1088"/>
      <c r="M86" s="1088"/>
      <c r="N86" s="1088"/>
      <c r="O86" s="1088"/>
      <c r="P86" s="1088"/>
      <c r="Q86" s="1088"/>
      <c r="R86" s="1088"/>
      <c r="S86" s="1088"/>
      <c r="T86" s="1088"/>
      <c r="U86" s="1088"/>
      <c r="V86" s="1088"/>
      <c r="W86" s="1088"/>
      <c r="X86" s="1088"/>
      <c r="Y86" s="1088"/>
      <c r="Z86" s="1088"/>
      <c r="AA86" s="1088"/>
      <c r="AB86" s="1088"/>
      <c r="AC86" s="1088"/>
      <c r="AD86" s="1088"/>
      <c r="AE86" s="1088"/>
      <c r="AF86" s="1088"/>
      <c r="AG86" s="1088"/>
      <c r="AH86" s="1088"/>
      <c r="AI86" s="1088"/>
      <c r="AJ86" s="1088"/>
      <c r="AK86" s="1088"/>
      <c r="AL86" s="1088"/>
      <c r="AM86" s="1088"/>
      <c r="AN86" s="1088"/>
      <c r="AO86" s="1088"/>
      <c r="AP86" s="1088"/>
      <c r="AQ86" s="1088"/>
      <c r="AR86" s="1088"/>
      <c r="AS86" s="1088"/>
      <c r="AT86" s="1088"/>
      <c r="AU86" s="1089"/>
    </row>
    <row r="87" spans="1:47">
      <c r="B87" s="1034"/>
      <c r="C87" s="1667"/>
      <c r="D87" s="1667"/>
      <c r="E87" s="1667"/>
      <c r="F87" s="1667"/>
      <c r="G87" s="1667"/>
      <c r="H87" s="1667"/>
      <c r="I87" s="1667"/>
      <c r="J87" s="1667"/>
      <c r="K87" s="1667"/>
      <c r="L87" s="1667"/>
      <c r="M87" s="1667"/>
      <c r="N87" s="1667"/>
      <c r="O87" s="1667"/>
      <c r="P87" s="1667"/>
      <c r="Q87" s="1667"/>
      <c r="R87" s="1667"/>
      <c r="S87" s="1667"/>
      <c r="T87" s="1667"/>
      <c r="U87" s="1667"/>
      <c r="V87" s="1667"/>
      <c r="W87" s="1667"/>
      <c r="X87" s="1667"/>
      <c r="Y87" s="1667"/>
      <c r="Z87" s="1667"/>
      <c r="AA87" s="1667"/>
      <c r="AB87" s="1667"/>
      <c r="AC87" s="1667"/>
      <c r="AD87" s="1667"/>
      <c r="AE87" s="1667"/>
      <c r="AF87" s="1667"/>
      <c r="AG87" s="1667"/>
      <c r="AH87" s="1667"/>
      <c r="AI87" s="1667"/>
      <c r="AJ87" s="1667"/>
      <c r="AK87" s="1667"/>
      <c r="AL87" s="1667"/>
      <c r="AM87" s="1667"/>
      <c r="AN87" s="1667"/>
      <c r="AO87" s="1667"/>
      <c r="AP87" s="1667"/>
      <c r="AQ87" s="1667"/>
      <c r="AR87" s="1667"/>
      <c r="AS87" s="1667"/>
      <c r="AT87" s="1667"/>
      <c r="AU87" s="1015"/>
    </row>
    <row r="88" spans="1:47">
      <c r="B88" s="1090"/>
      <c r="C88" s="1019"/>
      <c r="D88" s="1019"/>
      <c r="E88" s="1019"/>
      <c r="F88" s="1019"/>
      <c r="G88" s="1019"/>
      <c r="H88" s="1019"/>
      <c r="I88" s="1019"/>
      <c r="J88" s="1019"/>
      <c r="K88" s="1019"/>
      <c r="L88" s="1019"/>
      <c r="M88" s="1019"/>
      <c r="N88" s="1019"/>
      <c r="O88" s="1019"/>
      <c r="P88" s="1019"/>
      <c r="Q88" s="1019"/>
      <c r="R88" s="1019"/>
      <c r="S88" s="1019"/>
      <c r="T88" s="1019"/>
      <c r="U88" s="1019"/>
      <c r="V88" s="1019"/>
      <c r="W88" s="1019"/>
      <c r="X88" s="1019"/>
      <c r="Y88" s="1019"/>
      <c r="Z88" s="1019"/>
      <c r="AA88" s="1019"/>
      <c r="AB88" s="1019"/>
      <c r="AC88" s="1019"/>
      <c r="AD88" s="1019"/>
      <c r="AE88" s="1019"/>
      <c r="AF88" s="1019"/>
      <c r="AG88" s="1019"/>
      <c r="AH88" s="1019"/>
      <c r="AI88" s="1019"/>
      <c r="AJ88" s="1019"/>
      <c r="AK88" s="1019"/>
      <c r="AL88" s="1019"/>
      <c r="AM88" s="1019"/>
      <c r="AN88" s="1019"/>
      <c r="AO88" s="1019"/>
      <c r="AP88" s="1019"/>
      <c r="AQ88" s="1019"/>
      <c r="AR88" s="1019"/>
      <c r="AS88" s="1019"/>
      <c r="AT88" s="1019"/>
      <c r="AU88" s="1091"/>
    </row>
    <row r="89" spans="1:47">
      <c r="B89" s="178"/>
      <c r="C89" s="178"/>
      <c r="D89" s="178"/>
      <c r="E89" s="178"/>
      <c r="F89" s="178"/>
      <c r="G89" s="178"/>
      <c r="H89" s="178"/>
      <c r="I89" s="178"/>
      <c r="J89" s="178"/>
      <c r="K89" s="178"/>
      <c r="L89" s="178"/>
      <c r="M89" s="178"/>
      <c r="N89" s="178"/>
      <c r="O89" s="178"/>
      <c r="P89" s="178"/>
      <c r="Q89" s="178"/>
      <c r="R89" s="178"/>
      <c r="S89" s="178"/>
      <c r="T89" s="178"/>
      <c r="U89" s="178"/>
      <c r="V89" s="178"/>
      <c r="W89" s="178"/>
      <c r="X89" s="178"/>
      <c r="Y89" s="178"/>
      <c r="Z89" s="178"/>
      <c r="AA89" s="178"/>
      <c r="AB89" s="178"/>
      <c r="AC89" s="178"/>
      <c r="AD89" s="178"/>
      <c r="AE89" s="178"/>
      <c r="AF89" s="178"/>
      <c r="AG89" s="178"/>
      <c r="AH89" s="178"/>
      <c r="AI89" s="178"/>
      <c r="AJ89" s="178"/>
      <c r="AK89" s="178"/>
      <c r="AL89" s="178"/>
      <c r="AM89" s="178"/>
      <c r="AN89" s="178"/>
      <c r="AO89" s="178"/>
      <c r="AP89" s="178"/>
      <c r="AQ89" s="178"/>
      <c r="AR89" s="178"/>
      <c r="AS89" s="178"/>
      <c r="AT89" s="178"/>
      <c r="AU89" s="178"/>
    </row>
    <row r="90" spans="1:47" ht="18" customHeight="1">
      <c r="B90" s="1692" t="s">
        <v>3762</v>
      </c>
      <c r="C90" s="1088"/>
      <c r="D90" s="1088"/>
      <c r="E90" s="1088"/>
      <c r="F90" s="1088"/>
      <c r="G90" s="1088"/>
      <c r="H90" s="1088"/>
      <c r="I90" s="1088"/>
      <c r="J90" s="1088"/>
      <c r="K90" s="1088"/>
      <c r="L90" s="1088"/>
      <c r="M90" s="1088"/>
      <c r="N90" s="1088"/>
      <c r="O90" s="1088"/>
      <c r="P90" s="1088"/>
      <c r="Q90" s="1088"/>
      <c r="R90" s="1088"/>
      <c r="S90" s="1088"/>
      <c r="T90" s="1088"/>
      <c r="U90" s="1088"/>
      <c r="V90" s="1088"/>
      <c r="W90" s="1089"/>
      <c r="X90" s="178"/>
      <c r="Y90" s="178"/>
      <c r="Z90" s="1692" t="s">
        <v>3763</v>
      </c>
      <c r="AA90" s="1088"/>
      <c r="AB90" s="1088"/>
      <c r="AC90" s="1088"/>
      <c r="AD90" s="1088"/>
      <c r="AE90" s="1088"/>
      <c r="AF90" s="1088"/>
      <c r="AG90" s="1088"/>
      <c r="AH90" s="1088"/>
      <c r="AI90" s="1088"/>
      <c r="AJ90" s="1088"/>
      <c r="AK90" s="1088"/>
      <c r="AL90" s="1088"/>
      <c r="AM90" s="1088"/>
      <c r="AN90" s="1088"/>
      <c r="AO90" s="1088"/>
      <c r="AP90" s="1088"/>
      <c r="AQ90" s="1088"/>
      <c r="AR90" s="1088"/>
      <c r="AS90" s="1088"/>
      <c r="AT90" s="1088"/>
      <c r="AU90" s="1089"/>
    </row>
    <row r="91" spans="1:47" ht="18" customHeight="1">
      <c r="B91" s="1034"/>
      <c r="C91" s="1667"/>
      <c r="D91" s="1667"/>
      <c r="E91" s="1667"/>
      <c r="F91" s="1667"/>
      <c r="G91" s="1667"/>
      <c r="H91" s="1667"/>
      <c r="I91" s="1667"/>
      <c r="J91" s="1667"/>
      <c r="K91" s="1667"/>
      <c r="L91" s="1667"/>
      <c r="M91" s="1667"/>
      <c r="N91" s="1667"/>
      <c r="O91" s="1667"/>
      <c r="P91" s="1667"/>
      <c r="Q91" s="1667"/>
      <c r="R91" s="1667"/>
      <c r="S91" s="1667"/>
      <c r="T91" s="1667"/>
      <c r="U91" s="1667"/>
      <c r="V91" s="1667"/>
      <c r="W91" s="1015"/>
      <c r="X91" s="178"/>
      <c r="Y91" s="178"/>
      <c r="Z91" s="1034"/>
      <c r="AA91" s="1667"/>
      <c r="AB91" s="1667"/>
      <c r="AC91" s="1667"/>
      <c r="AD91" s="1667"/>
      <c r="AE91" s="1667"/>
      <c r="AF91" s="1667"/>
      <c r="AG91" s="1667"/>
      <c r="AH91" s="1667"/>
      <c r="AI91" s="1667"/>
      <c r="AJ91" s="1667"/>
      <c r="AK91" s="1667"/>
      <c r="AL91" s="1667"/>
      <c r="AM91" s="1667"/>
      <c r="AN91" s="1667"/>
      <c r="AO91" s="1667"/>
      <c r="AP91" s="1667"/>
      <c r="AQ91" s="1667"/>
      <c r="AR91" s="1667"/>
      <c r="AS91" s="1667"/>
      <c r="AT91" s="1667"/>
      <c r="AU91" s="1015"/>
    </row>
    <row r="92" spans="1:47">
      <c r="B92" s="1736" t="s">
        <v>3764</v>
      </c>
      <c r="C92" s="1613"/>
      <c r="D92" s="1613"/>
      <c r="E92" s="1613"/>
      <c r="F92" s="1613"/>
      <c r="G92" s="1613"/>
      <c r="H92" s="1613"/>
      <c r="I92" s="1613"/>
      <c r="J92" s="1613"/>
      <c r="K92" s="1613"/>
      <c r="L92" s="1613"/>
      <c r="M92" s="1693" t="s">
        <v>3765</v>
      </c>
      <c r="N92" s="1613"/>
      <c r="O92" s="1613"/>
      <c r="P92" s="1613"/>
      <c r="Q92" s="1613"/>
      <c r="R92" s="1613"/>
      <c r="S92" s="1613"/>
      <c r="T92" s="1613"/>
      <c r="U92" s="1613"/>
      <c r="V92" s="1613"/>
      <c r="W92" s="1628"/>
      <c r="X92" s="178"/>
      <c r="Y92" s="178"/>
      <c r="Z92" s="1695" t="s">
        <v>3766</v>
      </c>
      <c r="AA92" s="1613"/>
      <c r="AB92" s="1613"/>
      <c r="AC92" s="1613"/>
      <c r="AD92" s="1613"/>
      <c r="AE92" s="1613"/>
      <c r="AF92" s="1613"/>
      <c r="AG92" s="1613"/>
      <c r="AH92" s="1613"/>
      <c r="AI92" s="1613"/>
      <c r="AJ92" s="1613"/>
      <c r="AK92" s="1613"/>
      <c r="AL92" s="1613"/>
      <c r="AM92" s="1613"/>
      <c r="AN92" s="1613"/>
      <c r="AO92" s="1613"/>
      <c r="AP92" s="1613"/>
      <c r="AQ92" s="1613"/>
      <c r="AR92" s="1613"/>
      <c r="AS92" s="1613"/>
      <c r="AT92" s="1613"/>
      <c r="AU92" s="1628"/>
    </row>
    <row r="93" spans="1:47">
      <c r="B93" s="1034"/>
      <c r="C93" s="1667"/>
      <c r="D93" s="1667"/>
      <c r="E93" s="1667"/>
      <c r="F93" s="1667"/>
      <c r="G93" s="1667"/>
      <c r="H93" s="1667"/>
      <c r="I93" s="1667"/>
      <c r="J93" s="1667"/>
      <c r="K93" s="1667"/>
      <c r="L93" s="1667"/>
      <c r="M93" s="1648"/>
      <c r="N93" s="1625"/>
      <c r="O93" s="1625"/>
      <c r="P93" s="1625"/>
      <c r="Q93" s="1625"/>
      <c r="R93" s="1625"/>
      <c r="S93" s="1625"/>
      <c r="T93" s="1625"/>
      <c r="U93" s="1625"/>
      <c r="V93" s="1625"/>
      <c r="W93" s="1644"/>
      <c r="X93" s="178"/>
      <c r="Y93" s="178"/>
      <c r="Z93" s="1776" t="s">
        <v>3767</v>
      </c>
      <c r="AA93" s="1613"/>
      <c r="AB93" s="1613"/>
      <c r="AC93" s="1613"/>
      <c r="AD93" s="1613"/>
      <c r="AE93" s="1613"/>
      <c r="AF93" s="1613"/>
      <c r="AG93" s="1613"/>
      <c r="AH93" s="1613"/>
      <c r="AI93" s="1613"/>
      <c r="AJ93" s="1777"/>
      <c r="AK93" s="1775" t="s">
        <v>3768</v>
      </c>
      <c r="AL93" s="1613"/>
      <c r="AM93" s="1613"/>
      <c r="AN93" s="1613"/>
      <c r="AO93" s="1613"/>
      <c r="AP93" s="1613"/>
      <c r="AQ93" s="1613"/>
      <c r="AR93" s="1613"/>
      <c r="AS93" s="1613"/>
      <c r="AT93" s="1613"/>
      <c r="AU93" s="1628"/>
    </row>
    <row r="94" spans="1:47">
      <c r="B94" s="1034"/>
      <c r="C94" s="1667"/>
      <c r="D94" s="1667"/>
      <c r="E94" s="1667"/>
      <c r="F94" s="1667"/>
      <c r="G94" s="1667"/>
      <c r="H94" s="1667"/>
      <c r="I94" s="1667"/>
      <c r="J94" s="1667"/>
      <c r="K94" s="1667"/>
      <c r="L94" s="1667"/>
      <c r="M94" s="1693" t="s">
        <v>3769</v>
      </c>
      <c r="N94" s="1613"/>
      <c r="O94" s="1613"/>
      <c r="P94" s="1613"/>
      <c r="Q94" s="1613"/>
      <c r="R94" s="1613"/>
      <c r="S94" s="1613"/>
      <c r="T94" s="1613"/>
      <c r="U94" s="1613"/>
      <c r="V94" s="1613"/>
      <c r="W94" s="1628"/>
      <c r="X94" s="178"/>
      <c r="Y94" s="178"/>
      <c r="Z94" s="1034"/>
      <c r="AA94" s="1667"/>
      <c r="AB94" s="1667"/>
      <c r="AC94" s="1667"/>
      <c r="AD94" s="1667"/>
      <c r="AE94" s="1667"/>
      <c r="AF94" s="1667"/>
      <c r="AG94" s="1667"/>
      <c r="AH94" s="1667"/>
      <c r="AI94" s="1667"/>
      <c r="AJ94" s="1635"/>
      <c r="AK94" s="1629"/>
      <c r="AL94" s="1667"/>
      <c r="AM94" s="1667"/>
      <c r="AN94" s="1667"/>
      <c r="AO94" s="1667"/>
      <c r="AP94" s="1667"/>
      <c r="AQ94" s="1667"/>
      <c r="AR94" s="1667"/>
      <c r="AS94" s="1667"/>
      <c r="AT94" s="1667"/>
      <c r="AU94" s="1015"/>
    </row>
    <row r="95" spans="1:47">
      <c r="B95" s="1034"/>
      <c r="C95" s="1667"/>
      <c r="D95" s="1667"/>
      <c r="E95" s="1667"/>
      <c r="F95" s="1667"/>
      <c r="G95" s="1667"/>
      <c r="H95" s="1667"/>
      <c r="I95" s="1667"/>
      <c r="J95" s="1667"/>
      <c r="K95" s="1667"/>
      <c r="L95" s="1667"/>
      <c r="M95" s="1648"/>
      <c r="N95" s="1625"/>
      <c r="O95" s="1625"/>
      <c r="P95" s="1625"/>
      <c r="Q95" s="1625"/>
      <c r="R95" s="1625"/>
      <c r="S95" s="1625"/>
      <c r="T95" s="1625"/>
      <c r="U95" s="1625"/>
      <c r="V95" s="1625"/>
      <c r="W95" s="1644"/>
      <c r="X95" s="178"/>
      <c r="Y95" s="178"/>
      <c r="Z95" s="1034"/>
      <c r="AA95" s="1667"/>
      <c r="AB95" s="1667"/>
      <c r="AC95" s="1667"/>
      <c r="AD95" s="1667"/>
      <c r="AE95" s="1667"/>
      <c r="AF95" s="1667"/>
      <c r="AG95" s="1667"/>
      <c r="AH95" s="1667"/>
      <c r="AI95" s="1667"/>
      <c r="AJ95" s="1635"/>
      <c r="AK95" s="1629"/>
      <c r="AL95" s="1667"/>
      <c r="AM95" s="1667"/>
      <c r="AN95" s="1667"/>
      <c r="AO95" s="1667"/>
      <c r="AP95" s="1667"/>
      <c r="AQ95" s="1667"/>
      <c r="AR95" s="1667"/>
      <c r="AS95" s="1667"/>
      <c r="AT95" s="1667"/>
      <c r="AU95" s="1015"/>
    </row>
    <row r="96" spans="1:47">
      <c r="B96" s="1034"/>
      <c r="C96" s="1667"/>
      <c r="D96" s="1667"/>
      <c r="E96" s="1667"/>
      <c r="F96" s="1667"/>
      <c r="G96" s="1667"/>
      <c r="H96" s="1667"/>
      <c r="I96" s="1667"/>
      <c r="J96" s="1667"/>
      <c r="K96" s="1667"/>
      <c r="L96" s="1667"/>
      <c r="M96" s="1698" t="s">
        <v>3770</v>
      </c>
      <c r="N96" s="1613"/>
      <c r="O96" s="1613"/>
      <c r="P96" s="1613"/>
      <c r="Q96" s="1613"/>
      <c r="R96" s="1613"/>
      <c r="S96" s="1613"/>
      <c r="T96" s="1613"/>
      <c r="U96" s="1613"/>
      <c r="V96" s="1613"/>
      <c r="W96" s="1628"/>
      <c r="X96" s="178"/>
      <c r="Y96" s="178"/>
      <c r="Z96" s="1090"/>
      <c r="AA96" s="1019"/>
      <c r="AB96" s="1019"/>
      <c r="AC96" s="1019"/>
      <c r="AD96" s="1019"/>
      <c r="AE96" s="1019"/>
      <c r="AF96" s="1019"/>
      <c r="AG96" s="1019"/>
      <c r="AH96" s="1019"/>
      <c r="AI96" s="1019"/>
      <c r="AJ96" s="1778"/>
      <c r="AK96" s="1708"/>
      <c r="AL96" s="1019"/>
      <c r="AM96" s="1019"/>
      <c r="AN96" s="1019"/>
      <c r="AO96" s="1019"/>
      <c r="AP96" s="1019"/>
      <c r="AQ96" s="1019"/>
      <c r="AR96" s="1019"/>
      <c r="AS96" s="1019"/>
      <c r="AT96" s="1019"/>
      <c r="AU96" s="1091"/>
    </row>
    <row r="97" spans="2:47">
      <c r="B97" s="1034"/>
      <c r="C97" s="1667"/>
      <c r="D97" s="1667"/>
      <c r="E97" s="1667"/>
      <c r="F97" s="1667"/>
      <c r="G97" s="1667"/>
      <c r="H97" s="1667"/>
      <c r="I97" s="1667"/>
      <c r="J97" s="1667"/>
      <c r="K97" s="1667"/>
      <c r="L97" s="1667"/>
      <c r="M97" s="1648"/>
      <c r="N97" s="1625"/>
      <c r="O97" s="1625"/>
      <c r="P97" s="1625"/>
      <c r="Q97" s="1625"/>
      <c r="R97" s="1625"/>
      <c r="S97" s="1625"/>
      <c r="T97" s="1625"/>
      <c r="U97" s="1625"/>
      <c r="V97" s="1625"/>
      <c r="W97" s="1644"/>
      <c r="X97" s="178"/>
      <c r="Y97" s="178"/>
      <c r="Z97" s="334"/>
      <c r="AA97" s="334"/>
      <c r="AB97" s="334"/>
      <c r="AC97" s="334"/>
      <c r="AD97" s="334"/>
      <c r="AE97" s="334"/>
      <c r="AF97" s="334"/>
      <c r="AG97" s="334"/>
      <c r="AH97" s="334"/>
      <c r="AI97" s="334"/>
      <c r="AJ97" s="334"/>
      <c r="AK97" s="334"/>
      <c r="AL97" s="334"/>
      <c r="AM97" s="334"/>
      <c r="AN97" s="334"/>
      <c r="AO97" s="334"/>
      <c r="AP97" s="334"/>
      <c r="AQ97" s="334"/>
      <c r="AR97" s="334"/>
      <c r="AS97" s="334"/>
      <c r="AT97" s="334"/>
      <c r="AU97" s="334"/>
    </row>
    <row r="98" spans="2:47" ht="26.55" customHeight="1">
      <c r="B98" s="1034"/>
      <c r="C98" s="1667"/>
      <c r="D98" s="1667"/>
      <c r="E98" s="1667"/>
      <c r="F98" s="1667"/>
      <c r="G98" s="1667"/>
      <c r="H98" s="1667"/>
      <c r="I98" s="1667"/>
      <c r="J98" s="1667"/>
      <c r="K98" s="1667"/>
      <c r="L98" s="1667"/>
      <c r="M98" s="1693" t="s">
        <v>3771</v>
      </c>
      <c r="N98" s="1613"/>
      <c r="O98" s="1613"/>
      <c r="P98" s="1613"/>
      <c r="Q98" s="1613"/>
      <c r="R98" s="1613"/>
      <c r="S98" s="1613"/>
      <c r="T98" s="1613"/>
      <c r="U98" s="1613"/>
      <c r="V98" s="1613"/>
      <c r="W98" s="1628"/>
      <c r="X98" s="178"/>
      <c r="Y98" s="178"/>
      <c r="Z98" s="1711"/>
      <c r="AA98" s="1667"/>
      <c r="AB98" s="1667"/>
      <c r="AC98" s="1667"/>
      <c r="AD98" s="1667"/>
      <c r="AE98" s="1667"/>
      <c r="AF98" s="1667"/>
      <c r="AG98" s="1667"/>
      <c r="AH98" s="179"/>
      <c r="AI98" s="1711"/>
      <c r="AJ98" s="1667"/>
      <c r="AK98" s="1667"/>
      <c r="AL98" s="1667"/>
      <c r="AM98" s="1667"/>
      <c r="AN98" s="1667"/>
      <c r="AO98" s="1667"/>
      <c r="AP98" s="1667"/>
      <c r="AQ98" s="1667"/>
      <c r="AR98" s="1667"/>
      <c r="AS98" s="1667"/>
      <c r="AT98" s="1667"/>
      <c r="AU98" s="1667"/>
    </row>
    <row r="99" spans="2:47" ht="16.05" customHeight="1">
      <c r="B99" s="1034"/>
      <c r="C99" s="1667"/>
      <c r="D99" s="1667"/>
      <c r="E99" s="1667"/>
      <c r="F99" s="1667"/>
      <c r="G99" s="1667"/>
      <c r="H99" s="1667"/>
      <c r="I99" s="1667"/>
      <c r="J99" s="1667"/>
      <c r="K99" s="1667"/>
      <c r="L99" s="1667"/>
      <c r="M99" s="1648"/>
      <c r="N99" s="1625"/>
      <c r="O99" s="1625"/>
      <c r="P99" s="1625"/>
      <c r="Q99" s="1625"/>
      <c r="R99" s="1625"/>
      <c r="S99" s="1625"/>
      <c r="T99" s="1625"/>
      <c r="U99" s="1625"/>
      <c r="V99" s="1625"/>
      <c r="W99" s="1644"/>
      <c r="X99" s="178"/>
      <c r="Y99" s="178"/>
      <c r="Z99" s="1667"/>
      <c r="AA99" s="1667"/>
      <c r="AB99" s="1667"/>
      <c r="AC99" s="1667"/>
      <c r="AD99" s="1667"/>
      <c r="AE99" s="1667"/>
      <c r="AF99" s="1667"/>
      <c r="AG99" s="1667"/>
      <c r="AH99" s="179"/>
      <c r="AI99" s="1667"/>
      <c r="AJ99" s="1667"/>
      <c r="AK99" s="1667"/>
      <c r="AL99" s="1667"/>
      <c r="AM99" s="1667"/>
      <c r="AN99" s="1667"/>
      <c r="AO99" s="1667"/>
      <c r="AP99" s="1667"/>
      <c r="AQ99" s="1667"/>
      <c r="AR99" s="1667"/>
      <c r="AS99" s="1667"/>
      <c r="AT99" s="1667"/>
      <c r="AU99" s="1667"/>
    </row>
    <row r="100" spans="2:47" ht="16.95" customHeight="1">
      <c r="B100" s="1034"/>
      <c r="C100" s="1667"/>
      <c r="D100" s="1667"/>
      <c r="E100" s="1667"/>
      <c r="F100" s="1667"/>
      <c r="G100" s="1667"/>
      <c r="H100" s="1667"/>
      <c r="I100" s="1667"/>
      <c r="J100" s="1667"/>
      <c r="K100" s="1667"/>
      <c r="L100" s="1667"/>
      <c r="M100" s="1707" t="s">
        <v>3772</v>
      </c>
      <c r="N100" s="1613"/>
      <c r="O100" s="1613"/>
      <c r="P100" s="1613"/>
      <c r="Q100" s="1613"/>
      <c r="R100" s="1613"/>
      <c r="S100" s="1613"/>
      <c r="T100" s="1613"/>
      <c r="U100" s="1613"/>
      <c r="V100" s="1613"/>
      <c r="W100" s="1628"/>
      <c r="X100" s="334"/>
      <c r="Y100" s="334"/>
      <c r="Z100" s="180"/>
      <c r="AA100" s="180"/>
      <c r="AB100" s="180"/>
      <c r="AC100" s="180"/>
      <c r="AD100" s="180"/>
      <c r="AE100" s="180"/>
      <c r="AF100" s="180"/>
      <c r="AG100" s="180"/>
      <c r="AH100" s="180"/>
      <c r="AI100" s="180"/>
      <c r="AJ100" s="180"/>
      <c r="AK100" s="180"/>
      <c r="AL100" s="180"/>
      <c r="AM100" s="180"/>
      <c r="AN100" s="180"/>
      <c r="AO100" s="180"/>
      <c r="AP100" s="180"/>
      <c r="AQ100" s="180"/>
      <c r="AR100" s="180"/>
      <c r="AS100" s="180"/>
      <c r="AT100" s="180"/>
      <c r="AU100" s="180"/>
    </row>
    <row r="101" spans="2:47">
      <c r="B101" s="1090"/>
      <c r="C101" s="1019"/>
      <c r="D101" s="1019"/>
      <c r="E101" s="1019"/>
      <c r="F101" s="1019"/>
      <c r="G101" s="1019"/>
      <c r="H101" s="1019"/>
      <c r="I101" s="1019"/>
      <c r="J101" s="1019"/>
      <c r="K101" s="1019"/>
      <c r="L101" s="1019"/>
      <c r="M101" s="1708"/>
      <c r="N101" s="1019"/>
      <c r="O101" s="1019"/>
      <c r="P101" s="1019"/>
      <c r="Q101" s="1019"/>
      <c r="R101" s="1019"/>
      <c r="S101" s="1019"/>
      <c r="T101" s="1019"/>
      <c r="U101" s="1019"/>
      <c r="V101" s="1019"/>
      <c r="W101" s="1091"/>
      <c r="X101" s="334"/>
      <c r="Y101" s="334"/>
      <c r="Z101" s="180"/>
      <c r="AA101" s="180"/>
      <c r="AB101" s="180"/>
      <c r="AC101" s="180"/>
      <c r="AD101" s="180"/>
      <c r="AE101" s="180"/>
      <c r="AF101" s="180"/>
      <c r="AG101" s="180"/>
      <c r="AH101" s="180"/>
      <c r="AI101" s="180"/>
      <c r="AJ101" s="180"/>
      <c r="AK101" s="180"/>
      <c r="AL101" s="180"/>
      <c r="AM101" s="180"/>
      <c r="AN101" s="180"/>
      <c r="AO101" s="180"/>
      <c r="AP101" s="180"/>
      <c r="AQ101" s="180"/>
      <c r="AR101" s="180"/>
      <c r="AS101" s="180"/>
      <c r="AT101" s="180"/>
      <c r="AU101" s="180"/>
    </row>
    <row r="102" spans="2:47">
      <c r="B102" s="178"/>
      <c r="C102" s="178"/>
      <c r="D102" s="178"/>
      <c r="E102" s="178"/>
      <c r="F102" s="178"/>
      <c r="G102" s="178"/>
      <c r="H102" s="178"/>
      <c r="I102" s="178"/>
      <c r="J102" s="178"/>
      <c r="K102" s="178"/>
      <c r="L102" s="178"/>
      <c r="M102" s="178"/>
      <c r="N102" s="178"/>
      <c r="O102" s="178"/>
      <c r="P102" s="178"/>
      <c r="Q102" s="178"/>
      <c r="R102" s="178"/>
      <c r="S102" s="178"/>
      <c r="T102" s="178"/>
      <c r="U102" s="178"/>
      <c r="V102" s="178"/>
      <c r="W102" s="178"/>
      <c r="X102" s="334"/>
      <c r="Y102" s="334"/>
      <c r="Z102" s="180"/>
      <c r="AA102" s="180"/>
      <c r="AB102" s="180"/>
      <c r="AC102" s="180"/>
      <c r="AD102" s="180"/>
      <c r="AE102" s="180"/>
      <c r="AF102" s="180"/>
      <c r="AG102" s="180"/>
      <c r="AH102" s="180"/>
      <c r="AI102" s="180"/>
      <c r="AJ102" s="180"/>
      <c r="AK102" s="180"/>
      <c r="AL102" s="180"/>
      <c r="AM102" s="180"/>
      <c r="AN102" s="180"/>
      <c r="AO102" s="180"/>
      <c r="AP102" s="180"/>
      <c r="AQ102" s="180"/>
      <c r="AR102" s="180"/>
      <c r="AS102" s="180"/>
      <c r="AT102" s="180"/>
      <c r="AU102" s="180"/>
    </row>
    <row r="103" spans="2:47">
      <c r="B103" s="1649" t="s">
        <v>3773</v>
      </c>
      <c r="C103" s="1088"/>
      <c r="D103" s="1088"/>
      <c r="E103" s="1088"/>
      <c r="F103" s="1088"/>
      <c r="G103" s="1088"/>
      <c r="H103" s="1088"/>
      <c r="I103" s="1088"/>
      <c r="J103" s="1088"/>
      <c r="K103" s="1088"/>
      <c r="L103" s="1088"/>
      <c r="M103" s="1088"/>
      <c r="N103" s="1088"/>
      <c r="O103" s="1088"/>
      <c r="P103" s="1088"/>
      <c r="Q103" s="1088"/>
      <c r="R103" s="1088"/>
      <c r="S103" s="1088"/>
      <c r="T103" s="1088"/>
      <c r="U103" s="1088"/>
      <c r="V103" s="1088"/>
      <c r="W103" s="1088"/>
      <c r="X103" s="1088"/>
      <c r="Y103" s="1088"/>
      <c r="Z103" s="1088"/>
      <c r="AA103" s="1088"/>
      <c r="AB103" s="1088"/>
      <c r="AC103" s="1088"/>
      <c r="AD103" s="1088"/>
      <c r="AE103" s="1088"/>
      <c r="AF103" s="1088"/>
      <c r="AG103" s="1088"/>
      <c r="AH103" s="1088"/>
      <c r="AI103" s="1088"/>
      <c r="AJ103" s="1088"/>
      <c r="AK103" s="1088"/>
      <c r="AL103" s="1088"/>
      <c r="AM103" s="1088"/>
      <c r="AN103" s="1088"/>
      <c r="AO103" s="1088"/>
      <c r="AP103" s="1088"/>
      <c r="AQ103" s="1088"/>
      <c r="AR103" s="1088"/>
      <c r="AS103" s="1088"/>
      <c r="AT103" s="1088"/>
      <c r="AU103" s="1089"/>
    </row>
    <row r="104" spans="2:47">
      <c r="B104" s="1034"/>
      <c r="C104" s="1667"/>
      <c r="D104" s="1667"/>
      <c r="E104" s="1667"/>
      <c r="F104" s="1667"/>
      <c r="G104" s="1667"/>
      <c r="H104" s="1667"/>
      <c r="I104" s="1667"/>
      <c r="J104" s="1667"/>
      <c r="K104" s="1667"/>
      <c r="L104" s="1667"/>
      <c r="M104" s="1667"/>
      <c r="N104" s="1667"/>
      <c r="O104" s="1667"/>
      <c r="P104" s="1667"/>
      <c r="Q104" s="1667"/>
      <c r="R104" s="1667"/>
      <c r="S104" s="1667"/>
      <c r="T104" s="1667"/>
      <c r="U104" s="1667"/>
      <c r="V104" s="1667"/>
      <c r="W104" s="1667"/>
      <c r="X104" s="1667"/>
      <c r="Y104" s="1667"/>
      <c r="Z104" s="1667"/>
      <c r="AA104" s="1667"/>
      <c r="AB104" s="1667"/>
      <c r="AC104" s="1667"/>
      <c r="AD104" s="1667"/>
      <c r="AE104" s="1667"/>
      <c r="AF104" s="1667"/>
      <c r="AG104" s="1667"/>
      <c r="AH104" s="1667"/>
      <c r="AI104" s="1667"/>
      <c r="AJ104" s="1667"/>
      <c r="AK104" s="1667"/>
      <c r="AL104" s="1667"/>
      <c r="AM104" s="1667"/>
      <c r="AN104" s="1667"/>
      <c r="AO104" s="1667"/>
      <c r="AP104" s="1667"/>
      <c r="AQ104" s="1667"/>
      <c r="AR104" s="1667"/>
      <c r="AS104" s="1667"/>
      <c r="AT104" s="1667"/>
      <c r="AU104" s="1015"/>
    </row>
    <row r="105" spans="2:47">
      <c r="B105" s="1090"/>
      <c r="C105" s="1019"/>
      <c r="D105" s="1019"/>
      <c r="E105" s="1019"/>
      <c r="F105" s="1019"/>
      <c r="G105" s="1019"/>
      <c r="H105" s="1019"/>
      <c r="I105" s="1019"/>
      <c r="J105" s="1019"/>
      <c r="K105" s="1019"/>
      <c r="L105" s="1019"/>
      <c r="M105" s="1019"/>
      <c r="N105" s="1019"/>
      <c r="O105" s="1019"/>
      <c r="P105" s="1019"/>
      <c r="Q105" s="1019"/>
      <c r="R105" s="1019"/>
      <c r="S105" s="1019"/>
      <c r="T105" s="1019"/>
      <c r="U105" s="1019"/>
      <c r="V105" s="1019"/>
      <c r="W105" s="1019"/>
      <c r="X105" s="1019"/>
      <c r="Y105" s="1019"/>
      <c r="Z105" s="1019"/>
      <c r="AA105" s="1019"/>
      <c r="AB105" s="1019"/>
      <c r="AC105" s="1019"/>
      <c r="AD105" s="1019"/>
      <c r="AE105" s="1019"/>
      <c r="AF105" s="1019"/>
      <c r="AG105" s="1019"/>
      <c r="AH105" s="1019"/>
      <c r="AI105" s="1019"/>
      <c r="AJ105" s="1019"/>
      <c r="AK105" s="1019"/>
      <c r="AL105" s="1019"/>
      <c r="AM105" s="1019"/>
      <c r="AN105" s="1019"/>
      <c r="AO105" s="1019"/>
      <c r="AP105" s="1019"/>
      <c r="AQ105" s="1019"/>
      <c r="AR105" s="1019"/>
      <c r="AS105" s="1019"/>
      <c r="AT105" s="1019"/>
      <c r="AU105" s="1091"/>
    </row>
    <row r="106" spans="2:47">
      <c r="B106" s="14"/>
      <c r="C106" s="14"/>
      <c r="D106" s="14"/>
      <c r="E106" s="14"/>
      <c r="F106" s="14"/>
      <c r="G106" s="14"/>
      <c r="H106" s="14"/>
      <c r="I106" s="14"/>
      <c r="J106" s="14"/>
      <c r="K106" s="14"/>
      <c r="L106" s="14"/>
      <c r="M106" s="14"/>
      <c r="N106" s="14"/>
      <c r="O106" s="14"/>
      <c r="P106" s="14"/>
      <c r="Q106" s="14"/>
      <c r="R106" s="14"/>
      <c r="S106" s="14"/>
      <c r="T106" s="180"/>
      <c r="U106" s="180"/>
      <c r="V106" s="180"/>
      <c r="W106" s="180"/>
      <c r="X106" s="309"/>
      <c r="Y106" s="334"/>
      <c r="Z106" s="180"/>
      <c r="AA106" s="180"/>
      <c r="AB106" s="180"/>
      <c r="AC106" s="180"/>
      <c r="AD106" s="180"/>
      <c r="AE106" s="180"/>
      <c r="AF106" s="180"/>
      <c r="AG106" s="180"/>
      <c r="AH106" s="180"/>
      <c r="AI106" s="180"/>
      <c r="AJ106" s="180"/>
      <c r="AK106" s="180"/>
      <c r="AL106" s="180"/>
      <c r="AM106" s="180"/>
      <c r="AN106" s="180"/>
      <c r="AO106" s="180"/>
      <c r="AP106" s="180"/>
      <c r="AQ106" s="180"/>
      <c r="AR106" s="180"/>
      <c r="AS106" s="180"/>
      <c r="AT106" s="180"/>
      <c r="AU106" s="180"/>
    </row>
    <row r="107" spans="2:47" ht="18" customHeight="1">
      <c r="B107" s="1692" t="s">
        <v>3774</v>
      </c>
      <c r="C107" s="1088"/>
      <c r="D107" s="1088"/>
      <c r="E107" s="1088"/>
      <c r="F107" s="1088"/>
      <c r="G107" s="1088"/>
      <c r="H107" s="1088"/>
      <c r="I107" s="1088"/>
      <c r="J107" s="1088"/>
      <c r="K107" s="1088"/>
      <c r="L107" s="1088"/>
      <c r="M107" s="1088"/>
      <c r="N107" s="1088"/>
      <c r="O107" s="1088"/>
      <c r="P107" s="1089"/>
      <c r="R107" s="1672" t="s">
        <v>3775</v>
      </c>
      <c r="S107" s="1088"/>
      <c r="T107" s="1088"/>
      <c r="U107" s="1088"/>
      <c r="V107" s="1088"/>
      <c r="W107" s="1088"/>
      <c r="X107" s="1088"/>
      <c r="Y107" s="1088"/>
      <c r="Z107" s="1088"/>
      <c r="AA107" s="1089"/>
      <c r="AB107" s="335"/>
      <c r="AC107" s="1672" t="s">
        <v>3776</v>
      </c>
      <c r="AD107" s="1088"/>
      <c r="AE107" s="1088"/>
      <c r="AF107" s="1088"/>
      <c r="AG107" s="1088"/>
      <c r="AH107" s="1088"/>
      <c r="AI107" s="1088"/>
      <c r="AJ107" s="1088"/>
      <c r="AK107" s="1088"/>
      <c r="AL107" s="1088"/>
      <c r="AM107" s="1089"/>
      <c r="AO107" s="1692" t="s">
        <v>3777</v>
      </c>
      <c r="AP107" s="1088"/>
      <c r="AQ107" s="1088"/>
      <c r="AR107" s="1088"/>
      <c r="AS107" s="1088"/>
      <c r="AT107" s="1088"/>
      <c r="AU107" s="1089"/>
    </row>
    <row r="108" spans="2:47" ht="18" customHeight="1">
      <c r="B108" s="1034"/>
      <c r="C108" s="1667"/>
      <c r="D108" s="1667"/>
      <c r="E108" s="1667"/>
      <c r="F108" s="1667"/>
      <c r="G108" s="1667"/>
      <c r="H108" s="1667"/>
      <c r="I108" s="1667"/>
      <c r="J108" s="1667"/>
      <c r="K108" s="1667"/>
      <c r="L108" s="1667"/>
      <c r="M108" s="1667"/>
      <c r="N108" s="1667"/>
      <c r="O108" s="1667"/>
      <c r="P108" s="1015"/>
      <c r="R108" s="1035"/>
      <c r="S108" s="1036"/>
      <c r="T108" s="1036"/>
      <c r="U108" s="1036"/>
      <c r="V108" s="1036"/>
      <c r="W108" s="1036"/>
      <c r="X108" s="1036"/>
      <c r="Y108" s="1036"/>
      <c r="Z108" s="1036"/>
      <c r="AA108" s="998"/>
      <c r="AB108" s="335"/>
      <c r="AC108" s="1035"/>
      <c r="AD108" s="1036"/>
      <c r="AE108" s="1036"/>
      <c r="AF108" s="1036"/>
      <c r="AG108" s="1036"/>
      <c r="AH108" s="1036"/>
      <c r="AI108" s="1036"/>
      <c r="AJ108" s="1036"/>
      <c r="AK108" s="1036"/>
      <c r="AL108" s="1036"/>
      <c r="AM108" s="998"/>
      <c r="AO108" s="1034"/>
      <c r="AP108" s="1667"/>
      <c r="AQ108" s="1667"/>
      <c r="AR108" s="1667"/>
      <c r="AS108" s="1667"/>
      <c r="AT108" s="1667"/>
      <c r="AU108" s="1015"/>
    </row>
    <row r="109" spans="2:47" ht="18" customHeight="1">
      <c r="B109" s="1737" t="s">
        <v>3778</v>
      </c>
      <c r="C109" s="1667"/>
      <c r="D109" s="1667"/>
      <c r="E109" s="1667"/>
      <c r="F109" s="1667"/>
      <c r="G109" s="1667"/>
      <c r="H109" s="1667"/>
      <c r="I109" s="1667"/>
      <c r="J109" s="1667"/>
      <c r="K109" s="1667"/>
      <c r="L109" s="1667"/>
      <c r="M109" s="1667"/>
      <c r="N109" s="1754" t="s">
        <v>3779</v>
      </c>
      <c r="O109" s="1667"/>
      <c r="P109" s="1015"/>
      <c r="R109" s="1750" t="s">
        <v>3780</v>
      </c>
      <c r="S109" s="1667"/>
      <c r="T109" s="1667"/>
      <c r="U109" s="1667"/>
      <c r="V109" s="1667"/>
      <c r="W109" s="1667"/>
      <c r="X109" s="1747" t="s">
        <v>3781</v>
      </c>
      <c r="Y109" s="1667"/>
      <c r="Z109" s="1667"/>
      <c r="AA109" s="1015"/>
      <c r="AC109" s="1717" t="s">
        <v>3782</v>
      </c>
      <c r="AD109" s="1667"/>
      <c r="AE109" s="1667"/>
      <c r="AF109" s="1667"/>
      <c r="AG109" s="1667"/>
      <c r="AH109" s="1667"/>
      <c r="AI109" s="1013"/>
      <c r="AJ109" s="1704" t="s">
        <v>3781</v>
      </c>
      <c r="AK109" s="1667"/>
      <c r="AL109" s="1667"/>
      <c r="AM109" s="1015"/>
      <c r="AO109" s="1753" t="s">
        <v>3783</v>
      </c>
      <c r="AP109" s="1667"/>
      <c r="AQ109" s="1667"/>
      <c r="AR109" s="1667"/>
      <c r="AS109" s="1667"/>
      <c r="AT109" s="1667"/>
      <c r="AU109" s="1015"/>
    </row>
    <row r="110" spans="2:47" ht="18" customHeight="1">
      <c r="B110" s="1034"/>
      <c r="C110" s="1667"/>
      <c r="D110" s="1667"/>
      <c r="E110" s="1667"/>
      <c r="F110" s="1667"/>
      <c r="G110" s="1667"/>
      <c r="H110" s="1667"/>
      <c r="I110" s="1667"/>
      <c r="J110" s="1667"/>
      <c r="K110" s="1667"/>
      <c r="L110" s="1667"/>
      <c r="M110" s="1667"/>
      <c r="N110" s="1114"/>
      <c r="O110" s="1667"/>
      <c r="P110" s="1015"/>
      <c r="R110" s="1034"/>
      <c r="S110" s="1667"/>
      <c r="T110" s="1667"/>
      <c r="U110" s="1667"/>
      <c r="V110" s="1667"/>
      <c r="W110" s="1667"/>
      <c r="X110" s="1745" t="s">
        <v>3784</v>
      </c>
      <c r="Y110" s="1667"/>
      <c r="Z110" s="1667"/>
      <c r="AA110" s="1015"/>
      <c r="AC110" s="1034"/>
      <c r="AD110" s="1667"/>
      <c r="AE110" s="1667"/>
      <c r="AF110" s="1667"/>
      <c r="AG110" s="1667"/>
      <c r="AH110" s="1667"/>
      <c r="AI110" s="1013"/>
      <c r="AJ110" s="1752" t="s">
        <v>3785</v>
      </c>
      <c r="AK110" s="1667"/>
      <c r="AL110" s="1667"/>
      <c r="AM110" s="1015"/>
      <c r="AO110" s="1034"/>
      <c r="AP110" s="1667"/>
      <c r="AQ110" s="1667"/>
      <c r="AR110" s="1667"/>
      <c r="AS110" s="1667"/>
      <c r="AT110" s="1667"/>
      <c r="AU110" s="1015"/>
    </row>
    <row r="111" spans="2:47" ht="18" customHeight="1">
      <c r="B111" s="1034"/>
      <c r="C111" s="1667"/>
      <c r="D111" s="1667"/>
      <c r="E111" s="1667"/>
      <c r="F111" s="1667"/>
      <c r="G111" s="1667"/>
      <c r="H111" s="1667"/>
      <c r="I111" s="1667"/>
      <c r="J111" s="1667"/>
      <c r="K111" s="1667"/>
      <c r="L111" s="1667"/>
      <c r="M111" s="1667"/>
      <c r="N111" s="1114"/>
      <c r="O111" s="1667"/>
      <c r="P111" s="1015"/>
      <c r="R111" s="1034"/>
      <c r="S111" s="1667"/>
      <c r="T111" s="1667"/>
      <c r="U111" s="1667"/>
      <c r="V111" s="1667"/>
      <c r="W111" s="1667"/>
      <c r="X111" s="1114"/>
      <c r="Y111" s="1667"/>
      <c r="Z111" s="1667"/>
      <c r="AA111" s="1015"/>
      <c r="AC111" s="1034"/>
      <c r="AD111" s="1667"/>
      <c r="AE111" s="1667"/>
      <c r="AF111" s="1667"/>
      <c r="AG111" s="1667"/>
      <c r="AH111" s="1667"/>
      <c r="AI111" s="1013"/>
      <c r="AJ111" s="1036"/>
      <c r="AK111" s="1036"/>
      <c r="AL111" s="1036"/>
      <c r="AM111" s="998"/>
      <c r="AO111" s="1034"/>
      <c r="AP111" s="1667"/>
      <c r="AQ111" s="1667"/>
      <c r="AR111" s="1667"/>
      <c r="AS111" s="1667"/>
      <c r="AT111" s="1667"/>
      <c r="AU111" s="1015"/>
    </row>
    <row r="112" spans="2:47" ht="18" customHeight="1">
      <c r="B112" s="1034"/>
      <c r="C112" s="1667"/>
      <c r="D112" s="1667"/>
      <c r="E112" s="1667"/>
      <c r="F112" s="1667"/>
      <c r="G112" s="1667"/>
      <c r="H112" s="1667"/>
      <c r="I112" s="1667"/>
      <c r="J112" s="1667"/>
      <c r="K112" s="1667"/>
      <c r="L112" s="1667"/>
      <c r="M112" s="1667"/>
      <c r="N112" s="1114"/>
      <c r="O112" s="1667"/>
      <c r="P112" s="1015"/>
      <c r="R112" s="1034"/>
      <c r="S112" s="1667"/>
      <c r="T112" s="1667"/>
      <c r="U112" s="1667"/>
      <c r="V112" s="1667"/>
      <c r="W112" s="1667"/>
      <c r="X112" s="1730" t="s">
        <v>3786</v>
      </c>
      <c r="Y112" s="1033"/>
      <c r="Z112" s="1033"/>
      <c r="AA112" s="1038"/>
      <c r="AC112" s="1034"/>
      <c r="AD112" s="1667"/>
      <c r="AE112" s="1667"/>
      <c r="AF112" s="1667"/>
      <c r="AG112" s="1667"/>
      <c r="AH112" s="1667"/>
      <c r="AI112" s="1013"/>
      <c r="AJ112" s="1704" t="s">
        <v>3786</v>
      </c>
      <c r="AK112" s="1667"/>
      <c r="AL112" s="1667"/>
      <c r="AM112" s="1015"/>
      <c r="AO112" s="1744" t="s">
        <v>3787</v>
      </c>
      <c r="AP112" s="1667"/>
      <c r="AQ112" s="1667"/>
      <c r="AR112" s="1667"/>
      <c r="AS112" s="1667"/>
      <c r="AT112" s="1667"/>
      <c r="AU112" s="1015"/>
    </row>
    <row r="113" spans="2:47" ht="18" customHeight="1">
      <c r="B113" s="1034"/>
      <c r="C113" s="1667"/>
      <c r="D113" s="1667"/>
      <c r="E113" s="1667"/>
      <c r="F113" s="1667"/>
      <c r="G113" s="1667"/>
      <c r="H113" s="1667"/>
      <c r="I113" s="1667"/>
      <c r="J113" s="1667"/>
      <c r="K113" s="1667"/>
      <c r="L113" s="1667"/>
      <c r="M113" s="1667"/>
      <c r="N113" s="1114"/>
      <c r="O113" s="1667"/>
      <c r="P113" s="1015"/>
      <c r="R113" s="1034"/>
      <c r="S113" s="1667"/>
      <c r="T113" s="1667"/>
      <c r="U113" s="1667"/>
      <c r="V113" s="1667"/>
      <c r="W113" s="1667"/>
      <c r="X113" s="1751" t="s">
        <v>3788</v>
      </c>
      <c r="Y113" s="1667"/>
      <c r="Z113" s="1667"/>
      <c r="AA113" s="1015"/>
      <c r="AC113" s="1034"/>
      <c r="AD113" s="1667"/>
      <c r="AE113" s="1667"/>
      <c r="AF113" s="1667"/>
      <c r="AG113" s="1667"/>
      <c r="AH113" s="1667"/>
      <c r="AI113" s="1013"/>
      <c r="AJ113" s="1729" t="s">
        <v>3789</v>
      </c>
      <c r="AK113" s="1667"/>
      <c r="AL113" s="1667"/>
      <c r="AM113" s="1015"/>
      <c r="AO113" s="1034"/>
      <c r="AP113" s="1667"/>
      <c r="AQ113" s="1667"/>
      <c r="AR113" s="1667"/>
      <c r="AS113" s="1667"/>
      <c r="AT113" s="1667"/>
      <c r="AU113" s="1015"/>
    </row>
    <row r="114" spans="2:47" ht="18" customHeight="1">
      <c r="B114" s="1034"/>
      <c r="C114" s="1667"/>
      <c r="D114" s="1667"/>
      <c r="E114" s="1667"/>
      <c r="F114" s="1667"/>
      <c r="G114" s="1667"/>
      <c r="H114" s="1667"/>
      <c r="I114" s="1667"/>
      <c r="J114" s="1667"/>
      <c r="K114" s="1667"/>
      <c r="L114" s="1667"/>
      <c r="M114" s="1667"/>
      <c r="N114" s="1114"/>
      <c r="O114" s="1667"/>
      <c r="P114" s="1015"/>
      <c r="R114" s="1035"/>
      <c r="S114" s="1036"/>
      <c r="T114" s="1036"/>
      <c r="U114" s="1036"/>
      <c r="V114" s="1036"/>
      <c r="W114" s="1036"/>
      <c r="X114" s="1026"/>
      <c r="Y114" s="1036"/>
      <c r="Z114" s="1036"/>
      <c r="AA114" s="998"/>
      <c r="AC114" s="1035"/>
      <c r="AD114" s="1036"/>
      <c r="AE114" s="1036"/>
      <c r="AF114" s="1036"/>
      <c r="AG114" s="1036"/>
      <c r="AH114" s="1036"/>
      <c r="AI114" s="1027"/>
      <c r="AJ114" s="1036"/>
      <c r="AK114" s="1036"/>
      <c r="AL114" s="1036"/>
      <c r="AM114" s="998"/>
      <c r="AO114" s="1034"/>
      <c r="AP114" s="1667"/>
      <c r="AQ114" s="1667"/>
      <c r="AR114" s="1667"/>
      <c r="AS114" s="1667"/>
      <c r="AT114" s="1667"/>
      <c r="AU114" s="1015"/>
    </row>
    <row r="115" spans="2:47" ht="18" customHeight="1">
      <c r="B115" s="1035"/>
      <c r="C115" s="1036"/>
      <c r="D115" s="1036"/>
      <c r="E115" s="1036"/>
      <c r="F115" s="1036"/>
      <c r="G115" s="1036"/>
      <c r="H115" s="1036"/>
      <c r="I115" s="1036"/>
      <c r="J115" s="1036"/>
      <c r="K115" s="1036"/>
      <c r="L115" s="1036"/>
      <c r="M115" s="1036"/>
      <c r="N115" s="1114"/>
      <c r="O115" s="1667"/>
      <c r="P115" s="1015"/>
      <c r="R115" s="1744" t="s">
        <v>3790</v>
      </c>
      <c r="S115" s="1667"/>
      <c r="T115" s="1667"/>
      <c r="U115" s="1667"/>
      <c r="V115" s="1667"/>
      <c r="W115" s="1667"/>
      <c r="X115" s="1667"/>
      <c r="Y115" s="1667"/>
      <c r="Z115" s="1667"/>
      <c r="AA115" s="1015"/>
      <c r="AB115" s="336"/>
      <c r="AC115" s="1744" t="s">
        <v>3791</v>
      </c>
      <c r="AD115" s="1667"/>
      <c r="AE115" s="1667"/>
      <c r="AF115" s="1667"/>
      <c r="AG115" s="1667"/>
      <c r="AH115" s="1667"/>
      <c r="AI115" s="1667"/>
      <c r="AJ115" s="1667"/>
      <c r="AK115" s="1667"/>
      <c r="AL115" s="1667"/>
      <c r="AM115" s="1015"/>
      <c r="AO115" s="1034"/>
      <c r="AP115" s="1667"/>
      <c r="AQ115" s="1667"/>
      <c r="AR115" s="1667"/>
      <c r="AS115" s="1667"/>
      <c r="AT115" s="1667"/>
      <c r="AU115" s="1015"/>
    </row>
    <row r="116" spans="2:47" ht="18" customHeight="1">
      <c r="B116" s="1772" t="s">
        <v>3792</v>
      </c>
      <c r="C116" s="1667"/>
      <c r="D116" s="1667"/>
      <c r="E116" s="1667"/>
      <c r="F116" s="1667"/>
      <c r="G116" s="1667"/>
      <c r="H116" s="1667"/>
      <c r="I116" s="1667"/>
      <c r="J116" s="1667"/>
      <c r="K116" s="1667"/>
      <c r="L116" s="1667"/>
      <c r="M116" s="1667"/>
      <c r="N116" s="1114"/>
      <c r="O116" s="1667"/>
      <c r="P116" s="1015"/>
      <c r="R116" s="1034"/>
      <c r="S116" s="1667"/>
      <c r="T116" s="1667"/>
      <c r="U116" s="1667"/>
      <c r="V116" s="1667"/>
      <c r="W116" s="1667"/>
      <c r="X116" s="1667"/>
      <c r="Y116" s="1667"/>
      <c r="Z116" s="1667"/>
      <c r="AA116" s="1015"/>
      <c r="AB116" s="336"/>
      <c r="AC116" s="1034"/>
      <c r="AD116" s="1667"/>
      <c r="AE116" s="1667"/>
      <c r="AF116" s="1667"/>
      <c r="AG116" s="1667"/>
      <c r="AH116" s="1667"/>
      <c r="AI116" s="1667"/>
      <c r="AJ116" s="1667"/>
      <c r="AK116" s="1667"/>
      <c r="AL116" s="1667"/>
      <c r="AM116" s="1015"/>
      <c r="AO116" s="1034"/>
      <c r="AP116" s="1667"/>
      <c r="AQ116" s="1667"/>
      <c r="AR116" s="1667"/>
      <c r="AS116" s="1667"/>
      <c r="AT116" s="1667"/>
      <c r="AU116" s="1015"/>
    </row>
    <row r="117" spans="2:47" ht="18" customHeight="1">
      <c r="B117" s="1034"/>
      <c r="C117" s="1667"/>
      <c r="D117" s="1667"/>
      <c r="E117" s="1667"/>
      <c r="F117" s="1667"/>
      <c r="G117" s="1667"/>
      <c r="H117" s="1667"/>
      <c r="I117" s="1667"/>
      <c r="J117" s="1667"/>
      <c r="K117" s="1667"/>
      <c r="L117" s="1667"/>
      <c r="M117" s="1667"/>
      <c r="N117" s="1114"/>
      <c r="O117" s="1667"/>
      <c r="P117" s="1015"/>
      <c r="R117" s="1034"/>
      <c r="S117" s="1667"/>
      <c r="T117" s="1667"/>
      <c r="U117" s="1667"/>
      <c r="V117" s="1667"/>
      <c r="W117" s="1667"/>
      <c r="X117" s="1667"/>
      <c r="Y117" s="1667"/>
      <c r="Z117" s="1667"/>
      <c r="AA117" s="1015"/>
      <c r="AB117" s="336"/>
      <c r="AC117" s="1034"/>
      <c r="AD117" s="1667"/>
      <c r="AE117" s="1667"/>
      <c r="AF117" s="1667"/>
      <c r="AG117" s="1667"/>
      <c r="AH117" s="1667"/>
      <c r="AI117" s="1667"/>
      <c r="AJ117" s="1667"/>
      <c r="AK117" s="1667"/>
      <c r="AL117" s="1667"/>
      <c r="AM117" s="1015"/>
      <c r="AO117" s="1034"/>
      <c r="AP117" s="1667"/>
      <c r="AQ117" s="1667"/>
      <c r="AR117" s="1667"/>
      <c r="AS117" s="1667"/>
      <c r="AT117" s="1667"/>
      <c r="AU117" s="1015"/>
    </row>
    <row r="118" spans="2:47" ht="18" customHeight="1">
      <c r="B118" s="1034"/>
      <c r="C118" s="1667"/>
      <c r="D118" s="1667"/>
      <c r="E118" s="1667"/>
      <c r="F118" s="1667"/>
      <c r="G118" s="1667"/>
      <c r="H118" s="1667"/>
      <c r="I118" s="1667"/>
      <c r="J118" s="1667"/>
      <c r="K118" s="1667"/>
      <c r="L118" s="1667"/>
      <c r="M118" s="1667"/>
      <c r="N118" s="1114"/>
      <c r="O118" s="1667"/>
      <c r="P118" s="1015"/>
      <c r="R118" s="1034"/>
      <c r="S118" s="1667"/>
      <c r="T118" s="1667"/>
      <c r="U118" s="1667"/>
      <c r="V118" s="1667"/>
      <c r="W118" s="1667"/>
      <c r="X118" s="1667"/>
      <c r="Y118" s="1667"/>
      <c r="Z118" s="1667"/>
      <c r="AA118" s="1015"/>
      <c r="AB118" s="336"/>
      <c r="AC118" s="1034"/>
      <c r="AD118" s="1667"/>
      <c r="AE118" s="1667"/>
      <c r="AF118" s="1667"/>
      <c r="AG118" s="1667"/>
      <c r="AH118" s="1667"/>
      <c r="AI118" s="1667"/>
      <c r="AJ118" s="1667"/>
      <c r="AK118" s="1667"/>
      <c r="AL118" s="1667"/>
      <c r="AM118" s="1015"/>
      <c r="AO118" s="1034"/>
      <c r="AP118" s="1667"/>
      <c r="AQ118" s="1667"/>
      <c r="AR118" s="1667"/>
      <c r="AS118" s="1667"/>
      <c r="AT118" s="1667"/>
      <c r="AU118" s="1015"/>
    </row>
    <row r="119" spans="2:47" ht="18" customHeight="1">
      <c r="B119" s="1034"/>
      <c r="C119" s="1667"/>
      <c r="D119" s="1667"/>
      <c r="E119" s="1667"/>
      <c r="F119" s="1667"/>
      <c r="G119" s="1667"/>
      <c r="H119" s="1667"/>
      <c r="I119" s="1667"/>
      <c r="J119" s="1667"/>
      <c r="K119" s="1667"/>
      <c r="L119" s="1667"/>
      <c r="M119" s="1667"/>
      <c r="N119" s="1114"/>
      <c r="O119" s="1667"/>
      <c r="P119" s="1015"/>
      <c r="R119" s="1034"/>
      <c r="S119" s="1667"/>
      <c r="T119" s="1667"/>
      <c r="U119" s="1667"/>
      <c r="V119" s="1667"/>
      <c r="W119" s="1667"/>
      <c r="X119" s="1667"/>
      <c r="Y119" s="1667"/>
      <c r="Z119" s="1667"/>
      <c r="AA119" s="1015"/>
      <c r="AB119" s="336"/>
      <c r="AC119" s="1034"/>
      <c r="AD119" s="1667"/>
      <c r="AE119" s="1667"/>
      <c r="AF119" s="1667"/>
      <c r="AG119" s="1667"/>
      <c r="AH119" s="1667"/>
      <c r="AI119" s="1667"/>
      <c r="AJ119" s="1667"/>
      <c r="AK119" s="1667"/>
      <c r="AL119" s="1667"/>
      <c r="AM119" s="1015"/>
      <c r="AO119" s="1034"/>
      <c r="AP119" s="1667"/>
      <c r="AQ119" s="1667"/>
      <c r="AR119" s="1667"/>
      <c r="AS119" s="1667"/>
      <c r="AT119" s="1667"/>
      <c r="AU119" s="1015"/>
    </row>
    <row r="120" spans="2:47" ht="18" customHeight="1">
      <c r="B120" s="1034"/>
      <c r="C120" s="1667"/>
      <c r="D120" s="1667"/>
      <c r="E120" s="1667"/>
      <c r="F120" s="1667"/>
      <c r="G120" s="1667"/>
      <c r="H120" s="1667"/>
      <c r="I120" s="1667"/>
      <c r="J120" s="1667"/>
      <c r="K120" s="1667"/>
      <c r="L120" s="1667"/>
      <c r="M120" s="1667"/>
      <c r="N120" s="1114"/>
      <c r="O120" s="1667"/>
      <c r="P120" s="1015"/>
      <c r="R120" s="1034"/>
      <c r="S120" s="1667"/>
      <c r="T120" s="1667"/>
      <c r="U120" s="1667"/>
      <c r="V120" s="1667"/>
      <c r="W120" s="1667"/>
      <c r="X120" s="1667"/>
      <c r="Y120" s="1667"/>
      <c r="Z120" s="1667"/>
      <c r="AA120" s="1015"/>
      <c r="AB120" s="1"/>
      <c r="AC120" s="1034"/>
      <c r="AD120" s="1667"/>
      <c r="AE120" s="1667"/>
      <c r="AF120" s="1667"/>
      <c r="AG120" s="1667"/>
      <c r="AH120" s="1667"/>
      <c r="AI120" s="1667"/>
      <c r="AJ120" s="1667"/>
      <c r="AK120" s="1667"/>
      <c r="AL120" s="1667"/>
      <c r="AM120" s="1015"/>
      <c r="AO120" s="1034"/>
      <c r="AP120" s="1667"/>
      <c r="AQ120" s="1667"/>
      <c r="AR120" s="1667"/>
      <c r="AS120" s="1667"/>
      <c r="AT120" s="1667"/>
      <c r="AU120" s="1015"/>
    </row>
    <row r="121" spans="2:47" ht="18" customHeight="1">
      <c r="B121" s="1090"/>
      <c r="C121" s="1019"/>
      <c r="D121" s="1019"/>
      <c r="E121" s="1019"/>
      <c r="F121" s="1019"/>
      <c r="G121" s="1019"/>
      <c r="H121" s="1019"/>
      <c r="I121" s="1019"/>
      <c r="J121" s="1019"/>
      <c r="K121" s="1019"/>
      <c r="L121" s="1019"/>
      <c r="M121" s="1019"/>
      <c r="N121" s="1326"/>
      <c r="O121" s="1019"/>
      <c r="P121" s="1091"/>
      <c r="R121" s="1090"/>
      <c r="S121" s="1019"/>
      <c r="T121" s="1019"/>
      <c r="U121" s="1019"/>
      <c r="V121" s="1019"/>
      <c r="W121" s="1019"/>
      <c r="X121" s="1019"/>
      <c r="Y121" s="1019"/>
      <c r="Z121" s="1019"/>
      <c r="AA121" s="1091"/>
      <c r="AB121" s="309"/>
      <c r="AC121" s="1090"/>
      <c r="AD121" s="1019"/>
      <c r="AE121" s="1019"/>
      <c r="AF121" s="1019"/>
      <c r="AG121" s="1019"/>
      <c r="AH121" s="1019"/>
      <c r="AI121" s="1019"/>
      <c r="AJ121" s="1019"/>
      <c r="AK121" s="1019"/>
      <c r="AL121" s="1019"/>
      <c r="AM121" s="1091"/>
      <c r="AO121" s="1090"/>
      <c r="AP121" s="1019"/>
      <c r="AQ121" s="1019"/>
      <c r="AR121" s="1019"/>
      <c r="AS121" s="1019"/>
      <c r="AT121" s="1019"/>
      <c r="AU121" s="1091"/>
    </row>
  </sheetData>
  <mergeCells count="316">
    <mergeCell ref="Z90:AU91"/>
    <mergeCell ref="Z93:AJ96"/>
    <mergeCell ref="AS25:AW26"/>
    <mergeCell ref="AL19:AL20"/>
    <mergeCell ref="H21:H22"/>
    <mergeCell ref="AN64:AW65"/>
    <mergeCell ref="AA21:AE22"/>
    <mergeCell ref="B19:B20"/>
    <mergeCell ref="AL17:AL18"/>
    <mergeCell ref="AA23:AE24"/>
    <mergeCell ref="K69:L69"/>
    <mergeCell ref="H66:J66"/>
    <mergeCell ref="AL32:AQ35"/>
    <mergeCell ref="A40:A43"/>
    <mergeCell ref="B116:M121"/>
    <mergeCell ref="T36:Y39"/>
    <mergeCell ref="Z3:AE3"/>
    <mergeCell ref="N36:S39"/>
    <mergeCell ref="N4:S5"/>
    <mergeCell ref="AR19:AR20"/>
    <mergeCell ref="O17:S18"/>
    <mergeCell ref="U19:Y20"/>
    <mergeCell ref="O19:S20"/>
    <mergeCell ref="H71:J71"/>
    <mergeCell ref="O67:Q67"/>
    <mergeCell ref="N9:N10"/>
    <mergeCell ref="AF17:AF18"/>
    <mergeCell ref="N11:N12"/>
    <mergeCell ref="AG21:AK22"/>
    <mergeCell ref="AR8:AW8"/>
    <mergeCell ref="U73:V75"/>
    <mergeCell ref="W70:AJ72"/>
    <mergeCell ref="AR13:AR14"/>
    <mergeCell ref="Z21:Z22"/>
    <mergeCell ref="H72:J72"/>
    <mergeCell ref="I23:M24"/>
    <mergeCell ref="Z98:AG99"/>
    <mergeCell ref="AF3:AK3"/>
    <mergeCell ref="K70:L70"/>
    <mergeCell ref="AR4:AW5"/>
    <mergeCell ref="K49:P51"/>
    <mergeCell ref="AG9:AK10"/>
    <mergeCell ref="U67:V69"/>
    <mergeCell ref="AG11:AK12"/>
    <mergeCell ref="I21:M22"/>
    <mergeCell ref="AR9:AR10"/>
    <mergeCell ref="N25:N26"/>
    <mergeCell ref="T44:Y46"/>
    <mergeCell ref="N8:S8"/>
    <mergeCell ref="N32:S35"/>
    <mergeCell ref="AL13:AL14"/>
    <mergeCell ref="T21:T22"/>
    <mergeCell ref="O70:Q70"/>
    <mergeCell ref="AR15:AR16"/>
    <mergeCell ref="O13:S14"/>
    <mergeCell ref="AS19:AW20"/>
    <mergeCell ref="AF44:AK46"/>
    <mergeCell ref="AF9:AF10"/>
    <mergeCell ref="U70:V72"/>
    <mergeCell ref="O72:Q72"/>
    <mergeCell ref="Z32:AE35"/>
    <mergeCell ref="B7:AW7"/>
    <mergeCell ref="N3:S3"/>
    <mergeCell ref="Z4:AE5"/>
    <mergeCell ref="C9:G10"/>
    <mergeCell ref="H73:J73"/>
    <mergeCell ref="A36:A39"/>
    <mergeCell ref="AG17:AK18"/>
    <mergeCell ref="W73:AJ75"/>
    <mergeCell ref="I17:M18"/>
    <mergeCell ref="C11:G12"/>
    <mergeCell ref="AG19:AK20"/>
    <mergeCell ref="A27:A31"/>
    <mergeCell ref="A44:A84"/>
    <mergeCell ref="C19:G20"/>
    <mergeCell ref="AF4:AK5"/>
    <mergeCell ref="B9:B10"/>
    <mergeCell ref="U9:Y10"/>
    <mergeCell ref="AM17:AQ18"/>
    <mergeCell ref="O9:S10"/>
    <mergeCell ref="AR21:AR22"/>
    <mergeCell ref="W76:AJ78"/>
    <mergeCell ref="AL54:AQ56"/>
    <mergeCell ref="T19:T20"/>
    <mergeCell ref="U11:Y12"/>
    <mergeCell ref="B2:AW2"/>
    <mergeCell ref="T9:T10"/>
    <mergeCell ref="M73:N73"/>
    <mergeCell ref="N54:P57"/>
    <mergeCell ref="T17:T18"/>
    <mergeCell ref="U82:AJ84"/>
    <mergeCell ref="AO107:AU108"/>
    <mergeCell ref="N13:N14"/>
    <mergeCell ref="AR25:AR26"/>
    <mergeCell ref="N15:N16"/>
    <mergeCell ref="AM19:AQ20"/>
    <mergeCell ref="K66:L66"/>
    <mergeCell ref="M66:N66"/>
    <mergeCell ref="K68:L68"/>
    <mergeCell ref="AL49:AQ51"/>
    <mergeCell ref="M68:N68"/>
    <mergeCell ref="B36:G39"/>
    <mergeCell ref="M67:N67"/>
    <mergeCell ref="B4:G5"/>
    <mergeCell ref="O69:Q69"/>
    <mergeCell ref="H70:J70"/>
    <mergeCell ref="B44:G46"/>
    <mergeCell ref="C17:G18"/>
    <mergeCell ref="M69:N69"/>
    <mergeCell ref="AO112:AU121"/>
    <mergeCell ref="X110:AA111"/>
    <mergeCell ref="AJ112:AM112"/>
    <mergeCell ref="N44:S46"/>
    <mergeCell ref="AM21:AQ22"/>
    <mergeCell ref="AF36:AK39"/>
    <mergeCell ref="T23:T24"/>
    <mergeCell ref="AM23:AQ24"/>
    <mergeCell ref="M92:W93"/>
    <mergeCell ref="AL25:AL26"/>
    <mergeCell ref="X109:AA109"/>
    <mergeCell ref="AS23:AW24"/>
    <mergeCell ref="W79:AJ81"/>
    <mergeCell ref="U76:V78"/>
    <mergeCell ref="AC115:AM121"/>
    <mergeCell ref="Z25:Z26"/>
    <mergeCell ref="R109:W114"/>
    <mergeCell ref="AA25:AE26"/>
    <mergeCell ref="M70:N70"/>
    <mergeCell ref="R115:AA121"/>
    <mergeCell ref="X113:AA114"/>
    <mergeCell ref="AJ110:AM111"/>
    <mergeCell ref="AO109:AU111"/>
    <mergeCell ref="N109:P121"/>
    <mergeCell ref="B11:B12"/>
    <mergeCell ref="B17:B18"/>
    <mergeCell ref="T3:Y3"/>
    <mergeCell ref="AL44:AQ46"/>
    <mergeCell ref="B92:L101"/>
    <mergeCell ref="U17:Y18"/>
    <mergeCell ref="M72:N72"/>
    <mergeCell ref="B109:M115"/>
    <mergeCell ref="U25:Y26"/>
    <mergeCell ref="H9:H10"/>
    <mergeCell ref="O25:S26"/>
    <mergeCell ref="B8:G8"/>
    <mergeCell ref="B90:W91"/>
    <mergeCell ref="H11:H12"/>
    <mergeCell ref="R107:AA108"/>
    <mergeCell ref="AL4:AQ5"/>
    <mergeCell ref="AM25:AQ26"/>
    <mergeCell ref="AF40:AK43"/>
    <mergeCell ref="AG15:AK16"/>
    <mergeCell ref="T8:Y8"/>
    <mergeCell ref="K67:L67"/>
    <mergeCell ref="W64:AJ66"/>
    <mergeCell ref="T13:T14"/>
    <mergeCell ref="H58:M61"/>
    <mergeCell ref="Z8:AE8"/>
    <mergeCell ref="AL9:AL10"/>
    <mergeCell ref="AL11:AL12"/>
    <mergeCell ref="C25:G26"/>
    <mergeCell ref="AF32:AK35"/>
    <mergeCell ref="AM11:AQ12"/>
    <mergeCell ref="N21:N22"/>
    <mergeCell ref="H69:J69"/>
    <mergeCell ref="I13:M14"/>
    <mergeCell ref="T25:T26"/>
    <mergeCell ref="AF15:AF16"/>
    <mergeCell ref="H54:M57"/>
    <mergeCell ref="Z40:AE43"/>
    <mergeCell ref="T15:T16"/>
    <mergeCell ref="AF8:AK8"/>
    <mergeCell ref="AG23:AK24"/>
    <mergeCell ref="B27:G31"/>
    <mergeCell ref="B32:G35"/>
    <mergeCell ref="T40:Y43"/>
    <mergeCell ref="Z27:AE31"/>
    <mergeCell ref="O11:S12"/>
    <mergeCell ref="H13:H14"/>
    <mergeCell ref="AA13:AE14"/>
    <mergeCell ref="AF11:AF12"/>
    <mergeCell ref="A32:A35"/>
    <mergeCell ref="F65:G73"/>
    <mergeCell ref="AC109:AI114"/>
    <mergeCell ref="U64:V66"/>
    <mergeCell ref="O21:S22"/>
    <mergeCell ref="O71:Q71"/>
    <mergeCell ref="I19:M20"/>
    <mergeCell ref="F74:N75"/>
    <mergeCell ref="N23:N24"/>
    <mergeCell ref="O73:Q73"/>
    <mergeCell ref="O66:Q66"/>
    <mergeCell ref="AG25:AK26"/>
    <mergeCell ref="O68:Q68"/>
    <mergeCell ref="H25:H26"/>
    <mergeCell ref="W67:AJ69"/>
    <mergeCell ref="M94:W95"/>
    <mergeCell ref="H68:J68"/>
    <mergeCell ref="Z23:Z24"/>
    <mergeCell ref="H27:M31"/>
    <mergeCell ref="B25:B26"/>
    <mergeCell ref="H44:M46"/>
    <mergeCell ref="AJ113:AM114"/>
    <mergeCell ref="X112:AA112"/>
    <mergeCell ref="K72:L72"/>
    <mergeCell ref="BD38:BU43"/>
    <mergeCell ref="AL27:AQ31"/>
    <mergeCell ref="Y54:AF57"/>
    <mergeCell ref="H17:H18"/>
    <mergeCell ref="AJ109:AM109"/>
    <mergeCell ref="T32:Y35"/>
    <mergeCell ref="H19:H20"/>
    <mergeCell ref="B15:B16"/>
    <mergeCell ref="AN70:AW73"/>
    <mergeCell ref="AM15:AQ16"/>
    <mergeCell ref="M100:W101"/>
    <mergeCell ref="AR32:AW35"/>
    <mergeCell ref="AR49:AW51"/>
    <mergeCell ref="AR44:AW46"/>
    <mergeCell ref="H15:H16"/>
    <mergeCell ref="AF27:AK31"/>
    <mergeCell ref="H23:H24"/>
    <mergeCell ref="AI98:AU99"/>
    <mergeCell ref="AR36:AW39"/>
    <mergeCell ref="I25:M26"/>
    <mergeCell ref="C15:G16"/>
    <mergeCell ref="AS17:AW18"/>
    <mergeCell ref="AK93:AU96"/>
    <mergeCell ref="B86:AU88"/>
    <mergeCell ref="I11:M12"/>
    <mergeCell ref="AF23:AF24"/>
    <mergeCell ref="U15:Y16"/>
    <mergeCell ref="B3:G3"/>
    <mergeCell ref="B107:P108"/>
    <mergeCell ref="AF13:AF14"/>
    <mergeCell ref="M98:W99"/>
    <mergeCell ref="AS21:AW22"/>
    <mergeCell ref="AL15:AL16"/>
    <mergeCell ref="Z92:AU92"/>
    <mergeCell ref="N40:S43"/>
    <mergeCell ref="AR23:AR24"/>
    <mergeCell ref="Z17:Z18"/>
    <mergeCell ref="O23:S24"/>
    <mergeCell ref="T4:Y5"/>
    <mergeCell ref="Z44:AE46"/>
    <mergeCell ref="M96:W97"/>
    <mergeCell ref="Z19:Z20"/>
    <mergeCell ref="AL36:AQ39"/>
    <mergeCell ref="K71:L71"/>
    <mergeCell ref="K73:L73"/>
    <mergeCell ref="AM9:AQ10"/>
    <mergeCell ref="AN66:AW69"/>
    <mergeCell ref="AS13:AW14"/>
    <mergeCell ref="AM13:AQ14"/>
    <mergeCell ref="N58:P61"/>
    <mergeCell ref="H65:J65"/>
    <mergeCell ref="K65:L65"/>
    <mergeCell ref="H32:M35"/>
    <mergeCell ref="B40:G43"/>
    <mergeCell ref="B21:B22"/>
    <mergeCell ref="C21:G22"/>
    <mergeCell ref="AF21:AF22"/>
    <mergeCell ref="H40:M43"/>
    <mergeCell ref="AL59:AQ61"/>
    <mergeCell ref="AL23:AL24"/>
    <mergeCell ref="B13:B14"/>
    <mergeCell ref="AF25:AF26"/>
    <mergeCell ref="AG13:AK14"/>
    <mergeCell ref="AL3:AQ3"/>
    <mergeCell ref="N17:N18"/>
    <mergeCell ref="N19:N20"/>
    <mergeCell ref="AR17:AR18"/>
    <mergeCell ref="AA9:AE10"/>
    <mergeCell ref="AA19:AE20"/>
    <mergeCell ref="M71:N71"/>
    <mergeCell ref="U13:Y14"/>
    <mergeCell ref="U21:Y22"/>
    <mergeCell ref="Z36:AE39"/>
    <mergeCell ref="U23:Y24"/>
    <mergeCell ref="H3:M3"/>
    <mergeCell ref="I9:M10"/>
    <mergeCell ref="AA17:AE18"/>
    <mergeCell ref="AL21:AL22"/>
    <mergeCell ref="H4:M5"/>
    <mergeCell ref="AR3:AW3"/>
    <mergeCell ref="H8:M8"/>
    <mergeCell ref="H67:J67"/>
    <mergeCell ref="AL8:AQ8"/>
    <mergeCell ref="Z9:Z10"/>
    <mergeCell ref="AS9:AW10"/>
    <mergeCell ref="N27:S31"/>
    <mergeCell ref="Z11:Z12"/>
    <mergeCell ref="AS11:AW12"/>
    <mergeCell ref="AR11:AR12"/>
    <mergeCell ref="AR40:AW43"/>
    <mergeCell ref="U79:V81"/>
    <mergeCell ref="AC107:AM108"/>
    <mergeCell ref="AR27:AW31"/>
    <mergeCell ref="AS15:AW16"/>
    <mergeCell ref="B103:AU105"/>
    <mergeCell ref="Z13:Z14"/>
    <mergeCell ref="Z15:Z16"/>
    <mergeCell ref="AA15:AE16"/>
    <mergeCell ref="AF19:AF20"/>
    <mergeCell ref="AF49:AK51"/>
    <mergeCell ref="AL40:AQ43"/>
    <mergeCell ref="T11:T12"/>
    <mergeCell ref="O15:S16"/>
    <mergeCell ref="T49:Y51"/>
    <mergeCell ref="T27:Y31"/>
    <mergeCell ref="O65:R65"/>
    <mergeCell ref="H36:M39"/>
    <mergeCell ref="C13:G14"/>
    <mergeCell ref="M65:N65"/>
    <mergeCell ref="AA11:AE12"/>
    <mergeCell ref="I15:M16"/>
  </mergeCells>
  <phoneticPr fontId="16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B216"/>
  <sheetViews>
    <sheetView showGridLines="0" workbookViewId="0"/>
  </sheetViews>
  <sheetFormatPr defaultColWidth="9" defaultRowHeight="14.4"/>
  <cols>
    <col min="1" max="1" width="5.77734375" style="32" customWidth="1"/>
    <col min="2" max="4" width="9" style="32" customWidth="1"/>
    <col min="5" max="5" width="8.109375" style="32" customWidth="1"/>
    <col min="6" max="6" width="8" style="32" customWidth="1"/>
    <col min="7" max="8" width="6.6640625" style="32" customWidth="1"/>
    <col min="9" max="10" width="7.6640625" style="32" customWidth="1"/>
    <col min="11" max="13" width="9" style="32" customWidth="1"/>
    <col min="14" max="14" width="8" style="32" customWidth="1"/>
    <col min="15" max="16" width="6.6640625" style="32" customWidth="1"/>
    <col min="17" max="18" width="7.6640625" style="32" customWidth="1"/>
    <col min="19" max="21" width="9" style="32" customWidth="1"/>
    <col min="22" max="22" width="8" style="32" customWidth="1"/>
    <col min="23" max="23" width="8.109375" style="32" customWidth="1"/>
    <col min="24" max="24" width="6.6640625" style="32" customWidth="1"/>
    <col min="25" max="25" width="8" style="32" customWidth="1"/>
    <col min="26" max="26" width="7.6640625" style="32" customWidth="1"/>
    <col min="27" max="28" width="9" style="32" customWidth="1"/>
    <col min="29" max="16384" width="9" style="32"/>
  </cols>
  <sheetData>
    <row r="2" spans="1:28" s="14" customFormat="1" ht="12" customHeight="1">
      <c r="B2" s="1649" t="s">
        <v>3793</v>
      </c>
      <c r="C2" s="1088"/>
      <c r="D2" s="1088"/>
      <c r="E2" s="1088"/>
      <c r="F2" s="1088"/>
      <c r="G2" s="1088"/>
      <c r="H2" s="1088"/>
      <c r="I2" s="1088"/>
      <c r="J2" s="1088"/>
      <c r="K2" s="1088"/>
      <c r="L2" s="1088"/>
      <c r="M2" s="1088"/>
      <c r="N2" s="1088"/>
      <c r="O2" s="1088"/>
      <c r="P2" s="1088"/>
      <c r="Q2" s="1088"/>
      <c r="R2" s="1088"/>
      <c r="S2" s="1088"/>
      <c r="T2" s="1088"/>
      <c r="U2" s="1088"/>
      <c r="V2" s="1088"/>
      <c r="W2" s="1088"/>
      <c r="X2" s="1088"/>
      <c r="Y2" s="1088"/>
      <c r="Z2" s="1088"/>
      <c r="AA2" s="1089"/>
      <c r="AB2" s="255"/>
    </row>
    <row r="3" spans="1:28" s="14" customFormat="1" ht="13.05" customHeight="1">
      <c r="B3" s="1034"/>
      <c r="C3" s="1603"/>
      <c r="D3" s="1603"/>
      <c r="E3" s="1603"/>
      <c r="F3" s="1603"/>
      <c r="G3" s="1603"/>
      <c r="H3" s="1603"/>
      <c r="I3" s="1603"/>
      <c r="J3" s="1603"/>
      <c r="K3" s="1603"/>
      <c r="L3" s="1603"/>
      <c r="M3" s="1603"/>
      <c r="N3" s="1603"/>
      <c r="O3" s="1603"/>
      <c r="P3" s="1603"/>
      <c r="Q3" s="1603"/>
      <c r="R3" s="1603"/>
      <c r="S3" s="1603"/>
      <c r="T3" s="1603"/>
      <c r="U3" s="1603"/>
      <c r="V3" s="1603"/>
      <c r="W3" s="1603"/>
      <c r="X3" s="1603"/>
      <c r="Y3" s="1603"/>
      <c r="Z3" s="1603"/>
      <c r="AA3" s="1015"/>
      <c r="AB3" s="255"/>
    </row>
    <row r="4" spans="1:28" s="14" customFormat="1" ht="18" customHeight="1">
      <c r="A4" s="225"/>
      <c r="B4" s="1090"/>
      <c r="C4" s="1019"/>
      <c r="D4" s="1019"/>
      <c r="E4" s="1019"/>
      <c r="F4" s="1019"/>
      <c r="G4" s="1019"/>
      <c r="H4" s="1019"/>
      <c r="I4" s="1019"/>
      <c r="J4" s="1019"/>
      <c r="K4" s="1019"/>
      <c r="L4" s="1019"/>
      <c r="M4" s="1019"/>
      <c r="N4" s="1019"/>
      <c r="O4" s="1019"/>
      <c r="P4" s="1019"/>
      <c r="Q4" s="1019"/>
      <c r="R4" s="1019"/>
      <c r="S4" s="1019"/>
      <c r="T4" s="1019"/>
      <c r="U4" s="1019"/>
      <c r="V4" s="1019"/>
      <c r="W4" s="1019"/>
      <c r="X4" s="1019"/>
      <c r="Y4" s="1019"/>
      <c r="Z4" s="1019"/>
      <c r="AA4" s="1091"/>
      <c r="AB4" s="255"/>
    </row>
    <row r="5" spans="1:28" s="14" customFormat="1" ht="16.350000000000001" customHeight="1">
      <c r="B5" s="226"/>
      <c r="C5" s="226"/>
      <c r="D5" s="226"/>
      <c r="E5" s="226"/>
      <c r="F5" s="226"/>
      <c r="G5" s="226"/>
      <c r="H5" s="226"/>
      <c r="I5" s="226"/>
      <c r="J5" s="226"/>
      <c r="K5" s="226"/>
      <c r="L5" s="226"/>
      <c r="M5" s="226"/>
      <c r="N5" s="226"/>
      <c r="O5" s="226"/>
      <c r="P5" s="226"/>
      <c r="Q5" s="226"/>
      <c r="R5" s="226"/>
      <c r="S5" s="226"/>
      <c r="T5" s="226"/>
      <c r="V5" s="1832"/>
      <c r="W5" s="1019"/>
      <c r="X5" s="1019"/>
      <c r="Y5" s="1019"/>
      <c r="Z5" s="1019"/>
      <c r="AA5" s="1019"/>
      <c r="AB5" s="1019"/>
    </row>
    <row r="6" spans="1:28" s="14" customFormat="1" ht="16.350000000000001" customHeight="1">
      <c r="A6" s="1784" t="s">
        <v>3794</v>
      </c>
      <c r="B6" s="1603"/>
      <c r="C6" s="1603"/>
      <c r="D6" s="1603"/>
      <c r="E6" s="1827" t="s">
        <v>3795</v>
      </c>
      <c r="F6" s="1088"/>
      <c r="G6" s="1088"/>
      <c r="H6" s="1088"/>
      <c r="I6" s="1088"/>
      <c r="J6" s="1088"/>
      <c r="K6" s="1089"/>
      <c r="L6" s="230"/>
      <c r="M6" s="1827" t="s">
        <v>3796</v>
      </c>
      <c r="N6" s="1088"/>
      <c r="O6" s="1088"/>
      <c r="P6" s="1088"/>
      <c r="Q6" s="1088"/>
      <c r="R6" s="1088"/>
      <c r="S6" s="1089"/>
      <c r="T6" s="230"/>
      <c r="U6" s="1827" t="s">
        <v>3797</v>
      </c>
      <c r="V6" s="1088"/>
      <c r="W6" s="1088"/>
      <c r="X6" s="1088"/>
      <c r="Y6" s="1088"/>
      <c r="Z6" s="1088"/>
      <c r="AA6" s="1089"/>
    </row>
    <row r="7" spans="1:28" s="14" customFormat="1" ht="16.350000000000001" customHeight="1">
      <c r="A7" s="1603"/>
      <c r="B7" s="1603"/>
      <c r="C7" s="1603"/>
      <c r="D7" s="1603"/>
      <c r="E7" s="227" t="s">
        <v>181</v>
      </c>
      <c r="F7" s="228" t="s">
        <v>94</v>
      </c>
      <c r="G7" s="1816" t="s">
        <v>3798</v>
      </c>
      <c r="H7" s="1603"/>
      <c r="I7" s="1816" t="s">
        <v>183</v>
      </c>
      <c r="J7" s="1603"/>
      <c r="K7" s="244" t="s">
        <v>182</v>
      </c>
      <c r="L7" s="230"/>
      <c r="M7" s="227" t="s">
        <v>181</v>
      </c>
      <c r="N7" s="228" t="s">
        <v>94</v>
      </c>
      <c r="O7" s="1816" t="s">
        <v>3798</v>
      </c>
      <c r="P7" s="1603"/>
      <c r="Q7" s="1816" t="s">
        <v>183</v>
      </c>
      <c r="R7" s="1603"/>
      <c r="S7" s="244" t="s">
        <v>182</v>
      </c>
      <c r="T7" s="230"/>
      <c r="U7" s="227" t="s">
        <v>181</v>
      </c>
      <c r="V7" s="228" t="s">
        <v>94</v>
      </c>
      <c r="W7" s="1816" t="s">
        <v>3798</v>
      </c>
      <c r="X7" s="1603"/>
      <c r="Y7" s="1816" t="s">
        <v>183</v>
      </c>
      <c r="Z7" s="1603"/>
      <c r="AA7" s="244" t="s">
        <v>182</v>
      </c>
    </row>
    <row r="8" spans="1:28" s="14" customFormat="1" ht="40.049999999999997" customHeight="1">
      <c r="A8" s="1603"/>
      <c r="B8" s="1603"/>
      <c r="C8" s="1603"/>
      <c r="D8" s="1603"/>
      <c r="E8" s="229" t="s">
        <v>3799</v>
      </c>
      <c r="F8" s="230">
        <v>0</v>
      </c>
      <c r="G8" s="996">
        <v>0.5</v>
      </c>
      <c r="H8" s="1603"/>
      <c r="I8" s="996" t="s">
        <v>3800</v>
      </c>
      <c r="J8" s="1603"/>
      <c r="K8" s="245">
        <v>0.5</v>
      </c>
      <c r="L8" s="230"/>
      <c r="M8" s="229" t="s">
        <v>3799</v>
      </c>
      <c r="N8" s="230">
        <v>0</v>
      </c>
      <c r="O8" s="996">
        <v>100</v>
      </c>
      <c r="P8" s="1603"/>
      <c r="Q8" s="996" t="s">
        <v>3800</v>
      </c>
      <c r="R8" s="1603"/>
      <c r="S8" s="245">
        <v>50</v>
      </c>
      <c r="T8" s="230"/>
      <c r="U8" s="229" t="s">
        <v>3799</v>
      </c>
      <c r="V8" s="230">
        <v>0</v>
      </c>
      <c r="W8" s="996">
        <v>1000</v>
      </c>
      <c r="X8" s="1603"/>
      <c r="Y8" s="996" t="s">
        <v>3800</v>
      </c>
      <c r="Z8" s="1603"/>
      <c r="AA8" s="245">
        <v>500</v>
      </c>
    </row>
    <row r="9" spans="1:28" s="14" customFormat="1" ht="40.049999999999997" customHeight="1">
      <c r="A9" s="1847" t="s">
        <v>3801</v>
      </c>
      <c r="B9" s="1603"/>
      <c r="C9" s="1603"/>
      <c r="D9" s="1015"/>
      <c r="E9" s="231" t="s">
        <v>3802</v>
      </c>
      <c r="F9" s="232" t="s">
        <v>3803</v>
      </c>
      <c r="G9" s="1786" t="s">
        <v>3804</v>
      </c>
      <c r="H9" s="1603"/>
      <c r="I9" s="1786" t="s">
        <v>3805</v>
      </c>
      <c r="J9" s="1603"/>
      <c r="K9" s="246">
        <v>2</v>
      </c>
      <c r="L9" s="230"/>
      <c r="M9" s="231" t="s">
        <v>3802</v>
      </c>
      <c r="N9" s="232" t="s">
        <v>3803</v>
      </c>
      <c r="O9" s="1786" t="s">
        <v>3806</v>
      </c>
      <c r="P9" s="1603"/>
      <c r="Q9" s="1786" t="s">
        <v>3807</v>
      </c>
      <c r="R9" s="1603"/>
      <c r="S9" s="246">
        <v>100</v>
      </c>
      <c r="T9" s="230"/>
      <c r="U9" s="231" t="s">
        <v>3802</v>
      </c>
      <c r="V9" s="232" t="s">
        <v>3803</v>
      </c>
      <c r="W9" s="1786" t="s">
        <v>3808</v>
      </c>
      <c r="X9" s="1603"/>
      <c r="Y9" s="1786" t="s">
        <v>3809</v>
      </c>
      <c r="Z9" s="1603"/>
      <c r="AA9" s="246">
        <v>2000</v>
      </c>
    </row>
    <row r="10" spans="1:28" s="14" customFormat="1" ht="40.049999999999997" customHeight="1">
      <c r="A10" s="1603"/>
      <c r="B10" s="1603"/>
      <c r="C10" s="1603"/>
      <c r="D10" s="1015"/>
      <c r="E10" s="229" t="s">
        <v>3810</v>
      </c>
      <c r="F10" s="230" t="s">
        <v>3811</v>
      </c>
      <c r="G10" s="1790" t="s">
        <v>3812</v>
      </c>
      <c r="H10" s="1603"/>
      <c r="I10" s="1790" t="s">
        <v>3813</v>
      </c>
      <c r="J10" s="1603"/>
      <c r="K10" s="245">
        <v>10</v>
      </c>
      <c r="L10" s="230"/>
      <c r="M10" s="229" t="s">
        <v>3810</v>
      </c>
      <c r="N10" s="230" t="s">
        <v>3811</v>
      </c>
      <c r="O10" s="1790" t="s">
        <v>3814</v>
      </c>
      <c r="P10" s="1603"/>
      <c r="Q10" s="1790" t="s">
        <v>3815</v>
      </c>
      <c r="R10" s="1603"/>
      <c r="S10" s="245">
        <v>1000</v>
      </c>
      <c r="T10" s="230"/>
      <c r="U10" s="229" t="s">
        <v>3810</v>
      </c>
      <c r="V10" s="230" t="s">
        <v>3816</v>
      </c>
      <c r="W10" s="1790" t="s">
        <v>3817</v>
      </c>
      <c r="X10" s="1603"/>
      <c r="Y10" s="1790" t="s">
        <v>3818</v>
      </c>
      <c r="Z10" s="1603"/>
      <c r="AA10" s="245">
        <v>25000</v>
      </c>
    </row>
    <row r="11" spans="1:28" s="14" customFormat="1" ht="40.049999999999997" customHeight="1">
      <c r="A11" s="1603"/>
      <c r="B11" s="1603"/>
      <c r="C11" s="1603"/>
      <c r="D11" s="1015"/>
      <c r="E11" s="231" t="s">
        <v>3819</v>
      </c>
      <c r="F11" s="232" t="s">
        <v>3820</v>
      </c>
      <c r="G11" s="1786" t="s">
        <v>3821</v>
      </c>
      <c r="H11" s="1603"/>
      <c r="I11" s="1786" t="s">
        <v>3822</v>
      </c>
      <c r="J11" s="1603"/>
      <c r="K11" s="246">
        <v>50</v>
      </c>
      <c r="L11" s="230"/>
      <c r="M11" s="231" t="s">
        <v>3819</v>
      </c>
      <c r="N11" s="232" t="s">
        <v>3820</v>
      </c>
      <c r="O11" s="1786" t="s">
        <v>3822</v>
      </c>
      <c r="P11" s="1603"/>
      <c r="Q11" s="1786" t="s">
        <v>3823</v>
      </c>
      <c r="R11" s="1603"/>
      <c r="S11" s="246">
        <v>5000</v>
      </c>
      <c r="T11" s="230"/>
      <c r="U11" s="231" t="s">
        <v>3819</v>
      </c>
      <c r="V11" s="232" t="s">
        <v>3820</v>
      </c>
      <c r="W11" s="1786" t="s">
        <v>3824</v>
      </c>
      <c r="X11" s="1603"/>
      <c r="Y11" s="1786" t="s">
        <v>3825</v>
      </c>
      <c r="Z11" s="1603"/>
      <c r="AA11" s="246" t="s">
        <v>3826</v>
      </c>
    </row>
    <row r="12" spans="1:28" s="14" customFormat="1" ht="40.049999999999997" customHeight="1">
      <c r="A12" s="1812" t="s">
        <v>3827</v>
      </c>
      <c r="B12" s="1603"/>
      <c r="C12" s="1603"/>
      <c r="D12" s="1603"/>
      <c r="E12" s="229" t="s">
        <v>3828</v>
      </c>
      <c r="F12" s="230" t="s">
        <v>3829</v>
      </c>
      <c r="G12" s="1790" t="s">
        <v>3830</v>
      </c>
      <c r="H12" s="1603"/>
      <c r="I12" s="1790" t="s">
        <v>3808</v>
      </c>
      <c r="J12" s="1603"/>
      <c r="K12" s="245">
        <v>250</v>
      </c>
      <c r="L12" s="230"/>
      <c r="M12" s="229" t="s">
        <v>3828</v>
      </c>
      <c r="N12" s="230" t="s">
        <v>3829</v>
      </c>
      <c r="O12" s="1790" t="s">
        <v>3831</v>
      </c>
      <c r="P12" s="1603"/>
      <c r="Q12" s="1790" t="s">
        <v>3832</v>
      </c>
      <c r="R12" s="1603"/>
      <c r="S12" s="245" t="s">
        <v>3833</v>
      </c>
      <c r="T12" s="230"/>
      <c r="U12" s="229" t="s">
        <v>3828</v>
      </c>
      <c r="V12" s="230" t="s">
        <v>3829</v>
      </c>
      <c r="W12" s="1790" t="s">
        <v>3834</v>
      </c>
      <c r="X12" s="1603"/>
      <c r="Y12" s="1790" t="s">
        <v>3835</v>
      </c>
      <c r="Z12" s="1603"/>
      <c r="AA12" s="245" t="s">
        <v>3836</v>
      </c>
    </row>
    <row r="13" spans="1:28" s="14" customFormat="1" ht="40.049999999999997" customHeight="1">
      <c r="A13" s="1603"/>
      <c r="B13" s="1603"/>
      <c r="C13" s="1603"/>
      <c r="D13" s="1603"/>
      <c r="E13" s="233" t="s">
        <v>3837</v>
      </c>
      <c r="F13" s="234">
        <v>99</v>
      </c>
      <c r="G13" s="1792" t="s">
        <v>3838</v>
      </c>
      <c r="H13" s="1019"/>
      <c r="I13" s="1792" t="s">
        <v>3839</v>
      </c>
      <c r="J13" s="1019"/>
      <c r="K13" s="247">
        <v>5000</v>
      </c>
      <c r="L13" s="230"/>
      <c r="M13" s="233" t="s">
        <v>3837</v>
      </c>
      <c r="N13" s="234">
        <v>99</v>
      </c>
      <c r="O13" s="1792" t="s">
        <v>3840</v>
      </c>
      <c r="P13" s="1019"/>
      <c r="Q13" s="1792" t="s">
        <v>3841</v>
      </c>
      <c r="R13" s="1019"/>
      <c r="S13" s="247" t="s">
        <v>3826</v>
      </c>
      <c r="T13" s="230"/>
      <c r="U13" s="233" t="s">
        <v>3837</v>
      </c>
      <c r="V13" s="234">
        <v>99</v>
      </c>
      <c r="W13" s="1792" t="s">
        <v>3842</v>
      </c>
      <c r="X13" s="1019"/>
      <c r="Y13" s="1792" t="s">
        <v>3843</v>
      </c>
      <c r="Z13" s="1019"/>
      <c r="AA13" s="247" t="s">
        <v>3844</v>
      </c>
    </row>
    <row r="14" spans="1:28" s="14" customFormat="1" ht="14.1" customHeight="1">
      <c r="B14" s="1"/>
      <c r="C14" s="29"/>
      <c r="D14" s="235"/>
      <c r="E14" s="230"/>
      <c r="F14" s="230"/>
      <c r="G14" s="230"/>
      <c r="H14" s="230"/>
      <c r="I14" s="230"/>
      <c r="J14" s="230"/>
      <c r="K14" s="230"/>
      <c r="L14" s="230"/>
      <c r="M14" s="248"/>
      <c r="N14" s="230"/>
      <c r="O14" s="230"/>
      <c r="P14" s="230"/>
      <c r="Q14" s="230"/>
      <c r="R14" s="230"/>
      <c r="S14" s="230"/>
      <c r="T14" s="230"/>
      <c r="U14" s="248"/>
      <c r="V14" s="230"/>
      <c r="W14" s="230"/>
      <c r="X14" s="230"/>
      <c r="Y14" s="230"/>
      <c r="Z14" s="230"/>
      <c r="AA14" s="230"/>
    </row>
    <row r="15" spans="1:28" s="14" customFormat="1" ht="14.1" customHeight="1">
      <c r="B15" s="1"/>
      <c r="C15" s="29"/>
      <c r="D15" s="235"/>
      <c r="E15" s="1827" t="s">
        <v>3845</v>
      </c>
      <c r="F15" s="1088"/>
      <c r="G15" s="1088"/>
      <c r="H15" s="1088"/>
      <c r="I15" s="1088"/>
      <c r="J15" s="1088"/>
      <c r="K15" s="1089"/>
      <c r="L15" s="230"/>
      <c r="M15" s="1827" t="s">
        <v>3846</v>
      </c>
      <c r="N15" s="1088"/>
      <c r="O15" s="1088"/>
      <c r="P15" s="1088"/>
      <c r="Q15" s="1088"/>
      <c r="R15" s="1088"/>
      <c r="S15" s="1089"/>
      <c r="T15" s="230"/>
      <c r="U15" s="1827" t="s">
        <v>3847</v>
      </c>
      <c r="V15" s="1088"/>
      <c r="W15" s="1088"/>
      <c r="X15" s="1088"/>
      <c r="Y15" s="1088"/>
      <c r="Z15" s="1088"/>
      <c r="AA15" s="1089"/>
    </row>
    <row r="16" spans="1:28" s="14" customFormat="1" ht="19.8" customHeight="1">
      <c r="B16" s="1"/>
      <c r="C16" s="29"/>
      <c r="D16" s="235"/>
      <c r="E16" s="227" t="s">
        <v>181</v>
      </c>
      <c r="F16" s="228" t="s">
        <v>94</v>
      </c>
      <c r="G16" s="1816" t="s">
        <v>3798</v>
      </c>
      <c r="H16" s="1603"/>
      <c r="I16" s="1816" t="s">
        <v>183</v>
      </c>
      <c r="J16" s="1603"/>
      <c r="K16" s="244" t="s">
        <v>182</v>
      </c>
      <c r="L16" s="230"/>
      <c r="M16" s="227" t="s">
        <v>181</v>
      </c>
      <c r="N16" s="228" t="s">
        <v>94</v>
      </c>
      <c r="O16" s="1816" t="s">
        <v>3798</v>
      </c>
      <c r="P16" s="1603"/>
      <c r="Q16" s="1816" t="s">
        <v>183</v>
      </c>
      <c r="R16" s="1603"/>
      <c r="S16" s="244" t="s">
        <v>182</v>
      </c>
      <c r="T16" s="230"/>
      <c r="U16" s="227" t="s">
        <v>181</v>
      </c>
      <c r="V16" s="228" t="s">
        <v>94</v>
      </c>
      <c r="W16" s="1816" t="s">
        <v>3798</v>
      </c>
      <c r="X16" s="1603"/>
      <c r="Y16" s="1816" t="s">
        <v>183</v>
      </c>
      <c r="Z16" s="1603"/>
      <c r="AA16" s="244" t="s">
        <v>182</v>
      </c>
    </row>
    <row r="17" spans="5:27" s="14" customFormat="1" ht="40.049999999999997" customHeight="1">
      <c r="E17" s="229" t="s">
        <v>3799</v>
      </c>
      <c r="F17" s="230">
        <v>0</v>
      </c>
      <c r="G17" s="996">
        <v>10</v>
      </c>
      <c r="H17" s="1603"/>
      <c r="I17" s="996" t="s">
        <v>3800</v>
      </c>
      <c r="J17" s="1603"/>
      <c r="K17" s="245">
        <v>10</v>
      </c>
      <c r="L17" s="230"/>
      <c r="M17" s="229" t="s">
        <v>3799</v>
      </c>
      <c r="N17" s="230">
        <v>0</v>
      </c>
      <c r="O17" s="996" t="s">
        <v>3848</v>
      </c>
      <c r="P17" s="1603"/>
      <c r="Q17" s="996" t="s">
        <v>3800</v>
      </c>
      <c r="R17" s="1603"/>
      <c r="S17" s="245" t="s">
        <v>3849</v>
      </c>
      <c r="T17" s="230"/>
      <c r="U17" s="229" t="s">
        <v>3799</v>
      </c>
      <c r="V17" s="230">
        <v>0</v>
      </c>
      <c r="W17" s="996">
        <v>10</v>
      </c>
      <c r="X17" s="1603"/>
      <c r="Y17" s="996" t="s">
        <v>3800</v>
      </c>
      <c r="Z17" s="1603"/>
      <c r="AA17" s="245">
        <v>10</v>
      </c>
    </row>
    <row r="18" spans="5:27" s="14" customFormat="1" ht="40.049999999999997" customHeight="1">
      <c r="E18" s="231" t="s">
        <v>3802</v>
      </c>
      <c r="F18" s="232" t="s">
        <v>3803</v>
      </c>
      <c r="G18" s="1786" t="s">
        <v>3850</v>
      </c>
      <c r="H18" s="1603"/>
      <c r="I18" s="1786" t="s">
        <v>3851</v>
      </c>
      <c r="J18" s="1603"/>
      <c r="K18" s="246">
        <v>40</v>
      </c>
      <c r="L18" s="230"/>
      <c r="M18" s="231" t="s">
        <v>3802</v>
      </c>
      <c r="N18" s="232" t="s">
        <v>3803</v>
      </c>
      <c r="O18" s="1786" t="s">
        <v>3852</v>
      </c>
      <c r="P18" s="1603"/>
      <c r="Q18" s="1786" t="s">
        <v>3853</v>
      </c>
      <c r="R18" s="1603"/>
      <c r="S18" s="246" t="s">
        <v>3854</v>
      </c>
      <c r="T18" s="230"/>
      <c r="U18" s="231" t="s">
        <v>3802</v>
      </c>
      <c r="V18" s="232" t="s">
        <v>3803</v>
      </c>
      <c r="W18" s="1786" t="s">
        <v>3855</v>
      </c>
      <c r="X18" s="1603"/>
      <c r="Y18" s="1786" t="s">
        <v>3856</v>
      </c>
      <c r="Z18" s="1603"/>
      <c r="AA18" s="246">
        <v>35</v>
      </c>
    </row>
    <row r="19" spans="5:27" s="14" customFormat="1" ht="40.049999999999997" customHeight="1">
      <c r="E19" s="229" t="s">
        <v>3810</v>
      </c>
      <c r="F19" s="230" t="s">
        <v>3811</v>
      </c>
      <c r="G19" s="1790" t="s">
        <v>3857</v>
      </c>
      <c r="H19" s="1603"/>
      <c r="I19" s="1790" t="s">
        <v>3807</v>
      </c>
      <c r="J19" s="1603"/>
      <c r="K19" s="245">
        <v>200</v>
      </c>
      <c r="L19" s="230"/>
      <c r="M19" s="229" t="s">
        <v>3810</v>
      </c>
      <c r="N19" s="230" t="s">
        <v>3811</v>
      </c>
      <c r="O19" s="1790" t="s">
        <v>3853</v>
      </c>
      <c r="P19" s="1603"/>
      <c r="Q19" s="1790" t="s">
        <v>3830</v>
      </c>
      <c r="R19" s="1603"/>
      <c r="S19" s="251" t="s">
        <v>3858</v>
      </c>
      <c r="T19" s="230"/>
      <c r="U19" s="229" t="s">
        <v>3810</v>
      </c>
      <c r="V19" s="230" t="s">
        <v>3811</v>
      </c>
      <c r="W19" s="1790" t="s">
        <v>3859</v>
      </c>
      <c r="X19" s="1603"/>
      <c r="Y19" s="1790" t="s">
        <v>3822</v>
      </c>
      <c r="Z19" s="1603"/>
      <c r="AA19" s="245">
        <v>140</v>
      </c>
    </row>
    <row r="20" spans="5:27" s="14" customFormat="1" ht="40.049999999999997" customHeight="1">
      <c r="E20" s="231" t="s">
        <v>3819</v>
      </c>
      <c r="F20" s="232" t="s">
        <v>3820</v>
      </c>
      <c r="G20" s="1786" t="s">
        <v>3806</v>
      </c>
      <c r="H20" s="1603"/>
      <c r="I20" s="1786" t="s">
        <v>3860</v>
      </c>
      <c r="J20" s="1603"/>
      <c r="K20" s="246">
        <v>1000</v>
      </c>
      <c r="L20" s="230"/>
      <c r="M20" s="231" t="s">
        <v>3819</v>
      </c>
      <c r="N20" s="232" t="s">
        <v>3820</v>
      </c>
      <c r="O20" s="1786" t="s">
        <v>3861</v>
      </c>
      <c r="P20" s="1603"/>
      <c r="Q20" s="1786" t="s">
        <v>3814</v>
      </c>
      <c r="R20" s="1603"/>
      <c r="S20" s="246">
        <v>15</v>
      </c>
      <c r="T20" s="230"/>
      <c r="U20" s="231" t="s">
        <v>3819</v>
      </c>
      <c r="V20" s="232" t="s">
        <v>3820</v>
      </c>
      <c r="W20" s="1786" t="s">
        <v>3862</v>
      </c>
      <c r="X20" s="1603"/>
      <c r="Y20" s="1786" t="s">
        <v>3863</v>
      </c>
      <c r="Z20" s="1603"/>
      <c r="AA20" s="246">
        <v>700</v>
      </c>
    </row>
    <row r="21" spans="5:27" s="14" customFormat="1" ht="40.049999999999997" customHeight="1">
      <c r="E21" s="229" t="s">
        <v>3828</v>
      </c>
      <c r="F21" s="230" t="s">
        <v>3829</v>
      </c>
      <c r="G21" s="1790" t="s">
        <v>3864</v>
      </c>
      <c r="H21" s="1603"/>
      <c r="I21" s="1790" t="s">
        <v>3865</v>
      </c>
      <c r="J21" s="1603"/>
      <c r="K21" s="245">
        <v>5000</v>
      </c>
      <c r="L21" s="230"/>
      <c r="M21" s="229" t="s">
        <v>3828</v>
      </c>
      <c r="N21" s="230" t="s">
        <v>3829</v>
      </c>
      <c r="O21" s="1790" t="s">
        <v>3813</v>
      </c>
      <c r="P21" s="1603"/>
      <c r="Q21" s="1790" t="s">
        <v>3822</v>
      </c>
      <c r="R21" s="1603"/>
      <c r="S21" s="245">
        <v>50</v>
      </c>
      <c r="T21" s="230"/>
      <c r="U21" s="229" t="s">
        <v>3828</v>
      </c>
      <c r="V21" s="230" t="s">
        <v>3829</v>
      </c>
      <c r="W21" s="1790" t="s">
        <v>3866</v>
      </c>
      <c r="X21" s="1603"/>
      <c r="Y21" s="1790" t="s">
        <v>3867</v>
      </c>
      <c r="Z21" s="1603"/>
      <c r="AA21" s="245">
        <v>4000</v>
      </c>
    </row>
    <row r="22" spans="5:27" s="14" customFormat="1" ht="40.049999999999997" customHeight="1">
      <c r="E22" s="233" t="s">
        <v>3837</v>
      </c>
      <c r="F22" s="234">
        <v>99</v>
      </c>
      <c r="G22" s="1792" t="s">
        <v>3840</v>
      </c>
      <c r="H22" s="1019"/>
      <c r="I22" s="1792" t="s">
        <v>3868</v>
      </c>
      <c r="J22" s="1019"/>
      <c r="K22" s="247" t="s">
        <v>3826</v>
      </c>
      <c r="L22" s="230"/>
      <c r="M22" s="233" t="s">
        <v>3837</v>
      </c>
      <c r="N22" s="234">
        <v>99</v>
      </c>
      <c r="O22" s="1792" t="s">
        <v>3869</v>
      </c>
      <c r="P22" s="1019"/>
      <c r="Q22" s="1792" t="s">
        <v>3870</v>
      </c>
      <c r="R22" s="1019"/>
      <c r="S22" s="247">
        <v>250</v>
      </c>
      <c r="T22" s="230"/>
      <c r="U22" s="233" t="s">
        <v>3837</v>
      </c>
      <c r="V22" s="234">
        <v>99</v>
      </c>
      <c r="W22" s="1792" t="s">
        <v>3840</v>
      </c>
      <c r="X22" s="1019"/>
      <c r="Y22" s="1792" t="s">
        <v>3871</v>
      </c>
      <c r="Z22" s="1019"/>
      <c r="AA22" s="247" t="s">
        <v>3872</v>
      </c>
    </row>
    <row r="23" spans="5:27" s="14" customFormat="1" ht="16.350000000000001" customHeight="1">
      <c r="E23" s="230"/>
      <c r="F23" s="230"/>
      <c r="G23" s="230"/>
      <c r="H23" s="230"/>
      <c r="I23" s="230"/>
      <c r="J23" s="230"/>
      <c r="K23" s="230"/>
      <c r="L23" s="230"/>
      <c r="M23" s="996" t="s">
        <v>3873</v>
      </c>
      <c r="N23" s="1603"/>
      <c r="O23" s="1603"/>
      <c r="P23" s="1603"/>
      <c r="Q23" s="1603"/>
      <c r="R23" s="1603"/>
      <c r="S23" s="1603"/>
      <c r="U23" s="230"/>
      <c r="V23" s="230"/>
      <c r="W23" s="230"/>
      <c r="X23" s="230"/>
      <c r="Y23" s="230"/>
      <c r="Z23" s="230"/>
      <c r="AA23" s="230"/>
    </row>
    <row r="24" spans="5:27" s="14" customFormat="1" ht="16.350000000000001" customHeight="1">
      <c r="E24" s="230"/>
      <c r="F24" s="230"/>
      <c r="G24" s="230"/>
      <c r="H24" s="230"/>
      <c r="I24" s="230"/>
      <c r="J24" s="230"/>
      <c r="K24" s="230"/>
      <c r="L24" s="230"/>
      <c r="M24" s="230"/>
      <c r="U24" s="230"/>
      <c r="V24" s="230"/>
      <c r="W24" s="230"/>
      <c r="X24" s="230"/>
      <c r="Y24" s="230"/>
      <c r="Z24" s="230"/>
      <c r="AA24" s="230"/>
    </row>
    <row r="25" spans="5:27" s="14" customFormat="1" ht="16.350000000000001" customHeight="1">
      <c r="E25" s="230"/>
      <c r="F25" s="1795" t="s">
        <v>3799</v>
      </c>
      <c r="G25" s="1088"/>
      <c r="H25" s="1088"/>
      <c r="I25" s="1088"/>
      <c r="J25" s="1089"/>
      <c r="K25" s="230"/>
      <c r="L25" s="230"/>
      <c r="M25" s="230"/>
      <c r="N25" s="1794" t="s">
        <v>3874</v>
      </c>
      <c r="O25" s="1088"/>
      <c r="P25" s="1088"/>
      <c r="Q25" s="1088"/>
      <c r="R25" s="1089"/>
      <c r="S25" s="252"/>
      <c r="T25" s="230"/>
      <c r="U25" s="230"/>
      <c r="V25" s="230"/>
      <c r="W25" s="252"/>
      <c r="X25" s="252"/>
      <c r="Y25" s="252"/>
      <c r="Z25" s="252"/>
      <c r="AA25" s="252"/>
    </row>
    <row r="26" spans="5:27" s="14" customFormat="1" ht="63.15" customHeight="1">
      <c r="E26" s="230"/>
      <c r="F26" s="1793" t="s">
        <v>3875</v>
      </c>
      <c r="G26" s="1603"/>
      <c r="H26" s="1603"/>
      <c r="I26" s="1603"/>
      <c r="J26" s="1015"/>
      <c r="K26" s="230"/>
      <c r="L26" s="230"/>
      <c r="M26" s="230"/>
      <c r="N26" s="1793" t="s">
        <v>3876</v>
      </c>
      <c r="O26" s="1603"/>
      <c r="P26" s="1603"/>
      <c r="Q26" s="1603"/>
      <c r="R26" s="1015"/>
      <c r="S26" s="253"/>
      <c r="T26" s="230"/>
      <c r="U26" s="230"/>
      <c r="V26" s="230"/>
      <c r="W26" s="253"/>
      <c r="X26" s="253"/>
      <c r="Y26" s="253"/>
      <c r="Z26" s="253"/>
      <c r="AA26" s="253"/>
    </row>
    <row r="27" spans="5:27" s="14" customFormat="1" ht="16.350000000000001" customHeight="1">
      <c r="E27" s="230"/>
      <c r="F27" s="1820" t="s">
        <v>3877</v>
      </c>
      <c r="G27" s="1603"/>
      <c r="H27" s="1603"/>
      <c r="I27" s="1603"/>
      <c r="J27" s="1015"/>
      <c r="K27" s="230"/>
      <c r="L27" s="230"/>
      <c r="M27" s="230"/>
      <c r="N27" s="1820" t="s">
        <v>3878</v>
      </c>
      <c r="O27" s="1603"/>
      <c r="P27" s="1603"/>
      <c r="Q27" s="1603"/>
      <c r="R27" s="1015"/>
      <c r="S27" s="252"/>
      <c r="T27" s="230"/>
      <c r="U27" s="230"/>
      <c r="V27" s="230"/>
      <c r="W27" s="252"/>
      <c r="X27" s="252"/>
      <c r="Y27" s="252"/>
      <c r="Z27" s="252"/>
      <c r="AA27" s="252"/>
    </row>
    <row r="28" spans="5:27" s="14" customFormat="1" ht="87" customHeight="1">
      <c r="E28" s="230"/>
      <c r="F28" s="1793" t="s">
        <v>3879</v>
      </c>
      <c r="G28" s="1603"/>
      <c r="H28" s="1603"/>
      <c r="I28" s="1603"/>
      <c r="J28" s="1015"/>
      <c r="K28" s="230"/>
      <c r="L28" s="230"/>
      <c r="M28" s="230"/>
      <c r="N28" s="1793" t="s">
        <v>3880</v>
      </c>
      <c r="O28" s="1603"/>
      <c r="P28" s="1603"/>
      <c r="Q28" s="1603"/>
      <c r="R28" s="1015"/>
      <c r="S28" s="253"/>
      <c r="T28" s="230"/>
      <c r="U28" s="230"/>
      <c r="V28" s="230"/>
      <c r="W28" s="253"/>
      <c r="X28" s="253"/>
      <c r="Y28" s="253"/>
      <c r="Z28" s="253"/>
      <c r="AA28" s="253"/>
    </row>
    <row r="29" spans="5:27" s="14" customFormat="1" ht="16.350000000000001" customHeight="1">
      <c r="E29" s="230"/>
      <c r="F29" s="1820" t="s">
        <v>3810</v>
      </c>
      <c r="G29" s="1603"/>
      <c r="H29" s="1603"/>
      <c r="I29" s="1603"/>
      <c r="J29" s="1015"/>
      <c r="K29" s="230"/>
      <c r="L29" s="230"/>
      <c r="M29" s="230"/>
      <c r="N29" s="1820" t="s">
        <v>3881</v>
      </c>
      <c r="O29" s="1603"/>
      <c r="P29" s="1603"/>
      <c r="Q29" s="1603"/>
      <c r="R29" s="1015"/>
      <c r="S29" s="252"/>
      <c r="T29" s="230"/>
      <c r="U29" s="230"/>
      <c r="V29" s="230"/>
      <c r="W29" s="252"/>
      <c r="X29" s="252"/>
      <c r="Y29" s="252"/>
      <c r="Z29" s="252"/>
      <c r="AA29" s="252"/>
    </row>
    <row r="30" spans="5:27" s="14" customFormat="1" ht="50.1" customHeight="1">
      <c r="E30" s="230"/>
      <c r="F30" s="1793" t="s">
        <v>3882</v>
      </c>
      <c r="G30" s="1603"/>
      <c r="H30" s="1603"/>
      <c r="I30" s="1603"/>
      <c r="J30" s="1015"/>
      <c r="K30" s="230"/>
      <c r="L30" s="230"/>
      <c r="M30" s="230"/>
      <c r="N30" s="1793" t="s">
        <v>3883</v>
      </c>
      <c r="O30" s="1603"/>
      <c r="P30" s="1603"/>
      <c r="Q30" s="1603"/>
      <c r="R30" s="1015"/>
      <c r="S30" s="253"/>
      <c r="T30" s="230"/>
      <c r="U30" s="230"/>
      <c r="V30" s="230"/>
      <c r="W30" s="253"/>
      <c r="X30" s="253"/>
      <c r="Y30" s="253"/>
      <c r="Z30" s="253"/>
      <c r="AA30" s="253"/>
    </row>
    <row r="31" spans="5:27" s="14" customFormat="1" ht="16.350000000000001" customHeight="1">
      <c r="E31" s="230"/>
      <c r="F31" s="1820" t="s">
        <v>3819</v>
      </c>
      <c r="G31" s="1603"/>
      <c r="H31" s="1603"/>
      <c r="I31" s="1603"/>
      <c r="J31" s="1015"/>
      <c r="K31" s="230"/>
      <c r="L31" s="230"/>
      <c r="M31" s="230"/>
      <c r="N31" s="1820" t="s">
        <v>3884</v>
      </c>
      <c r="O31" s="1603"/>
      <c r="P31" s="1603"/>
      <c r="Q31" s="1603"/>
      <c r="R31" s="1015"/>
      <c r="S31" s="252"/>
      <c r="T31" s="230"/>
      <c r="U31" s="230"/>
      <c r="V31" s="230"/>
      <c r="W31" s="252"/>
      <c r="X31" s="252"/>
      <c r="Y31" s="252"/>
      <c r="Z31" s="252"/>
      <c r="AA31" s="252"/>
    </row>
    <row r="32" spans="5:27" s="14" customFormat="1" ht="50.1" customHeight="1">
      <c r="E32" s="230"/>
      <c r="F32" s="1793" t="s">
        <v>3885</v>
      </c>
      <c r="G32" s="1603"/>
      <c r="H32" s="1603"/>
      <c r="I32" s="1603"/>
      <c r="J32" s="1015"/>
      <c r="K32" s="230"/>
      <c r="L32" s="230"/>
      <c r="M32" s="230"/>
      <c r="N32" s="1793" t="s">
        <v>3886</v>
      </c>
      <c r="O32" s="1603"/>
      <c r="P32" s="1603"/>
      <c r="Q32" s="1603"/>
      <c r="R32" s="1015"/>
      <c r="S32" s="253"/>
      <c r="T32" s="230"/>
      <c r="U32" s="230"/>
      <c r="V32" s="230"/>
      <c r="W32" s="253"/>
      <c r="X32" s="253"/>
      <c r="Y32" s="253"/>
      <c r="Z32" s="253"/>
      <c r="AA32" s="253"/>
    </row>
    <row r="33" spans="2:27" s="14" customFormat="1" ht="16.350000000000001" customHeight="1">
      <c r="E33" s="230"/>
      <c r="F33" s="1820" t="s">
        <v>3828</v>
      </c>
      <c r="G33" s="1603"/>
      <c r="H33" s="1603"/>
      <c r="I33" s="1603"/>
      <c r="J33" s="1015"/>
      <c r="K33" s="230"/>
      <c r="L33" s="230"/>
      <c r="M33" s="230"/>
      <c r="N33" s="1034"/>
      <c r="O33" s="1603"/>
      <c r="P33" s="1603"/>
      <c r="Q33" s="1603"/>
      <c r="R33" s="1015"/>
      <c r="S33" s="252"/>
      <c r="T33" s="230"/>
      <c r="U33" s="230"/>
      <c r="V33" s="230"/>
      <c r="W33" s="252"/>
      <c r="X33" s="252"/>
      <c r="Y33" s="252"/>
      <c r="Z33" s="252"/>
      <c r="AA33" s="252"/>
    </row>
    <row r="34" spans="2:27" s="14" customFormat="1" ht="50.1" customHeight="1">
      <c r="E34" s="230"/>
      <c r="F34" s="1793" t="s">
        <v>3887</v>
      </c>
      <c r="G34" s="1603"/>
      <c r="H34" s="1603"/>
      <c r="I34" s="1603"/>
      <c r="J34" s="1015"/>
      <c r="K34" s="230"/>
      <c r="L34" s="230"/>
      <c r="M34" s="230"/>
      <c r="N34" s="1034"/>
      <c r="O34" s="1603"/>
      <c r="P34" s="1603"/>
      <c r="Q34" s="1603"/>
      <c r="R34" s="1015"/>
      <c r="S34" s="253"/>
      <c r="T34" s="230"/>
      <c r="U34" s="230"/>
      <c r="V34" s="230"/>
      <c r="W34" s="253"/>
      <c r="X34" s="253"/>
      <c r="Y34" s="253"/>
      <c r="Z34" s="253"/>
      <c r="AA34" s="253"/>
    </row>
    <row r="35" spans="2:27" s="14" customFormat="1" ht="16.350000000000001" customHeight="1">
      <c r="B35" s="236"/>
      <c r="E35" s="230"/>
      <c r="F35" s="1820" t="s">
        <v>3888</v>
      </c>
      <c r="G35" s="1603"/>
      <c r="H35" s="1603"/>
      <c r="I35" s="1603"/>
      <c r="J35" s="1015"/>
      <c r="K35" s="230"/>
      <c r="L35" s="230"/>
      <c r="M35" s="230"/>
      <c r="N35" s="1820" t="s">
        <v>3889</v>
      </c>
      <c r="O35" s="1603"/>
      <c r="P35" s="1603"/>
      <c r="Q35" s="1603"/>
      <c r="R35" s="1015"/>
      <c r="S35" s="252"/>
      <c r="T35" s="230"/>
      <c r="U35" s="230"/>
      <c r="V35" s="230"/>
      <c r="W35" s="252"/>
      <c r="X35" s="252"/>
      <c r="Y35" s="252"/>
      <c r="Z35" s="252"/>
      <c r="AA35" s="252"/>
    </row>
    <row r="36" spans="2:27" s="14" customFormat="1" ht="50.1" customHeight="1">
      <c r="E36" s="230"/>
      <c r="F36" s="1845" t="s">
        <v>3890</v>
      </c>
      <c r="G36" s="1019"/>
      <c r="H36" s="1019"/>
      <c r="I36" s="1019"/>
      <c r="J36" s="1091"/>
      <c r="K36" s="230"/>
      <c r="L36" s="230"/>
      <c r="M36" s="230"/>
      <c r="N36" s="1845" t="s">
        <v>3891</v>
      </c>
      <c r="O36" s="1019"/>
      <c r="P36" s="1019"/>
      <c r="Q36" s="1019"/>
      <c r="R36" s="1091"/>
      <c r="S36" s="253"/>
      <c r="T36" s="230"/>
      <c r="U36" s="230"/>
      <c r="V36" s="230"/>
      <c r="W36" s="253"/>
      <c r="X36" s="253"/>
      <c r="Y36" s="253"/>
      <c r="Z36" s="253"/>
      <c r="AA36" s="253"/>
    </row>
    <row r="39" spans="2:27" ht="15" customHeight="1">
      <c r="B39" s="1649" t="s">
        <v>3892</v>
      </c>
      <c r="C39" s="1088"/>
      <c r="D39" s="1088"/>
      <c r="E39" s="1088"/>
      <c r="F39" s="1088"/>
      <c r="G39" s="1088"/>
      <c r="H39" s="1088"/>
      <c r="I39" s="1088"/>
      <c r="J39" s="1088"/>
      <c r="K39" s="1088"/>
      <c r="L39" s="1088"/>
      <c r="M39" s="1088"/>
      <c r="N39" s="1088"/>
      <c r="O39" s="1088"/>
      <c r="P39" s="1088"/>
      <c r="Q39" s="1088"/>
      <c r="R39" s="1088"/>
      <c r="S39" s="1088"/>
      <c r="T39" s="1088"/>
      <c r="U39" s="1088"/>
      <c r="V39" s="1088"/>
      <c r="W39" s="1088"/>
      <c r="X39" s="1088"/>
      <c r="Y39" s="1088"/>
      <c r="Z39" s="1088"/>
      <c r="AA39" s="1089"/>
    </row>
    <row r="40" spans="2:27" ht="15" customHeight="1">
      <c r="B40" s="1034"/>
      <c r="C40" s="1782"/>
      <c r="D40" s="1782"/>
      <c r="E40" s="1782"/>
      <c r="F40" s="1782"/>
      <c r="G40" s="1782"/>
      <c r="H40" s="1782"/>
      <c r="I40" s="1782"/>
      <c r="J40" s="1782"/>
      <c r="K40" s="1782"/>
      <c r="L40" s="1782"/>
      <c r="M40" s="1782"/>
      <c r="N40" s="1782"/>
      <c r="O40" s="1782"/>
      <c r="P40" s="1782"/>
      <c r="Q40" s="1782"/>
      <c r="R40" s="1782"/>
      <c r="S40" s="1782"/>
      <c r="T40" s="1782"/>
      <c r="U40" s="1782"/>
      <c r="V40" s="1782"/>
      <c r="W40" s="1782"/>
      <c r="X40" s="1782"/>
      <c r="Y40" s="1782"/>
      <c r="Z40" s="1782"/>
      <c r="AA40" s="1015"/>
    </row>
    <row r="41" spans="2:27" ht="15" customHeight="1">
      <c r="B41" s="1090"/>
      <c r="C41" s="1019"/>
      <c r="D41" s="1019"/>
      <c r="E41" s="1019"/>
      <c r="F41" s="1019"/>
      <c r="G41" s="1019"/>
      <c r="H41" s="1019"/>
      <c r="I41" s="1019"/>
      <c r="J41" s="1019"/>
      <c r="K41" s="1019"/>
      <c r="L41" s="1019"/>
      <c r="M41" s="1019"/>
      <c r="N41" s="1019"/>
      <c r="O41" s="1019"/>
      <c r="P41" s="1019"/>
      <c r="Q41" s="1019"/>
      <c r="R41" s="1019"/>
      <c r="S41" s="1019"/>
      <c r="T41" s="1019"/>
      <c r="U41" s="1019"/>
      <c r="V41" s="1019"/>
      <c r="W41" s="1019"/>
      <c r="X41" s="1019"/>
      <c r="Y41" s="1019"/>
      <c r="Z41" s="1019"/>
      <c r="AA41" s="1091"/>
    </row>
    <row r="42" spans="2:27">
      <c r="B42" s="1841" t="s">
        <v>3893</v>
      </c>
      <c r="C42" s="1782"/>
      <c r="D42" s="1782"/>
      <c r="E42" s="1782"/>
      <c r="F42" s="1782"/>
      <c r="G42" s="1782"/>
      <c r="H42" s="1782"/>
      <c r="I42" s="1782"/>
      <c r="J42" s="1782"/>
      <c r="K42" s="1782"/>
      <c r="L42" s="1782"/>
      <c r="M42" s="1782"/>
      <c r="N42" s="1782"/>
      <c r="O42" s="1782"/>
      <c r="P42" s="1782"/>
      <c r="Q42" s="1782"/>
      <c r="R42" s="1782"/>
      <c r="S42" s="1782"/>
      <c r="T42" s="1782"/>
      <c r="U42" s="1782"/>
      <c r="V42" s="1782"/>
      <c r="W42" s="1782"/>
      <c r="X42" s="1782"/>
      <c r="Y42" s="1782"/>
      <c r="Z42" s="1782"/>
      <c r="AA42" s="1782"/>
    </row>
    <row r="43" spans="2:27" ht="16.05" customHeight="1">
      <c r="B43" s="1798" t="s">
        <v>3894</v>
      </c>
      <c r="C43" s="1088"/>
      <c r="D43" s="1088"/>
      <c r="E43" s="1089"/>
      <c r="G43" s="1798" t="s">
        <v>3895</v>
      </c>
      <c r="H43" s="1088"/>
      <c r="I43" s="1088"/>
      <c r="J43" s="1088"/>
      <c r="K43" s="1089"/>
      <c r="M43" s="1798" t="s">
        <v>3896</v>
      </c>
      <c r="N43" s="1088"/>
      <c r="O43" s="1088"/>
      <c r="P43" s="1089"/>
      <c r="R43" s="1798" t="s">
        <v>3897</v>
      </c>
      <c r="S43" s="1088"/>
      <c r="T43" s="1089"/>
      <c r="U43" s="241"/>
      <c r="V43" s="1798" t="s">
        <v>3898</v>
      </c>
      <c r="W43" s="1088"/>
      <c r="X43" s="1088"/>
      <c r="Y43" s="1088"/>
      <c r="Z43" s="1088"/>
      <c r="AA43" s="1089"/>
    </row>
    <row r="44" spans="2:27" ht="16.05" customHeight="1">
      <c r="B44" s="1785" t="s">
        <v>1482</v>
      </c>
      <c r="C44" s="1782"/>
      <c r="D44" s="1782"/>
      <c r="E44" s="237" t="s">
        <v>3899</v>
      </c>
      <c r="G44" s="1785" t="s">
        <v>1482</v>
      </c>
      <c r="H44" s="1782"/>
      <c r="I44" s="1782"/>
      <c r="J44" s="1782"/>
      <c r="K44" s="237" t="s">
        <v>3899</v>
      </c>
      <c r="M44" s="1785" t="s">
        <v>1482</v>
      </c>
      <c r="N44" s="1782"/>
      <c r="O44" s="1782"/>
      <c r="P44" s="237" t="s">
        <v>3899</v>
      </c>
      <c r="R44" s="1785" t="s">
        <v>1482</v>
      </c>
      <c r="S44" s="1782"/>
      <c r="T44" s="237" t="s">
        <v>3899</v>
      </c>
      <c r="V44" s="1785" t="s">
        <v>1482</v>
      </c>
      <c r="W44" s="1782"/>
      <c r="X44" s="1782"/>
      <c r="Y44" s="1782"/>
      <c r="Z44" s="240" t="s">
        <v>3900</v>
      </c>
      <c r="AA44" s="237" t="s">
        <v>3899</v>
      </c>
    </row>
    <row r="45" spans="2:27" ht="16.05" customHeight="1">
      <c r="B45" s="1783" t="s">
        <v>3901</v>
      </c>
      <c r="C45" s="1782"/>
      <c r="D45" s="1782"/>
      <c r="E45" s="238" t="s">
        <v>3902</v>
      </c>
      <c r="G45" s="1825" t="s">
        <v>3903</v>
      </c>
      <c r="H45" s="1782"/>
      <c r="I45" s="1782"/>
      <c r="J45" s="1782"/>
      <c r="K45" s="238" t="s">
        <v>3904</v>
      </c>
      <c r="M45" s="1783" t="s">
        <v>3905</v>
      </c>
      <c r="N45" s="1782"/>
      <c r="O45" s="1782"/>
      <c r="P45" s="238">
        <v>25</v>
      </c>
      <c r="R45" s="1783" t="s">
        <v>3906</v>
      </c>
      <c r="S45" s="1782"/>
      <c r="T45" s="238">
        <v>20</v>
      </c>
      <c r="V45" s="1807" t="s">
        <v>3907</v>
      </c>
      <c r="W45" s="1782"/>
      <c r="X45" s="1782"/>
      <c r="Y45" s="1782"/>
      <c r="Z45" s="243">
        <v>500</v>
      </c>
      <c r="AA45" s="238">
        <v>21</v>
      </c>
    </row>
    <row r="46" spans="2:27" ht="16.05" customHeight="1">
      <c r="B46" s="1781" t="s">
        <v>3908</v>
      </c>
      <c r="C46" s="1782"/>
      <c r="D46" s="1782"/>
      <c r="E46" s="239">
        <v>350</v>
      </c>
      <c r="G46" s="1787" t="s">
        <v>3909</v>
      </c>
      <c r="H46" s="1782"/>
      <c r="I46" s="1782"/>
      <c r="J46" s="1782"/>
      <c r="K46" s="239" t="s">
        <v>3910</v>
      </c>
      <c r="M46" s="1781" t="s">
        <v>3911</v>
      </c>
      <c r="N46" s="1782"/>
      <c r="O46" s="1782"/>
      <c r="P46" s="239">
        <v>60</v>
      </c>
      <c r="R46" s="1781" t="s">
        <v>3912</v>
      </c>
      <c r="S46" s="1782"/>
      <c r="T46" s="239">
        <v>50</v>
      </c>
      <c r="V46" s="1808" t="s">
        <v>3913</v>
      </c>
      <c r="W46" s="1782"/>
      <c r="X46" s="1782"/>
      <c r="Y46" s="1782"/>
      <c r="Z46" s="256">
        <v>50</v>
      </c>
      <c r="AA46" s="239">
        <v>24</v>
      </c>
    </row>
    <row r="47" spans="2:27" ht="16.05" customHeight="1">
      <c r="B47" s="1783" t="s">
        <v>3914</v>
      </c>
      <c r="C47" s="1782"/>
      <c r="D47" s="1782"/>
      <c r="E47" s="238">
        <v>200</v>
      </c>
      <c r="G47" s="1785" t="s">
        <v>3915</v>
      </c>
      <c r="H47" s="1782"/>
      <c r="I47" s="1782"/>
      <c r="J47" s="1782"/>
      <c r="K47" s="237" t="s">
        <v>3899</v>
      </c>
      <c r="M47" s="1783" t="s">
        <v>3916</v>
      </c>
      <c r="N47" s="1782"/>
      <c r="O47" s="1782"/>
      <c r="P47" s="238">
        <v>110</v>
      </c>
      <c r="R47" s="1801" t="s">
        <v>3917</v>
      </c>
      <c r="S47" s="1019"/>
      <c r="T47" s="249">
        <v>50</v>
      </c>
      <c r="V47" s="1842" t="s">
        <v>3918</v>
      </c>
      <c r="W47" s="1782"/>
      <c r="X47" s="1782"/>
      <c r="Y47" s="1782"/>
      <c r="Z47" s="257">
        <v>50</v>
      </c>
      <c r="AA47" s="238">
        <v>15</v>
      </c>
    </row>
    <row r="48" spans="2:27" ht="16.05" customHeight="1">
      <c r="B48" s="1781" t="s">
        <v>3919</v>
      </c>
      <c r="C48" s="1782"/>
      <c r="D48" s="1782"/>
      <c r="E48" s="239">
        <v>50</v>
      </c>
      <c r="G48" s="1825" t="s">
        <v>3920</v>
      </c>
      <c r="H48" s="1782"/>
      <c r="I48" s="1782"/>
      <c r="J48" s="1782"/>
      <c r="K48" s="238" t="s">
        <v>3921</v>
      </c>
      <c r="M48" s="1781" t="s">
        <v>3922</v>
      </c>
      <c r="N48" s="1782"/>
      <c r="O48" s="1782"/>
      <c r="P48" s="239">
        <v>30</v>
      </c>
      <c r="R48" s="1831"/>
      <c r="S48" s="1782"/>
      <c r="T48" s="243"/>
      <c r="V48" s="1819" t="s">
        <v>3923</v>
      </c>
      <c r="W48" s="1782"/>
      <c r="X48" s="1782"/>
      <c r="Y48" s="1782"/>
      <c r="Z48" s="258">
        <v>50</v>
      </c>
      <c r="AA48" s="239">
        <v>15</v>
      </c>
    </row>
    <row r="49" spans="2:27" ht="16.05" customHeight="1">
      <c r="B49" s="1783" t="s">
        <v>3924</v>
      </c>
      <c r="C49" s="1782"/>
      <c r="D49" s="1782"/>
      <c r="E49" s="238">
        <v>200</v>
      </c>
      <c r="G49" s="1787" t="s">
        <v>3925</v>
      </c>
      <c r="H49" s="1782"/>
      <c r="I49" s="1782"/>
      <c r="J49" s="1782"/>
      <c r="K49" s="239" t="s">
        <v>3926</v>
      </c>
      <c r="M49" s="1783" t="s">
        <v>3927</v>
      </c>
      <c r="N49" s="1782"/>
      <c r="O49" s="1782"/>
      <c r="P49" s="238">
        <v>200</v>
      </c>
      <c r="R49" s="1798" t="s">
        <v>380</v>
      </c>
      <c r="S49" s="1088"/>
      <c r="T49" s="1089"/>
      <c r="V49" s="1807" t="s">
        <v>3928</v>
      </c>
      <c r="W49" s="1782"/>
      <c r="X49" s="1782"/>
      <c r="Y49" s="1782"/>
      <c r="Z49" s="259">
        <v>50</v>
      </c>
      <c r="AA49" s="238">
        <v>15</v>
      </c>
    </row>
    <row r="50" spans="2:27" ht="16.05" customHeight="1">
      <c r="B50" s="1781" t="s">
        <v>3929</v>
      </c>
      <c r="C50" s="1782"/>
      <c r="D50" s="1782"/>
      <c r="E50" s="239">
        <v>250</v>
      </c>
      <c r="G50" s="1825" t="s">
        <v>3930</v>
      </c>
      <c r="H50" s="1782"/>
      <c r="I50" s="1782"/>
      <c r="J50" s="1782"/>
      <c r="K50" s="238">
        <v>62.5</v>
      </c>
      <c r="M50" s="1781" t="s">
        <v>3931</v>
      </c>
      <c r="N50" s="1782"/>
      <c r="O50" s="1782"/>
      <c r="P50" s="239">
        <v>30</v>
      </c>
      <c r="R50" s="1785" t="s">
        <v>1482</v>
      </c>
      <c r="S50" s="1782"/>
      <c r="T50" s="237" t="s">
        <v>3899</v>
      </c>
      <c r="V50" s="1817" t="s">
        <v>3932</v>
      </c>
      <c r="W50" s="1782"/>
      <c r="X50" s="1782"/>
      <c r="Y50" s="1782"/>
      <c r="Z50" s="260">
        <v>50</v>
      </c>
      <c r="AA50" s="239">
        <v>22</v>
      </c>
    </row>
    <row r="51" spans="2:27" ht="16.05" customHeight="1">
      <c r="B51" s="1783" t="s">
        <v>3933</v>
      </c>
      <c r="C51" s="1782"/>
      <c r="D51" s="1782"/>
      <c r="E51" s="238">
        <v>35</v>
      </c>
      <c r="G51" s="1821" t="s">
        <v>3934</v>
      </c>
      <c r="H51" s="1782"/>
      <c r="I51" s="1782"/>
      <c r="J51" s="1782"/>
      <c r="K51" s="237" t="s">
        <v>3899</v>
      </c>
      <c r="M51" s="1783" t="s">
        <v>3935</v>
      </c>
      <c r="N51" s="1782"/>
      <c r="O51" s="1782"/>
      <c r="P51" s="238">
        <v>1300</v>
      </c>
      <c r="R51" s="1783" t="s">
        <v>3936</v>
      </c>
      <c r="S51" s="1782"/>
      <c r="T51" s="238" t="s">
        <v>3902</v>
      </c>
      <c r="V51" s="1807" t="s">
        <v>3937</v>
      </c>
      <c r="W51" s="1782"/>
      <c r="X51" s="1782"/>
      <c r="Y51" s="1782"/>
      <c r="Z51" s="259">
        <v>50</v>
      </c>
      <c r="AA51" s="238">
        <v>17</v>
      </c>
    </row>
    <row r="52" spans="2:27" ht="16.05" customHeight="1">
      <c r="B52" s="1781" t="s">
        <v>3938</v>
      </c>
      <c r="C52" s="1782"/>
      <c r="D52" s="1782"/>
      <c r="E52" s="239">
        <v>36</v>
      </c>
      <c r="G52" s="1825" t="s">
        <v>3939</v>
      </c>
      <c r="H52" s="1782"/>
      <c r="I52" s="1782"/>
      <c r="J52" s="1782"/>
      <c r="K52" s="238" t="s">
        <v>3940</v>
      </c>
      <c r="M52" s="1781" t="s">
        <v>3941</v>
      </c>
      <c r="N52" s="1782"/>
      <c r="O52" s="1782"/>
      <c r="P52" s="239">
        <v>65</v>
      </c>
      <c r="R52" s="1781" t="s">
        <v>3942</v>
      </c>
      <c r="S52" s="1782"/>
      <c r="T52" s="239" t="s">
        <v>3943</v>
      </c>
      <c r="V52" s="1817" t="s">
        <v>3944</v>
      </c>
      <c r="W52" s="1782"/>
      <c r="X52" s="1782"/>
      <c r="Y52" s="1782"/>
      <c r="Z52" s="260">
        <v>50</v>
      </c>
      <c r="AA52" s="239">
        <v>24</v>
      </c>
    </row>
    <row r="53" spans="2:27" ht="16.05" customHeight="1">
      <c r="B53" s="1783" t="s">
        <v>3945</v>
      </c>
      <c r="C53" s="1782"/>
      <c r="D53" s="1782"/>
      <c r="E53" s="238">
        <v>35</v>
      </c>
      <c r="G53" s="1787" t="s">
        <v>3946</v>
      </c>
      <c r="H53" s="1782"/>
      <c r="I53" s="1782"/>
      <c r="J53" s="1782"/>
      <c r="K53" s="239" t="s">
        <v>3947</v>
      </c>
      <c r="M53" s="1783" t="s">
        <v>3948</v>
      </c>
      <c r="N53" s="1782"/>
      <c r="O53" s="1782"/>
      <c r="P53" s="238">
        <v>30</v>
      </c>
      <c r="R53" s="1783" t="s">
        <v>3949</v>
      </c>
      <c r="S53" s="1782"/>
      <c r="T53" s="238" t="s">
        <v>3950</v>
      </c>
      <c r="V53" s="1807" t="s">
        <v>3951</v>
      </c>
      <c r="W53" s="1782"/>
      <c r="X53" s="1782"/>
      <c r="Y53" s="1782"/>
      <c r="Z53" s="259">
        <v>50</v>
      </c>
      <c r="AA53" s="238">
        <v>12</v>
      </c>
    </row>
    <row r="54" spans="2:27" ht="16.05" customHeight="1">
      <c r="B54" s="1781" t="s">
        <v>3952</v>
      </c>
      <c r="C54" s="1782"/>
      <c r="D54" s="1782"/>
      <c r="E54" s="239">
        <v>40</v>
      </c>
      <c r="G54" s="1796" t="s">
        <v>3953</v>
      </c>
      <c r="H54" s="1019"/>
      <c r="I54" s="1019"/>
      <c r="J54" s="1019"/>
      <c r="K54" s="249" t="s">
        <v>3954</v>
      </c>
      <c r="M54" s="1781" t="s">
        <v>3955</v>
      </c>
      <c r="N54" s="1782"/>
      <c r="O54" s="1782"/>
      <c r="P54" s="239">
        <v>20</v>
      </c>
      <c r="R54" s="1781" t="s">
        <v>3956</v>
      </c>
      <c r="S54" s="1782"/>
      <c r="T54" s="239" t="s">
        <v>3957</v>
      </c>
      <c r="V54" s="1817" t="s">
        <v>3958</v>
      </c>
      <c r="W54" s="1782"/>
      <c r="X54" s="1782"/>
      <c r="Y54" s="1782"/>
      <c r="Z54" s="260">
        <v>50</v>
      </c>
      <c r="AA54" s="239">
        <v>39</v>
      </c>
    </row>
    <row r="55" spans="2:27" ht="16.05" customHeight="1">
      <c r="B55" s="1783" t="s">
        <v>3959</v>
      </c>
      <c r="C55" s="1782"/>
      <c r="D55" s="1782"/>
      <c r="E55" s="238">
        <v>50</v>
      </c>
      <c r="G55" s="241"/>
      <c r="H55" s="241"/>
      <c r="I55" s="241"/>
      <c r="M55" s="1783" t="s">
        <v>3960</v>
      </c>
      <c r="N55" s="1782"/>
      <c r="O55" s="1782"/>
      <c r="P55" s="238">
        <v>250</v>
      </c>
      <c r="R55" s="1783" t="s">
        <v>3961</v>
      </c>
      <c r="S55" s="1782"/>
      <c r="T55" s="238">
        <v>400</v>
      </c>
      <c r="V55" s="1807" t="s">
        <v>3962</v>
      </c>
      <c r="W55" s="1782"/>
      <c r="X55" s="1782"/>
      <c r="Y55" s="1782"/>
      <c r="Z55" s="259">
        <v>100</v>
      </c>
      <c r="AA55" s="238">
        <v>23</v>
      </c>
    </row>
    <row r="56" spans="2:27" ht="16.05" customHeight="1">
      <c r="B56" s="1781" t="s">
        <v>3963</v>
      </c>
      <c r="C56" s="1782"/>
      <c r="D56" s="1782"/>
      <c r="E56" s="239">
        <v>100</v>
      </c>
      <c r="G56" s="1798" t="s">
        <v>3964</v>
      </c>
      <c r="H56" s="1088"/>
      <c r="I56" s="1088"/>
      <c r="J56" s="1088"/>
      <c r="K56" s="1089"/>
      <c r="M56" s="1781" t="s">
        <v>3965</v>
      </c>
      <c r="N56" s="1782"/>
      <c r="O56" s="1782"/>
      <c r="P56" s="239">
        <v>260</v>
      </c>
      <c r="R56" s="1799" t="s">
        <v>3966</v>
      </c>
      <c r="S56" s="1019"/>
      <c r="T56" s="242">
        <v>200</v>
      </c>
      <c r="V56" s="1817" t="s">
        <v>3967</v>
      </c>
      <c r="W56" s="1782"/>
      <c r="X56" s="1782"/>
      <c r="Y56" s="1782"/>
      <c r="Z56" s="260">
        <v>25</v>
      </c>
      <c r="AA56" s="239">
        <v>40</v>
      </c>
    </row>
    <row r="57" spans="2:27" ht="16.05" customHeight="1">
      <c r="B57" s="1783" t="s">
        <v>3968</v>
      </c>
      <c r="C57" s="1782"/>
      <c r="D57" s="1782"/>
      <c r="E57" s="238">
        <v>35</v>
      </c>
      <c r="G57" s="1785" t="s">
        <v>1482</v>
      </c>
      <c r="H57" s="1782"/>
      <c r="I57" s="1782"/>
      <c r="J57" s="1782"/>
      <c r="K57" s="237" t="s">
        <v>3899</v>
      </c>
      <c r="M57" s="1783" t="s">
        <v>3969</v>
      </c>
      <c r="N57" s="1782"/>
      <c r="O57" s="1782"/>
      <c r="P57" s="238">
        <v>2000</v>
      </c>
      <c r="V57" s="1807" t="s">
        <v>3970</v>
      </c>
      <c r="W57" s="1782"/>
      <c r="X57" s="1782"/>
      <c r="Y57" s="1782"/>
      <c r="Z57" s="243">
        <v>25</v>
      </c>
      <c r="AA57" s="238">
        <v>30</v>
      </c>
    </row>
    <row r="58" spans="2:27" ht="16.05" customHeight="1">
      <c r="B58" s="1781" t="s">
        <v>3971</v>
      </c>
      <c r="C58" s="1782"/>
      <c r="D58" s="1782"/>
      <c r="E58" s="239">
        <v>15</v>
      </c>
      <c r="G58" s="1783" t="s">
        <v>3972</v>
      </c>
      <c r="H58" s="1782"/>
      <c r="I58" s="1782"/>
      <c r="J58" s="1782"/>
      <c r="K58" s="238">
        <v>23000</v>
      </c>
      <c r="M58" s="1781" t="s">
        <v>3973</v>
      </c>
      <c r="N58" s="1782"/>
      <c r="O58" s="1782"/>
      <c r="P58" s="239">
        <v>1000</v>
      </c>
      <c r="R58" s="1798" t="s">
        <v>3974</v>
      </c>
      <c r="S58" s="1088"/>
      <c r="T58" s="1089"/>
      <c r="V58" s="1817" t="s">
        <v>3975</v>
      </c>
      <c r="W58" s="1782"/>
      <c r="X58" s="1782"/>
      <c r="Y58" s="1782"/>
      <c r="Z58" s="261">
        <v>25</v>
      </c>
      <c r="AA58" s="239">
        <v>26</v>
      </c>
    </row>
    <row r="59" spans="2:27" ht="16.05" customHeight="1">
      <c r="B59" s="1783" t="s">
        <v>3976</v>
      </c>
      <c r="C59" s="1782"/>
      <c r="D59" s="1782"/>
      <c r="E59" s="238">
        <v>15</v>
      </c>
      <c r="G59" s="1781" t="s">
        <v>3977</v>
      </c>
      <c r="H59" s="1782"/>
      <c r="I59" s="1782"/>
      <c r="J59" s="1782"/>
      <c r="K59" s="239">
        <v>13000</v>
      </c>
      <c r="M59" s="1783" t="s">
        <v>3978</v>
      </c>
      <c r="N59" s="1782"/>
      <c r="O59" s="1782"/>
      <c r="P59" s="238" t="s">
        <v>3979</v>
      </c>
      <c r="R59" s="1785" t="s">
        <v>1482</v>
      </c>
      <c r="S59" s="1782"/>
      <c r="T59" s="237" t="s">
        <v>3899</v>
      </c>
      <c r="V59" s="1840" t="s">
        <v>3980</v>
      </c>
      <c r="W59" s="1019"/>
      <c r="X59" s="1019"/>
      <c r="Y59" s="1019"/>
      <c r="Z59" s="262">
        <v>25</v>
      </c>
      <c r="AA59" s="249">
        <v>28</v>
      </c>
    </row>
    <row r="60" spans="2:27" ht="16.05" customHeight="1">
      <c r="B60" s="1781" t="s">
        <v>3981</v>
      </c>
      <c r="C60" s="1782"/>
      <c r="D60" s="1782"/>
      <c r="E60" s="239">
        <v>60</v>
      </c>
      <c r="G60" s="1783" t="s">
        <v>3982</v>
      </c>
      <c r="H60" s="1782"/>
      <c r="I60" s="1782"/>
      <c r="J60" s="1782"/>
      <c r="K60" s="238">
        <v>260000</v>
      </c>
      <c r="M60" s="1799" t="s">
        <v>3983</v>
      </c>
      <c r="N60" s="1019"/>
      <c r="O60" s="1019"/>
      <c r="P60" s="250">
        <v>100</v>
      </c>
      <c r="R60" s="1783" t="s">
        <v>3984</v>
      </c>
      <c r="S60" s="1782"/>
      <c r="T60" s="238">
        <v>600</v>
      </c>
    </row>
    <row r="61" spans="2:27" ht="16.05" customHeight="1">
      <c r="B61" s="1783" t="s">
        <v>3985</v>
      </c>
      <c r="C61" s="1782"/>
      <c r="D61" s="1782"/>
      <c r="E61" s="238">
        <v>200</v>
      </c>
      <c r="G61" s="1781" t="s">
        <v>3986</v>
      </c>
      <c r="H61" s="1782"/>
      <c r="I61" s="1782"/>
      <c r="J61" s="1782"/>
      <c r="K61" s="239">
        <v>200500</v>
      </c>
      <c r="N61" s="241"/>
      <c r="O61" s="241"/>
      <c r="P61" s="241"/>
      <c r="R61" s="1789" t="s">
        <v>3987</v>
      </c>
      <c r="S61" s="1782"/>
      <c r="T61" s="239">
        <v>500</v>
      </c>
      <c r="V61" s="1798" t="s">
        <v>3988</v>
      </c>
      <c r="W61" s="1088"/>
      <c r="X61" s="1088"/>
      <c r="Y61" s="1088"/>
      <c r="Z61" s="1088"/>
      <c r="AA61" s="1089"/>
    </row>
    <row r="62" spans="2:27" ht="16.05" customHeight="1">
      <c r="B62" s="1799" t="s">
        <v>3989</v>
      </c>
      <c r="C62" s="1019"/>
      <c r="D62" s="1019"/>
      <c r="E62" s="242">
        <v>600</v>
      </c>
      <c r="G62" s="1783" t="s">
        <v>3990</v>
      </c>
      <c r="H62" s="1782"/>
      <c r="I62" s="1782"/>
      <c r="J62" s="1782"/>
      <c r="K62" s="238">
        <v>62000</v>
      </c>
      <c r="M62" s="1797" t="s">
        <v>3991</v>
      </c>
      <c r="N62" s="1088"/>
      <c r="O62" s="1088"/>
      <c r="P62" s="1089"/>
      <c r="R62" s="1783" t="s">
        <v>3992</v>
      </c>
      <c r="S62" s="1782"/>
      <c r="T62" s="238">
        <v>1400</v>
      </c>
      <c r="V62" s="1785" t="s">
        <v>1482</v>
      </c>
      <c r="W62" s="1782"/>
      <c r="X62" s="1782"/>
      <c r="Y62" s="1782"/>
      <c r="Z62" s="1836" t="s">
        <v>3899</v>
      </c>
      <c r="AA62" s="1015"/>
    </row>
    <row r="63" spans="2:27" ht="16.05" customHeight="1">
      <c r="B63" s="1843"/>
      <c r="C63" s="1782"/>
      <c r="D63" s="243"/>
      <c r="E63" s="241"/>
      <c r="G63" s="1781" t="s">
        <v>3993</v>
      </c>
      <c r="H63" s="1782"/>
      <c r="I63" s="1782"/>
      <c r="J63" s="1782"/>
      <c r="K63" s="239">
        <v>38000</v>
      </c>
      <c r="M63" s="1785" t="s">
        <v>1482</v>
      </c>
      <c r="N63" s="1782"/>
      <c r="O63" s="1782"/>
      <c r="P63" s="237" t="s">
        <v>3899</v>
      </c>
      <c r="R63" s="1799" t="s">
        <v>3994</v>
      </c>
      <c r="S63" s="1019"/>
      <c r="T63" s="242">
        <v>90</v>
      </c>
      <c r="V63" s="1781" t="s">
        <v>3995</v>
      </c>
      <c r="W63" s="1782"/>
      <c r="X63" s="1782"/>
      <c r="Y63" s="1782"/>
      <c r="Z63" s="1824" t="s">
        <v>3902</v>
      </c>
      <c r="AA63" s="1015"/>
    </row>
    <row r="64" spans="2:27" ht="16.05" customHeight="1">
      <c r="B64" s="1798" t="s">
        <v>3996</v>
      </c>
      <c r="C64" s="1088"/>
      <c r="D64" s="1088"/>
      <c r="E64" s="1089"/>
      <c r="G64" s="1783" t="s">
        <v>3997</v>
      </c>
      <c r="H64" s="1782"/>
      <c r="I64" s="1782"/>
      <c r="J64" s="1782"/>
      <c r="K64" s="238">
        <v>54000</v>
      </c>
      <c r="M64" s="1783" t="s">
        <v>3998</v>
      </c>
      <c r="N64" s="1782"/>
      <c r="O64" s="1782"/>
      <c r="P64" s="238">
        <v>60</v>
      </c>
      <c r="V64" s="1783" t="s">
        <v>3999</v>
      </c>
      <c r="W64" s="1782"/>
      <c r="X64" s="1782"/>
      <c r="Y64" s="1782"/>
      <c r="Z64" s="1837" t="s">
        <v>4000</v>
      </c>
      <c r="AA64" s="1015"/>
    </row>
    <row r="65" spans="2:27" ht="16.05" customHeight="1">
      <c r="B65" s="1785" t="s">
        <v>1482</v>
      </c>
      <c r="C65" s="1782"/>
      <c r="D65" s="1782"/>
      <c r="E65" s="237" t="s">
        <v>3899</v>
      </c>
      <c r="G65" s="1781" t="s">
        <v>4001</v>
      </c>
      <c r="H65" s="1782"/>
      <c r="I65" s="1782"/>
      <c r="J65" s="1782"/>
      <c r="K65" s="239">
        <v>33000</v>
      </c>
      <c r="M65" s="1781" t="s">
        <v>4002</v>
      </c>
      <c r="N65" s="1782"/>
      <c r="O65" s="1782"/>
      <c r="P65" s="239">
        <v>90</v>
      </c>
      <c r="R65" s="1798" t="s">
        <v>4003</v>
      </c>
      <c r="S65" s="1088"/>
      <c r="T65" s="1089"/>
      <c r="V65" s="1781" t="s">
        <v>4004</v>
      </c>
      <c r="W65" s="1782"/>
      <c r="X65" s="1782"/>
      <c r="Y65" s="1782"/>
      <c r="Z65" s="1824" t="s">
        <v>3665</v>
      </c>
      <c r="AA65" s="1015"/>
    </row>
    <row r="66" spans="2:27" ht="16.05" customHeight="1">
      <c r="B66" s="1783" t="s">
        <v>4005</v>
      </c>
      <c r="C66" s="1782"/>
      <c r="D66" s="1782"/>
      <c r="E66" s="238" t="s">
        <v>4006</v>
      </c>
      <c r="G66" s="1783" t="s">
        <v>4007</v>
      </c>
      <c r="H66" s="1782"/>
      <c r="I66" s="1782"/>
      <c r="J66" s="1782"/>
      <c r="K66" s="238">
        <v>27000</v>
      </c>
      <c r="M66" s="1801" t="s">
        <v>4008</v>
      </c>
      <c r="N66" s="1019"/>
      <c r="O66" s="1019"/>
      <c r="P66" s="249">
        <v>30</v>
      </c>
      <c r="R66" s="1785" t="s">
        <v>1482</v>
      </c>
      <c r="S66" s="1782"/>
      <c r="T66" s="237" t="s">
        <v>3899</v>
      </c>
      <c r="V66" s="1783" t="s">
        <v>4009</v>
      </c>
      <c r="W66" s="1782"/>
      <c r="X66" s="1782"/>
      <c r="Y66" s="1782"/>
      <c r="Z66" s="1849" t="s">
        <v>3753</v>
      </c>
      <c r="AA66" s="1015"/>
    </row>
    <row r="67" spans="2:27" ht="16.05" customHeight="1">
      <c r="B67" s="1781" t="s">
        <v>4010</v>
      </c>
      <c r="C67" s="1782"/>
      <c r="D67" s="1782"/>
      <c r="E67" s="239">
        <v>400</v>
      </c>
      <c r="G67" s="1799" t="s">
        <v>4011</v>
      </c>
      <c r="H67" s="1019"/>
      <c r="I67" s="1019"/>
      <c r="J67" s="1019"/>
      <c r="K67" s="242">
        <v>16500</v>
      </c>
      <c r="R67" s="1829" t="s">
        <v>4012</v>
      </c>
      <c r="S67" s="1782"/>
      <c r="T67" s="238">
        <v>90</v>
      </c>
      <c r="V67" s="1781" t="s">
        <v>4013</v>
      </c>
      <c r="W67" s="1782"/>
      <c r="X67" s="1782"/>
      <c r="Y67" s="1782"/>
      <c r="Z67" s="1824">
        <v>65</v>
      </c>
      <c r="AA67" s="1015"/>
    </row>
    <row r="68" spans="2:27" ht="16.05" customHeight="1">
      <c r="B68" s="1783" t="s">
        <v>4014</v>
      </c>
      <c r="C68" s="1782"/>
      <c r="D68" s="1782"/>
      <c r="E68" s="238">
        <v>150</v>
      </c>
      <c r="M68" s="1797" t="s">
        <v>4015</v>
      </c>
      <c r="N68" s="1088"/>
      <c r="O68" s="1088"/>
      <c r="P68" s="1089"/>
      <c r="R68" s="1781" t="s">
        <v>4016</v>
      </c>
      <c r="S68" s="1782"/>
      <c r="T68" s="239">
        <v>35</v>
      </c>
      <c r="V68" s="1783" t="s">
        <v>4017</v>
      </c>
      <c r="W68" s="1782"/>
      <c r="X68" s="1782"/>
      <c r="Y68" s="1782"/>
      <c r="Z68" s="1837">
        <v>16</v>
      </c>
      <c r="AA68" s="1015"/>
    </row>
    <row r="69" spans="2:27" ht="16.05" customHeight="1">
      <c r="B69" s="1781" t="s">
        <v>4018</v>
      </c>
      <c r="C69" s="1782"/>
      <c r="D69" s="1782"/>
      <c r="E69" s="239">
        <v>90</v>
      </c>
      <c r="G69" s="1798" t="s">
        <v>4019</v>
      </c>
      <c r="H69" s="1088"/>
      <c r="I69" s="1088"/>
      <c r="J69" s="1088"/>
      <c r="K69" s="1089"/>
      <c r="M69" s="1785" t="s">
        <v>1482</v>
      </c>
      <c r="N69" s="1782"/>
      <c r="O69" s="1782"/>
      <c r="P69" s="237" t="s">
        <v>3899</v>
      </c>
      <c r="R69" s="1783" t="s">
        <v>4020</v>
      </c>
      <c r="S69" s="1782"/>
      <c r="T69" s="238">
        <v>40</v>
      </c>
      <c r="V69" s="1781" t="s">
        <v>4021</v>
      </c>
      <c r="W69" s="1782"/>
      <c r="X69" s="1782"/>
      <c r="Y69" s="1782"/>
      <c r="Z69" s="1824">
        <v>20</v>
      </c>
      <c r="AA69" s="1015"/>
    </row>
    <row r="70" spans="2:27" ht="16.05" customHeight="1">
      <c r="B70" s="1783" t="s">
        <v>4022</v>
      </c>
      <c r="C70" s="1782"/>
      <c r="D70" s="1782"/>
      <c r="E70" s="238">
        <v>25</v>
      </c>
      <c r="G70" s="1785" t="s">
        <v>1482</v>
      </c>
      <c r="H70" s="1782"/>
      <c r="I70" s="1782"/>
      <c r="J70" s="1782"/>
      <c r="K70" s="237" t="s">
        <v>3899</v>
      </c>
      <c r="M70" s="1783" t="s">
        <v>4023</v>
      </c>
      <c r="N70" s="1782"/>
      <c r="O70" s="1782"/>
      <c r="P70" s="238">
        <v>40</v>
      </c>
      <c r="R70" s="1781" t="s">
        <v>4024</v>
      </c>
      <c r="S70" s="1782"/>
      <c r="T70" s="239">
        <v>450</v>
      </c>
      <c r="V70" s="1783" t="s">
        <v>4025</v>
      </c>
      <c r="W70" s="1782"/>
      <c r="X70" s="1782"/>
      <c r="Y70" s="1782"/>
      <c r="Z70" s="1837" t="s">
        <v>4026</v>
      </c>
      <c r="AA70" s="1015"/>
    </row>
    <row r="71" spans="2:27" ht="16.05" customHeight="1">
      <c r="B71" s="1781" t="s">
        <v>4027</v>
      </c>
      <c r="C71" s="1782"/>
      <c r="D71" s="1782"/>
      <c r="E71" s="239">
        <v>35</v>
      </c>
      <c r="G71" s="1783" t="s">
        <v>4028</v>
      </c>
      <c r="H71" s="1782"/>
      <c r="I71" s="1782"/>
      <c r="J71" s="1782"/>
      <c r="K71" s="265">
        <v>70</v>
      </c>
      <c r="M71" s="1781" t="s">
        <v>4029</v>
      </c>
      <c r="N71" s="1782"/>
      <c r="O71" s="1782"/>
      <c r="P71" s="239" t="s">
        <v>4030</v>
      </c>
      <c r="R71" s="1783" t="s">
        <v>4031</v>
      </c>
      <c r="S71" s="1782"/>
      <c r="T71" s="238">
        <v>10</v>
      </c>
      <c r="V71" s="1781" t="s">
        <v>4032</v>
      </c>
      <c r="W71" s="1782"/>
      <c r="X71" s="1782"/>
      <c r="Y71" s="1782"/>
      <c r="Z71" s="1824">
        <v>38</v>
      </c>
      <c r="AA71" s="1015"/>
    </row>
    <row r="72" spans="2:27" ht="16.05" customHeight="1">
      <c r="B72" s="1783" t="s">
        <v>4033</v>
      </c>
      <c r="C72" s="1782"/>
      <c r="D72" s="1782"/>
      <c r="E72" s="238">
        <v>260</v>
      </c>
      <c r="G72" s="1781" t="s">
        <v>4034</v>
      </c>
      <c r="H72" s="1782"/>
      <c r="I72" s="1782"/>
      <c r="J72" s="1782"/>
      <c r="K72" s="266">
        <v>300</v>
      </c>
      <c r="M72" s="1783" t="s">
        <v>4035</v>
      </c>
      <c r="N72" s="1782"/>
      <c r="O72" s="1782"/>
      <c r="P72" s="238">
        <v>500</v>
      </c>
      <c r="R72" s="1781" t="s">
        <v>4036</v>
      </c>
      <c r="S72" s="1782"/>
      <c r="T72" s="239">
        <v>240</v>
      </c>
      <c r="V72" s="1825" t="s">
        <v>4037</v>
      </c>
      <c r="W72" s="1782"/>
      <c r="X72" s="1782"/>
      <c r="Y72" s="1782"/>
      <c r="Z72" s="1837">
        <v>35</v>
      </c>
      <c r="AA72" s="1015"/>
    </row>
    <row r="73" spans="2:27" ht="16.05" customHeight="1">
      <c r="B73" s="1781" t="s">
        <v>4038</v>
      </c>
      <c r="C73" s="1782"/>
      <c r="D73" s="1782"/>
      <c r="E73" s="239">
        <v>190</v>
      </c>
      <c r="G73" s="1783" t="s">
        <v>4039</v>
      </c>
      <c r="H73" s="1782"/>
      <c r="I73" s="1782"/>
      <c r="J73" s="1782"/>
      <c r="K73" s="265" t="s">
        <v>4040</v>
      </c>
      <c r="M73" s="1781" t="s">
        <v>4041</v>
      </c>
      <c r="N73" s="1782"/>
      <c r="O73" s="1782"/>
      <c r="P73" s="239" t="s">
        <v>3665</v>
      </c>
      <c r="R73" s="1783" t="s">
        <v>4042</v>
      </c>
      <c r="S73" s="1782"/>
      <c r="T73" s="238">
        <v>400</v>
      </c>
      <c r="V73" s="1781" t="s">
        <v>4043</v>
      </c>
      <c r="W73" s="1782"/>
      <c r="X73" s="1782"/>
      <c r="Y73" s="1782"/>
      <c r="Z73" s="1824">
        <v>60</v>
      </c>
      <c r="AA73" s="1015"/>
    </row>
    <row r="74" spans="2:27" ht="16.05" customHeight="1">
      <c r="B74" s="1783" t="s">
        <v>4044</v>
      </c>
      <c r="C74" s="1782"/>
      <c r="D74" s="1782"/>
      <c r="E74" s="238">
        <v>35</v>
      </c>
      <c r="G74" s="1799" t="s">
        <v>4045</v>
      </c>
      <c r="H74" s="1019"/>
      <c r="I74" s="1019"/>
      <c r="J74" s="1019"/>
      <c r="K74" s="267">
        <v>200</v>
      </c>
      <c r="M74" s="1783" t="s">
        <v>4046</v>
      </c>
      <c r="N74" s="1782"/>
      <c r="O74" s="1782"/>
      <c r="P74" s="238" t="s">
        <v>4026</v>
      </c>
      <c r="R74" s="1781" t="s">
        <v>4047</v>
      </c>
      <c r="S74" s="1782"/>
      <c r="T74" s="239">
        <v>200</v>
      </c>
      <c r="V74" s="1801" t="s">
        <v>4048</v>
      </c>
      <c r="W74" s="1019"/>
      <c r="X74" s="1019"/>
      <c r="Y74" s="1019"/>
      <c r="Z74" s="1818">
        <v>25</v>
      </c>
      <c r="AA74" s="1091"/>
    </row>
    <row r="75" spans="2:27" ht="16.05" customHeight="1">
      <c r="B75" s="1781" t="s">
        <v>4049</v>
      </c>
      <c r="C75" s="1782"/>
      <c r="D75" s="1782"/>
      <c r="E75" s="239">
        <v>50</v>
      </c>
      <c r="M75" s="1781" t="s">
        <v>4050</v>
      </c>
      <c r="N75" s="1782"/>
      <c r="O75" s="1782"/>
      <c r="P75" s="239" t="s">
        <v>4051</v>
      </c>
      <c r="R75" s="1783" t="s">
        <v>4052</v>
      </c>
      <c r="S75" s="1782"/>
      <c r="T75" s="238">
        <v>260</v>
      </c>
      <c r="V75" s="263"/>
      <c r="W75" s="263"/>
      <c r="X75" s="263"/>
      <c r="Y75" s="263"/>
      <c r="Z75" s="263"/>
      <c r="AA75" s="263"/>
    </row>
    <row r="76" spans="2:27" ht="16.05" customHeight="1">
      <c r="B76" s="1783" t="s">
        <v>4053</v>
      </c>
      <c r="C76" s="1782"/>
      <c r="D76" s="1782"/>
      <c r="E76" s="238">
        <v>100</v>
      </c>
      <c r="G76" s="1798" t="s">
        <v>4054</v>
      </c>
      <c r="H76" s="1088"/>
      <c r="I76" s="1088"/>
      <c r="J76" s="1088"/>
      <c r="K76" s="1089"/>
      <c r="M76" s="1801" t="s">
        <v>4055</v>
      </c>
      <c r="N76" s="1019"/>
      <c r="O76" s="1019"/>
      <c r="P76" s="249" t="s">
        <v>4056</v>
      </c>
      <c r="R76" s="1781" t="s">
        <v>4057</v>
      </c>
      <c r="S76" s="1782"/>
      <c r="T76" s="239">
        <v>60</v>
      </c>
      <c r="V76" s="263"/>
      <c r="W76" s="263"/>
      <c r="X76" s="263"/>
      <c r="Y76" s="263"/>
      <c r="Z76" s="263"/>
      <c r="AA76" s="263"/>
    </row>
    <row r="77" spans="2:27" ht="16.05" customHeight="1">
      <c r="B77" s="1781" t="s">
        <v>4058</v>
      </c>
      <c r="C77" s="1782"/>
      <c r="D77" s="1782"/>
      <c r="E77" s="239">
        <v>160</v>
      </c>
      <c r="G77" s="1785" t="s">
        <v>1482</v>
      </c>
      <c r="H77" s="1782"/>
      <c r="I77" s="1782"/>
      <c r="J77" s="1782"/>
      <c r="K77" s="237" t="s">
        <v>3899</v>
      </c>
      <c r="R77" s="1783" t="s">
        <v>4059</v>
      </c>
      <c r="S77" s="1782"/>
      <c r="T77" s="238">
        <v>250</v>
      </c>
      <c r="V77" s="263"/>
      <c r="W77" s="263"/>
      <c r="X77" s="263"/>
      <c r="Y77" s="263"/>
      <c r="Z77" s="263"/>
      <c r="AA77" s="263"/>
    </row>
    <row r="78" spans="2:27" ht="16.05" customHeight="1">
      <c r="B78" s="1783" t="s">
        <v>3985</v>
      </c>
      <c r="C78" s="1782"/>
      <c r="D78" s="1782"/>
      <c r="E78" s="238">
        <v>200</v>
      </c>
      <c r="G78" s="1781" t="s">
        <v>4060</v>
      </c>
      <c r="H78" s="1782"/>
      <c r="I78" s="1782"/>
      <c r="J78" s="1782"/>
      <c r="K78" s="266">
        <v>100</v>
      </c>
      <c r="M78" s="1798" t="s">
        <v>4061</v>
      </c>
      <c r="N78" s="1088"/>
      <c r="O78" s="1088"/>
      <c r="P78" s="1089"/>
      <c r="R78" s="1781" t="s">
        <v>4062</v>
      </c>
      <c r="S78" s="1782"/>
      <c r="T78" s="239">
        <v>400</v>
      </c>
      <c r="V78" s="263"/>
      <c r="W78" s="263"/>
      <c r="X78" s="263"/>
      <c r="Y78" s="263"/>
      <c r="Z78" s="263"/>
      <c r="AA78" s="263"/>
    </row>
    <row r="79" spans="2:27" ht="16.05" customHeight="1">
      <c r="B79" s="1781" t="s">
        <v>4063</v>
      </c>
      <c r="C79" s="1782"/>
      <c r="D79" s="1782"/>
      <c r="E79" s="239">
        <v>350</v>
      </c>
      <c r="G79" s="1783" t="s">
        <v>4064</v>
      </c>
      <c r="H79" s="1782"/>
      <c r="I79" s="1782"/>
      <c r="J79" s="1782"/>
      <c r="K79" s="265">
        <v>30</v>
      </c>
      <c r="M79" s="1785" t="s">
        <v>1482</v>
      </c>
      <c r="N79" s="1782"/>
      <c r="O79" s="1782"/>
      <c r="P79" s="237" t="s">
        <v>3899</v>
      </c>
      <c r="Q79" s="241"/>
      <c r="R79" s="1783" t="s">
        <v>4065</v>
      </c>
      <c r="S79" s="1782"/>
      <c r="T79" s="238">
        <v>900</v>
      </c>
      <c r="V79" s="263"/>
      <c r="W79" s="263"/>
      <c r="X79" s="263"/>
      <c r="Y79" s="263"/>
      <c r="Z79" s="263"/>
      <c r="AA79" s="263"/>
    </row>
    <row r="80" spans="2:27" ht="16.05" customHeight="1">
      <c r="B80" s="1783" t="s">
        <v>4066</v>
      </c>
      <c r="C80" s="1782"/>
      <c r="D80" s="1782"/>
      <c r="E80" s="238">
        <v>20</v>
      </c>
      <c r="G80" s="1781" t="s">
        <v>4067</v>
      </c>
      <c r="H80" s="1782"/>
      <c r="I80" s="1782"/>
      <c r="J80" s="1782"/>
      <c r="K80" s="266">
        <v>60</v>
      </c>
      <c r="M80" s="1783" t="s">
        <v>4068</v>
      </c>
      <c r="N80" s="1782"/>
      <c r="O80" s="1782"/>
      <c r="P80" s="238" t="s">
        <v>3902</v>
      </c>
      <c r="Q80" s="241"/>
      <c r="R80" s="1781" t="s">
        <v>4069</v>
      </c>
      <c r="S80" s="1782"/>
      <c r="T80" s="239">
        <v>200</v>
      </c>
      <c r="U80" s="241"/>
      <c r="V80" s="263"/>
      <c r="W80" s="263"/>
      <c r="X80" s="263"/>
      <c r="Y80" s="263"/>
      <c r="Z80" s="263"/>
      <c r="AA80" s="263"/>
    </row>
    <row r="81" spans="2:27" ht="16.05" customHeight="1">
      <c r="B81" s="1781" t="s">
        <v>3981</v>
      </c>
      <c r="C81" s="1782"/>
      <c r="D81" s="1782"/>
      <c r="E81" s="239">
        <v>60</v>
      </c>
      <c r="G81" s="1783" t="s">
        <v>4070</v>
      </c>
      <c r="H81" s="1782"/>
      <c r="I81" s="1782"/>
      <c r="J81" s="1782"/>
      <c r="K81" s="265">
        <v>160</v>
      </c>
      <c r="L81" s="241"/>
      <c r="M81" s="1781" t="s">
        <v>4071</v>
      </c>
      <c r="N81" s="1782"/>
      <c r="O81" s="1782"/>
      <c r="P81" s="239" t="s">
        <v>4072</v>
      </c>
      <c r="Q81" s="241"/>
      <c r="R81" s="1783" t="s">
        <v>4073</v>
      </c>
      <c r="S81" s="1782"/>
      <c r="T81" s="238" t="s">
        <v>4000</v>
      </c>
      <c r="V81" s="263"/>
      <c r="W81" s="263"/>
      <c r="X81" s="263"/>
      <c r="Y81" s="263"/>
      <c r="Z81" s="263"/>
      <c r="AA81" s="263"/>
    </row>
    <row r="82" spans="2:27" ht="16.05" customHeight="1">
      <c r="B82" s="1801" t="s">
        <v>3989</v>
      </c>
      <c r="C82" s="1019"/>
      <c r="D82" s="1019"/>
      <c r="E82" s="249" t="s">
        <v>4026</v>
      </c>
      <c r="G82" s="1799" t="s">
        <v>4074</v>
      </c>
      <c r="H82" s="1019"/>
      <c r="I82" s="1019"/>
      <c r="J82" s="1019"/>
      <c r="K82" s="267">
        <v>70</v>
      </c>
      <c r="M82" s="1783" t="s">
        <v>4075</v>
      </c>
      <c r="N82" s="1782"/>
      <c r="O82" s="1782"/>
      <c r="P82" s="238">
        <v>10</v>
      </c>
      <c r="Q82" s="241"/>
      <c r="R82" s="1781" t="s">
        <v>4076</v>
      </c>
      <c r="S82" s="1782"/>
      <c r="T82" s="239" t="s">
        <v>3665</v>
      </c>
      <c r="V82" s="263"/>
      <c r="W82" s="263"/>
      <c r="X82" s="263"/>
      <c r="Y82" s="263"/>
      <c r="Z82" s="263"/>
      <c r="AA82" s="263"/>
    </row>
    <row r="83" spans="2:27" ht="16.05" customHeight="1">
      <c r="B83" s="263"/>
      <c r="C83" s="263"/>
      <c r="D83" s="263"/>
      <c r="E83" s="241"/>
      <c r="M83" s="1781" t="s">
        <v>4077</v>
      </c>
      <c r="N83" s="1782"/>
      <c r="O83" s="1782"/>
      <c r="P83" s="239" t="s">
        <v>3753</v>
      </c>
      <c r="Q83" s="241"/>
      <c r="R83" s="1801" t="s">
        <v>4078</v>
      </c>
      <c r="S83" s="1019"/>
      <c r="T83" s="249" t="s">
        <v>4026</v>
      </c>
      <c r="V83"/>
      <c r="W83"/>
      <c r="X83"/>
    </row>
    <row r="84" spans="2:27" ht="16.05" customHeight="1">
      <c r="B84" s="241"/>
      <c r="C84" s="241"/>
      <c r="D84" s="241"/>
      <c r="E84" s="241"/>
      <c r="I84" s="241"/>
      <c r="M84" s="1783" t="s">
        <v>4079</v>
      </c>
      <c r="N84" s="1782"/>
      <c r="O84" s="1782"/>
      <c r="P84" s="238">
        <v>55</v>
      </c>
      <c r="Q84" s="241"/>
    </row>
    <row r="85" spans="2:27" ht="16.05" customHeight="1">
      <c r="B85" s="241"/>
      <c r="C85" s="241"/>
      <c r="D85" s="241"/>
      <c r="E85" s="241"/>
      <c r="I85" s="241"/>
      <c r="M85" s="1799" t="s">
        <v>4080</v>
      </c>
      <c r="N85" s="1019"/>
      <c r="O85" s="1019"/>
      <c r="P85" s="242">
        <v>65</v>
      </c>
      <c r="Q85" s="241"/>
    </row>
    <row r="86" spans="2:27" ht="16.05" customHeight="1">
      <c r="B86" s="241"/>
      <c r="C86" s="241"/>
      <c r="D86" s="241"/>
      <c r="E86" s="241"/>
      <c r="I86" s="241"/>
      <c r="Q86" s="241"/>
    </row>
    <row r="87" spans="2:27" ht="16.05" customHeight="1">
      <c r="B87" s="1649" t="s">
        <v>4081</v>
      </c>
      <c r="C87" s="1088"/>
      <c r="D87" s="1088"/>
      <c r="E87" s="1088"/>
      <c r="F87" s="1088"/>
      <c r="G87" s="1088"/>
      <c r="H87" s="1088"/>
      <c r="I87" s="1088"/>
      <c r="J87" s="1088"/>
      <c r="K87" s="1088"/>
      <c r="L87" s="1088"/>
      <c r="M87" s="1088"/>
      <c r="N87" s="1088"/>
      <c r="O87" s="1088"/>
      <c r="P87" s="1088"/>
      <c r="Q87" s="1088"/>
      <c r="R87" s="1088"/>
      <c r="S87" s="1088"/>
      <c r="T87" s="1088"/>
      <c r="U87" s="1088"/>
      <c r="V87" s="1088"/>
      <c r="W87" s="1088"/>
      <c r="X87" s="1088"/>
      <c r="Y87" s="1088"/>
      <c r="Z87" s="1088"/>
      <c r="AA87" s="1089"/>
    </row>
    <row r="88" spans="2:27" ht="16.05" customHeight="1">
      <c r="B88" s="1034"/>
      <c r="C88" s="1782"/>
      <c r="D88" s="1782"/>
      <c r="E88" s="1782"/>
      <c r="F88" s="1782"/>
      <c r="G88" s="1782"/>
      <c r="H88" s="1782"/>
      <c r="I88" s="1782"/>
      <c r="J88" s="1782"/>
      <c r="K88" s="1782"/>
      <c r="L88" s="1782"/>
      <c r="M88" s="1782"/>
      <c r="N88" s="1782"/>
      <c r="O88" s="1782"/>
      <c r="P88" s="1782"/>
      <c r="Q88" s="1782"/>
      <c r="R88" s="1782"/>
      <c r="S88" s="1782"/>
      <c r="T88" s="1782"/>
      <c r="U88" s="1782"/>
      <c r="V88" s="1782"/>
      <c r="W88" s="1782"/>
      <c r="X88" s="1782"/>
      <c r="Y88" s="1782"/>
      <c r="Z88" s="1782"/>
      <c r="AA88" s="1015"/>
    </row>
    <row r="89" spans="2:27" ht="16.05" customHeight="1">
      <c r="B89" s="1090"/>
      <c r="C89" s="1019"/>
      <c r="D89" s="1019"/>
      <c r="E89" s="1019"/>
      <c r="F89" s="1019"/>
      <c r="G89" s="1019"/>
      <c r="H89" s="1019"/>
      <c r="I89" s="1019"/>
      <c r="J89" s="1019"/>
      <c r="K89" s="1019"/>
      <c r="L89" s="1019"/>
      <c r="M89" s="1019"/>
      <c r="N89" s="1019"/>
      <c r="O89" s="1019"/>
      <c r="P89" s="1019"/>
      <c r="Q89" s="1019"/>
      <c r="R89" s="1019"/>
      <c r="S89" s="1019"/>
      <c r="T89" s="1019"/>
      <c r="U89" s="1019"/>
      <c r="V89" s="1019"/>
      <c r="W89" s="1019"/>
      <c r="X89" s="1019"/>
      <c r="Y89" s="1019"/>
      <c r="Z89" s="1019"/>
      <c r="AA89" s="1091"/>
    </row>
    <row r="90" spans="2:27" ht="16.05" customHeight="1">
      <c r="B90" s="1831" t="s">
        <v>4082</v>
      </c>
      <c r="C90" s="1782"/>
      <c r="D90" s="1782"/>
      <c r="E90" s="1782"/>
      <c r="F90" s="1782"/>
      <c r="G90" s="1782"/>
      <c r="H90" s="1782"/>
      <c r="I90" s="1782"/>
      <c r="J90" s="1782"/>
      <c r="K90" s="1782"/>
      <c r="L90" s="1782"/>
      <c r="M90" s="1782"/>
      <c r="N90" s="1782"/>
      <c r="O90" s="1782"/>
      <c r="P90" s="1782"/>
      <c r="Q90" s="1782"/>
      <c r="R90" s="1782"/>
      <c r="S90" s="1782"/>
      <c r="T90" s="1782"/>
      <c r="U90" s="1782"/>
      <c r="V90" s="1782"/>
      <c r="W90" s="1782"/>
      <c r="X90" s="1782"/>
      <c r="Y90" s="1782"/>
      <c r="Z90" s="1782"/>
      <c r="AA90" s="1782"/>
    </row>
    <row r="91" spans="2:27" ht="16.05" customHeight="1">
      <c r="B91" s="1798" t="s">
        <v>3894</v>
      </c>
      <c r="C91" s="1088"/>
      <c r="D91" s="1088"/>
      <c r="E91" s="1089"/>
      <c r="G91" s="1798" t="s">
        <v>3896</v>
      </c>
      <c r="H91" s="1088"/>
      <c r="I91" s="1088"/>
      <c r="J91" s="1088"/>
      <c r="K91" s="1089"/>
      <c r="L91"/>
      <c r="M91" s="1798" t="s">
        <v>4083</v>
      </c>
      <c r="N91" s="1088"/>
      <c r="O91" s="1088"/>
      <c r="P91" s="1088"/>
      <c r="Q91" s="1089"/>
      <c r="R91" s="270"/>
      <c r="S91" s="1798" t="s">
        <v>4084</v>
      </c>
      <c r="T91" s="1088"/>
      <c r="U91" s="1088"/>
      <c r="V91" s="1089"/>
      <c r="W91" s="271"/>
      <c r="X91" s="1798" t="s">
        <v>4085</v>
      </c>
      <c r="Y91" s="1088"/>
      <c r="Z91" s="1088"/>
      <c r="AA91" s="1089"/>
    </row>
    <row r="92" spans="2:27" ht="16.05" customHeight="1">
      <c r="B92" s="1785" t="s">
        <v>1482</v>
      </c>
      <c r="C92" s="1782"/>
      <c r="D92" s="240" t="s">
        <v>3899</v>
      </c>
      <c r="E92" s="237" t="s">
        <v>4086</v>
      </c>
      <c r="G92" s="1785" t="s">
        <v>1482</v>
      </c>
      <c r="H92" s="1782"/>
      <c r="I92" s="1782"/>
      <c r="J92" s="240" t="s">
        <v>3899</v>
      </c>
      <c r="K92" s="237" t="s">
        <v>4086</v>
      </c>
      <c r="L92"/>
      <c r="M92" s="1785" t="s">
        <v>1482</v>
      </c>
      <c r="N92" s="1782"/>
      <c r="O92" s="1782"/>
      <c r="P92" s="240" t="s">
        <v>3899</v>
      </c>
      <c r="Q92" s="272" t="s">
        <v>4086</v>
      </c>
      <c r="R92" s="263"/>
      <c r="S92" s="1785" t="s">
        <v>1482</v>
      </c>
      <c r="T92" s="1782"/>
      <c r="U92" s="240" t="s">
        <v>3899</v>
      </c>
      <c r="V92" s="272" t="s">
        <v>4086</v>
      </c>
      <c r="X92" s="1785" t="s">
        <v>1482</v>
      </c>
      <c r="Y92" s="1782"/>
      <c r="Z92" s="240" t="s">
        <v>3900</v>
      </c>
      <c r="AA92" s="272" t="s">
        <v>3899</v>
      </c>
    </row>
    <row r="93" spans="2:27" ht="16.05" customHeight="1">
      <c r="B93" s="1783" t="s">
        <v>4087</v>
      </c>
      <c r="C93" s="1782"/>
      <c r="D93" s="243">
        <v>17.95</v>
      </c>
      <c r="E93" s="238" t="n">
        <f>D93*20</f>
        <v>359</v>
      </c>
      <c r="G93" s="1783" t="s">
        <v>4088</v>
      </c>
      <c r="H93" s="1782"/>
      <c r="I93" s="1782"/>
      <c r="J93" s="243">
        <v>8.98</v>
      </c>
      <c r="K93" s="238" t="n">
        <f>J93*20</f>
        <v>179.6</v>
      </c>
      <c r="L93"/>
      <c r="M93" s="1783" t="s">
        <v>4089</v>
      </c>
      <c r="N93" s="1782"/>
      <c r="O93" s="1782"/>
      <c r="P93" s="243">
        <v>1.79</v>
      </c>
      <c r="Q93" s="238" t="n">
        <f>P93*20</f>
        <v>35.8</v>
      </c>
      <c r="R93" s="263"/>
      <c r="S93" s="1788" t="s">
        <v>4090</v>
      </c>
      <c r="T93" s="1782"/>
      <c r="U93" s="243">
        <v>2.5</v>
      </c>
      <c r="V93" s="238" t="n">
        <f>U93*20</f>
        <v>50</v>
      </c>
      <c r="X93" s="1822" t="s">
        <v>3907</v>
      </c>
      <c r="Y93" s="1782"/>
      <c r="Z93" s="243">
        <v>100</v>
      </c>
      <c r="AA93" s="238">
        <v>0.54</v>
      </c>
    </row>
    <row r="94" spans="2:27" ht="16.05" customHeight="1">
      <c r="B94" s="1781" t="s">
        <v>4091</v>
      </c>
      <c r="C94" s="1782"/>
      <c r="D94" s="261">
        <v>18.5</v>
      </c>
      <c r="E94" s="239" t="n">
        <f>D94*20</f>
        <v>370</v>
      </c>
      <c r="G94" s="1781" t="s">
        <v>4092</v>
      </c>
      <c r="H94" s="1782"/>
      <c r="I94" s="1782"/>
      <c r="J94" s="261">
        <v>6.1</v>
      </c>
      <c r="K94" s="239" t="n">
        <f>J94*20</f>
        <v>122</v>
      </c>
      <c r="L94"/>
      <c r="M94" s="1781" t="s">
        <v>4093</v>
      </c>
      <c r="N94" s="1782"/>
      <c r="O94" s="1782"/>
      <c r="P94" s="261">
        <v>2.98</v>
      </c>
      <c r="Q94" s="239" t="n">
        <f>P94*20</f>
        <v>59.6</v>
      </c>
      <c r="R94" s="263"/>
      <c r="S94" s="1781" t="s">
        <v>4094</v>
      </c>
      <c r="T94" s="1782"/>
      <c r="U94" s="261">
        <v>0.45</v>
      </c>
      <c r="V94" s="239" t="n">
        <f>U94*20</f>
        <v>9</v>
      </c>
      <c r="X94" s="1813" t="s">
        <v>4095</v>
      </c>
      <c r="Y94" s="1782"/>
      <c r="Z94" s="261">
        <v>100</v>
      </c>
      <c r="AA94" s="239">
        <v>0.53</v>
      </c>
    </row>
    <row r="95" spans="2:27" ht="16.05" customHeight="1">
      <c r="B95" s="1783" t="s">
        <v>4096</v>
      </c>
      <c r="C95" s="1782"/>
      <c r="D95" s="243">
        <v>13.85</v>
      </c>
      <c r="E95" s="238" t="n">
        <f>D95*20</f>
        <v>277</v>
      </c>
      <c r="G95" s="1783" t="s">
        <v>4097</v>
      </c>
      <c r="H95" s="1782"/>
      <c r="I95" s="1782"/>
      <c r="J95" s="243">
        <v>0.89</v>
      </c>
      <c r="K95" s="238" t="n">
        <f>J95*20</f>
        <v>17.8</v>
      </c>
      <c r="L95"/>
      <c r="M95" s="1783" t="s">
        <v>4098</v>
      </c>
      <c r="N95" s="1782"/>
      <c r="O95" s="1782"/>
      <c r="P95" s="243">
        <v>2.98</v>
      </c>
      <c r="Q95" s="238" t="n">
        <f>P95*20</f>
        <v>59.6</v>
      </c>
      <c r="R95" s="263"/>
      <c r="S95" s="1783" t="s">
        <v>4099</v>
      </c>
      <c r="T95" s="1782"/>
      <c r="U95" s="243">
        <v>0.65</v>
      </c>
      <c r="V95" s="238" t="n">
        <f>U95*20</f>
        <v>13</v>
      </c>
      <c r="X95" s="1805" t="s">
        <v>4100</v>
      </c>
      <c r="Y95" s="1782"/>
      <c r="Z95" s="243">
        <v>100</v>
      </c>
      <c r="AA95" s="238">
        <v>1.34</v>
      </c>
    </row>
    <row r="96" spans="2:27" ht="16.05" customHeight="1">
      <c r="B96" s="1781" t="s">
        <v>4101</v>
      </c>
      <c r="C96" s="1782"/>
      <c r="D96" s="261">
        <v>9.9499999999999993</v>
      </c>
      <c r="E96" s="239" t="n">
        <f>D96*20</f>
        <v>199</v>
      </c>
      <c r="G96" s="1781" t="s">
        <v>4102</v>
      </c>
      <c r="H96" s="1782"/>
      <c r="I96" s="1782"/>
      <c r="J96" s="261">
        <v>6.79</v>
      </c>
      <c r="K96" s="239" t="n">
        <f>J96*20</f>
        <v>135.8</v>
      </c>
      <c r="L96"/>
      <c r="M96" s="1781" t="s">
        <v>4103</v>
      </c>
      <c r="N96" s="1782"/>
      <c r="O96" s="1782"/>
      <c r="P96" s="261">
        <v>0.98</v>
      </c>
      <c r="Q96" s="239" t="n">
        <f>P96*20</f>
        <v>19.6</v>
      </c>
      <c r="R96"/>
      <c r="S96" s="1781" t="s">
        <v>4104</v>
      </c>
      <c r="T96" s="1782"/>
      <c r="U96" s="261">
        <v>1.25</v>
      </c>
      <c r="V96" s="239" t="n">
        <f>U96*20</f>
        <v>25</v>
      </c>
      <c r="X96" s="1839" t="s">
        <v>4105</v>
      </c>
      <c r="Y96" s="1782"/>
      <c r="Z96" s="261">
        <v>100</v>
      </c>
      <c r="AA96" s="239">
        <v>7.63</v>
      </c>
    </row>
    <row r="97" spans="2:27" ht="16.05" customHeight="1">
      <c r="B97" s="1783" t="s">
        <v>4106</v>
      </c>
      <c r="C97" s="1782"/>
      <c r="D97" s="243">
        <v>0.69</v>
      </c>
      <c r="E97" s="238" t="n">
        <f>D97*20</f>
        <v>13.8</v>
      </c>
      <c r="G97" s="1811" t="s">
        <v>4107</v>
      </c>
      <c r="H97" s="1782"/>
      <c r="I97" s="1782"/>
      <c r="J97" s="243">
        <v>5.0599999999999996</v>
      </c>
      <c r="K97" s="238" t="n">
        <f>J97*20</f>
        <v>101.2</v>
      </c>
      <c r="L97"/>
      <c r="M97" s="1783" t="s">
        <v>4108</v>
      </c>
      <c r="N97" s="1782"/>
      <c r="O97" s="1782"/>
      <c r="P97" s="243">
        <v>2.59</v>
      </c>
      <c r="Q97" s="238" t="n">
        <f>P97*20</f>
        <v>51.8</v>
      </c>
      <c r="R97" s="270"/>
      <c r="S97" s="1783" t="s">
        <v>4109</v>
      </c>
      <c r="T97" s="1782"/>
      <c r="U97" s="243">
        <v>2.5</v>
      </c>
      <c r="V97" s="238" t="n">
        <f>U97*20</f>
        <v>50</v>
      </c>
      <c r="X97" s="1805" t="s">
        <v>4110</v>
      </c>
      <c r="Y97" s="1782"/>
      <c r="Z97" s="243">
        <v>100</v>
      </c>
      <c r="AA97" s="238">
        <v>5.95</v>
      </c>
    </row>
    <row r="98" spans="2:27" ht="16.05" customHeight="1">
      <c r="B98" s="1781" t="s">
        <v>4111</v>
      </c>
      <c r="C98" s="1782"/>
      <c r="D98" s="261" t="s">
        <v>4112</v>
      </c>
      <c r="E98" s="239" t="s">
        <v>4113</v>
      </c>
      <c r="G98" s="1781" t="s">
        <v>4114</v>
      </c>
      <c r="H98" s="1782"/>
      <c r="I98" s="1782"/>
      <c r="J98" s="261">
        <v>3.65</v>
      </c>
      <c r="K98" s="239" t="n">
        <f>J98*20</f>
        <v>73</v>
      </c>
      <c r="L98"/>
      <c r="M98" s="1781" t="s">
        <v>4115</v>
      </c>
      <c r="N98" s="1782"/>
      <c r="O98" s="1782"/>
      <c r="P98" s="261">
        <v>4.95</v>
      </c>
      <c r="Q98" s="239" t="n">
        <f>P98*20</f>
        <v>99</v>
      </c>
      <c r="R98" s="263"/>
      <c r="S98" s="1799" t="s">
        <v>4116</v>
      </c>
      <c r="T98" s="1019"/>
      <c r="U98" s="254">
        <v>0.45</v>
      </c>
      <c r="V98" s="242" t="n">
        <f>U98*20</f>
        <v>9</v>
      </c>
      <c r="X98" s="1813" t="s">
        <v>4117</v>
      </c>
      <c r="Y98" s="1782"/>
      <c r="Z98" s="261">
        <v>100</v>
      </c>
      <c r="AA98" s="239">
        <v>2.97</v>
      </c>
    </row>
    <row r="99" spans="2:27" ht="16.05" customHeight="1">
      <c r="B99" s="1783" t="s">
        <v>4118</v>
      </c>
      <c r="C99" s="1782"/>
      <c r="D99" s="243">
        <v>37.5</v>
      </c>
      <c r="E99" s="238" t="n">
        <f>D99*20</f>
        <v>750</v>
      </c>
      <c r="G99" s="1783" t="s">
        <v>4119</v>
      </c>
      <c r="H99" s="1782"/>
      <c r="I99" s="1782"/>
      <c r="J99" s="243">
        <v>2.59</v>
      </c>
      <c r="K99" s="238" t="n">
        <f>J99*20</f>
        <v>51.8</v>
      </c>
      <c r="L99"/>
      <c r="M99" s="1783" t="s">
        <v>4120</v>
      </c>
      <c r="N99" s="1782"/>
      <c r="O99" s="1782"/>
      <c r="P99" s="243">
        <v>0.4</v>
      </c>
      <c r="Q99" s="238" t="n">
        <f>P99*20</f>
        <v>8</v>
      </c>
      <c r="R99" s="263"/>
      <c r="X99" s="1806" t="s">
        <v>4121</v>
      </c>
      <c r="Y99" s="1782"/>
      <c r="Z99" s="243">
        <v>100</v>
      </c>
      <c r="AA99" s="238">
        <v>1.75</v>
      </c>
    </row>
    <row r="100" spans="2:27" ht="16.05" customHeight="1">
      <c r="B100" s="1804" t="s">
        <v>4122</v>
      </c>
      <c r="C100" s="1782"/>
      <c r="D100" s="264">
        <v>19.95</v>
      </c>
      <c r="E100" s="239" t="n">
        <f>D100*20</f>
        <v>399</v>
      </c>
      <c r="G100" s="1781" t="s">
        <v>4123</v>
      </c>
      <c r="H100" s="1782"/>
      <c r="I100" s="1782"/>
      <c r="J100" s="261">
        <v>0.25</v>
      </c>
      <c r="K100" s="239" t="n">
        <f>J100*20</f>
        <v>5</v>
      </c>
      <c r="L100"/>
      <c r="M100" s="1798" t="s">
        <v>4124</v>
      </c>
      <c r="N100" s="1088"/>
      <c r="O100" s="1088"/>
      <c r="P100" s="1088"/>
      <c r="Q100" s="1089"/>
      <c r="R100" s="263"/>
      <c r="S100" s="1798" t="s">
        <v>4125</v>
      </c>
      <c r="T100" s="1088"/>
      <c r="U100" s="1088"/>
      <c r="V100" s="1089"/>
      <c r="W100" s="271"/>
      <c r="X100" s="1813" t="s">
        <v>4126</v>
      </c>
      <c r="Y100" s="1782"/>
      <c r="Z100" s="261">
        <v>100</v>
      </c>
      <c r="AA100" s="239">
        <v>6.6</v>
      </c>
    </row>
    <row r="101" spans="2:27" ht="16.05" customHeight="1">
      <c r="B101" s="1783" t="s">
        <v>4127</v>
      </c>
      <c r="C101" s="1782"/>
      <c r="D101" s="243">
        <v>6.95</v>
      </c>
      <c r="E101" s="238" t="n">
        <f>D101*20</f>
        <v>139</v>
      </c>
      <c r="G101" s="1783" t="s">
        <v>4128</v>
      </c>
      <c r="H101" s="1782"/>
      <c r="I101" s="1782"/>
      <c r="J101" s="243">
        <v>5.95</v>
      </c>
      <c r="K101" s="238" t="n">
        <f>J101*20</f>
        <v>119</v>
      </c>
      <c r="L101"/>
      <c r="M101" s="1783" t="s">
        <v>4129</v>
      </c>
      <c r="N101" s="1782"/>
      <c r="O101" s="1782"/>
      <c r="P101" s="243">
        <v>1.69</v>
      </c>
      <c r="Q101" s="238" t="n">
        <f>P101*20</f>
        <v>33.8</v>
      </c>
      <c r="R101" s="263"/>
      <c r="S101" s="1785" t="s">
        <v>4130</v>
      </c>
      <c r="T101" s="1782"/>
      <c r="U101" s="240" t="s">
        <v>3899</v>
      </c>
      <c r="V101" s="272" t="s">
        <v>4086</v>
      </c>
      <c r="X101" s="1822" t="s">
        <v>4131</v>
      </c>
      <c r="Y101" s="1782"/>
      <c r="Z101" s="243">
        <v>100</v>
      </c>
      <c r="AA101" s="238">
        <v>4.49</v>
      </c>
    </row>
    <row r="102" spans="2:27" ht="16.05" customHeight="1">
      <c r="B102" s="1781" t="s">
        <v>4132</v>
      </c>
      <c r="C102" s="1782"/>
      <c r="D102" s="261">
        <v>4.95</v>
      </c>
      <c r="E102" s="239" t="n">
        <f>D102*20</f>
        <v>99</v>
      </c>
      <c r="G102" s="1781" t="s">
        <v>4133</v>
      </c>
      <c r="H102" s="1782"/>
      <c r="I102" s="1782"/>
      <c r="J102" s="261">
        <v>6.59</v>
      </c>
      <c r="K102" s="239" t="n">
        <f>J102*20</f>
        <v>131.8</v>
      </c>
      <c r="L102"/>
      <c r="M102" s="1781" t="s">
        <v>4134</v>
      </c>
      <c r="N102" s="1782"/>
      <c r="O102" s="1782"/>
      <c r="P102" s="261">
        <v>3.98</v>
      </c>
      <c r="Q102" s="239" t="n">
        <f>P102*20</f>
        <v>79.6</v>
      </c>
      <c r="R102" s="263"/>
      <c r="S102" s="1783" t="s">
        <v>4135</v>
      </c>
      <c r="T102" s="1782"/>
      <c r="U102" s="243">
        <v>0.25</v>
      </c>
      <c r="V102" s="238" t="n">
        <f>U102*20</f>
        <v>5</v>
      </c>
      <c r="X102" s="1813" t="s">
        <v>4136</v>
      </c>
      <c r="Y102" s="1782"/>
      <c r="Z102" s="261">
        <v>100</v>
      </c>
      <c r="AA102" s="239">
        <v>4.43</v>
      </c>
    </row>
    <row r="103" spans="2:27" ht="16.05" customHeight="1">
      <c r="B103" s="1783" t="s">
        <v>4137</v>
      </c>
      <c r="C103" s="1782"/>
      <c r="D103" s="243">
        <v>8</v>
      </c>
      <c r="E103" s="238" t="n">
        <f>D103*20</f>
        <v>160</v>
      </c>
      <c r="G103" s="1783" t="s">
        <v>4138</v>
      </c>
      <c r="H103" s="1782"/>
      <c r="I103" s="1782"/>
      <c r="J103" s="243">
        <v>1.39</v>
      </c>
      <c r="K103" s="238" t="n">
        <f>J103*20</f>
        <v>27.8</v>
      </c>
      <c r="L103"/>
      <c r="M103" s="1783" t="s">
        <v>4139</v>
      </c>
      <c r="N103" s="1782"/>
      <c r="O103" s="1782"/>
      <c r="P103" s="243">
        <v>0.8</v>
      </c>
      <c r="Q103" s="238" t="n">
        <f>P103*20</f>
        <v>16</v>
      </c>
      <c r="R103" s="263"/>
      <c r="S103" s="1781" t="s">
        <v>4140</v>
      </c>
      <c r="T103" s="1782"/>
      <c r="U103" s="261">
        <v>0.1</v>
      </c>
      <c r="V103" s="239" t="n">
        <f>U103*20</f>
        <v>2</v>
      </c>
      <c r="X103" s="1806" t="s">
        <v>3967</v>
      </c>
      <c r="Y103" s="1782"/>
      <c r="Z103" s="243">
        <v>25</v>
      </c>
      <c r="AA103" s="238">
        <v>1</v>
      </c>
    </row>
    <row r="104" spans="2:27" ht="16.05" customHeight="1">
      <c r="B104" s="1781" t="s">
        <v>4141</v>
      </c>
      <c r="C104" s="1782"/>
      <c r="D104" s="261">
        <v>4.95</v>
      </c>
      <c r="E104" s="239" t="n">
        <f>D104*20</f>
        <v>99</v>
      </c>
      <c r="G104" s="1781" t="s">
        <v>4142</v>
      </c>
      <c r="H104" s="1782"/>
      <c r="I104" s="1782"/>
      <c r="J104" s="261">
        <v>1.68</v>
      </c>
      <c r="K104" s="239" t="n">
        <f>J104*20</f>
        <v>33.6</v>
      </c>
      <c r="L104"/>
      <c r="M104" s="1781" t="s">
        <v>4143</v>
      </c>
      <c r="N104" s="1782"/>
      <c r="O104" s="1782"/>
      <c r="P104" s="261">
        <v>1.04</v>
      </c>
      <c r="Q104" s="239" t="n">
        <f>P104*20</f>
        <v>20.8</v>
      </c>
      <c r="R104" s="263"/>
      <c r="S104" s="1829" t="s">
        <v>4144</v>
      </c>
      <c r="T104" s="1782"/>
      <c r="U104" s="243">
        <v>0.19</v>
      </c>
      <c r="V104" s="238" t="n">
        <f>U104*20</f>
        <v>3.8</v>
      </c>
      <c r="X104" s="1802" t="s">
        <v>3967</v>
      </c>
      <c r="Y104" s="1782"/>
      <c r="Z104" s="261">
        <v>100</v>
      </c>
      <c r="AA104" s="239">
        <v>3.91</v>
      </c>
    </row>
    <row r="105" spans="2:27" ht="16.05" customHeight="1">
      <c r="B105" s="1783" t="s">
        <v>4145</v>
      </c>
      <c r="C105" s="1782"/>
      <c r="D105" s="243" t="s">
        <v>4146</v>
      </c>
      <c r="E105" s="238" t="s">
        <v>4147</v>
      </c>
      <c r="G105" s="1783" t="s">
        <v>4148</v>
      </c>
      <c r="H105" s="1782"/>
      <c r="I105" s="1782"/>
      <c r="J105" s="268" t="s">
        <v>4149</v>
      </c>
      <c r="K105" s="238" t="s">
        <v>4150</v>
      </c>
      <c r="L105"/>
      <c r="M105" s="1801" t="s">
        <v>4151</v>
      </c>
      <c r="N105" s="1019"/>
      <c r="O105" s="1019"/>
      <c r="P105" s="262">
        <v>2.06</v>
      </c>
      <c r="Q105" s="249" t="n">
        <f>P105*20</f>
        <v>41.2</v>
      </c>
      <c r="R105"/>
      <c r="S105" s="1789" t="s">
        <v>4152</v>
      </c>
      <c r="T105" s="1782"/>
      <c r="U105" s="261">
        <v>0.43</v>
      </c>
      <c r="V105" s="239" t="n">
        <f>U105*20</f>
        <v>8.6</v>
      </c>
      <c r="X105" s="1806" t="s">
        <v>3970</v>
      </c>
      <c r="Y105" s="1782"/>
      <c r="Z105" s="243">
        <v>100</v>
      </c>
      <c r="AA105" s="238">
        <v>3.63</v>
      </c>
    </row>
    <row r="106" spans="2:27" ht="16.05" customHeight="1">
      <c r="B106" s="1781" t="s">
        <v>4153</v>
      </c>
      <c r="C106" s="1782"/>
      <c r="D106" s="261">
        <v>19.5</v>
      </c>
      <c r="E106" s="239" t="n">
        <f>D106*20</f>
        <v>390</v>
      </c>
      <c r="G106" s="1781" t="s">
        <v>4154</v>
      </c>
      <c r="H106" s="1782"/>
      <c r="I106" s="1782"/>
      <c r="J106" s="261">
        <v>0.6</v>
      </c>
      <c r="K106" s="239" t="n">
        <f>J106*20</f>
        <v>12</v>
      </c>
      <c r="L106"/>
      <c r="R106" s="270"/>
      <c r="S106" s="1783" t="s">
        <v>4155</v>
      </c>
      <c r="T106" s="1782"/>
      <c r="U106" s="243">
        <v>0.25</v>
      </c>
      <c r="V106" s="238" t="n">
        <f>U106*20</f>
        <v>5</v>
      </c>
      <c r="X106" s="1800" t="s">
        <v>3975</v>
      </c>
      <c r="Y106" s="1782"/>
      <c r="Z106" s="261">
        <v>25</v>
      </c>
      <c r="AA106" s="239">
        <v>0.86</v>
      </c>
    </row>
    <row r="107" spans="2:27" ht="16.05" customHeight="1">
      <c r="B107" s="1783" t="s">
        <v>4156</v>
      </c>
      <c r="C107" s="1782"/>
      <c r="D107" s="243">
        <v>7.69</v>
      </c>
      <c r="E107" s="238" t="n">
        <f>D107*20</f>
        <v>153.8</v>
      </c>
      <c r="G107" s="1783" t="s">
        <v>4157</v>
      </c>
      <c r="H107" s="1782"/>
      <c r="I107" s="1782"/>
      <c r="J107" s="243">
        <v>1</v>
      </c>
      <c r="K107" s="238" t="n">
        <f>J107*20</f>
        <v>20</v>
      </c>
      <c r="L107"/>
      <c r="M107" s="1798" t="s">
        <v>4054</v>
      </c>
      <c r="N107" s="1088"/>
      <c r="O107" s="1088"/>
      <c r="P107" s="1088"/>
      <c r="Q107" s="1089"/>
      <c r="R107" s="263"/>
      <c r="S107" s="1781" t="s">
        <v>4158</v>
      </c>
      <c r="T107" s="1782"/>
      <c r="U107" s="261">
        <v>0.13</v>
      </c>
      <c r="V107" s="239" t="n">
        <f>U107*20</f>
        <v>2.6</v>
      </c>
      <c r="X107" s="1806" t="s">
        <v>3975</v>
      </c>
      <c r="Y107" s="1782"/>
      <c r="Z107" s="243">
        <v>100</v>
      </c>
      <c r="AA107" s="238">
        <v>3.34</v>
      </c>
    </row>
    <row r="108" spans="2:27" ht="16.05" customHeight="1">
      <c r="B108" s="1781" t="s">
        <v>4159</v>
      </c>
      <c r="C108" s="1782"/>
      <c r="D108" s="261">
        <v>4.95</v>
      </c>
      <c r="E108" s="239" t="n">
        <f>D108*20</f>
        <v>99</v>
      </c>
      <c r="G108" s="1781" t="s">
        <v>4160</v>
      </c>
      <c r="H108" s="1782"/>
      <c r="I108" s="1782"/>
      <c r="J108" s="261">
        <v>0.27</v>
      </c>
      <c r="K108" s="239" t="n">
        <f>J108*20</f>
        <v>5.4</v>
      </c>
      <c r="L108"/>
      <c r="M108" s="1785" t="s">
        <v>1482</v>
      </c>
      <c r="N108" s="1782"/>
      <c r="O108" s="1782"/>
      <c r="P108" s="240" t="s">
        <v>3899</v>
      </c>
      <c r="Q108" s="272" t="s">
        <v>4086</v>
      </c>
      <c r="R108" s="263"/>
      <c r="S108" s="1783" t="s">
        <v>4161</v>
      </c>
      <c r="T108" s="1782"/>
      <c r="U108" s="243">
        <v>0.4</v>
      </c>
      <c r="V108" s="238" t="n">
        <f>U108*20</f>
        <v>8</v>
      </c>
      <c r="X108" s="1800" t="s">
        <v>3980</v>
      </c>
      <c r="Y108" s="1782"/>
      <c r="Z108" s="261">
        <v>25</v>
      </c>
      <c r="AA108" s="239">
        <v>0.85</v>
      </c>
    </row>
    <row r="109" spans="2:27" ht="16.05" customHeight="1">
      <c r="B109" s="1783" t="s">
        <v>4162</v>
      </c>
      <c r="C109" s="1782"/>
      <c r="D109" s="243">
        <v>0.79</v>
      </c>
      <c r="E109" s="238" t="n">
        <f>D109*20</f>
        <v>15.8</v>
      </c>
      <c r="G109" s="1783" t="s">
        <v>4163</v>
      </c>
      <c r="H109" s="1782"/>
      <c r="I109" s="1782"/>
      <c r="J109" s="243">
        <v>3.45</v>
      </c>
      <c r="K109" s="238" t="n">
        <f>J109*20</f>
        <v>69</v>
      </c>
      <c r="L109"/>
      <c r="M109" s="1781" t="s">
        <v>4164</v>
      </c>
      <c r="N109" s="1782"/>
      <c r="O109" s="1782"/>
      <c r="P109" s="261">
        <v>0.1</v>
      </c>
      <c r="Q109" s="239" t="n">
        <f>P109*20</f>
        <v>2</v>
      </c>
      <c r="R109" s="273"/>
      <c r="S109" s="1789" t="s">
        <v>4165</v>
      </c>
      <c r="T109" s="1782"/>
      <c r="U109" s="261">
        <v>0.17</v>
      </c>
      <c r="V109" s="239" t="n">
        <f>U109*20</f>
        <v>3.4</v>
      </c>
      <c r="X109" s="1834" t="s">
        <v>3980</v>
      </c>
      <c r="Y109" s="1019"/>
      <c r="Z109" s="262">
        <v>100</v>
      </c>
      <c r="AA109" s="249">
        <v>3.3</v>
      </c>
    </row>
    <row r="110" spans="2:27" ht="16.05" customHeight="1">
      <c r="B110" s="1781" t="s">
        <v>4166</v>
      </c>
      <c r="C110" s="1782"/>
      <c r="D110" s="261">
        <v>1.95</v>
      </c>
      <c r="E110" s="239" t="n">
        <f>D110*20</f>
        <v>39</v>
      </c>
      <c r="G110" s="1789" t="s">
        <v>4167</v>
      </c>
      <c r="H110" s="1782"/>
      <c r="I110" s="1782"/>
      <c r="J110" s="269" t="s">
        <v>4168</v>
      </c>
      <c r="K110" s="239" t="s">
        <v>4169</v>
      </c>
      <c r="L110"/>
      <c r="M110" s="1783" t="s">
        <v>4170</v>
      </c>
      <c r="N110" s="1782"/>
      <c r="O110" s="1782"/>
      <c r="P110" s="243">
        <v>0.9</v>
      </c>
      <c r="Q110" s="238" t="n">
        <f>P110*20</f>
        <v>18</v>
      </c>
      <c r="R110" s="263"/>
      <c r="S110" s="1783" t="s">
        <v>4171</v>
      </c>
      <c r="T110" s="1782"/>
      <c r="U110" s="243">
        <v>0.5</v>
      </c>
      <c r="V110" s="238" t="n">
        <f>U110*20</f>
        <v>10</v>
      </c>
    </row>
    <row r="111" spans="2:27" ht="16.05" customHeight="1">
      <c r="B111" s="1811" t="s">
        <v>4172</v>
      </c>
      <c r="C111" s="1782"/>
      <c r="D111" s="243">
        <v>3.65</v>
      </c>
      <c r="E111" s="238" t="n">
        <f>D111*20</f>
        <v>73</v>
      </c>
      <c r="G111" s="1783" t="s">
        <v>4173</v>
      </c>
      <c r="H111" s="1782"/>
      <c r="I111" s="1782"/>
      <c r="J111" s="243">
        <v>28.5</v>
      </c>
      <c r="K111" s="238" t="n">
        <f>J111*20</f>
        <v>570</v>
      </c>
      <c r="L111"/>
      <c r="M111" s="1781" t="s">
        <v>4174</v>
      </c>
      <c r="N111" s="1782"/>
      <c r="O111" s="1782"/>
      <c r="P111" s="261">
        <v>0.25</v>
      </c>
      <c r="Q111" s="239" t="n">
        <f>P111*20</f>
        <v>5</v>
      </c>
      <c r="R111" s="263"/>
      <c r="S111" s="1781" t="s">
        <v>4175</v>
      </c>
      <c r="T111" s="1782"/>
      <c r="U111" s="261">
        <v>0.12</v>
      </c>
      <c r="V111" s="239" t="n">
        <f>U111*20</f>
        <v>2.4</v>
      </c>
      <c r="X111" s="1798" t="s">
        <v>3988</v>
      </c>
      <c r="Y111" s="1088"/>
      <c r="Z111" s="1088"/>
      <c r="AA111" s="1089"/>
    </row>
    <row r="112" spans="2:27" ht="16.05" customHeight="1">
      <c r="B112" s="1781" t="s">
        <v>4176</v>
      </c>
      <c r="C112" s="1782"/>
      <c r="D112" s="261">
        <v>0.98</v>
      </c>
      <c r="E112" s="239" t="n">
        <f>D112*20</f>
        <v>19.6</v>
      </c>
      <c r="G112" s="1781" t="s">
        <v>4177</v>
      </c>
      <c r="H112" s="1782"/>
      <c r="I112" s="1782"/>
      <c r="J112" s="261">
        <v>3.25</v>
      </c>
      <c r="K112" s="239" t="n">
        <f>J112*20</f>
        <v>65</v>
      </c>
      <c r="L112"/>
      <c r="M112" s="1783" t="s">
        <v>4178</v>
      </c>
      <c r="N112" s="1782"/>
      <c r="O112" s="1782"/>
      <c r="P112" s="243">
        <v>0.25</v>
      </c>
      <c r="Q112" s="238" t="n">
        <f>P112*20</f>
        <v>5</v>
      </c>
      <c r="R112"/>
      <c r="S112" s="1783" t="s">
        <v>4179</v>
      </c>
      <c r="T112" s="1782"/>
      <c r="U112" s="243">
        <v>7.0000000000000007E-2</v>
      </c>
      <c r="V112" s="238" t="n">
        <f>U112*20</f>
        <v>1.4</v>
      </c>
      <c r="X112" s="1785" t="s">
        <v>1482</v>
      </c>
      <c r="Y112" s="1782"/>
      <c r="Z112" s="240" t="s">
        <v>3899</v>
      </c>
      <c r="AA112" s="272" t="s">
        <v>4086</v>
      </c>
    </row>
    <row r="113" spans="2:27" ht="16.05" customHeight="1">
      <c r="B113" s="1783" t="s">
        <v>4180</v>
      </c>
      <c r="C113" s="1782"/>
      <c r="D113" s="243">
        <v>16.95</v>
      </c>
      <c r="E113" s="238" t="n">
        <f>D113*20</f>
        <v>339</v>
      </c>
      <c r="G113" s="1783" t="s">
        <v>4181</v>
      </c>
      <c r="H113" s="1782"/>
      <c r="I113" s="1782"/>
      <c r="J113" s="243">
        <v>2.85</v>
      </c>
      <c r="K113" s="238" t="n">
        <f>J113*20</f>
        <v>57</v>
      </c>
      <c r="L113"/>
      <c r="M113" s="1781" t="s">
        <v>4182</v>
      </c>
      <c r="N113" s="1782"/>
      <c r="O113" s="1782"/>
      <c r="P113" s="261">
        <v>10.45</v>
      </c>
      <c r="Q113" s="239" t="n">
        <f>P113*20</f>
        <v>209</v>
      </c>
      <c r="R113" s="270"/>
      <c r="S113" s="1781" t="s">
        <v>4183</v>
      </c>
      <c r="T113" s="1782"/>
      <c r="U113" s="261">
        <v>0.1</v>
      </c>
      <c r="V113" s="239" t="n">
        <f>U113*20</f>
        <v>2</v>
      </c>
      <c r="X113" s="1844" t="s">
        <v>4184</v>
      </c>
      <c r="Y113" s="1782"/>
      <c r="Z113" s="261">
        <v>9.1999999999999993</v>
      </c>
      <c r="AA113" s="239" t="n">
        <f>Z113*20</f>
        <v>184</v>
      </c>
    </row>
    <row r="114" spans="2:27" ht="16.05" customHeight="1">
      <c r="B114" s="1781" t="s">
        <v>4185</v>
      </c>
      <c r="C114" s="1782"/>
      <c r="D114" s="261">
        <v>0.96</v>
      </c>
      <c r="E114" s="239" t="n">
        <f>D114*20</f>
        <v>19.2</v>
      </c>
      <c r="G114" s="1789" t="s">
        <v>4186</v>
      </c>
      <c r="H114" s="1782"/>
      <c r="I114" s="1782"/>
      <c r="J114" s="261">
        <v>9.35</v>
      </c>
      <c r="K114" s="239" t="n">
        <f>J114*20</f>
        <v>187</v>
      </c>
      <c r="L114"/>
      <c r="M114" s="1783" t="s">
        <v>4187</v>
      </c>
      <c r="N114" s="1782"/>
      <c r="O114" s="1782"/>
      <c r="P114" s="243">
        <v>3.59</v>
      </c>
      <c r="Q114" s="238" t="n">
        <f>P114*20</f>
        <v>71.8</v>
      </c>
      <c r="R114" s="263"/>
      <c r="S114" s="1783" t="s">
        <v>4188</v>
      </c>
      <c r="T114" s="1782"/>
      <c r="U114" s="243">
        <v>0.15</v>
      </c>
      <c r="V114" s="238" t="n">
        <f>U114*20</f>
        <v>3</v>
      </c>
      <c r="X114" s="1826" t="s">
        <v>4189</v>
      </c>
      <c r="Y114" s="1782"/>
      <c r="Z114" s="243">
        <v>21.35</v>
      </c>
      <c r="AA114" s="238" t="n">
        <f>Z114*20</f>
        <v>427</v>
      </c>
    </row>
    <row r="115" spans="2:27" ht="16.05" customHeight="1">
      <c r="B115" s="1783" t="s">
        <v>3968</v>
      </c>
      <c r="C115" s="1782"/>
      <c r="D115" s="243">
        <v>0.5</v>
      </c>
      <c r="E115" s="238" t="n">
        <f>D115*20</f>
        <v>10</v>
      </c>
      <c r="G115" s="1783" t="s">
        <v>4190</v>
      </c>
      <c r="H115" s="1782"/>
      <c r="I115" s="1782"/>
      <c r="J115" s="243">
        <v>0.27</v>
      </c>
      <c r="K115" s="238" t="n">
        <f>J115*20</f>
        <v>5.4</v>
      </c>
      <c r="L115"/>
      <c r="M115" s="1781" t="s">
        <v>4191</v>
      </c>
      <c r="N115" s="1782"/>
      <c r="O115" s="1782"/>
      <c r="P115" s="261">
        <v>1.39</v>
      </c>
      <c r="Q115" s="239" t="n">
        <f>P115*20</f>
        <v>27.8</v>
      </c>
      <c r="R115" s="274"/>
      <c r="S115" s="1781" t="s">
        <v>4192</v>
      </c>
      <c r="T115" s="1782"/>
      <c r="U115" s="261">
        <v>0.1</v>
      </c>
      <c r="V115" s="239" t="n">
        <f>U115*20</f>
        <v>2</v>
      </c>
      <c r="X115" s="1810" t="s">
        <v>4193</v>
      </c>
      <c r="Y115" s="1019"/>
      <c r="Z115" s="254">
        <v>1.9</v>
      </c>
      <c r="AA115" s="242" t="n">
        <f>Z115*20</f>
        <v>38</v>
      </c>
    </row>
    <row r="116" spans="2:27" ht="16.05" customHeight="1">
      <c r="B116" s="1781" t="s">
        <v>4194</v>
      </c>
      <c r="C116" s="1782"/>
      <c r="D116" s="261">
        <v>0.55000000000000004</v>
      </c>
      <c r="E116" s="239" t="n">
        <f>D116*20</f>
        <v>11</v>
      </c>
      <c r="G116" s="1781" t="s">
        <v>4195</v>
      </c>
      <c r="H116" s="1782"/>
      <c r="I116" s="1782"/>
      <c r="J116" s="261">
        <v>1.7</v>
      </c>
      <c r="K116" s="239" t="n">
        <f>J116*20</f>
        <v>34</v>
      </c>
      <c r="L116"/>
      <c r="M116" s="1783" t="s">
        <v>4196</v>
      </c>
      <c r="N116" s="1782"/>
      <c r="O116" s="1782"/>
      <c r="P116" s="243">
        <v>12.5</v>
      </c>
      <c r="Q116" s="238" t="n">
        <f>P116*20</f>
        <v>250</v>
      </c>
      <c r="R116" s="263"/>
      <c r="S116" s="1783" t="s">
        <v>4197</v>
      </c>
      <c r="T116" s="1782"/>
      <c r="U116" s="243">
        <v>0.1</v>
      </c>
      <c r="V116" s="238" t="n">
        <f>U116*20</f>
        <v>2</v>
      </c>
    </row>
    <row r="117" spans="2:27" ht="16.05" customHeight="1">
      <c r="B117" s="1783" t="s">
        <v>4198</v>
      </c>
      <c r="C117" s="1782"/>
      <c r="D117" s="243">
        <v>0.39</v>
      </c>
      <c r="E117" s="238" t="n">
        <f>D117*20</f>
        <v>7.8</v>
      </c>
      <c r="G117" s="1783" t="s">
        <v>4199</v>
      </c>
      <c r="H117" s="1782"/>
      <c r="I117" s="1782"/>
      <c r="J117" s="243">
        <v>3.45</v>
      </c>
      <c r="K117" s="238" t="n">
        <f>J117*20</f>
        <v>69</v>
      </c>
      <c r="L117"/>
      <c r="M117" s="1781" t="s">
        <v>4200</v>
      </c>
      <c r="N117" s="1782"/>
      <c r="O117" s="1782"/>
      <c r="P117" s="261">
        <v>1.39</v>
      </c>
      <c r="Q117" s="239" t="n">
        <f>P117*20</f>
        <v>27.8</v>
      </c>
      <c r="R117" s="263"/>
      <c r="S117" s="1781" t="s">
        <v>4201</v>
      </c>
      <c r="T117" s="1782"/>
      <c r="U117" s="261">
        <v>0.13</v>
      </c>
      <c r="V117" s="239" t="n">
        <f>U117*20</f>
        <v>2.6</v>
      </c>
      <c r="X117" s="1798" t="s">
        <v>4202</v>
      </c>
      <c r="Y117" s="1088"/>
      <c r="Z117" s="1088"/>
      <c r="AA117" s="1089"/>
    </row>
    <row r="118" spans="2:27" ht="16.05" customHeight="1">
      <c r="B118" s="1781" t="s">
        <v>4203</v>
      </c>
      <c r="C118" s="1782"/>
      <c r="D118" s="261">
        <v>1.48</v>
      </c>
      <c r="E118" s="239" t="n">
        <f>D118*20</f>
        <v>29.6</v>
      </c>
      <c r="G118" s="1781" t="s">
        <v>4204</v>
      </c>
      <c r="H118" s="1782"/>
      <c r="I118" s="1782"/>
      <c r="J118" s="261">
        <v>0.62</v>
      </c>
      <c r="K118" s="239" t="n">
        <f>J118*20</f>
        <v>12.4</v>
      </c>
      <c r="L118"/>
      <c r="M118" s="1783" t="s">
        <v>4205</v>
      </c>
      <c r="N118" s="1782"/>
      <c r="O118" s="1782"/>
      <c r="P118" s="243">
        <v>0.69</v>
      </c>
      <c r="Q118" s="238" t="n">
        <f>P118*20</f>
        <v>13.8</v>
      </c>
      <c r="R118" s="263"/>
      <c r="S118" s="1783" t="s">
        <v>4206</v>
      </c>
      <c r="T118" s="1782"/>
      <c r="U118" s="243">
        <v>0.1</v>
      </c>
      <c r="V118" s="238" t="n">
        <f>U118*20</f>
        <v>2</v>
      </c>
      <c r="X118" s="1785" t="s">
        <v>1482</v>
      </c>
      <c r="Y118" s="1782"/>
      <c r="Z118" s="240" t="s">
        <v>3899</v>
      </c>
      <c r="AA118" s="272" t="s">
        <v>4086</v>
      </c>
    </row>
    <row r="119" spans="2:27" ht="16.05" customHeight="1">
      <c r="B119" s="1783" t="s">
        <v>4207</v>
      </c>
      <c r="C119" s="1782"/>
      <c r="D119" s="243">
        <v>0.4</v>
      </c>
      <c r="E119" s="238" t="n">
        <f>D119*20</f>
        <v>8</v>
      </c>
      <c r="G119" s="1783" t="s">
        <v>4208</v>
      </c>
      <c r="H119" s="1782"/>
      <c r="I119" s="1782"/>
      <c r="J119" s="243">
        <v>0.48</v>
      </c>
      <c r="K119" s="238" t="n">
        <f>J119*20</f>
        <v>9.6</v>
      </c>
      <c r="L119"/>
      <c r="M119" s="1781" t="s">
        <v>4209</v>
      </c>
      <c r="N119" s="1782"/>
      <c r="O119" s="1782"/>
      <c r="P119" s="261">
        <v>0.69</v>
      </c>
      <c r="Q119" s="239" t="n">
        <f>P119*20</f>
        <v>13.8</v>
      </c>
      <c r="R119" s="263"/>
      <c r="S119" s="1789" t="s">
        <v>4210</v>
      </c>
      <c r="T119" s="1782"/>
      <c r="U119" s="261">
        <v>2.25</v>
      </c>
      <c r="V119" s="239" t="n">
        <f>U119*20</f>
        <v>45</v>
      </c>
      <c r="X119" s="1806" t="s">
        <v>4211</v>
      </c>
      <c r="Y119" s="1782"/>
      <c r="Z119" s="243">
        <v>12.5</v>
      </c>
      <c r="AA119" s="238" t="n">
        <f>Z119*20</f>
        <v>250</v>
      </c>
    </row>
    <row r="120" spans="2:27" ht="16.05" customHeight="1">
      <c r="B120" s="1781" t="s">
        <v>4212</v>
      </c>
      <c r="C120" s="1782"/>
      <c r="D120" s="261">
        <v>1.35</v>
      </c>
      <c r="E120" s="239" t="n">
        <f>D120*20</f>
        <v>27</v>
      </c>
      <c r="G120" s="1791" t="s">
        <v>4213</v>
      </c>
      <c r="H120" s="1782"/>
      <c r="I120" s="1782"/>
      <c r="J120" s="1782"/>
      <c r="K120" s="1015"/>
      <c r="L120"/>
      <c r="M120" s="1783" t="s">
        <v>4214</v>
      </c>
      <c r="N120" s="1782"/>
      <c r="O120" s="1782"/>
      <c r="P120" s="243">
        <v>0.2</v>
      </c>
      <c r="Q120" s="238" t="n">
        <f>P120*20</f>
        <v>4</v>
      </c>
      <c r="R120" s="263"/>
      <c r="S120" s="1783" t="s">
        <v>4215</v>
      </c>
      <c r="T120" s="1782"/>
      <c r="U120" s="243">
        <v>0.25</v>
      </c>
      <c r="V120" s="238" t="n">
        <f>U120*20</f>
        <v>5</v>
      </c>
      <c r="X120" s="1800" t="s">
        <v>4216</v>
      </c>
      <c r="Y120" s="1782"/>
      <c r="Z120" s="261">
        <v>3.75</v>
      </c>
      <c r="AA120" s="239" t="n">
        <f>Z120*20</f>
        <v>75</v>
      </c>
    </row>
    <row r="121" spans="2:27" ht="16.05" customHeight="1">
      <c r="B121" s="1783" t="s">
        <v>4217</v>
      </c>
      <c r="C121" s="1782"/>
      <c r="D121" s="243">
        <v>0.79</v>
      </c>
      <c r="E121" s="238" t="n">
        <f>D121*20</f>
        <v>15.8</v>
      </c>
      <c r="G121" s="1781" t="s">
        <v>4218</v>
      </c>
      <c r="H121" s="1782"/>
      <c r="I121" s="1782"/>
      <c r="J121" s="261">
        <v>2.35</v>
      </c>
      <c r="K121" s="239" t="n">
        <f>J121*20</f>
        <v>47</v>
      </c>
      <c r="L121"/>
      <c r="M121" s="1781" t="s">
        <v>4219</v>
      </c>
      <c r="N121" s="1782"/>
      <c r="O121" s="1782"/>
      <c r="P121" s="261">
        <v>0.69</v>
      </c>
      <c r="Q121" s="239" t="n">
        <f>P121*20</f>
        <v>13.8</v>
      </c>
      <c r="R121" s="263"/>
      <c r="S121" s="1799" t="s">
        <v>4220</v>
      </c>
      <c r="T121" s="1019"/>
      <c r="U121" s="254">
        <v>0.45</v>
      </c>
      <c r="V121" s="242" t="n">
        <f>U121*20</f>
        <v>9</v>
      </c>
      <c r="X121" s="1806" t="s">
        <v>4221</v>
      </c>
      <c r="Y121" s="1782"/>
      <c r="Z121" s="243">
        <v>2.5</v>
      </c>
      <c r="AA121" s="238" t="n">
        <f>Z121*20</f>
        <v>50</v>
      </c>
    </row>
    <row r="122" spans="2:27" ht="16.05" customHeight="1">
      <c r="B122" s="1781" t="s">
        <v>4222</v>
      </c>
      <c r="C122" s="1782"/>
      <c r="D122" s="261">
        <v>7.25</v>
      </c>
      <c r="E122" s="239" t="n">
        <f>D122*20</f>
        <v>145</v>
      </c>
      <c r="G122" s="1783" t="s">
        <v>4223</v>
      </c>
      <c r="H122" s="1782"/>
      <c r="I122" s="1782"/>
      <c r="J122" s="243">
        <v>1.2</v>
      </c>
      <c r="K122" s="238" t="n">
        <f>J122*20</f>
        <v>24</v>
      </c>
      <c r="L122"/>
      <c r="M122" s="1783" t="s">
        <v>4224</v>
      </c>
      <c r="N122" s="1782"/>
      <c r="O122" s="1782"/>
      <c r="P122" s="243">
        <v>1.79</v>
      </c>
      <c r="Q122" s="238" t="n">
        <f>P122*20</f>
        <v>35.8</v>
      </c>
      <c r="R122" s="263"/>
      <c r="X122" s="1800" t="s">
        <v>4225</v>
      </c>
      <c r="Y122" s="1782"/>
      <c r="Z122" s="275" t="s">
        <v>4226</v>
      </c>
      <c r="AA122" s="276" t="s">
        <v>4227</v>
      </c>
    </row>
    <row r="123" spans="2:27" ht="16.05" customHeight="1">
      <c r="B123" s="1783" t="s">
        <v>4228</v>
      </c>
      <c r="C123" s="1782"/>
      <c r="D123" s="243">
        <v>5.25</v>
      </c>
      <c r="E123" s="238" t="n">
        <f>D123*20</f>
        <v>105</v>
      </c>
      <c r="G123" s="1781" t="s">
        <v>4229</v>
      </c>
      <c r="H123" s="1782"/>
      <c r="I123" s="1782"/>
      <c r="J123" s="261">
        <v>0.98</v>
      </c>
      <c r="K123" s="239" t="n">
        <f>J123*20</f>
        <v>19.6</v>
      </c>
      <c r="L123"/>
      <c r="M123" s="1781" t="s">
        <v>4230</v>
      </c>
      <c r="N123" s="1782"/>
      <c r="O123" s="1782"/>
      <c r="P123" s="261">
        <v>39.950000000000003</v>
      </c>
      <c r="Q123" s="239" t="n">
        <f>P123*20</f>
        <v>799</v>
      </c>
      <c r="R123" s="263"/>
      <c r="S123" s="1798" t="s">
        <v>4231</v>
      </c>
      <c r="T123" s="1088"/>
      <c r="U123" s="1088"/>
      <c r="V123" s="1089"/>
      <c r="W123" s="271"/>
      <c r="X123" s="1806" t="s">
        <v>4232</v>
      </c>
      <c r="Y123" s="1782"/>
      <c r="Z123" s="243">
        <v>1</v>
      </c>
      <c r="AA123" s="238" t="n">
        <f>Z123*20</f>
        <v>20</v>
      </c>
    </row>
    <row r="124" spans="2:27" ht="16.05" customHeight="1">
      <c r="B124" s="1781" t="s">
        <v>4233</v>
      </c>
      <c r="C124" s="1782"/>
      <c r="D124" s="261">
        <v>3.45</v>
      </c>
      <c r="E124" s="239" t="n">
        <f>D124*20</f>
        <v>69</v>
      </c>
      <c r="G124" s="1791" t="s">
        <v>4234</v>
      </c>
      <c r="H124" s="1782"/>
      <c r="I124" s="1782"/>
      <c r="J124" s="1782"/>
      <c r="K124" s="1015"/>
      <c r="L124"/>
      <c r="M124" s="1783" t="s">
        <v>4235</v>
      </c>
      <c r="N124" s="1782"/>
      <c r="O124" s="1782"/>
      <c r="P124" s="243">
        <v>1.59</v>
      </c>
      <c r="Q124" s="238" t="n">
        <f>P124*20</f>
        <v>31.8</v>
      </c>
      <c r="R124" s="263"/>
      <c r="S124" s="1785" t="s">
        <v>1482</v>
      </c>
      <c r="T124" s="1782"/>
      <c r="U124" s="240" t="s">
        <v>3899</v>
      </c>
      <c r="V124" s="272" t="s">
        <v>4086</v>
      </c>
      <c r="X124" s="1800" t="s">
        <v>4236</v>
      </c>
      <c r="Y124" s="1782"/>
      <c r="Z124" s="261">
        <v>1.98</v>
      </c>
      <c r="AA124" s="239" t="n">
        <f>Z124*20</f>
        <v>39.6</v>
      </c>
    </row>
    <row r="125" spans="2:27" ht="16.05" customHeight="1">
      <c r="B125" s="1801" t="s">
        <v>4237</v>
      </c>
      <c r="C125" s="1019"/>
      <c r="D125" s="262">
        <v>0.75</v>
      </c>
      <c r="E125" s="249" t="n">
        <f>D125*20</f>
        <v>15</v>
      </c>
      <c r="G125" s="1788" t="s">
        <v>4238</v>
      </c>
      <c r="H125" s="1782"/>
      <c r="I125" s="1782"/>
      <c r="J125" s="243">
        <v>2.48</v>
      </c>
      <c r="K125" s="238" t="n">
        <f>J125*20</f>
        <v>49.6</v>
      </c>
      <c r="L125"/>
      <c r="M125" s="1781" t="s">
        <v>4239</v>
      </c>
      <c r="N125" s="1782"/>
      <c r="O125" s="1782"/>
      <c r="P125" s="261">
        <v>0.28999999999999998</v>
      </c>
      <c r="Q125" s="239" t="n">
        <f>P125*20</f>
        <v>5.8</v>
      </c>
      <c r="R125" s="263"/>
      <c r="S125" s="1783" t="s">
        <v>4240</v>
      </c>
      <c r="T125" s="1782"/>
      <c r="U125" s="243">
        <v>2.5</v>
      </c>
      <c r="V125" s="238" t="n">
        <f>U125*20</f>
        <v>50</v>
      </c>
      <c r="X125" s="1806" t="s">
        <v>4241</v>
      </c>
      <c r="Y125" s="1782"/>
      <c r="Z125" s="243">
        <v>0.6</v>
      </c>
      <c r="AA125" s="238" t="n">
        <f>Z125*20</f>
        <v>12</v>
      </c>
    </row>
    <row r="126" spans="2:27" ht="16.05" customHeight="1">
      <c r="B126" s="263"/>
      <c r="C126" s="263"/>
      <c r="D126" s="263"/>
      <c r="E126" s="263"/>
      <c r="G126" s="1809" t="s">
        <v>4242</v>
      </c>
      <c r="H126" s="1782"/>
      <c r="I126" s="1782"/>
      <c r="J126" s="261">
        <v>5.98</v>
      </c>
      <c r="K126" s="239" t="n">
        <f>J126*20</f>
        <v>119.6</v>
      </c>
      <c r="L126"/>
      <c r="M126" s="1783" t="s">
        <v>4243</v>
      </c>
      <c r="N126" s="1782"/>
      <c r="O126" s="1782"/>
      <c r="P126" s="243">
        <v>1.98</v>
      </c>
      <c r="Q126" s="238" t="n">
        <f>P126*20</f>
        <v>39.6</v>
      </c>
      <c r="R126" s="263"/>
      <c r="S126" s="1781" t="s">
        <v>4244</v>
      </c>
      <c r="T126" s="1782"/>
      <c r="U126" s="261">
        <v>0.45</v>
      </c>
      <c r="V126" s="239" t="n">
        <f>U126*20</f>
        <v>9</v>
      </c>
      <c r="X126" s="1800" t="s">
        <v>4245</v>
      </c>
      <c r="Y126" s="1782"/>
      <c r="Z126" s="261">
        <v>1.95</v>
      </c>
      <c r="AA126" s="239" t="n">
        <f>Z126*20</f>
        <v>39</v>
      </c>
    </row>
    <row r="127" spans="2:27" ht="16.05" customHeight="1">
      <c r="B127" s="1798" t="s">
        <v>3996</v>
      </c>
      <c r="C127" s="1088"/>
      <c r="D127" s="1088"/>
      <c r="E127" s="1089"/>
      <c r="G127" s="1783" t="s">
        <v>4246</v>
      </c>
      <c r="H127" s="1782"/>
      <c r="I127" s="1782"/>
      <c r="J127" s="243">
        <v>11.43</v>
      </c>
      <c r="K127" s="238" t="n">
        <f>J127*20</f>
        <v>228.6</v>
      </c>
      <c r="L127"/>
      <c r="M127" s="1799" t="s">
        <v>4247</v>
      </c>
      <c r="N127" s="1019"/>
      <c r="O127" s="1019"/>
      <c r="P127" s="254">
        <v>0.98</v>
      </c>
      <c r="Q127" s="242" t="n">
        <f>P127*20</f>
        <v>19.6</v>
      </c>
      <c r="R127" s="263"/>
      <c r="S127" s="1783" t="s">
        <v>4248</v>
      </c>
      <c r="T127" s="1782"/>
      <c r="U127" s="243">
        <v>0.65</v>
      </c>
      <c r="V127" s="238" t="n">
        <f>U127*20</f>
        <v>13</v>
      </c>
      <c r="X127" s="1833" t="s">
        <v>4249</v>
      </c>
      <c r="Y127" s="1019"/>
      <c r="Z127" s="262">
        <v>1.75</v>
      </c>
      <c r="AA127" s="249" t="n">
        <f>Z127*20</f>
        <v>35</v>
      </c>
    </row>
    <row r="128" spans="2:27" ht="16.05" customHeight="1">
      <c r="B128" s="1785" t="s">
        <v>1482</v>
      </c>
      <c r="C128" s="1782"/>
      <c r="D128" s="240" t="s">
        <v>3899</v>
      </c>
      <c r="E128" s="237" t="s">
        <v>4086</v>
      </c>
      <c r="G128" s="1791" t="s">
        <v>4250</v>
      </c>
      <c r="H128" s="1782"/>
      <c r="I128" s="1782"/>
      <c r="J128" s="1782"/>
      <c r="K128" s="1015"/>
      <c r="L128"/>
      <c r="R128" s="263"/>
      <c r="S128" s="1799" t="s">
        <v>4251</v>
      </c>
      <c r="T128" s="1019"/>
      <c r="U128" s="254">
        <v>1.25</v>
      </c>
      <c r="V128" s="242" t="n">
        <f>U128*20</f>
        <v>25</v>
      </c>
    </row>
    <row r="129" spans="2:27" ht="16.05" customHeight="1">
      <c r="B129" s="1783" t="s">
        <v>4252</v>
      </c>
      <c r="C129" s="1782"/>
      <c r="D129" s="243" t="s">
        <v>4030</v>
      </c>
      <c r="E129" s="238" t="s">
        <v>4253</v>
      </c>
      <c r="G129" s="1781" t="s">
        <v>4254</v>
      </c>
      <c r="H129" s="1782"/>
      <c r="I129" s="1782"/>
      <c r="J129" s="261">
        <v>35.200000000000003</v>
      </c>
      <c r="K129" s="239" t="n">
        <f>J129*20</f>
        <v>704</v>
      </c>
      <c r="L129" s="263"/>
      <c r="M129" s="1798" t="s">
        <v>4255</v>
      </c>
      <c r="N129" s="1088"/>
      <c r="O129" s="1088"/>
      <c r="P129" s="1088"/>
      <c r="Q129" s="1089"/>
      <c r="R129" s="263"/>
      <c r="X129" s="1798" t="s">
        <v>4256</v>
      </c>
      <c r="Y129" s="1088"/>
      <c r="Z129" s="1088"/>
      <c r="AA129" s="1089"/>
    </row>
    <row r="130" spans="2:27" ht="16.05" customHeight="1">
      <c r="B130" s="1781" t="s">
        <v>4257</v>
      </c>
      <c r="C130" s="1782"/>
      <c r="D130" s="261">
        <v>13.95</v>
      </c>
      <c r="E130" s="239" t="n">
        <f>D130*20</f>
        <v>279</v>
      </c>
      <c r="G130" s="1783" t="s">
        <v>4258</v>
      </c>
      <c r="H130" s="1782"/>
      <c r="I130" s="1782"/>
      <c r="J130" s="243">
        <v>79.95</v>
      </c>
      <c r="K130" s="238" t="n">
        <f>J130*20</f>
        <v>1599</v>
      </c>
      <c r="L130"/>
      <c r="M130" s="1785" t="s">
        <v>1482</v>
      </c>
      <c r="N130" s="1782"/>
      <c r="O130" s="1782"/>
      <c r="P130" s="240" t="s">
        <v>3899</v>
      </c>
      <c r="Q130" s="281" t="s">
        <v>4086</v>
      </c>
      <c r="R130" s="263"/>
      <c r="S130" s="1798" t="s">
        <v>3974</v>
      </c>
      <c r="T130" s="1088"/>
      <c r="U130" s="1088"/>
      <c r="V130" s="1089"/>
      <c r="X130" s="1785" t="s">
        <v>1482</v>
      </c>
      <c r="Y130" s="1782"/>
      <c r="Z130" s="1782"/>
      <c r="AA130" s="237" t="s">
        <v>3899</v>
      </c>
    </row>
    <row r="131" spans="2:27" ht="16.05" customHeight="1">
      <c r="B131" s="1783" t="s">
        <v>4259</v>
      </c>
      <c r="C131" s="1782"/>
      <c r="D131" s="243">
        <v>10.95</v>
      </c>
      <c r="E131" s="238" t="n">
        <f>D131*20</f>
        <v>219</v>
      </c>
      <c r="G131" s="1799" t="s">
        <v>4260</v>
      </c>
      <c r="H131" s="1019"/>
      <c r="I131" s="1019"/>
      <c r="J131" s="254">
        <v>75</v>
      </c>
      <c r="K131" s="242" t="n">
        <f>J131*20</f>
        <v>1500</v>
      </c>
      <c r="L131"/>
      <c r="M131" s="1783" t="s">
        <v>4261</v>
      </c>
      <c r="N131" s="1782"/>
      <c r="O131" s="1782"/>
      <c r="P131" s="243">
        <v>4.9800000000000004</v>
      </c>
      <c r="Q131" s="238" t="n">
        <f>P131*20</f>
        <v>99.6</v>
      </c>
      <c r="R131" s="263"/>
      <c r="S131" s="1785" t="s">
        <v>1482</v>
      </c>
      <c r="T131" s="1782"/>
      <c r="U131" s="240" t="s">
        <v>3899</v>
      </c>
      <c r="V131" s="272" t="s">
        <v>4086</v>
      </c>
      <c r="X131" s="1806" t="s">
        <v>4262</v>
      </c>
      <c r="Y131" s="1782"/>
      <c r="Z131" s="1782"/>
      <c r="AA131" s="238" t="s">
        <v>4263</v>
      </c>
    </row>
    <row r="132" spans="2:27" ht="16.05" customHeight="1">
      <c r="B132" s="1781" t="s">
        <v>4264</v>
      </c>
      <c r="C132" s="1782"/>
      <c r="D132" s="261">
        <v>10.95</v>
      </c>
      <c r="E132" s="239" t="n">
        <f>D132*20</f>
        <v>219</v>
      </c>
      <c r="M132" s="1789" t="s">
        <v>4265</v>
      </c>
      <c r="N132" s="1782"/>
      <c r="O132" s="1782"/>
      <c r="P132" s="261">
        <v>9.98</v>
      </c>
      <c r="Q132" s="239" t="n">
        <f>P132*20</f>
        <v>199.6</v>
      </c>
      <c r="S132" s="1788" t="s">
        <v>4266</v>
      </c>
      <c r="T132" s="1782"/>
      <c r="U132" s="243">
        <v>14.9</v>
      </c>
      <c r="V132" s="238" t="n">
        <f>U132*20</f>
        <v>298</v>
      </c>
      <c r="X132" s="1800" t="s">
        <v>4267</v>
      </c>
      <c r="Y132" s="1782"/>
      <c r="Z132" s="1782"/>
      <c r="AA132" s="239" t="s">
        <v>4268</v>
      </c>
    </row>
    <row r="133" spans="2:27" ht="16.05" customHeight="1">
      <c r="B133" s="1783" t="s">
        <v>4269</v>
      </c>
      <c r="C133" s="1782"/>
      <c r="D133" s="243">
        <v>2.59</v>
      </c>
      <c r="E133" s="238" t="n">
        <f>D133*20</f>
        <v>51.8</v>
      </c>
      <c r="G133" s="1798" t="s">
        <v>4270</v>
      </c>
      <c r="H133" s="1088"/>
      <c r="I133" s="1088"/>
      <c r="J133" s="1088"/>
      <c r="K133" s="1089"/>
      <c r="M133" s="1788" t="s">
        <v>4271</v>
      </c>
      <c r="N133" s="1782"/>
      <c r="O133" s="1782"/>
      <c r="P133" s="243">
        <v>22.95</v>
      </c>
      <c r="Q133" s="238" t="n">
        <f>P133*20</f>
        <v>459</v>
      </c>
      <c r="S133" s="1809" t="s">
        <v>4272</v>
      </c>
      <c r="T133" s="1782"/>
      <c r="U133" s="261">
        <v>6.15</v>
      </c>
      <c r="V133" s="239" t="n">
        <f>U133*20</f>
        <v>123</v>
      </c>
      <c r="X133" s="1806" t="s">
        <v>4273</v>
      </c>
      <c r="Y133" s="1782"/>
      <c r="Z133" s="1782"/>
      <c r="AA133" s="238">
        <v>25</v>
      </c>
    </row>
    <row r="134" spans="2:27" ht="16.05" customHeight="1">
      <c r="B134" s="1781" t="s">
        <v>4274</v>
      </c>
      <c r="C134" s="1782"/>
      <c r="D134" s="261">
        <v>10.95</v>
      </c>
      <c r="E134" s="239" t="n">
        <f>D134*20</f>
        <v>219</v>
      </c>
      <c r="G134" s="1785" t="s">
        <v>4275</v>
      </c>
      <c r="H134" s="1782"/>
      <c r="I134" s="1782"/>
      <c r="J134" s="1782"/>
      <c r="K134" s="237" t="s">
        <v>3899</v>
      </c>
      <c r="M134" s="1781" t="s">
        <v>4276</v>
      </c>
      <c r="N134" s="1782"/>
      <c r="O134" s="1782"/>
      <c r="P134" s="261">
        <v>0.79</v>
      </c>
      <c r="Q134" s="239" t="n">
        <f>P134*20</f>
        <v>15.8</v>
      </c>
      <c r="S134" s="1783" t="s">
        <v>4277</v>
      </c>
      <c r="T134" s="1782"/>
      <c r="U134" s="243">
        <v>1.75</v>
      </c>
      <c r="V134" s="238" t="n">
        <f>U134*20</f>
        <v>35</v>
      </c>
      <c r="X134" s="1800" t="s">
        <v>4278</v>
      </c>
      <c r="Y134" s="1782"/>
      <c r="Z134" s="1782"/>
      <c r="AA134" s="283" t="s">
        <v>4279</v>
      </c>
    </row>
    <row r="135" spans="2:27" ht="16.05" customHeight="1">
      <c r="B135" s="1783" t="s">
        <v>4280</v>
      </c>
      <c r="C135" s="1782"/>
      <c r="D135" s="243">
        <v>7.95</v>
      </c>
      <c r="E135" s="238" t="n">
        <f>D135*20</f>
        <v>159</v>
      </c>
      <c r="G135" s="1825" t="s">
        <v>4281</v>
      </c>
      <c r="H135" s="1782"/>
      <c r="I135" s="1782"/>
      <c r="J135" s="1782"/>
      <c r="K135" s="238">
        <v>2</v>
      </c>
      <c r="M135" s="1783" t="s">
        <v>4282</v>
      </c>
      <c r="N135" s="1782"/>
      <c r="O135" s="1782"/>
      <c r="P135" s="243">
        <v>2.19</v>
      </c>
      <c r="Q135" s="238">
        <v>43.8</v>
      </c>
      <c r="S135" s="1781" t="s">
        <v>4283</v>
      </c>
      <c r="T135" s="1782"/>
      <c r="U135" s="261">
        <v>0.95</v>
      </c>
      <c r="V135" s="239" t="n">
        <f>U135*20</f>
        <v>19</v>
      </c>
      <c r="X135" s="1806" t="s">
        <v>4284</v>
      </c>
      <c r="Y135" s="1782"/>
      <c r="Z135" s="1782"/>
      <c r="AA135" s="238">
        <v>45</v>
      </c>
    </row>
    <row r="136" spans="2:27" ht="16.05" customHeight="1">
      <c r="B136" s="1781" t="s">
        <v>4285</v>
      </c>
      <c r="C136" s="1782"/>
      <c r="D136" s="261">
        <v>1.98</v>
      </c>
      <c r="E136" s="239" t="n">
        <f>D136*20</f>
        <v>39.6</v>
      </c>
      <c r="G136" s="1787" t="s">
        <v>4286</v>
      </c>
      <c r="H136" s="1782"/>
      <c r="I136" s="1782"/>
      <c r="J136" s="1782"/>
      <c r="K136" s="239">
        <v>18</v>
      </c>
      <c r="M136" s="1781" t="s">
        <v>4287</v>
      </c>
      <c r="N136" s="1782"/>
      <c r="O136" s="1782"/>
      <c r="P136" s="261">
        <v>0.89</v>
      </c>
      <c r="Q136" s="239">
        <v>17.8</v>
      </c>
      <c r="S136" s="1783" t="s">
        <v>4288</v>
      </c>
      <c r="T136" s="1782"/>
      <c r="U136" s="243">
        <v>8.6</v>
      </c>
      <c r="V136" s="238" t="n">
        <f>U136*20</f>
        <v>172</v>
      </c>
      <c r="X136" s="1800" t="s">
        <v>4289</v>
      </c>
      <c r="Y136" s="1782"/>
      <c r="Z136" s="1782"/>
      <c r="AA136" s="239" t="s">
        <v>4290</v>
      </c>
    </row>
    <row r="137" spans="2:27" ht="16.05" customHeight="1">
      <c r="B137" s="1783" t="s">
        <v>4291</v>
      </c>
      <c r="C137" s="1782"/>
      <c r="D137" s="243">
        <v>9.48</v>
      </c>
      <c r="E137" s="238" t="n">
        <f>D137*20</f>
        <v>189.6</v>
      </c>
      <c r="G137" s="1825" t="s">
        <v>4292</v>
      </c>
      <c r="H137" s="1782"/>
      <c r="I137" s="1782"/>
      <c r="J137" s="1782"/>
      <c r="K137" s="238">
        <v>300</v>
      </c>
      <c r="M137" s="1783" t="s">
        <v>4293</v>
      </c>
      <c r="N137" s="1782"/>
      <c r="O137" s="1782"/>
      <c r="P137" s="243">
        <v>0.25</v>
      </c>
      <c r="Q137" s="238">
        <v>5</v>
      </c>
      <c r="S137" s="1781" t="s">
        <v>4294</v>
      </c>
      <c r="T137" s="1782"/>
      <c r="U137" s="261">
        <v>0.1</v>
      </c>
      <c r="V137" s="239" t="n">
        <f>U137*20</f>
        <v>2</v>
      </c>
      <c r="X137" s="1848" t="s">
        <v>4295</v>
      </c>
      <c r="Y137" s="1782"/>
      <c r="Z137" s="1782"/>
      <c r="AA137" s="238">
        <v>2</v>
      </c>
    </row>
    <row r="138" spans="2:27" ht="16.05" customHeight="1">
      <c r="B138" s="1781" t="s">
        <v>4296</v>
      </c>
      <c r="C138" s="1782"/>
      <c r="D138" s="261">
        <v>0.88</v>
      </c>
      <c r="E138" s="239" t="n">
        <f>D138*20</f>
        <v>17.6</v>
      </c>
      <c r="G138" s="1787" t="s">
        <v>4297</v>
      </c>
      <c r="H138" s="1782"/>
      <c r="I138" s="1782"/>
      <c r="J138" s="1782"/>
      <c r="K138" s="239">
        <v>3000</v>
      </c>
      <c r="M138" s="1781" t="s">
        <v>4298</v>
      </c>
      <c r="N138" s="1782"/>
      <c r="O138" s="1782"/>
      <c r="P138" s="261">
        <v>0.79</v>
      </c>
      <c r="Q138" s="239">
        <v>15.8</v>
      </c>
      <c r="S138" s="1783" t="s">
        <v>4299</v>
      </c>
      <c r="T138" s="1782"/>
      <c r="U138" s="243">
        <v>7.74</v>
      </c>
      <c r="V138" s="238" t="n">
        <f>U138*20</f>
        <v>154.8</v>
      </c>
      <c r="X138" s="1846" t="s">
        <v>4300</v>
      </c>
      <c r="Y138" s="1782"/>
      <c r="Z138" s="1782"/>
      <c r="AA138" s="239">
        <v>2</v>
      </c>
    </row>
    <row r="139" spans="2:27" ht="16.05" customHeight="1">
      <c r="B139" s="1783" t="s">
        <v>4301</v>
      </c>
      <c r="C139" s="1782"/>
      <c r="D139" s="243">
        <v>4.45</v>
      </c>
      <c r="E139" s="238" t="n">
        <f>D139*20</f>
        <v>89</v>
      </c>
      <c r="G139" s="1785" t="s">
        <v>4302</v>
      </c>
      <c r="H139" s="1782"/>
      <c r="I139" s="1782"/>
      <c r="J139" s="1782"/>
      <c r="K139" s="237" t="s">
        <v>3899</v>
      </c>
      <c r="M139" s="1783" t="s">
        <v>4303</v>
      </c>
      <c r="N139" s="1782"/>
      <c r="O139" s="1782"/>
      <c r="P139" s="243">
        <v>0.5</v>
      </c>
      <c r="Q139" s="238">
        <v>10</v>
      </c>
      <c r="S139" s="1781" t="s">
        <v>4304</v>
      </c>
      <c r="T139" s="1782"/>
      <c r="U139" s="261">
        <v>2.25</v>
      </c>
      <c r="V139" s="239" t="n">
        <f>U139*20</f>
        <v>45</v>
      </c>
      <c r="X139" s="1846" t="s">
        <v>4305</v>
      </c>
      <c r="Y139" s="1782"/>
      <c r="Z139" s="1782"/>
      <c r="AA139" s="284" t="s">
        <v>4306</v>
      </c>
    </row>
    <row r="140" spans="2:27" ht="16.05" customHeight="1">
      <c r="B140" s="1781" t="s">
        <v>4307</v>
      </c>
      <c r="C140" s="1782"/>
      <c r="D140" s="261">
        <v>0.98</v>
      </c>
      <c r="E140" s="239" t="n">
        <f>D140*20</f>
        <v>19.6</v>
      </c>
      <c r="G140" s="1825" t="s">
        <v>3920</v>
      </c>
      <c r="H140" s="1782"/>
      <c r="I140" s="1782"/>
      <c r="J140" s="1782"/>
      <c r="K140" s="238">
        <v>2</v>
      </c>
      <c r="M140" s="1781" t="s">
        <v>4308</v>
      </c>
      <c r="N140" s="1782"/>
      <c r="O140" s="1782"/>
      <c r="P140" s="261">
        <v>1.39</v>
      </c>
      <c r="Q140" s="239">
        <v>27.8</v>
      </c>
      <c r="S140" s="1783" t="s">
        <v>4309</v>
      </c>
      <c r="T140" s="1782"/>
      <c r="U140" s="243">
        <v>1.65</v>
      </c>
      <c r="V140" s="238" t="n">
        <f>U140*20</f>
        <v>33</v>
      </c>
      <c r="X140" s="1815" t="s">
        <v>4310</v>
      </c>
      <c r="Y140" s="1782"/>
      <c r="Z140" s="1782"/>
      <c r="AA140" s="239">
        <v>10</v>
      </c>
    </row>
    <row r="141" spans="2:27" ht="16.05" customHeight="1">
      <c r="B141" s="1783" t="s">
        <v>4311</v>
      </c>
      <c r="C141" s="1782"/>
      <c r="D141" s="243">
        <v>4.4400000000000004</v>
      </c>
      <c r="E141" s="238" t="n">
        <f>D141*20</f>
        <v>88.8</v>
      </c>
      <c r="G141" s="1787" t="s">
        <v>3925</v>
      </c>
      <c r="H141" s="1782"/>
      <c r="I141" s="1782"/>
      <c r="J141" s="1782"/>
      <c r="K141" s="239">
        <v>3</v>
      </c>
      <c r="M141" s="1783" t="s">
        <v>4312</v>
      </c>
      <c r="N141" s="1782"/>
      <c r="O141" s="1782"/>
      <c r="P141" s="243">
        <v>0.19</v>
      </c>
      <c r="Q141" s="238">
        <v>3.8</v>
      </c>
      <c r="S141" s="1781" t="s">
        <v>4313</v>
      </c>
      <c r="T141" s="1782"/>
      <c r="U141" s="261">
        <v>4.45</v>
      </c>
      <c r="V141" s="239" t="n">
        <f>U141*20</f>
        <v>89</v>
      </c>
      <c r="X141" s="1814" t="s">
        <v>4314</v>
      </c>
      <c r="Y141" s="1782"/>
      <c r="Z141" s="1782"/>
      <c r="AA141" s="1015"/>
    </row>
    <row r="142" spans="2:27" ht="16.05" customHeight="1">
      <c r="B142" s="1781" t="s">
        <v>4315</v>
      </c>
      <c r="C142" s="1782"/>
      <c r="D142" s="261">
        <v>3.69</v>
      </c>
      <c r="E142" s="239" t="n">
        <f>D142*20</f>
        <v>73.8</v>
      </c>
      <c r="G142" s="1825" t="s">
        <v>3930</v>
      </c>
      <c r="H142" s="1782"/>
      <c r="I142" s="1782"/>
      <c r="J142" s="1782"/>
      <c r="K142" s="238">
        <v>6</v>
      </c>
      <c r="M142" s="1799" t="s">
        <v>4316</v>
      </c>
      <c r="N142" s="1019"/>
      <c r="O142" s="1019"/>
      <c r="P142" s="254">
        <v>0.39</v>
      </c>
      <c r="Q142" s="242">
        <v>7.8</v>
      </c>
      <c r="S142" s="1783" t="s">
        <v>4317</v>
      </c>
      <c r="T142" s="1782"/>
      <c r="U142" s="243">
        <v>1.98</v>
      </c>
      <c r="V142" s="238" t="n">
        <f>U142*20</f>
        <v>39.6</v>
      </c>
      <c r="X142" s="1034"/>
      <c r="Y142" s="1782"/>
      <c r="Z142" s="1782"/>
      <c r="AA142" s="1015"/>
    </row>
    <row r="143" spans="2:27" ht="16.05" customHeight="1">
      <c r="B143" s="1783" t="s">
        <v>4318</v>
      </c>
      <c r="C143" s="1782"/>
      <c r="D143" s="243">
        <v>2.59</v>
      </c>
      <c r="E143" s="238" t="n">
        <f>D143*20</f>
        <v>51.8</v>
      </c>
      <c r="G143" s="1821" t="s">
        <v>4319</v>
      </c>
      <c r="H143" s="1782"/>
      <c r="I143" s="1782"/>
      <c r="J143" s="1782"/>
      <c r="K143" s="237" t="s">
        <v>3899</v>
      </c>
      <c r="S143" s="1804" t="s">
        <v>4320</v>
      </c>
      <c r="T143" s="1782"/>
      <c r="U143" s="261">
        <v>3.33</v>
      </c>
      <c r="V143" s="239" t="n">
        <f>U143*20</f>
        <v>66.6</v>
      </c>
      <c r="X143" s="1034"/>
      <c r="Y143" s="1782"/>
      <c r="Z143" s="1782"/>
      <c r="AA143" s="1015"/>
    </row>
    <row r="144" spans="2:27" ht="16.05" customHeight="1">
      <c r="B144" s="1781" t="s">
        <v>4321</v>
      </c>
      <c r="C144" s="1782"/>
      <c r="D144" s="261">
        <v>1.59</v>
      </c>
      <c r="E144" s="239" t="n">
        <f>D144*20</f>
        <v>31.8</v>
      </c>
      <c r="G144" s="1825" t="s">
        <v>4322</v>
      </c>
      <c r="H144" s="1782"/>
      <c r="I144" s="1782"/>
      <c r="J144" s="1782"/>
      <c r="K144" s="238">
        <v>120</v>
      </c>
      <c r="M144" s="1798" t="s">
        <v>197</v>
      </c>
      <c r="N144" s="1088"/>
      <c r="O144" s="1088"/>
      <c r="P144" s="1088"/>
      <c r="Q144" s="1089"/>
      <c r="S144" s="1783" t="s">
        <v>4323</v>
      </c>
      <c r="T144" s="1782"/>
      <c r="U144" s="243">
        <v>2.52</v>
      </c>
      <c r="V144" s="238" t="n">
        <f>U144*20</f>
        <v>50.4</v>
      </c>
      <c r="X144" s="1034"/>
      <c r="Y144" s="1782"/>
      <c r="Z144" s="1782"/>
      <c r="AA144" s="1015"/>
    </row>
    <row r="145" spans="2:27" ht="16.05" customHeight="1">
      <c r="B145" s="1783" t="s">
        <v>4324</v>
      </c>
      <c r="C145" s="1782"/>
      <c r="D145" s="243">
        <v>2.25</v>
      </c>
      <c r="E145" s="238" t="n">
        <f>D145*20</f>
        <v>45</v>
      </c>
      <c r="G145" s="1787" t="s">
        <v>4325</v>
      </c>
      <c r="H145" s="1782"/>
      <c r="I145" s="1782"/>
      <c r="J145" s="1782"/>
      <c r="K145" s="239">
        <v>200</v>
      </c>
      <c r="M145" s="1785" t="s">
        <v>1482</v>
      </c>
      <c r="N145" s="1782"/>
      <c r="O145" s="1782"/>
      <c r="P145" s="240" t="s">
        <v>3899</v>
      </c>
      <c r="Q145" s="272" t="s">
        <v>4086</v>
      </c>
      <c r="S145" s="1809" t="s">
        <v>4326</v>
      </c>
      <c r="T145" s="1782"/>
      <c r="U145" s="261">
        <v>15.98</v>
      </c>
      <c r="V145" s="239" t="n">
        <f>U145*20</f>
        <v>319.6</v>
      </c>
      <c r="X145" s="1034"/>
      <c r="Y145" s="1782"/>
      <c r="Z145" s="1782"/>
      <c r="AA145" s="1015"/>
    </row>
    <row r="146" spans="2:27" ht="16.05" customHeight="1">
      <c r="B146" s="1781" t="s">
        <v>4327</v>
      </c>
      <c r="C146" s="1782"/>
      <c r="D146" s="261" t="s">
        <v>4328</v>
      </c>
      <c r="E146" s="276" t="s">
        <v>4329</v>
      </c>
      <c r="G146" s="1825" t="s">
        <v>4330</v>
      </c>
      <c r="H146" s="1782"/>
      <c r="I146" s="1782"/>
      <c r="J146" s="1782"/>
      <c r="K146" s="238">
        <v>35</v>
      </c>
      <c r="M146" s="1788" t="s">
        <v>4331</v>
      </c>
      <c r="N146" s="1782"/>
      <c r="O146" s="1782"/>
      <c r="P146" s="243">
        <v>95</v>
      </c>
      <c r="Q146" s="238" t="n">
        <f>P146*20</f>
        <v>1900</v>
      </c>
      <c r="S146" s="1783" t="s">
        <v>4332</v>
      </c>
      <c r="T146" s="1782"/>
      <c r="U146" s="243">
        <v>6.9</v>
      </c>
      <c r="V146" s="238" t="n">
        <f>U146*20</f>
        <v>138</v>
      </c>
      <c r="X146" s="1090"/>
      <c r="Y146" s="1019"/>
      <c r="Z146" s="1019"/>
      <c r="AA146" s="1091"/>
    </row>
    <row r="147" spans="2:27" ht="16.05" customHeight="1">
      <c r="B147" s="1783" t="s">
        <v>4333</v>
      </c>
      <c r="C147" s="1782"/>
      <c r="D147" s="243">
        <v>3.95</v>
      </c>
      <c r="E147" s="238" t="n">
        <f>D147*20</f>
        <v>79</v>
      </c>
      <c r="G147" s="1821" t="s">
        <v>4334</v>
      </c>
      <c r="H147" s="1782"/>
      <c r="I147" s="1782"/>
      <c r="J147" s="240" t="s">
        <v>3899</v>
      </c>
      <c r="K147" s="272" t="s">
        <v>4086</v>
      </c>
      <c r="M147" s="1789" t="s">
        <v>4335</v>
      </c>
      <c r="N147" s="1782"/>
      <c r="O147" s="1782"/>
      <c r="P147" s="261">
        <v>1020</v>
      </c>
      <c r="Q147" s="239" t="n">
        <f>P147*20</f>
        <v>20400</v>
      </c>
      <c r="S147" s="1781" t="s">
        <v>4336</v>
      </c>
      <c r="T147" s="1782"/>
      <c r="U147" s="261">
        <v>0.95</v>
      </c>
      <c r="V147" s="239" t="n">
        <f>U147*20</f>
        <v>19</v>
      </c>
      <c r="X147" s="241"/>
      <c r="Y147" s="241"/>
      <c r="Z147" s="241"/>
      <c r="AA147" s="241"/>
    </row>
    <row r="148" spans="2:27" ht="16.05" customHeight="1">
      <c r="B148" s="1789" t="s">
        <v>4337</v>
      </c>
      <c r="C148" s="1782"/>
      <c r="D148" s="261">
        <v>39.75</v>
      </c>
      <c r="E148" s="239" t="n">
        <f>D148*20</f>
        <v>795</v>
      </c>
      <c r="G148" s="1787" t="s">
        <v>4338</v>
      </c>
      <c r="H148" s="1782"/>
      <c r="I148" s="1782"/>
      <c r="J148" s="261" t="s">
        <v>4253</v>
      </c>
      <c r="K148" s="239" t="s">
        <v>4339</v>
      </c>
      <c r="M148" s="1788" t="s">
        <v>4340</v>
      </c>
      <c r="N148" s="1782"/>
      <c r="O148" s="1782"/>
      <c r="P148" s="243">
        <v>2240</v>
      </c>
      <c r="Q148" s="238" t="n">
        <f>P148*20</f>
        <v>44800</v>
      </c>
      <c r="S148" s="1801" t="s">
        <v>4341</v>
      </c>
      <c r="T148" s="1019"/>
      <c r="U148" s="262">
        <v>14.9</v>
      </c>
      <c r="V148" s="249" t="n">
        <f>U148*20</f>
        <v>298</v>
      </c>
      <c r="X148" s="241"/>
      <c r="Y148" s="241"/>
      <c r="Z148" s="241"/>
      <c r="AA148" s="241"/>
    </row>
    <row r="149" spans="2:27" ht="16.05" customHeight="1">
      <c r="B149" s="1783" t="s">
        <v>4342</v>
      </c>
      <c r="C149" s="1782"/>
      <c r="D149" s="243">
        <v>198</v>
      </c>
      <c r="E149" s="238" t="n">
        <f>D149*20</f>
        <v>3960</v>
      </c>
      <c r="G149" s="1825" t="s">
        <v>4343</v>
      </c>
      <c r="H149" s="1782"/>
      <c r="I149" s="1782"/>
      <c r="J149" s="243">
        <v>0.1</v>
      </c>
      <c r="K149" s="238" t="n">
        <f>J149*20</f>
        <v>2</v>
      </c>
      <c r="M149" s="1789" t="s">
        <v>4344</v>
      </c>
      <c r="N149" s="1782"/>
      <c r="O149" s="1782"/>
      <c r="P149" s="261">
        <v>695</v>
      </c>
      <c r="Q149" s="239" t="n">
        <f>P149*20</f>
        <v>13900</v>
      </c>
    </row>
    <row r="150" spans="2:27" ht="16.05" customHeight="1">
      <c r="B150" s="1781" t="s">
        <v>4345</v>
      </c>
      <c r="C150" s="1782"/>
      <c r="D150" s="261">
        <v>3.98</v>
      </c>
      <c r="E150" s="239" t="n">
        <f>D150*20</f>
        <v>79.6</v>
      </c>
      <c r="G150" s="1823" t="s">
        <v>4346</v>
      </c>
      <c r="H150" s="1019"/>
      <c r="I150" s="1019"/>
      <c r="J150" s="254">
        <v>0.05</v>
      </c>
      <c r="K150" s="242" t="n">
        <f>J150*20</f>
        <v>1</v>
      </c>
      <c r="M150" s="1788" t="s">
        <v>4347</v>
      </c>
      <c r="N150" s="1782"/>
      <c r="O150" s="1782"/>
      <c r="P150" s="243">
        <v>1045</v>
      </c>
      <c r="Q150" s="238" t="n">
        <f>P150*20</f>
        <v>20900</v>
      </c>
      <c r="S150" s="1798" t="s">
        <v>4348</v>
      </c>
      <c r="T150" s="1088"/>
      <c r="U150" s="1088"/>
      <c r="V150" s="1089"/>
    </row>
    <row r="151" spans="2:27" ht="16.05" customHeight="1">
      <c r="B151" s="1783" t="s">
        <v>4349</v>
      </c>
      <c r="C151" s="1782"/>
      <c r="D151" s="243">
        <v>8.98</v>
      </c>
      <c r="E151" s="238" t="n">
        <f>D151*20</f>
        <v>179.6</v>
      </c>
      <c r="M151" s="1789" t="s">
        <v>4350</v>
      </c>
      <c r="N151" s="1782"/>
      <c r="O151" s="1782"/>
      <c r="P151" s="261">
        <v>985</v>
      </c>
      <c r="Q151" s="239" t="n">
        <f>P151*20</f>
        <v>19700</v>
      </c>
      <c r="S151" s="1785" t="s">
        <v>1482</v>
      </c>
      <c r="T151" s="1782"/>
      <c r="U151" s="240" t="s">
        <v>3899</v>
      </c>
      <c r="V151" s="272" t="s">
        <v>4086</v>
      </c>
    </row>
    <row r="152" spans="2:27" ht="16.05" customHeight="1">
      <c r="B152" s="1781" t="s">
        <v>4351</v>
      </c>
      <c r="C152" s="1782"/>
      <c r="D152" s="261">
        <v>4.9800000000000004</v>
      </c>
      <c r="E152" s="239" t="n">
        <f>D152*20</f>
        <v>99.6</v>
      </c>
      <c r="G152" s="1798" t="s">
        <v>4352</v>
      </c>
      <c r="H152" s="1088"/>
      <c r="I152" s="1088"/>
      <c r="J152" s="1088"/>
      <c r="K152" s="1089"/>
      <c r="M152" s="1788" t="s">
        <v>4353</v>
      </c>
      <c r="N152" s="1782"/>
      <c r="O152" s="1782"/>
      <c r="P152" s="243">
        <v>20000</v>
      </c>
      <c r="Q152" s="238" t="n">
        <f>P152*20</f>
        <v>400000</v>
      </c>
      <c r="S152" s="1783" t="s">
        <v>4354</v>
      </c>
      <c r="T152" s="1782"/>
      <c r="U152" s="243">
        <v>3.35</v>
      </c>
      <c r="V152" s="238" t="n">
        <f>U152*20</f>
        <v>67</v>
      </c>
    </row>
    <row r="153" spans="2:27" ht="16.05" customHeight="1">
      <c r="B153" s="1801" t="s">
        <v>4355</v>
      </c>
      <c r="C153" s="1019"/>
      <c r="D153" s="262">
        <v>0.98</v>
      </c>
      <c r="E153" s="249" t="n">
        <f>D153*20</f>
        <v>19.6</v>
      </c>
      <c r="G153" s="1785" t="s">
        <v>1482</v>
      </c>
      <c r="H153" s="1782"/>
      <c r="I153" s="1782"/>
      <c r="J153" s="240" t="s">
        <v>3899</v>
      </c>
      <c r="K153" s="272" t="s">
        <v>4086</v>
      </c>
      <c r="M153" s="1789" t="s">
        <v>4356</v>
      </c>
      <c r="N153" s="1782"/>
      <c r="O153" s="1782"/>
      <c r="P153" s="261">
        <v>360</v>
      </c>
      <c r="Q153" s="239" t="n">
        <f>P153*20</f>
        <v>7200</v>
      </c>
      <c r="S153" s="1781" t="s">
        <v>4357</v>
      </c>
      <c r="T153" s="1782"/>
      <c r="U153" s="261">
        <v>0.28000000000000003</v>
      </c>
      <c r="V153" s="239" t="n">
        <f>U153*20</f>
        <v>5.6</v>
      </c>
    </row>
    <row r="154" spans="2:27" ht="16.05" customHeight="1">
      <c r="G154" s="1789" t="s">
        <v>4358</v>
      </c>
      <c r="H154" s="1782"/>
      <c r="I154" s="1782"/>
      <c r="J154" s="261" t="s">
        <v>4051</v>
      </c>
      <c r="K154" s="239" t="s">
        <v>4359</v>
      </c>
      <c r="M154" s="1788" t="s">
        <v>4360</v>
      </c>
      <c r="N154" s="1782"/>
      <c r="O154" s="1782"/>
      <c r="P154" s="243">
        <v>450</v>
      </c>
      <c r="Q154" s="238" t="n">
        <f>P154*20</f>
        <v>9000</v>
      </c>
      <c r="S154" s="1783" t="s">
        <v>4361</v>
      </c>
      <c r="T154" s="1782"/>
      <c r="U154" s="243">
        <v>0.3</v>
      </c>
      <c r="V154" s="238" t="n">
        <f>U154*20</f>
        <v>6</v>
      </c>
    </row>
    <row r="155" spans="2:27" ht="16.05" customHeight="1">
      <c r="B155" s="1798" t="s">
        <v>4362</v>
      </c>
      <c r="C155" s="1088"/>
      <c r="D155" s="1088"/>
      <c r="E155" s="1089"/>
      <c r="F155" s="243"/>
      <c r="G155" s="1783" t="s">
        <v>4363</v>
      </c>
      <c r="H155" s="1782"/>
      <c r="I155" s="1782"/>
      <c r="J155" s="243" t="s">
        <v>4364</v>
      </c>
      <c r="K155" s="238" t="s">
        <v>4365</v>
      </c>
      <c r="M155" s="1789" t="s">
        <v>4366</v>
      </c>
      <c r="N155" s="1782"/>
      <c r="O155" s="1782"/>
      <c r="P155" s="261">
        <v>1750</v>
      </c>
      <c r="Q155" s="239" t="n">
        <f>P155*20</f>
        <v>35000</v>
      </c>
      <c r="S155" s="1781" t="s">
        <v>4367</v>
      </c>
      <c r="T155" s="1782"/>
      <c r="U155" s="261">
        <v>39.950000000000003</v>
      </c>
      <c r="V155" s="239" t="n">
        <f>U155*20</f>
        <v>799</v>
      </c>
      <c r="X155" s="282"/>
      <c r="Y155" s="282"/>
      <c r="Z155" s="282"/>
      <c r="AA155" s="282"/>
    </row>
    <row r="156" spans="2:27" ht="16.05" customHeight="1">
      <c r="B156" s="1785" t="s">
        <v>1482</v>
      </c>
      <c r="C156" s="1782"/>
      <c r="D156" s="240" t="s">
        <v>3899</v>
      </c>
      <c r="E156" s="237" t="s">
        <v>4086</v>
      </c>
      <c r="F156" s="243"/>
      <c r="G156" s="1781" t="s">
        <v>4368</v>
      </c>
      <c r="H156" s="1782"/>
      <c r="I156" s="1782"/>
      <c r="J156" s="279" t="s">
        <v>4369</v>
      </c>
      <c r="K156" s="276" t="s">
        <v>4370</v>
      </c>
      <c r="M156" s="1788" t="s">
        <v>4371</v>
      </c>
      <c r="N156" s="1782"/>
      <c r="O156" s="1782"/>
      <c r="P156" s="243">
        <v>1345</v>
      </c>
      <c r="Q156" s="238" t="n">
        <f>P156*20</f>
        <v>26900</v>
      </c>
      <c r="S156" s="1783" t="s">
        <v>4372</v>
      </c>
      <c r="T156" s="1782"/>
      <c r="U156" s="243">
        <v>129.94999999999999</v>
      </c>
      <c r="V156" s="238" t="s">
        <v>4373</v>
      </c>
      <c r="X156" s="282"/>
      <c r="Y156" s="282"/>
      <c r="Z156" s="282"/>
      <c r="AA156" s="282"/>
    </row>
    <row r="157" spans="2:27" ht="16.05" customHeight="1">
      <c r="B157" s="1783" t="s">
        <v>4374</v>
      </c>
      <c r="C157" s="1782"/>
      <c r="D157" s="243">
        <v>1.79</v>
      </c>
      <c r="E157" s="238" t="n">
        <f>D157*20</f>
        <v>35.8</v>
      </c>
      <c r="F157" s="243"/>
      <c r="G157" s="1783" t="s">
        <v>4375</v>
      </c>
      <c r="H157" s="1782"/>
      <c r="I157" s="1782"/>
      <c r="J157" s="243" t="s">
        <v>4376</v>
      </c>
      <c r="K157" s="238" t="s">
        <v>4377</v>
      </c>
      <c r="M157" s="1789" t="s">
        <v>4378</v>
      </c>
      <c r="N157" s="1782"/>
      <c r="O157" s="1782"/>
      <c r="P157" s="261">
        <v>2950</v>
      </c>
      <c r="Q157" s="239" t="n">
        <f>P157*20</f>
        <v>59000</v>
      </c>
      <c r="S157" s="1781" t="s">
        <v>4379</v>
      </c>
      <c r="T157" s="1782"/>
      <c r="U157" s="261">
        <v>5.95</v>
      </c>
      <c r="V157" s="239" t="n">
        <f>U157*20</f>
        <v>119</v>
      </c>
      <c r="X157" s="282"/>
      <c r="Y157" s="282"/>
      <c r="Z157" s="282"/>
      <c r="AA157" s="282"/>
    </row>
    <row r="158" spans="2:27" ht="16.05" customHeight="1">
      <c r="B158" s="1781" t="s">
        <v>4380</v>
      </c>
      <c r="C158" s="1782"/>
      <c r="D158" s="261">
        <v>2.98</v>
      </c>
      <c r="E158" s="239" t="n">
        <f>D158*20</f>
        <v>59.6</v>
      </c>
      <c r="F158" s="243"/>
      <c r="G158" s="1781" t="s">
        <v>4381</v>
      </c>
      <c r="H158" s="1782"/>
      <c r="I158" s="1782"/>
      <c r="J158" s="261">
        <v>3100</v>
      </c>
      <c r="K158" s="239" t="n">
        <f>J158*20</f>
        <v>62000</v>
      </c>
      <c r="M158" s="1788" t="s">
        <v>4382</v>
      </c>
      <c r="N158" s="1782"/>
      <c r="O158" s="1782"/>
      <c r="P158" s="243">
        <v>6000</v>
      </c>
      <c r="Q158" s="238" t="n">
        <f>P158*20</f>
        <v>120000</v>
      </c>
      <c r="S158" s="1783" t="s">
        <v>4383</v>
      </c>
      <c r="T158" s="1782"/>
      <c r="U158" s="243">
        <v>35.1</v>
      </c>
      <c r="V158" s="238" t="n">
        <f>U158*20</f>
        <v>702</v>
      </c>
      <c r="X158" s="282"/>
      <c r="Y158" s="282"/>
      <c r="Z158" s="282"/>
      <c r="AA158" s="282"/>
    </row>
    <row r="159" spans="2:27" ht="16.05" customHeight="1">
      <c r="B159" s="1791" t="s">
        <v>4384</v>
      </c>
      <c r="C159" s="1782"/>
      <c r="D159" s="1782"/>
      <c r="E159" s="1015"/>
      <c r="F159" s="243"/>
      <c r="G159" s="1791" t="s">
        <v>4385</v>
      </c>
      <c r="H159" s="1782"/>
      <c r="I159" s="1782"/>
      <c r="J159" s="1782"/>
      <c r="K159" s="1015"/>
      <c r="M159" s="1789" t="s">
        <v>4386</v>
      </c>
      <c r="N159" s="1782"/>
      <c r="O159" s="1782"/>
      <c r="P159" s="261">
        <v>745</v>
      </c>
      <c r="Q159" s="239" t="n">
        <f>P159*20</f>
        <v>14900</v>
      </c>
      <c r="S159" s="1781" t="s">
        <v>4387</v>
      </c>
      <c r="T159" s="1782"/>
      <c r="U159" s="261">
        <v>1.8</v>
      </c>
      <c r="V159" s="239" t="n">
        <f>U159*20</f>
        <v>36</v>
      </c>
    </row>
    <row r="160" spans="2:27" ht="16.05" customHeight="1">
      <c r="B160" s="1783" t="s">
        <v>4374</v>
      </c>
      <c r="C160" s="1782"/>
      <c r="D160" s="243">
        <v>1.79</v>
      </c>
      <c r="E160" s="238" t="n">
        <f>D160*20</f>
        <v>35.8</v>
      </c>
      <c r="F160" s="243"/>
      <c r="G160" s="1781" t="s">
        <v>4388</v>
      </c>
      <c r="H160" s="1782"/>
      <c r="I160" s="1782"/>
      <c r="J160" s="261">
        <v>1175</v>
      </c>
      <c r="K160" s="239" t="n">
        <f>J160*20</f>
        <v>23500</v>
      </c>
      <c r="M160" s="1788" t="s">
        <v>4389</v>
      </c>
      <c r="N160" s="1782"/>
      <c r="O160" s="1782"/>
      <c r="P160" s="243">
        <v>995</v>
      </c>
      <c r="Q160" s="238" t="n">
        <f>P160*20</f>
        <v>19900</v>
      </c>
      <c r="S160" s="1783" t="s">
        <v>4390</v>
      </c>
      <c r="T160" s="1782"/>
      <c r="U160" s="243">
        <v>0.85</v>
      </c>
      <c r="V160" s="238" t="n">
        <f>U160*20</f>
        <v>17</v>
      </c>
    </row>
    <row r="161" spans="2:22" ht="16.05" customHeight="1">
      <c r="B161" s="1781" t="s">
        <v>4391</v>
      </c>
      <c r="C161" s="1782"/>
      <c r="D161" s="261">
        <v>2.98</v>
      </c>
      <c r="E161" s="239" t="n">
        <f>D161*20</f>
        <v>59.6</v>
      </c>
      <c r="F161" s="243"/>
      <c r="G161" s="1783" t="s">
        <v>4392</v>
      </c>
      <c r="H161" s="1782"/>
      <c r="I161" s="1782"/>
      <c r="J161" s="243">
        <v>2135</v>
      </c>
      <c r="K161" s="238" t="n">
        <f>J161*20</f>
        <v>42700</v>
      </c>
      <c r="M161" s="1789" t="s">
        <v>4393</v>
      </c>
      <c r="N161" s="1782"/>
      <c r="O161" s="1782"/>
      <c r="P161" s="261">
        <v>570</v>
      </c>
      <c r="Q161" s="239" t="n">
        <f>P161*20</f>
        <v>11400</v>
      </c>
      <c r="S161" s="1781" t="s">
        <v>4394</v>
      </c>
      <c r="T161" s="1782"/>
      <c r="U161" s="261">
        <v>0.2</v>
      </c>
      <c r="V161" s="239" t="n">
        <f>U161*20</f>
        <v>4</v>
      </c>
    </row>
    <row r="162" spans="2:22" ht="16.05" customHeight="1">
      <c r="B162" s="1783" t="s">
        <v>4395</v>
      </c>
      <c r="C162" s="1782"/>
      <c r="D162" s="243">
        <v>2.98</v>
      </c>
      <c r="E162" s="238" t="n">
        <f>D162*20</f>
        <v>59.6</v>
      </c>
      <c r="F162" s="243"/>
      <c r="G162" s="1781" t="s">
        <v>4396</v>
      </c>
      <c r="H162" s="1782"/>
      <c r="I162" s="1782"/>
      <c r="J162" s="261">
        <v>3278</v>
      </c>
      <c r="K162" s="239" t="n">
        <f>J162*20</f>
        <v>65560</v>
      </c>
      <c r="M162" s="1788" t="s">
        <v>4397</v>
      </c>
      <c r="N162" s="1782"/>
      <c r="O162" s="1782"/>
      <c r="P162" s="243">
        <v>1450</v>
      </c>
      <c r="Q162" s="238" t="n">
        <f>P162*20</f>
        <v>29000</v>
      </c>
      <c r="S162" s="1783" t="s">
        <v>4398</v>
      </c>
      <c r="T162" s="1782"/>
      <c r="U162" s="243">
        <v>9.5</v>
      </c>
      <c r="V162" s="238" t="n">
        <f>U162*20</f>
        <v>190</v>
      </c>
    </row>
    <row r="163" spans="2:22" ht="16.05" customHeight="1">
      <c r="B163" s="1781" t="s">
        <v>4399</v>
      </c>
      <c r="C163" s="1782"/>
      <c r="D163" s="261">
        <v>0.98</v>
      </c>
      <c r="E163" s="239" t="n">
        <f>D163*20</f>
        <v>19.6</v>
      </c>
      <c r="G163" s="1801" t="s">
        <v>4400</v>
      </c>
      <c r="H163" s="1019"/>
      <c r="I163" s="1019"/>
      <c r="J163" s="262">
        <v>4492</v>
      </c>
      <c r="K163" s="249" t="n">
        <f>J163*20</f>
        <v>89840</v>
      </c>
      <c r="M163" s="1789" t="s">
        <v>4401</v>
      </c>
      <c r="N163" s="1782"/>
      <c r="O163" s="1782"/>
      <c r="P163" s="261">
        <v>995</v>
      </c>
      <c r="Q163" s="239" t="n">
        <f>P163*20</f>
        <v>19900</v>
      </c>
      <c r="S163" s="1781" t="s">
        <v>4402</v>
      </c>
      <c r="T163" s="1782"/>
      <c r="U163" s="261">
        <v>0.25</v>
      </c>
      <c r="V163" s="239" t="n">
        <f>U163*20</f>
        <v>5</v>
      </c>
    </row>
    <row r="164" spans="2:22" ht="16.05" customHeight="1">
      <c r="B164" s="1783" t="s">
        <v>4403</v>
      </c>
      <c r="C164" s="1782"/>
      <c r="D164" s="243">
        <v>2.59</v>
      </c>
      <c r="E164" s="238" t="n">
        <f>D164*20</f>
        <v>51.8</v>
      </c>
      <c r="M164" s="1788" t="s">
        <v>4404</v>
      </c>
      <c r="N164" s="1782"/>
      <c r="O164" s="1782"/>
      <c r="P164" s="243">
        <v>300</v>
      </c>
      <c r="Q164" s="238" t="n">
        <f>P164*20</f>
        <v>6000</v>
      </c>
      <c r="S164" s="1783" t="s">
        <v>4405</v>
      </c>
      <c r="T164" s="1782"/>
      <c r="U164" s="243">
        <v>1200</v>
      </c>
      <c r="V164" s="238" t="n">
        <f>U164*20</f>
        <v>24000</v>
      </c>
    </row>
    <row r="165" spans="2:22" ht="16.05" customHeight="1">
      <c r="B165" s="1781" t="s">
        <v>4233</v>
      </c>
      <c r="C165" s="1782"/>
      <c r="D165" s="261">
        <v>4.95</v>
      </c>
      <c r="E165" s="239" t="n">
        <f>D165*20</f>
        <v>99</v>
      </c>
      <c r="G165" s="1798" t="s">
        <v>4015</v>
      </c>
      <c r="H165" s="1088"/>
      <c r="I165" s="1088"/>
      <c r="J165" s="1088"/>
      <c r="K165" s="1089"/>
      <c r="M165" s="1789" t="s">
        <v>4406</v>
      </c>
      <c r="N165" s="1782"/>
      <c r="O165" s="1782"/>
      <c r="P165" s="261">
        <v>75</v>
      </c>
      <c r="Q165" s="239" t="n">
        <f>P165*20</f>
        <v>1500</v>
      </c>
      <c r="S165" s="1781" t="s">
        <v>4407</v>
      </c>
      <c r="T165" s="1782"/>
      <c r="U165" s="261">
        <v>40</v>
      </c>
      <c r="V165" s="239" t="s">
        <v>4373</v>
      </c>
    </row>
    <row r="166" spans="2:22" ht="16.05" customHeight="1">
      <c r="B166" s="1783" t="s">
        <v>4408</v>
      </c>
      <c r="C166" s="1782"/>
      <c r="D166" s="243">
        <v>0.4</v>
      </c>
      <c r="E166" s="238" t="n">
        <f>D166*20</f>
        <v>8</v>
      </c>
      <c r="G166" s="1785" t="s">
        <v>4409</v>
      </c>
      <c r="H166" s="1782"/>
      <c r="I166" s="1782"/>
      <c r="J166" s="240" t="s">
        <v>3899</v>
      </c>
      <c r="K166" s="272" t="s">
        <v>4086</v>
      </c>
      <c r="M166" s="1788" t="s">
        <v>4410</v>
      </c>
      <c r="N166" s="1782"/>
      <c r="O166" s="1782"/>
      <c r="P166" s="243">
        <v>545</v>
      </c>
      <c r="Q166" s="238" t="n">
        <f>P166*20</f>
        <v>10900</v>
      </c>
      <c r="S166" s="1783" t="s">
        <v>4411</v>
      </c>
      <c r="T166" s="1782"/>
      <c r="U166" s="243">
        <v>66.75</v>
      </c>
      <c r="V166" s="238" t="s">
        <v>4373</v>
      </c>
    </row>
    <row r="167" spans="2:22" ht="16.05" customHeight="1">
      <c r="B167" s="1781" t="s">
        <v>4237</v>
      </c>
      <c r="C167" s="1782"/>
      <c r="D167" s="261">
        <v>0.54</v>
      </c>
      <c r="E167" s="239" t="n">
        <f>D167*20</f>
        <v>10.8</v>
      </c>
      <c r="G167" s="1783" t="s">
        <v>4412</v>
      </c>
      <c r="H167" s="1782"/>
      <c r="I167" s="1782"/>
      <c r="J167" s="243">
        <v>4.45</v>
      </c>
      <c r="K167" s="238" t="n">
        <f>J167*20</f>
        <v>89</v>
      </c>
      <c r="M167" s="1789" t="s">
        <v>4413</v>
      </c>
      <c r="N167" s="1782"/>
      <c r="O167" s="1782"/>
      <c r="P167" s="261">
        <v>1085</v>
      </c>
      <c r="Q167" s="239" t="n">
        <f>P167*20</f>
        <v>21700</v>
      </c>
      <c r="S167" s="1781" t="s">
        <v>4414</v>
      </c>
      <c r="T167" s="1782"/>
      <c r="U167" s="261">
        <v>0.57999999999999996</v>
      </c>
      <c r="V167" s="239" t="n">
        <f>U167*20</f>
        <v>11.6</v>
      </c>
    </row>
    <row r="168" spans="2:22" ht="16.05" customHeight="1">
      <c r="B168" s="1835" t="s">
        <v>4415</v>
      </c>
      <c r="C168" s="1019"/>
      <c r="D168" s="262">
        <v>1.29</v>
      </c>
      <c r="E168" s="249" t="n">
        <f>D168*20</f>
        <v>25.8</v>
      </c>
      <c r="G168" s="1781" t="s">
        <v>4416</v>
      </c>
      <c r="H168" s="1782"/>
      <c r="I168" s="1782"/>
      <c r="J168" s="261">
        <v>10</v>
      </c>
      <c r="K168" s="239" t="n">
        <f>J168*20</f>
        <v>200</v>
      </c>
      <c r="M168" s="1788" t="s">
        <v>4417</v>
      </c>
      <c r="N168" s="1782"/>
      <c r="O168" s="1782"/>
      <c r="P168" s="243">
        <v>490</v>
      </c>
      <c r="Q168" s="238" t="n">
        <f>P168*20</f>
        <v>9800</v>
      </c>
      <c r="S168" s="1783" t="s">
        <v>4418</v>
      </c>
      <c r="T168" s="1782"/>
      <c r="U168" s="243">
        <v>17.5</v>
      </c>
      <c r="V168" s="238" t="n">
        <f>U168*20</f>
        <v>350</v>
      </c>
    </row>
    <row r="169" spans="2:22" ht="16.05" customHeight="1">
      <c r="G169" s="1783" t="s">
        <v>4419</v>
      </c>
      <c r="H169" s="1782"/>
      <c r="I169" s="1782"/>
      <c r="J169" s="243">
        <v>0.75</v>
      </c>
      <c r="K169" s="238" t="n">
        <f>J169*20</f>
        <v>15</v>
      </c>
      <c r="M169" s="1789" t="s">
        <v>4420</v>
      </c>
      <c r="N169" s="1782"/>
      <c r="O169" s="1782"/>
      <c r="P169" s="261">
        <v>9000</v>
      </c>
      <c r="Q169" s="239" t="n">
        <f>P169*20</f>
        <v>180000</v>
      </c>
      <c r="S169" s="1804" t="s">
        <v>4421</v>
      </c>
      <c r="T169" s="1782"/>
      <c r="U169" s="261">
        <v>62.5</v>
      </c>
      <c r="V169" s="239" t="n">
        <f>U169*20</f>
        <v>1250</v>
      </c>
    </row>
    <row r="170" spans="2:22" ht="16.05" customHeight="1">
      <c r="B170" s="1798" t="s">
        <v>3991</v>
      </c>
      <c r="C170" s="1088"/>
      <c r="D170" s="1088"/>
      <c r="E170" s="1089"/>
      <c r="G170" s="1781" t="s">
        <v>4041</v>
      </c>
      <c r="H170" s="1782"/>
      <c r="I170" s="1782"/>
      <c r="J170" s="261">
        <v>9</v>
      </c>
      <c r="K170" s="239" t="n">
        <f>J170*20</f>
        <v>180</v>
      </c>
      <c r="M170" s="1788" t="s">
        <v>4422</v>
      </c>
      <c r="N170" s="1782"/>
      <c r="O170" s="1782"/>
      <c r="P170" s="243">
        <v>1225</v>
      </c>
      <c r="Q170" s="238" t="n">
        <f>P170*20</f>
        <v>24500</v>
      </c>
      <c r="S170" s="1783" t="s">
        <v>4423</v>
      </c>
      <c r="T170" s="1782"/>
      <c r="U170" s="243">
        <v>1.79</v>
      </c>
      <c r="V170" s="238" t="n">
        <f>U170*20</f>
        <v>35.8</v>
      </c>
    </row>
    <row r="171" spans="2:22" ht="16.05" customHeight="1">
      <c r="B171" s="1785" t="s">
        <v>1482</v>
      </c>
      <c r="C171" s="1782"/>
      <c r="D171" s="240" t="s">
        <v>3899</v>
      </c>
      <c r="E171" s="237" t="s">
        <v>4086</v>
      </c>
      <c r="G171" s="1783" t="s">
        <v>4424</v>
      </c>
      <c r="H171" s="1782"/>
      <c r="I171" s="1782"/>
      <c r="J171" s="243">
        <v>24</v>
      </c>
      <c r="K171" s="238" t="n">
        <f>J171*20</f>
        <v>480</v>
      </c>
      <c r="M171" s="1789" t="s">
        <v>4425</v>
      </c>
      <c r="N171" s="1782"/>
      <c r="O171" s="1782"/>
      <c r="P171" s="261">
        <v>800</v>
      </c>
      <c r="Q171" s="239" t="n">
        <f>P171*20</f>
        <v>16000</v>
      </c>
      <c r="S171" s="1781" t="s">
        <v>4426</v>
      </c>
      <c r="T171" s="1782"/>
      <c r="U171" s="261">
        <v>0.99</v>
      </c>
      <c r="V171" s="239" t="n">
        <f>U171*20</f>
        <v>19.8</v>
      </c>
    </row>
    <row r="172" spans="2:22" ht="16.05" customHeight="1">
      <c r="B172" s="1806" t="s">
        <v>4427</v>
      </c>
      <c r="C172" s="1782"/>
      <c r="D172" s="243">
        <v>7.45</v>
      </c>
      <c r="E172" s="238" t="n">
        <f>D172*20</f>
        <v>149</v>
      </c>
      <c r="G172" s="1781" t="s">
        <v>4428</v>
      </c>
      <c r="H172" s="1782"/>
      <c r="I172" s="1782"/>
      <c r="J172" s="261" t="s">
        <v>4429</v>
      </c>
      <c r="K172" s="239" t="s">
        <v>4026</v>
      </c>
      <c r="M172" s="1811" t="s">
        <v>4430</v>
      </c>
      <c r="N172" s="1782"/>
      <c r="O172" s="1782"/>
      <c r="P172" s="243">
        <v>4000</v>
      </c>
      <c r="Q172" s="238" t="n">
        <f>P172*20</f>
        <v>80000</v>
      </c>
      <c r="S172" s="1783" t="s">
        <v>4431</v>
      </c>
      <c r="T172" s="1782"/>
      <c r="U172" s="243">
        <v>0.1</v>
      </c>
      <c r="V172" s="238" t="n">
        <f>U172*20</f>
        <v>2</v>
      </c>
    </row>
    <row r="173" spans="2:22" ht="16.05" customHeight="1">
      <c r="B173" s="1800" t="s">
        <v>4432</v>
      </c>
      <c r="C173" s="1782"/>
      <c r="D173" s="261">
        <v>9.9499999999999993</v>
      </c>
      <c r="E173" s="239" t="n">
        <f>D173*20</f>
        <v>199</v>
      </c>
      <c r="G173" s="1830" t="s">
        <v>4433</v>
      </c>
      <c r="H173" s="1782"/>
      <c r="I173" s="1782"/>
      <c r="J173" s="243">
        <v>5</v>
      </c>
      <c r="K173" s="238" t="n">
        <f>J173*20</f>
        <v>100</v>
      </c>
      <c r="M173" s="1789" t="s">
        <v>4434</v>
      </c>
      <c r="N173" s="1782"/>
      <c r="O173" s="1782"/>
      <c r="P173" s="261">
        <v>4050</v>
      </c>
      <c r="Q173" s="239" t="n">
        <f>P173*20</f>
        <v>81000</v>
      </c>
      <c r="S173" s="1781" t="s">
        <v>4435</v>
      </c>
      <c r="T173" s="1782"/>
      <c r="U173" s="261">
        <v>2.29</v>
      </c>
      <c r="V173" s="239" t="n">
        <f>U173*20</f>
        <v>45.8</v>
      </c>
    </row>
    <row r="174" spans="2:22" ht="16.05" customHeight="1">
      <c r="B174" s="1806" t="s">
        <v>4436</v>
      </c>
      <c r="C174" s="1782"/>
      <c r="D174" s="243">
        <v>12</v>
      </c>
      <c r="E174" s="238" t="n">
        <f>D174*20</f>
        <v>240</v>
      </c>
      <c r="G174" s="1791" t="s">
        <v>4437</v>
      </c>
      <c r="H174" s="1782"/>
      <c r="I174" s="1782"/>
      <c r="J174" s="1782"/>
      <c r="K174" s="1015"/>
      <c r="M174" s="1788" t="s">
        <v>4438</v>
      </c>
      <c r="N174" s="1782"/>
      <c r="O174" s="1782"/>
      <c r="P174" s="243">
        <v>7750</v>
      </c>
      <c r="Q174" s="238" t="n">
        <f>P174*20</f>
        <v>155000</v>
      </c>
      <c r="S174" s="1783" t="s">
        <v>4439</v>
      </c>
      <c r="T174" s="1782"/>
      <c r="U174" s="243">
        <v>6.75</v>
      </c>
      <c r="V174" s="238" t="n">
        <f>U174*20</f>
        <v>135</v>
      </c>
    </row>
    <row r="175" spans="2:22" ht="16.05" customHeight="1">
      <c r="B175" s="1800" t="s">
        <v>4440</v>
      </c>
      <c r="C175" s="1782"/>
      <c r="D175" s="261">
        <v>54.95</v>
      </c>
      <c r="E175" s="239" t="n">
        <f>D175*20</f>
        <v>1099</v>
      </c>
      <c r="G175" s="1783" t="s">
        <v>4441</v>
      </c>
      <c r="H175" s="1782"/>
      <c r="I175" s="1782"/>
      <c r="J175" s="243">
        <v>1000</v>
      </c>
      <c r="K175" s="238" t="n">
        <f>J175*20</f>
        <v>20000</v>
      </c>
      <c r="M175" s="1789" t="s">
        <v>4442</v>
      </c>
      <c r="N175" s="1782"/>
      <c r="O175" s="1782"/>
      <c r="P175" s="261">
        <v>500</v>
      </c>
      <c r="Q175" s="239" t="n">
        <f>P175*20</f>
        <v>10000</v>
      </c>
      <c r="S175" s="1781" t="s">
        <v>4443</v>
      </c>
      <c r="T175" s="1782"/>
      <c r="U175" s="261">
        <v>49</v>
      </c>
      <c r="V175" s="239" t="n">
        <f>U175*20</f>
        <v>980</v>
      </c>
    </row>
    <row r="176" spans="2:22" ht="16.05" customHeight="1">
      <c r="B176" s="1806" t="s">
        <v>4444</v>
      </c>
      <c r="C176" s="1782"/>
      <c r="D176" s="243">
        <v>79.95</v>
      </c>
      <c r="E176" s="238" t="n">
        <f>D176*20</f>
        <v>1599</v>
      </c>
      <c r="G176" s="1781" t="s">
        <v>4445</v>
      </c>
      <c r="H176" s="1782"/>
      <c r="I176" s="1782"/>
      <c r="J176" s="261">
        <v>55</v>
      </c>
      <c r="K176" s="239" t="n">
        <f>J176*20</f>
        <v>1100</v>
      </c>
      <c r="M176" s="1788" t="s">
        <v>4446</v>
      </c>
      <c r="N176" s="1782"/>
      <c r="O176" s="1782"/>
      <c r="P176" s="243">
        <v>6750</v>
      </c>
      <c r="Q176" s="238" t="n">
        <f>P176*20</f>
        <v>135000</v>
      </c>
      <c r="S176" s="1783" t="s">
        <v>4447</v>
      </c>
      <c r="T176" s="1782"/>
      <c r="U176" s="243">
        <v>1.95</v>
      </c>
      <c r="V176" s="238" t="n">
        <f>U176*20</f>
        <v>39</v>
      </c>
    </row>
    <row r="177" spans="2:22" ht="16.05" customHeight="1">
      <c r="B177" s="1810" t="s">
        <v>4448</v>
      </c>
      <c r="C177" s="1019"/>
      <c r="D177" s="254">
        <v>12.5</v>
      </c>
      <c r="E177" s="242" t="n">
        <f>D177*20</f>
        <v>250</v>
      </c>
      <c r="G177" s="1783" t="s">
        <v>4449</v>
      </c>
      <c r="H177" s="1782"/>
      <c r="I177" s="1782"/>
      <c r="J177" s="243">
        <v>350</v>
      </c>
      <c r="K177" s="238" t="n">
        <f>J177*20</f>
        <v>7000</v>
      </c>
      <c r="M177" s="1789" t="s">
        <v>4450</v>
      </c>
      <c r="N177" s="1782"/>
      <c r="O177" s="1782"/>
      <c r="P177" s="261">
        <v>10800</v>
      </c>
      <c r="Q177" s="239" t="n">
        <f>P177*20</f>
        <v>216000</v>
      </c>
      <c r="S177" s="1781" t="s">
        <v>4451</v>
      </c>
      <c r="T177" s="1782"/>
      <c r="U177" s="261">
        <v>1.68</v>
      </c>
      <c r="V177" s="239" t="n">
        <f>U177*20</f>
        <v>33.6</v>
      </c>
    </row>
    <row r="178" spans="2:22" ht="16.05" customHeight="1">
      <c r="G178" s="1781" t="s">
        <v>4452</v>
      </c>
      <c r="H178" s="1782"/>
      <c r="I178" s="1782"/>
      <c r="J178" s="261">
        <v>12.5</v>
      </c>
      <c r="K178" s="239" t="n">
        <f>J178*20</f>
        <v>250</v>
      </c>
      <c r="M178" s="1791" t="s">
        <v>4453</v>
      </c>
      <c r="N178" s="1782"/>
      <c r="O178" s="1782"/>
      <c r="P178" s="1782"/>
      <c r="Q178" s="1015"/>
      <c r="S178" s="1783" t="s">
        <v>4454</v>
      </c>
      <c r="T178" s="1782"/>
      <c r="U178" s="243">
        <v>3.98</v>
      </c>
      <c r="V178" s="238" t="n">
        <f>U178*20</f>
        <v>79.6</v>
      </c>
    </row>
    <row r="179" spans="2:22" ht="16.05" customHeight="1">
      <c r="B179" s="1798" t="s">
        <v>3897</v>
      </c>
      <c r="C179" s="1088"/>
      <c r="D179" s="1088"/>
      <c r="E179" s="1089"/>
      <c r="G179" s="1783" t="s">
        <v>4455</v>
      </c>
      <c r="H179" s="1782"/>
      <c r="I179" s="1782"/>
      <c r="J179" s="243">
        <v>10</v>
      </c>
      <c r="K179" s="238" t="n">
        <f>J179*20</f>
        <v>200</v>
      </c>
      <c r="M179" s="1781" t="s">
        <v>4456</v>
      </c>
      <c r="N179" s="1782"/>
      <c r="O179" s="1782"/>
      <c r="P179" s="261">
        <v>10.95</v>
      </c>
      <c r="Q179" s="239" t="n">
        <f>P179*20</f>
        <v>219</v>
      </c>
      <c r="S179" s="1781" t="s">
        <v>4457</v>
      </c>
      <c r="T179" s="1782"/>
      <c r="U179" s="261">
        <v>1.48</v>
      </c>
      <c r="V179" s="239" t="n">
        <f>U179*20</f>
        <v>29.6</v>
      </c>
    </row>
    <row r="180" spans="2:22" ht="16.05" customHeight="1">
      <c r="B180" s="1785" t="s">
        <v>1482</v>
      </c>
      <c r="C180" s="1782"/>
      <c r="D180" s="240" t="s">
        <v>3899</v>
      </c>
      <c r="E180" s="272" t="s">
        <v>4086</v>
      </c>
      <c r="G180" s="1799" t="s">
        <v>4458</v>
      </c>
      <c r="H180" s="1019"/>
      <c r="I180" s="1019"/>
      <c r="J180" s="254">
        <v>40</v>
      </c>
      <c r="K180" s="242" t="n">
        <f>J180*20</f>
        <v>800</v>
      </c>
      <c r="M180" s="1783" t="s">
        <v>4459</v>
      </c>
      <c r="N180" s="1782"/>
      <c r="O180" s="1782"/>
      <c r="P180" s="243">
        <v>0.32</v>
      </c>
      <c r="Q180" s="238" t="n">
        <f>P180*20</f>
        <v>6.4</v>
      </c>
      <c r="S180" s="1783" t="s">
        <v>4460</v>
      </c>
      <c r="T180" s="1782"/>
      <c r="U180" s="243">
        <v>9.9499999999999993</v>
      </c>
      <c r="V180" s="238" t="n">
        <f>U180*20</f>
        <v>199</v>
      </c>
    </row>
    <row r="181" spans="2:22" ht="16.05" customHeight="1">
      <c r="B181" s="1788" t="s">
        <v>4461</v>
      </c>
      <c r="C181" s="1782"/>
      <c r="D181" s="243">
        <v>0.25</v>
      </c>
      <c r="E181" s="1828" t="s">
        <v>4462</v>
      </c>
      <c r="G181" s="241"/>
      <c r="H181" s="241"/>
      <c r="I181" s="241"/>
      <c r="J181" s="241"/>
      <c r="K181" s="241"/>
      <c r="M181" s="1781" t="s">
        <v>4463</v>
      </c>
      <c r="N181" s="1782"/>
      <c r="O181" s="1782"/>
      <c r="P181" s="261">
        <v>4.95</v>
      </c>
      <c r="Q181" s="239" t="n">
        <f>P181*20</f>
        <v>99</v>
      </c>
      <c r="S181" s="1781" t="s">
        <v>4464</v>
      </c>
      <c r="T181" s="1782"/>
      <c r="U181" s="261">
        <v>16.649999999999999</v>
      </c>
      <c r="V181" s="239" t="n">
        <f>U181*20</f>
        <v>333</v>
      </c>
    </row>
    <row r="182" spans="2:22" ht="16.05" customHeight="1">
      <c r="B182" s="1809" t="s">
        <v>4465</v>
      </c>
      <c r="C182" s="1782"/>
      <c r="D182" s="261">
        <v>0.02</v>
      </c>
      <c r="E182" s="1015"/>
      <c r="G182" s="1798" t="s">
        <v>4466</v>
      </c>
      <c r="H182" s="1088"/>
      <c r="I182" s="1088"/>
      <c r="J182" s="1088"/>
      <c r="K182" s="1089"/>
      <c r="M182" s="1783" t="s">
        <v>4467</v>
      </c>
      <c r="N182" s="1782"/>
      <c r="O182" s="1782"/>
      <c r="P182" s="243">
        <v>1</v>
      </c>
      <c r="Q182" s="238" t="n">
        <f>P182*20</f>
        <v>20</v>
      </c>
      <c r="S182" s="1788" t="s">
        <v>4468</v>
      </c>
      <c r="T182" s="1782"/>
      <c r="U182" s="243">
        <v>24.65</v>
      </c>
      <c r="V182" s="238" t="n">
        <f>U182*20</f>
        <v>493</v>
      </c>
    </row>
    <row r="183" spans="2:22" ht="16.05" customHeight="1">
      <c r="B183" s="1783" t="s">
        <v>4469</v>
      </c>
      <c r="C183" s="1782"/>
      <c r="D183" s="243">
        <v>1.25</v>
      </c>
      <c r="E183" s="1015"/>
      <c r="G183" s="1785" t="s">
        <v>1482</v>
      </c>
      <c r="H183" s="1782"/>
      <c r="I183" s="1782"/>
      <c r="J183" s="240" t="s">
        <v>3899</v>
      </c>
      <c r="K183" s="272" t="s">
        <v>4086</v>
      </c>
      <c r="M183" s="1781" t="s">
        <v>4470</v>
      </c>
      <c r="N183" s="1782"/>
      <c r="O183" s="1782"/>
      <c r="P183" s="261">
        <v>14.15</v>
      </c>
      <c r="Q183" s="239" t="n">
        <f>P183*20</f>
        <v>283</v>
      </c>
      <c r="S183" s="1781" t="s">
        <v>4471</v>
      </c>
      <c r="T183" s="1782"/>
      <c r="U183" s="261">
        <v>34.450000000000003</v>
      </c>
      <c r="V183" s="239" t="n">
        <f>U183*20</f>
        <v>689</v>
      </c>
    </row>
    <row r="184" spans="2:22" ht="16.05" customHeight="1">
      <c r="B184" s="1802" t="s">
        <v>4472</v>
      </c>
      <c r="C184" s="1782"/>
      <c r="D184" s="261">
        <v>0.02</v>
      </c>
      <c r="E184" s="239" t="n">
        <f>D184*20</f>
        <v>0.4</v>
      </c>
      <c r="F184" s="271"/>
      <c r="G184" s="1788" t="s">
        <v>4473</v>
      </c>
      <c r="H184" s="1782"/>
      <c r="I184" s="1782"/>
      <c r="J184" s="243">
        <v>25</v>
      </c>
      <c r="K184" s="238" t="n">
        <f>J184*20</f>
        <v>500</v>
      </c>
      <c r="M184" s="1783" t="s">
        <v>4474</v>
      </c>
      <c r="N184" s="1782"/>
      <c r="O184" s="1782"/>
      <c r="P184" s="243">
        <v>8.69</v>
      </c>
      <c r="Q184" s="238" t="n">
        <f>P184*20</f>
        <v>173.8</v>
      </c>
      <c r="S184" s="1783" t="s">
        <v>4475</v>
      </c>
      <c r="T184" s="1782"/>
      <c r="U184" s="243">
        <v>13.85</v>
      </c>
      <c r="V184" s="238" t="n">
        <f>U184*20</f>
        <v>277</v>
      </c>
    </row>
    <row r="185" spans="2:22" ht="16.05" customHeight="1">
      <c r="B185" s="1806" t="s">
        <v>4476</v>
      </c>
      <c r="C185" s="1782"/>
      <c r="D185" s="278" t="s">
        <v>793</v>
      </c>
      <c r="E185" s="238" t="s">
        <v>4477</v>
      </c>
      <c r="G185" s="1781" t="s">
        <v>4478</v>
      </c>
      <c r="H185" s="1782"/>
      <c r="I185" s="1782"/>
      <c r="J185" s="261">
        <v>25</v>
      </c>
      <c r="K185" s="239" t="n">
        <f>J185*20</f>
        <v>500</v>
      </c>
      <c r="M185" s="1781" t="s">
        <v>4479</v>
      </c>
      <c r="N185" s="1782"/>
      <c r="O185" s="1782"/>
      <c r="P185" s="261">
        <v>0.3</v>
      </c>
      <c r="Q185" s="239" t="n">
        <f>P185*20</f>
        <v>6</v>
      </c>
      <c r="S185" s="1799" t="s">
        <v>4480</v>
      </c>
      <c r="T185" s="1019"/>
      <c r="U185" s="254">
        <v>0.45</v>
      </c>
      <c r="V185" s="242" t="n">
        <f>U185*20</f>
        <v>9</v>
      </c>
    </row>
    <row r="186" spans="2:22" ht="16.05" customHeight="1">
      <c r="B186" s="1800" t="s">
        <v>4481</v>
      </c>
      <c r="C186" s="1782"/>
      <c r="D186" s="261">
        <v>49.95</v>
      </c>
      <c r="E186" s="239" t="s">
        <v>4373</v>
      </c>
      <c r="G186" s="1783" t="s">
        <v>4482</v>
      </c>
      <c r="H186" s="1782"/>
      <c r="I186" s="1782"/>
      <c r="J186" s="243">
        <v>80</v>
      </c>
      <c r="K186" s="238" t="n">
        <f>J186*20</f>
        <v>1600</v>
      </c>
      <c r="M186" s="1783" t="s">
        <v>4483</v>
      </c>
      <c r="N186" s="1782"/>
      <c r="O186" s="1782"/>
      <c r="P186" s="243">
        <v>3.25</v>
      </c>
      <c r="Q186" s="238" t="n">
        <f>P186*20</f>
        <v>65</v>
      </c>
    </row>
    <row r="187" spans="2:22" ht="16.05" customHeight="1">
      <c r="B187" s="1806" t="s">
        <v>4484</v>
      </c>
      <c r="C187" s="1782"/>
      <c r="D187" s="243">
        <v>15.75</v>
      </c>
      <c r="E187" s="238" t="n">
        <f>D187*20</f>
        <v>315</v>
      </c>
      <c r="G187" s="1781" t="s">
        <v>4485</v>
      </c>
      <c r="H187" s="1782"/>
      <c r="I187" s="1782"/>
      <c r="J187" s="261" t="s">
        <v>507</v>
      </c>
      <c r="K187" s="280" t="s">
        <v>4486</v>
      </c>
      <c r="M187" s="1781" t="s">
        <v>4487</v>
      </c>
      <c r="N187" s="1782"/>
      <c r="O187" s="1782"/>
      <c r="P187" s="261">
        <v>2.95</v>
      </c>
      <c r="Q187" s="239" t="n">
        <f>P187*20</f>
        <v>59</v>
      </c>
      <c r="S187" s="1798" t="s">
        <v>4488</v>
      </c>
      <c r="T187" s="1088"/>
      <c r="U187" s="1088"/>
      <c r="V187" s="1089"/>
    </row>
    <row r="188" spans="2:22" ht="16.05" customHeight="1">
      <c r="B188" s="1800" t="s">
        <v>4489</v>
      </c>
      <c r="C188" s="1782"/>
      <c r="D188" s="261">
        <v>1.25</v>
      </c>
      <c r="E188" s="239" t="s">
        <v>4373</v>
      </c>
      <c r="G188" s="1788" t="s">
        <v>4490</v>
      </c>
      <c r="H188" s="1782"/>
      <c r="I188" s="1782"/>
      <c r="J188" s="243">
        <v>199</v>
      </c>
      <c r="K188" s="238" t="n">
        <f>J188*20</f>
        <v>3980</v>
      </c>
      <c r="M188" s="1801" t="s">
        <v>4491</v>
      </c>
      <c r="N188" s="1019"/>
      <c r="O188" s="1019"/>
      <c r="P188" s="262">
        <v>1.35</v>
      </c>
      <c r="Q188" s="249" t="n">
        <f>P188*20</f>
        <v>27</v>
      </c>
      <c r="S188" s="1785" t="s">
        <v>1482</v>
      </c>
      <c r="T188" s="1782"/>
      <c r="U188" s="240" t="s">
        <v>3899</v>
      </c>
      <c r="V188" s="272" t="s">
        <v>4086</v>
      </c>
    </row>
    <row r="189" spans="2:22" ht="16.05" customHeight="1">
      <c r="B189" s="1833" t="s">
        <v>4492</v>
      </c>
      <c r="C189" s="1019"/>
      <c r="D189" s="262">
        <v>0.05</v>
      </c>
      <c r="E189" s="249" t="n">
        <f>D189*20</f>
        <v>1</v>
      </c>
      <c r="G189" s="1789" t="s">
        <v>4493</v>
      </c>
      <c r="H189" s="1782"/>
      <c r="I189" s="1782"/>
      <c r="J189" s="261">
        <v>295</v>
      </c>
      <c r="K189" s="239" t="n">
        <f>J189*20</f>
        <v>5900</v>
      </c>
      <c r="M189" s="241"/>
      <c r="N189" s="241"/>
      <c r="O189" s="241"/>
      <c r="P189" s="241"/>
      <c r="Q189" s="241"/>
      <c r="S189" s="1783" t="s">
        <v>4494</v>
      </c>
      <c r="T189" s="1782"/>
      <c r="U189" s="243">
        <v>0.15</v>
      </c>
      <c r="V189" s="238" t="n">
        <f>U189*20</f>
        <v>3</v>
      </c>
    </row>
    <row r="190" spans="2:22" ht="16.05" customHeight="1">
      <c r="G190" s="1811" t="s">
        <v>4495</v>
      </c>
      <c r="H190" s="1782"/>
      <c r="I190" s="1782"/>
      <c r="J190" s="277">
        <v>395</v>
      </c>
      <c r="K190" s="238" t="n">
        <f>J190*20</f>
        <v>7900</v>
      </c>
      <c r="M190" s="1798" t="s">
        <v>4061</v>
      </c>
      <c r="N190" s="1088"/>
      <c r="O190" s="1088"/>
      <c r="P190" s="1088"/>
      <c r="Q190" s="1089"/>
      <c r="S190" s="1789" t="s">
        <v>4496</v>
      </c>
      <c r="T190" s="1782"/>
      <c r="U190" s="261">
        <v>0.33</v>
      </c>
      <c r="V190" s="239" t="n">
        <f>U190*20</f>
        <v>6.6</v>
      </c>
    </row>
    <row r="191" spans="2:22" ht="16.05" customHeight="1">
      <c r="G191" s="1791" t="s">
        <v>4497</v>
      </c>
      <c r="H191" s="1782"/>
      <c r="I191" s="1782"/>
      <c r="J191" s="1782"/>
      <c r="K191" s="1015"/>
      <c r="M191" s="1785" t="s">
        <v>1482</v>
      </c>
      <c r="N191" s="1782"/>
      <c r="O191" s="1782"/>
      <c r="P191" s="240" t="s">
        <v>3899</v>
      </c>
      <c r="Q191" s="272" t="s">
        <v>4086</v>
      </c>
      <c r="S191" s="1783" t="s">
        <v>4498</v>
      </c>
      <c r="T191" s="1782"/>
      <c r="U191" s="243">
        <v>5.45</v>
      </c>
      <c r="V191" s="238" t="n">
        <f>U191*20</f>
        <v>109</v>
      </c>
    </row>
    <row r="192" spans="2:22" ht="16.05" customHeight="1">
      <c r="G192" s="1783" t="s">
        <v>4499</v>
      </c>
      <c r="H192" s="1782"/>
      <c r="I192" s="1782"/>
      <c r="J192" s="243">
        <v>10</v>
      </c>
      <c r="K192" s="238" t="n">
        <f>J192*20</f>
        <v>200</v>
      </c>
      <c r="M192" s="1783" t="s">
        <v>4500</v>
      </c>
      <c r="N192" s="1782"/>
      <c r="O192" s="1782"/>
      <c r="P192" s="243">
        <v>0.15</v>
      </c>
      <c r="Q192" s="238" t="n">
        <f>P192*20</f>
        <v>3</v>
      </c>
      <c r="S192" s="1781" t="s">
        <v>4501</v>
      </c>
      <c r="T192" s="1782"/>
      <c r="U192" s="261">
        <v>1.3</v>
      </c>
      <c r="V192" s="239" t="n">
        <f>U192*20</f>
        <v>26</v>
      </c>
    </row>
    <row r="193" spans="7:22" ht="16.05" customHeight="1">
      <c r="G193" s="1781" t="s">
        <v>4502</v>
      </c>
      <c r="H193" s="1782"/>
      <c r="I193" s="1782"/>
      <c r="J193" s="261">
        <v>19.95</v>
      </c>
      <c r="K193" s="239" t="n">
        <f>J193*20</f>
        <v>399</v>
      </c>
      <c r="M193" s="1781" t="s">
        <v>4503</v>
      </c>
      <c r="N193" s="1782"/>
      <c r="O193" s="1782"/>
      <c r="P193" s="261">
        <v>0.05</v>
      </c>
      <c r="Q193" s="239" t="n">
        <f>P193*20</f>
        <v>1</v>
      </c>
      <c r="S193" s="1788" t="s">
        <v>4504</v>
      </c>
      <c r="T193" s="1782"/>
      <c r="U193" s="243">
        <v>14.1</v>
      </c>
      <c r="V193" s="238" t="n">
        <f>U193*20</f>
        <v>282</v>
      </c>
    </row>
    <row r="194" spans="7:22" ht="16.05" customHeight="1">
      <c r="G194" s="1783" t="s">
        <v>4505</v>
      </c>
      <c r="H194" s="1782"/>
      <c r="I194" s="1782"/>
      <c r="J194" s="243">
        <v>5</v>
      </c>
      <c r="K194" s="238" t="n">
        <f>J194*20</f>
        <v>100</v>
      </c>
      <c r="M194" s="1783" t="s">
        <v>4506</v>
      </c>
      <c r="N194" s="1782"/>
      <c r="O194" s="1782"/>
      <c r="P194" s="243">
        <v>1</v>
      </c>
      <c r="Q194" s="238" t="n">
        <f>P194*20</f>
        <v>20</v>
      </c>
      <c r="S194" s="1781" t="s">
        <v>4507</v>
      </c>
      <c r="T194" s="1782"/>
      <c r="U194" s="261">
        <v>0.55000000000000004</v>
      </c>
      <c r="V194" s="239" t="n">
        <f>U194*20</f>
        <v>11</v>
      </c>
    </row>
    <row r="195" spans="7:22" ht="16.05" customHeight="1">
      <c r="G195" s="1781" t="s">
        <v>4508</v>
      </c>
      <c r="H195" s="1782"/>
      <c r="I195" s="1782"/>
      <c r="J195" s="261">
        <v>77</v>
      </c>
      <c r="K195" s="239" t="n">
        <f>J195*20</f>
        <v>1540</v>
      </c>
      <c r="M195" s="1781" t="s">
        <v>4509</v>
      </c>
      <c r="N195" s="1782"/>
      <c r="O195" s="1782"/>
      <c r="P195" s="261">
        <v>4</v>
      </c>
      <c r="Q195" s="239" t="n">
        <f>P195*20</f>
        <v>80</v>
      </c>
      <c r="S195" s="1783" t="s">
        <v>4510</v>
      </c>
      <c r="T195" s="1782"/>
      <c r="U195" s="243">
        <v>6.75</v>
      </c>
      <c r="V195" s="238" t="n">
        <f>U195*20</f>
        <v>135</v>
      </c>
    </row>
    <row r="196" spans="7:22" ht="16.05" customHeight="1">
      <c r="G196" s="1783" t="s">
        <v>4511</v>
      </c>
      <c r="H196" s="1782"/>
      <c r="I196" s="1782"/>
      <c r="J196" s="243">
        <v>49.5</v>
      </c>
      <c r="K196" s="238" t="n">
        <f>J196*20</f>
        <v>990</v>
      </c>
      <c r="M196" s="1783" t="s">
        <v>4512</v>
      </c>
      <c r="N196" s="1782"/>
      <c r="O196" s="1782"/>
      <c r="P196" s="243">
        <v>10</v>
      </c>
      <c r="Q196" s="238" t="n">
        <f>P196*20</f>
        <v>200</v>
      </c>
      <c r="S196" s="1781" t="s">
        <v>4513</v>
      </c>
      <c r="T196" s="1782"/>
      <c r="U196" s="261">
        <v>4.1500000000000004</v>
      </c>
      <c r="V196" s="239" t="n">
        <f>U196*20</f>
        <v>83</v>
      </c>
    </row>
    <row r="197" spans="7:22" ht="16.05" customHeight="1">
      <c r="G197" s="1781" t="s">
        <v>4514</v>
      </c>
      <c r="H197" s="1782"/>
      <c r="I197" s="1782"/>
      <c r="J197" s="261">
        <v>48</v>
      </c>
      <c r="K197" s="239" t="n">
        <f>J197*20</f>
        <v>960</v>
      </c>
      <c r="M197" s="1791" t="s">
        <v>4515</v>
      </c>
      <c r="N197" s="1782"/>
      <c r="O197" s="1782"/>
      <c r="P197" s="1782"/>
      <c r="Q197" s="1015"/>
      <c r="S197" s="1783" t="s">
        <v>4516</v>
      </c>
      <c r="T197" s="1782"/>
      <c r="U197" s="243">
        <v>1.65</v>
      </c>
      <c r="V197" s="238" t="n">
        <f>U197*20</f>
        <v>33</v>
      </c>
    </row>
    <row r="198" spans="7:22" ht="16.05" customHeight="1">
      <c r="G198" s="1801" t="s">
        <v>4517</v>
      </c>
      <c r="H198" s="1019"/>
      <c r="I198" s="1019"/>
      <c r="J198" s="262">
        <v>125</v>
      </c>
      <c r="K198" s="249" t="n">
        <f>J198*20</f>
        <v>2500</v>
      </c>
      <c r="M198" s="1783" t="s">
        <v>4518</v>
      </c>
      <c r="N198" s="1782"/>
      <c r="O198" s="1782"/>
      <c r="P198" s="243">
        <v>98</v>
      </c>
      <c r="Q198" s="1838" t="s">
        <v>4373</v>
      </c>
      <c r="S198" s="1781" t="s">
        <v>4519</v>
      </c>
      <c r="T198" s="1782"/>
      <c r="U198" s="261">
        <v>4.82</v>
      </c>
      <c r="V198" s="239" t="n">
        <f>U198*20</f>
        <v>96.4</v>
      </c>
    </row>
    <row r="199" spans="7:22" ht="16.05" customHeight="1">
      <c r="M199" s="1781" t="s">
        <v>4520</v>
      </c>
      <c r="N199" s="1782"/>
      <c r="O199" s="1782"/>
      <c r="P199" s="261">
        <v>0.75</v>
      </c>
      <c r="Q199" s="1015"/>
      <c r="S199" s="1788" t="s">
        <v>4521</v>
      </c>
      <c r="T199" s="1782"/>
      <c r="U199" s="243">
        <v>9.25</v>
      </c>
      <c r="V199" s="238" t="n">
        <f>U199*20</f>
        <v>185</v>
      </c>
    </row>
    <row r="200" spans="7:22" ht="16.05" customHeight="1">
      <c r="G200" s="1798" t="s">
        <v>383</v>
      </c>
      <c r="H200" s="1088"/>
      <c r="I200" s="1088"/>
      <c r="J200" s="1088"/>
      <c r="K200" s="1089"/>
      <c r="M200" s="1783" t="s">
        <v>4522</v>
      </c>
      <c r="N200" s="1782"/>
      <c r="O200" s="1782"/>
      <c r="P200" s="268" t="s">
        <v>4523</v>
      </c>
      <c r="Q200" s="1015"/>
      <c r="S200" s="1781" t="s">
        <v>4524</v>
      </c>
      <c r="T200" s="1782"/>
      <c r="U200" s="261">
        <v>6.15</v>
      </c>
      <c r="V200" s="239" t="n">
        <f>U200*20</f>
        <v>123</v>
      </c>
    </row>
    <row r="201" spans="7:22" ht="16.05" customHeight="1">
      <c r="G201" s="1785" t="s">
        <v>1482</v>
      </c>
      <c r="H201" s="1782"/>
      <c r="I201" s="1782"/>
      <c r="J201" s="240" t="s">
        <v>3899</v>
      </c>
      <c r="K201" s="272" t="s">
        <v>4086</v>
      </c>
      <c r="M201" s="1781" t="s">
        <v>4525</v>
      </c>
      <c r="N201" s="1782"/>
      <c r="O201" s="1782"/>
      <c r="P201" s="261">
        <v>0.38</v>
      </c>
      <c r="Q201" s="1015"/>
      <c r="S201" s="1783" t="s">
        <v>4526</v>
      </c>
      <c r="T201" s="1782"/>
      <c r="U201" s="243">
        <v>5.95</v>
      </c>
      <c r="V201" s="238" t="n">
        <f>U201*20</f>
        <v>119</v>
      </c>
    </row>
    <row r="202" spans="7:22" ht="16.05" customHeight="1">
      <c r="G202" s="1783" t="s">
        <v>4527</v>
      </c>
      <c r="H202" s="1782"/>
      <c r="I202" s="1782"/>
      <c r="J202" s="243" t="s">
        <v>4528</v>
      </c>
      <c r="K202" s="285" t="s">
        <v>4529</v>
      </c>
      <c r="M202" s="1783" t="s">
        <v>4530</v>
      </c>
      <c r="N202" s="1782"/>
      <c r="O202" s="1782"/>
      <c r="P202" s="243">
        <v>4.95</v>
      </c>
      <c r="Q202" s="1015"/>
      <c r="S202" s="1781" t="s">
        <v>4531</v>
      </c>
      <c r="T202" s="1782"/>
      <c r="U202" s="261">
        <v>3.75</v>
      </c>
      <c r="V202" s="239" t="n">
        <f>U202*20</f>
        <v>75</v>
      </c>
    </row>
    <row r="203" spans="7:22" ht="16.05" customHeight="1">
      <c r="G203" s="1781" t="s">
        <v>4532</v>
      </c>
      <c r="H203" s="1782"/>
      <c r="I203" s="1782"/>
      <c r="J203" s="261" t="s">
        <v>4533</v>
      </c>
      <c r="K203" s="280" t="s">
        <v>4534</v>
      </c>
      <c r="M203" s="1781" t="s">
        <v>4535</v>
      </c>
      <c r="N203" s="1782"/>
      <c r="O203" s="1782"/>
      <c r="P203" s="286" t="s">
        <v>4536</v>
      </c>
      <c r="Q203" s="1015"/>
      <c r="S203" s="1783" t="s">
        <v>4537</v>
      </c>
      <c r="T203" s="1782"/>
      <c r="U203" s="243">
        <v>1.68</v>
      </c>
      <c r="V203" s="238" t="n">
        <f>U203*20</f>
        <v>33.6</v>
      </c>
    </row>
    <row r="204" spans="7:22" ht="16.05" customHeight="1">
      <c r="G204" s="1801" t="s">
        <v>4538</v>
      </c>
      <c r="H204" s="1019"/>
      <c r="I204" s="1019"/>
      <c r="J204" s="262">
        <v>30</v>
      </c>
      <c r="K204" s="249" t="n">
        <f>J204*20</f>
        <v>600</v>
      </c>
      <c r="M204" s="1783" t="s">
        <v>4539</v>
      </c>
      <c r="N204" s="1782"/>
      <c r="O204" s="1782"/>
      <c r="P204" s="243">
        <v>140</v>
      </c>
      <c r="Q204" s="1015"/>
      <c r="S204" s="1789" t="s">
        <v>4540</v>
      </c>
      <c r="T204" s="1782"/>
      <c r="U204" s="261">
        <v>7.4</v>
      </c>
      <c r="V204" s="239" t="n">
        <f>U204*20</f>
        <v>148</v>
      </c>
    </row>
    <row r="205" spans="7:22" ht="16.05" customHeight="1">
      <c r="M205" s="1781" t="s">
        <v>4541</v>
      </c>
      <c r="N205" s="1782"/>
      <c r="O205" s="1782"/>
      <c r="P205" s="261">
        <v>335</v>
      </c>
      <c r="Q205" s="1015"/>
      <c r="S205" s="1783" t="s">
        <v>4542</v>
      </c>
      <c r="T205" s="1782"/>
      <c r="U205" s="243">
        <v>0.59</v>
      </c>
      <c r="V205" s="238" t="n">
        <f>U205*20</f>
        <v>11.8</v>
      </c>
    </row>
    <row r="206" spans="7:22" ht="16.05" customHeight="1">
      <c r="M206" s="1783" t="s">
        <v>4543</v>
      </c>
      <c r="N206" s="1782"/>
      <c r="O206" s="1782"/>
      <c r="P206" s="243">
        <v>65</v>
      </c>
      <c r="Q206" s="1015"/>
      <c r="S206" s="1789" t="s">
        <v>4544</v>
      </c>
      <c r="T206" s="1782"/>
      <c r="U206" s="261">
        <v>0.98</v>
      </c>
      <c r="V206" s="239" t="n">
        <f>U206*20</f>
        <v>19.6</v>
      </c>
    </row>
    <row r="207" spans="7:22" ht="16.05" customHeight="1">
      <c r="M207" s="1791" t="s">
        <v>1368</v>
      </c>
      <c r="N207" s="1782"/>
      <c r="O207" s="1782"/>
      <c r="P207" s="1782"/>
      <c r="Q207" s="1015"/>
      <c r="S207" s="1783" t="s">
        <v>4545</v>
      </c>
      <c r="T207" s="1782"/>
      <c r="U207" s="243">
        <v>0.59</v>
      </c>
      <c r="V207" s="238" t="n">
        <f>U207*20</f>
        <v>11.8</v>
      </c>
    </row>
    <row r="208" spans="7:22" ht="16.05" customHeight="1">
      <c r="M208" s="1783" t="s">
        <v>4546</v>
      </c>
      <c r="N208" s="1782"/>
      <c r="O208" s="1782"/>
      <c r="P208" s="243">
        <v>7.45</v>
      </c>
      <c r="Q208" s="238" t="n">
        <f>P208*20</f>
        <v>149</v>
      </c>
      <c r="S208" s="1781" t="s">
        <v>4547</v>
      </c>
      <c r="T208" s="1782"/>
      <c r="U208" s="261">
        <v>1.39</v>
      </c>
      <c r="V208" s="239" t="n">
        <f>U208*20</f>
        <v>27.8</v>
      </c>
    </row>
    <row r="209" spans="8:22" ht="16.05" customHeight="1">
      <c r="M209" s="1781" t="s">
        <v>4548</v>
      </c>
      <c r="N209" s="1782"/>
      <c r="O209" s="1782"/>
      <c r="P209" s="261">
        <v>69.75</v>
      </c>
      <c r="Q209" s="239" t="n">
        <f>P209*20</f>
        <v>1395</v>
      </c>
      <c r="S209" s="1788" t="s">
        <v>4549</v>
      </c>
      <c r="T209" s="1782"/>
      <c r="U209" s="243">
        <v>23.95</v>
      </c>
      <c r="V209" s="238" t="n">
        <f>U209*20</f>
        <v>479</v>
      </c>
    </row>
    <row r="210" spans="8:22" ht="16.05" customHeight="1">
      <c r="H210" s="271"/>
      <c r="M210" s="1783" t="s">
        <v>4550</v>
      </c>
      <c r="N210" s="1782"/>
      <c r="O210" s="1782"/>
      <c r="P210" s="243">
        <v>8.9499999999999993</v>
      </c>
      <c r="Q210" s="238" t="n">
        <f>P210*20</f>
        <v>179</v>
      </c>
      <c r="S210" s="1809" t="s">
        <v>4551</v>
      </c>
      <c r="T210" s="1782"/>
      <c r="U210" s="261">
        <v>2.2999999999999998</v>
      </c>
      <c r="V210" s="239" t="n">
        <f>U210*20</f>
        <v>46</v>
      </c>
    </row>
    <row r="211" spans="8:22" ht="16.05" customHeight="1">
      <c r="M211" s="1781" t="s">
        <v>4552</v>
      </c>
      <c r="N211" s="1782"/>
      <c r="O211" s="1782"/>
      <c r="P211" s="261">
        <v>2.75</v>
      </c>
      <c r="Q211" s="239" t="n">
        <f>P211*20</f>
        <v>55</v>
      </c>
      <c r="S211" s="1783" t="s">
        <v>4553</v>
      </c>
      <c r="T211" s="1782"/>
      <c r="U211" s="243">
        <v>1.99</v>
      </c>
      <c r="V211" s="238" t="n">
        <f>U211*20</f>
        <v>39.8</v>
      </c>
    </row>
    <row r="212" spans="8:22" ht="16.05" customHeight="1">
      <c r="M212" s="1783" t="s">
        <v>4554</v>
      </c>
      <c r="N212" s="1782"/>
      <c r="O212" s="1782"/>
      <c r="P212" s="243">
        <v>9.9499999999999993</v>
      </c>
      <c r="Q212" s="238" t="n">
        <f>P212*20</f>
        <v>199</v>
      </c>
      <c r="S212" s="1803" t="s">
        <v>4555</v>
      </c>
      <c r="T212" s="1019"/>
      <c r="U212" s="254">
        <v>1.8</v>
      </c>
      <c r="V212" s="242" t="n">
        <f>U212*20</f>
        <v>36</v>
      </c>
    </row>
    <row r="213" spans="8:22" ht="16.05" customHeight="1">
      <c r="M213" s="1781" t="s">
        <v>4556</v>
      </c>
      <c r="N213" s="1782"/>
      <c r="O213" s="1782"/>
      <c r="P213" s="261">
        <v>14.95</v>
      </c>
      <c r="Q213" s="239" t="n">
        <f>P213*20</f>
        <v>299</v>
      </c>
    </row>
    <row r="214" spans="8:22" ht="16.05" customHeight="1">
      <c r="M214" s="1783" t="s">
        <v>4557</v>
      </c>
      <c r="N214" s="1782"/>
      <c r="O214" s="1782"/>
      <c r="P214" s="243">
        <v>3.45</v>
      </c>
      <c r="Q214" s="238" t="n">
        <f>P214*20</f>
        <v>69</v>
      </c>
    </row>
    <row r="215" spans="8:22" ht="16.05" customHeight="1">
      <c r="M215" s="1781" t="s">
        <v>4558</v>
      </c>
      <c r="N215" s="1782"/>
      <c r="O215" s="1782"/>
      <c r="P215" s="261">
        <v>127</v>
      </c>
      <c r="Q215" s="239" t="n">
        <f>P215*20</f>
        <v>2540</v>
      </c>
    </row>
    <row r="216" spans="8:22" ht="16.05" customHeight="1">
      <c r="M216" s="1801" t="s">
        <v>4559</v>
      </c>
      <c r="N216" s="1019"/>
      <c r="O216" s="1019"/>
      <c r="P216" s="262">
        <v>447</v>
      </c>
      <c r="Q216" s="249" t="n">
        <f>P216*20</f>
        <v>8940</v>
      </c>
    </row>
  </sheetData>
  <mergeCells count="815">
    <mergeCell ref="B163:C163"/>
    <mergeCell ref="B113:C113"/>
    <mergeCell ref="B139:C139"/>
    <mergeCell ref="B114:C114"/>
    <mergeCell ref="Z70:AA70"/>
    <mergeCell ref="X103:Y103"/>
    <mergeCell ref="M207:Q207"/>
    <mergeCell ref="M81:O81"/>
    <mergeCell ref="Z66:AA66"/>
    <mergeCell ref="R69:S69"/>
    <mergeCell ref="B159:E159"/>
    <mergeCell ref="B147:C147"/>
    <mergeCell ref="S207:T207"/>
    <mergeCell ref="G191:K191"/>
    <mergeCell ref="M187:O187"/>
    <mergeCell ref="B152:C152"/>
    <mergeCell ref="Z72:AA72"/>
    <mergeCell ref="S192:T192"/>
    <mergeCell ref="S190:T190"/>
    <mergeCell ref="S196:T196"/>
    <mergeCell ref="S174:T174"/>
    <mergeCell ref="G204:I204"/>
    <mergeCell ref="G183:I183"/>
    <mergeCell ref="B100:C100"/>
    <mergeCell ref="Y21:Z21"/>
    <mergeCell ref="S150:V150"/>
    <mergeCell ref="M145:O145"/>
    <mergeCell ref="X132:Z132"/>
    <mergeCell ref="F36:J36"/>
    <mergeCell ref="G201:I201"/>
    <mergeCell ref="F33:J33"/>
    <mergeCell ref="R82:S82"/>
    <mergeCell ref="R65:T65"/>
    <mergeCell ref="G196:I196"/>
    <mergeCell ref="M158:O158"/>
    <mergeCell ref="S180:T180"/>
    <mergeCell ref="M95:O95"/>
    <mergeCell ref="M160:O160"/>
    <mergeCell ref="S185:T185"/>
    <mergeCell ref="G125:I125"/>
    <mergeCell ref="G112:I112"/>
    <mergeCell ref="X137:Z137"/>
    <mergeCell ref="S177:T177"/>
    <mergeCell ref="R67:S67"/>
    <mergeCell ref="M184:O184"/>
    <mergeCell ref="Z67:AA67"/>
    <mergeCell ref="M171:O171"/>
    <mergeCell ref="G185:I185"/>
    <mergeCell ref="M209:O209"/>
    <mergeCell ref="M76:O76"/>
    <mergeCell ref="M147:O147"/>
    <mergeCell ref="B80:D80"/>
    <mergeCell ref="G203:I203"/>
    <mergeCell ref="R51:S51"/>
    <mergeCell ref="Y16:Z16"/>
    <mergeCell ref="S146:T146"/>
    <mergeCell ref="M211:O211"/>
    <mergeCell ref="G82:J82"/>
    <mergeCell ref="F31:J31"/>
    <mergeCell ref="N28:R28"/>
    <mergeCell ref="G57:J57"/>
    <mergeCell ref="Y18:Z18"/>
    <mergeCell ref="S154:T154"/>
    <mergeCell ref="V44:Y44"/>
    <mergeCell ref="G146:J146"/>
    <mergeCell ref="G107:I107"/>
    <mergeCell ref="N30:R30"/>
    <mergeCell ref="M91:Q91"/>
    <mergeCell ref="S183:T183"/>
    <mergeCell ref="G58:J58"/>
    <mergeCell ref="B129:C129"/>
    <mergeCell ref="M94:O94"/>
    <mergeCell ref="M212:O212"/>
    <mergeCell ref="S156:T156"/>
    <mergeCell ref="M108:O108"/>
    <mergeCell ref="G11:H11"/>
    <mergeCell ref="I11:J11"/>
    <mergeCell ref="S155:T155"/>
    <mergeCell ref="S93:T93"/>
    <mergeCell ref="S198:T198"/>
    <mergeCell ref="B51:D51"/>
    <mergeCell ref="B172:C172"/>
    <mergeCell ref="B99:C99"/>
    <mergeCell ref="B92:C92"/>
    <mergeCell ref="M98:O98"/>
    <mergeCell ref="B94:C94"/>
    <mergeCell ref="G142:J142"/>
    <mergeCell ref="B77:D77"/>
    <mergeCell ref="G80:J80"/>
    <mergeCell ref="S106:T106"/>
    <mergeCell ref="S209:T209"/>
    <mergeCell ref="B74:D74"/>
    <mergeCell ref="S203:T203"/>
    <mergeCell ref="B68:D68"/>
    <mergeCell ref="M97:O97"/>
    <mergeCell ref="A9:D11"/>
    <mergeCell ref="X138:Z138"/>
    <mergeCell ref="M72:O72"/>
    <mergeCell ref="W7:X7"/>
    <mergeCell ref="G70:J70"/>
    <mergeCell ref="Z68:AA68"/>
    <mergeCell ref="B76:D76"/>
    <mergeCell ref="G79:J79"/>
    <mergeCell ref="X139:Z139"/>
    <mergeCell ref="M47:O47"/>
    <mergeCell ref="I12:J12"/>
    <mergeCell ref="W10:X10"/>
    <mergeCell ref="S105:T105"/>
    <mergeCell ref="G73:J73"/>
    <mergeCell ref="O10:P10"/>
    <mergeCell ref="X119:Y119"/>
    <mergeCell ref="B90:AA90"/>
    <mergeCell ref="G17:H17"/>
    <mergeCell ref="W8:X8"/>
    <mergeCell ref="R72:S72"/>
    <mergeCell ref="Z69:AA69"/>
    <mergeCell ref="M113:O113"/>
    <mergeCell ref="G16:H16"/>
    <mergeCell ref="W21:X21"/>
    <mergeCell ref="B53:D53"/>
    <mergeCell ref="G198:I198"/>
    <mergeCell ref="S171:T171"/>
    <mergeCell ref="G149:I149"/>
    <mergeCell ref="S136:T136"/>
    <mergeCell ref="E6:K6"/>
    <mergeCell ref="N36:R36"/>
    <mergeCell ref="G9:H9"/>
    <mergeCell ref="I9:J9"/>
    <mergeCell ref="B144:C144"/>
    <mergeCell ref="G65:J65"/>
    <mergeCell ref="G144:J144"/>
    <mergeCell ref="B142:C142"/>
    <mergeCell ref="M173:O173"/>
    <mergeCell ref="M148:O148"/>
    <mergeCell ref="B156:C156"/>
    <mergeCell ref="B64:E64"/>
    <mergeCell ref="B73:D73"/>
    <mergeCell ref="B131:C131"/>
    <mergeCell ref="B60:D60"/>
    <mergeCell ref="S164:T164"/>
    <mergeCell ref="B141:C141"/>
    <mergeCell ref="G135:J135"/>
    <mergeCell ref="G127:I127"/>
    <mergeCell ref="G78:J78"/>
    <mergeCell ref="S191:T191"/>
    <mergeCell ref="M178:Q178"/>
    <mergeCell ref="M188:O188"/>
    <mergeCell ref="S178:T178"/>
    <mergeCell ref="M214:O214"/>
    <mergeCell ref="S170:T170"/>
    <mergeCell ref="G60:J60"/>
    <mergeCell ref="G123:I123"/>
    <mergeCell ref="M85:O85"/>
    <mergeCell ref="G110:I110"/>
    <mergeCell ref="S100:V100"/>
    <mergeCell ref="S101:T101"/>
    <mergeCell ref="S199:T199"/>
    <mergeCell ref="M166:O166"/>
    <mergeCell ref="R83:S83"/>
    <mergeCell ref="M103:O103"/>
    <mergeCell ref="M159:O159"/>
    <mergeCell ref="M118:O118"/>
    <mergeCell ref="M96:O96"/>
    <mergeCell ref="M167:O167"/>
    <mergeCell ref="V63:Y63"/>
    <mergeCell ref="M161:O161"/>
    <mergeCell ref="X113:Y113"/>
    <mergeCell ref="M111:O111"/>
    <mergeCell ref="B44:D44"/>
    <mergeCell ref="N32:R34"/>
    <mergeCell ref="B102:C102"/>
    <mergeCell ref="M104:O104"/>
    <mergeCell ref="M164:O164"/>
    <mergeCell ref="G104:I104"/>
    <mergeCell ref="S120:T120"/>
    <mergeCell ref="B91:E91"/>
    <mergeCell ref="G81:J81"/>
    <mergeCell ref="S107:T107"/>
    <mergeCell ref="M43:P43"/>
    <mergeCell ref="B155:E155"/>
    <mergeCell ref="G145:J145"/>
    <mergeCell ref="G157:I157"/>
    <mergeCell ref="M119:O119"/>
    <mergeCell ref="B63:C63"/>
    <mergeCell ref="M155:O155"/>
    <mergeCell ref="M93:O93"/>
    <mergeCell ref="B150:C150"/>
    <mergeCell ref="S132:T132"/>
    <mergeCell ref="B140:C140"/>
    <mergeCell ref="M45:O45"/>
    <mergeCell ref="G154:I154"/>
    <mergeCell ref="B145:C145"/>
    <mergeCell ref="Q9:R9"/>
    <mergeCell ref="X135:Z135"/>
    <mergeCell ref="X122:Y122"/>
    <mergeCell ref="M130:O130"/>
    <mergeCell ref="G155:I155"/>
    <mergeCell ref="M117:O117"/>
    <mergeCell ref="R56:S56"/>
    <mergeCell ref="M55:O55"/>
    <mergeCell ref="G20:H20"/>
    <mergeCell ref="I20:J20"/>
    <mergeCell ref="Q17:R17"/>
    <mergeCell ref="O11:P11"/>
    <mergeCell ref="Q11:R11"/>
    <mergeCell ref="O17:P17"/>
    <mergeCell ref="M132:O132"/>
    <mergeCell ref="Z63:AA63"/>
    <mergeCell ref="V54:Y54"/>
    <mergeCell ref="V68:Y68"/>
    <mergeCell ref="X118:Y118"/>
    <mergeCell ref="V59:Y59"/>
    <mergeCell ref="B42:AA42"/>
    <mergeCell ref="V47:Y47"/>
    <mergeCell ref="S125:T125"/>
    <mergeCell ref="B115:C115"/>
    <mergeCell ref="Y12:Z12"/>
    <mergeCell ref="Q198:Q206"/>
    <mergeCell ref="G22:H22"/>
    <mergeCell ref="I13:J13"/>
    <mergeCell ref="X96:Y96"/>
    <mergeCell ref="M69:O69"/>
    <mergeCell ref="G101:I101"/>
    <mergeCell ref="G172:I172"/>
    <mergeCell ref="S110:T110"/>
    <mergeCell ref="M49:O49"/>
    <mergeCell ref="G166:I166"/>
    <mergeCell ref="G116:I116"/>
    <mergeCell ref="S144:T144"/>
    <mergeCell ref="G45:J45"/>
    <mergeCell ref="G103:I103"/>
    <mergeCell ref="N26:R26"/>
    <mergeCell ref="S119:T119"/>
    <mergeCell ref="Q21:R21"/>
    <mergeCell ref="S165:T165"/>
    <mergeCell ref="M80:O80"/>
    <mergeCell ref="W16:X16"/>
    <mergeCell ref="V74:Y74"/>
    <mergeCell ref="W17:X17"/>
    <mergeCell ref="R81:S81"/>
    <mergeCell ref="M208:O208"/>
    <mergeCell ref="V56:Y56"/>
    <mergeCell ref="G77:J77"/>
    <mergeCell ref="X133:Z133"/>
    <mergeCell ref="X125:Y125"/>
    <mergeCell ref="Z62:AA62"/>
    <mergeCell ref="X127:Y127"/>
    <mergeCell ref="Y17:Z17"/>
    <mergeCell ref="Z64:AA64"/>
    <mergeCell ref="N29:R29"/>
    <mergeCell ref="Q22:R22"/>
    <mergeCell ref="M83:O83"/>
    <mergeCell ref="X93:Y93"/>
    <mergeCell ref="N31:R31"/>
    <mergeCell ref="M66:O66"/>
    <mergeCell ref="V72:Y72"/>
    <mergeCell ref="S151:T151"/>
    <mergeCell ref="M116:O116"/>
    <mergeCell ref="G19:H19"/>
    <mergeCell ref="M205:O205"/>
    <mergeCell ref="X124:Y124"/>
    <mergeCell ref="M180:O180"/>
    <mergeCell ref="M100:Q100"/>
    <mergeCell ref="G76:K76"/>
    <mergeCell ref="M210:O210"/>
    <mergeCell ref="B166:C166"/>
    <mergeCell ref="M185:O185"/>
    <mergeCell ref="B116:C116"/>
    <mergeCell ref="B45:D45"/>
    <mergeCell ref="B103:C103"/>
    <mergeCell ref="B174:C174"/>
    <mergeCell ref="S128:T128"/>
    <mergeCell ref="M122:O122"/>
    <mergeCell ref="B168:C168"/>
    <mergeCell ref="G106:I106"/>
    <mergeCell ref="M56:O56"/>
    <mergeCell ref="M201:O201"/>
    <mergeCell ref="M203:O203"/>
    <mergeCell ref="G189:I189"/>
    <mergeCell ref="M196:O196"/>
    <mergeCell ref="M190:Q190"/>
    <mergeCell ref="G97:I97"/>
    <mergeCell ref="R52:S52"/>
    <mergeCell ref="G197:I197"/>
    <mergeCell ref="M206:O206"/>
    <mergeCell ref="R58:T58"/>
    <mergeCell ref="B137:C137"/>
    <mergeCell ref="R50:S50"/>
    <mergeCell ref="I8:J8"/>
    <mergeCell ref="B118:C118"/>
    <mergeCell ref="G105:I105"/>
    <mergeCell ref="X130:Z130"/>
    <mergeCell ref="B47:D47"/>
    <mergeCell ref="M186:O186"/>
    <mergeCell ref="S157:T157"/>
    <mergeCell ref="B59:D59"/>
    <mergeCell ref="X109:Y109"/>
    <mergeCell ref="B46:D46"/>
    <mergeCell ref="G49:J49"/>
    <mergeCell ref="I10:J10"/>
    <mergeCell ref="G159:K159"/>
    <mergeCell ref="G147:I147"/>
    <mergeCell ref="B48:D48"/>
    <mergeCell ref="M138:O138"/>
    <mergeCell ref="F29:J29"/>
    <mergeCell ref="B127:E127"/>
    <mergeCell ref="O19:P19"/>
    <mergeCell ref="B134:C134"/>
    <mergeCell ref="X136:Z136"/>
    <mergeCell ref="B121:C121"/>
    <mergeCell ref="M140:O140"/>
    <mergeCell ref="B96:C96"/>
    <mergeCell ref="B189:C189"/>
    <mergeCell ref="G176:I176"/>
    <mergeCell ref="Y9:Z9"/>
    <mergeCell ref="X129:AA129"/>
    <mergeCell ref="M133:O133"/>
    <mergeCell ref="M204:O204"/>
    <mergeCell ref="W20:X20"/>
    <mergeCell ref="M198:O198"/>
    <mergeCell ref="O20:P20"/>
    <mergeCell ref="Y20:Z20"/>
    <mergeCell ref="B98:C98"/>
    <mergeCell ref="Q20:R20"/>
    <mergeCell ref="Y11:Z11"/>
    <mergeCell ref="G113:I113"/>
    <mergeCell ref="M135:O135"/>
    <mergeCell ref="F32:J32"/>
    <mergeCell ref="G100:I100"/>
    <mergeCell ref="W22:X22"/>
    <mergeCell ref="F26:J26"/>
    <mergeCell ref="B162:C162"/>
    <mergeCell ref="X112:Y112"/>
    <mergeCell ref="G94:I94"/>
    <mergeCell ref="O22:P22"/>
    <mergeCell ref="Y22:Z22"/>
    <mergeCell ref="Q8:R8"/>
    <mergeCell ref="S187:V187"/>
    <mergeCell ref="G52:J52"/>
    <mergeCell ref="Q10:R10"/>
    <mergeCell ref="M179:O179"/>
    <mergeCell ref="G46:J46"/>
    <mergeCell ref="V5:AB5"/>
    <mergeCell ref="S205:T205"/>
    <mergeCell ref="V64:Y64"/>
    <mergeCell ref="G202:I202"/>
    <mergeCell ref="G102:I102"/>
    <mergeCell ref="G158:I158"/>
    <mergeCell ref="G124:K124"/>
    <mergeCell ref="M78:P78"/>
    <mergeCell ref="S142:T142"/>
    <mergeCell ref="V61:AA61"/>
    <mergeCell ref="R75:S75"/>
    <mergeCell ref="F27:J27"/>
    <mergeCell ref="S172:T172"/>
    <mergeCell ref="R62:S62"/>
    <mergeCell ref="M59:O59"/>
    <mergeCell ref="M193:O193"/>
    <mergeCell ref="G182:K182"/>
    <mergeCell ref="S147:T147"/>
    <mergeCell ref="B188:C188"/>
    <mergeCell ref="M82:O82"/>
    <mergeCell ref="M153:O153"/>
    <mergeCell ref="B109:C109"/>
    <mergeCell ref="B67:D67"/>
    <mergeCell ref="M54:O54"/>
    <mergeCell ref="B61:D61"/>
    <mergeCell ref="G184:I184"/>
    <mergeCell ref="G171:I171"/>
    <mergeCell ref="M65:O65"/>
    <mergeCell ref="M129:Q129"/>
    <mergeCell ref="G63:J63"/>
    <mergeCell ref="G134:J134"/>
    <mergeCell ref="G121:I121"/>
    <mergeCell ref="B69:D69"/>
    <mergeCell ref="B187:C187"/>
    <mergeCell ref="B66:D66"/>
    <mergeCell ref="B124:C124"/>
    <mergeCell ref="G186:I186"/>
    <mergeCell ref="M62:P62"/>
    <mergeCell ref="G92:I92"/>
    <mergeCell ref="B165:C165"/>
    <mergeCell ref="B181:C181"/>
    <mergeCell ref="G178:I178"/>
    <mergeCell ref="G192:I192"/>
    <mergeCell ref="M154:O154"/>
    <mergeCell ref="R80:S80"/>
    <mergeCell ref="G71:J71"/>
    <mergeCell ref="G129:I129"/>
    <mergeCell ref="R55:S55"/>
    <mergeCell ref="S163:T163"/>
    <mergeCell ref="S168:T168"/>
    <mergeCell ref="S167:T167"/>
    <mergeCell ref="R60:S60"/>
    <mergeCell ref="M84:O84"/>
    <mergeCell ref="M75:O75"/>
    <mergeCell ref="G143:J143"/>
    <mergeCell ref="S169:T169"/>
    <mergeCell ref="M141:O141"/>
    <mergeCell ref="S184:T184"/>
    <mergeCell ref="S103:T103"/>
    <mergeCell ref="R59:S59"/>
    <mergeCell ref="S94:T94"/>
    <mergeCell ref="G126:I126"/>
    <mergeCell ref="G165:K165"/>
    <mergeCell ref="M182:O182"/>
    <mergeCell ref="M183:O183"/>
    <mergeCell ref="S176:T176"/>
    <mergeCell ref="G173:I173"/>
    <mergeCell ref="R54:S54"/>
    <mergeCell ref="M53:O53"/>
    <mergeCell ref="G170:I170"/>
    <mergeCell ref="M169:O169"/>
    <mergeCell ref="U6:AA6"/>
    <mergeCell ref="M156:O156"/>
    <mergeCell ref="Y7:Z7"/>
    <mergeCell ref="G53:J53"/>
    <mergeCell ref="S138:T138"/>
    <mergeCell ref="G139:J139"/>
    <mergeCell ref="V51:Y51"/>
    <mergeCell ref="S140:T140"/>
    <mergeCell ref="Z65:AA65"/>
    <mergeCell ref="N27:R27"/>
    <mergeCell ref="R48:S48"/>
    <mergeCell ref="Q16:R16"/>
    <mergeCell ref="Y8:Z8"/>
    <mergeCell ref="W19:X19"/>
    <mergeCell ref="Z71:AA71"/>
    <mergeCell ref="U15:AA15"/>
    <mergeCell ref="W9:X9"/>
    <mergeCell ref="R78:S78"/>
    <mergeCell ref="M6:S6"/>
    <mergeCell ref="B112:C112"/>
    <mergeCell ref="X108:Y108"/>
    <mergeCell ref="M131:O131"/>
    <mergeCell ref="G131:I131"/>
    <mergeCell ref="B62:D62"/>
    <mergeCell ref="G66:J66"/>
    <mergeCell ref="G137:J137"/>
    <mergeCell ref="S92:T92"/>
    <mergeCell ref="B72:D72"/>
    <mergeCell ref="G74:J74"/>
    <mergeCell ref="B70:D70"/>
    <mergeCell ref="R73:S73"/>
    <mergeCell ref="S113:T113"/>
    <mergeCell ref="X121:Y121"/>
    <mergeCell ref="B65:D65"/>
    <mergeCell ref="G109:I109"/>
    <mergeCell ref="G122:I122"/>
    <mergeCell ref="X98:Y98"/>
    <mergeCell ref="V62:Y62"/>
    <mergeCell ref="X115:Y115"/>
    <mergeCell ref="X102:Y102"/>
    <mergeCell ref="S104:T104"/>
    <mergeCell ref="X100:Y100"/>
    <mergeCell ref="B138:C138"/>
    <mergeCell ref="M109:O109"/>
    <mergeCell ref="G12:H12"/>
    <mergeCell ref="G7:H7"/>
    <mergeCell ref="I7:J7"/>
    <mergeCell ref="S200:T200"/>
    <mergeCell ref="S194:T194"/>
    <mergeCell ref="G188:I188"/>
    <mergeCell ref="S181:T181"/>
    <mergeCell ref="F35:J35"/>
    <mergeCell ref="G69:K69"/>
    <mergeCell ref="G67:J67"/>
    <mergeCell ref="S160:T160"/>
    <mergeCell ref="S131:T131"/>
    <mergeCell ref="G61:J61"/>
    <mergeCell ref="G119:I119"/>
    <mergeCell ref="G48:J48"/>
    <mergeCell ref="B39:AA41"/>
    <mergeCell ref="S97:T97"/>
    <mergeCell ref="G133:K133"/>
    <mergeCell ref="S195:T195"/>
    <mergeCell ref="M162:O162"/>
    <mergeCell ref="E181:E183"/>
    <mergeCell ref="W18:X18"/>
    <mergeCell ref="G167:I167"/>
    <mergeCell ref="G47:J47"/>
    <mergeCell ref="B158:C158"/>
    <mergeCell ref="M177:O177"/>
    <mergeCell ref="G62:J62"/>
    <mergeCell ref="W11:X11"/>
    <mergeCell ref="X114:Y114"/>
    <mergeCell ref="B95:C95"/>
    <mergeCell ref="M170:O170"/>
    <mergeCell ref="B160:C160"/>
    <mergeCell ref="M70:O70"/>
    <mergeCell ref="M15:S15"/>
    <mergeCell ref="M157:O157"/>
    <mergeCell ref="E15:K15"/>
    <mergeCell ref="B111:C111"/>
    <mergeCell ref="S133:T133"/>
    <mergeCell ref="S127:T127"/>
    <mergeCell ref="X123:Y123"/>
    <mergeCell ref="R66:S66"/>
    <mergeCell ref="Y13:Z13"/>
    <mergeCell ref="R53:S53"/>
    <mergeCell ref="M44:O44"/>
    <mergeCell ref="S162:T162"/>
    <mergeCell ref="R68:S68"/>
    <mergeCell ref="O9:P9"/>
    <mergeCell ref="B78:D78"/>
    <mergeCell ref="S102:T102"/>
    <mergeCell ref="G13:H13"/>
    <mergeCell ref="G10:H10"/>
    <mergeCell ref="F28:J28"/>
    <mergeCell ref="O12:P12"/>
    <mergeCell ref="O21:P21"/>
    <mergeCell ref="I17:J17"/>
    <mergeCell ref="I19:J19"/>
    <mergeCell ref="M23:S23"/>
    <mergeCell ref="R70:S70"/>
    <mergeCell ref="M57:O57"/>
    <mergeCell ref="R45:S45"/>
    <mergeCell ref="R46:S46"/>
    <mergeCell ref="R61:S61"/>
    <mergeCell ref="R49:T49"/>
    <mergeCell ref="M51:O51"/>
    <mergeCell ref="G50:J50"/>
    <mergeCell ref="B43:E43"/>
    <mergeCell ref="I21:J21"/>
    <mergeCell ref="Q12:R12"/>
    <mergeCell ref="G44:J44"/>
    <mergeCell ref="O16:P16"/>
    <mergeCell ref="M46:O46"/>
    <mergeCell ref="V65:Y65"/>
    <mergeCell ref="G140:J140"/>
    <mergeCell ref="S166:T166"/>
    <mergeCell ref="S91:V91"/>
    <mergeCell ref="G168:I168"/>
    <mergeCell ref="R74:S74"/>
    <mergeCell ref="G163:I163"/>
    <mergeCell ref="B175:C175"/>
    <mergeCell ref="M165:O165"/>
    <mergeCell ref="S116:T116"/>
    <mergeCell ref="M115:O115"/>
    <mergeCell ref="S152:T152"/>
    <mergeCell ref="B79:D79"/>
    <mergeCell ref="X104:Y104"/>
    <mergeCell ref="S130:V130"/>
    <mergeCell ref="M102:O102"/>
    <mergeCell ref="S118:T118"/>
    <mergeCell ref="G141:J141"/>
    <mergeCell ref="B81:D81"/>
    <mergeCell ref="M121:O121"/>
    <mergeCell ref="X91:AA91"/>
    <mergeCell ref="B153:C153"/>
    <mergeCell ref="B97:C97"/>
    <mergeCell ref="S208:T208"/>
    <mergeCell ref="B2:AA4"/>
    <mergeCell ref="M175:O175"/>
    <mergeCell ref="B148:C148"/>
    <mergeCell ref="M150:O150"/>
    <mergeCell ref="M125:O125"/>
    <mergeCell ref="W12:X12"/>
    <mergeCell ref="G150:I150"/>
    <mergeCell ref="M112:O112"/>
    <mergeCell ref="R76:S76"/>
    <mergeCell ref="Z73:AA73"/>
    <mergeCell ref="B146:C146"/>
    <mergeCell ref="B108:C108"/>
    <mergeCell ref="M152:O152"/>
    <mergeCell ref="M127:O127"/>
    <mergeCell ref="M176:O176"/>
    <mergeCell ref="B143:C143"/>
    <mergeCell ref="M114:O114"/>
    <mergeCell ref="B170:E170"/>
    <mergeCell ref="S95:T95"/>
    <mergeCell ref="G8:H8"/>
    <mergeCell ref="B167:C167"/>
    <mergeCell ref="B161:C161"/>
    <mergeCell ref="B136:C136"/>
    <mergeCell ref="M216:O216"/>
    <mergeCell ref="R77:S77"/>
    <mergeCell ref="G194:I194"/>
    <mergeCell ref="S197:T197"/>
    <mergeCell ref="S159:T159"/>
    <mergeCell ref="V49:Y49"/>
    <mergeCell ref="S153:T153"/>
    <mergeCell ref="G160:I160"/>
    <mergeCell ref="N35:R35"/>
    <mergeCell ref="X99:Y99"/>
    <mergeCell ref="G64:J64"/>
    <mergeCell ref="S161:T161"/>
    <mergeCell ref="S188:T188"/>
    <mergeCell ref="G51:J51"/>
    <mergeCell ref="S126:T126"/>
    <mergeCell ref="X101:Y101"/>
    <mergeCell ref="M105:O105"/>
    <mergeCell ref="V50:Y50"/>
    <mergeCell ref="S121:T121"/>
    <mergeCell ref="M120:O120"/>
    <mergeCell ref="V55:Y55"/>
    <mergeCell ref="M163:O163"/>
    <mergeCell ref="M101:O101"/>
    <mergeCell ref="S211:T211"/>
    <mergeCell ref="S210:T210"/>
    <mergeCell ref="X106:Y106"/>
    <mergeCell ref="G169:I169"/>
    <mergeCell ref="G91:K91"/>
    <mergeCell ref="X131:Z131"/>
    <mergeCell ref="S193:T193"/>
    <mergeCell ref="M64:O64"/>
    <mergeCell ref="V45:Y45"/>
    <mergeCell ref="W13:X13"/>
    <mergeCell ref="M191:O191"/>
    <mergeCell ref="Z74:AA74"/>
    <mergeCell ref="O13:P13"/>
    <mergeCell ref="G21:H21"/>
    <mergeCell ref="Q13:R13"/>
    <mergeCell ref="M192:O192"/>
    <mergeCell ref="G195:I195"/>
    <mergeCell ref="S175:T175"/>
    <mergeCell ref="M200:O200"/>
    <mergeCell ref="M134:O134"/>
    <mergeCell ref="X126:Y126"/>
    <mergeCell ref="M194:O194"/>
    <mergeCell ref="G152:K152"/>
    <mergeCell ref="V48:Y48"/>
    <mergeCell ref="I18:J18"/>
    <mergeCell ref="O7:P7"/>
    <mergeCell ref="Q7:R7"/>
    <mergeCell ref="R44:S44"/>
    <mergeCell ref="S134:T134"/>
    <mergeCell ref="B93:C93"/>
    <mergeCell ref="B149:C149"/>
    <mergeCell ref="S96:T96"/>
    <mergeCell ref="M168:O168"/>
    <mergeCell ref="V57:Y57"/>
    <mergeCell ref="G95:I95"/>
    <mergeCell ref="S111:T111"/>
    <mergeCell ref="I16:J16"/>
    <mergeCell ref="B151:C151"/>
    <mergeCell ref="G72:J72"/>
    <mergeCell ref="M144:Q144"/>
    <mergeCell ref="S98:T98"/>
    <mergeCell ref="B101:C101"/>
    <mergeCell ref="Y10:Z10"/>
    <mergeCell ref="G153:I153"/>
    <mergeCell ref="G18:H18"/>
    <mergeCell ref="G136:J136"/>
    <mergeCell ref="V58:Y58"/>
    <mergeCell ref="X92:Y92"/>
    <mergeCell ref="V52:Y52"/>
    <mergeCell ref="S204:T204"/>
    <mergeCell ref="M146:O146"/>
    <mergeCell ref="X94:Y94"/>
    <mergeCell ref="M181:O181"/>
    <mergeCell ref="S141:T141"/>
    <mergeCell ref="X141:AA146"/>
    <mergeCell ref="X105:Y105"/>
    <mergeCell ref="V70:Y70"/>
    <mergeCell ref="X120:Y120"/>
    <mergeCell ref="X107:Y107"/>
    <mergeCell ref="V71:Y71"/>
    <mergeCell ref="M136:O136"/>
    <mergeCell ref="X111:AA111"/>
    <mergeCell ref="V73:Y73"/>
    <mergeCell ref="S173:T173"/>
    <mergeCell ref="S145:T145"/>
    <mergeCell ref="M126:O126"/>
    <mergeCell ref="S179:T179"/>
    <mergeCell ref="M172:O172"/>
    <mergeCell ref="M99:O99"/>
    <mergeCell ref="S115:T115"/>
    <mergeCell ref="S112:T112"/>
    <mergeCell ref="X140:Z140"/>
    <mergeCell ref="S202:T202"/>
    <mergeCell ref="O8:P8"/>
    <mergeCell ref="S206:T206"/>
    <mergeCell ref="B183:C183"/>
    <mergeCell ref="G115:I115"/>
    <mergeCell ref="B177:C177"/>
    <mergeCell ref="S124:T124"/>
    <mergeCell ref="B104:C104"/>
    <mergeCell ref="B164:C164"/>
    <mergeCell ref="M52:O52"/>
    <mergeCell ref="M123:O123"/>
    <mergeCell ref="B56:D56"/>
    <mergeCell ref="M110:O110"/>
    <mergeCell ref="G179:I179"/>
    <mergeCell ref="M197:Q197"/>
    <mergeCell ref="B106:C106"/>
    <mergeCell ref="S109:T109"/>
    <mergeCell ref="G190:I190"/>
    <mergeCell ref="M174:O174"/>
    <mergeCell ref="R63:S63"/>
    <mergeCell ref="B180:C180"/>
    <mergeCell ref="M199:O199"/>
    <mergeCell ref="B130:C130"/>
    <mergeCell ref="B117:C117"/>
    <mergeCell ref="A12:D13"/>
    <mergeCell ref="R47:S47"/>
    <mergeCell ref="S137:T137"/>
    <mergeCell ref="M71:O71"/>
    <mergeCell ref="M202:O202"/>
    <mergeCell ref="G96:I96"/>
    <mergeCell ref="B75:D75"/>
    <mergeCell ref="M58:O58"/>
    <mergeCell ref="V43:AA43"/>
    <mergeCell ref="G161:I161"/>
    <mergeCell ref="S148:T148"/>
    <mergeCell ref="B179:E179"/>
    <mergeCell ref="S201:T201"/>
    <mergeCell ref="S139:T139"/>
    <mergeCell ref="G98:I98"/>
    <mergeCell ref="B87:AA89"/>
    <mergeCell ref="S114:T114"/>
    <mergeCell ref="G43:K43"/>
    <mergeCell ref="V53:Y53"/>
    <mergeCell ref="V46:Y46"/>
    <mergeCell ref="G180:I180"/>
    <mergeCell ref="G174:K174"/>
    <mergeCell ref="R43:T43"/>
    <mergeCell ref="X134:Z134"/>
    <mergeCell ref="B182:C182"/>
    <mergeCell ref="S212:T212"/>
    <mergeCell ref="R71:S71"/>
    <mergeCell ref="G156:I156"/>
    <mergeCell ref="G56:K56"/>
    <mergeCell ref="S143:T143"/>
    <mergeCell ref="B125:C125"/>
    <mergeCell ref="X95:Y95"/>
    <mergeCell ref="B185:C185"/>
    <mergeCell ref="X117:AA117"/>
    <mergeCell ref="V66:Y66"/>
    <mergeCell ref="G93:I93"/>
    <mergeCell ref="G120:K120"/>
    <mergeCell ref="M107:Q107"/>
    <mergeCell ref="G187:I187"/>
    <mergeCell ref="M149:O149"/>
    <mergeCell ref="B122:C122"/>
    <mergeCell ref="X97:Y97"/>
    <mergeCell ref="S123:V123"/>
    <mergeCell ref="B105:C105"/>
    <mergeCell ref="B176:C176"/>
    <mergeCell ref="G108:I108"/>
    <mergeCell ref="M124:O124"/>
    <mergeCell ref="M195:O195"/>
    <mergeCell ref="S117:T117"/>
    <mergeCell ref="B171:C171"/>
    <mergeCell ref="G193:I193"/>
    <mergeCell ref="B50:D50"/>
    <mergeCell ref="G111:I111"/>
    <mergeCell ref="G200:K200"/>
    <mergeCell ref="M142:O142"/>
    <mergeCell ref="B133:C133"/>
    <mergeCell ref="M79:O79"/>
    <mergeCell ref="M73:O73"/>
    <mergeCell ref="B173:C173"/>
    <mergeCell ref="M60:O60"/>
    <mergeCell ref="B135:C135"/>
    <mergeCell ref="G175:I175"/>
    <mergeCell ref="M137:O137"/>
    <mergeCell ref="B186:C186"/>
    <mergeCell ref="B54:D54"/>
    <mergeCell ref="B157:C157"/>
    <mergeCell ref="B132:C132"/>
    <mergeCell ref="B119:C119"/>
    <mergeCell ref="B57:D57"/>
    <mergeCell ref="B82:D82"/>
    <mergeCell ref="B184:C184"/>
    <mergeCell ref="G138:J138"/>
    <mergeCell ref="G118:I118"/>
    <mergeCell ref="Y19:Z19"/>
    <mergeCell ref="G128:K128"/>
    <mergeCell ref="I22:J22"/>
    <mergeCell ref="Q19:R19"/>
    <mergeCell ref="V67:Y67"/>
    <mergeCell ref="B55:D55"/>
    <mergeCell ref="G99:I99"/>
    <mergeCell ref="M63:O63"/>
    <mergeCell ref="B128:C128"/>
    <mergeCell ref="V69:Y69"/>
    <mergeCell ref="M50:O50"/>
    <mergeCell ref="F34:J34"/>
    <mergeCell ref="N25:R25"/>
    <mergeCell ref="F25:J25"/>
    <mergeCell ref="G54:J54"/>
    <mergeCell ref="R79:S79"/>
    <mergeCell ref="M74:O74"/>
    <mergeCell ref="F30:J30"/>
    <mergeCell ref="G114:I114"/>
    <mergeCell ref="B120:C120"/>
    <mergeCell ref="B49:D49"/>
    <mergeCell ref="B107:C107"/>
    <mergeCell ref="M68:P68"/>
    <mergeCell ref="G59:J59"/>
    <mergeCell ref="M215:O215"/>
    <mergeCell ref="G130:I130"/>
    <mergeCell ref="S158:T158"/>
    <mergeCell ref="A6:D8"/>
    <mergeCell ref="M92:O92"/>
    <mergeCell ref="G117:I117"/>
    <mergeCell ref="S108:T108"/>
    <mergeCell ref="B71:D71"/>
    <mergeCell ref="M48:O48"/>
    <mergeCell ref="B123:C123"/>
    <mergeCell ref="B58:D58"/>
    <mergeCell ref="B52:D52"/>
    <mergeCell ref="B110:C110"/>
    <mergeCell ref="S135:T135"/>
    <mergeCell ref="G162:I162"/>
    <mergeCell ref="O18:P18"/>
    <mergeCell ref="Q18:R18"/>
    <mergeCell ref="S189:T189"/>
    <mergeCell ref="G177:I177"/>
    <mergeCell ref="G148:I148"/>
    <mergeCell ref="M139:O139"/>
    <mergeCell ref="S182:T182"/>
    <mergeCell ref="M213:O213"/>
    <mergeCell ref="M151:O151"/>
  </mergeCells>
  <phoneticPr fontId="165" type="noConversion"/>
  <dataValidations count="7">
    <dataValidation allowBlank="1" showInputMessage="1" showErrorMessage="1" promptTitle="注" prompt="价格在$3000 以下的，准确射程不到 200 码" sqref="X139:Z139" xr:uid="{00000000-0002-0000-0800-000000000000}"/>
    <dataValidation allowBlank="1" showInputMessage="1" showErrorMessage="1" promptTitle="注" prompt="不知道为什么，物价表的信号枪价值100美元。_x000a_武器列表的信号枪却价值75美元了。_x000a_我觉得可能是求生和军用的区别吧？" sqref="P60" xr:uid="{00000000-0002-0000-0800-000001000000}"/>
    <dataValidation allowBlank="1" showInputMessage="1" showErrorMessage="1" promptTitle="注" prompt="和信号枪一样_x000a_这个价格也和武器表不一样_x000a_嘛，主要看dm怎么觉定啦" sqref="AA67" xr:uid="{00000000-0002-0000-0800-000002000000}"/>
    <dataValidation allowBlank="1" showInputMessage="1" showErrorMessage="1" promptTitle="注" prompt="和信号枪一样_x000a_价格跟武器表不一样_x000a_嘛，看kp啦" sqref="Z66:AA66" xr:uid="{00000000-0002-0000-0800-000003000000}"/>
    <dataValidation allowBlank="1" showInputMessage="1" showErrorMessage="1" promptTitle="注" prompt="悬停25秒" sqref="X138:Z138" xr:uid="{00000000-0002-0000-0800-000004000000}"/>
    <dataValidation allowBlank="1" showInputMessage="1" showErrorMessage="1" promptTitle="注" prompt="哑弹率30%" sqref="X137:Z137" xr:uid="{00000000-0002-0000-0800-000005000000}"/>
    <dataValidation allowBlank="1" showInputMessage="1" showErrorMessage="1" promptTitle="注" prompt="50% 哑弹率" sqref="X140:Z140" xr:uid="{00000000-0002-0000-0800-000006000000}"/>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246"/>
  <sheetViews>
    <sheetView showGridLines="0" workbookViewId="0">
      <selection activeCell="B2" sqref="B2:B105"/>
    </sheetView>
  </sheetViews>
  <sheetFormatPr defaultColWidth="8.88671875" defaultRowHeight="13.8"/>
  <cols>
    <col min="1" max="1" width="20.77734375" style="30" customWidth="1"/>
    <col min="2" max="2" width="30" style="30" customWidth="1"/>
    <col min="3" max="3" width="12.109375" style="30" customWidth="1"/>
    <col min="4" max="4" width="14.77734375" style="30" customWidth="1"/>
    <col min="5" max="5" width="8.77734375" style="30" customWidth="1"/>
    <col min="6" max="6" width="4.6640625" style="30" customWidth="1"/>
    <col min="7" max="7" width="10.77734375" style="30" customWidth="1"/>
    <col min="8" max="8" width="8" style="30" customWidth="1"/>
    <col min="9" max="9" width="7.77734375" style="30" customWidth="1"/>
    <col min="10" max="10" width="9.6640625" style="30" customWidth="1"/>
    <col min="11" max="12" width="13" style="31" customWidth="1"/>
    <col min="13" max="13" width="8.6640625" style="31" customWidth="1"/>
    <col min="14" max="14" width="9.109375" style="31" customWidth="1"/>
    <col min="15" max="17" width="8.88671875" style="31" customWidth="1"/>
    <col min="18" max="18" width="10.21875" style="31" customWidth="1"/>
    <col min="19" max="20" width="8.88671875" style="31" customWidth="1"/>
    <col min="21" max="22" width="39.21875" style="31" hidden="1" customWidth="1"/>
    <col min="23" max="23" width="12.109375" style="31" customWidth="1"/>
    <col min="24" max="24" width="14.77734375" style="31" customWidth="1"/>
    <col min="25" max="25" width="8.77734375" style="31" customWidth="1"/>
    <col min="26" max="26" width="4.6640625" style="31" customWidth="1"/>
    <col min="27" max="27" width="15.21875" style="31" customWidth="1"/>
    <col min="28" max="29" width="7.77734375" style="31" customWidth="1"/>
    <col min="30" max="30" width="9.6640625" style="31" customWidth="1"/>
    <col min="31" max="31" width="13" style="31" customWidth="1"/>
    <col min="32" max="36" width="8.88671875" style="31" customWidth="1"/>
    <col min="37" max="37" width="9.6640625" style="31" customWidth="1"/>
    <col min="38" max="39" width="8.88671875" style="31" customWidth="1"/>
    <col min="40" max="16384" width="8.88671875" style="31"/>
  </cols>
  <sheetData>
    <row r="1" spans="1:22" ht="21" customHeight="1">
      <c r="B1" s="870" t="s">
        <v>4560</v>
      </c>
      <c r="C1" s="870" t="s">
        <v>311</v>
      </c>
      <c r="D1" s="870" t="s">
        <v>165</v>
      </c>
      <c r="E1" s="870" t="s">
        <v>4561</v>
      </c>
      <c r="F1" s="870" t="s">
        <v>167</v>
      </c>
      <c r="G1" s="870" t="s">
        <v>4562</v>
      </c>
      <c r="H1" s="870" t="s">
        <v>169</v>
      </c>
      <c r="I1" s="870" t="s">
        <v>170</v>
      </c>
      <c r="J1" s="870" t="s">
        <v>4563</v>
      </c>
      <c r="K1" s="871" t="s">
        <v>4564</v>
      </c>
      <c r="L1" s="871" t="s">
        <v>4565</v>
      </c>
      <c r="M1" s="872" t="s">
        <v>162</v>
      </c>
      <c r="N1" s="1917" t="s">
        <v>268</v>
      </c>
      <c r="O1" s="1851"/>
      <c r="P1" s="1851"/>
      <c r="Q1" s="1851"/>
      <c r="R1" s="1851"/>
      <c r="U1" s="31" t="str">
        <f>人物卡!M4</f>
        <v>1920s</v>
      </c>
      <c r="V1" s="976"/>
    </row>
    <row r="2" spans="1:22" ht="14.25" customHeight="1">
      <c r="A2" s="1983" t="s">
        <v>4566</v>
      </c>
      <c r="B2" s="873" t="str">
        <f>IF(OR(J2="1920s,现代",$U$1="其他",J2=$U$1,J2="罕见"),U2,"-"&amp;U2)</f>
        <v>弓箭</v>
      </c>
      <c r="C2" s="874" t="s">
        <v>4567</v>
      </c>
      <c r="D2" s="875" t="s">
        <v>4568</v>
      </c>
      <c r="E2" s="875" t="s">
        <v>4569</v>
      </c>
      <c r="F2" s="875" t="s">
        <v>175</v>
      </c>
      <c r="G2" s="875" t="s">
        <v>4570</v>
      </c>
      <c r="H2" s="875" t="s">
        <v>4570</v>
      </c>
      <c r="I2" s="875" t="s">
        <v>4571</v>
      </c>
      <c r="J2" s="875" t="s">
        <v>4572</v>
      </c>
      <c r="K2" s="875" t="s">
        <v>4573</v>
      </c>
      <c r="L2" s="876" t="s">
        <v>92</v>
      </c>
      <c r="M2" s="1897" t="s">
        <v>4574</v>
      </c>
      <c r="N2" s="1991" t="s">
        <v>4575</v>
      </c>
      <c r="O2" s="1406"/>
      <c r="P2" s="1406"/>
      <c r="Q2" s="1406"/>
      <c r="R2" s="1407"/>
      <c r="T2" s="204" t="s">
        <v>4576</v>
      </c>
      <c r="U2" s="31" t="s">
        <v>4577</v>
      </c>
      <c r="V2" s="31" t="str">
        <f>IF(OR(J2="1920s,现代",$U$1="其他",J2=$U$1,AND(J2="1920s,罕见",$U$1="1920s"),J2="罕见"),U2,"-"&amp;U2)</f>
        <v>弓箭</v>
      </c>
    </row>
    <row r="3" spans="1:22" ht="14.25" customHeight="1">
      <c r="A3" s="1378"/>
      <c r="B3" s="877" t="str">
        <f>IF(OR(J3="1920s,现代",$U$1="其他",J3=$U$1,J3="罕见"),U3,"-"&amp;U3)</f>
        <v>黄铜指虎</v>
      </c>
      <c r="C3" s="878" t="s">
        <v>120</v>
      </c>
      <c r="D3" s="879" t="s">
        <v>4578</v>
      </c>
      <c r="E3" s="879" t="s">
        <v>4579</v>
      </c>
      <c r="F3" s="879" t="s">
        <v>175</v>
      </c>
      <c r="G3" s="879" t="s">
        <v>4570</v>
      </c>
      <c r="H3" s="879" t="s">
        <v>92</v>
      </c>
      <c r="I3" s="879" t="s">
        <v>92</v>
      </c>
      <c r="J3" s="879" t="s">
        <v>4572</v>
      </c>
      <c r="K3" s="879" t="s">
        <v>4580</v>
      </c>
      <c r="L3" s="880">
        <v>1870</v>
      </c>
      <c r="M3" s="1378"/>
      <c r="N3" s="1408"/>
      <c r="O3" s="1851"/>
      <c r="P3" s="1851"/>
      <c r="Q3" s="1851"/>
      <c r="R3" s="1378"/>
      <c r="T3" s="204" t="s">
        <v>4581</v>
      </c>
      <c r="U3" s="30" t="s">
        <v>4582</v>
      </c>
      <c r="V3" s="31" t="str">
        <f>IF(OR(J3="1920s,现代",$U$1="其他",J3=$U$1,AND(J3="1920s,罕见",$U$1="1920s"),J3="罕见"),U3,"-"&amp;U3)</f>
        <v>黄铜指虎</v>
      </c>
    </row>
    <row r="4" spans="1:22" ht="14.25" customHeight="1">
      <c r="A4" s="1378"/>
      <c r="B4" s="881" t="str">
        <f>IF(OR(J4="1920s,现代",$U$1="其他",J4=$U$1,J4="罕见"),U4,"-"&amp;U4)</f>
        <v>长鞭</v>
      </c>
      <c r="C4" s="882" t="s">
        <v>2612</v>
      </c>
      <c r="D4" s="883" t="s">
        <v>4583</v>
      </c>
      <c r="E4" s="883" t="s">
        <v>4584</v>
      </c>
      <c r="F4" s="883" t="s">
        <v>175</v>
      </c>
      <c r="G4" s="883" t="s">
        <v>4570</v>
      </c>
      <c r="H4" s="883" t="s">
        <v>92</v>
      </c>
      <c r="I4" s="883" t="s">
        <v>92</v>
      </c>
      <c r="J4" s="883" t="s">
        <v>13</v>
      </c>
      <c r="K4" s="883" t="s">
        <v>4585</v>
      </c>
      <c r="L4" s="884" t="s">
        <v>92</v>
      </c>
      <c r="M4" s="1378"/>
      <c r="N4" s="1408"/>
      <c r="O4" s="1851"/>
      <c r="P4" s="1851"/>
      <c r="Q4" s="1851"/>
      <c r="R4" s="1378"/>
      <c r="T4" s="204" t="s">
        <v>4586</v>
      </c>
      <c r="U4" s="31" t="s">
        <v>4587</v>
      </c>
      <c r="V4" s="31" t="str">
        <f>IF(OR(J4="1920s,现代",$U$1="其他",J4=$U$1,AND(J4="1920s,罕见",$U$1="1920s"),J4="罕见"),U4,"-"&amp;U4)</f>
        <v>长鞭</v>
      </c>
    </row>
    <row r="5" spans="1:22" ht="14.25" customHeight="1">
      <c r="A5" s="1378"/>
      <c r="B5" s="877" t="str">
        <f>IF(OR(J5="1920s,现代",$U$1="其他",J5=$U$1,J5="罕见"),U5,"-"&amp;U5)</f>
        <v>燃烧的火把</v>
      </c>
      <c r="C5" s="878" t="s">
        <v>120</v>
      </c>
      <c r="D5" s="879" t="s">
        <v>4588</v>
      </c>
      <c r="E5" s="879" t="s">
        <v>4579</v>
      </c>
      <c r="F5" s="879" t="s">
        <v>175</v>
      </c>
      <c r="G5" s="879" t="s">
        <v>4570</v>
      </c>
      <c r="H5" s="879" t="s">
        <v>92</v>
      </c>
      <c r="I5" s="879" t="s">
        <v>92</v>
      </c>
      <c r="J5" s="879" t="s">
        <v>4572</v>
      </c>
      <c r="K5" s="879" t="s">
        <v>4589</v>
      </c>
      <c r="L5" s="880" t="s">
        <v>92</v>
      </c>
      <c r="M5" s="1378"/>
      <c r="N5" s="1408"/>
      <c r="O5" s="1851"/>
      <c r="P5" s="1851"/>
      <c r="Q5" s="1851"/>
      <c r="R5" s="1378"/>
      <c r="T5" s="204" t="s">
        <v>4590</v>
      </c>
      <c r="U5" s="31" t="s">
        <v>4591</v>
      </c>
      <c r="V5" s="31" t="str">
        <f>IF(OR(J5="1920s,现代",$U$1="其他",J5=$U$1,AND(J5="1920s,罕见",$U$1="1920s"),J5="罕见"),U5,"-"&amp;U5)</f>
        <v>燃烧的火把</v>
      </c>
    </row>
    <row r="6" spans="1:22" ht="14.25" customHeight="1">
      <c r="A6" s="1378"/>
      <c r="B6" s="885" t="str">
        <f>IF(OR(J6="1920s,现代",$U$1="其他",J6=$U$1,J6="罕见"),U6,"-"&amp;U6)</f>
        <v>-电锯</v>
      </c>
      <c r="C6" s="886" t="s">
        <v>2623</v>
      </c>
      <c r="D6" s="887" t="s">
        <v>4592</v>
      </c>
      <c r="E6" s="887" t="s">
        <v>4579</v>
      </c>
      <c r="F6" s="887" t="s">
        <v>514</v>
      </c>
      <c r="G6" s="887" t="s">
        <v>4570</v>
      </c>
      <c r="H6" s="887" t="s">
        <v>92</v>
      </c>
      <c r="I6" s="887" t="s">
        <v>4593</v>
      </c>
      <c r="J6" s="887" t="s">
        <v>3276</v>
      </c>
      <c r="K6" s="887" t="s">
        <v>4594</v>
      </c>
      <c r="L6" s="888" t="s">
        <v>4595</v>
      </c>
      <c r="M6" s="1378"/>
      <c r="N6" s="1408"/>
      <c r="O6" s="1851"/>
      <c r="P6" s="1851"/>
      <c r="Q6" s="1851"/>
      <c r="R6" s="1378"/>
      <c r="T6" s="204" t="s">
        <v>4592</v>
      </c>
      <c r="U6" s="31" t="s">
        <v>2623</v>
      </c>
      <c r="V6" s="31" t="str">
        <f>IF(OR(J6="1920s,现代",$U$1="其他",J6=$U$1,AND(J6="1920s,罕见",$U$1="1920s"),J6="罕见"),U6,"-"&amp;U6)</f>
        <v>-电锯</v>
      </c>
    </row>
    <row r="7" spans="1:22" ht="14.25" customHeight="1">
      <c r="A7" s="1378"/>
      <c r="B7" s="889" t="str">
        <f>IF(OR(J7="1920s,现代",$U$1="其他",J7=$U$1,J7="罕见"),U7,"-"&amp;U7)</f>
        <v>包皮铁棍(甩棍、大头棍、护身棒)</v>
      </c>
      <c r="C7" s="890" t="s">
        <v>120</v>
      </c>
      <c r="D7" s="891" t="s">
        <v>4596</v>
      </c>
      <c r="E7" s="891" t="s">
        <v>4579</v>
      </c>
      <c r="F7" s="891" t="s">
        <v>175</v>
      </c>
      <c r="G7" s="891" t="s">
        <v>4570</v>
      </c>
      <c r="H7" s="891" t="s">
        <v>92</v>
      </c>
      <c r="I7" s="891" t="s">
        <v>92</v>
      </c>
      <c r="J7" s="891" t="s">
        <v>4572</v>
      </c>
      <c r="K7" s="891" t="s">
        <v>4597</v>
      </c>
      <c r="L7" s="892" t="s">
        <v>4598</v>
      </c>
      <c r="M7" s="1378"/>
      <c r="N7" s="1408"/>
      <c r="O7" s="1851"/>
      <c r="P7" s="1851"/>
      <c r="Q7" s="1851"/>
      <c r="R7" s="1378"/>
      <c r="T7" s="204" t="s">
        <v>4599</v>
      </c>
      <c r="U7" s="31" t="s">
        <v>4600</v>
      </c>
      <c r="V7" s="31" t="str">
        <f>IF(OR(J7="1920s,现代",$U$1="其他",J7=$U$1,AND(J7="1920s,罕见",$U$1="1920s"),J7="罕见"),U7,"-"&amp;U7)</f>
        <v>包皮铁棍(甩棍、大头棍、护身棒)</v>
      </c>
    </row>
    <row r="8" spans="1:22" ht="14.25" customHeight="1">
      <c r="A8" s="1378"/>
      <c r="B8" s="881" t="str">
        <f>IF(OR(J8="1920s,现代",$U$1="其他",J8=$U$1,J8="罕见"),U8,"-"&amp;U8)</f>
        <v>大型棍状物(棒球棍、板球棒、拨火棍等)</v>
      </c>
      <c r="C8" s="882" t="s">
        <v>120</v>
      </c>
      <c r="D8" s="883" t="s">
        <v>4596</v>
      </c>
      <c r="E8" s="883" t="s">
        <v>4579</v>
      </c>
      <c r="F8" s="883" t="s">
        <v>175</v>
      </c>
      <c r="G8" s="883" t="s">
        <v>4570</v>
      </c>
      <c r="H8" s="883" t="s">
        <v>92</v>
      </c>
      <c r="I8" s="883" t="s">
        <v>92</v>
      </c>
      <c r="J8" s="883" t="s">
        <v>4572</v>
      </c>
      <c r="K8" s="883" t="s">
        <v>4601</v>
      </c>
      <c r="L8" s="884" t="s">
        <v>92</v>
      </c>
      <c r="M8" s="1378"/>
      <c r="N8" s="1408"/>
      <c r="O8" s="1851"/>
      <c r="P8" s="1851"/>
      <c r="Q8" s="1851"/>
      <c r="R8" s="1378"/>
      <c r="T8" s="204" t="s">
        <v>4599</v>
      </c>
      <c r="U8" s="31" t="s">
        <v>4602</v>
      </c>
      <c r="V8" s="31" t="str">
        <f>IF(OR(J8="1920s,现代",$U$1="其他",J8=$U$1,AND(J8="1920s,罕见",$U$1="1920s"),J8="罕见"),U8,"-"&amp;U8)</f>
        <v>大型棍状物(棒球棍、板球棒、拨火棍等)</v>
      </c>
    </row>
    <row r="9" spans="1:22" ht="14.25" customHeight="1">
      <c r="A9" s="1378"/>
      <c r="B9" s="877" t="str">
        <f>IF(OR(J9="1920s,现代",$U$1="其他",J9=$U$1,J9="罕见"),U9,"-"&amp;U9)</f>
        <v>小型棍状物(警棍等)</v>
      </c>
      <c r="C9" s="878" t="s">
        <v>120</v>
      </c>
      <c r="D9" s="879" t="s">
        <v>4603</v>
      </c>
      <c r="E9" s="879" t="s">
        <v>4579</v>
      </c>
      <c r="F9" s="879" t="s">
        <v>175</v>
      </c>
      <c r="G9" s="879" t="s">
        <v>4570</v>
      </c>
      <c r="H9" s="879" t="s">
        <v>92</v>
      </c>
      <c r="I9" s="879" t="s">
        <v>92</v>
      </c>
      <c r="J9" s="879" t="s">
        <v>4572</v>
      </c>
      <c r="K9" s="879" t="s">
        <v>4601</v>
      </c>
      <c r="L9" s="880" t="s">
        <v>92</v>
      </c>
      <c r="M9" s="1378"/>
      <c r="N9" s="1408"/>
      <c r="O9" s="1851"/>
      <c r="P9" s="1851"/>
      <c r="Q9" s="1851"/>
      <c r="R9" s="1378"/>
      <c r="T9" s="204" t="s">
        <v>4604</v>
      </c>
      <c r="U9" s="31" t="s">
        <v>4605</v>
      </c>
      <c r="V9" s="31" t="str">
        <f>IF(OR(J9="1920s,现代",$U$1="其他",J9=$U$1,AND(J9="1920s,罕见",$U$1="1920s"),J9="罕见"),U9,"-"&amp;U9)</f>
        <v>小型棍状物(警棍等)</v>
      </c>
    </row>
    <row r="10" spans="1:22" ht="14.25" customHeight="1">
      <c r="A10" s="1378"/>
      <c r="B10" s="881" t="str">
        <f>IF(OR(J10="1920s,现代",$U$1="其他",J10=$U$1,J10="罕见"),U10,"-"&amp;U10)</f>
        <v>弩</v>
      </c>
      <c r="C10" s="882" t="s">
        <v>4567</v>
      </c>
      <c r="D10" s="883" t="s">
        <v>4606</v>
      </c>
      <c r="E10" s="883" t="s">
        <v>4607</v>
      </c>
      <c r="F10" s="883" t="s">
        <v>514</v>
      </c>
      <c r="G10" s="883" t="s">
        <v>4608</v>
      </c>
      <c r="H10" s="883" t="s">
        <v>4570</v>
      </c>
      <c r="I10" s="883" t="s">
        <v>4609</v>
      </c>
      <c r="J10" s="883" t="s">
        <v>4572</v>
      </c>
      <c r="K10" s="883" t="s">
        <v>4610</v>
      </c>
      <c r="L10" s="884" t="s">
        <v>4611</v>
      </c>
      <c r="M10" s="1378"/>
      <c r="N10" s="1409"/>
      <c r="O10" s="1410"/>
      <c r="P10" s="1410"/>
      <c r="Q10" s="1410"/>
      <c r="R10" s="1411"/>
      <c r="T10" s="204" t="s">
        <v>4606</v>
      </c>
      <c r="U10" s="31" t="s">
        <v>4612</v>
      </c>
      <c r="V10" s="31" t="str">
        <f>IF(OR(J10="1920s,现代",$U$1="其他",J10=$U$1,AND(J10="1920s,罕见",$U$1="1920s"),J10="罕见"),U10,"-"&amp;U10)</f>
        <v>弩</v>
      </c>
    </row>
    <row r="11" spans="1:22" ht="14.25" customHeight="1">
      <c r="A11" s="1378"/>
      <c r="B11" s="893" t="str">
        <f>IF(OR(J11="1920s,现代",$U$1="其他",J11=$U$1,J11="罕见"),U11,"-"&amp;U11)</f>
        <v>绞具</v>
      </c>
      <c r="C11" s="894" t="s">
        <v>2651</v>
      </c>
      <c r="D11" s="895" t="s">
        <v>4603</v>
      </c>
      <c r="E11" s="895" t="s">
        <v>4579</v>
      </c>
      <c r="F11" s="895" t="s">
        <v>514</v>
      </c>
      <c r="G11" s="895" t="s">
        <v>4570</v>
      </c>
      <c r="H11" s="895" t="s">
        <v>92</v>
      </c>
      <c r="I11" s="895" t="s">
        <v>92</v>
      </c>
      <c r="J11" s="895" t="s">
        <v>4572</v>
      </c>
      <c r="K11" s="895" t="s">
        <v>4613</v>
      </c>
      <c r="L11" s="896" t="s">
        <v>92</v>
      </c>
      <c r="M11" s="1378"/>
      <c r="N11" s="1985" t="s">
        <v>4614</v>
      </c>
      <c r="O11" s="1406"/>
      <c r="P11" s="1406"/>
      <c r="Q11" s="1406"/>
      <c r="R11" s="1407"/>
      <c r="T11" s="204" t="s">
        <v>4604</v>
      </c>
      <c r="U11" s="31" t="s">
        <v>2651</v>
      </c>
      <c r="V11" s="31" t="str">
        <f>IF(OR(J11="1920s,现代",$U$1="其他",J11=$U$1,AND(J11="1920s,罕见",$U$1="1920s"),J11="罕见"),U11,"-"&amp;U11)</f>
        <v>绞具</v>
      </c>
    </row>
    <row r="12" spans="1:22" ht="14.25" customHeight="1">
      <c r="A12" s="1378"/>
      <c r="B12" s="881" t="str">
        <f>IF(OR(J12="1920s,现代",$U$1="其他",J12=$U$1,J12="罕见"),U12,"-"&amp;U12)</f>
        <v>手斧/镰刀</v>
      </c>
      <c r="C12" s="882" t="s">
        <v>2634</v>
      </c>
      <c r="D12" s="883" t="s">
        <v>4615</v>
      </c>
      <c r="E12" s="883" t="s">
        <v>4579</v>
      </c>
      <c r="F12" s="883" t="s">
        <v>514</v>
      </c>
      <c r="G12" s="883" t="s">
        <v>4570</v>
      </c>
      <c r="H12" s="883" t="s">
        <v>92</v>
      </c>
      <c r="I12" s="883" t="s">
        <v>92</v>
      </c>
      <c r="J12" s="883" t="s">
        <v>4572</v>
      </c>
      <c r="K12" s="883" t="s">
        <v>4616</v>
      </c>
      <c r="L12" s="884" t="s">
        <v>92</v>
      </c>
      <c r="M12" s="1378"/>
      <c r="N12" s="1408"/>
      <c r="O12" s="1851"/>
      <c r="P12" s="1851"/>
      <c r="Q12" s="1851"/>
      <c r="R12" s="1378"/>
      <c r="T12" s="204" t="s">
        <v>4617</v>
      </c>
      <c r="U12" s="31" t="s">
        <v>4618</v>
      </c>
      <c r="V12" s="31" t="str">
        <f>IF(OR(J12="1920s,现代",$U$1="其他",J12=$U$1,AND(J12="1920s,罕见",$U$1="1920s"),J12="罕见"),U12,"-"&amp;U12)</f>
        <v>手斧/镰刀</v>
      </c>
    </row>
    <row r="13" spans="1:22" ht="14.25" customHeight="1">
      <c r="A13" s="1378"/>
      <c r="B13" s="877" t="str">
        <f>IF(OR(J13="1920s,现代",$U$1="其他",J13=$U$1,J13="罕见"),U13,"-"&amp;U13)</f>
        <v>大型刀具(甘蔗刀等)</v>
      </c>
      <c r="C13" s="878" t="s">
        <v>120</v>
      </c>
      <c r="D13" s="879" t="s">
        <v>4596</v>
      </c>
      <c r="E13" s="879" t="s">
        <v>4579</v>
      </c>
      <c r="F13" s="879" t="s">
        <v>514</v>
      </c>
      <c r="G13" s="879" t="s">
        <v>4570</v>
      </c>
      <c r="H13" s="879" t="s">
        <v>92</v>
      </c>
      <c r="I13" s="879" t="s">
        <v>92</v>
      </c>
      <c r="J13" s="879" t="s">
        <v>4572</v>
      </c>
      <c r="K13" s="879" t="s">
        <v>4619</v>
      </c>
      <c r="L13" s="880" t="s">
        <v>92</v>
      </c>
      <c r="M13" s="1378"/>
      <c r="N13" s="1408"/>
      <c r="O13" s="1851"/>
      <c r="P13" s="1851"/>
      <c r="Q13" s="1851"/>
      <c r="R13" s="1378"/>
      <c r="T13" s="204" t="s">
        <v>4599</v>
      </c>
      <c r="U13" s="31" t="s">
        <v>4620</v>
      </c>
      <c r="V13" s="31" t="str">
        <f>IF(OR(J13="1920s,现代",$U$1="其他",J13=$U$1,AND(J13="1920s,罕见",$U$1="1920s"),J13="罕见"),U13,"-"&amp;U13)</f>
        <v>大型刀具(甘蔗刀等)</v>
      </c>
    </row>
    <row r="14" spans="1:22" ht="14.25" customHeight="1">
      <c r="A14" s="1378"/>
      <c r="B14" s="881" t="str">
        <f>IF(OR(J14="1920s,现代",$U$1="其他",J14=$U$1,J14="罕见"),U14,"-"&amp;U14)</f>
        <v>中型刀具(切肉菜刀等)</v>
      </c>
      <c r="C14" s="882" t="s">
        <v>120</v>
      </c>
      <c r="D14" s="883" t="s">
        <v>4621</v>
      </c>
      <c r="E14" s="883" t="s">
        <v>4579</v>
      </c>
      <c r="F14" s="883" t="s">
        <v>514</v>
      </c>
      <c r="G14" s="883" t="s">
        <v>4570</v>
      </c>
      <c r="H14" s="883" t="s">
        <v>92</v>
      </c>
      <c r="I14" s="883" t="s">
        <v>92</v>
      </c>
      <c r="J14" s="883" t="s">
        <v>4572</v>
      </c>
      <c r="K14" s="883" t="s">
        <v>4597</v>
      </c>
      <c r="L14" s="884" t="s">
        <v>92</v>
      </c>
      <c r="M14" s="1378"/>
      <c r="N14" s="1408"/>
      <c r="O14" s="1851"/>
      <c r="P14" s="1851"/>
      <c r="Q14" s="1851"/>
      <c r="R14" s="1378"/>
      <c r="T14" s="204" t="s">
        <v>4622</v>
      </c>
      <c r="U14" s="31" t="s">
        <v>4623</v>
      </c>
      <c r="V14" s="31" t="str">
        <f>IF(OR(J14="1920s,现代",$U$1="其他",J14=$U$1,AND(J14="1920s,罕见",$U$1="1920s"),J14="罕见"),U14,"-"&amp;U14)</f>
        <v>中型刀具(切肉菜刀等)</v>
      </c>
    </row>
    <row r="15" spans="1:22" ht="14.25" customHeight="1">
      <c r="A15" s="1378"/>
      <c r="B15" s="877" t="str">
        <f>IF(OR(J15="1920s,现代",$U$1="其他",J15=$U$1,J15="罕见"),U15,"-"&amp;U15)</f>
        <v>小型刀具(弹簧折叠刀等)</v>
      </c>
      <c r="C15" s="878" t="s">
        <v>120</v>
      </c>
      <c r="D15" s="879" t="s">
        <v>4624</v>
      </c>
      <c r="E15" s="879" t="s">
        <v>4579</v>
      </c>
      <c r="F15" s="879" t="s">
        <v>514</v>
      </c>
      <c r="G15" s="879" t="s">
        <v>4570</v>
      </c>
      <c r="H15" s="879" t="s">
        <v>92</v>
      </c>
      <c r="I15" s="879" t="s">
        <v>92</v>
      </c>
      <c r="J15" s="879" t="s">
        <v>4572</v>
      </c>
      <c r="K15" s="879" t="s">
        <v>4625</v>
      </c>
      <c r="L15" s="880" t="s">
        <v>92</v>
      </c>
      <c r="M15" s="1378"/>
      <c r="N15" s="1994" t="s">
        <v>4626</v>
      </c>
      <c r="O15" s="1851"/>
      <c r="P15" s="1851"/>
      <c r="Q15" s="1851"/>
      <c r="R15" s="1378"/>
      <c r="T15" s="204" t="s">
        <v>4627</v>
      </c>
      <c r="U15" s="31" t="s">
        <v>4628</v>
      </c>
      <c r="V15" s="31" t="str">
        <f>IF(OR(J15="1920s,现代",$U$1="其他",J15=$U$1,AND(J15="1920s,罕见",$U$1="1920s"),J15="罕见"),U15,"-"&amp;U15)</f>
        <v>小型刀具(弹簧折叠刀等)</v>
      </c>
    </row>
    <row r="16" spans="1:22" ht="14.25" customHeight="1">
      <c r="A16" s="1378"/>
      <c r="B16" s="881" t="str">
        <f>IF(OR(J16="1920s,现代",$U$1="其他",J16=$U$1,J16="罕见"),U16,"-"&amp;U16)</f>
        <v>-220v通电导线</v>
      </c>
      <c r="C16" s="882" t="s">
        <v>120</v>
      </c>
      <c r="D16" s="883" t="s">
        <v>4629</v>
      </c>
      <c r="E16" s="883" t="s">
        <v>4579</v>
      </c>
      <c r="F16" s="883" t="s">
        <v>175</v>
      </c>
      <c r="G16" s="883" t="s">
        <v>4570</v>
      </c>
      <c r="H16" s="883" t="s">
        <v>92</v>
      </c>
      <c r="I16" s="883" t="s">
        <v>4593</v>
      </c>
      <c r="J16" s="883" t="s">
        <v>3276</v>
      </c>
      <c r="K16" s="883" t="s">
        <v>92</v>
      </c>
      <c r="L16" s="884" t="s">
        <v>4630</v>
      </c>
      <c r="M16" s="1378"/>
      <c r="N16" s="1408"/>
      <c r="O16" s="1851"/>
      <c r="P16" s="1851"/>
      <c r="Q16" s="1851"/>
      <c r="R16" s="1378"/>
      <c r="T16" s="204" t="s">
        <v>4592</v>
      </c>
      <c r="U16" s="31" t="s">
        <v>4631</v>
      </c>
      <c r="V16" s="31" t="str">
        <f>IF(OR(J16="1920s,现代",$U$1="其他",J16=$U$1,AND(J16="1920s,罕见",$U$1="1920s"),J16="罕见"),U16,"-"&amp;U16)</f>
        <v>-220v通电导线</v>
      </c>
    </row>
    <row r="17" spans="1:22" ht="14.25" customHeight="1">
      <c r="A17" s="1983" t="s">
        <v>4632</v>
      </c>
      <c r="B17" s="897" t="str">
        <f>IF(OR(J17="1920s,现代",$U$1="其他",J17=$U$1,J17="罕见"),U17,"-"&amp;U17)</f>
        <v>催泪瓦斯</v>
      </c>
      <c r="C17" s="898" t="s">
        <v>120</v>
      </c>
      <c r="D17" s="899" t="s">
        <v>4633</v>
      </c>
      <c r="E17" s="899" t="s">
        <v>4634</v>
      </c>
      <c r="F17" s="899" t="s">
        <v>175</v>
      </c>
      <c r="G17" s="899" t="s">
        <v>4570</v>
      </c>
      <c r="H17" s="899" t="s">
        <v>4635</v>
      </c>
      <c r="I17" s="899" t="s">
        <v>92</v>
      </c>
      <c r="J17" s="899" t="s">
        <v>4572</v>
      </c>
      <c r="K17" s="899" t="s">
        <v>4636</v>
      </c>
      <c r="L17" s="900" t="s">
        <v>4637</v>
      </c>
      <c r="M17" s="1378"/>
      <c r="N17" s="1409"/>
      <c r="O17" s="1410"/>
      <c r="P17" s="1410"/>
      <c r="Q17" s="1410"/>
      <c r="R17" s="1411"/>
      <c r="T17" s="204"/>
      <c r="U17" s="31" t="s">
        <v>4638</v>
      </c>
      <c r="V17" s="31" t="str">
        <f>IF(OR(J17="1920s,现代",$U$1="其他",J17=$U$1,AND(J17="1920s,罕见",$U$1="1920s"),J17="罕见"),U17,"-"&amp;U17)</f>
        <v>催泪瓦斯</v>
      </c>
    </row>
    <row r="18" spans="1:22" ht="14.25" customHeight="1">
      <c r="A18" s="1378"/>
      <c r="B18" s="881" t="str">
        <f>IF(OR(J18="1920s,现代",$U$1="其他",J18=$U$1,J18="罕见"),U18,"-"&amp;U18)</f>
        <v>双节棍</v>
      </c>
      <c r="C18" s="882" t="s">
        <v>2657</v>
      </c>
      <c r="D18" s="883" t="s">
        <v>4596</v>
      </c>
      <c r="E18" s="883" t="s">
        <v>4579</v>
      </c>
      <c r="F18" s="883" t="s">
        <v>175</v>
      </c>
      <c r="G18" s="883" t="s">
        <v>4570</v>
      </c>
      <c r="H18" s="883" t="s">
        <v>92</v>
      </c>
      <c r="I18" s="883" t="s">
        <v>92</v>
      </c>
      <c r="J18" s="883" t="s">
        <v>4572</v>
      </c>
      <c r="K18" s="883" t="s">
        <v>4580</v>
      </c>
      <c r="L18" s="884" t="s">
        <v>4639</v>
      </c>
      <c r="M18" s="1378"/>
      <c r="N18" s="1988" t="s">
        <v>4640</v>
      </c>
      <c r="O18" s="1406"/>
      <c r="P18" s="1406"/>
      <c r="Q18" s="1406"/>
      <c r="R18" s="1407"/>
      <c r="T18" s="204" t="s">
        <v>4599</v>
      </c>
      <c r="U18" s="31" t="s">
        <v>4048</v>
      </c>
      <c r="V18" s="31" t="str">
        <f>IF(OR(J18="1920s,现代",$U$1="其他",J18=$U$1,AND(J18="1920s,罕见",$U$1="1920s"),J18="罕见"),U18,"-"&amp;U18)</f>
        <v>双节棍</v>
      </c>
    </row>
    <row r="19" spans="1:22" ht="14.25" customHeight="1">
      <c r="A19" s="1378"/>
      <c r="B19" s="877" t="str">
        <f>IF(OR(J19="1920s,现代",$U$1="其他",J19=$U$1,J19="罕见"),U19,"-"&amp;U19)</f>
        <v>投石</v>
      </c>
      <c r="C19" s="878" t="s">
        <v>138</v>
      </c>
      <c r="D19" s="879" t="s">
        <v>4641</v>
      </c>
      <c r="E19" s="879" t="s">
        <v>4642</v>
      </c>
      <c r="F19" s="879" t="s">
        <v>175</v>
      </c>
      <c r="G19" s="879" t="s">
        <v>4570</v>
      </c>
      <c r="H19" s="879" t="s">
        <v>92</v>
      </c>
      <c r="I19" s="879" t="s">
        <v>92</v>
      </c>
      <c r="J19" s="879" t="s">
        <v>4572</v>
      </c>
      <c r="K19" s="879" t="s">
        <v>92</v>
      </c>
      <c r="L19" s="880" t="s">
        <v>92</v>
      </c>
      <c r="M19" s="1378"/>
      <c r="N19" s="1408"/>
      <c r="O19" s="1851"/>
      <c r="P19" s="1851"/>
      <c r="Q19" s="1851"/>
      <c r="R19" s="1378"/>
      <c r="T19" s="204" t="s">
        <v>4643</v>
      </c>
      <c r="U19" s="31" t="s">
        <v>4644</v>
      </c>
      <c r="V19" s="31" t="str">
        <f>IF(OR(J19="1920s,现代",$U$1="其他",J19=$U$1,AND(J19="1920s,罕见",$U$1="1920s"),J19="罕见"),U19,"-"&amp;U19)</f>
        <v>投石</v>
      </c>
    </row>
    <row r="20" spans="1:22" ht="14.25" customHeight="1">
      <c r="A20" s="1378"/>
      <c r="B20" s="881" t="str">
        <f>IF(OR(J20="1920s,现代",$U$1="其他",J20=$U$1,J20="罕见"),U20,"-"&amp;U20)</f>
        <v>手里剑</v>
      </c>
      <c r="C20" s="882" t="s">
        <v>138</v>
      </c>
      <c r="D20" s="883" t="s">
        <v>4583</v>
      </c>
      <c r="E20" s="883" t="s">
        <v>4645</v>
      </c>
      <c r="F20" s="883" t="s">
        <v>514</v>
      </c>
      <c r="G20" s="883" t="s">
        <v>4646</v>
      </c>
      <c r="H20" s="883" t="s">
        <v>4647</v>
      </c>
      <c r="I20" s="883" t="s">
        <v>3549</v>
      </c>
      <c r="J20" s="883" t="s">
        <v>4572</v>
      </c>
      <c r="K20" s="883" t="s">
        <v>4613</v>
      </c>
      <c r="L20" s="884" t="s">
        <v>92</v>
      </c>
      <c r="M20" s="1378"/>
      <c r="N20" s="1408"/>
      <c r="O20" s="1851"/>
      <c r="P20" s="1851"/>
      <c r="Q20" s="1851"/>
      <c r="R20" s="1378"/>
      <c r="T20" s="204" t="s">
        <v>4586</v>
      </c>
      <c r="U20" s="31" t="s">
        <v>4648</v>
      </c>
      <c r="V20" s="31" t="str">
        <f>IF(OR(J20="1920s,现代",$U$1="其他",J20=$U$1,AND(J20="1920s,罕见",$U$1="1920s"),J20="罕见"),U20,"-"&amp;U20)</f>
        <v>手里剑</v>
      </c>
    </row>
    <row r="21" spans="1:22" ht="14.25" customHeight="1">
      <c r="A21" s="1378"/>
      <c r="B21" s="877" t="str">
        <f>IF(OR(J21="1920s,现代",$U$1="其他",J21=$U$1,J21="罕见"),U21,"-"&amp;U21)</f>
        <v>矛、骑士长枪</v>
      </c>
      <c r="C21" s="878" t="s">
        <v>1388</v>
      </c>
      <c r="D21" s="879" t="s">
        <v>4649</v>
      </c>
      <c r="E21" s="879" t="s">
        <v>4579</v>
      </c>
      <c r="F21" s="879" t="s">
        <v>514</v>
      </c>
      <c r="G21" s="879" t="s">
        <v>4570</v>
      </c>
      <c r="H21" s="879" t="s">
        <v>92</v>
      </c>
      <c r="I21" s="879" t="s">
        <v>92</v>
      </c>
      <c r="J21" s="879" t="s">
        <v>4572</v>
      </c>
      <c r="K21" s="879" t="s">
        <v>4650</v>
      </c>
      <c r="L21" s="880" t="s">
        <v>92</v>
      </c>
      <c r="M21" s="1378"/>
      <c r="N21" s="1409"/>
      <c r="O21" s="1410"/>
      <c r="P21" s="1410"/>
      <c r="Q21" s="1410"/>
      <c r="R21" s="1411"/>
      <c r="T21" s="204" t="s">
        <v>4649</v>
      </c>
      <c r="U21" s="31" t="s">
        <v>4651</v>
      </c>
      <c r="V21" s="31" t="str">
        <f>IF(OR(J21="1920s,现代",$U$1="其他",J21=$U$1,AND(J21="1920s,罕见",$U$1="1920s"),J21="罕见"),U21,"-"&amp;U21)</f>
        <v>矛、骑士长枪</v>
      </c>
    </row>
    <row r="22" spans="1:22" ht="14.25" customHeight="1">
      <c r="A22" s="1378"/>
      <c r="B22" s="881" t="str">
        <f>IF(OR(J22="1920s,现代",$U$1="其他",J22=$U$1,J22="罕见"),U22,"-"&amp;U22)</f>
        <v>*掷矛</v>
      </c>
      <c r="C22" s="882" t="s">
        <v>138</v>
      </c>
      <c r="D22" s="883" t="s">
        <v>4652</v>
      </c>
      <c r="E22" s="883" t="s">
        <v>4653</v>
      </c>
      <c r="F22" s="883" t="s">
        <v>514</v>
      </c>
      <c r="G22" s="883" t="s">
        <v>4570</v>
      </c>
      <c r="H22" s="883" t="s">
        <v>92</v>
      </c>
      <c r="I22" s="883" t="s">
        <v>92</v>
      </c>
      <c r="J22" s="883" t="s">
        <v>4654</v>
      </c>
      <c r="K22" s="883" t="s">
        <v>4655</v>
      </c>
      <c r="L22" s="884" t="s">
        <v>92</v>
      </c>
      <c r="M22" s="1378"/>
      <c r="N22" s="1881" t="s">
        <v>4656</v>
      </c>
      <c r="O22" s="1406"/>
      <c r="P22" s="1406"/>
      <c r="Q22" s="1406"/>
      <c r="R22" s="1407"/>
      <c r="T22" s="204" t="s">
        <v>4657</v>
      </c>
      <c r="U22" s="31" t="s">
        <v>4658</v>
      </c>
      <c r="V22" s="31" t="s">
        <v>4658</v>
      </c>
    </row>
    <row r="23" spans="1:22" ht="14.25" customHeight="1">
      <c r="A23" s="1378"/>
      <c r="B23" s="877" t="str">
        <f>IF(OR(J23="1920s,现代",$U$1="其他",J23=$U$1,J23="罕见"),U23,"-"&amp;U23)</f>
        <v>大型剑（马刀）</v>
      </c>
      <c r="C23" s="878" t="s">
        <v>1389</v>
      </c>
      <c r="D23" s="879" t="s">
        <v>4659</v>
      </c>
      <c r="E23" s="879" t="s">
        <v>4579</v>
      </c>
      <c r="F23" s="879" t="s">
        <v>514</v>
      </c>
      <c r="G23" s="879" t="s">
        <v>4570</v>
      </c>
      <c r="H23" s="879" t="s">
        <v>92</v>
      </c>
      <c r="I23" s="879" t="s">
        <v>92</v>
      </c>
      <c r="J23" s="879" t="s">
        <v>4572</v>
      </c>
      <c r="K23" s="879" t="s">
        <v>4660</v>
      </c>
      <c r="L23" s="880" t="s">
        <v>92</v>
      </c>
      <c r="M23" s="1378"/>
      <c r="N23" s="1408"/>
      <c r="O23" s="1851"/>
      <c r="P23" s="1851"/>
      <c r="Q23" s="1851"/>
      <c r="R23" s="1378"/>
      <c r="T23" s="204" t="s">
        <v>4661</v>
      </c>
      <c r="U23" s="31" t="s">
        <v>4662</v>
      </c>
      <c r="V23" s="31" t="str">
        <f>IF(OR(J23="1920s,现代",$U$1="其他",J23=$U$1,AND(J23="1920s,罕见",$U$1="1920s"),J23="罕见"),U23,"-"&amp;U23)</f>
        <v>大型剑（马刀）</v>
      </c>
    </row>
    <row r="24" spans="1:22" ht="14.25" customHeight="1">
      <c r="A24" s="1378"/>
      <c r="B24" s="881" t="str">
        <f>IF(OR(J24="1920s,现代",$U$1="其他",J24=$U$1,J24="罕见"),U24,"-"&amp;U24)</f>
        <v>中型剑（佩剑、重剑）</v>
      </c>
      <c r="C24" s="882" t="s">
        <v>1389</v>
      </c>
      <c r="D24" s="883" t="s">
        <v>4615</v>
      </c>
      <c r="E24" s="883" t="s">
        <v>4579</v>
      </c>
      <c r="F24" s="883" t="s">
        <v>514</v>
      </c>
      <c r="G24" s="883" t="s">
        <v>4570</v>
      </c>
      <c r="H24" s="883" t="s">
        <v>92</v>
      </c>
      <c r="I24" s="883" t="s">
        <v>92</v>
      </c>
      <c r="J24" s="883" t="s">
        <v>4572</v>
      </c>
      <c r="K24" s="883" t="s">
        <v>4663</v>
      </c>
      <c r="L24" s="884" t="s">
        <v>92</v>
      </c>
      <c r="M24" s="1378"/>
      <c r="N24" s="1408"/>
      <c r="O24" s="1851"/>
      <c r="P24" s="1851"/>
      <c r="Q24" s="1851"/>
      <c r="R24" s="1378"/>
      <c r="T24" s="204" t="s">
        <v>4617</v>
      </c>
      <c r="U24" s="31" t="s">
        <v>4664</v>
      </c>
      <c r="V24" s="31" t="str">
        <f>IF(OR(J24="1920s,现代",$U$1="其他",J24=$U$1,AND(J24="1920s,罕见",$U$1="1920s"),J24="罕见"),U24,"-"&amp;U24)</f>
        <v>中型剑（佩剑、重剑）</v>
      </c>
    </row>
    <row r="25" spans="1:22" ht="14.25" customHeight="1">
      <c r="A25" s="1378"/>
      <c r="B25" s="877" t="str">
        <f>IF(OR(J25="1920s,现代",$U$1="其他",J25=$U$1,J25="罕见"),U25,"-"&amp;U25)</f>
        <v>轻型剑（花剑、剑杖）</v>
      </c>
      <c r="C25" s="878" t="s">
        <v>1389</v>
      </c>
      <c r="D25" s="879" t="s">
        <v>4603</v>
      </c>
      <c r="E25" s="879" t="s">
        <v>4579</v>
      </c>
      <c r="F25" s="879" t="s">
        <v>514</v>
      </c>
      <c r="G25" s="879" t="s">
        <v>4570</v>
      </c>
      <c r="H25" s="879" t="s">
        <v>92</v>
      </c>
      <c r="I25" s="879" t="s">
        <v>92</v>
      </c>
      <c r="J25" s="879" t="s">
        <v>4572</v>
      </c>
      <c r="K25" s="879" t="s">
        <v>4665</v>
      </c>
      <c r="L25" s="880" t="s">
        <v>92</v>
      </c>
      <c r="M25" s="1378"/>
      <c r="N25" s="1409"/>
      <c r="O25" s="1410"/>
      <c r="P25" s="1410"/>
      <c r="Q25" s="1410"/>
      <c r="R25" s="1411"/>
      <c r="T25" s="204" t="s">
        <v>4604</v>
      </c>
      <c r="U25" s="31" t="s">
        <v>4666</v>
      </c>
      <c r="V25" s="31" t="str">
        <f>IF(OR(J25="1920s,现代",$U$1="其他",J25=$U$1,AND(J25="1920s,罕见",$U$1="1920s"),J25="罕见"),U25,"-"&amp;U25)</f>
        <v>轻型剑（花剑、剑杖）</v>
      </c>
    </row>
    <row r="26" spans="1:22" ht="14.25" customHeight="1">
      <c r="A26" s="1378"/>
      <c r="B26" s="901" t="str">
        <f>IF(OR(J26="1920s,现代",$U$1="其他",J26=$U$1,J26="罕见"),U26,"-"&amp;U26)</f>
        <v>-电棍、电击枪(接触)</v>
      </c>
      <c r="C26" s="902" t="s">
        <v>120</v>
      </c>
      <c r="D26" s="903" t="s">
        <v>4667</v>
      </c>
      <c r="E26" s="903" t="s">
        <v>4579</v>
      </c>
      <c r="F26" s="903" t="s">
        <v>175</v>
      </c>
      <c r="G26" s="903" t="s">
        <v>4570</v>
      </c>
      <c r="H26" s="903" t="s">
        <v>92</v>
      </c>
      <c r="I26" s="903" t="s">
        <v>4571</v>
      </c>
      <c r="J26" s="903" t="s">
        <v>3276</v>
      </c>
      <c r="K26" s="903" t="s">
        <v>4668</v>
      </c>
      <c r="L26" s="904" t="s">
        <v>4669</v>
      </c>
      <c r="M26" s="1378"/>
      <c r="T26" s="204" t="s">
        <v>4670</v>
      </c>
      <c r="U26" s="31" t="s">
        <v>4671</v>
      </c>
      <c r="V26" s="31" t="str">
        <f>IF(OR(J26="1920s,现代",$U$1="其他",J26=$U$1,AND(J26="1920s,罕见",$U$1="1920s"),J26="罕见"),U26,"-"&amp;U26)</f>
        <v>-电棍、电击枪(接触)</v>
      </c>
    </row>
    <row r="27" spans="1:22" ht="14.25" customHeight="1">
      <c r="A27" s="1378"/>
      <c r="B27" s="901" t="str">
        <f>IF(OR(J27="1920s,现代",$U$1="其他",J27=$U$1,J27="罕见"),U27,"-"&amp;U27)</f>
        <v>-电击枪(远程)</v>
      </c>
      <c r="C27" s="902" t="s">
        <v>134</v>
      </c>
      <c r="D27" s="903" t="s">
        <v>4667</v>
      </c>
      <c r="E27" s="903" t="s">
        <v>4672</v>
      </c>
      <c r="F27" s="903" t="s">
        <v>175</v>
      </c>
      <c r="G27" s="903" t="s">
        <v>4570</v>
      </c>
      <c r="H27" s="903" t="s">
        <v>4673</v>
      </c>
      <c r="I27" s="903" t="s">
        <v>4593</v>
      </c>
      <c r="J27" s="903" t="s">
        <v>3276</v>
      </c>
      <c r="K27" s="903" t="s">
        <v>4674</v>
      </c>
      <c r="L27" s="904" t="s">
        <v>4675</v>
      </c>
      <c r="M27" s="1378"/>
      <c r="T27" s="204" t="s">
        <v>4670</v>
      </c>
      <c r="U27" s="31" t="s">
        <v>4676</v>
      </c>
      <c r="V27" s="31" t="str">
        <f>IF(OR(J27="1920s,现代",$U$1="其他",J27=$U$1,AND(J27="1920s,罕见",$U$1="1920s"),J27="罕见"),U27,"-"&amp;U27)</f>
        <v>-电击枪(远程)</v>
      </c>
    </row>
    <row r="28" spans="1:22" ht="14.25" customHeight="1">
      <c r="A28" s="1378"/>
      <c r="B28" s="881" t="str">
        <f>IF(OR(J28="1920s,现代",$U$1="其他",J28=$U$1,J28="罕见"),U28,"-"&amp;U28)</f>
        <v>*战斗回力镖</v>
      </c>
      <c r="C28" s="882" t="s">
        <v>138</v>
      </c>
      <c r="D28" s="883" t="s">
        <v>4652</v>
      </c>
      <c r="E28" s="883" t="s">
        <v>4645</v>
      </c>
      <c r="F28" s="883" t="s">
        <v>175</v>
      </c>
      <c r="G28" s="883" t="s">
        <v>4570</v>
      </c>
      <c r="H28" s="883" t="s">
        <v>92</v>
      </c>
      <c r="I28" s="883" t="s">
        <v>92</v>
      </c>
      <c r="J28" s="883" t="s">
        <v>4654</v>
      </c>
      <c r="K28" s="883" t="s">
        <v>4677</v>
      </c>
      <c r="L28" s="884" t="s">
        <v>92</v>
      </c>
      <c r="M28" s="1378"/>
      <c r="T28" s="204" t="s">
        <v>4657</v>
      </c>
      <c r="U28" s="31" t="s">
        <v>4678</v>
      </c>
      <c r="V28" s="31" t="s">
        <v>4678</v>
      </c>
    </row>
    <row r="29" spans="1:22" ht="14.25" customHeight="1">
      <c r="A29" s="1378"/>
      <c r="B29" s="905" t="str">
        <f>IF(OR(J29="1920s,现代",$U$1="其他",J29=$U$1,J29="罕见"),U29,"-"&amp;U29)</f>
        <v>伐木斧</v>
      </c>
      <c r="C29" s="906" t="s">
        <v>2634</v>
      </c>
      <c r="D29" s="907" t="s">
        <v>4679</v>
      </c>
      <c r="E29" s="907" t="s">
        <v>4579</v>
      </c>
      <c r="F29" s="907" t="s">
        <v>514</v>
      </c>
      <c r="G29" s="907" t="s">
        <v>4570</v>
      </c>
      <c r="H29" s="907" t="s">
        <v>92</v>
      </c>
      <c r="I29" s="907" t="s">
        <v>92</v>
      </c>
      <c r="J29" s="907" t="s">
        <v>4572</v>
      </c>
      <c r="K29" s="907" t="s">
        <v>4680</v>
      </c>
      <c r="L29" s="908" t="s">
        <v>92</v>
      </c>
      <c r="M29" s="1411"/>
      <c r="T29" s="204" t="s">
        <v>4681</v>
      </c>
      <c r="U29" s="31" t="s">
        <v>4682</v>
      </c>
      <c r="V29" s="31" t="str">
        <f>IF(OR(J29="1920s,现代",$U$1="其他",J29=$U$1,AND(J29="1920s,罕见",$U$1="1920s"),J29="罕见"),U29,"-"&amp;U29)</f>
        <v>伐木斧</v>
      </c>
    </row>
    <row r="30" spans="1:22" ht="14.25" customHeight="1">
      <c r="B30" s="909" t="str">
        <f>IF(OR(J30="1920s,现代",$U$1="其他",J30=$U$1,J30="罕见"),U30,"-"&amp;U30)</f>
        <v>*遂发枪</v>
      </c>
      <c r="C30" s="910" t="s">
        <v>134</v>
      </c>
      <c r="D30" s="911" t="s">
        <v>4683</v>
      </c>
      <c r="E30" s="911" t="s">
        <v>4684</v>
      </c>
      <c r="F30" s="911" t="s">
        <v>514</v>
      </c>
      <c r="G30" s="911" t="s">
        <v>4685</v>
      </c>
      <c r="H30" s="911" t="s">
        <v>4570</v>
      </c>
      <c r="I30" s="911" t="s">
        <v>4593</v>
      </c>
      <c r="J30" s="911" t="s">
        <v>4654</v>
      </c>
      <c r="K30" s="911" t="s">
        <v>4686</v>
      </c>
      <c r="L30" s="912" t="s">
        <v>4687</v>
      </c>
      <c r="M30" s="1986" t="s">
        <v>4688</v>
      </c>
      <c r="N30" s="1941" t="s">
        <v>4689</v>
      </c>
      <c r="O30" s="1955" t="s">
        <v>6102</v>
      </c>
      <c r="P30" s="1407"/>
      <c r="R30" s="913"/>
      <c r="T30" s="204" t="s">
        <v>4683</v>
      </c>
      <c r="U30" s="31" t="s">
        <v>4690</v>
      </c>
      <c r="V30" s="31" t="s">
        <v>4690</v>
      </c>
    </row>
    <row r="31" spans="1:22" ht="14.25" customHeight="1">
      <c r="B31" s="881" t="str">
        <f>IF(OR(J31="1920s,现代",$U$1="其他",J31=$U$1,J31="罕见"),U31,"-"&amp;U31)</f>
        <v>.22(5.6mm)小型自动手枪</v>
      </c>
      <c r="C31" s="882" t="s">
        <v>134</v>
      </c>
      <c r="D31" s="883" t="s">
        <v>4590</v>
      </c>
      <c r="E31" s="883" t="s">
        <v>4684</v>
      </c>
      <c r="F31" s="883" t="s">
        <v>514</v>
      </c>
      <c r="G31" s="883" t="s">
        <v>4691</v>
      </c>
      <c r="H31" s="883" t="s">
        <v>4692</v>
      </c>
      <c r="I31" s="883" t="s">
        <v>3549</v>
      </c>
      <c r="J31" s="883" t="s">
        <v>4572</v>
      </c>
      <c r="K31" s="883" t="s">
        <v>4693</v>
      </c>
      <c r="L31" s="884" t="s">
        <v>4694</v>
      </c>
      <c r="M31" s="1378"/>
      <c r="N31" s="1408"/>
      <c r="O31" s="1408"/>
      <c r="P31" s="1378"/>
      <c r="Q31" s="913"/>
      <c r="R31" s="913"/>
      <c r="T31" s="204" t="s">
        <v>4590</v>
      </c>
      <c r="U31" s="31" t="s">
        <v>4695</v>
      </c>
      <c r="V31" s="31" t="str">
        <f>IF(OR(J31="1920s,现代",$U$1="其他",J31=$U$1,AND(J31="1920s,罕见",$U$1="1920s"),J31="罕见"),U31,"-"&amp;U31)</f>
        <v>.22(5.6mm)小型自动手枪</v>
      </c>
    </row>
    <row r="32" spans="1:22" ht="14.25" customHeight="1">
      <c r="B32" s="914" t="str">
        <f>IF(OR(J32="1920s,现代",$U$1="其他",J32=$U$1,J32="罕见"),U32,"-"&amp;U32)</f>
        <v>.25(6.35mm)短口手枪(单管)</v>
      </c>
      <c r="C32" s="915" t="s">
        <v>134</v>
      </c>
      <c r="D32" s="916" t="s">
        <v>4590</v>
      </c>
      <c r="E32" s="916" t="s">
        <v>4673</v>
      </c>
      <c r="F32" s="916" t="s">
        <v>514</v>
      </c>
      <c r="G32" s="916" t="s">
        <v>4570</v>
      </c>
      <c r="H32" s="916">
        <v>1</v>
      </c>
      <c r="I32" s="916" t="s">
        <v>3549</v>
      </c>
      <c r="J32" s="916" t="s">
        <v>13</v>
      </c>
      <c r="K32" s="916" t="s">
        <v>4696</v>
      </c>
      <c r="L32" s="917" t="s">
        <v>4697</v>
      </c>
      <c r="M32" s="1378"/>
      <c r="N32" s="1408"/>
      <c r="O32" s="1408"/>
      <c r="P32" s="1378"/>
      <c r="Q32" s="913"/>
      <c r="R32" s="913"/>
      <c r="T32" s="204" t="s">
        <v>4590</v>
      </c>
      <c r="U32" s="31" t="s">
        <v>4698</v>
      </c>
      <c r="V32" s="31" t="str">
        <f>IF(OR(J32="1920s,现代",$U$1="其他",J32=$U$1,AND(J32="1920s,罕见",$U$1="1920s"),J32="罕见"),U32,"-"&amp;U32)</f>
        <v>.25(6.35mm)短口手枪(单管)</v>
      </c>
    </row>
    <row r="33" spans="2:22" ht="14.25" customHeight="1">
      <c r="B33" s="881" t="str">
        <f>IF(OR(J33="1920s,现代",$U$1="其他",J33=$U$1,J33="罕见"),U33,"-"&amp;U33)</f>
        <v>.32(7.65mm)左轮手枪</v>
      </c>
      <c r="C33" s="882" t="s">
        <v>134</v>
      </c>
      <c r="D33" s="883" t="s">
        <v>4699</v>
      </c>
      <c r="E33" s="883" t="s">
        <v>4700</v>
      </c>
      <c r="F33" s="883" t="s">
        <v>514</v>
      </c>
      <c r="G33" s="883" t="s">
        <v>4691</v>
      </c>
      <c r="H33" s="883" t="s">
        <v>4692</v>
      </c>
      <c r="I33" s="883" t="s">
        <v>3549</v>
      </c>
      <c r="J33" s="883" t="s">
        <v>4572</v>
      </c>
      <c r="K33" s="883" t="s">
        <v>4701</v>
      </c>
      <c r="L33" s="884" t="s">
        <v>4702</v>
      </c>
      <c r="M33" s="1378"/>
      <c r="N33" s="1408"/>
      <c r="O33" s="1408"/>
      <c r="P33" s="1378"/>
      <c r="Q33" s="913"/>
      <c r="R33" s="913"/>
      <c r="T33" s="204" t="s">
        <v>4699</v>
      </c>
      <c r="U33" s="31" t="s">
        <v>4703</v>
      </c>
      <c r="V33" s="31" t="str">
        <f>IF(OR(J33="1920s,现代",$U$1="其他",J33=$U$1,AND(J33="1920s,罕见",$U$1="1920s"),J33="罕见"),U33,"-"&amp;U33)</f>
        <v>.32(7.65mm)左轮手枪</v>
      </c>
    </row>
    <row r="34" spans="2:22" ht="14.25" customHeight="1">
      <c r="B34" s="914" t="str">
        <f>IF(OR(J34="1920s,现代",$U$1="其他",J34=$U$1,J34="罕见"),U34,"-"&amp;U34)</f>
        <v>.32(7.65mm)自动手枪</v>
      </c>
      <c r="C34" s="915" t="s">
        <v>134</v>
      </c>
      <c r="D34" s="916" t="s">
        <v>4699</v>
      </c>
      <c r="E34" s="916" t="s">
        <v>4700</v>
      </c>
      <c r="F34" s="916" t="s">
        <v>514</v>
      </c>
      <c r="G34" s="916" t="s">
        <v>4691</v>
      </c>
      <c r="H34" s="916" t="s">
        <v>4704</v>
      </c>
      <c r="I34" s="916" t="s">
        <v>4705</v>
      </c>
      <c r="J34" s="916" t="s">
        <v>4572</v>
      </c>
      <c r="K34" s="916" t="s">
        <v>4706</v>
      </c>
      <c r="L34" s="917" t="s">
        <v>4702</v>
      </c>
      <c r="M34" s="1378"/>
      <c r="N34" s="1408"/>
      <c r="O34" s="1408"/>
      <c r="P34" s="1378"/>
      <c r="Q34" s="913"/>
      <c r="R34" s="913"/>
      <c r="T34" s="204" t="s">
        <v>4699</v>
      </c>
      <c r="U34" s="31" t="s">
        <v>4707</v>
      </c>
      <c r="V34" s="31" t="str">
        <f>IF(OR(J34="1920s,现代",$U$1="其他",J34=$U$1,AND(J34="1920s,罕见",$U$1="1920s"),J34="罕见"),U34,"-"&amp;U34)</f>
        <v>.32(7.65mm)自动手枪</v>
      </c>
    </row>
    <row r="35" spans="2:22" ht="14.25" customHeight="1">
      <c r="B35" s="881" t="str">
        <f>IF(OR(J35="1920s,现代",$U$1="其他",J35=$U$1,J35="罕见"),U35,"-"&amp;U35)</f>
        <v>-.357 马格南左轮</v>
      </c>
      <c r="C35" s="882" t="s">
        <v>134</v>
      </c>
      <c r="D35" s="883" t="s">
        <v>4708</v>
      </c>
      <c r="E35" s="883" t="s">
        <v>4700</v>
      </c>
      <c r="F35" s="883" t="s">
        <v>514</v>
      </c>
      <c r="G35" s="883" t="s">
        <v>4691</v>
      </c>
      <c r="H35" s="883" t="s">
        <v>4692</v>
      </c>
      <c r="I35" s="883" t="s">
        <v>3549</v>
      </c>
      <c r="J35" s="883" t="s">
        <v>3276</v>
      </c>
      <c r="K35" s="883" t="s">
        <v>4709</v>
      </c>
      <c r="L35" s="884" t="s">
        <v>4710</v>
      </c>
      <c r="M35" s="1378"/>
      <c r="N35" s="1408"/>
      <c r="O35" s="1408"/>
      <c r="P35" s="1378"/>
      <c r="Q35" s="913"/>
      <c r="R35" s="913"/>
      <c r="T35" s="204" t="s">
        <v>4708</v>
      </c>
      <c r="U35" s="31" t="s">
        <v>4711</v>
      </c>
      <c r="V35" s="31" t="str">
        <f>IF(OR(J35="1920s,现代",$U$1="其他",J35=$U$1,AND(J35="1920s,罕见",$U$1="1920s"),J35="罕见"),U35,"-"&amp;U35)</f>
        <v>-.357 马格南左轮</v>
      </c>
    </row>
    <row r="36" spans="2:22" ht="14.25" customHeight="1">
      <c r="B36" s="914" t="str">
        <f>IF(OR(J36="1920s,现代",$U$1="其他",J36=$U$1,J36="罕见"),U36,"-"&amp;U36)</f>
        <v>.38(9mm)左轮手枪</v>
      </c>
      <c r="C36" s="915" t="s">
        <v>134</v>
      </c>
      <c r="D36" s="916" t="s">
        <v>400</v>
      </c>
      <c r="E36" s="916" t="s">
        <v>4700</v>
      </c>
      <c r="F36" s="916" t="s">
        <v>514</v>
      </c>
      <c r="G36" s="916" t="s">
        <v>4691</v>
      </c>
      <c r="H36" s="916" t="s">
        <v>4692</v>
      </c>
      <c r="I36" s="916" t="s">
        <v>3549</v>
      </c>
      <c r="J36" s="916" t="s">
        <v>4572</v>
      </c>
      <c r="K36" s="916" t="s">
        <v>4712</v>
      </c>
      <c r="L36" s="917" t="s">
        <v>4713</v>
      </c>
      <c r="M36" s="1378"/>
      <c r="N36" s="1408"/>
      <c r="O36" s="1408"/>
      <c r="P36" s="1378"/>
      <c r="Q36" s="913"/>
      <c r="R36" s="913"/>
      <c r="T36" s="204" t="s">
        <v>400</v>
      </c>
      <c r="U36" s="31" t="s">
        <v>4714</v>
      </c>
      <c r="V36" s="31" t="str">
        <f>IF(OR(J36="1920s,现代",$U$1="其他",J36=$U$1,AND(J36="1920s,罕见",$U$1="1920s"),J36="罕见"),U36,"-"&amp;U36)</f>
        <v>.38(9mm)左轮手枪</v>
      </c>
    </row>
    <row r="37" spans="2:22" ht="14.25" customHeight="1">
      <c r="B37" s="881" t="str">
        <f>IF(OR(J37="1920s,现代",$U$1="其他",J37=$U$1,J37="罕见"),U37,"-"&amp;U37)</f>
        <v>.38(9mm)自动手枪</v>
      </c>
      <c r="C37" s="882" t="s">
        <v>134</v>
      </c>
      <c r="D37" s="883" t="s">
        <v>400</v>
      </c>
      <c r="E37" s="883" t="s">
        <v>4700</v>
      </c>
      <c r="F37" s="883" t="s">
        <v>514</v>
      </c>
      <c r="G37" s="883" t="s">
        <v>4691</v>
      </c>
      <c r="H37" s="883" t="s">
        <v>4704</v>
      </c>
      <c r="I37" s="883" t="s">
        <v>4705</v>
      </c>
      <c r="J37" s="883" t="s">
        <v>4572</v>
      </c>
      <c r="K37" s="883" t="s">
        <v>4715</v>
      </c>
      <c r="L37" s="884" t="s">
        <v>4713</v>
      </c>
      <c r="M37" s="1378"/>
      <c r="N37" s="1408"/>
      <c r="O37" s="1408"/>
      <c r="P37" s="1378"/>
      <c r="Q37" s="913"/>
      <c r="R37" s="913"/>
      <c r="T37" s="204" t="s">
        <v>400</v>
      </c>
      <c r="U37" s="31" t="s">
        <v>4716</v>
      </c>
      <c r="V37" s="31" t="str">
        <f>IF(OR(J37="1920s,现代",$U$1="其他",J37=$U$1,AND(J37="1920s,罕见",$U$1="1920s"),J37="罕见"),U37,"-"&amp;U37)</f>
        <v>.38(9mm)自动手枪</v>
      </c>
    </row>
    <row r="38" spans="2:22" ht="14.25" customHeight="1">
      <c r="B38" s="914" t="str">
        <f>IF(OR(J38="1920s,现代",$U$1="其他",J38=$U$1,J38="罕见"),U38,"-"&amp;U38)</f>
        <v>-贝瑞塔 M9</v>
      </c>
      <c r="C38" s="915" t="s">
        <v>134</v>
      </c>
      <c r="D38" s="916" t="s">
        <v>400</v>
      </c>
      <c r="E38" s="916" t="s">
        <v>4700</v>
      </c>
      <c r="F38" s="916" t="s">
        <v>514</v>
      </c>
      <c r="G38" s="916" t="s">
        <v>4691</v>
      </c>
      <c r="H38" s="916" t="s">
        <v>4700</v>
      </c>
      <c r="I38" s="916" t="s">
        <v>4717</v>
      </c>
      <c r="J38" s="916" t="s">
        <v>3276</v>
      </c>
      <c r="K38" s="916" t="s">
        <v>4718</v>
      </c>
      <c r="L38" s="917" t="s">
        <v>4719</v>
      </c>
      <c r="M38" s="1378"/>
      <c r="N38" s="1923" t="s">
        <v>4720</v>
      </c>
      <c r="O38" s="1408"/>
      <c r="P38" s="1378"/>
      <c r="Q38" s="913"/>
      <c r="R38" s="913"/>
      <c r="T38" s="204" t="s">
        <v>400</v>
      </c>
      <c r="U38" s="31" t="s">
        <v>4721</v>
      </c>
      <c r="V38" s="31" t="str">
        <f>IF(OR(J38="1920s,现代",$U$1="其他",J38=$U$1,AND(J38="1920s,罕见",$U$1="1920s"),J38="罕见"),U38,"-"&amp;U38)</f>
        <v>-贝瑞塔 M9</v>
      </c>
    </row>
    <row r="39" spans="2:22" ht="14.25" customHeight="1">
      <c r="B39" s="881" t="str">
        <f>IF(OR(J39="1920s,现代",$U$1="其他",J39=$U$1,J39="罕见"),U39,"-"&amp;U39)</f>
        <v>-9mm 格洛克 17</v>
      </c>
      <c r="C39" s="882" t="s">
        <v>134</v>
      </c>
      <c r="D39" s="883" t="s">
        <v>400</v>
      </c>
      <c r="E39" s="883" t="s">
        <v>4700</v>
      </c>
      <c r="F39" s="883" t="s">
        <v>514</v>
      </c>
      <c r="G39" s="883" t="s">
        <v>4691</v>
      </c>
      <c r="H39" s="883" t="s">
        <v>4722</v>
      </c>
      <c r="I39" s="883" t="s">
        <v>4717</v>
      </c>
      <c r="J39" s="883" t="s">
        <v>3276</v>
      </c>
      <c r="K39" s="883" t="s">
        <v>4718</v>
      </c>
      <c r="L39" s="884" t="s">
        <v>4723</v>
      </c>
      <c r="M39" s="1378"/>
      <c r="N39" s="1408"/>
      <c r="O39" s="1408"/>
      <c r="P39" s="1378"/>
      <c r="Q39" s="913"/>
      <c r="R39" s="913"/>
      <c r="T39" s="204" t="s">
        <v>400</v>
      </c>
      <c r="U39" s="31" t="s">
        <v>4724</v>
      </c>
      <c r="V39" s="31" t="str">
        <f>IF(OR(J39="1920s,现代",$U$1="其他",J39=$U$1,AND(J39="1920s,罕见",$U$1="1920s"),J39="罕见"),U39,"-"&amp;U39)</f>
        <v>-9mm 格洛克 17</v>
      </c>
    </row>
    <row r="40" spans="2:22" ht="14.25" customHeight="1">
      <c r="B40" s="914" t="str">
        <f>IF(OR(J40="1920s,现代",$U$1="其他",J40=$U$1,J40="罕见"),U40,"-"&amp;U40)</f>
        <v>9mm 鲁格 P08</v>
      </c>
      <c r="C40" s="915" t="s">
        <v>134</v>
      </c>
      <c r="D40" s="916" t="s">
        <v>400</v>
      </c>
      <c r="E40" s="916" t="s">
        <v>4700</v>
      </c>
      <c r="F40" s="916" t="s">
        <v>514</v>
      </c>
      <c r="G40" s="916" t="s">
        <v>4691</v>
      </c>
      <c r="H40" s="916" t="s">
        <v>4704</v>
      </c>
      <c r="I40" s="916" t="s">
        <v>4705</v>
      </c>
      <c r="J40" s="916" t="s">
        <v>4572</v>
      </c>
      <c r="K40" s="916" t="s">
        <v>4725</v>
      </c>
      <c r="L40" s="917" t="s">
        <v>4726</v>
      </c>
      <c r="M40" s="1378"/>
      <c r="N40" s="1408"/>
      <c r="O40" s="1408"/>
      <c r="P40" s="1378"/>
      <c r="Q40" s="913"/>
      <c r="R40" s="913"/>
      <c r="T40" s="204" t="s">
        <v>400</v>
      </c>
      <c r="U40" s="31" t="s">
        <v>4727</v>
      </c>
      <c r="V40" s="31" t="str">
        <f>IF(OR(J40="1920s,现代",$U$1="其他",J40=$U$1,AND(J40="1920s,罕见",$U$1="1920s"),J40="罕见"),U40,"-"&amp;U40)</f>
        <v>9mm 鲁格 P08</v>
      </c>
    </row>
    <row r="41" spans="2:22" ht="14.25" customHeight="1">
      <c r="B41" s="881" t="str">
        <f>IF(OR(J41="1920s,现代",$U$1="其他",J41=$U$1,J41="罕见"),U41,"-"&amp;U41)</f>
        <v>-*.41(10.4mm) 左轮手枪</v>
      </c>
      <c r="C41" s="882" t="s">
        <v>134</v>
      </c>
      <c r="D41" s="883" t="s">
        <v>400</v>
      </c>
      <c r="E41" s="883" t="s">
        <v>4700</v>
      </c>
      <c r="F41" s="883" t="s">
        <v>514</v>
      </c>
      <c r="G41" s="883" t="s">
        <v>4691</v>
      </c>
      <c r="H41" s="883" t="s">
        <v>4704</v>
      </c>
      <c r="I41" s="883" t="s">
        <v>3549</v>
      </c>
      <c r="J41" s="918" t="s">
        <v>4728</v>
      </c>
      <c r="K41" s="883" t="s">
        <v>4729</v>
      </c>
      <c r="L41" s="884" t="s">
        <v>4730</v>
      </c>
      <c r="M41" s="1378"/>
      <c r="N41" s="1408"/>
      <c r="O41" s="1408"/>
      <c r="P41" s="1378"/>
      <c r="Q41" s="913"/>
      <c r="R41" s="913"/>
      <c r="T41" s="204" t="s">
        <v>400</v>
      </c>
      <c r="U41" s="31" t="s">
        <v>4731</v>
      </c>
      <c r="V41" s="31" t="str">
        <f>IF(OR(J41="1920s,现代",$U$1="其他",J41=$U$1,AND(J41="1920s,罕见",$U$1="1920s"),J41="罕见"),U41,"-"&amp;U41)</f>
        <v>*.41(10.4mm) 左轮手枪</v>
      </c>
    </row>
    <row r="42" spans="2:22" ht="14.25" customHeight="1">
      <c r="B42" s="914" t="str">
        <f>IF(OR(J42="1920s,现代",$U$1="其他",J42=$U$1,J42="罕见"),U42,"-"&amp;U42)</f>
        <v>-.44(11.2mm) 马格南左轮手枪</v>
      </c>
      <c r="C42" s="915" t="s">
        <v>134</v>
      </c>
      <c r="D42" s="916" t="s">
        <v>4732</v>
      </c>
      <c r="E42" s="916" t="s">
        <v>4700</v>
      </c>
      <c r="F42" s="916" t="s">
        <v>514</v>
      </c>
      <c r="G42" s="916" t="s">
        <v>4691</v>
      </c>
      <c r="H42" s="916" t="s">
        <v>4692</v>
      </c>
      <c r="I42" s="916" t="s">
        <v>3549</v>
      </c>
      <c r="J42" s="916" t="s">
        <v>3276</v>
      </c>
      <c r="K42" s="916">
        <v>475</v>
      </c>
      <c r="L42" s="917" t="s">
        <v>4733</v>
      </c>
      <c r="M42" s="1378"/>
      <c r="N42" s="1408"/>
      <c r="O42" s="1408"/>
      <c r="P42" s="1378"/>
      <c r="Q42" s="913"/>
      <c r="R42" s="913"/>
      <c r="T42" s="204" t="s">
        <v>4732</v>
      </c>
      <c r="U42" s="31" t="s">
        <v>4734</v>
      </c>
      <c r="V42" s="31" t="str">
        <f>IF(OR(J42="1920s,现代",$U$1="其他",J42=$U$1,AND(J42="1920s,罕见",$U$1="1920s"),J42="罕见"),U42,"-"&amp;U42)</f>
        <v>-.44(11.2mm) 马格南左轮手枪</v>
      </c>
    </row>
    <row r="43" spans="2:22" ht="14.25" customHeight="1">
      <c r="B43" s="881" t="str">
        <f>IF(OR(J43="1920s,现代",$U$1="其他",J43=$U$1,J43="罕见"),U43,"-"&amp;U43)</f>
        <v>.45(11.43mm) 左轮手枪</v>
      </c>
      <c r="C43" s="882" t="s">
        <v>134</v>
      </c>
      <c r="D43" s="883" t="s">
        <v>4735</v>
      </c>
      <c r="E43" s="883" t="s">
        <v>4700</v>
      </c>
      <c r="F43" s="883" t="s">
        <v>514</v>
      </c>
      <c r="G43" s="883" t="s">
        <v>4691</v>
      </c>
      <c r="H43" s="883" t="s">
        <v>4692</v>
      </c>
      <c r="I43" s="883" t="s">
        <v>3549</v>
      </c>
      <c r="J43" s="883" t="s">
        <v>4572</v>
      </c>
      <c r="K43" s="883" t="s">
        <v>4686</v>
      </c>
      <c r="L43" s="884" t="s">
        <v>4736</v>
      </c>
      <c r="M43" s="1378"/>
      <c r="N43" s="1408"/>
      <c r="O43" s="1408"/>
      <c r="P43" s="1378"/>
      <c r="Q43" s="913"/>
      <c r="R43" s="913"/>
      <c r="T43" s="204" t="s">
        <v>4735</v>
      </c>
      <c r="U43" s="31" t="s">
        <v>4737</v>
      </c>
      <c r="V43" s="31" t="str">
        <f>IF(OR(J43="1920s,现代",$U$1="其他",J43=$U$1,AND(J43="1920s,罕见",$U$1="1920s"),J43="罕见"),U43,"-"&amp;U43)</f>
        <v>.45(11.43mm) 左轮手枪</v>
      </c>
    </row>
    <row r="44" spans="2:22" ht="14.25" customHeight="1">
      <c r="B44" s="914" t="str">
        <f>IF(OR(J44="1920s,现代",$U$1="其他",J44=$U$1,J44="罕见"),U44,"-"&amp;U44)</f>
        <v>.45(11.43mm) 自动手枪</v>
      </c>
      <c r="C44" s="915" t="s">
        <v>134</v>
      </c>
      <c r="D44" s="916" t="s">
        <v>4735</v>
      </c>
      <c r="E44" s="916" t="s">
        <v>4700</v>
      </c>
      <c r="F44" s="916" t="s">
        <v>514</v>
      </c>
      <c r="G44" s="916" t="s">
        <v>4691</v>
      </c>
      <c r="H44" s="916" t="s">
        <v>4738</v>
      </c>
      <c r="I44" s="916" t="s">
        <v>3549</v>
      </c>
      <c r="J44" s="916" t="s">
        <v>4572</v>
      </c>
      <c r="K44" s="916" t="s">
        <v>4739</v>
      </c>
      <c r="L44" s="917" t="s">
        <v>4736</v>
      </c>
      <c r="M44" s="1378"/>
      <c r="N44" s="1408"/>
      <c r="O44" s="1408"/>
      <c r="P44" s="1378"/>
      <c r="Q44" s="913"/>
      <c r="R44" s="913"/>
      <c r="T44" s="204" t="s">
        <v>4735</v>
      </c>
      <c r="U44" s="31" t="s">
        <v>4740</v>
      </c>
      <c r="V44" s="31" t="str">
        <f>IF(OR(J44="1920s,现代",$U$1="其他",J44=$U$1,AND(J44="1920s,罕见",$U$1="1920s"),J44="罕见"),U44,"-"&amp;U44)</f>
        <v>.45(11.43mm) 自动手枪</v>
      </c>
    </row>
    <row r="45" spans="2:22" ht="14.25" customHeight="1">
      <c r="B45" s="919" t="str">
        <f>IF(OR(J45="1920s,现代",$U$1="其他",J45=$U$1,J45="罕见"),U45,"-"&amp;U45)</f>
        <v>-IMI 沙漠之鹰</v>
      </c>
      <c r="C45" s="920" t="s">
        <v>134</v>
      </c>
      <c r="D45" s="921" t="s">
        <v>4741</v>
      </c>
      <c r="E45" s="921" t="s">
        <v>4700</v>
      </c>
      <c r="F45" s="921" t="s">
        <v>514</v>
      </c>
      <c r="G45" s="921" t="s">
        <v>4691</v>
      </c>
      <c r="H45" s="921" t="s">
        <v>4738</v>
      </c>
      <c r="I45" s="921" t="s">
        <v>4742</v>
      </c>
      <c r="J45" s="921" t="s">
        <v>3276</v>
      </c>
      <c r="K45" s="921">
        <v>650</v>
      </c>
      <c r="L45" s="922" t="s">
        <v>4743</v>
      </c>
      <c r="M45" s="1411"/>
      <c r="N45" s="1409"/>
      <c r="O45" s="1409"/>
      <c r="P45" s="1411"/>
      <c r="Q45" s="913"/>
      <c r="R45" s="913"/>
      <c r="T45" s="204" t="s">
        <v>4741</v>
      </c>
      <c r="U45" s="31" t="s">
        <v>4744</v>
      </c>
      <c r="V45" s="31" t="str">
        <f>IF(OR(J45="1920s,现代",$U$1="其他",J45=$U$1,AND(J45="1920s,罕见",$U$1="1920s"),J45="罕见"),U45,"-"&amp;U45)</f>
        <v>-IMI 沙漠之鹰</v>
      </c>
    </row>
    <row r="46" spans="2:22" ht="14.25" customHeight="1">
      <c r="B46" s="923" t="str">
        <f>IF(OR(J46="1920s,现代",$U$1="其他",J46=$U$1,J46="罕见"),U46,"-"&amp;U46)</f>
        <v>*.58 (14.7mm)1855 年式春田步枪</v>
      </c>
      <c r="C46" s="924" t="s">
        <v>369</v>
      </c>
      <c r="D46" s="925" t="s">
        <v>4745</v>
      </c>
      <c r="E46" s="925" t="s">
        <v>4746</v>
      </c>
      <c r="F46" s="925" t="s">
        <v>514</v>
      </c>
      <c r="G46" s="925" t="s">
        <v>4685</v>
      </c>
      <c r="H46" s="925" t="s">
        <v>4570</v>
      </c>
      <c r="I46" s="925" t="s">
        <v>4593</v>
      </c>
      <c r="J46" s="925" t="s">
        <v>4654</v>
      </c>
      <c r="K46" s="925" t="s">
        <v>4747</v>
      </c>
      <c r="L46" s="926" t="s">
        <v>4748</v>
      </c>
      <c r="M46" s="1898" t="s">
        <v>4749</v>
      </c>
      <c r="N46" s="1990" t="s">
        <v>4750</v>
      </c>
      <c r="O46" s="1987" t="s">
        <v>4751</v>
      </c>
      <c r="P46" s="1407"/>
      <c r="Q46" s="927"/>
      <c r="R46" s="913"/>
      <c r="T46" s="204" t="s">
        <v>4745</v>
      </c>
      <c r="U46" s="31" t="s">
        <v>4752</v>
      </c>
      <c r="V46" s="31" t="s">
        <v>4752</v>
      </c>
    </row>
    <row r="47" spans="2:22" ht="14.25" customHeight="1">
      <c r="B47" s="881" t="str">
        <f>IF(OR(J47="1920s,现代",$U$1="其他",J47=$U$1,J47="罕见"),U47,"-"&amp;U47)</f>
        <v>.22 (5.6mm)栓式枪机步枪</v>
      </c>
      <c r="C47" s="882" t="s">
        <v>369</v>
      </c>
      <c r="D47" s="883" t="s">
        <v>4683</v>
      </c>
      <c r="E47" s="883" t="s">
        <v>4753</v>
      </c>
      <c r="F47" s="883" t="s">
        <v>514</v>
      </c>
      <c r="G47" s="883" t="s">
        <v>4570</v>
      </c>
      <c r="H47" s="883" t="s">
        <v>4692</v>
      </c>
      <c r="I47" s="883" t="s">
        <v>4705</v>
      </c>
      <c r="J47" s="883" t="s">
        <v>4572</v>
      </c>
      <c r="K47" s="883" t="s">
        <v>4754</v>
      </c>
      <c r="L47" s="884" t="s">
        <v>4694</v>
      </c>
      <c r="M47" s="1378"/>
      <c r="N47" s="1378"/>
      <c r="O47" s="1408"/>
      <c r="P47" s="1378"/>
      <c r="Q47" s="927"/>
      <c r="R47" s="913"/>
      <c r="T47" s="204" t="s">
        <v>4683</v>
      </c>
      <c r="U47" s="31" t="s">
        <v>4755</v>
      </c>
      <c r="V47" s="31" t="str">
        <f>IF(OR(J47="1920s,现代",$U$1="其他",J47=$U$1,AND(J47="1920s,罕见",$U$1="1920s"),J47="罕见"),U47,"-"&amp;U47)</f>
        <v>.22 (5.6mm)栓式枪机步枪</v>
      </c>
    </row>
    <row r="48" spans="2:22" ht="14.25" customHeight="1">
      <c r="B48" s="877" t="str">
        <f>IF(OR(J48="1920s,现代",$U$1="其他",J48=$U$1,J48="罕见"),U48,"-"&amp;U48)</f>
        <v>.30 (7.62mm)杠杆式枪机步枪</v>
      </c>
      <c r="C48" s="928" t="s">
        <v>369</v>
      </c>
      <c r="D48" s="929" t="s">
        <v>4756</v>
      </c>
      <c r="E48" s="929" t="s">
        <v>3539</v>
      </c>
      <c r="F48" s="929" t="s">
        <v>514</v>
      </c>
      <c r="G48" s="929" t="s">
        <v>4570</v>
      </c>
      <c r="H48" s="929" t="s">
        <v>4692</v>
      </c>
      <c r="I48" s="929" t="s">
        <v>4717</v>
      </c>
      <c r="J48" s="929" t="s">
        <v>4572</v>
      </c>
      <c r="K48" s="929" t="s">
        <v>4757</v>
      </c>
      <c r="L48" s="930" t="s">
        <v>4758</v>
      </c>
      <c r="M48" s="1378"/>
      <c r="N48" s="1378"/>
      <c r="O48" s="1408"/>
      <c r="P48" s="1378"/>
      <c r="Q48" s="927"/>
      <c r="R48" s="913"/>
      <c r="T48" s="204" t="s">
        <v>4756</v>
      </c>
      <c r="U48" s="31" t="s">
        <v>4759</v>
      </c>
      <c r="V48" s="31" t="str">
        <f>IF(OR(J48="1920s,现代",$U$1="其他",J48=$U$1,AND(J48="1920s,罕见",$U$1="1920s"),J48="罕见"),U48,"-"&amp;U48)</f>
        <v>.30 (7.62mm)杠杆式枪机步枪</v>
      </c>
    </row>
    <row r="49" spans="2:22" ht="14.25" customHeight="1">
      <c r="B49" s="881" t="str">
        <f>IF(OR(J49="1920s,现代",$U$1="其他",J49=$U$1,J49="罕见"),U49,"-"&amp;U49)</f>
        <v>.45 马提尼·亨利步枪</v>
      </c>
      <c r="C49" s="882" t="s">
        <v>369</v>
      </c>
      <c r="D49" s="883" t="s">
        <v>4760</v>
      </c>
      <c r="E49" s="883" t="s">
        <v>4761</v>
      </c>
      <c r="F49" s="883" t="s">
        <v>514</v>
      </c>
      <c r="G49" s="883" t="s">
        <v>4762</v>
      </c>
      <c r="H49" s="883" t="s">
        <v>4570</v>
      </c>
      <c r="I49" s="883" t="s">
        <v>3549</v>
      </c>
      <c r="J49" s="883" t="s">
        <v>13</v>
      </c>
      <c r="K49" s="883" t="s">
        <v>4763</v>
      </c>
      <c r="L49" s="884" t="s">
        <v>4764</v>
      </c>
      <c r="M49" s="1378"/>
      <c r="N49" s="1378"/>
      <c r="O49" s="1408"/>
      <c r="P49" s="1378"/>
      <c r="Q49" s="927"/>
      <c r="R49" s="913"/>
      <c r="T49" s="204" t="s">
        <v>4760</v>
      </c>
      <c r="U49" s="31" t="s">
        <v>4765</v>
      </c>
      <c r="V49" s="31" t="str">
        <f>IF(OR(J49="1920s,现代",$U$1="其他",J49=$U$1,AND(J49="1920s,罕见",$U$1="1920s"),J49="罕见"),U49,"-"&amp;U49)</f>
        <v>.45 马提尼·亨利步枪</v>
      </c>
    </row>
    <row r="50" spans="2:22" ht="14.25" customHeight="1">
      <c r="B50" s="931" t="str">
        <f>IF(OR(J50="1920s,现代",$U$1="其他",J50=$U$1,J50="罕见"),U50,"-"&amp;U50)</f>
        <v>莫兰上校的气动步枪</v>
      </c>
      <c r="C50" s="932" t="s">
        <v>369</v>
      </c>
      <c r="D50" s="933" t="s">
        <v>4766</v>
      </c>
      <c r="E50" s="933" t="s">
        <v>4767</v>
      </c>
      <c r="F50" s="933" t="s">
        <v>514</v>
      </c>
      <c r="G50" s="933" t="s">
        <v>4762</v>
      </c>
      <c r="H50" s="933" t="s">
        <v>4570</v>
      </c>
      <c r="I50" s="933" t="s">
        <v>4768</v>
      </c>
      <c r="J50" s="933" t="s">
        <v>13</v>
      </c>
      <c r="K50" s="933" t="s">
        <v>4769</v>
      </c>
      <c r="L50" s="934" t="s">
        <v>4736</v>
      </c>
      <c r="M50" s="1378"/>
      <c r="N50" s="1378"/>
      <c r="O50" s="1408"/>
      <c r="P50" s="1378"/>
      <c r="Q50" s="927"/>
      <c r="R50" s="913"/>
      <c r="T50" s="204" t="s">
        <v>4766</v>
      </c>
      <c r="U50" s="31" t="s">
        <v>4770</v>
      </c>
      <c r="V50" s="31" t="str">
        <f>IF(OR(J50="1920s,现代",$U$1="其他",J50=$U$1,AND(J50="1920s,罕见",$U$1="1920s"),J50="罕见"),U50,"-"&amp;U50)</f>
        <v>莫兰上校的气动步枪</v>
      </c>
    </row>
    <row r="51" spans="2:22" ht="14.25" customHeight="1">
      <c r="B51" s="877" t="str">
        <f>IF(OR(J51="1920s,现代",$U$1="其他",J51=$U$1,J51="罕见"),U51,"-"&amp;U51)</f>
        <v>加兰德M1、M2步枪</v>
      </c>
      <c r="C51" s="935" t="s">
        <v>369</v>
      </c>
      <c r="D51" s="936" t="s">
        <v>4771</v>
      </c>
      <c r="E51" s="936" t="s">
        <v>4772</v>
      </c>
      <c r="F51" s="936" t="s">
        <v>514</v>
      </c>
      <c r="G51" s="936" t="s">
        <v>4570</v>
      </c>
      <c r="H51" s="936" t="s">
        <v>4704</v>
      </c>
      <c r="I51" s="936" t="s">
        <v>3549</v>
      </c>
      <c r="J51" s="936" t="s">
        <v>4572</v>
      </c>
      <c r="K51" s="936" t="s">
        <v>4773</v>
      </c>
      <c r="L51" s="937" t="s">
        <v>4774</v>
      </c>
      <c r="M51" s="1378"/>
      <c r="N51" s="1378"/>
      <c r="O51" s="1408"/>
      <c r="P51" s="1378"/>
      <c r="Q51" s="927"/>
      <c r="R51" s="913"/>
      <c r="T51" s="204" t="s">
        <v>4771</v>
      </c>
      <c r="U51" s="31" t="s">
        <v>4775</v>
      </c>
      <c r="V51" s="31" t="str">
        <f>IF(OR(J51="1920s,现代",$U$1="其他",J51=$U$1,AND(J51="1920s,罕见",$U$1="1920s"),J51="罕见"),U51,"-"&amp;U51)</f>
        <v>加兰德M1、M2步枪</v>
      </c>
    </row>
    <row r="52" spans="2:22" ht="14.25" customHeight="1">
      <c r="B52" s="881" t="str">
        <f>IF(OR(J52="1920s,现代",$U$1="其他",J52=$U$1,J52="罕见"),U52,"-"&amp;U52)</f>
        <v>-SKS 半自动步枪(56 半)</v>
      </c>
      <c r="C52" s="938" t="s">
        <v>369</v>
      </c>
      <c r="D52" s="939" t="s">
        <v>4766</v>
      </c>
      <c r="E52" s="939" t="s">
        <v>4776</v>
      </c>
      <c r="F52" s="939" t="s">
        <v>514</v>
      </c>
      <c r="G52" s="939" t="s">
        <v>4777</v>
      </c>
      <c r="H52" s="939" t="s">
        <v>4684</v>
      </c>
      <c r="I52" s="939" t="s">
        <v>4571</v>
      </c>
      <c r="J52" s="939" t="s">
        <v>3276</v>
      </c>
      <c r="K52" s="939" t="s">
        <v>3558</v>
      </c>
      <c r="L52" s="940" t="s">
        <v>4778</v>
      </c>
      <c r="M52" s="1378"/>
      <c r="N52" s="1378"/>
      <c r="O52" s="1408"/>
      <c r="P52" s="1378"/>
      <c r="Q52" s="927"/>
      <c r="R52" s="913"/>
      <c r="T52" s="204" t="s">
        <v>4766</v>
      </c>
      <c r="U52" s="31" t="s">
        <v>4779</v>
      </c>
      <c r="V52" s="31" t="str">
        <f>IF(OR(J52="1920s,现代",$U$1="其他",J52=$U$1,AND(J52="1920s,罕见",$U$1="1920s"),J52="罕见"),U52,"-"&amp;U52)</f>
        <v>-SKS 半自动步枪(56 半)</v>
      </c>
    </row>
    <row r="53" spans="2:22" ht="14.25" customHeight="1">
      <c r="B53" s="877" t="str">
        <f>IF(OR(J53="1920s,现代",$U$1="其他",J53=$U$1,J53="罕见"),U53,"-"&amp;U53)</f>
        <v>.303 (7.7mm) 李·恩菲尔德</v>
      </c>
      <c r="C53" s="935" t="s">
        <v>369</v>
      </c>
      <c r="D53" s="936" t="s">
        <v>4771</v>
      </c>
      <c r="E53" s="936" t="s">
        <v>4772</v>
      </c>
      <c r="F53" s="936" t="s">
        <v>514</v>
      </c>
      <c r="G53" s="936" t="s">
        <v>4570</v>
      </c>
      <c r="H53" s="936">
        <v>10</v>
      </c>
      <c r="I53" s="936" t="s">
        <v>3549</v>
      </c>
      <c r="J53" s="936" t="s">
        <v>4572</v>
      </c>
      <c r="K53" s="936" t="s">
        <v>4780</v>
      </c>
      <c r="L53" s="937" t="s">
        <v>4781</v>
      </c>
      <c r="M53" s="1378"/>
      <c r="N53" s="1378"/>
      <c r="O53" s="1408"/>
      <c r="P53" s="1378"/>
      <c r="Q53" s="927"/>
      <c r="R53" s="913"/>
      <c r="T53" s="204" t="s">
        <v>4771</v>
      </c>
      <c r="U53" s="31" t="s">
        <v>4782</v>
      </c>
      <c r="V53" s="31" t="str">
        <f>IF(OR(J53="1920s,现代",$U$1="其他",J53=$U$1,AND(J53="1920s,罕见",$U$1="1920s"),J53="罕见"),U53,"-"&amp;U53)</f>
        <v>.303 (7.7mm) 李·恩菲尔德</v>
      </c>
    </row>
    <row r="54" spans="2:22" ht="14.25" customHeight="1">
      <c r="B54" s="881" t="str">
        <f>IF(OR(J54="1920s,现代",$U$1="其他",J54=$U$1,J54="罕见"),U54,"-"&amp;U54)</f>
        <v>.30——06 (7.62mm) 栓式枪机步枪</v>
      </c>
      <c r="C54" s="938" t="s">
        <v>369</v>
      </c>
      <c r="D54" s="939" t="s">
        <v>4771</v>
      </c>
      <c r="E54" s="939" t="s">
        <v>4772</v>
      </c>
      <c r="F54" s="939" t="s">
        <v>514</v>
      </c>
      <c r="G54" s="939" t="s">
        <v>4570</v>
      </c>
      <c r="H54" s="939" t="s">
        <v>4783</v>
      </c>
      <c r="I54" s="939" t="s">
        <v>3549</v>
      </c>
      <c r="J54" s="939" t="s">
        <v>4572</v>
      </c>
      <c r="K54" s="939" t="s">
        <v>4784</v>
      </c>
      <c r="L54" s="940" t="s">
        <v>4758</v>
      </c>
      <c r="M54" s="1378"/>
      <c r="N54" s="1378"/>
      <c r="O54" s="1408"/>
      <c r="P54" s="1378"/>
      <c r="Q54" s="927"/>
      <c r="R54" s="913"/>
      <c r="T54" s="204" t="s">
        <v>4771</v>
      </c>
      <c r="U54" s="31" t="s">
        <v>4785</v>
      </c>
      <c r="V54" s="31" t="str">
        <f>IF(OR(J54="1920s,现代",$U$1="其他",J54=$U$1,AND(J54="1920s,罕见",$U$1="1920s"),J54="罕见"),U54,"-"&amp;U54)</f>
        <v>.30——06 (7.62mm) 栓式枪机步枪</v>
      </c>
    </row>
    <row r="55" spans="2:22" ht="14.25" customHeight="1">
      <c r="B55" s="877" t="str">
        <f>IF(OR(J55="1920s,现代",$U$1="其他",J55=$U$1,J55="罕见"),U55,"-"&amp;U55)</f>
        <v>-.30——06 (7.62mm) 半自动步枪</v>
      </c>
      <c r="C55" s="935" t="s">
        <v>369</v>
      </c>
      <c r="D55" s="936" t="s">
        <v>4771</v>
      </c>
      <c r="E55" s="936" t="s">
        <v>4772</v>
      </c>
      <c r="F55" s="936" t="s">
        <v>514</v>
      </c>
      <c r="G55" s="936" t="s">
        <v>4570</v>
      </c>
      <c r="H55" s="936" t="s">
        <v>4783</v>
      </c>
      <c r="I55" s="936" t="s">
        <v>3549</v>
      </c>
      <c r="J55" s="936" t="s">
        <v>3276</v>
      </c>
      <c r="K55" s="936" t="s">
        <v>4786</v>
      </c>
      <c r="L55" s="937" t="s">
        <v>4787</v>
      </c>
      <c r="M55" s="1378"/>
      <c r="N55" s="1378"/>
      <c r="O55" s="1408"/>
      <c r="P55" s="1378"/>
      <c r="Q55" s="927"/>
      <c r="R55" s="913"/>
      <c r="T55" s="204" t="s">
        <v>4771</v>
      </c>
      <c r="U55" s="31" t="s">
        <v>4788</v>
      </c>
      <c r="V55" s="31" t="str">
        <f>IF(OR(J55="1920s,现代",$U$1="其他",J55=$U$1,AND(J55="1920s,罕见",$U$1="1920s"),J55="罕见"),U55,"-"&amp;U55)</f>
        <v>-.30——06 (7.62mm) 半自动步枪</v>
      </c>
    </row>
    <row r="56" spans="2:22" ht="14.25" customHeight="1">
      <c r="B56" s="881" t="str">
        <f>IF(OR(J56="1920s,现代",$U$1="其他",J56=$U$1,J56="罕见"),U56,"-"&amp;U56)</f>
        <v>-.444 (11.28mm) 马林步枪</v>
      </c>
      <c r="C56" s="938" t="s">
        <v>369</v>
      </c>
      <c r="D56" s="939" t="s">
        <v>4789</v>
      </c>
      <c r="E56" s="939" t="s">
        <v>4772</v>
      </c>
      <c r="F56" s="939" t="s">
        <v>514</v>
      </c>
      <c r="G56" s="939" t="s">
        <v>4570</v>
      </c>
      <c r="H56" s="939" t="s">
        <v>4783</v>
      </c>
      <c r="I56" s="939" t="s">
        <v>4717</v>
      </c>
      <c r="J56" s="939" t="s">
        <v>3276</v>
      </c>
      <c r="K56" s="939">
        <v>400</v>
      </c>
      <c r="L56" s="940" t="s">
        <v>4630</v>
      </c>
      <c r="M56" s="1378"/>
      <c r="N56" s="1378"/>
      <c r="O56" s="1408"/>
      <c r="P56" s="1378"/>
      <c r="Q56" s="927"/>
      <c r="R56" s="913"/>
      <c r="T56" s="204" t="s">
        <v>4789</v>
      </c>
      <c r="U56" s="31" t="s">
        <v>4790</v>
      </c>
      <c r="V56" s="31" t="str">
        <f>IF(OR(J56="1920s,现代",$U$1="其他",J56=$U$1,AND(J56="1920s,罕见",$U$1="1920s"),J56="罕见"),U56,"-"&amp;U56)</f>
        <v>-.444 (11.28mm) 马林步枪</v>
      </c>
    </row>
    <row r="57" spans="2:22" ht="14.25" customHeight="1">
      <c r="B57" s="877" t="str">
        <f>IF(OR(J57="1920s,现代",$U$1="其他",J57=$U$1,J57="罕见"),U57,"-"&amp;U57)</f>
        <v>猎象枪(双管)</v>
      </c>
      <c r="C57" s="935" t="s">
        <v>369</v>
      </c>
      <c r="D57" s="936" t="s">
        <v>4791</v>
      </c>
      <c r="E57" s="936" t="s">
        <v>3549</v>
      </c>
      <c r="F57" s="936" t="s">
        <v>514</v>
      </c>
      <c r="G57" s="936" t="s">
        <v>4792</v>
      </c>
      <c r="H57" s="936" t="s">
        <v>4646</v>
      </c>
      <c r="I57" s="936" t="s">
        <v>3549</v>
      </c>
      <c r="J57" s="936" t="s">
        <v>4572</v>
      </c>
      <c r="K57" s="936" t="s">
        <v>4793</v>
      </c>
      <c r="L57" s="937" t="s">
        <v>4794</v>
      </c>
      <c r="M57" s="1939" t="s">
        <v>4795</v>
      </c>
      <c r="N57" s="1929" t="s">
        <v>4796</v>
      </c>
      <c r="O57" s="1998" t="s">
        <v>4797</v>
      </c>
      <c r="P57" s="1931" t="s">
        <v>4798</v>
      </c>
      <c r="Q57" s="927"/>
      <c r="R57" s="913"/>
      <c r="T57" s="204" t="s">
        <v>4791</v>
      </c>
      <c r="U57" s="31" t="s">
        <v>4799</v>
      </c>
      <c r="V57" s="31" t="str">
        <f>IF(OR(J57="1920s,现代",$U$1="其他",J57=$U$1,AND(J57="1920s,罕见",$U$1="1920s"),J57="罕见"),U57,"-"&amp;U57)</f>
        <v>猎象枪(双管)</v>
      </c>
    </row>
    <row r="58" spans="2:22" ht="14.25" customHeight="1">
      <c r="B58" s="877" t="str">
        <f>IF(OR(J58="1920s,现代",$U$1="其他",J58=$U$1,J58="罕见"),U58,"-"&amp;U58)</f>
        <v>20 号霰弹枪(双管)</v>
      </c>
      <c r="C58" s="878" t="s">
        <v>369</v>
      </c>
      <c r="D58" s="929" t="s">
        <v>4800</v>
      </c>
      <c r="E58" s="929" t="s">
        <v>4801</v>
      </c>
      <c r="F58" s="929" t="s">
        <v>175</v>
      </c>
      <c r="G58" s="929" t="s">
        <v>4792</v>
      </c>
      <c r="H58" s="929" t="s">
        <v>4646</v>
      </c>
      <c r="I58" s="929" t="s">
        <v>3549</v>
      </c>
      <c r="J58" s="929" t="s">
        <v>13</v>
      </c>
      <c r="K58" s="929" t="s">
        <v>4802</v>
      </c>
      <c r="L58" s="941" t="s">
        <v>4803</v>
      </c>
      <c r="M58" s="1378"/>
      <c r="N58" s="1378"/>
      <c r="O58" s="1408"/>
      <c r="P58" s="1378"/>
      <c r="Q58" s="927"/>
      <c r="R58" s="913"/>
      <c r="T58" s="204" t="s">
        <v>4756</v>
      </c>
      <c r="U58" s="31" t="s">
        <v>4804</v>
      </c>
      <c r="V58" s="31" t="str">
        <f>IF(OR(J58="1920s,现代",$U$1="其他",J58=$U$1,AND(J58="1920s,罕见",$U$1="1920s"),J58="罕见"),U58,"-"&amp;U58)</f>
        <v>20 号霰弹枪(双管)</v>
      </c>
    </row>
    <row r="59" spans="2:22" ht="14.25" customHeight="1">
      <c r="B59" s="881" t="str">
        <f>IF(OR(J59="1920s,现代",$U$1="其他",J59=$U$1,J59="罕见"),U59,"-"&amp;U59)</f>
        <v>16 号霰弹枪(双管)</v>
      </c>
      <c r="C59" s="882" t="s">
        <v>369</v>
      </c>
      <c r="D59" s="883" t="s">
        <v>4805</v>
      </c>
      <c r="E59" s="883" t="s">
        <v>4801</v>
      </c>
      <c r="F59" s="883" t="s">
        <v>175</v>
      </c>
      <c r="G59" s="883" t="s">
        <v>4792</v>
      </c>
      <c r="H59" s="883" t="s">
        <v>4646</v>
      </c>
      <c r="I59" s="883" t="s">
        <v>3549</v>
      </c>
      <c r="J59" s="883" t="s">
        <v>13</v>
      </c>
      <c r="K59" s="883" t="s">
        <v>4806</v>
      </c>
      <c r="L59" s="942" t="s">
        <v>4803</v>
      </c>
      <c r="M59" s="1378"/>
      <c r="N59" s="1378"/>
      <c r="O59" s="1408"/>
      <c r="P59" s="1378"/>
      <c r="Q59" s="927"/>
      <c r="R59" s="913"/>
      <c r="T59" s="204" t="s">
        <v>4807</v>
      </c>
      <c r="U59" s="31" t="s">
        <v>4808</v>
      </c>
      <c r="V59" s="31" t="str">
        <f>IF(OR(J59="1920s,现代",$U$1="其他",J59=$U$1,AND(J59="1920s,罕见",$U$1="1920s"),J59="罕见"),U59,"-"&amp;U59)</f>
        <v>16 号霰弹枪(双管)</v>
      </c>
    </row>
    <row r="60" spans="2:22" ht="14.25" customHeight="1">
      <c r="B60" s="877" t="str">
        <f>IF(OR(J60="1920s,现代",$U$1="其他",J60=$U$1,J60="罕见"),U60,"-"&amp;U60)</f>
        <v>12 号霰弹枪(双管)</v>
      </c>
      <c r="C60" s="928" t="s">
        <v>369</v>
      </c>
      <c r="D60" s="929" t="s">
        <v>4809</v>
      </c>
      <c r="E60" s="929" t="s">
        <v>4801</v>
      </c>
      <c r="F60" s="929" t="s">
        <v>175</v>
      </c>
      <c r="G60" s="929" t="s">
        <v>4792</v>
      </c>
      <c r="H60" s="929" t="s">
        <v>4646</v>
      </c>
      <c r="I60" s="929" t="s">
        <v>3549</v>
      </c>
      <c r="J60" s="929" t="s">
        <v>4572</v>
      </c>
      <c r="K60" s="929" t="s">
        <v>4810</v>
      </c>
      <c r="L60" s="941" t="s">
        <v>4803</v>
      </c>
      <c r="M60" s="1378"/>
      <c r="N60" s="1378"/>
      <c r="O60" s="1408"/>
      <c r="P60" s="1378"/>
      <c r="Q60" s="927"/>
      <c r="R60" s="913"/>
      <c r="T60" s="204" t="s">
        <v>4811</v>
      </c>
      <c r="U60" s="31" t="s">
        <v>4812</v>
      </c>
      <c r="V60" s="31" t="str">
        <f>IF(OR(J60="1920s,现代",$U$1="其他",J60=$U$1,AND(J60="1920s,罕见",$U$1="1920s"),J60="罕见"),U60,"-"&amp;U60)</f>
        <v>12 号霰弹枪(双管)</v>
      </c>
    </row>
    <row r="61" spans="2:22" ht="14.25" customHeight="1">
      <c r="B61" s="881" t="str">
        <f>IF(OR(J61="1920s,现代",$U$1="其他",J61=$U$1,J61="罕见"),U61,"-"&amp;U61)</f>
        <v>12 号霰弹枪(泵动)</v>
      </c>
      <c r="C61" s="882" t="s">
        <v>369</v>
      </c>
      <c r="D61" s="883" t="s">
        <v>4809</v>
      </c>
      <c r="E61" s="883" t="s">
        <v>4801</v>
      </c>
      <c r="F61" s="883" t="s">
        <v>175</v>
      </c>
      <c r="G61" s="883" t="s">
        <v>4570</v>
      </c>
      <c r="H61" s="883" t="s">
        <v>4783</v>
      </c>
      <c r="I61" s="883" t="s">
        <v>3549</v>
      </c>
      <c r="J61" s="883" t="s">
        <v>4572</v>
      </c>
      <c r="K61" s="883" t="s">
        <v>4813</v>
      </c>
      <c r="L61" s="942" t="s">
        <v>4814</v>
      </c>
      <c r="M61" s="1378"/>
      <c r="N61" s="1378"/>
      <c r="O61" s="1408"/>
      <c r="P61" s="1378"/>
      <c r="Q61" s="927"/>
      <c r="R61" s="913"/>
      <c r="T61" s="204" t="s">
        <v>4811</v>
      </c>
      <c r="U61" s="31" t="s">
        <v>4815</v>
      </c>
      <c r="V61" s="31" t="str">
        <f>IF(OR(J61="1920s,现代",$U$1="其他",J61=$U$1,AND(J61="1920s,罕见",$U$1="1920s"),J61="罕见"),U61,"-"&amp;U61)</f>
        <v>12 号霰弹枪(泵动)</v>
      </c>
    </row>
    <row r="62" spans="2:22" ht="14.25" customHeight="1">
      <c r="B62" s="877" t="str">
        <f>IF(OR(J62="1920s,现代",$U$1="其他",J62=$U$1,J62="罕见"),U62,"-"&amp;U62)</f>
        <v>-12 号霰弹枪(半自动)</v>
      </c>
      <c r="C62" s="928" t="s">
        <v>369</v>
      </c>
      <c r="D62" s="929" t="s">
        <v>4809</v>
      </c>
      <c r="E62" s="929" t="s">
        <v>4801</v>
      </c>
      <c r="F62" s="929" t="s">
        <v>175</v>
      </c>
      <c r="G62" s="929" t="s">
        <v>4777</v>
      </c>
      <c r="H62" s="929" t="s">
        <v>4783</v>
      </c>
      <c r="I62" s="929" t="s">
        <v>3549</v>
      </c>
      <c r="J62" s="929" t="s">
        <v>3276</v>
      </c>
      <c r="K62" s="929" t="s">
        <v>4813</v>
      </c>
      <c r="L62" s="941" t="s">
        <v>4726</v>
      </c>
      <c r="M62" s="1378"/>
      <c r="N62" s="1378"/>
      <c r="O62" s="1408"/>
      <c r="P62" s="1378"/>
      <c r="Q62" s="927"/>
      <c r="R62" s="913"/>
      <c r="T62" s="204" t="s">
        <v>4811</v>
      </c>
      <c r="U62" s="31" t="s">
        <v>4816</v>
      </c>
      <c r="V62" s="31" t="str">
        <f>IF(OR(J62="1920s,现代",$U$1="其他",J62=$U$1,AND(J62="1920s,罕见",$U$1="1920s"),J62="罕见"),U62,"-"&amp;U62)</f>
        <v>-12 号霰弹枪(半自动)</v>
      </c>
    </row>
    <row r="63" spans="2:22" ht="14.25" customHeight="1">
      <c r="B63" s="881" t="str">
        <f>IF(OR(J63="1920s,现代",$U$1="其他",J63=$U$1,J63="罕见"),U63,"-"&amp;U63)</f>
        <v>12 号霰弹枪(双管,锯短)</v>
      </c>
      <c r="C63" s="882" t="s">
        <v>369</v>
      </c>
      <c r="D63" s="883" t="s">
        <v>4817</v>
      </c>
      <c r="E63" s="883" t="s">
        <v>4680</v>
      </c>
      <c r="F63" s="883" t="s">
        <v>175</v>
      </c>
      <c r="G63" s="883" t="s">
        <v>4792</v>
      </c>
      <c r="H63" s="883" t="s">
        <v>4646</v>
      </c>
      <c r="I63" s="883" t="s">
        <v>3549</v>
      </c>
      <c r="J63" s="883" t="s">
        <v>13</v>
      </c>
      <c r="K63" s="883" t="s">
        <v>4818</v>
      </c>
      <c r="L63" s="942" t="s">
        <v>4819</v>
      </c>
      <c r="M63" s="1378"/>
      <c r="N63" s="1378"/>
      <c r="O63" s="1408"/>
      <c r="P63" s="1378"/>
      <c r="Q63" s="927"/>
      <c r="R63" s="913"/>
      <c r="T63" s="204" t="s">
        <v>4811</v>
      </c>
      <c r="U63" s="31" t="s">
        <v>4820</v>
      </c>
      <c r="V63" s="31" t="str">
        <f>IF(OR(J63="1920s,现代",$U$1="其他",J63=$U$1,AND(J63="1920s,罕见",$U$1="1920s"),J63="罕见"),U63,"-"&amp;U63)</f>
        <v>12 号霰弹枪(双管,锯短)</v>
      </c>
    </row>
    <row r="64" spans="2:22" ht="14.25" customHeight="1">
      <c r="B64" s="877" t="str">
        <f>IF(OR(J64="1920s,现代",$U$1="其他",J64=$U$1,J64="罕见"),U64,"-"&amp;U64)</f>
        <v>-*10 号霰弹枪(双管)</v>
      </c>
      <c r="C64" s="928" t="s">
        <v>369</v>
      </c>
      <c r="D64" s="929" t="s">
        <v>4821</v>
      </c>
      <c r="E64" s="929" t="s">
        <v>4801</v>
      </c>
      <c r="F64" s="929" t="s">
        <v>175</v>
      </c>
      <c r="G64" s="929" t="s">
        <v>4792</v>
      </c>
      <c r="H64" s="929" t="s">
        <v>4646</v>
      </c>
      <c r="I64" s="929" t="s">
        <v>3549</v>
      </c>
      <c r="J64" s="929" t="s">
        <v>4728</v>
      </c>
      <c r="K64" s="929" t="s">
        <v>4822</v>
      </c>
      <c r="L64" s="941" t="s">
        <v>4819</v>
      </c>
      <c r="M64" s="1378"/>
      <c r="N64" s="1378"/>
      <c r="O64" s="1408"/>
      <c r="P64" s="1378"/>
      <c r="Q64" s="927"/>
      <c r="R64" s="913"/>
      <c r="T64" s="204" t="s">
        <v>4823</v>
      </c>
      <c r="U64" s="31" t="s">
        <v>4824</v>
      </c>
      <c r="V64" s="31" t="str">
        <f>IF(OR(J64="1920s,现代",$U$1="其他",J64=$U$1,AND(J64="1920s,罕见",$U$1="1920s"),J64="罕见"),U64,"-"&amp;U64)</f>
        <v>*10 号霰弹枪(双管)</v>
      </c>
    </row>
    <row r="65" spans="2:22" ht="14.25" customHeight="1">
      <c r="B65" s="881" t="str">
        <f>IF(OR(J65="1920s,现代",$U$1="其他",J65=$U$1,J65="罕见"),U65,"-"&amp;U65)</f>
        <v>-12 号贝里尼 M3(折叠式枪托)</v>
      </c>
      <c r="C65" s="882" t="s">
        <v>369</v>
      </c>
      <c r="D65" s="883" t="s">
        <v>4809</v>
      </c>
      <c r="E65" s="883" t="s">
        <v>4801</v>
      </c>
      <c r="F65" s="883" t="s">
        <v>175</v>
      </c>
      <c r="G65" s="883" t="s">
        <v>4777</v>
      </c>
      <c r="H65" s="883" t="s">
        <v>4738</v>
      </c>
      <c r="I65" s="883" t="s">
        <v>3549</v>
      </c>
      <c r="J65" s="883" t="s">
        <v>3276</v>
      </c>
      <c r="K65" s="883" t="s">
        <v>4825</v>
      </c>
      <c r="L65" s="942" t="s">
        <v>4826</v>
      </c>
      <c r="M65" s="1378"/>
      <c r="N65" s="1378"/>
      <c r="O65" s="1408"/>
      <c r="P65" s="1378"/>
      <c r="Q65" s="927"/>
      <c r="R65" s="913"/>
      <c r="T65" s="204" t="s">
        <v>4811</v>
      </c>
      <c r="U65" s="31" t="s">
        <v>4827</v>
      </c>
      <c r="V65" s="31" t="str">
        <f>IF(OR(J65="1920s,现代",$U$1="其他",J65=$U$1,AND(J65="1920s,罕见",$U$1="1920s"),J65="罕见"),U65,"-"&amp;U65)</f>
        <v>-12 号贝里尼 M3(折叠式枪托)</v>
      </c>
    </row>
    <row r="66" spans="2:22" ht="14.25" customHeight="1">
      <c r="B66" s="905" t="str">
        <f>IF(OR(J66="1920s,现代",$U$1="其他",J66=$U$1,J66="罕见"),U66,"-"&amp;U66)</f>
        <v>-12 号 SPAS (折叠式枪托)</v>
      </c>
      <c r="C66" s="943" t="s">
        <v>369</v>
      </c>
      <c r="D66" s="944" t="s">
        <v>4809</v>
      </c>
      <c r="E66" s="944" t="s">
        <v>4801</v>
      </c>
      <c r="F66" s="944" t="s">
        <v>175</v>
      </c>
      <c r="G66" s="944" t="s">
        <v>4570</v>
      </c>
      <c r="H66" s="944" t="s">
        <v>4704</v>
      </c>
      <c r="I66" s="944" t="s">
        <v>4717</v>
      </c>
      <c r="J66" s="944" t="s">
        <v>3276</v>
      </c>
      <c r="K66" s="944" t="s">
        <v>4828</v>
      </c>
      <c r="L66" s="945" t="s">
        <v>4829</v>
      </c>
      <c r="M66" s="1411"/>
      <c r="N66" s="1411"/>
      <c r="O66" s="1408"/>
      <c r="P66" s="1378"/>
      <c r="Q66" s="927"/>
      <c r="R66" s="913"/>
      <c r="T66" s="204" t="s">
        <v>4811</v>
      </c>
      <c r="U66" s="31" t="s">
        <v>4830</v>
      </c>
      <c r="V66" s="31" t="str">
        <f>IF(OR(J66="1920s,现代",$U$1="其他",J66=$U$1,AND(J66="1920s,罕见",$U$1="1920s"),J66="罕见"),U66,"-"&amp;U66)</f>
        <v>-12 号 SPAS (折叠式枪托)</v>
      </c>
    </row>
    <row r="67" spans="2:22" ht="14.25" customHeight="1">
      <c r="B67" s="946" t="str">
        <f>IF(OR(J67="1920s,现代",$U$1="其他",J67=$U$1,J67="罕见"),U67,"-"&amp;U67)</f>
        <v>-AK-47 或 AKM</v>
      </c>
      <c r="C67" s="947" t="s">
        <v>369</v>
      </c>
      <c r="D67" s="948" t="s">
        <v>4766</v>
      </c>
      <c r="E67" s="948" t="s">
        <v>3549</v>
      </c>
      <c r="F67" s="948" t="s">
        <v>514</v>
      </c>
      <c r="G67" s="948" t="s">
        <v>4831</v>
      </c>
      <c r="H67" s="948" t="s">
        <v>4753</v>
      </c>
      <c r="I67" s="948" t="s">
        <v>3549</v>
      </c>
      <c r="J67" s="948" t="s">
        <v>3276</v>
      </c>
      <c r="K67" s="948" t="s">
        <v>4668</v>
      </c>
      <c r="L67" s="949" t="s">
        <v>4832</v>
      </c>
      <c r="M67" s="1930" t="s">
        <v>4833</v>
      </c>
      <c r="N67" s="1992" t="s">
        <v>4834</v>
      </c>
      <c r="O67" s="1885" t="s">
        <v>4835</v>
      </c>
      <c r="P67" s="1089"/>
      <c r="Q67" s="2004" t="s">
        <v>4836</v>
      </c>
      <c r="R67" s="1407"/>
      <c r="T67" s="204" t="s">
        <v>4766</v>
      </c>
      <c r="U67" s="31" t="s">
        <v>4837</v>
      </c>
      <c r="V67" s="31" t="str">
        <f>IF(OR(J67="1920s,现代",$U$1="其他",J67=$U$1,AND(J67="1920s,罕见",$U$1="1920s"),J67="罕见"),U67,"-"&amp;U67)</f>
        <v>-AK-47 或 AKM</v>
      </c>
    </row>
    <row r="68" spans="2:22" ht="14.25" customHeight="1">
      <c r="B68" s="950" t="str">
        <f>IF(OR(J68="1920s,现代",$U$1="其他",J68=$U$1,J68="罕见"),U68,"-"&amp;U68)</f>
        <v>-AK-74</v>
      </c>
      <c r="C68" s="938" t="s">
        <v>369</v>
      </c>
      <c r="D68" s="939" t="s">
        <v>4766</v>
      </c>
      <c r="E68" s="939" t="s">
        <v>4772</v>
      </c>
      <c r="F68" s="939" t="s">
        <v>514</v>
      </c>
      <c r="G68" s="939" t="s">
        <v>4831</v>
      </c>
      <c r="H68" s="939" t="s">
        <v>4753</v>
      </c>
      <c r="I68" s="939" t="s">
        <v>4571</v>
      </c>
      <c r="J68" s="939" t="s">
        <v>3276</v>
      </c>
      <c r="K68" s="939" t="s">
        <v>4838</v>
      </c>
      <c r="L68" s="940" t="s">
        <v>4675</v>
      </c>
      <c r="M68" s="1851"/>
      <c r="N68" s="1714"/>
      <c r="O68" s="1935" t="s">
        <v>4839</v>
      </c>
      <c r="P68" s="1015"/>
      <c r="Q68" s="1851"/>
      <c r="R68" s="1378"/>
      <c r="T68" s="204" t="s">
        <v>4756</v>
      </c>
      <c r="U68" s="31" t="s">
        <v>4840</v>
      </c>
      <c r="V68" s="31" t="str">
        <f>IF(OR(J68="1920s,现代",$U$1="其他",J68=$U$1,AND(J68="1920s,罕见",$U$1="1920s"),J68="罕见"),U68,"-"&amp;U68)</f>
        <v>-AK-74</v>
      </c>
    </row>
    <row r="69" spans="2:22" ht="14.25" customHeight="1">
      <c r="B69" s="951" t="str">
        <f>IF(OR(J69="1920s,现代",$U$1="其他",J69=$U$1,J69="罕见"),U69,"-"&amp;U69)</f>
        <v>-巴雷特M82</v>
      </c>
      <c r="C69" s="952" t="s">
        <v>369</v>
      </c>
      <c r="D69" s="953" t="s">
        <v>4841</v>
      </c>
      <c r="E69" s="953" t="s">
        <v>4842</v>
      </c>
      <c r="F69" s="953" t="s">
        <v>514</v>
      </c>
      <c r="G69" s="953" t="s">
        <v>4570</v>
      </c>
      <c r="H69" s="953" t="s">
        <v>4843</v>
      </c>
      <c r="I69" s="953" t="s">
        <v>4609</v>
      </c>
      <c r="J69" s="953" t="s">
        <v>3276</v>
      </c>
      <c r="K69" s="953" t="s">
        <v>4844</v>
      </c>
      <c r="L69" s="954" t="s">
        <v>4845</v>
      </c>
      <c r="M69" s="1851"/>
      <c r="N69" s="1714"/>
      <c r="O69" s="1034"/>
      <c r="P69" s="1015"/>
      <c r="Q69" s="1851"/>
      <c r="R69" s="1378"/>
      <c r="T69" s="204" t="s">
        <v>4841</v>
      </c>
      <c r="U69" s="31" t="s">
        <v>4846</v>
      </c>
      <c r="V69" s="31" t="str">
        <f>IF(OR(J69="1920s,现代",$U$1="其他",J69=$U$1,AND(J69="1920s,罕见",$U$1="1920s"),J69="罕见"),U69,"-"&amp;U69)</f>
        <v>-巴雷特M82</v>
      </c>
    </row>
    <row r="70" spans="2:22" ht="14.25" customHeight="1">
      <c r="B70" s="950" t="str">
        <f>IF(OR(J70="1920s,现代",$U$1="其他",J70=$U$1,J70="罕见"),U70,"-"&amp;U70)</f>
        <v>-FN FAL</v>
      </c>
      <c r="C70" s="938" t="s">
        <v>369</v>
      </c>
      <c r="D70" s="939" t="s">
        <v>4771</v>
      </c>
      <c r="E70" s="939" t="s">
        <v>4772</v>
      </c>
      <c r="F70" s="939" t="s">
        <v>514</v>
      </c>
      <c r="G70" s="939" t="s">
        <v>4847</v>
      </c>
      <c r="H70" s="939" t="s">
        <v>4767</v>
      </c>
      <c r="I70" s="939" t="s">
        <v>4571</v>
      </c>
      <c r="J70" s="939" t="s">
        <v>3276</v>
      </c>
      <c r="K70" s="939" t="s">
        <v>4848</v>
      </c>
      <c r="L70" s="940" t="s">
        <v>4849</v>
      </c>
      <c r="M70" s="1851"/>
      <c r="N70" s="1714"/>
      <c r="O70" s="1034"/>
      <c r="P70" s="1015"/>
      <c r="Q70" s="1851"/>
      <c r="R70" s="1378"/>
      <c r="T70" s="204" t="s">
        <v>4771</v>
      </c>
      <c r="U70" s="31" t="s">
        <v>4850</v>
      </c>
      <c r="V70" s="31" t="str">
        <f>IF(OR(J70="1920s,现代",$U$1="其他",J70=$U$1,AND(J70="1920s,罕见",$U$1="1920s"),J70="罕见"),U70,"-"&amp;U70)</f>
        <v>-FN FAL</v>
      </c>
    </row>
    <row r="71" spans="2:22" ht="14.25" customHeight="1">
      <c r="B71" s="951" t="str">
        <f>IF(OR(J71="1920s,现代",$U$1="其他",J71=$U$1,J71="罕见"),U71,"-"&amp;U71)</f>
        <v>-加利尔突击步枪</v>
      </c>
      <c r="C71" s="952" t="s">
        <v>369</v>
      </c>
      <c r="D71" s="953" t="s">
        <v>4756</v>
      </c>
      <c r="E71" s="953" t="s">
        <v>4772</v>
      </c>
      <c r="F71" s="953" t="s">
        <v>514</v>
      </c>
      <c r="G71" s="953" t="s">
        <v>4851</v>
      </c>
      <c r="H71" s="953" t="s">
        <v>4767</v>
      </c>
      <c r="I71" s="953" t="s">
        <v>4717</v>
      </c>
      <c r="J71" s="953" t="s">
        <v>3276</v>
      </c>
      <c r="K71" s="953" t="s">
        <v>4852</v>
      </c>
      <c r="L71" s="954" t="s">
        <v>4853</v>
      </c>
      <c r="M71" s="1851"/>
      <c r="N71" s="1714"/>
      <c r="O71" s="1034"/>
      <c r="P71" s="1015"/>
      <c r="Q71" s="1851"/>
      <c r="R71" s="1378"/>
      <c r="T71" s="204" t="s">
        <v>4756</v>
      </c>
      <c r="U71" s="31" t="s">
        <v>4854</v>
      </c>
      <c r="V71" s="31" t="str">
        <f>IF(OR(J71="1920s,现代",$U$1="其他",J71=$U$1,AND(J71="1920s,罕见",$U$1="1920s"),J71="罕见"),U71,"-"&amp;U71)</f>
        <v>-加利尔突击步枪</v>
      </c>
    </row>
    <row r="72" spans="2:22" ht="14.25" customHeight="1">
      <c r="B72" s="950" t="str">
        <f>IF(OR(J72="1920s,现代",$U$1="其他",J72=$U$1,J72="罕见"),U72,"-"&amp;U72)</f>
        <v>-M16A2</v>
      </c>
      <c r="C72" s="938" t="s">
        <v>369</v>
      </c>
      <c r="D72" s="939" t="s">
        <v>4756</v>
      </c>
      <c r="E72" s="939" t="s">
        <v>4772</v>
      </c>
      <c r="F72" s="939" t="s">
        <v>514</v>
      </c>
      <c r="G72" s="939" t="s">
        <v>4847</v>
      </c>
      <c r="H72" s="939" t="s">
        <v>4753</v>
      </c>
      <c r="I72" s="939" t="s">
        <v>4571</v>
      </c>
      <c r="J72" s="939" t="s">
        <v>3276</v>
      </c>
      <c r="K72" s="939" t="s">
        <v>4818</v>
      </c>
      <c r="L72" s="940" t="s">
        <v>4855</v>
      </c>
      <c r="M72" s="1851"/>
      <c r="N72" s="1714"/>
      <c r="O72" s="1034"/>
      <c r="P72" s="1015"/>
      <c r="Q72" s="1851"/>
      <c r="R72" s="1378"/>
      <c r="T72" s="204" t="s">
        <v>4756</v>
      </c>
      <c r="U72" s="31" t="s">
        <v>4856</v>
      </c>
      <c r="V72" s="31" t="str">
        <f>IF(OR(J72="1920s,现代",$U$1="其他",J72=$U$1,AND(J72="1920s,罕见",$U$1="1920s"),J72="罕见"),U72,"-"&amp;U72)</f>
        <v>-M16A2</v>
      </c>
    </row>
    <row r="73" spans="2:22" ht="14.25" customHeight="1">
      <c r="B73" s="951" t="str">
        <f>IF(OR(J73="1920s,现代",$U$1="其他",J73=$U$1,J73="罕见"),U73,"-"&amp;U73)</f>
        <v>-M4</v>
      </c>
      <c r="C73" s="952" t="s">
        <v>369</v>
      </c>
      <c r="D73" s="953" t="s">
        <v>4756</v>
      </c>
      <c r="E73" s="953" t="s">
        <v>4776</v>
      </c>
      <c r="F73" s="953" t="s">
        <v>514</v>
      </c>
      <c r="G73" s="953" t="s">
        <v>4857</v>
      </c>
      <c r="H73" s="953" t="s">
        <v>4753</v>
      </c>
      <c r="I73" s="953" t="s">
        <v>4571</v>
      </c>
      <c r="J73" s="953" t="s">
        <v>3276</v>
      </c>
      <c r="K73" s="953" t="s">
        <v>4818</v>
      </c>
      <c r="L73" s="954" t="s">
        <v>4858</v>
      </c>
      <c r="M73" s="1851"/>
      <c r="N73" s="1714"/>
      <c r="O73" s="1034"/>
      <c r="P73" s="1015"/>
      <c r="Q73" s="1851"/>
      <c r="R73" s="1378"/>
      <c r="T73" s="204" t="s">
        <v>4756</v>
      </c>
      <c r="U73" s="31" t="s">
        <v>4859</v>
      </c>
      <c r="V73" s="31" t="str">
        <f>IF(OR(J73="1920s,现代",$U$1="其他",J73=$U$1,AND(J73="1920s,罕见",$U$1="1920s"),J73="罕见"),U73,"-"&amp;U73)</f>
        <v>-M4</v>
      </c>
    </row>
    <row r="74" spans="2:22" ht="14.25" customHeight="1">
      <c r="B74" s="950" t="str">
        <f>IF(OR(J74="1920s,现代",$U$1="其他",J74=$U$1,J74="罕见"),U74,"-"&amp;U74)</f>
        <v>-斯泰尔 AUG</v>
      </c>
      <c r="C74" s="938" t="s">
        <v>369</v>
      </c>
      <c r="D74" s="939" t="s">
        <v>4756</v>
      </c>
      <c r="E74" s="939" t="s">
        <v>4772</v>
      </c>
      <c r="F74" s="939" t="s">
        <v>514</v>
      </c>
      <c r="G74" s="939" t="s">
        <v>4831</v>
      </c>
      <c r="H74" s="939" t="s">
        <v>4753</v>
      </c>
      <c r="I74" s="939" t="s">
        <v>4705</v>
      </c>
      <c r="J74" s="939" t="s">
        <v>3276</v>
      </c>
      <c r="K74" s="939" t="s">
        <v>4860</v>
      </c>
      <c r="L74" s="940" t="s">
        <v>4861</v>
      </c>
      <c r="M74" s="1851"/>
      <c r="N74" s="1714"/>
      <c r="O74" s="1034"/>
      <c r="P74" s="1015"/>
      <c r="Q74" s="1851"/>
      <c r="R74" s="1378"/>
      <c r="T74" s="204" t="s">
        <v>4756</v>
      </c>
      <c r="U74" s="31" t="s">
        <v>4862</v>
      </c>
      <c r="V74" s="31" t="str">
        <f>IF(OR(J74="1920s,现代",$U$1="其他",J74=$U$1,AND(J74="1920s,罕见",$U$1="1920s"),J74="罕见"),U74,"-"&amp;U74)</f>
        <v>-斯泰尔 AUG</v>
      </c>
    </row>
    <row r="75" spans="2:22" ht="14.25" customHeight="1">
      <c r="B75" s="951" t="str">
        <f>IF(OR(J75="1920s,现代",$U$1="其他",J75=$U$1,J75="罕见"),U75,"-"&amp;U75)</f>
        <v>-贝雷塔 M70/90</v>
      </c>
      <c r="C75" s="952" t="s">
        <v>369</v>
      </c>
      <c r="D75" s="953" t="s">
        <v>4756</v>
      </c>
      <c r="E75" s="953" t="s">
        <v>4772</v>
      </c>
      <c r="F75" s="953" t="s">
        <v>514</v>
      </c>
      <c r="G75" s="953" t="s">
        <v>4863</v>
      </c>
      <c r="H75" s="953" t="s">
        <v>4753</v>
      </c>
      <c r="I75" s="953" t="s">
        <v>4705</v>
      </c>
      <c r="J75" s="953" t="s">
        <v>3276</v>
      </c>
      <c r="K75" s="953" t="s">
        <v>4864</v>
      </c>
      <c r="L75" s="954" t="s">
        <v>4865</v>
      </c>
      <c r="M75" s="1410"/>
      <c r="N75" s="1714"/>
      <c r="O75" s="1034"/>
      <c r="P75" s="1015"/>
      <c r="Q75" s="1851"/>
      <c r="R75" s="1378"/>
      <c r="T75" s="204" t="s">
        <v>4756</v>
      </c>
      <c r="U75" s="31" t="s">
        <v>4866</v>
      </c>
      <c r="V75" s="31" t="str">
        <f>IF(OR(J75="1920s,现代",$U$1="其他",J75=$U$1,AND(J75="1920s,罕见",$U$1="1920s"),J75="罕见"),U75,"-"&amp;U75)</f>
        <v>-贝雷塔 M70/90</v>
      </c>
    </row>
    <row r="76" spans="2:22" ht="14.25" customHeight="1">
      <c r="B76" s="950" t="str">
        <f>IF(OR(J76="1920s,现代",$U$1="其他",J76=$U$1,J76="罕见"),U76,"-"&amp;U76)</f>
        <v>MP18I/MP28II</v>
      </c>
      <c r="C76" s="938" t="s">
        <v>2699</v>
      </c>
      <c r="D76" s="939" t="s">
        <v>400</v>
      </c>
      <c r="E76" s="939" t="s">
        <v>4767</v>
      </c>
      <c r="F76" s="939" t="s">
        <v>514</v>
      </c>
      <c r="G76" s="939" t="s">
        <v>4831</v>
      </c>
      <c r="H76" s="939" t="s">
        <v>4867</v>
      </c>
      <c r="I76" s="939" t="s">
        <v>4609</v>
      </c>
      <c r="J76" s="939" t="s">
        <v>13</v>
      </c>
      <c r="K76" s="939" t="s">
        <v>4868</v>
      </c>
      <c r="L76" s="940" t="s">
        <v>4869</v>
      </c>
      <c r="M76" s="1934" t="s">
        <v>4870</v>
      </c>
      <c r="N76" s="1714"/>
      <c r="O76" s="1034"/>
      <c r="P76" s="1015"/>
      <c r="Q76" s="1851"/>
      <c r="R76" s="1378"/>
      <c r="T76" s="204" t="s">
        <v>400</v>
      </c>
      <c r="U76" s="31" t="s">
        <v>4871</v>
      </c>
      <c r="V76" s="31" t="str">
        <f>IF(OR(J76="1920s,现代",$U$1="其他",J76=$U$1,AND(J76="1920s,罕见",$U$1="1920s"),J76="罕见"),U76,"-"&amp;U76)</f>
        <v>MP18I/MP28II</v>
      </c>
    </row>
    <row r="77" spans="2:22" ht="14.25" customHeight="1">
      <c r="B77" s="951" t="str">
        <f>IF(OR(J77="1920s,现代",$U$1="其他",J77=$U$1,J77="罕见"),U77,"-"&amp;U77)</f>
        <v>-MP5</v>
      </c>
      <c r="C77" s="952" t="s">
        <v>2699</v>
      </c>
      <c r="D77" s="953" t="s">
        <v>400</v>
      </c>
      <c r="E77" s="953" t="s">
        <v>4767</v>
      </c>
      <c r="F77" s="953" t="s">
        <v>514</v>
      </c>
      <c r="G77" s="953" t="s">
        <v>4831</v>
      </c>
      <c r="H77" s="953" t="s">
        <v>4872</v>
      </c>
      <c r="I77" s="953" t="s">
        <v>4571</v>
      </c>
      <c r="J77" s="953" t="s">
        <v>3276</v>
      </c>
      <c r="K77" s="953" t="s">
        <v>4818</v>
      </c>
      <c r="L77" s="954" t="s">
        <v>4873</v>
      </c>
      <c r="M77" s="1851"/>
      <c r="N77" s="1714"/>
      <c r="O77" s="1034"/>
      <c r="P77" s="1015"/>
      <c r="Q77" s="1851"/>
      <c r="R77" s="1378"/>
      <c r="T77" s="204" t="s">
        <v>400</v>
      </c>
      <c r="U77" s="31" t="s">
        <v>4874</v>
      </c>
      <c r="V77" s="31" t="str">
        <f>IF(OR(J77="1920s,现代",$U$1="其他",J77=$U$1,AND(J77="1920s,罕见",$U$1="1920s"),J77="罕见"),U77,"-"&amp;U77)</f>
        <v>-MP5</v>
      </c>
    </row>
    <row r="78" spans="2:22" ht="14.25" customHeight="1">
      <c r="B78" s="950" t="str">
        <f>IF(OR(J78="1920s,现代",$U$1="其他",J78=$U$1,J78="罕见"),U78,"-"&amp;U78)</f>
        <v>-MAC-11</v>
      </c>
      <c r="C78" s="938" t="s">
        <v>2699</v>
      </c>
      <c r="D78" s="939" t="s">
        <v>400</v>
      </c>
      <c r="E78" s="939" t="s">
        <v>4700</v>
      </c>
      <c r="F78" s="939" t="s">
        <v>514</v>
      </c>
      <c r="G78" s="939" t="s">
        <v>4875</v>
      </c>
      <c r="H78" s="939" t="s">
        <v>4876</v>
      </c>
      <c r="I78" s="939" t="s">
        <v>4609</v>
      </c>
      <c r="J78" s="939" t="s">
        <v>3276</v>
      </c>
      <c r="K78" s="939" t="s">
        <v>4877</v>
      </c>
      <c r="L78" s="940" t="s">
        <v>4865</v>
      </c>
      <c r="M78" s="1851"/>
      <c r="N78" s="1714"/>
      <c r="O78" s="1034"/>
      <c r="P78" s="1015"/>
      <c r="Q78" s="1851"/>
      <c r="R78" s="1378"/>
      <c r="T78" s="204" t="s">
        <v>400</v>
      </c>
      <c r="U78" s="31" t="s">
        <v>4878</v>
      </c>
      <c r="V78" s="31" t="str">
        <f>IF(OR(J78="1920s,现代",$U$1="其他",J78=$U$1,AND(J78="1920s,罕见",$U$1="1920s"),J78="罕见"),U78,"-"&amp;U78)</f>
        <v>-MAC-11</v>
      </c>
    </row>
    <row r="79" spans="2:22" ht="14.25" customHeight="1">
      <c r="B79" s="951" t="str">
        <f>IF(OR(J79="1920s,现代",$U$1="其他",J79=$U$1,J79="罕见"),U79,"-"&amp;U79)</f>
        <v>-蝎式冲锋枪</v>
      </c>
      <c r="C79" s="952" t="s">
        <v>2699</v>
      </c>
      <c r="D79" s="953" t="s">
        <v>4699</v>
      </c>
      <c r="E79" s="953" t="s">
        <v>4700</v>
      </c>
      <c r="F79" s="953" t="s">
        <v>514</v>
      </c>
      <c r="G79" s="953" t="s">
        <v>4875</v>
      </c>
      <c r="H79" s="953" t="s">
        <v>4767</v>
      </c>
      <c r="I79" s="953" t="s">
        <v>4609</v>
      </c>
      <c r="J79" s="953" t="s">
        <v>3276</v>
      </c>
      <c r="K79" s="953" t="s">
        <v>4818</v>
      </c>
      <c r="L79" s="954" t="s">
        <v>4879</v>
      </c>
      <c r="M79" s="1851"/>
      <c r="N79" s="1714"/>
      <c r="O79" s="1034"/>
      <c r="P79" s="1015"/>
      <c r="Q79" s="1851"/>
      <c r="R79" s="1378"/>
      <c r="T79" s="204" t="s">
        <v>4699</v>
      </c>
      <c r="U79" s="31" t="s">
        <v>4880</v>
      </c>
      <c r="V79" s="31" t="str">
        <f>IF(OR(J79="1920s,现代",$U$1="其他",J79=$U$1,AND(J79="1920s,罕见",$U$1="1920s"),J79="罕见"),U79,"-"&amp;U79)</f>
        <v>-蝎式冲锋枪</v>
      </c>
    </row>
    <row r="80" spans="2:22" ht="14.25" customHeight="1">
      <c r="B80" s="950" t="str">
        <f>IF(OR(J80="1920s,现代",$U$1="其他",J80=$U$1,J80="罕见"),U80,"-"&amp;U80)</f>
        <v>汤普森冲锋枪</v>
      </c>
      <c r="C80" s="938" t="s">
        <v>2699</v>
      </c>
      <c r="D80" s="939" t="s">
        <v>4735</v>
      </c>
      <c r="E80" s="939" t="s">
        <v>4767</v>
      </c>
      <c r="F80" s="939" t="s">
        <v>514</v>
      </c>
      <c r="G80" s="939" t="s">
        <v>4863</v>
      </c>
      <c r="H80" s="939" t="s">
        <v>4881</v>
      </c>
      <c r="I80" s="939" t="s">
        <v>4609</v>
      </c>
      <c r="J80" s="939" t="s">
        <v>13</v>
      </c>
      <c r="K80" s="939" t="s">
        <v>4882</v>
      </c>
      <c r="L80" s="940" t="s">
        <v>4883</v>
      </c>
      <c r="M80" s="1851"/>
      <c r="N80" s="1714"/>
      <c r="O80" s="1034"/>
      <c r="P80" s="1015"/>
      <c r="Q80" s="1851"/>
      <c r="R80" s="1378"/>
      <c r="T80" s="204" t="s">
        <v>4735</v>
      </c>
      <c r="U80" s="31" t="s">
        <v>4262</v>
      </c>
      <c r="V80" s="31" t="str">
        <f>IF(OR(J80="1920s,现代",$U$1="其他",J80=$U$1,AND(J80="1920s,罕见",$U$1="1920s"),J80="罕见"),U80,"-"&amp;U80)</f>
        <v>汤普森冲锋枪</v>
      </c>
    </row>
    <row r="81" spans="2:22" ht="14.25" customHeight="1">
      <c r="B81" s="951" t="str">
        <f>IF(OR(J81="1920s,现代",$U$1="其他",J81=$U$1,J81="罕见"),U81,"-"&amp;U81)</f>
        <v>-乌兹微型冲锋枪</v>
      </c>
      <c r="C81" s="952" t="s">
        <v>2699</v>
      </c>
      <c r="D81" s="953" t="s">
        <v>400</v>
      </c>
      <c r="E81" s="953" t="s">
        <v>4767</v>
      </c>
      <c r="F81" s="953" t="s">
        <v>514</v>
      </c>
      <c r="G81" s="953" t="s">
        <v>4831</v>
      </c>
      <c r="H81" s="953" t="s">
        <v>4876</v>
      </c>
      <c r="I81" s="953" t="s">
        <v>4717</v>
      </c>
      <c r="J81" s="953" t="s">
        <v>3276</v>
      </c>
      <c r="K81" s="953" t="s">
        <v>4838</v>
      </c>
      <c r="L81" s="954" t="s">
        <v>4849</v>
      </c>
      <c r="M81" s="1851"/>
      <c r="N81" s="1714"/>
      <c r="O81" s="1090"/>
      <c r="P81" s="1091"/>
      <c r="Q81" s="1851"/>
      <c r="R81" s="1378"/>
      <c r="T81" s="204" t="s">
        <v>400</v>
      </c>
      <c r="U81" s="31" t="s">
        <v>4884</v>
      </c>
      <c r="V81" s="31" t="str">
        <f>IF(OR(J81="1920s,现代",$U$1="其他",J81=$U$1,AND(J81="1920s,罕见",$U$1="1920s"),J81="罕见"),U81,"-"&amp;U81)</f>
        <v>-乌兹微型冲锋枪</v>
      </c>
    </row>
    <row r="82" spans="2:22" ht="14.25" customHeight="1">
      <c r="B82" s="950" t="str">
        <f>IF(OR(J82="1920s,现代",$U$1="其他",J82=$U$1,J82="罕见"),U82,"-"&amp;U82)</f>
        <v>-*1882 年式加特林</v>
      </c>
      <c r="C82" s="938" t="s">
        <v>2730</v>
      </c>
      <c r="D82" s="939" t="s">
        <v>4771</v>
      </c>
      <c r="E82" s="939" t="s">
        <v>3549</v>
      </c>
      <c r="F82" s="939" t="s">
        <v>514</v>
      </c>
      <c r="G82" s="939" t="s">
        <v>4885</v>
      </c>
      <c r="H82" s="939" t="s">
        <v>4769</v>
      </c>
      <c r="I82" s="939" t="s">
        <v>4609</v>
      </c>
      <c r="J82" s="939" t="s">
        <v>4728</v>
      </c>
      <c r="K82" s="939" t="s">
        <v>4886</v>
      </c>
      <c r="L82" s="940" t="s">
        <v>4887</v>
      </c>
      <c r="M82" s="1952" t="s">
        <v>4888</v>
      </c>
      <c r="N82" s="1714"/>
      <c r="O82" s="1928" t="s">
        <v>4889</v>
      </c>
      <c r="P82" s="1378"/>
      <c r="Q82" s="1851"/>
      <c r="R82" s="1378"/>
      <c r="T82" s="204" t="s">
        <v>4771</v>
      </c>
      <c r="U82" s="31" t="s">
        <v>4890</v>
      </c>
      <c r="V82" s="31" t="str">
        <f>IF(OR(J82="1920s,现代",$U$1="其他",J82=$U$1,AND(J82="1920s,罕见",$U$1="1920s"),J82="罕见"),U82,"-"&amp;U82)</f>
        <v>*1882 年式加特林</v>
      </c>
    </row>
    <row r="83" spans="2:22" ht="14.25" customHeight="1">
      <c r="B83" s="951" t="str">
        <f>IF(OR(J83="1920s,现代",$U$1="其他",J83=$U$1,J83="罕见"),U83,"-"&amp;U83)</f>
        <v>M1918 式勃朗宁自动步枪</v>
      </c>
      <c r="C83" s="952" t="s">
        <v>2730</v>
      </c>
      <c r="D83" s="953" t="s">
        <v>4771</v>
      </c>
      <c r="E83" s="953" t="s">
        <v>4776</v>
      </c>
      <c r="F83" s="953" t="s">
        <v>514</v>
      </c>
      <c r="G83" s="953" t="s">
        <v>4831</v>
      </c>
      <c r="H83" s="953" t="s">
        <v>4767</v>
      </c>
      <c r="I83" s="953" t="s">
        <v>3549</v>
      </c>
      <c r="J83" s="953" t="s">
        <v>13</v>
      </c>
      <c r="K83" s="953" t="s">
        <v>4891</v>
      </c>
      <c r="L83" s="954" t="s">
        <v>4869</v>
      </c>
      <c r="M83" s="1851"/>
      <c r="N83" s="1714"/>
      <c r="O83" s="1408"/>
      <c r="P83" s="1378"/>
      <c r="Q83" s="1851"/>
      <c r="R83" s="1378"/>
      <c r="T83" s="204" t="s">
        <v>4771</v>
      </c>
      <c r="U83" s="31" t="s">
        <v>4892</v>
      </c>
      <c r="V83" s="31" t="str">
        <f>IF(OR(J83="1920s,现代",$U$1="其他",J83=$U$1,AND(J83="1920s,罕见",$U$1="1920s"),J83="罕见"),U83,"-"&amp;U83)</f>
        <v>M1918 式勃朗宁自动步枪</v>
      </c>
    </row>
    <row r="84" spans="2:22" ht="14.25" customHeight="1">
      <c r="B84" s="950" t="str">
        <f>IF(OR(J84="1920s,现代",$U$1="其他",J84=$U$1,J84="罕见"),U84,"-"&amp;U84)</f>
        <v>勃朗宁 M1917A1(7.62mm)</v>
      </c>
      <c r="C84" s="938" t="s">
        <v>2730</v>
      </c>
      <c r="D84" s="939" t="s">
        <v>4771</v>
      </c>
      <c r="E84" s="939" t="s">
        <v>3556</v>
      </c>
      <c r="F84" s="939" t="s">
        <v>514</v>
      </c>
      <c r="G84" s="939" t="s">
        <v>4885</v>
      </c>
      <c r="H84" s="939" t="s">
        <v>4842</v>
      </c>
      <c r="I84" s="939" t="s">
        <v>4609</v>
      </c>
      <c r="J84" s="939" t="s">
        <v>13</v>
      </c>
      <c r="K84" s="939" t="s">
        <v>4893</v>
      </c>
      <c r="L84" s="940" t="s">
        <v>4894</v>
      </c>
      <c r="M84" s="1851"/>
      <c r="N84" s="1714"/>
      <c r="O84" s="1408"/>
      <c r="P84" s="1378"/>
      <c r="Q84" s="1851"/>
      <c r="R84" s="1378"/>
      <c r="T84" s="204" t="s">
        <v>4771</v>
      </c>
      <c r="U84" s="31" t="s">
        <v>4895</v>
      </c>
      <c r="V84" s="31" t="str">
        <f>IF(OR(J84="1920s,现代",$U$1="其他",J84=$U$1,AND(J84="1920s,罕见",$U$1="1920s"),J84="罕见"),U84,"-"&amp;U84)</f>
        <v>勃朗宁 M1917A1(7.62mm)</v>
      </c>
    </row>
    <row r="85" spans="2:22" ht="14.25" customHeight="1">
      <c r="B85" s="951" t="str">
        <f>IF(OR(J85="1920s,现代",$U$1="其他",J85=$U$1,J85="罕见"),U85,"-"&amp;U85)</f>
        <v>布伦轻机枪</v>
      </c>
      <c r="C85" s="952" t="s">
        <v>2730</v>
      </c>
      <c r="D85" s="953" t="s">
        <v>4771</v>
      </c>
      <c r="E85" s="953" t="s">
        <v>4772</v>
      </c>
      <c r="F85" s="953" t="s">
        <v>514</v>
      </c>
      <c r="G85" s="953" t="s">
        <v>4863</v>
      </c>
      <c r="H85" s="953" t="s">
        <v>4896</v>
      </c>
      <c r="I85" s="953" t="s">
        <v>4609</v>
      </c>
      <c r="J85" s="953" t="s">
        <v>13</v>
      </c>
      <c r="K85" s="953" t="s">
        <v>4897</v>
      </c>
      <c r="L85" s="954" t="s">
        <v>4883</v>
      </c>
      <c r="M85" s="1851"/>
      <c r="N85" s="1714"/>
      <c r="O85" s="1408"/>
      <c r="P85" s="1378"/>
      <c r="Q85" s="1851"/>
      <c r="R85" s="1378"/>
      <c r="T85" s="204" t="s">
        <v>4771</v>
      </c>
      <c r="U85" s="31" t="s">
        <v>4898</v>
      </c>
      <c r="V85" s="31" t="str">
        <f>IF(OR(J85="1920s,现代",$U$1="其他",J85=$U$1,AND(J85="1920s,罕见",$U$1="1920s"),J85="罕见"),U85,"-"&amp;U85)</f>
        <v>布伦轻机枪</v>
      </c>
    </row>
    <row r="86" spans="2:22" ht="14.25" customHeight="1">
      <c r="B86" s="950" t="str">
        <f>IF(OR(J86="1920s,现代",$U$1="其他",J86=$U$1,J86="罕见"),U86,"-"&amp;U86)</f>
        <v>路易斯Ⅰ型机枪</v>
      </c>
      <c r="C86" s="938" t="s">
        <v>2730</v>
      </c>
      <c r="D86" s="939" t="s">
        <v>4771</v>
      </c>
      <c r="E86" s="939" t="s">
        <v>4772</v>
      </c>
      <c r="F86" s="939" t="s">
        <v>514</v>
      </c>
      <c r="G86" s="939" t="s">
        <v>4885</v>
      </c>
      <c r="H86" s="939" t="s">
        <v>4899</v>
      </c>
      <c r="I86" s="939" t="s">
        <v>4609</v>
      </c>
      <c r="J86" s="939" t="s">
        <v>13</v>
      </c>
      <c r="K86" s="939" t="s">
        <v>4900</v>
      </c>
      <c r="L86" s="940" t="s">
        <v>4803</v>
      </c>
      <c r="M86" s="1851"/>
      <c r="N86" s="1714"/>
      <c r="O86" s="1408"/>
      <c r="P86" s="1378"/>
      <c r="Q86" s="1851"/>
      <c r="R86" s="1378"/>
      <c r="T86" s="204" t="s">
        <v>4771</v>
      </c>
      <c r="U86" s="31" t="s">
        <v>4901</v>
      </c>
      <c r="V86" s="31" t="str">
        <f>IF(OR(J86="1920s,现代",$U$1="其他",J86=$U$1,AND(J86="1920s,罕见",$U$1="1920s"),J86="罕见"),U86,"-"&amp;U86)</f>
        <v>路易斯Ⅰ型机枪</v>
      </c>
    </row>
    <row r="87" spans="2:22" ht="14.25" customHeight="1">
      <c r="B87" s="955" t="str">
        <f>IF(OR(J87="1920s,现代",$U$1="其他",J87=$U$1,J87="罕见"),U87,"-"&amp;U87)</f>
        <v>-GE M134 式 7.62mm 速射机枪</v>
      </c>
      <c r="C87" s="956" t="s">
        <v>2730</v>
      </c>
      <c r="D87" s="957" t="s">
        <v>4771</v>
      </c>
      <c r="E87" s="957" t="s">
        <v>4769</v>
      </c>
      <c r="F87" s="957" t="s">
        <v>514</v>
      </c>
      <c r="G87" s="957" t="s">
        <v>4885</v>
      </c>
      <c r="H87" s="957" t="s">
        <v>4902</v>
      </c>
      <c r="I87" s="957" t="s">
        <v>4717</v>
      </c>
      <c r="J87" s="957" t="s">
        <v>3276</v>
      </c>
      <c r="K87" s="957" t="s">
        <v>4818</v>
      </c>
      <c r="L87" s="958" t="s">
        <v>4903</v>
      </c>
      <c r="M87" s="1851"/>
      <c r="N87" s="1714"/>
      <c r="O87" s="1408"/>
      <c r="P87" s="1378"/>
      <c r="Q87" s="1851"/>
      <c r="R87" s="1378"/>
      <c r="T87" s="204" t="s">
        <v>4771</v>
      </c>
      <c r="U87" s="31" t="s">
        <v>4904</v>
      </c>
      <c r="V87" s="31" t="str">
        <f>IF(OR(J87="1920s,现代",$U$1="其他",J87=$U$1,AND(J87="1920s,罕见",$U$1="1920s"),J87="罕见"),U87,"-"&amp;U87)</f>
        <v>-GE M134 式 7.62mm 速射机枪</v>
      </c>
    </row>
    <row r="88" spans="2:22" ht="14.25" customHeight="1">
      <c r="B88" s="950" t="str">
        <f>IF(OR(J88="1920s,现代",$U$1="其他",J88=$U$1,J88="罕见"),U88,"-"&amp;U88)</f>
        <v>-FN 米尼米(5.56mm)，弹夹/弹带</v>
      </c>
      <c r="C88" s="938" t="s">
        <v>2730</v>
      </c>
      <c r="D88" s="939" t="s">
        <v>4756</v>
      </c>
      <c r="E88" s="939" t="s">
        <v>4772</v>
      </c>
      <c r="F88" s="939" t="s">
        <v>514</v>
      </c>
      <c r="G88" s="939" t="s">
        <v>4885</v>
      </c>
      <c r="H88" s="939" t="s">
        <v>4905</v>
      </c>
      <c r="I88" s="939" t="s">
        <v>4705</v>
      </c>
      <c r="J88" s="939" t="s">
        <v>3276</v>
      </c>
      <c r="K88" s="939" t="s">
        <v>4818</v>
      </c>
      <c r="L88" s="940" t="s">
        <v>4743</v>
      </c>
      <c r="M88" s="1851"/>
      <c r="N88" s="1714"/>
      <c r="O88" s="1408"/>
      <c r="P88" s="1378"/>
      <c r="Q88" s="1851"/>
      <c r="R88" s="1378"/>
      <c r="T88" s="204" t="s">
        <v>4756</v>
      </c>
      <c r="U88" s="31" t="s">
        <v>4906</v>
      </c>
      <c r="V88" s="31" t="str">
        <f>IF(OR(J88="1920s,现代",$U$1="其他",J88=$U$1,AND(J88="1920s,罕见",$U$1="1920s"),J88="罕见"),U88,"-"&amp;U88)</f>
        <v>-FN 米尼米(5.56mm)，弹夹/弹带</v>
      </c>
    </row>
    <row r="89" spans="2:22" ht="14.25" customHeight="1">
      <c r="B89" s="959" t="str">
        <f>IF(OR(J89="1920s,现代",$U$1="其他",J89=$U$1,J89="罕见"),U89,"-"&amp;U89)</f>
        <v>维克斯.303 机枪</v>
      </c>
      <c r="C89" s="960" t="s">
        <v>2730</v>
      </c>
      <c r="D89" s="961" t="s">
        <v>4771</v>
      </c>
      <c r="E89" s="961" t="s">
        <v>4772</v>
      </c>
      <c r="F89" s="961" t="s">
        <v>514</v>
      </c>
      <c r="G89" s="961" t="s">
        <v>4885</v>
      </c>
      <c r="H89" s="961" t="s">
        <v>4842</v>
      </c>
      <c r="I89" s="961" t="s">
        <v>4705</v>
      </c>
      <c r="J89" s="961" t="s">
        <v>13</v>
      </c>
      <c r="K89" s="961" t="s">
        <v>4818</v>
      </c>
      <c r="L89" s="962" t="s">
        <v>4637</v>
      </c>
      <c r="M89" s="1410"/>
      <c r="N89" s="1715"/>
      <c r="O89" s="1409"/>
      <c r="P89" s="1411"/>
      <c r="Q89" s="1410"/>
      <c r="R89" s="1411"/>
      <c r="T89" s="204" t="s">
        <v>4771</v>
      </c>
      <c r="U89" s="31" t="s">
        <v>4907</v>
      </c>
      <c r="V89" s="31" t="str">
        <f>IF(OR(J89="1920s,现代",$U$1="其他",J89=$U$1,AND(J89="1920s,罕见",$U$1="1920s"),J89="罕见"),U89,"-"&amp;U89)</f>
        <v>维克斯.303 机枪</v>
      </c>
    </row>
    <row r="90" spans="2:22" ht="14.25" customHeight="1">
      <c r="B90" s="963" t="str">
        <f>IF(OR(J90="1920s,现代",$U$1="其他",J90=$U$1,J90="罕见"),U90,"-"&amp;U90)</f>
        <v>莫洛托夫燃烧瓶</v>
      </c>
      <c r="C90" s="964" t="s">
        <v>138</v>
      </c>
      <c r="D90" s="965" t="s">
        <v>4908</v>
      </c>
      <c r="E90" s="965" t="s">
        <v>4653</v>
      </c>
      <c r="F90" s="965" t="s">
        <v>514</v>
      </c>
      <c r="G90" s="965" t="s">
        <v>4608</v>
      </c>
      <c r="H90" s="965" t="s">
        <v>4647</v>
      </c>
      <c r="I90" s="965" t="s">
        <v>4593</v>
      </c>
      <c r="J90" s="965" t="s">
        <v>4572</v>
      </c>
      <c r="K90" s="965" t="s">
        <v>4818</v>
      </c>
      <c r="L90" s="966" t="s">
        <v>4774</v>
      </c>
      <c r="M90" s="1891" t="s">
        <v>4909</v>
      </c>
      <c r="N90" s="1880" t="s">
        <v>4910</v>
      </c>
      <c r="O90" s="1407"/>
      <c r="P90" s="967" t="s">
        <v>4911</v>
      </c>
      <c r="Q90" s="1946" t="s">
        <v>4912</v>
      </c>
      <c r="R90" s="1407"/>
      <c r="T90" s="204" t="s">
        <v>4756</v>
      </c>
      <c r="U90" s="31" t="s">
        <v>4913</v>
      </c>
      <c r="V90" s="31" t="str">
        <f>IF(OR(J90="1920s,现代",$U$1="其他",J90=$U$1,AND(J90="1920s,罕见",$U$1="1920s"),J90="罕见"),U90,"-"&amp;U90)</f>
        <v>莫洛托夫燃烧瓶</v>
      </c>
    </row>
    <row r="91" spans="2:22" ht="14.25" customHeight="1">
      <c r="B91" s="881" t="str">
        <f>IF(OR(J91="1920s,现代",$U$1="其他",J91=$U$1,J91="罕见"),U91,"-"&amp;U91)</f>
        <v>信号枪(信号弹枪)</v>
      </c>
      <c r="C91" s="882" t="s">
        <v>134</v>
      </c>
      <c r="D91" s="883" t="s">
        <v>4914</v>
      </c>
      <c r="E91" s="883" t="s">
        <v>4684</v>
      </c>
      <c r="F91" s="883" t="s">
        <v>514</v>
      </c>
      <c r="G91" s="883" t="s">
        <v>4608</v>
      </c>
      <c r="H91" s="883" t="s">
        <v>4570</v>
      </c>
      <c r="I91" s="883" t="s">
        <v>3549</v>
      </c>
      <c r="J91" s="883" t="s">
        <v>4572</v>
      </c>
      <c r="K91" s="883" t="s">
        <v>4915</v>
      </c>
      <c r="L91" s="884" t="s">
        <v>4916</v>
      </c>
      <c r="M91" s="1378"/>
      <c r="N91" s="1408"/>
      <c r="O91" s="1378"/>
      <c r="P91" s="967" t="s">
        <v>4917</v>
      </c>
      <c r="Q91" s="1408"/>
      <c r="R91" s="1378"/>
      <c r="T91" s="204" t="s">
        <v>4918</v>
      </c>
      <c r="U91" s="31" t="s">
        <v>4919</v>
      </c>
      <c r="V91" s="31" t="str">
        <f>IF(OR(J91="1920s,现代",$U$1="其他",J91=$U$1,AND(J91="1920s,罕见",$U$1="1920s"),J91="罕见"),U91,"-"&amp;U91)</f>
        <v>信号枪(信号弹枪)</v>
      </c>
    </row>
    <row r="92" spans="2:22" ht="14.25" customHeight="1">
      <c r="B92" s="968" t="str">
        <f>IF(OR(J92="1920s,现代",$U$1="其他",J92=$U$1,J92="罕见"),U92,"-"&amp;U92)</f>
        <v>-M79 40mm 榴弹发射器</v>
      </c>
      <c r="C92" s="935" t="s">
        <v>2743</v>
      </c>
      <c r="D92" s="936" t="s">
        <v>4920</v>
      </c>
      <c r="E92" s="936" t="s">
        <v>4767</v>
      </c>
      <c r="F92" s="936" t="s">
        <v>514</v>
      </c>
      <c r="G92" s="936" t="s">
        <v>4762</v>
      </c>
      <c r="H92" s="936" t="s">
        <v>4570</v>
      </c>
      <c r="I92" s="936" t="s">
        <v>4705</v>
      </c>
      <c r="J92" s="936" t="s">
        <v>3276</v>
      </c>
      <c r="K92" s="936" t="s">
        <v>4818</v>
      </c>
      <c r="L92" s="937" t="s">
        <v>4803</v>
      </c>
      <c r="M92" s="1378"/>
      <c r="N92" s="1408"/>
      <c r="O92" s="1378"/>
      <c r="P92" s="967" t="s">
        <v>1603</v>
      </c>
      <c r="Q92" s="1408"/>
      <c r="R92" s="1378"/>
      <c r="T92" s="204" t="s">
        <v>4921</v>
      </c>
      <c r="U92" s="31" t="s">
        <v>4922</v>
      </c>
      <c r="V92" s="31" t="str">
        <f>IF(OR(J92="1920s,现代",$U$1="其他",J92=$U$1,AND(J92="1920s,罕见",$U$1="1920s"),J92="罕见"),U92,"-"&amp;U92)</f>
        <v>-M79 40mm 榴弹发射器</v>
      </c>
    </row>
    <row r="93" spans="2:22" ht="14.25" customHeight="1">
      <c r="B93" s="968" t="str">
        <f>IF(OR(J93="1920s,现代",$U$1="其他",J93=$U$1,J93="罕见"),U93,"-"&amp;U93)</f>
        <v>炸药棒</v>
      </c>
      <c r="C93" s="938" t="s">
        <v>138</v>
      </c>
      <c r="D93" s="939" t="s">
        <v>4923</v>
      </c>
      <c r="E93" s="939" t="s">
        <v>4642</v>
      </c>
      <c r="F93" s="939" t="s">
        <v>514</v>
      </c>
      <c r="G93" s="939" t="s">
        <v>4608</v>
      </c>
      <c r="H93" s="939" t="s">
        <v>4647</v>
      </c>
      <c r="I93" s="939" t="s">
        <v>4705</v>
      </c>
      <c r="J93" s="939" t="s">
        <v>4572</v>
      </c>
      <c r="K93" s="939" t="s">
        <v>4924</v>
      </c>
      <c r="L93" s="940" t="s">
        <v>4925</v>
      </c>
      <c r="M93" s="1378"/>
      <c r="N93" s="1408"/>
      <c r="O93" s="1378"/>
      <c r="P93" s="967" t="s">
        <v>1708</v>
      </c>
      <c r="Q93" s="1409"/>
      <c r="R93" s="1411"/>
      <c r="T93" s="204" t="s">
        <v>1603</v>
      </c>
      <c r="U93" s="31" t="s">
        <v>4926</v>
      </c>
      <c r="V93" s="31" t="str">
        <f>IF(OR(J93="1920s,现代",$U$1="其他",J93=$U$1,AND(J93="1920s,罕见",$U$1="1920s"),J93="罕见"),U93,"-"&amp;U93)</f>
        <v>炸药棒</v>
      </c>
    </row>
    <row r="94" spans="2:22" ht="14.25" customHeight="1">
      <c r="B94" s="968" t="str">
        <f>IF(OR(J94="1920s,现代",$U$1="其他",J94=$U$1,J94="罕见"),U94,"-"&amp;U94)</f>
        <v>雷管</v>
      </c>
      <c r="C94" s="935" t="s">
        <v>111</v>
      </c>
      <c r="D94" s="936" t="s">
        <v>4927</v>
      </c>
      <c r="E94" s="936" t="s">
        <v>4818</v>
      </c>
      <c r="F94" s="936" t="s">
        <v>514</v>
      </c>
      <c r="G94" s="936" t="s">
        <v>4818</v>
      </c>
      <c r="H94" s="936" t="s">
        <v>4647</v>
      </c>
      <c r="I94" s="936" t="s">
        <v>3549</v>
      </c>
      <c r="J94" s="936" t="s">
        <v>4572</v>
      </c>
      <c r="K94" s="936" t="s">
        <v>4928</v>
      </c>
      <c r="L94" s="937" t="s">
        <v>4929</v>
      </c>
      <c r="M94" s="1378"/>
      <c r="N94" s="1409"/>
      <c r="O94" s="1411"/>
      <c r="P94" s="967" t="s">
        <v>400</v>
      </c>
      <c r="Q94" s="1989" t="s">
        <v>4930</v>
      </c>
      <c r="R94" s="1378"/>
      <c r="T94" s="204" t="s">
        <v>1708</v>
      </c>
      <c r="U94" s="31" t="s">
        <v>4931</v>
      </c>
      <c r="V94" s="31" t="str">
        <f>IF(OR(J94="1920s,现代",$U$1="其他",J94=$U$1,AND(J94="1920s,罕见",$U$1="1920s"),J94="罕见"),U94,"-"&amp;U94)</f>
        <v>雷管</v>
      </c>
    </row>
    <row r="95" spans="2:22" ht="14.25" customHeight="1">
      <c r="B95" s="968" t="str">
        <f>IF(OR(J95="1920s,现代",$U$1="其他",J95=$U$1,J95="罕见"),U95,"-"&amp;U95)</f>
        <v>爆破筒</v>
      </c>
      <c r="C95" s="938" t="s">
        <v>146</v>
      </c>
      <c r="D95" s="939" t="s">
        <v>4932</v>
      </c>
      <c r="E95" s="939" t="s">
        <v>4933</v>
      </c>
      <c r="F95" s="939" t="s">
        <v>514</v>
      </c>
      <c r="G95" s="939" t="s">
        <v>4934</v>
      </c>
      <c r="H95" s="939" t="s">
        <v>4647</v>
      </c>
      <c r="I95" s="939" t="s">
        <v>4593</v>
      </c>
      <c r="J95" s="939" t="s">
        <v>4572</v>
      </c>
      <c r="K95" s="939" t="s">
        <v>4818</v>
      </c>
      <c r="L95" s="940" t="s">
        <v>4935</v>
      </c>
      <c r="M95" s="1378"/>
      <c r="N95" s="1971" t="s">
        <v>4936</v>
      </c>
      <c r="O95" s="1407"/>
      <c r="P95" s="967" t="s">
        <v>4699</v>
      </c>
      <c r="Q95" s="1408"/>
      <c r="R95" s="1378"/>
      <c r="T95" s="204" t="s">
        <v>400</v>
      </c>
      <c r="U95" s="31" t="s">
        <v>4937</v>
      </c>
      <c r="V95" s="31" t="str">
        <f>IF(OR(J95="1920s,现代",$U$1="其他",J95=$U$1,AND(J95="1920s,罕见",$U$1="1920s"),J95="罕见"),U95,"-"&amp;U95)</f>
        <v>爆破筒</v>
      </c>
    </row>
    <row r="96" spans="2:22" ht="14.25" customHeight="1">
      <c r="B96" s="968" t="str">
        <f>IF(OR(J96="1920s,现代",$U$1="其他",J96=$U$1,J96="罕见"),U96,"-"&amp;U96)</f>
        <v>-塑胶炸弹(C4) 100克</v>
      </c>
      <c r="C96" s="935" t="s">
        <v>146</v>
      </c>
      <c r="D96" s="936" t="s">
        <v>4938</v>
      </c>
      <c r="E96" s="936" t="s">
        <v>4933</v>
      </c>
      <c r="F96" s="936" t="s">
        <v>514</v>
      </c>
      <c r="G96" s="936" t="s">
        <v>4934</v>
      </c>
      <c r="H96" s="936" t="s">
        <v>4647</v>
      </c>
      <c r="I96" s="936" t="s">
        <v>4705</v>
      </c>
      <c r="J96" s="936" t="s">
        <v>3276</v>
      </c>
      <c r="K96" s="936" t="s">
        <v>4818</v>
      </c>
      <c r="L96" s="937" t="s">
        <v>4939</v>
      </c>
      <c r="M96" s="1378"/>
      <c r="N96" s="1408"/>
      <c r="O96" s="1378"/>
      <c r="P96" s="967" t="s">
        <v>4590</v>
      </c>
      <c r="Q96" s="1408"/>
      <c r="R96" s="1378"/>
      <c r="T96" s="204" t="s">
        <v>4940</v>
      </c>
      <c r="U96" s="31" t="s">
        <v>4941</v>
      </c>
      <c r="V96" s="31" t="str">
        <f>IF(OR(J96="1920s,现代",$U$1="其他",J96=$U$1,AND(J96="1920s,罕见",$U$1="1920s"),J96="罕见"),U96,"-"&amp;U96)</f>
        <v>-塑胶炸弹(C4) 100克</v>
      </c>
    </row>
    <row r="97" spans="1:22" ht="14.25" customHeight="1">
      <c r="B97" s="968" t="str">
        <f>IF(OR(J97="1920s,现代",$U$1="其他",J97=$U$1,J97="罕见"),U97,"-"&amp;U97)</f>
        <v>手榴弹</v>
      </c>
      <c r="C97" s="938" t="s">
        <v>138</v>
      </c>
      <c r="D97" s="939" t="s">
        <v>4923</v>
      </c>
      <c r="E97" s="939" t="s">
        <v>4642</v>
      </c>
      <c r="F97" s="939" t="s">
        <v>514</v>
      </c>
      <c r="G97" s="939" t="s">
        <v>4608</v>
      </c>
      <c r="H97" s="939" t="s">
        <v>4647</v>
      </c>
      <c r="I97" s="939" t="s">
        <v>4705</v>
      </c>
      <c r="J97" s="939" t="s">
        <v>4572</v>
      </c>
      <c r="K97" s="939" t="s">
        <v>4818</v>
      </c>
      <c r="L97" s="940" t="s">
        <v>4942</v>
      </c>
      <c r="M97" s="1378"/>
      <c r="N97" s="1409"/>
      <c r="O97" s="1411"/>
      <c r="P97" s="967" t="s">
        <v>4943</v>
      </c>
      <c r="Q97" s="1409"/>
      <c r="R97" s="1411"/>
      <c r="T97" s="204" t="s">
        <v>1603</v>
      </c>
      <c r="U97" s="31" t="s">
        <v>4944</v>
      </c>
      <c r="V97" s="31" t="str">
        <f>IF(OR(J97="1920s,现代",$U$1="其他",J97=$U$1,AND(J97="1920s,罕见",$U$1="1920s"),J97="罕见"),U97,"-"&amp;U97)</f>
        <v>手榴弹</v>
      </c>
    </row>
    <row r="98" spans="1:22" ht="14.25" customHeight="1">
      <c r="B98" s="968" t="str">
        <f>IF(OR(J98="1920s,现代",$U$1="其他",J98=$U$1,J98="罕见"),U98,"-"&amp;U98)</f>
        <v>-81mm迫击炮</v>
      </c>
      <c r="C98" s="935" t="s">
        <v>153</v>
      </c>
      <c r="D98" s="936" t="s">
        <v>4945</v>
      </c>
      <c r="E98" s="936" t="s">
        <v>4946</v>
      </c>
      <c r="F98" s="936" t="s">
        <v>514</v>
      </c>
      <c r="G98" s="936" t="s">
        <v>4646</v>
      </c>
      <c r="H98" s="936" t="s">
        <v>4947</v>
      </c>
      <c r="I98" s="936" t="s">
        <v>3549</v>
      </c>
      <c r="J98" s="936" t="s">
        <v>3276</v>
      </c>
      <c r="K98" s="936" t="s">
        <v>4818</v>
      </c>
      <c r="L98" s="937" t="s">
        <v>4736</v>
      </c>
      <c r="M98" s="1378"/>
      <c r="N98" s="1954" t="s">
        <v>4948</v>
      </c>
      <c r="O98" s="1388"/>
      <c r="P98" s="1388"/>
      <c r="Q98" s="1388"/>
      <c r="R98" s="1389"/>
      <c r="T98" s="204" t="s">
        <v>4940</v>
      </c>
      <c r="U98" s="31" t="s">
        <v>4949</v>
      </c>
      <c r="V98" s="31" t="str">
        <f>IF(OR(J98="1920s,现代",$U$1="其他",J98=$U$1,AND(J98="1920s,罕见",$U$1="1920s"),J98="罕见"),U98,"-"&amp;U98)</f>
        <v>-81mm迫击炮</v>
      </c>
    </row>
    <row r="99" spans="1:22" ht="14.25" customHeight="1">
      <c r="B99" s="968" t="str">
        <f>IF(OR(J99="1920s,现代",$U$1="其他",J99=$U$1,J99="罕见"),U99,"-"&amp;U99)</f>
        <v>75mm野战火炮</v>
      </c>
      <c r="C99" s="882" t="s">
        <v>153</v>
      </c>
      <c r="D99" s="883" t="s">
        <v>4950</v>
      </c>
      <c r="E99" s="883" t="s">
        <v>4946</v>
      </c>
      <c r="F99" s="883" t="s">
        <v>514</v>
      </c>
      <c r="G99" s="883" t="s">
        <v>4685</v>
      </c>
      <c r="H99" s="883" t="s">
        <v>4947</v>
      </c>
      <c r="I99" s="883" t="s">
        <v>4705</v>
      </c>
      <c r="J99" s="883" t="s">
        <v>4572</v>
      </c>
      <c r="K99" s="883" t="s">
        <v>4951</v>
      </c>
      <c r="L99" s="884" t="s">
        <v>4952</v>
      </c>
      <c r="M99" s="1378"/>
      <c r="N99" s="1880" t="s">
        <v>4953</v>
      </c>
      <c r="O99" s="1406"/>
      <c r="P99" s="1407"/>
      <c r="Q99" s="1993" t="s">
        <v>4954</v>
      </c>
      <c r="R99" s="1407"/>
      <c r="T99" s="204" t="s">
        <v>4955</v>
      </c>
      <c r="U99" s="31" t="s">
        <v>4956</v>
      </c>
      <c r="V99" s="31" t="str">
        <f>IF(OR(J99="1920s,现代",$U$1="其他",J99=$U$1,AND(J99="1920s,罕见",$U$1="1920s"),J99="罕见"),U99,"-"&amp;U99)</f>
        <v>75mm野战火炮</v>
      </c>
    </row>
    <row r="100" spans="1:22" ht="14.25" customHeight="1">
      <c r="B100" s="968" t="str">
        <f>IF(OR(J100="1920s,现代",$U$1="其他",J100=$U$1,J100="罕见"),U100,"-"&amp;U100)</f>
        <v>-120mm坦克炮(稳定)</v>
      </c>
      <c r="C100" s="935" t="s">
        <v>153</v>
      </c>
      <c r="D100" s="936" t="s">
        <v>4950</v>
      </c>
      <c r="E100" s="936" t="s">
        <v>4957</v>
      </c>
      <c r="F100" s="936" t="s">
        <v>514</v>
      </c>
      <c r="G100" s="936" t="s">
        <v>4570</v>
      </c>
      <c r="H100" s="936" t="s">
        <v>4947</v>
      </c>
      <c r="I100" s="936" t="s">
        <v>3549</v>
      </c>
      <c r="J100" s="936" t="s">
        <v>3276</v>
      </c>
      <c r="K100" s="936" t="s">
        <v>4818</v>
      </c>
      <c r="L100" s="937" t="s">
        <v>4894</v>
      </c>
      <c r="M100" s="1378"/>
      <c r="N100" s="1408"/>
      <c r="O100" s="1851"/>
      <c r="P100" s="1378"/>
      <c r="Q100" s="1408"/>
      <c r="R100" s="1378"/>
      <c r="T100" s="204" t="s">
        <v>4958</v>
      </c>
      <c r="U100" s="31" t="s">
        <v>4959</v>
      </c>
      <c r="V100" s="31" t="str">
        <f>IF(OR(J100="1920s,现代",$U$1="其他",J100=$U$1,AND(J100="1920s,罕见",$U$1="1920s"),J100="罕见"),U100,"-"&amp;U100)</f>
        <v>-120mm坦克炮(稳定)</v>
      </c>
    </row>
    <row r="101" spans="1:22" ht="14.25" customHeight="1">
      <c r="B101" s="968" t="str">
        <f>IF(OR(J101="1920s,现代",$U$1="其他",J101=$U$1,J101="罕见"),U101,"-"&amp;U101)</f>
        <v>-5英寸舰载炮(稳定)</v>
      </c>
      <c r="C101" s="882" t="s">
        <v>153</v>
      </c>
      <c r="D101" s="883" t="s">
        <v>4960</v>
      </c>
      <c r="E101" s="883" t="s">
        <v>4961</v>
      </c>
      <c r="F101" s="883" t="s">
        <v>514</v>
      </c>
      <c r="G101" s="883">
        <v>1</v>
      </c>
      <c r="H101" s="883" t="s">
        <v>4962</v>
      </c>
      <c r="I101" s="883" t="s">
        <v>4717</v>
      </c>
      <c r="J101" s="883" t="s">
        <v>3276</v>
      </c>
      <c r="K101" s="883" t="s">
        <v>4818</v>
      </c>
      <c r="L101" s="884" t="s">
        <v>4963</v>
      </c>
      <c r="M101" s="1378"/>
      <c r="N101" s="1408"/>
      <c r="O101" s="1851"/>
      <c r="P101" s="1378"/>
      <c r="Q101" s="1408"/>
      <c r="R101" s="1378"/>
      <c r="T101" s="204" t="s">
        <v>4964</v>
      </c>
      <c r="U101" s="31" t="s">
        <v>4965</v>
      </c>
      <c r="V101" s="31" t="str">
        <f>IF(OR(J101="1920s,现代",$U$1="其他",J101=$U$1,AND(J101="1920s,罕见",$U$1="1920s"),J101="罕见"),U101,"-"&amp;U101)</f>
        <v>-5英寸舰载炮(稳定)</v>
      </c>
    </row>
    <row r="102" spans="1:22" ht="14.25" customHeight="1">
      <c r="B102" s="968" t="str">
        <f>IF(OR(J102="1920s,现代",$U$1="其他",J102=$U$1,J102="罕见"),U102,"-"&amp;U102)</f>
        <v>反步兵地雷</v>
      </c>
      <c r="C102" s="935" t="s">
        <v>146</v>
      </c>
      <c r="D102" s="936" t="s">
        <v>4966</v>
      </c>
      <c r="E102" s="936" t="s">
        <v>4933</v>
      </c>
      <c r="F102" s="936" t="s">
        <v>514</v>
      </c>
      <c r="G102" s="936" t="s">
        <v>4967</v>
      </c>
      <c r="H102" s="936" t="s">
        <v>4647</v>
      </c>
      <c r="I102" s="936" t="s">
        <v>4705</v>
      </c>
      <c r="J102" s="936" t="s">
        <v>4572</v>
      </c>
      <c r="K102" s="936" t="s">
        <v>4818</v>
      </c>
      <c r="L102" s="937" t="s">
        <v>4968</v>
      </c>
      <c r="M102" s="1378"/>
      <c r="N102" s="1408"/>
      <c r="O102" s="1851"/>
      <c r="P102" s="1378"/>
      <c r="Q102" s="1408"/>
      <c r="R102" s="1378"/>
      <c r="T102" s="204" t="s">
        <v>1603</v>
      </c>
      <c r="U102" s="31" t="s">
        <v>4969</v>
      </c>
      <c r="V102" s="31" t="str">
        <f>IF(OR(J102="1920s,现代",$U$1="其他",J102=$U$1,AND(J102="1920s,罕见",$U$1="1920s"),J102="罕见"),U102,"-"&amp;U102)</f>
        <v>反步兵地雷</v>
      </c>
    </row>
    <row r="103" spans="1:22" ht="14.25" customHeight="1">
      <c r="B103" s="968" t="str">
        <f>IF(OR(J103="1920s,现代",$U$1="其他",J103=$U$1,J103="罕见"),U103,"-"&amp;U103)</f>
        <v>-阔剑地雷</v>
      </c>
      <c r="C103" s="969" t="s">
        <v>146</v>
      </c>
      <c r="D103" s="970" t="s">
        <v>4970</v>
      </c>
      <c r="E103" s="970" t="s">
        <v>4933</v>
      </c>
      <c r="F103" s="970" t="s">
        <v>514</v>
      </c>
      <c r="G103" s="970" t="s">
        <v>4967</v>
      </c>
      <c r="H103" s="970" t="s">
        <v>4647</v>
      </c>
      <c r="I103" s="970" t="s">
        <v>4705</v>
      </c>
      <c r="J103" s="970" t="s">
        <v>3276</v>
      </c>
      <c r="K103" s="970" t="s">
        <v>4818</v>
      </c>
      <c r="L103" s="971" t="s">
        <v>4758</v>
      </c>
      <c r="M103" s="1378"/>
      <c r="N103" s="1408"/>
      <c r="O103" s="1851"/>
      <c r="P103" s="1378"/>
      <c r="Q103" s="1408"/>
      <c r="R103" s="1378"/>
      <c r="T103" s="204" t="s">
        <v>4971</v>
      </c>
      <c r="U103" s="31" t="s">
        <v>4972</v>
      </c>
      <c r="V103" s="31" t="str">
        <f>IF(OR(J103="1920s,现代",$U$1="其他",J103=$U$1,AND(J103="1920s,罕见",$U$1="1920s"),J103="罕见"),U103,"-"&amp;U103)</f>
        <v>-阔剑地雷</v>
      </c>
    </row>
    <row r="104" spans="1:22" ht="14.25" customHeight="1">
      <c r="B104" s="968" t="str">
        <f>IF(OR(J104="1920s,现代",$U$1="其他",J104=$U$1,J104="罕见"),U104,"-"&amp;U104)</f>
        <v>火焰喷射器</v>
      </c>
      <c r="C104" s="935" t="s">
        <v>2718</v>
      </c>
      <c r="D104" s="936" t="s">
        <v>4908</v>
      </c>
      <c r="E104" s="936" t="s">
        <v>4973</v>
      </c>
      <c r="F104" s="936" t="s">
        <v>514</v>
      </c>
      <c r="G104" s="936" t="s">
        <v>4570</v>
      </c>
      <c r="H104" s="936" t="s">
        <v>4974</v>
      </c>
      <c r="I104" s="936" t="s">
        <v>4975</v>
      </c>
      <c r="J104" s="936" t="s">
        <v>4572</v>
      </c>
      <c r="K104" s="936" t="s">
        <v>4818</v>
      </c>
      <c r="L104" s="937" t="s">
        <v>4976</v>
      </c>
      <c r="M104" s="1378"/>
      <c r="N104" s="1408"/>
      <c r="O104" s="1851"/>
      <c r="P104" s="1378"/>
      <c r="Q104" s="1408"/>
      <c r="R104" s="1378"/>
      <c r="T104" s="204" t="s">
        <v>4756</v>
      </c>
      <c r="U104" s="31" t="s">
        <v>4977</v>
      </c>
      <c r="V104" s="31" t="str">
        <f>IF(OR(J104="1920s,现代",$U$1="其他",J104=$U$1,AND(J104="1920s,罕见",$U$1="1920s"),J104="罕见"),U104,"-"&amp;U104)</f>
        <v>火焰喷射器</v>
      </c>
    </row>
    <row r="105" spans="1:22" ht="16.95" customHeight="1">
      <c r="A105" s="157"/>
      <c r="B105" s="972" t="str">
        <f>IF(OR(J105="1920s,现代",$U$1="其他",J105=$U$1,J105="罕见"),U105,"-"&amp;U105)</f>
        <v>-M72 式单发轻型反坦克炮</v>
      </c>
      <c r="C105" s="973" t="s">
        <v>2743</v>
      </c>
      <c r="D105" s="974" t="s">
        <v>4978</v>
      </c>
      <c r="E105" s="974" t="s">
        <v>4979</v>
      </c>
      <c r="F105" s="974" t="s">
        <v>514</v>
      </c>
      <c r="G105" s="974" t="s">
        <v>4570</v>
      </c>
      <c r="H105" s="974" t="s">
        <v>4570</v>
      </c>
      <c r="I105" s="974" t="s">
        <v>4717</v>
      </c>
      <c r="J105" s="974" t="s">
        <v>3276</v>
      </c>
      <c r="K105" s="974" t="s">
        <v>4818</v>
      </c>
      <c r="L105" s="975" t="s">
        <v>4903</v>
      </c>
      <c r="M105" s="1411"/>
      <c r="N105" s="1409"/>
      <c r="O105" s="1410"/>
      <c r="P105" s="1411"/>
      <c r="Q105" s="1409"/>
      <c r="R105" s="1411"/>
      <c r="T105" s="204" t="s">
        <v>4980</v>
      </c>
      <c r="U105" s="31" t="s">
        <v>4981</v>
      </c>
      <c r="V105" s="31" t="str">
        <f>IF(OR(J105="1920s,现代",$U$1="其他",J105=$U$1,AND(J105="1920s,罕见",$U$1="1920s"),J105="罕见"),U105,"-"&amp;U105)</f>
        <v>-M72 式单发轻型反坦克炮</v>
      </c>
    </row>
    <row r="106" spans="1:22" ht="14.4">
      <c r="A106" s="157"/>
      <c r="B106" s="157"/>
      <c r="C106" s="157"/>
      <c r="N106" s="1977"/>
      <c r="O106" s="1406"/>
      <c r="P106" s="1406"/>
      <c r="Q106" s="1406"/>
      <c r="R106" s="1406"/>
    </row>
    <row r="107" spans="1:22" ht="16.350000000000001" customHeight="1">
      <c r="A107" s="157"/>
      <c r="B107" s="1965" t="s">
        <v>4982</v>
      </c>
      <c r="C107" s="1088"/>
      <c r="D107" s="1088"/>
      <c r="E107" s="1088"/>
      <c r="F107" s="1088"/>
      <c r="G107" s="1088"/>
      <c r="H107" s="1088"/>
      <c r="I107" s="1088"/>
      <c r="J107" s="1088"/>
      <c r="K107" s="1088"/>
      <c r="L107" s="1089"/>
      <c r="M107" s="168"/>
      <c r="N107" s="168"/>
      <c r="O107" s="168"/>
      <c r="P107" s="168"/>
      <c r="Q107" s="168"/>
      <c r="R107" s="168"/>
      <c r="S107" s="168"/>
      <c r="T107" s="168"/>
    </row>
    <row r="108" spans="1:22" ht="15" customHeight="1">
      <c r="A108" s="157"/>
      <c r="B108" s="1924" t="s">
        <v>4983</v>
      </c>
      <c r="C108" s="1855"/>
      <c r="D108" s="1855"/>
      <c r="E108" s="1855"/>
      <c r="F108" s="1855"/>
      <c r="G108" s="1855"/>
      <c r="H108" s="1855"/>
      <c r="I108" s="1855"/>
      <c r="J108" s="1855"/>
      <c r="K108" s="1851"/>
      <c r="L108" s="1015"/>
      <c r="M108" s="168"/>
      <c r="N108" s="1969" t="s">
        <v>4984</v>
      </c>
      <c r="O108" s="1088"/>
      <c r="P108" s="1088"/>
      <c r="Q108" s="1088"/>
      <c r="R108" s="1089"/>
      <c r="S108" s="168"/>
      <c r="T108" s="168"/>
    </row>
    <row r="109" spans="1:22" ht="16.350000000000001" customHeight="1">
      <c r="A109" s="157"/>
      <c r="B109" s="1854" t="s">
        <v>4985</v>
      </c>
      <c r="C109" s="1855"/>
      <c r="D109" s="1855"/>
      <c r="E109" s="1855"/>
      <c r="F109" s="1855"/>
      <c r="G109" s="1855"/>
      <c r="H109" s="1855"/>
      <c r="I109" s="1855"/>
      <c r="J109" s="1855"/>
      <c r="K109" s="1851"/>
      <c r="L109" s="1015"/>
      <c r="M109" s="168"/>
      <c r="N109" s="1892" t="s">
        <v>4986</v>
      </c>
      <c r="O109" s="1851"/>
      <c r="P109" s="207" t="s">
        <v>4987</v>
      </c>
      <c r="Q109" s="1918" t="s">
        <v>4988</v>
      </c>
      <c r="R109" s="1015"/>
      <c r="S109" s="168"/>
      <c r="T109" s="168"/>
    </row>
    <row r="110" spans="1:22" ht="16.350000000000001" customHeight="1">
      <c r="A110" s="157"/>
      <c r="B110" s="1854" t="s">
        <v>4989</v>
      </c>
      <c r="C110" s="1855"/>
      <c r="D110" s="1855"/>
      <c r="E110" s="1855"/>
      <c r="F110" s="1855"/>
      <c r="G110" s="1855"/>
      <c r="H110" s="1855"/>
      <c r="I110" s="1855"/>
      <c r="J110" s="1855"/>
      <c r="K110" s="1851"/>
      <c r="L110" s="1015"/>
      <c r="M110" s="168"/>
      <c r="N110" s="1962" t="s">
        <v>4990</v>
      </c>
      <c r="O110" s="1406"/>
      <c r="P110" s="208" t="s">
        <v>4991</v>
      </c>
      <c r="Q110" s="1893" t="s">
        <v>4992</v>
      </c>
      <c r="R110" s="1407"/>
      <c r="S110" s="168"/>
      <c r="T110" s="168"/>
    </row>
    <row r="111" spans="1:22" ht="16.05" customHeight="1">
      <c r="A111" s="157"/>
      <c r="B111" s="1907" t="s">
        <v>4993</v>
      </c>
      <c r="C111" s="1406"/>
      <c r="D111" s="1406"/>
      <c r="E111" s="1406"/>
      <c r="F111" s="1406"/>
      <c r="G111" s="1406"/>
      <c r="H111" s="1406"/>
      <c r="I111" s="1406"/>
      <c r="J111" s="1406"/>
      <c r="K111" s="1406"/>
      <c r="L111" s="1602"/>
      <c r="M111" s="168"/>
      <c r="N111" s="1034"/>
      <c r="O111" s="1851"/>
      <c r="P111" s="209" t="s">
        <v>4994</v>
      </c>
      <c r="Q111" s="1409"/>
      <c r="R111" s="1411"/>
      <c r="S111" s="168"/>
      <c r="T111" s="168"/>
    </row>
    <row r="112" spans="1:22" ht="16.350000000000001" customHeight="1">
      <c r="A112" s="157"/>
      <c r="B112" s="1871" t="s">
        <v>4995</v>
      </c>
      <c r="C112" s="1855"/>
      <c r="D112" s="1855"/>
      <c r="E112" s="1855"/>
      <c r="F112" s="1855"/>
      <c r="G112" s="1855"/>
      <c r="H112" s="1855"/>
      <c r="I112" s="1855"/>
      <c r="J112" s="1855"/>
      <c r="K112" s="1851"/>
      <c r="L112" s="1015"/>
      <c r="M112" s="168"/>
      <c r="N112" s="210"/>
      <c r="P112" s="209"/>
      <c r="Q112" s="1893" t="s">
        <v>4996</v>
      </c>
      <c r="R112" s="1407"/>
      <c r="S112" s="168"/>
      <c r="T112" s="168"/>
    </row>
    <row r="113" spans="2:20" ht="16.350000000000001" customHeight="1">
      <c r="B113" s="1871" t="s">
        <v>4997</v>
      </c>
      <c r="C113" s="1855"/>
      <c r="D113" s="1855"/>
      <c r="E113" s="1855"/>
      <c r="F113" s="1855"/>
      <c r="G113" s="1855"/>
      <c r="H113" s="1855"/>
      <c r="I113" s="1855"/>
      <c r="J113" s="1855"/>
      <c r="K113" s="1851"/>
      <c r="L113" s="1015"/>
      <c r="M113" s="168"/>
      <c r="N113" s="210"/>
      <c r="P113" s="209" t="s">
        <v>4998</v>
      </c>
      <c r="Q113" s="1409"/>
      <c r="R113" s="1411"/>
      <c r="S113" s="168"/>
      <c r="T113" s="168"/>
    </row>
    <row r="114" spans="2:20" ht="16.350000000000001" customHeight="1">
      <c r="B114" s="1968" t="s">
        <v>4999</v>
      </c>
      <c r="C114" s="1406"/>
      <c r="D114" s="1406"/>
      <c r="E114" s="1406"/>
      <c r="F114" s="1406"/>
      <c r="G114" s="1406"/>
      <c r="H114" s="1406"/>
      <c r="I114" s="1406"/>
      <c r="J114" s="1406"/>
      <c r="K114" s="1406"/>
      <c r="L114" s="1602"/>
      <c r="M114" s="168"/>
      <c r="N114" s="210"/>
      <c r="P114" s="209" t="s">
        <v>5000</v>
      </c>
      <c r="Q114" s="1893" t="s">
        <v>5001</v>
      </c>
      <c r="R114" s="1407"/>
      <c r="S114" s="168"/>
      <c r="T114" s="168"/>
    </row>
    <row r="115" spans="2:20" ht="16.350000000000001" customHeight="1">
      <c r="B115" s="1907" t="s">
        <v>5002</v>
      </c>
      <c r="C115" s="1406"/>
      <c r="D115" s="1406"/>
      <c r="E115" s="1406"/>
      <c r="F115" s="1406"/>
      <c r="G115" s="1406"/>
      <c r="H115" s="1406"/>
      <c r="I115" s="1406"/>
      <c r="J115" s="1406"/>
      <c r="K115" s="1406"/>
      <c r="L115" s="1602"/>
      <c r="M115" s="168"/>
      <c r="N115" s="1927" t="s">
        <v>5003</v>
      </c>
      <c r="O115" s="1851"/>
      <c r="P115" s="209"/>
      <c r="Q115" s="1409"/>
      <c r="R115" s="1411"/>
      <c r="S115" s="168"/>
      <c r="T115" s="168"/>
    </row>
    <row r="116" spans="2:20" ht="16.350000000000001" customHeight="1">
      <c r="B116" s="1959" t="s">
        <v>5004</v>
      </c>
      <c r="C116" s="1388"/>
      <c r="D116" s="1388"/>
      <c r="E116" s="1388"/>
      <c r="F116" s="1388"/>
      <c r="G116" s="1388"/>
      <c r="H116" s="1388"/>
      <c r="I116" s="1388"/>
      <c r="J116" s="1388"/>
      <c r="K116" s="1388"/>
      <c r="L116" s="1960"/>
      <c r="M116" s="168"/>
      <c r="N116" s="1034"/>
      <c r="O116" s="1851"/>
      <c r="P116" s="209" t="s">
        <v>5005</v>
      </c>
      <c r="Q116" s="1972" t="s">
        <v>5006</v>
      </c>
      <c r="R116" s="1389"/>
      <c r="S116" s="168"/>
      <c r="T116" s="168"/>
    </row>
    <row r="117" spans="2:20" ht="16.350000000000001" customHeight="1">
      <c r="B117" s="1871" t="s">
        <v>5007</v>
      </c>
      <c r="C117" s="1855"/>
      <c r="D117" s="1855"/>
      <c r="E117" s="1855"/>
      <c r="F117" s="1855"/>
      <c r="G117" s="1855"/>
      <c r="H117" s="1855"/>
      <c r="I117" s="1855"/>
      <c r="J117" s="1855"/>
      <c r="K117" s="1851"/>
      <c r="L117" s="1015"/>
      <c r="M117" s="168"/>
      <c r="N117" s="211"/>
      <c r="O117" s="168"/>
      <c r="P117" s="209" t="s">
        <v>5008</v>
      </c>
      <c r="Q117" s="1972" t="s">
        <v>5009</v>
      </c>
      <c r="R117" s="1389"/>
      <c r="S117" s="168"/>
      <c r="T117" s="168"/>
    </row>
    <row r="118" spans="2:20" ht="16.350000000000001" customHeight="1">
      <c r="B118" s="1959" t="s">
        <v>5010</v>
      </c>
      <c r="C118" s="1388"/>
      <c r="D118" s="1388"/>
      <c r="E118" s="1388"/>
      <c r="F118" s="1388"/>
      <c r="G118" s="1388"/>
      <c r="H118" s="1388"/>
      <c r="I118" s="1388"/>
      <c r="J118" s="1388"/>
      <c r="K118" s="1388"/>
      <c r="L118" s="1960"/>
      <c r="M118" s="168"/>
      <c r="N118" s="1896"/>
      <c r="O118" s="1851"/>
      <c r="P118" s="212"/>
      <c r="Q118" s="1893" t="s">
        <v>5011</v>
      </c>
      <c r="R118" s="1407"/>
      <c r="S118" s="168"/>
      <c r="T118" s="168"/>
    </row>
    <row r="119" spans="2:20" ht="16.350000000000001" customHeight="1">
      <c r="B119" s="1961" t="s">
        <v>5012</v>
      </c>
      <c r="C119" s="1019"/>
      <c r="D119" s="1019"/>
      <c r="E119" s="1019"/>
      <c r="F119" s="1019"/>
      <c r="G119" s="1019"/>
      <c r="H119" s="1019"/>
      <c r="I119" s="1019"/>
      <c r="J119" s="1019"/>
      <c r="K119" s="1019"/>
      <c r="L119" s="1091"/>
      <c r="M119" s="168"/>
      <c r="N119" s="1034"/>
      <c r="O119" s="1851"/>
      <c r="P119" s="212"/>
      <c r="Q119" s="1409"/>
      <c r="R119" s="1411"/>
      <c r="S119" s="168"/>
      <c r="T119" s="168"/>
    </row>
    <row r="120" spans="2:20" ht="16.350000000000001" customHeight="1">
      <c r="B120" s="197"/>
      <c r="C120" s="197"/>
      <c r="D120" s="158"/>
      <c r="E120" s="158"/>
      <c r="F120" s="158"/>
      <c r="G120" s="158"/>
      <c r="H120" s="158"/>
      <c r="I120" s="158"/>
      <c r="J120" s="158"/>
      <c r="K120" s="168"/>
      <c r="L120" s="168"/>
      <c r="M120" s="168"/>
      <c r="N120" s="1967" t="s">
        <v>5013</v>
      </c>
      <c r="O120" s="1851"/>
      <c r="P120" s="212"/>
      <c r="Q120" s="1893" t="s">
        <v>5014</v>
      </c>
      <c r="R120" s="1407"/>
      <c r="S120" s="168"/>
      <c r="T120" s="168"/>
    </row>
    <row r="121" spans="2:20" ht="16.350000000000001" customHeight="1">
      <c r="B121" s="1943" t="s">
        <v>5015</v>
      </c>
      <c r="C121" s="1932" t="s">
        <v>5016</v>
      </c>
      <c r="D121" s="1088"/>
      <c r="E121" s="1957" t="s">
        <v>5017</v>
      </c>
      <c r="F121" s="1088"/>
      <c r="G121" s="1088"/>
      <c r="H121" s="1088"/>
      <c r="I121" s="1088"/>
      <c r="J121" s="1088"/>
      <c r="K121" s="1088"/>
      <c r="L121" s="1089"/>
      <c r="M121" s="168"/>
      <c r="N121" s="1090"/>
      <c r="O121" s="1019"/>
      <c r="P121" s="213"/>
      <c r="Q121" s="1409"/>
      <c r="R121" s="1411"/>
      <c r="S121" s="168"/>
      <c r="T121" s="168"/>
    </row>
    <row r="122" spans="2:20" ht="16.350000000000001" customHeight="1">
      <c r="B122" s="1034"/>
      <c r="C122" s="1855"/>
      <c r="D122" s="1855"/>
      <c r="E122" s="1855"/>
      <c r="F122" s="1855"/>
      <c r="G122" s="1855"/>
      <c r="H122" s="1855"/>
      <c r="I122" s="1855"/>
      <c r="J122" s="1855"/>
      <c r="K122" s="1851"/>
      <c r="L122" s="1015"/>
      <c r="M122" s="168"/>
      <c r="N122" s="168"/>
      <c r="O122" s="168"/>
      <c r="P122" s="168"/>
      <c r="Q122" s="168"/>
      <c r="R122" s="168"/>
      <c r="S122" s="168"/>
      <c r="T122" s="168"/>
    </row>
    <row r="123" spans="2:20" ht="16.350000000000001" customHeight="1">
      <c r="B123" s="1949" t="s">
        <v>5018</v>
      </c>
      <c r="C123" s="1922" t="s">
        <v>4670</v>
      </c>
      <c r="D123" s="1855"/>
      <c r="E123" s="1877" t="s">
        <v>5019</v>
      </c>
      <c r="F123" s="1855"/>
      <c r="G123" s="1855"/>
      <c r="H123" s="1855"/>
      <c r="I123" s="1855"/>
      <c r="J123" s="1855"/>
      <c r="K123" s="1851"/>
      <c r="L123" s="1015"/>
      <c r="M123" s="168"/>
      <c r="N123" s="1937" t="s">
        <v>5020</v>
      </c>
      <c r="O123" s="1088"/>
      <c r="P123" s="1088"/>
      <c r="Q123" s="1088"/>
      <c r="R123" s="1088"/>
      <c r="S123" s="1088"/>
      <c r="T123" s="1089"/>
    </row>
    <row r="124" spans="2:20" ht="16.350000000000001" customHeight="1">
      <c r="B124" s="1034"/>
      <c r="C124" s="1855"/>
      <c r="D124" s="1855"/>
      <c r="E124" s="1855"/>
      <c r="F124" s="1855"/>
      <c r="G124" s="1855"/>
      <c r="H124" s="1855"/>
      <c r="I124" s="1855"/>
      <c r="J124" s="1855"/>
      <c r="K124" s="1851"/>
      <c r="L124" s="1015"/>
      <c r="M124" s="168"/>
      <c r="N124" s="1925" t="s">
        <v>5021</v>
      </c>
      <c r="O124" s="1882" t="s">
        <v>5022</v>
      </c>
      <c r="P124" s="1883"/>
      <c r="Q124" s="1883"/>
      <c r="R124" s="1883"/>
      <c r="S124" s="1883"/>
      <c r="T124" s="1884"/>
    </row>
    <row r="125" spans="2:20" ht="16.350000000000001" customHeight="1">
      <c r="B125" s="1034"/>
      <c r="C125" s="1855"/>
      <c r="D125" s="1855"/>
      <c r="E125" s="1855"/>
      <c r="F125" s="1855"/>
      <c r="G125" s="1855"/>
      <c r="H125" s="1855"/>
      <c r="I125" s="1855"/>
      <c r="J125" s="1855"/>
      <c r="K125" s="1851"/>
      <c r="L125" s="1015"/>
      <c r="M125" s="168"/>
      <c r="N125" s="1926"/>
      <c r="O125" s="1857"/>
      <c r="P125" s="1858"/>
      <c r="Q125" s="1858"/>
      <c r="R125" s="1858"/>
      <c r="S125" s="1858"/>
      <c r="T125" s="1859"/>
    </row>
    <row r="126" spans="2:20" ht="16.350000000000001" customHeight="1">
      <c r="B126" s="1981" t="s">
        <v>5023</v>
      </c>
      <c r="C126" s="1863" t="s">
        <v>4590</v>
      </c>
      <c r="D126" s="1855"/>
      <c r="E126" s="1995" t="s">
        <v>5024</v>
      </c>
      <c r="F126" s="1855"/>
      <c r="G126" s="1855"/>
      <c r="H126" s="1855"/>
      <c r="I126" s="1855"/>
      <c r="J126" s="1855"/>
      <c r="K126" s="1851"/>
      <c r="L126" s="1015"/>
      <c r="M126" s="168"/>
      <c r="N126" s="1933" t="s">
        <v>5025</v>
      </c>
      <c r="O126" s="1856" t="s">
        <v>5026</v>
      </c>
      <c r="P126" s="1851"/>
      <c r="Q126" s="1851"/>
      <c r="R126" s="1851"/>
      <c r="S126" s="1851"/>
      <c r="T126" s="1015"/>
    </row>
    <row r="127" spans="2:20" ht="16.350000000000001" customHeight="1">
      <c r="B127" s="1034"/>
      <c r="C127" s="1855"/>
      <c r="D127" s="1855"/>
      <c r="E127" s="1855"/>
      <c r="F127" s="1855"/>
      <c r="G127" s="1855"/>
      <c r="H127" s="1855"/>
      <c r="I127" s="1855"/>
      <c r="J127" s="1855"/>
      <c r="K127" s="1851"/>
      <c r="L127" s="1015"/>
      <c r="M127" s="168"/>
      <c r="N127" s="1926"/>
      <c r="O127" s="1857"/>
      <c r="P127" s="1858"/>
      <c r="Q127" s="1858"/>
      <c r="R127" s="1858"/>
      <c r="S127" s="1858"/>
      <c r="T127" s="1859"/>
    </row>
    <row r="128" spans="2:20" ht="16.350000000000001" customHeight="1">
      <c r="B128" s="1034"/>
      <c r="C128" s="1855"/>
      <c r="D128" s="1855"/>
      <c r="E128" s="1855"/>
      <c r="F128" s="1855"/>
      <c r="G128" s="1855"/>
      <c r="H128" s="1855"/>
      <c r="I128" s="1855"/>
      <c r="J128" s="1855"/>
      <c r="K128" s="1851"/>
      <c r="L128" s="1015"/>
      <c r="M128" s="168"/>
      <c r="N128" s="1975" t="s">
        <v>5027</v>
      </c>
      <c r="O128" s="1947" t="s">
        <v>5028</v>
      </c>
      <c r="P128" s="1851"/>
      <c r="Q128" s="1851"/>
      <c r="R128" s="1851"/>
      <c r="S128" s="1851"/>
      <c r="T128" s="1015"/>
    </row>
    <row r="129" spans="2:20" ht="16.350000000000001" customHeight="1">
      <c r="B129" s="1949" t="s">
        <v>5029</v>
      </c>
      <c r="C129" s="1922" t="s">
        <v>400</v>
      </c>
      <c r="D129" s="1855"/>
      <c r="E129" s="1944" t="s">
        <v>5030</v>
      </c>
      <c r="F129" s="1855"/>
      <c r="G129" s="1855"/>
      <c r="H129" s="1855"/>
      <c r="I129" s="1855"/>
      <c r="J129" s="1855"/>
      <c r="K129" s="1851"/>
      <c r="L129" s="1015"/>
      <c r="M129" s="168"/>
      <c r="N129" s="1034"/>
      <c r="O129" s="1948"/>
      <c r="P129" s="1851"/>
      <c r="Q129" s="1851"/>
      <c r="R129" s="1851"/>
      <c r="S129" s="1851"/>
      <c r="T129" s="1015"/>
    </row>
    <row r="130" spans="2:20" ht="16.350000000000001" customHeight="1">
      <c r="B130" s="1034"/>
      <c r="C130" s="1855"/>
      <c r="D130" s="1855"/>
      <c r="E130" s="1855"/>
      <c r="F130" s="1855"/>
      <c r="G130" s="1855"/>
      <c r="H130" s="1855"/>
      <c r="I130" s="1855"/>
      <c r="J130" s="1855"/>
      <c r="K130" s="1851"/>
      <c r="L130" s="1015"/>
      <c r="M130" s="168"/>
      <c r="N130" s="1034"/>
      <c r="O130" s="1948"/>
      <c r="P130" s="1851"/>
      <c r="Q130" s="1851"/>
      <c r="R130" s="1851"/>
      <c r="S130" s="1851"/>
      <c r="T130" s="1015"/>
    </row>
    <row r="131" spans="2:20" ht="16.350000000000001" customHeight="1">
      <c r="B131" s="1034"/>
      <c r="C131" s="1855"/>
      <c r="D131" s="1855"/>
      <c r="E131" s="1855"/>
      <c r="F131" s="1855"/>
      <c r="G131" s="1855"/>
      <c r="H131" s="1855"/>
      <c r="I131" s="1855"/>
      <c r="J131" s="1855"/>
      <c r="K131" s="1851"/>
      <c r="L131" s="1015"/>
      <c r="M131" s="168"/>
      <c r="N131" s="1034"/>
      <c r="O131" s="1948"/>
      <c r="P131" s="1851"/>
      <c r="Q131" s="1851"/>
      <c r="R131" s="1851"/>
      <c r="S131" s="1851"/>
      <c r="T131" s="1015"/>
    </row>
    <row r="132" spans="2:20" ht="16.350000000000001" customHeight="1">
      <c r="B132" s="1872" t="s">
        <v>5031</v>
      </c>
      <c r="C132" s="1863" t="s">
        <v>1708</v>
      </c>
      <c r="D132" s="1855"/>
      <c r="E132" s="1908" t="s">
        <v>5032</v>
      </c>
      <c r="F132" s="1855"/>
      <c r="G132" s="1855"/>
      <c r="H132" s="1855"/>
      <c r="I132" s="1855"/>
      <c r="J132" s="1855"/>
      <c r="K132" s="1851"/>
      <c r="L132" s="1015"/>
      <c r="M132" s="168"/>
      <c r="N132" s="1926"/>
      <c r="O132" s="1857"/>
      <c r="P132" s="1858"/>
      <c r="Q132" s="1858"/>
      <c r="R132" s="1858"/>
      <c r="S132" s="1858"/>
      <c r="T132" s="1859"/>
    </row>
    <row r="133" spans="2:20" ht="16.350000000000001" customHeight="1">
      <c r="B133" s="1034"/>
      <c r="C133" s="1855"/>
      <c r="D133" s="1855"/>
      <c r="E133" s="1855"/>
      <c r="F133" s="1855"/>
      <c r="G133" s="1855"/>
      <c r="H133" s="1855"/>
      <c r="I133" s="1855"/>
      <c r="J133" s="1855"/>
      <c r="K133" s="1851"/>
      <c r="L133" s="1015"/>
      <c r="M133" s="168"/>
      <c r="N133" s="1945" t="s">
        <v>5033</v>
      </c>
      <c r="O133" s="1973" t="s">
        <v>5034</v>
      </c>
      <c r="P133" s="1851"/>
      <c r="Q133" s="1851"/>
      <c r="R133" s="1851"/>
      <c r="S133" s="1851"/>
      <c r="T133" s="1015"/>
    </row>
    <row r="134" spans="2:20" ht="16.350000000000001" customHeight="1">
      <c r="B134" s="1034"/>
      <c r="C134" s="1855"/>
      <c r="D134" s="1855"/>
      <c r="E134" s="1855"/>
      <c r="F134" s="1855"/>
      <c r="G134" s="1855"/>
      <c r="H134" s="1855"/>
      <c r="I134" s="1855"/>
      <c r="J134" s="1855"/>
      <c r="K134" s="1851"/>
      <c r="L134" s="1015"/>
      <c r="M134" s="168"/>
      <c r="N134" s="1034"/>
      <c r="O134" s="1948"/>
      <c r="P134" s="1851"/>
      <c r="Q134" s="1851"/>
      <c r="R134" s="1851"/>
      <c r="S134" s="1851"/>
      <c r="T134" s="1015"/>
    </row>
    <row r="135" spans="2:20" ht="16.350000000000001" customHeight="1">
      <c r="B135" s="1982" t="s">
        <v>5035</v>
      </c>
      <c r="C135" s="1922" t="s">
        <v>1603</v>
      </c>
      <c r="D135" s="1855"/>
      <c r="E135" s="1900" t="s">
        <v>5036</v>
      </c>
      <c r="F135" s="1855"/>
      <c r="G135" s="1855"/>
      <c r="H135" s="1855"/>
      <c r="I135" s="1855"/>
      <c r="J135" s="1855"/>
      <c r="K135" s="1851"/>
      <c r="L135" s="1015"/>
      <c r="M135" s="168"/>
      <c r="N135" s="1034"/>
      <c r="O135" s="1948"/>
      <c r="P135" s="1851"/>
      <c r="Q135" s="1851"/>
      <c r="R135" s="1851"/>
      <c r="S135" s="1851"/>
      <c r="T135" s="1015"/>
    </row>
    <row r="136" spans="2:20" ht="16.350000000000001" customHeight="1">
      <c r="B136" s="1034"/>
      <c r="C136" s="1855"/>
      <c r="D136" s="1855"/>
      <c r="E136" s="1855"/>
      <c r="F136" s="1855"/>
      <c r="G136" s="1855"/>
      <c r="H136" s="1855"/>
      <c r="I136" s="1855"/>
      <c r="J136" s="1855"/>
      <c r="K136" s="1851"/>
      <c r="L136" s="1015"/>
      <c r="M136" s="168"/>
      <c r="N136" s="1034"/>
      <c r="O136" s="1948"/>
      <c r="P136" s="1851"/>
      <c r="Q136" s="1851"/>
      <c r="R136" s="1851"/>
      <c r="S136" s="1851"/>
      <c r="T136" s="1015"/>
    </row>
    <row r="137" spans="2:20" ht="16.350000000000001" customHeight="1">
      <c r="B137" s="1034"/>
      <c r="C137" s="1855"/>
      <c r="D137" s="1855"/>
      <c r="E137" s="1855"/>
      <c r="F137" s="1855"/>
      <c r="G137" s="1855"/>
      <c r="H137" s="1855"/>
      <c r="I137" s="1855"/>
      <c r="J137" s="1855"/>
      <c r="K137" s="1851"/>
      <c r="L137" s="1015"/>
      <c r="M137" s="168"/>
      <c r="N137" s="1034"/>
      <c r="O137" s="1948"/>
      <c r="P137" s="1851"/>
      <c r="Q137" s="1851"/>
      <c r="R137" s="1851"/>
      <c r="S137" s="1851"/>
      <c r="T137" s="1015"/>
    </row>
    <row r="138" spans="2:20" ht="16.350000000000001" customHeight="1">
      <c r="B138" s="1870" t="s">
        <v>5037</v>
      </c>
      <c r="C138" s="1963" t="s">
        <v>4917</v>
      </c>
      <c r="D138" s="1855"/>
      <c r="E138" s="1905" t="s">
        <v>5038</v>
      </c>
      <c r="F138" s="1855"/>
      <c r="G138" s="1855"/>
      <c r="H138" s="1855"/>
      <c r="I138" s="1855"/>
      <c r="J138" s="1855"/>
      <c r="K138" s="1851"/>
      <c r="L138" s="1015"/>
      <c r="M138" s="168"/>
      <c r="N138" s="1034"/>
      <c r="O138" s="1948"/>
      <c r="P138" s="1851"/>
      <c r="Q138" s="1851"/>
      <c r="R138" s="1851"/>
      <c r="S138" s="1851"/>
      <c r="T138" s="1015"/>
    </row>
    <row r="139" spans="2:20" ht="16.350000000000001" customHeight="1">
      <c r="B139" s="1034"/>
      <c r="C139" s="1855"/>
      <c r="D139" s="1855"/>
      <c r="E139" s="1855"/>
      <c r="F139" s="1855"/>
      <c r="G139" s="1855"/>
      <c r="H139" s="1855"/>
      <c r="I139" s="1855"/>
      <c r="J139" s="1855"/>
      <c r="K139" s="1851"/>
      <c r="L139" s="1015"/>
      <c r="M139" s="168"/>
      <c r="N139" s="1034"/>
      <c r="O139" s="1948"/>
      <c r="P139" s="1851"/>
      <c r="Q139" s="1851"/>
      <c r="R139" s="1851"/>
      <c r="S139" s="1851"/>
      <c r="T139" s="1015"/>
    </row>
    <row r="140" spans="2:20" ht="16.350000000000001" customHeight="1">
      <c r="B140" s="1090"/>
      <c r="C140" s="1019"/>
      <c r="D140" s="1019"/>
      <c r="E140" s="1019"/>
      <c r="F140" s="1019"/>
      <c r="G140" s="1019"/>
      <c r="H140" s="1019"/>
      <c r="I140" s="1019"/>
      <c r="J140" s="1019"/>
      <c r="K140" s="1019"/>
      <c r="L140" s="1091"/>
      <c r="M140" s="168"/>
      <c r="N140" s="1034"/>
      <c r="O140" s="1948"/>
      <c r="P140" s="1851"/>
      <c r="Q140" s="1851"/>
      <c r="R140" s="1851"/>
      <c r="S140" s="1851"/>
      <c r="T140" s="1015"/>
    </row>
    <row r="141" spans="2:20">
      <c r="N141" s="222"/>
      <c r="O141" s="222"/>
      <c r="P141" s="222"/>
      <c r="Q141" s="222"/>
      <c r="R141" s="222"/>
      <c r="S141" s="222"/>
      <c r="T141" s="222"/>
    </row>
    <row r="142" spans="2:20">
      <c r="B142" s="1901" t="s">
        <v>5039</v>
      </c>
      <c r="C142" s="1088"/>
      <c r="D142" s="1088"/>
      <c r="E142" s="1088"/>
      <c r="F142" s="1088"/>
      <c r="G142" s="1088"/>
      <c r="H142" s="1088"/>
      <c r="I142" s="1088"/>
      <c r="J142" s="1088"/>
      <c r="K142" s="1088"/>
      <c r="L142" s="1088"/>
      <c r="M142" s="1088"/>
      <c r="N142" s="1088"/>
      <c r="O142" s="1088"/>
      <c r="P142" s="1088"/>
      <c r="Q142" s="1088"/>
      <c r="R142" s="1088"/>
      <c r="S142" s="1088"/>
      <c r="T142" s="1089"/>
    </row>
    <row r="143" spans="2:20">
      <c r="B143" s="1034"/>
      <c r="C143" s="1855"/>
      <c r="D143" s="1855"/>
      <c r="E143" s="1855"/>
      <c r="F143" s="1855"/>
      <c r="G143" s="1855"/>
      <c r="H143" s="1855"/>
      <c r="I143" s="1855"/>
      <c r="J143" s="1855"/>
      <c r="K143" s="1851"/>
      <c r="L143" s="1851"/>
      <c r="M143" s="1851"/>
      <c r="N143" s="1851"/>
      <c r="O143" s="1851"/>
      <c r="P143" s="1851"/>
      <c r="Q143" s="1851"/>
      <c r="R143" s="1851"/>
      <c r="S143" s="1851"/>
      <c r="T143" s="1015"/>
    </row>
    <row r="144" spans="2:20">
      <c r="B144" s="1090"/>
      <c r="C144" s="1019"/>
      <c r="D144" s="1019"/>
      <c r="E144" s="1019"/>
      <c r="F144" s="1019"/>
      <c r="G144" s="1019"/>
      <c r="H144" s="1019"/>
      <c r="I144" s="1019"/>
      <c r="J144" s="1019"/>
      <c r="K144" s="1019"/>
      <c r="L144" s="1019"/>
      <c r="M144" s="1019"/>
      <c r="N144" s="1019"/>
      <c r="O144" s="1019"/>
      <c r="P144" s="1019"/>
      <c r="Q144" s="1019"/>
      <c r="R144" s="1019"/>
      <c r="S144" s="1019"/>
      <c r="T144" s="1091"/>
    </row>
    <row r="146" spans="2:20" ht="23.1" customHeight="1">
      <c r="B146" s="214" t="s">
        <v>5040</v>
      </c>
      <c r="C146" s="197"/>
      <c r="D146" s="1921" t="s">
        <v>5041</v>
      </c>
      <c r="E146" s="1089"/>
      <c r="F146" s="1921" t="s">
        <v>5042</v>
      </c>
      <c r="G146" s="1088"/>
      <c r="H146" s="1088"/>
      <c r="I146" s="1089"/>
      <c r="J146" s="158"/>
      <c r="K146" s="1852" t="s">
        <v>5043</v>
      </c>
      <c r="L146" s="1088"/>
      <c r="M146" s="1089"/>
      <c r="N146" s="168"/>
      <c r="O146" s="1852" t="s">
        <v>5044</v>
      </c>
      <c r="P146" s="1089"/>
      <c r="Q146" s="168"/>
      <c r="R146" s="1852" t="s">
        <v>5045</v>
      </c>
      <c r="S146" s="1088"/>
      <c r="T146" s="1089"/>
    </row>
    <row r="147" spans="2:20" ht="16.350000000000001" customHeight="1">
      <c r="B147" s="1899" t="s">
        <v>5046</v>
      </c>
      <c r="C147" s="215"/>
      <c r="D147" s="1906" t="s">
        <v>5047</v>
      </c>
      <c r="E147" s="1015"/>
      <c r="F147" s="1906" t="s">
        <v>5048</v>
      </c>
      <c r="G147" s="1855"/>
      <c r="H147" s="1855"/>
      <c r="I147" s="1015"/>
      <c r="J147" s="215"/>
      <c r="K147" s="1862" t="s">
        <v>5049</v>
      </c>
      <c r="L147" s="1851"/>
      <c r="M147" s="1015"/>
      <c r="N147" s="223"/>
      <c r="O147" s="1862" t="s">
        <v>5050</v>
      </c>
      <c r="P147" s="1015"/>
      <c r="Q147" s="223"/>
      <c r="R147" s="1984" t="s">
        <v>5051</v>
      </c>
      <c r="S147" s="1851"/>
      <c r="T147" s="1015"/>
    </row>
    <row r="148" spans="2:20" ht="16.350000000000001" customHeight="1">
      <c r="B148" s="1559"/>
      <c r="C148" s="215"/>
      <c r="D148" s="1034"/>
      <c r="E148" s="1015"/>
      <c r="F148" s="1034"/>
      <c r="G148" s="1855"/>
      <c r="H148" s="1855"/>
      <c r="I148" s="1015"/>
      <c r="J148" s="215"/>
      <c r="K148" s="1034"/>
      <c r="L148" s="1851"/>
      <c r="M148" s="1015"/>
      <c r="N148" s="223"/>
      <c r="O148" s="1034"/>
      <c r="P148" s="1015"/>
      <c r="Q148" s="223"/>
      <c r="R148" s="1034"/>
      <c r="S148" s="1851"/>
      <c r="T148" s="1015"/>
    </row>
    <row r="149" spans="2:20" ht="16.350000000000001" customHeight="1">
      <c r="B149" s="1559"/>
      <c r="C149" s="215"/>
      <c r="D149" s="1034"/>
      <c r="E149" s="1015"/>
      <c r="F149" s="1034"/>
      <c r="G149" s="1855"/>
      <c r="H149" s="1855"/>
      <c r="I149" s="1015"/>
      <c r="J149" s="215"/>
      <c r="K149" s="1034"/>
      <c r="L149" s="1851"/>
      <c r="M149" s="1015"/>
      <c r="N149" s="223"/>
      <c r="O149" s="1034"/>
      <c r="P149" s="1015"/>
      <c r="Q149" s="223"/>
      <c r="R149" s="1034"/>
      <c r="S149" s="1851"/>
      <c r="T149" s="1015"/>
    </row>
    <row r="150" spans="2:20" ht="16.350000000000001" customHeight="1">
      <c r="B150" s="1559"/>
      <c r="C150" s="215"/>
      <c r="D150" s="1034"/>
      <c r="E150" s="1015"/>
      <c r="F150" s="1034"/>
      <c r="G150" s="1855"/>
      <c r="H150" s="1855"/>
      <c r="I150" s="1015"/>
      <c r="J150" s="215"/>
      <c r="K150" s="1034"/>
      <c r="L150" s="1851"/>
      <c r="M150" s="1015"/>
      <c r="N150" s="223"/>
      <c r="O150" s="1034"/>
      <c r="P150" s="1015"/>
      <c r="Q150" s="223"/>
      <c r="R150" s="1034"/>
      <c r="S150" s="1851"/>
      <c r="T150" s="1015"/>
    </row>
    <row r="151" spans="2:20" ht="16.350000000000001" customHeight="1">
      <c r="B151" s="1559"/>
      <c r="C151" s="215"/>
      <c r="D151" s="1034"/>
      <c r="E151" s="1015"/>
      <c r="F151" s="1034"/>
      <c r="G151" s="1855"/>
      <c r="H151" s="1855"/>
      <c r="I151" s="1015"/>
      <c r="J151" s="215"/>
      <c r="K151" s="1034"/>
      <c r="L151" s="1851"/>
      <c r="M151" s="1015"/>
      <c r="N151" s="223"/>
      <c r="O151" s="1034"/>
      <c r="P151" s="1015"/>
      <c r="Q151" s="223"/>
      <c r="R151" s="1034"/>
      <c r="S151" s="1851"/>
      <c r="T151" s="1015"/>
    </row>
    <row r="152" spans="2:20" ht="16.350000000000001" customHeight="1">
      <c r="B152" s="1559"/>
      <c r="C152" s="215"/>
      <c r="D152" s="1034"/>
      <c r="E152" s="1015"/>
      <c r="F152" s="1034"/>
      <c r="G152" s="1855"/>
      <c r="H152" s="1855"/>
      <c r="I152" s="1015"/>
      <c r="J152" s="215"/>
      <c r="K152" s="1034"/>
      <c r="L152" s="1851"/>
      <c r="M152" s="1015"/>
      <c r="N152" s="223"/>
      <c r="O152" s="1034"/>
      <c r="P152" s="1015"/>
      <c r="Q152" s="223"/>
      <c r="R152" s="1034"/>
      <c r="S152" s="1851"/>
      <c r="T152" s="1015"/>
    </row>
    <row r="153" spans="2:20" ht="16.350000000000001" customHeight="1">
      <c r="B153" s="1559"/>
      <c r="C153" s="215"/>
      <c r="D153" s="1034"/>
      <c r="E153" s="1015"/>
      <c r="F153" s="1034"/>
      <c r="G153" s="1855"/>
      <c r="H153" s="1855"/>
      <c r="I153" s="1015"/>
      <c r="J153" s="215"/>
      <c r="K153" s="1034"/>
      <c r="L153" s="1851"/>
      <c r="M153" s="1015"/>
      <c r="N153" s="223"/>
      <c r="O153" s="1034"/>
      <c r="P153" s="1015"/>
      <c r="Q153" s="223"/>
      <c r="R153" s="1034"/>
      <c r="S153" s="1851"/>
      <c r="T153" s="1015"/>
    </row>
    <row r="154" spans="2:20" ht="16.350000000000001" customHeight="1">
      <c r="B154" s="1559"/>
      <c r="C154" s="215"/>
      <c r="D154" s="1034"/>
      <c r="E154" s="1015"/>
      <c r="F154" s="1034"/>
      <c r="G154" s="1855"/>
      <c r="H154" s="1855"/>
      <c r="I154" s="1015"/>
      <c r="J154" s="215"/>
      <c r="K154" s="1034"/>
      <c r="L154" s="1851"/>
      <c r="M154" s="1015"/>
      <c r="N154" s="223"/>
      <c r="O154" s="1034"/>
      <c r="P154" s="1015"/>
      <c r="Q154" s="223"/>
      <c r="R154" s="1034"/>
      <c r="S154" s="1851"/>
      <c r="T154" s="1015"/>
    </row>
    <row r="155" spans="2:20" ht="16.350000000000001" customHeight="1">
      <c r="B155" s="1874"/>
      <c r="C155" s="215"/>
      <c r="D155" s="1090"/>
      <c r="E155" s="1091"/>
      <c r="F155" s="1090"/>
      <c r="G155" s="1019"/>
      <c r="H155" s="1019"/>
      <c r="I155" s="1091"/>
      <c r="J155" s="215"/>
      <c r="K155" s="1090"/>
      <c r="L155" s="1019"/>
      <c r="M155" s="1091"/>
      <c r="N155" s="223"/>
      <c r="O155" s="1090"/>
      <c r="P155" s="1091"/>
      <c r="Q155" s="223"/>
      <c r="R155" s="1090"/>
      <c r="S155" s="1019"/>
      <c r="T155" s="1091"/>
    </row>
    <row r="156" spans="2:20" ht="16.350000000000001" customHeight="1">
      <c r="B156" s="197"/>
      <c r="C156" s="197"/>
      <c r="D156" s="197"/>
      <c r="E156" s="197"/>
      <c r="F156" s="197"/>
      <c r="G156" s="197"/>
      <c r="H156" s="197"/>
      <c r="I156" s="197"/>
      <c r="J156" s="197"/>
      <c r="K156" s="168"/>
      <c r="L156" s="168"/>
      <c r="M156" s="168"/>
      <c r="N156" s="168"/>
      <c r="O156" s="168"/>
      <c r="P156" s="168"/>
      <c r="Q156" s="168"/>
      <c r="R156" s="168"/>
      <c r="S156" s="168"/>
      <c r="T156" s="168"/>
    </row>
    <row r="157" spans="2:20" ht="16.350000000000001" customHeight="1">
      <c r="B157" s="1913" t="s">
        <v>5052</v>
      </c>
      <c r="C157" s="1921" t="s">
        <v>5053</v>
      </c>
      <c r="D157" s="1089"/>
      <c r="E157" s="197"/>
      <c r="F157" s="1913" t="s">
        <v>5054</v>
      </c>
      <c r="G157" s="1088"/>
      <c r="H157" s="1088"/>
      <c r="I157" s="1088"/>
      <c r="J157" s="1088"/>
      <c r="K157" s="1921" t="s">
        <v>5055</v>
      </c>
      <c r="L157" s="1089"/>
      <c r="M157" s="168"/>
      <c r="N157" s="1852" t="s">
        <v>5056</v>
      </c>
      <c r="O157" s="1088"/>
      <c r="P157" s="1088"/>
      <c r="Q157" s="1088"/>
      <c r="R157" s="1088"/>
      <c r="S157" s="1088"/>
      <c r="T157" s="1089"/>
    </row>
    <row r="158" spans="2:20" ht="16.350000000000001" customHeight="1">
      <c r="B158" s="1034"/>
      <c r="C158" s="1034"/>
      <c r="D158" s="1015"/>
      <c r="E158" s="197"/>
      <c r="F158" s="1034"/>
      <c r="G158" s="1855"/>
      <c r="H158" s="1855"/>
      <c r="I158" s="1855"/>
      <c r="J158" s="1855"/>
      <c r="K158" s="1034"/>
      <c r="L158" s="1015"/>
      <c r="M158" s="168"/>
      <c r="N158" s="1034"/>
      <c r="O158" s="1851"/>
      <c r="P158" s="1851"/>
      <c r="Q158" s="1851"/>
      <c r="R158" s="1851"/>
      <c r="S158" s="1851"/>
      <c r="T158" s="1015"/>
    </row>
    <row r="159" spans="2:20" ht="16.350000000000001" customHeight="1">
      <c r="B159" s="2001" t="s">
        <v>5057</v>
      </c>
      <c r="C159" s="1854" t="s">
        <v>5058</v>
      </c>
      <c r="D159" s="1015"/>
      <c r="E159" s="197"/>
      <c r="F159" s="1909" t="s">
        <v>5059</v>
      </c>
      <c r="G159" s="1855"/>
      <c r="H159" s="1855"/>
      <c r="I159" s="1855"/>
      <c r="J159" s="1855"/>
      <c r="K159" s="1906" t="s">
        <v>5060</v>
      </c>
      <c r="L159" s="1015"/>
      <c r="M159" s="168"/>
      <c r="N159" s="1976" t="s">
        <v>5061</v>
      </c>
      <c r="O159" s="1033"/>
      <c r="P159" s="1033"/>
      <c r="Q159" s="1031"/>
      <c r="R159" s="1970" t="s">
        <v>5062</v>
      </c>
      <c r="S159" s="1033"/>
      <c r="T159" s="1038"/>
    </row>
    <row r="160" spans="2:20" ht="16.350000000000001" customHeight="1">
      <c r="B160" s="1034"/>
      <c r="C160" s="1034"/>
      <c r="D160" s="1015"/>
      <c r="E160" s="197"/>
      <c r="F160" s="1034"/>
      <c r="G160" s="1855"/>
      <c r="H160" s="1855"/>
      <c r="I160" s="1855"/>
      <c r="J160" s="1855"/>
      <c r="K160" s="1034"/>
      <c r="L160" s="1015"/>
      <c r="M160" s="168"/>
      <c r="N160" s="1034"/>
      <c r="O160" s="1851"/>
      <c r="P160" s="1851"/>
      <c r="Q160" s="1013"/>
      <c r="R160" s="1114"/>
      <c r="S160" s="1851"/>
      <c r="T160" s="1015"/>
    </row>
    <row r="161" spans="2:20" ht="16.350000000000001" customHeight="1">
      <c r="B161" s="1034"/>
      <c r="C161" s="1034"/>
      <c r="D161" s="1015"/>
      <c r="E161" s="158"/>
      <c r="F161" s="1034"/>
      <c r="G161" s="1855"/>
      <c r="H161" s="1855"/>
      <c r="I161" s="1855"/>
      <c r="J161" s="1855"/>
      <c r="K161" s="1034"/>
      <c r="L161" s="1015"/>
      <c r="M161" s="168"/>
      <c r="N161" s="1894" t="s">
        <v>5063</v>
      </c>
      <c r="O161" s="1851"/>
      <c r="P161" s="1851"/>
      <c r="Q161" s="1851"/>
      <c r="R161" s="1851"/>
      <c r="S161" s="1851"/>
      <c r="T161" s="1015"/>
    </row>
    <row r="162" spans="2:20" ht="16.350000000000001" customHeight="1">
      <c r="B162" s="1034"/>
      <c r="C162" s="216" t="s">
        <v>5064</v>
      </c>
      <c r="D162" s="217" t="s">
        <v>1768</v>
      </c>
      <c r="E162" s="158"/>
      <c r="F162" s="1034"/>
      <c r="G162" s="1855"/>
      <c r="H162" s="1855"/>
      <c r="I162" s="1855"/>
      <c r="J162" s="1855"/>
      <c r="K162" s="1034"/>
      <c r="L162" s="1015"/>
      <c r="M162" s="168"/>
      <c r="N162" s="1035"/>
      <c r="O162" s="1036"/>
      <c r="P162" s="1036"/>
      <c r="Q162" s="1036"/>
      <c r="R162" s="1036"/>
      <c r="S162" s="1036"/>
      <c r="T162" s="998"/>
    </row>
    <row r="163" spans="2:20" ht="16.350000000000001" customHeight="1">
      <c r="B163" s="1034"/>
      <c r="C163" s="205" t="s">
        <v>5065</v>
      </c>
      <c r="D163" s="206" t="s">
        <v>1759</v>
      </c>
      <c r="E163" s="158"/>
      <c r="F163" s="1034"/>
      <c r="G163" s="1855"/>
      <c r="H163" s="1855"/>
      <c r="I163" s="1855"/>
      <c r="J163" s="1855"/>
      <c r="K163" s="1034"/>
      <c r="L163" s="1015"/>
      <c r="M163" s="168"/>
      <c r="N163" s="1903" t="s">
        <v>5066</v>
      </c>
      <c r="O163" s="1851"/>
      <c r="P163" s="1851"/>
      <c r="Q163" s="1851"/>
      <c r="R163" s="1851"/>
      <c r="S163" s="1851"/>
      <c r="T163" s="1015"/>
    </row>
    <row r="164" spans="2:20" ht="16.350000000000001" customHeight="1">
      <c r="B164" s="1034"/>
      <c r="C164" s="205" t="s">
        <v>5067</v>
      </c>
      <c r="D164" s="206" t="s">
        <v>5068</v>
      </c>
      <c r="E164" s="158"/>
      <c r="F164" s="1034"/>
      <c r="G164" s="1855"/>
      <c r="H164" s="1855"/>
      <c r="I164" s="1855"/>
      <c r="J164" s="1855"/>
      <c r="K164" s="1034"/>
      <c r="L164" s="1015"/>
      <c r="M164" s="168"/>
      <c r="N164" s="1958" t="s">
        <v>5069</v>
      </c>
      <c r="O164" s="1007"/>
      <c r="P164" s="1007"/>
      <c r="Q164" s="1007"/>
      <c r="R164" s="1007"/>
      <c r="S164" s="1007"/>
      <c r="T164" s="1084"/>
    </row>
    <row r="165" spans="2:20" ht="16.350000000000001" customHeight="1">
      <c r="B165" s="1034"/>
      <c r="C165" s="205" t="s">
        <v>5070</v>
      </c>
      <c r="D165" s="206" t="s">
        <v>5071</v>
      </c>
      <c r="E165" s="158"/>
      <c r="F165" s="1034"/>
      <c r="G165" s="1855"/>
      <c r="H165" s="1855"/>
      <c r="I165" s="1855"/>
      <c r="J165" s="1855"/>
      <c r="K165" s="1034"/>
      <c r="L165" s="1015"/>
      <c r="M165" s="168"/>
      <c r="N165" s="1951" t="s">
        <v>5072</v>
      </c>
      <c r="O165" s="1851"/>
      <c r="P165" s="1851"/>
      <c r="Q165" s="1013"/>
      <c r="R165" s="1886" t="s">
        <v>5073</v>
      </c>
      <c r="S165" s="1851"/>
      <c r="T165" s="1015"/>
    </row>
    <row r="166" spans="2:20" ht="16.350000000000001" customHeight="1">
      <c r="B166" s="1034"/>
      <c r="C166" s="205" t="s">
        <v>5074</v>
      </c>
      <c r="D166" s="206" t="s">
        <v>1650</v>
      </c>
      <c r="E166" s="158"/>
      <c r="F166" s="1034"/>
      <c r="G166" s="1855"/>
      <c r="H166" s="1855"/>
      <c r="I166" s="1855"/>
      <c r="J166" s="1855"/>
      <c r="K166" s="1034"/>
      <c r="L166" s="1015"/>
      <c r="M166" s="168"/>
      <c r="N166" s="1034"/>
      <c r="O166" s="1851"/>
      <c r="P166" s="1851"/>
      <c r="Q166" s="1013"/>
      <c r="R166" s="1851"/>
      <c r="S166" s="1851"/>
      <c r="T166" s="1015"/>
    </row>
    <row r="167" spans="2:20" ht="16.350000000000001" customHeight="1">
      <c r="B167" s="1034"/>
      <c r="C167" s="205" t="s">
        <v>5075</v>
      </c>
      <c r="D167" s="206" t="s">
        <v>1663</v>
      </c>
      <c r="E167" s="158"/>
      <c r="F167" s="1034"/>
      <c r="G167" s="1855"/>
      <c r="H167" s="1855"/>
      <c r="I167" s="1855"/>
      <c r="J167" s="1855"/>
      <c r="K167" s="1034"/>
      <c r="L167" s="1015"/>
      <c r="M167" s="168"/>
      <c r="N167" s="1034"/>
      <c r="O167" s="1851"/>
      <c r="P167" s="1851"/>
      <c r="Q167" s="1013"/>
      <c r="R167" s="1851"/>
      <c r="S167" s="1851"/>
      <c r="T167" s="1015"/>
    </row>
    <row r="168" spans="2:20" ht="16.350000000000001" customHeight="1">
      <c r="B168" s="1090"/>
      <c r="C168" s="218">
        <v>20</v>
      </c>
      <c r="D168" s="219" t="s">
        <v>1479</v>
      </c>
      <c r="E168" s="158"/>
      <c r="F168" s="1090"/>
      <c r="G168" s="1019"/>
      <c r="H168" s="1019"/>
      <c r="I168" s="1019"/>
      <c r="J168" s="1019"/>
      <c r="K168" s="1090"/>
      <c r="L168" s="1091"/>
      <c r="M168" s="168"/>
      <c r="N168" s="1090"/>
      <c r="O168" s="1019"/>
      <c r="P168" s="1019"/>
      <c r="Q168" s="1020"/>
      <c r="R168" s="1019"/>
      <c r="S168" s="1019"/>
      <c r="T168" s="1091"/>
    </row>
    <row r="169" spans="2:20" ht="16.350000000000001" customHeight="1">
      <c r="B169" s="158"/>
      <c r="C169" s="158"/>
      <c r="D169" s="158"/>
      <c r="E169" s="158"/>
      <c r="F169" s="158"/>
      <c r="G169" s="158"/>
      <c r="H169" s="158"/>
      <c r="I169" s="158"/>
      <c r="J169" s="158"/>
      <c r="K169" s="168"/>
      <c r="L169" s="168"/>
      <c r="M169" s="168"/>
      <c r="N169" s="160"/>
      <c r="O169" s="160"/>
      <c r="P169" s="160"/>
      <c r="Q169" s="160"/>
      <c r="R169" s="159"/>
      <c r="S169" s="159"/>
      <c r="T169" s="159"/>
    </row>
    <row r="170" spans="2:20">
      <c r="B170" s="1852" t="s">
        <v>5076</v>
      </c>
      <c r="C170" s="1089"/>
      <c r="D170" s="1852" t="s">
        <v>5077</v>
      </c>
      <c r="E170" s="1088"/>
      <c r="F170" s="1088"/>
      <c r="G170" s="1089"/>
      <c r="I170" s="1920" t="s">
        <v>5078</v>
      </c>
      <c r="J170" s="1088"/>
      <c r="K170" s="1088"/>
      <c r="L170" s="1088"/>
      <c r="M170" s="1088"/>
      <c r="N170" s="1088"/>
      <c r="O170" s="1089"/>
      <c r="Q170" s="1852" t="s">
        <v>5079</v>
      </c>
      <c r="R170" s="1088"/>
      <c r="S170" s="1088"/>
      <c r="T170" s="1089"/>
    </row>
    <row r="171" spans="2:20">
      <c r="B171" s="1034"/>
      <c r="C171" s="1015"/>
      <c r="D171" s="1034"/>
      <c r="E171" s="1855"/>
      <c r="F171" s="1855"/>
      <c r="G171" s="1015"/>
      <c r="I171" s="1034"/>
      <c r="J171" s="1855"/>
      <c r="K171" s="1851"/>
      <c r="L171" s="1851"/>
      <c r="M171" s="1851"/>
      <c r="N171" s="1851"/>
      <c r="O171" s="1015"/>
      <c r="Q171" s="1034"/>
      <c r="R171" s="1851"/>
      <c r="S171" s="1851"/>
      <c r="T171" s="1015"/>
    </row>
    <row r="172" spans="2:20" ht="16.350000000000001" customHeight="1">
      <c r="B172" s="1912" t="s">
        <v>5080</v>
      </c>
      <c r="C172" s="1015"/>
      <c r="D172" s="1864" t="s">
        <v>5081</v>
      </c>
      <c r="E172" s="1855"/>
      <c r="F172" s="1855"/>
      <c r="G172" s="1015"/>
      <c r="H172" s="160"/>
      <c r="I172" s="1912" t="s">
        <v>5082</v>
      </c>
      <c r="J172" s="1855"/>
      <c r="K172" s="1851"/>
      <c r="L172" s="1851"/>
      <c r="M172" s="1851"/>
      <c r="N172" s="1851"/>
      <c r="O172" s="1015"/>
      <c r="Q172" s="1864" t="s">
        <v>5083</v>
      </c>
      <c r="R172" s="1851"/>
      <c r="S172" s="1851"/>
      <c r="T172" s="1015"/>
    </row>
    <row r="173" spans="2:20" ht="16.350000000000001" customHeight="1">
      <c r="B173" s="1034"/>
      <c r="C173" s="1015"/>
      <c r="D173" s="1034"/>
      <c r="E173" s="1855"/>
      <c r="F173" s="1855"/>
      <c r="G173" s="1015"/>
      <c r="H173" s="160"/>
      <c r="I173" s="1034"/>
      <c r="J173" s="1855"/>
      <c r="K173" s="1851"/>
      <c r="L173" s="1851"/>
      <c r="M173" s="1851"/>
      <c r="N173" s="1851"/>
      <c r="O173" s="1015"/>
      <c r="Q173" s="1034"/>
      <c r="R173" s="1851"/>
      <c r="S173" s="1851"/>
      <c r="T173" s="1015"/>
    </row>
    <row r="174" spans="2:20" ht="16.350000000000001" customHeight="1">
      <c r="B174" s="1034"/>
      <c r="C174" s="1015"/>
      <c r="D174" s="1034"/>
      <c r="E174" s="1855"/>
      <c r="F174" s="1855"/>
      <c r="G174" s="1015"/>
      <c r="H174" s="160"/>
      <c r="I174" s="1034"/>
      <c r="J174" s="1855"/>
      <c r="K174" s="1851"/>
      <c r="L174" s="1851"/>
      <c r="M174" s="1851"/>
      <c r="N174" s="1851"/>
      <c r="O174" s="1015"/>
      <c r="Q174" s="1034"/>
      <c r="R174" s="1851"/>
      <c r="S174" s="1851"/>
      <c r="T174" s="1015"/>
    </row>
    <row r="175" spans="2:20" ht="16.350000000000001" customHeight="1">
      <c r="B175" s="1034"/>
      <c r="C175" s="1015"/>
      <c r="D175" s="1034"/>
      <c r="E175" s="1855"/>
      <c r="F175" s="1855"/>
      <c r="G175" s="1015"/>
      <c r="H175" s="160"/>
      <c r="I175" s="1034"/>
      <c r="J175" s="1855"/>
      <c r="K175" s="1851"/>
      <c r="L175" s="1851"/>
      <c r="M175" s="1851"/>
      <c r="N175" s="1851"/>
      <c r="O175" s="1015"/>
      <c r="Q175" s="1034"/>
      <c r="R175" s="1851"/>
      <c r="S175" s="1851"/>
      <c r="T175" s="1015"/>
    </row>
    <row r="176" spans="2:20" ht="16.350000000000001" customHeight="1">
      <c r="B176" s="1034"/>
      <c r="C176" s="1015"/>
      <c r="D176" s="1034"/>
      <c r="E176" s="1855"/>
      <c r="F176" s="1855"/>
      <c r="G176" s="1015"/>
      <c r="H176" s="160"/>
      <c r="I176" s="1034"/>
      <c r="J176" s="1855"/>
      <c r="K176" s="1851"/>
      <c r="L176" s="1851"/>
      <c r="M176" s="1851"/>
      <c r="N176" s="1851"/>
      <c r="O176" s="1015"/>
      <c r="Q176" s="1034"/>
      <c r="R176" s="1851"/>
      <c r="S176" s="1851"/>
      <c r="T176" s="1015"/>
    </row>
    <row r="177" spans="2:20" ht="16.350000000000001" customHeight="1">
      <c r="B177" s="1034"/>
      <c r="C177" s="1015"/>
      <c r="D177" s="1034"/>
      <c r="E177" s="1855"/>
      <c r="F177" s="1855"/>
      <c r="G177" s="1015"/>
      <c r="H177" s="160"/>
      <c r="I177" s="1034"/>
      <c r="J177" s="1855"/>
      <c r="K177" s="1851"/>
      <c r="L177" s="1851"/>
      <c r="M177" s="1851"/>
      <c r="N177" s="1851"/>
      <c r="O177" s="1015"/>
      <c r="Q177" s="1034"/>
      <c r="R177" s="1851"/>
      <c r="S177" s="1851"/>
      <c r="T177" s="1015"/>
    </row>
    <row r="178" spans="2:20" ht="16.350000000000001" customHeight="1">
      <c r="B178" s="1034"/>
      <c r="C178" s="1015"/>
      <c r="D178" s="1034"/>
      <c r="E178" s="1855"/>
      <c r="F178" s="1855"/>
      <c r="G178" s="1015"/>
      <c r="H178" s="160"/>
      <c r="I178" s="1034"/>
      <c r="J178" s="1855"/>
      <c r="K178" s="1851"/>
      <c r="L178" s="1851"/>
      <c r="M178" s="1851"/>
      <c r="N178" s="1851"/>
      <c r="O178" s="1015"/>
      <c r="Q178" s="1034"/>
      <c r="R178" s="1851"/>
      <c r="S178" s="1851"/>
      <c r="T178" s="1015"/>
    </row>
    <row r="179" spans="2:20" ht="16.350000000000001" customHeight="1">
      <c r="B179" s="1034"/>
      <c r="C179" s="1015"/>
      <c r="D179" s="1034"/>
      <c r="E179" s="1855"/>
      <c r="F179" s="1855"/>
      <c r="G179" s="1015"/>
      <c r="H179" s="160"/>
      <c r="I179" s="1034"/>
      <c r="J179" s="1855"/>
      <c r="K179" s="1851"/>
      <c r="L179" s="1851"/>
      <c r="M179" s="1851"/>
      <c r="N179" s="1851"/>
      <c r="O179" s="1015"/>
      <c r="Q179" s="1034"/>
      <c r="R179" s="1851"/>
      <c r="S179" s="1851"/>
      <c r="T179" s="1015"/>
    </row>
    <row r="180" spans="2:20" ht="16.350000000000001" customHeight="1">
      <c r="B180" s="1090"/>
      <c r="C180" s="1091"/>
      <c r="D180" s="1090"/>
      <c r="E180" s="1019"/>
      <c r="F180" s="1019"/>
      <c r="G180" s="1091"/>
      <c r="H180" s="160"/>
      <c r="I180" s="1090"/>
      <c r="J180" s="1019"/>
      <c r="K180" s="1019"/>
      <c r="L180" s="1019"/>
      <c r="M180" s="1019"/>
      <c r="N180" s="1019"/>
      <c r="O180" s="1091"/>
      <c r="Q180" s="1090"/>
      <c r="R180" s="1019"/>
      <c r="S180" s="1019"/>
      <c r="T180" s="1091"/>
    </row>
    <row r="181" spans="2:20" ht="16.350000000000001" customHeight="1">
      <c r="B181" s="159"/>
      <c r="C181" s="159"/>
      <c r="D181" s="160"/>
      <c r="E181" s="160"/>
      <c r="F181" s="160"/>
      <c r="G181" s="160"/>
      <c r="H181" s="160"/>
      <c r="I181" s="159"/>
      <c r="J181" s="159"/>
      <c r="K181" s="159"/>
      <c r="L181" s="159"/>
      <c r="M181" s="159"/>
      <c r="N181" s="159"/>
      <c r="O181" s="159"/>
      <c r="Q181" s="160"/>
      <c r="R181" s="160"/>
      <c r="S181" s="160"/>
      <c r="T181" s="160"/>
    </row>
    <row r="182" spans="2:20" ht="16.95" customHeight="1">
      <c r="B182" s="1866" t="s">
        <v>5084</v>
      </c>
      <c r="C182" s="1088"/>
      <c r="D182" s="1088"/>
      <c r="E182" s="1088"/>
      <c r="F182" s="1088"/>
      <c r="G182" s="1088"/>
      <c r="H182" s="1088"/>
      <c r="I182" s="1088"/>
      <c r="J182" s="1088"/>
      <c r="K182" s="1089"/>
      <c r="M182" s="1964" t="s">
        <v>1557</v>
      </c>
      <c r="N182" s="1088"/>
      <c r="O182" s="1088"/>
      <c r="P182" s="1088"/>
      <c r="Q182" s="1088"/>
      <c r="R182" s="1088"/>
      <c r="S182" s="1088"/>
      <c r="T182" s="1089"/>
    </row>
    <row r="183" spans="2:20" ht="16.95" customHeight="1">
      <c r="B183" s="1034"/>
      <c r="C183" s="1855"/>
      <c r="D183" s="1855"/>
      <c r="E183" s="1855"/>
      <c r="F183" s="1855"/>
      <c r="G183" s="1855"/>
      <c r="H183" s="1855"/>
      <c r="I183" s="1855"/>
      <c r="J183" s="1855"/>
      <c r="K183" s="1015"/>
      <c r="M183" s="1035"/>
      <c r="N183" s="1036"/>
      <c r="O183" s="1036"/>
      <c r="P183" s="1036"/>
      <c r="Q183" s="1036"/>
      <c r="R183" s="1036"/>
      <c r="S183" s="1036"/>
      <c r="T183" s="998"/>
    </row>
    <row r="184" spans="2:20" ht="16.95" customHeight="1">
      <c r="B184" s="1919" t="s">
        <v>5085</v>
      </c>
      <c r="C184" s="1855"/>
      <c r="D184" s="1855"/>
      <c r="E184" s="1855"/>
      <c r="F184" s="1911" t="s">
        <v>5086</v>
      </c>
      <c r="G184" s="1855"/>
      <c r="H184" s="1855"/>
      <c r="I184" s="1855"/>
      <c r="J184" s="1855"/>
      <c r="K184" s="1015"/>
      <c r="M184" s="1890" t="s">
        <v>1569</v>
      </c>
      <c r="N184" s="1007"/>
      <c r="O184" s="1889" t="s">
        <v>1570</v>
      </c>
      <c r="P184" s="1000"/>
      <c r="Q184" s="1889" t="s">
        <v>5087</v>
      </c>
      <c r="R184" s="1000"/>
      <c r="S184" s="1938" t="s">
        <v>165</v>
      </c>
      <c r="T184" s="1084"/>
    </row>
    <row r="185" spans="2:20" ht="16.95" customHeight="1">
      <c r="B185" s="1867" t="s">
        <v>5088</v>
      </c>
      <c r="C185" s="1980" t="s">
        <v>5089</v>
      </c>
      <c r="D185" s="1855"/>
      <c r="E185" s="1855"/>
      <c r="F185" s="1114"/>
      <c r="G185" s="1855"/>
      <c r="H185" s="1855"/>
      <c r="I185" s="1855"/>
      <c r="J185" s="1855"/>
      <c r="K185" s="1015"/>
      <c r="M185" s="1919" t="s">
        <v>1742</v>
      </c>
      <c r="N185" s="1851"/>
      <c r="O185" s="1915" t="str">
        <f>IF($M185=0,"",VLOOKUP($M185,附表!I38:M49,2,FALSE))</f>
        <v> </v>
      </c>
      <c r="P185" s="1013"/>
      <c r="Q185" s="1978" t="str">
        <f>IF($M185=0,"",VLOOKUP($M185,附表!I38:M49,3,FALSE))</f>
        <v> </v>
      </c>
      <c r="R185" s="1013"/>
      <c r="S185" s="1979" t="str">
        <f>IF($M185=0,"",VLOOKUP($M185,附表!I38:M49,4,FALSE))</f>
        <v> </v>
      </c>
      <c r="T185" s="1015"/>
    </row>
    <row r="186" spans="2:20" ht="16.95" customHeight="1">
      <c r="B186" s="1034"/>
      <c r="C186" s="1855"/>
      <c r="D186" s="1855"/>
      <c r="E186" s="1855"/>
      <c r="F186" s="1114"/>
      <c r="G186" s="1855"/>
      <c r="H186" s="1855"/>
      <c r="I186" s="1855"/>
      <c r="J186" s="1855"/>
      <c r="K186" s="1015"/>
      <c r="M186" s="1034"/>
      <c r="N186" s="1851"/>
      <c r="O186" s="1114"/>
      <c r="P186" s="1013"/>
      <c r="Q186" s="1114"/>
      <c r="R186" s="1013"/>
      <c r="S186" s="1851"/>
      <c r="T186" s="1015"/>
    </row>
    <row r="187" spans="2:20" ht="16.95" customHeight="1">
      <c r="B187" s="221" t="s">
        <v>5090</v>
      </c>
      <c r="C187" s="1861" t="s">
        <v>5091</v>
      </c>
      <c r="D187" s="1855"/>
      <c r="E187" s="1855"/>
      <c r="F187" s="1114"/>
      <c r="G187" s="1855"/>
      <c r="H187" s="1855"/>
      <c r="I187" s="1855"/>
      <c r="J187" s="1855"/>
      <c r="K187" s="1015"/>
      <c r="M187" s="1034"/>
      <c r="N187" s="1851"/>
      <c r="O187" s="1114"/>
      <c r="P187" s="1013"/>
      <c r="Q187" s="1114"/>
      <c r="R187" s="1013"/>
      <c r="S187" s="1851"/>
      <c r="T187" s="1015"/>
    </row>
    <row r="188" spans="2:20" ht="16.95" customHeight="1">
      <c r="B188" s="220" t="s">
        <v>5092</v>
      </c>
      <c r="C188" s="1865" t="s">
        <v>5093</v>
      </c>
      <c r="D188" s="1855"/>
      <c r="E188" s="1855"/>
      <c r="F188" s="1114"/>
      <c r="G188" s="1855"/>
      <c r="H188" s="1855"/>
      <c r="I188" s="1855"/>
      <c r="J188" s="1855"/>
      <c r="K188" s="1015"/>
      <c r="M188" s="1997" t="s">
        <v>108</v>
      </c>
      <c r="N188" s="1033"/>
      <c r="O188" s="1033"/>
      <c r="P188" s="1033"/>
      <c r="Q188" s="1033"/>
      <c r="R188" s="1033"/>
      <c r="S188" s="1033"/>
      <c r="T188" s="1038"/>
    </row>
    <row r="189" spans="2:20" ht="16.95" customHeight="1">
      <c r="B189" s="221" t="s">
        <v>5094</v>
      </c>
      <c r="C189" s="1861" t="s">
        <v>5095</v>
      </c>
      <c r="D189" s="1855"/>
      <c r="E189" s="1855"/>
      <c r="F189" s="1114"/>
      <c r="G189" s="1855"/>
      <c r="H189" s="1855"/>
      <c r="I189" s="1855"/>
      <c r="J189" s="1855"/>
      <c r="K189" s="1015"/>
      <c r="M189" s="1888" t="str">
        <f>IF($M185=0,"",VLOOKUP($M185,附表!I38:M49,5,FALSE))</f>
        <v> </v>
      </c>
      <c r="N189" s="1851"/>
      <c r="O189" s="1851"/>
      <c r="P189" s="1851"/>
      <c r="Q189" s="1851"/>
      <c r="R189" s="1851"/>
      <c r="S189" s="1851"/>
      <c r="T189" s="1015"/>
    </row>
    <row r="190" spans="2:20" ht="16.95" customHeight="1">
      <c r="B190" s="1910" t="s">
        <v>5096</v>
      </c>
      <c r="C190" s="1410"/>
      <c r="D190" s="1410"/>
      <c r="E190" s="1410"/>
      <c r="F190" s="1240"/>
      <c r="G190" s="1410"/>
      <c r="H190" s="1410"/>
      <c r="I190" s="1410"/>
      <c r="J190" s="1410"/>
      <c r="K190" s="1604"/>
      <c r="M190" s="1034"/>
      <c r="N190" s="1851"/>
      <c r="O190" s="1851"/>
      <c r="P190" s="1851"/>
      <c r="Q190" s="1851"/>
      <c r="R190" s="1851"/>
      <c r="S190" s="1851"/>
      <c r="T190" s="1015"/>
    </row>
    <row r="191" spans="2:20" ht="16.95" customHeight="1">
      <c r="B191" s="1903" t="s">
        <v>5097</v>
      </c>
      <c r="C191" s="1855"/>
      <c r="D191" s="1855"/>
      <c r="E191" s="1855"/>
      <c r="F191" s="1855"/>
      <c r="G191" s="1855"/>
      <c r="H191" s="1855"/>
      <c r="I191" s="1855"/>
      <c r="J191" s="1855"/>
      <c r="K191" s="1015"/>
      <c r="M191" s="1034"/>
      <c r="N191" s="1851"/>
      <c r="O191" s="1851"/>
      <c r="P191" s="1851"/>
      <c r="Q191" s="1851"/>
      <c r="R191" s="1851"/>
      <c r="S191" s="1851"/>
      <c r="T191" s="1015"/>
    </row>
    <row r="192" spans="2:20" ht="16.95" customHeight="1">
      <c r="B192" s="1903" t="s">
        <v>5098</v>
      </c>
      <c r="C192" s="1855"/>
      <c r="D192" s="1855"/>
      <c r="E192" s="1855"/>
      <c r="F192" s="1855"/>
      <c r="G192" s="1855"/>
      <c r="H192" s="1855"/>
      <c r="I192" s="1855"/>
      <c r="J192" s="1855"/>
      <c r="K192" s="1015"/>
      <c r="M192" s="1034"/>
      <c r="N192" s="1851"/>
      <c r="O192" s="1851"/>
      <c r="P192" s="1851"/>
      <c r="Q192" s="1851"/>
      <c r="R192" s="1851"/>
      <c r="S192" s="1851"/>
      <c r="T192" s="1015"/>
    </row>
    <row r="193" spans="2:20" ht="16.95" customHeight="1">
      <c r="B193" s="1864" t="s">
        <v>5099</v>
      </c>
      <c r="C193" s="1019"/>
      <c r="D193" s="1019"/>
      <c r="E193" s="1019"/>
      <c r="F193" s="1019"/>
      <c r="G193" s="1019"/>
      <c r="H193" s="1019"/>
      <c r="I193" s="1019"/>
      <c r="J193" s="1019"/>
      <c r="K193" s="1091"/>
      <c r="M193" s="1090"/>
      <c r="N193" s="1019"/>
      <c r="O193" s="1019"/>
      <c r="P193" s="1019"/>
      <c r="Q193" s="1019"/>
      <c r="R193" s="1019"/>
      <c r="S193" s="1019"/>
      <c r="T193" s="1091"/>
    </row>
    <row r="194" spans="2:20" ht="16.95" customHeight="1">
      <c r="B194" s="185"/>
      <c r="C194" s="185"/>
      <c r="D194" s="185"/>
      <c r="E194" s="185"/>
      <c r="F194" s="185"/>
      <c r="G194" s="185"/>
      <c r="H194" s="185"/>
      <c r="I194" s="185"/>
      <c r="J194" s="185"/>
      <c r="M194" s="224"/>
      <c r="N194" s="224"/>
      <c r="O194" s="224"/>
      <c r="P194" s="224"/>
      <c r="Q194" s="224"/>
      <c r="R194" s="224"/>
      <c r="S194" s="224"/>
      <c r="T194" s="224"/>
    </row>
    <row r="195" spans="2:20" ht="16.95" customHeight="1">
      <c r="B195" s="1861"/>
      <c r="C195" s="1855"/>
      <c r="D195" s="1861"/>
      <c r="E195" s="1855"/>
      <c r="F195" s="1861"/>
      <c r="G195" s="1855"/>
      <c r="H195" s="1855"/>
      <c r="I195" s="1855"/>
      <c r="J195" s="1861"/>
      <c r="K195" s="1851"/>
      <c r="L195" s="1851"/>
      <c r="M195" s="1851"/>
      <c r="N195" s="1851"/>
      <c r="O195" s="1851"/>
      <c r="P195" s="1851"/>
      <c r="Q195" s="1851"/>
      <c r="R195" s="1851"/>
      <c r="S195" s="1851"/>
      <c r="T195" s="1851"/>
    </row>
    <row r="196" spans="2:20" ht="18" customHeight="1">
      <c r="B196" s="1999" t="s">
        <v>5100</v>
      </c>
      <c r="C196" s="1088"/>
      <c r="D196" s="1088"/>
      <c r="E196" s="1088"/>
      <c r="F196" s="1088"/>
      <c r="G196" s="1088"/>
      <c r="H196" s="1088"/>
      <c r="I196" s="1088"/>
      <c r="J196" s="1088"/>
      <c r="K196" s="1088"/>
      <c r="L196" s="1088"/>
      <c r="M196" s="1088"/>
      <c r="N196" s="1088"/>
      <c r="O196" s="1088"/>
      <c r="P196" s="1088"/>
      <c r="Q196" s="1088"/>
      <c r="R196" s="1088"/>
      <c r="S196" s="1088"/>
      <c r="T196" s="1089"/>
    </row>
    <row r="197" spans="2:20" ht="18" customHeight="1">
      <c r="B197" s="1034"/>
      <c r="C197" s="1855"/>
      <c r="D197" s="1855"/>
      <c r="E197" s="1855"/>
      <c r="F197" s="1855"/>
      <c r="G197" s="1855"/>
      <c r="H197" s="1855"/>
      <c r="I197" s="1855"/>
      <c r="J197" s="1855"/>
      <c r="K197" s="1851"/>
      <c r="L197" s="1851"/>
      <c r="M197" s="1851"/>
      <c r="N197" s="1851"/>
      <c r="O197" s="1851"/>
      <c r="P197" s="1851"/>
      <c r="Q197" s="1851"/>
      <c r="R197" s="1851"/>
      <c r="S197" s="1851"/>
      <c r="T197" s="1015"/>
    </row>
    <row r="198" spans="2:20" ht="18" customHeight="1">
      <c r="B198" s="1090"/>
      <c r="C198" s="1019"/>
      <c r="D198" s="1019"/>
      <c r="E198" s="1019"/>
      <c r="F198" s="1019"/>
      <c r="G198" s="1019"/>
      <c r="H198" s="1019"/>
      <c r="I198" s="1019"/>
      <c r="J198" s="1019"/>
      <c r="K198" s="1019"/>
      <c r="L198" s="1019"/>
      <c r="M198" s="1019"/>
      <c r="N198" s="1019"/>
      <c r="O198" s="1019"/>
      <c r="P198" s="1019"/>
      <c r="Q198" s="1019"/>
      <c r="R198" s="1019"/>
      <c r="S198" s="1019"/>
      <c r="T198" s="1091"/>
    </row>
    <row r="199" spans="2:20" ht="18" customHeight="1">
      <c r="B199" s="158"/>
      <c r="C199" s="158"/>
      <c r="D199" s="158"/>
      <c r="E199" s="158"/>
      <c r="F199" s="158"/>
      <c r="G199" s="158"/>
      <c r="H199" s="158"/>
      <c r="I199" s="158"/>
      <c r="J199" s="158"/>
      <c r="K199" s="168"/>
      <c r="L199" s="168"/>
      <c r="M199" s="168"/>
      <c r="N199" s="168"/>
      <c r="O199" s="168"/>
      <c r="P199" s="168"/>
      <c r="Q199" s="168"/>
      <c r="R199" s="168"/>
      <c r="S199" s="168"/>
      <c r="T199" s="168"/>
    </row>
    <row r="200" spans="2:20" ht="18" customHeight="1">
      <c r="B200" s="158"/>
      <c r="C200" s="1942" t="s">
        <v>5100</v>
      </c>
      <c r="D200" s="1088"/>
      <c r="E200" s="1089"/>
      <c r="F200" s="158"/>
      <c r="G200" s="158"/>
      <c r="H200" s="158"/>
      <c r="I200" s="158"/>
      <c r="J200" s="977"/>
      <c r="K200" s="168"/>
      <c r="L200" s="168"/>
      <c r="M200" s="168"/>
      <c r="N200" s="1942" t="s">
        <v>5101</v>
      </c>
      <c r="O200" s="1088"/>
      <c r="P200" s="1088"/>
      <c r="Q200" s="1088"/>
      <c r="R200" s="1089"/>
      <c r="S200" s="168"/>
      <c r="T200" s="168"/>
    </row>
    <row r="201" spans="2:20" ht="18" customHeight="1">
      <c r="B201" s="158"/>
      <c r="C201" s="1090"/>
      <c r="D201" s="1019"/>
      <c r="E201" s="1091"/>
      <c r="F201" s="158"/>
      <c r="G201" s="158"/>
      <c r="H201" s="158"/>
      <c r="I201" s="158"/>
      <c r="J201" s="977"/>
      <c r="K201" s="168"/>
      <c r="L201" s="168"/>
      <c r="M201" s="168"/>
      <c r="N201" s="1090"/>
      <c r="O201" s="1019"/>
      <c r="P201" s="1019"/>
      <c r="Q201" s="1019"/>
      <c r="R201" s="1091"/>
      <c r="S201" s="168"/>
      <c r="T201" s="168"/>
    </row>
    <row r="202" spans="2:20" ht="18" customHeight="1">
      <c r="B202" s="158"/>
      <c r="C202" s="158"/>
      <c r="D202" s="158"/>
      <c r="E202" s="158"/>
      <c r="F202" s="158"/>
      <c r="G202" s="158"/>
      <c r="H202" s="158"/>
      <c r="I202" s="158"/>
      <c r="J202" s="977"/>
      <c r="K202" s="168"/>
      <c r="L202" s="168"/>
      <c r="M202" s="168"/>
      <c r="N202" s="168"/>
      <c r="O202" s="168"/>
      <c r="P202" s="168"/>
      <c r="Q202" s="168"/>
      <c r="R202" s="168"/>
      <c r="S202" s="168"/>
      <c r="T202" s="168"/>
    </row>
    <row r="203" spans="2:20" ht="18" customHeight="1">
      <c r="B203" s="1873" t="s">
        <v>5102</v>
      </c>
      <c r="C203" s="158"/>
      <c r="D203" s="158"/>
      <c r="E203" s="1873" t="s">
        <v>5103</v>
      </c>
      <c r="F203" s="1088"/>
      <c r="G203" s="1088"/>
      <c r="H203" s="1089"/>
      <c r="I203" s="158"/>
      <c r="J203" s="977"/>
      <c r="K203" s="168"/>
      <c r="L203" s="168"/>
      <c r="M203" s="168"/>
      <c r="N203" s="168"/>
      <c r="O203" s="1860" t="s">
        <v>5104</v>
      </c>
      <c r="P203" s="1088"/>
      <c r="Q203" s="1089"/>
      <c r="R203" s="168"/>
      <c r="S203" s="168"/>
      <c r="T203" s="168"/>
    </row>
    <row r="204" spans="2:20" ht="18" customHeight="1">
      <c r="B204" s="1559"/>
      <c r="C204" s="158"/>
      <c r="D204" s="158"/>
      <c r="E204" s="1034"/>
      <c r="F204" s="1855"/>
      <c r="G204" s="1855"/>
      <c r="H204" s="1015"/>
      <c r="I204" s="158"/>
      <c r="J204" s="977"/>
      <c r="K204" s="168"/>
      <c r="L204" s="978"/>
      <c r="M204" s="978"/>
      <c r="N204" s="978"/>
      <c r="O204" s="1034"/>
      <c r="P204" s="1851"/>
      <c r="Q204" s="1015"/>
      <c r="R204" s="978"/>
      <c r="S204" s="978"/>
      <c r="T204" s="168"/>
    </row>
    <row r="205" spans="2:20" ht="18" customHeight="1">
      <c r="B205" s="1559"/>
      <c r="C205" s="1868" t="s">
        <v>5105</v>
      </c>
      <c r="D205" s="1855"/>
      <c r="E205" s="1034"/>
      <c r="F205" s="1855"/>
      <c r="G205" s="1855"/>
      <c r="H205" s="1015"/>
      <c r="I205" s="158"/>
      <c r="J205" s="977"/>
      <c r="K205" s="1853" t="s">
        <v>5106</v>
      </c>
      <c r="L205" s="979"/>
      <c r="M205" s="168"/>
      <c r="N205" s="168"/>
      <c r="O205" s="1090"/>
      <c r="P205" s="1019"/>
      <c r="Q205" s="1091"/>
      <c r="R205" s="168"/>
      <c r="S205" s="168"/>
      <c r="T205" s="1996" t="s">
        <v>5106</v>
      </c>
    </row>
    <row r="206" spans="2:20" ht="18" customHeight="1">
      <c r="B206" s="1559"/>
      <c r="C206" s="1855"/>
      <c r="D206" s="1855"/>
      <c r="E206" s="1034"/>
      <c r="F206" s="1855"/>
      <c r="G206" s="1855"/>
      <c r="H206" s="1015"/>
      <c r="I206" s="158"/>
      <c r="J206" s="977"/>
      <c r="K206" s="1851"/>
      <c r="L206" s="979"/>
      <c r="M206" s="168"/>
      <c r="N206" s="168"/>
      <c r="O206" s="168"/>
      <c r="P206" s="980" t="s">
        <v>5106</v>
      </c>
      <c r="Q206" s="168"/>
      <c r="R206" s="168"/>
      <c r="S206" s="168"/>
      <c r="T206" s="1851"/>
    </row>
    <row r="207" spans="2:20" ht="18" customHeight="1">
      <c r="B207" s="1559"/>
      <c r="C207" s="158"/>
      <c r="D207" s="158"/>
      <c r="E207" s="1034"/>
      <c r="F207" s="1855"/>
      <c r="G207" s="1855"/>
      <c r="H207" s="1015"/>
      <c r="I207" s="158"/>
      <c r="J207" s="977"/>
      <c r="K207" s="1860" t="s">
        <v>5107</v>
      </c>
      <c r="L207" s="1088"/>
      <c r="M207" s="1089"/>
      <c r="N207" s="168"/>
      <c r="O207" s="1860" t="s">
        <v>5108</v>
      </c>
      <c r="P207" s="1088"/>
      <c r="Q207" s="1089"/>
      <c r="R207" s="168"/>
      <c r="S207" s="1860" t="s">
        <v>5109</v>
      </c>
      <c r="T207" s="1089"/>
    </row>
    <row r="208" spans="2:20" ht="18" customHeight="1">
      <c r="B208" s="1874"/>
      <c r="C208" s="158"/>
      <c r="D208" s="158"/>
      <c r="E208" s="1090"/>
      <c r="F208" s="1019"/>
      <c r="G208" s="1019"/>
      <c r="H208" s="1091"/>
      <c r="I208" s="158"/>
      <c r="J208" s="977"/>
      <c r="K208" s="1034"/>
      <c r="L208" s="1851"/>
      <c r="M208" s="1015"/>
      <c r="N208" s="168"/>
      <c r="O208" s="1034"/>
      <c r="P208" s="1851"/>
      <c r="Q208" s="1015"/>
      <c r="R208" s="168"/>
      <c r="S208" s="1034"/>
      <c r="T208" s="1015"/>
    </row>
    <row r="209" spans="2:20" ht="18" customHeight="1">
      <c r="B209" s="980" t="s">
        <v>5106</v>
      </c>
      <c r="C209" s="981"/>
      <c r="D209" s="981"/>
      <c r="E209" s="982" t="s">
        <v>5106</v>
      </c>
      <c r="F209" s="982"/>
      <c r="G209" s="982" t="s">
        <v>5106</v>
      </c>
      <c r="H209" s="158"/>
      <c r="I209" s="158"/>
      <c r="J209" s="977"/>
      <c r="K209" s="1090"/>
      <c r="L209" s="1019"/>
      <c r="M209" s="1091"/>
      <c r="N209" s="168"/>
      <c r="O209" s="1090"/>
      <c r="P209" s="1019"/>
      <c r="Q209" s="1091"/>
      <c r="R209" s="168"/>
      <c r="S209" s="1090"/>
      <c r="T209" s="1091"/>
    </row>
    <row r="210" spans="2:20" ht="18" customHeight="1">
      <c r="B210" s="1873" t="s">
        <v>5110</v>
      </c>
      <c r="C210" s="158"/>
      <c r="D210" s="158"/>
      <c r="E210" s="1916" t="s">
        <v>5111</v>
      </c>
      <c r="F210" s="1089"/>
      <c r="G210" s="1916" t="s">
        <v>5112</v>
      </c>
      <c r="H210" s="1089"/>
      <c r="I210" s="158"/>
      <c r="J210" s="977"/>
      <c r="K210" s="1879" t="s">
        <v>5106</v>
      </c>
      <c r="L210" s="1851"/>
      <c r="M210" s="1851"/>
      <c r="N210" s="168"/>
      <c r="O210" s="168"/>
      <c r="P210" s="980" t="s">
        <v>5106</v>
      </c>
      <c r="Q210" s="168"/>
      <c r="R210" s="168"/>
      <c r="S210" s="1879" t="s">
        <v>5106</v>
      </c>
      <c r="T210" s="1851"/>
    </row>
    <row r="211" spans="2:20" ht="18" customHeight="1">
      <c r="B211" s="1559"/>
      <c r="C211" s="158"/>
      <c r="D211" s="158"/>
      <c r="E211" s="1034"/>
      <c r="F211" s="1015"/>
      <c r="G211" s="1034"/>
      <c r="H211" s="1015"/>
      <c r="I211" s="158"/>
      <c r="J211" s="977"/>
      <c r="K211" s="1869" t="s">
        <v>5113</v>
      </c>
      <c r="L211" s="1088"/>
      <c r="M211" s="1089"/>
      <c r="N211" s="168"/>
      <c r="O211" s="1904" t="s">
        <v>5114</v>
      </c>
      <c r="P211" s="1088"/>
      <c r="Q211" s="1089"/>
      <c r="R211" s="168"/>
      <c r="S211" s="2000" t="s">
        <v>1486</v>
      </c>
      <c r="T211" s="1089"/>
    </row>
    <row r="212" spans="2:20" ht="18" customHeight="1">
      <c r="B212" s="1559"/>
      <c r="C212" s="158"/>
      <c r="D212" s="158"/>
      <c r="E212" s="1034"/>
      <c r="F212" s="1015"/>
      <c r="G212" s="1034"/>
      <c r="H212" s="1015"/>
      <c r="I212" s="158"/>
      <c r="J212" s="977"/>
      <c r="K212" s="1034"/>
      <c r="L212" s="1851"/>
      <c r="M212" s="1015"/>
      <c r="N212" s="168"/>
      <c r="O212" s="1034"/>
      <c r="P212" s="1851"/>
      <c r="Q212" s="1015"/>
      <c r="R212" s="168"/>
      <c r="S212" s="1034"/>
      <c r="T212" s="1015"/>
    </row>
    <row r="213" spans="2:20" ht="18" customHeight="1">
      <c r="B213" s="1559"/>
      <c r="C213" s="158"/>
      <c r="D213" s="158"/>
      <c r="E213" s="1090"/>
      <c r="F213" s="1091"/>
      <c r="G213" s="1090"/>
      <c r="H213" s="1091"/>
      <c r="I213" s="158"/>
      <c r="J213" s="977"/>
      <c r="K213" s="1034"/>
      <c r="L213" s="1851"/>
      <c r="M213" s="1015"/>
      <c r="N213" s="168"/>
      <c r="O213" s="1034"/>
      <c r="P213" s="1851"/>
      <c r="Q213" s="1015"/>
      <c r="R213" s="168"/>
      <c r="S213" s="1034"/>
      <c r="T213" s="1015"/>
    </row>
    <row r="214" spans="2:20" ht="18" customHeight="1">
      <c r="B214" s="1559"/>
      <c r="C214" s="1875" t="s">
        <v>5105</v>
      </c>
      <c r="D214" s="1855"/>
      <c r="E214" s="158"/>
      <c r="F214" s="158"/>
      <c r="G214" s="158"/>
      <c r="H214" s="158"/>
      <c r="I214" s="158"/>
      <c r="J214" s="977"/>
      <c r="K214" s="1090"/>
      <c r="L214" s="1019"/>
      <c r="M214" s="1091"/>
      <c r="N214" s="168"/>
      <c r="O214" s="1090"/>
      <c r="P214" s="1019"/>
      <c r="Q214" s="1091"/>
      <c r="R214" s="168"/>
      <c r="S214" s="1090"/>
      <c r="T214" s="1091"/>
    </row>
    <row r="215" spans="2:20" ht="18" customHeight="1">
      <c r="B215" s="1874"/>
      <c r="C215" s="1855"/>
      <c r="D215" s="1855"/>
      <c r="E215" s="1873" t="s">
        <v>5115</v>
      </c>
      <c r="F215" s="1088"/>
      <c r="G215" s="1088"/>
      <c r="H215" s="1089"/>
      <c r="I215" s="158"/>
      <c r="J215" s="977"/>
      <c r="K215" s="168"/>
      <c r="L215" s="168"/>
      <c r="M215" s="168"/>
      <c r="N215" s="168"/>
      <c r="O215" s="168"/>
      <c r="P215" s="168"/>
      <c r="Q215" s="168"/>
      <c r="R215" s="168"/>
      <c r="S215" s="168"/>
      <c r="T215" s="168"/>
    </row>
    <row r="216" spans="2:20" ht="18" customHeight="1">
      <c r="B216" s="980" t="s">
        <v>5106</v>
      </c>
      <c r="C216" s="158"/>
      <c r="D216" s="158"/>
      <c r="E216" s="1034"/>
      <c r="F216" s="1855"/>
      <c r="G216" s="1855"/>
      <c r="H216" s="1015"/>
      <c r="I216" s="158"/>
      <c r="J216" s="977"/>
      <c r="K216" s="983"/>
      <c r="L216" s="983"/>
      <c r="M216" s="983"/>
      <c r="N216" s="983"/>
      <c r="O216" s="983"/>
      <c r="P216" s="983"/>
      <c r="Q216" s="983"/>
      <c r="R216" s="983"/>
      <c r="S216" s="983"/>
      <c r="T216" s="983"/>
    </row>
    <row r="217" spans="2:20" ht="18" customHeight="1">
      <c r="B217" s="1876" t="s">
        <v>5116</v>
      </c>
      <c r="C217" s="1089"/>
      <c r="D217" s="980" t="s">
        <v>5117</v>
      </c>
      <c r="E217" s="1034"/>
      <c r="F217" s="1855"/>
      <c r="G217" s="1855"/>
      <c r="H217" s="1015"/>
      <c r="I217" s="158"/>
      <c r="J217" s="977"/>
      <c r="K217" s="168"/>
      <c r="L217" s="168"/>
      <c r="M217" s="168"/>
      <c r="N217" s="168"/>
      <c r="O217" s="1860" t="s">
        <v>5118</v>
      </c>
      <c r="P217" s="1088"/>
      <c r="Q217" s="1089"/>
      <c r="R217" s="168"/>
      <c r="S217" s="168"/>
      <c r="T217" s="168"/>
    </row>
    <row r="218" spans="2:20" ht="18" customHeight="1">
      <c r="B218" s="1034"/>
      <c r="C218" s="1015"/>
      <c r="D218" s="158"/>
      <c r="E218" s="1034"/>
      <c r="F218" s="1855"/>
      <c r="G218" s="1855"/>
      <c r="H218" s="1015"/>
      <c r="I218" s="158"/>
      <c r="J218" s="977"/>
      <c r="K218" s="1914" t="s">
        <v>5119</v>
      </c>
      <c r="L218" s="1088"/>
      <c r="M218" s="1089"/>
      <c r="N218" s="168"/>
      <c r="O218" s="1090"/>
      <c r="P218" s="1019"/>
      <c r="Q218" s="1091"/>
      <c r="R218" s="168"/>
      <c r="S218" s="168"/>
      <c r="T218" s="168"/>
    </row>
    <row r="219" spans="2:20" ht="18" customHeight="1">
      <c r="B219" s="1034"/>
      <c r="C219" s="1015"/>
      <c r="D219" s="158"/>
      <c r="E219" s="1034"/>
      <c r="F219" s="1855"/>
      <c r="G219" s="1855"/>
      <c r="H219" s="1015"/>
      <c r="I219" s="158"/>
      <c r="J219" s="977"/>
      <c r="K219" s="1034"/>
      <c r="L219" s="1851"/>
      <c r="M219" s="1015"/>
      <c r="N219" s="168"/>
      <c r="O219" s="984"/>
      <c r="P219" s="980" t="s">
        <v>5106</v>
      </c>
      <c r="Q219" s="984"/>
      <c r="R219" s="168"/>
      <c r="S219" s="168"/>
      <c r="T219" s="168"/>
    </row>
    <row r="220" spans="2:20" ht="18" customHeight="1">
      <c r="B220" s="1034"/>
      <c r="C220" s="1015"/>
      <c r="D220" s="158"/>
      <c r="E220" s="1034"/>
      <c r="F220" s="1855"/>
      <c r="G220" s="1855"/>
      <c r="H220" s="1015"/>
      <c r="I220" s="158"/>
      <c r="J220" s="977"/>
      <c r="K220" s="1034"/>
      <c r="L220" s="1851"/>
      <c r="M220" s="1015"/>
      <c r="N220" s="1878" t="s">
        <v>5120</v>
      </c>
      <c r="O220" s="1860" t="s">
        <v>5121</v>
      </c>
      <c r="P220" s="1088"/>
      <c r="Q220" s="1089"/>
      <c r="R220" s="1878" t="s">
        <v>5122</v>
      </c>
      <c r="S220" s="1887" t="s">
        <v>5123</v>
      </c>
      <c r="T220" s="1089"/>
    </row>
    <row r="221" spans="2:20" ht="18" customHeight="1">
      <c r="B221" s="1034"/>
      <c r="C221" s="1015"/>
      <c r="D221" s="158"/>
      <c r="E221" s="1034"/>
      <c r="F221" s="1855"/>
      <c r="G221" s="1855"/>
      <c r="H221" s="1015"/>
      <c r="I221" s="158"/>
      <c r="J221" s="977"/>
      <c r="K221" s="1090"/>
      <c r="L221" s="1019"/>
      <c r="M221" s="1091"/>
      <c r="N221" s="1851"/>
      <c r="O221" s="1034"/>
      <c r="P221" s="1851"/>
      <c r="Q221" s="1015"/>
      <c r="R221" s="1851"/>
      <c r="S221" s="1034"/>
      <c r="T221" s="1015"/>
    </row>
    <row r="222" spans="2:20" ht="18" customHeight="1">
      <c r="B222" s="1034"/>
      <c r="C222" s="1015"/>
      <c r="D222" s="158"/>
      <c r="E222" s="1034"/>
      <c r="F222" s="1855"/>
      <c r="G222" s="1855"/>
      <c r="H222" s="1015"/>
      <c r="I222" s="158"/>
      <c r="J222" s="977"/>
      <c r="K222" s="168"/>
      <c r="L222" s="168"/>
      <c r="M222" s="168"/>
      <c r="N222" s="168"/>
      <c r="O222" s="1090"/>
      <c r="P222" s="1019"/>
      <c r="Q222" s="1091"/>
      <c r="R222" s="168"/>
      <c r="S222" s="1090"/>
      <c r="T222" s="1091"/>
    </row>
    <row r="223" spans="2:20" ht="18" customHeight="1">
      <c r="B223" s="1090"/>
      <c r="C223" s="1091"/>
      <c r="D223" s="158"/>
      <c r="E223" s="1090"/>
      <c r="F223" s="1019"/>
      <c r="G223" s="1019"/>
      <c r="H223" s="1091"/>
      <c r="I223" s="158"/>
      <c r="J223" s="977"/>
      <c r="K223" s="168"/>
      <c r="L223" s="168"/>
      <c r="M223" s="168"/>
      <c r="N223" s="168"/>
      <c r="O223" s="168"/>
      <c r="P223" s="168"/>
      <c r="Q223" s="168"/>
      <c r="R223" s="168"/>
      <c r="S223" s="1940" t="s">
        <v>5106</v>
      </c>
      <c r="T223" s="1851"/>
    </row>
    <row r="224" spans="2:20" ht="18" customHeight="1">
      <c r="B224" s="1879" t="s">
        <v>5106</v>
      </c>
      <c r="C224" s="1855"/>
      <c r="D224" s="158"/>
      <c r="E224" s="158"/>
      <c r="F224" s="158"/>
      <c r="G224" s="158"/>
      <c r="H224" s="158"/>
      <c r="I224" s="158"/>
      <c r="J224" s="977"/>
      <c r="K224" s="1902" t="s">
        <v>5124</v>
      </c>
      <c r="L224" s="1088"/>
      <c r="M224" s="1088"/>
      <c r="N224" s="1089"/>
      <c r="O224" s="1956" t="s">
        <v>5125</v>
      </c>
      <c r="P224" s="1851"/>
      <c r="Q224" s="2003" t="s">
        <v>5126</v>
      </c>
      <c r="R224" s="1088"/>
      <c r="S224" s="1088"/>
      <c r="T224" s="1089"/>
    </row>
    <row r="225" spans="2:20" ht="18" customHeight="1">
      <c r="B225" s="1974" t="s">
        <v>5127</v>
      </c>
      <c r="C225" s="1089"/>
      <c r="D225" s="158"/>
      <c r="E225" s="1966" t="s">
        <v>5128</v>
      </c>
      <c r="F225" s="1088"/>
      <c r="G225" s="1088"/>
      <c r="H225" s="1089"/>
      <c r="I225" s="158"/>
      <c r="J225" s="977"/>
      <c r="K225" s="1034"/>
      <c r="L225" s="1851"/>
      <c r="M225" s="1851"/>
      <c r="N225" s="1015"/>
      <c r="O225" s="1851"/>
      <c r="P225" s="1851"/>
      <c r="Q225" s="1090"/>
      <c r="R225" s="1019"/>
      <c r="S225" s="1019"/>
      <c r="T225" s="1091"/>
    </row>
    <row r="226" spans="2:20" ht="18" customHeight="1">
      <c r="B226" s="1090"/>
      <c r="C226" s="1091"/>
      <c r="D226" s="158"/>
      <c r="E226" s="1034"/>
      <c r="F226" s="1855"/>
      <c r="G226" s="1855"/>
      <c r="H226" s="1015"/>
      <c r="I226" s="158"/>
      <c r="J226" s="977"/>
      <c r="K226" s="1914" t="s">
        <v>5129</v>
      </c>
      <c r="L226" s="1088"/>
      <c r="M226" s="1088"/>
      <c r="N226" s="1089"/>
      <c r="O226" s="168"/>
      <c r="P226" s="1850" t="s">
        <v>5130</v>
      </c>
      <c r="Q226" s="1950" t="s">
        <v>5131</v>
      </c>
      <c r="R226" s="168"/>
      <c r="S226" s="1950" t="s">
        <v>5132</v>
      </c>
      <c r="T226" s="1851"/>
    </row>
    <row r="227" spans="2:20" ht="18" customHeight="1">
      <c r="B227" s="158"/>
      <c r="C227" s="158"/>
      <c r="D227" s="158"/>
      <c r="E227" s="1034"/>
      <c r="F227" s="1855"/>
      <c r="G227" s="1855"/>
      <c r="H227" s="1015"/>
      <c r="I227" s="158"/>
      <c r="J227" s="977"/>
      <c r="K227" s="1034"/>
      <c r="L227" s="1851"/>
      <c r="M227" s="1851"/>
      <c r="N227" s="1015"/>
      <c r="O227" s="168"/>
      <c r="P227" s="1851"/>
      <c r="Q227" s="1851"/>
      <c r="R227" s="168"/>
      <c r="S227" s="1851"/>
      <c r="T227" s="1851"/>
    </row>
    <row r="228" spans="2:20" ht="18" customHeight="1">
      <c r="B228" s="1966" t="s">
        <v>5133</v>
      </c>
      <c r="C228" s="1089"/>
      <c r="D228" s="158"/>
      <c r="E228" s="1034"/>
      <c r="F228" s="1855"/>
      <c r="G228" s="1855"/>
      <c r="H228" s="1015"/>
      <c r="I228" s="158"/>
      <c r="J228" s="977"/>
      <c r="K228" s="1090"/>
      <c r="L228" s="1019"/>
      <c r="M228" s="1019"/>
      <c r="N228" s="1091"/>
      <c r="O228" s="2002" t="s">
        <v>5134</v>
      </c>
      <c r="P228" s="168"/>
      <c r="Q228" s="1851"/>
      <c r="R228" s="168"/>
      <c r="S228" s="1851"/>
      <c r="T228" s="1851"/>
    </row>
    <row r="229" spans="2:20" ht="18" customHeight="1">
      <c r="B229" s="1034"/>
      <c r="C229" s="1015"/>
      <c r="D229" s="158"/>
      <c r="E229" s="1034"/>
      <c r="F229" s="1855"/>
      <c r="G229" s="1855"/>
      <c r="H229" s="1015"/>
      <c r="I229" s="158"/>
      <c r="J229" s="977"/>
      <c r="K229" s="1950" t="s">
        <v>5135</v>
      </c>
      <c r="L229" s="985"/>
      <c r="N229" s="1895" t="s">
        <v>5136</v>
      </c>
      <c r="O229" s="1851"/>
      <c r="P229" s="168"/>
      <c r="Q229" s="1851"/>
      <c r="R229" s="168"/>
      <c r="S229" s="1851"/>
      <c r="T229" s="1851"/>
    </row>
    <row r="230" spans="2:20" ht="18" customHeight="1">
      <c r="B230" s="1034"/>
      <c r="C230" s="1015"/>
      <c r="D230" s="158"/>
      <c r="E230" s="1034"/>
      <c r="F230" s="1855"/>
      <c r="G230" s="1855"/>
      <c r="H230" s="1015"/>
      <c r="I230" s="158"/>
      <c r="J230" s="977"/>
      <c r="K230" s="1851"/>
      <c r="L230" s="985"/>
      <c r="N230" s="1851"/>
      <c r="O230" s="1851"/>
      <c r="P230" s="168"/>
      <c r="Q230" s="1953" t="s">
        <v>5137</v>
      </c>
      <c r="R230" s="1088"/>
      <c r="S230" s="1088"/>
      <c r="T230" s="1089"/>
    </row>
    <row r="231" spans="2:20" ht="18" customHeight="1">
      <c r="B231" s="1034"/>
      <c r="C231" s="1015"/>
      <c r="D231" s="158"/>
      <c r="E231" s="1034"/>
      <c r="F231" s="1855"/>
      <c r="G231" s="1855"/>
      <c r="H231" s="1015"/>
      <c r="I231" s="158"/>
      <c r="J231" s="977"/>
      <c r="K231" s="1851"/>
      <c r="L231" s="985"/>
      <c r="M231" s="1953" t="s">
        <v>5138</v>
      </c>
      <c r="N231" s="1088"/>
      <c r="O231" s="1089"/>
      <c r="P231" s="168"/>
      <c r="Q231" s="1090"/>
      <c r="R231" s="1019"/>
      <c r="S231" s="1019"/>
      <c r="T231" s="1091"/>
    </row>
    <row r="232" spans="2:20" ht="18" customHeight="1">
      <c r="B232" s="1034"/>
      <c r="C232" s="1015"/>
      <c r="D232" s="158"/>
      <c r="E232" s="1034"/>
      <c r="F232" s="1855"/>
      <c r="G232" s="1855"/>
      <c r="H232" s="1015"/>
      <c r="I232" s="158"/>
      <c r="J232" s="977"/>
      <c r="K232" s="1851"/>
      <c r="L232" s="985"/>
      <c r="M232" s="1090"/>
      <c r="N232" s="1019"/>
      <c r="O232" s="1091"/>
      <c r="Q232" s="160"/>
      <c r="R232" s="160"/>
      <c r="S232" s="160"/>
      <c r="T232" s="160"/>
    </row>
    <row r="233" spans="2:20" ht="19.350000000000001" customHeight="1">
      <c r="B233" s="1090"/>
      <c r="C233" s="1091"/>
      <c r="D233" s="158"/>
      <c r="E233" s="1090"/>
      <c r="F233" s="1019"/>
      <c r="G233" s="1019"/>
      <c r="H233" s="1091"/>
      <c r="I233" s="158"/>
      <c r="J233" s="977"/>
      <c r="K233" s="1851"/>
      <c r="L233" s="985"/>
      <c r="M233" s="983"/>
      <c r="N233" s="983"/>
      <c r="O233" s="983"/>
      <c r="P233" s="160"/>
      <c r="Q233" s="1966" t="s">
        <v>5139</v>
      </c>
      <c r="R233" s="1088"/>
      <c r="S233" s="1088"/>
      <c r="T233" s="1089"/>
    </row>
    <row r="234" spans="2:20" ht="15.75" customHeight="1">
      <c r="B234" s="158"/>
      <c r="C234" s="158"/>
      <c r="D234" s="158"/>
      <c r="E234" s="158"/>
      <c r="F234" s="158"/>
      <c r="G234" s="158"/>
      <c r="H234" s="158"/>
      <c r="I234" s="158"/>
      <c r="J234" s="977"/>
      <c r="K234" s="1953" t="s">
        <v>5140</v>
      </c>
      <c r="L234" s="1088"/>
      <c r="M234" s="1088"/>
      <c r="N234" s="1088"/>
      <c r="O234" s="1089"/>
      <c r="P234" s="160"/>
      <c r="Q234" s="1034"/>
      <c r="R234" s="1851"/>
      <c r="S234" s="1851"/>
      <c r="T234" s="1015"/>
    </row>
    <row r="235" spans="2:20" ht="16.350000000000001" customHeight="1">
      <c r="B235" s="158"/>
      <c r="C235" s="158"/>
      <c r="D235" s="158"/>
      <c r="E235" s="158"/>
      <c r="F235" s="158"/>
      <c r="G235" s="158"/>
      <c r="H235" s="158"/>
      <c r="I235" s="158"/>
      <c r="J235" s="977"/>
      <c r="K235" s="1034"/>
      <c r="L235" s="1851"/>
      <c r="M235" s="1851"/>
      <c r="N235" s="1851"/>
      <c r="O235" s="1015"/>
      <c r="P235" s="160"/>
      <c r="Q235" s="1034"/>
      <c r="R235" s="1851"/>
      <c r="S235" s="1851"/>
      <c r="T235" s="1015"/>
    </row>
    <row r="236" spans="2:20" ht="16.350000000000001" customHeight="1">
      <c r="B236" s="158"/>
      <c r="C236" s="158"/>
      <c r="D236" s="158"/>
      <c r="E236" s="158"/>
      <c r="F236" s="158"/>
      <c r="G236" s="158"/>
      <c r="H236" s="158"/>
      <c r="I236" s="158"/>
      <c r="J236" s="977"/>
      <c r="K236" s="1090"/>
      <c r="L236" s="1019"/>
      <c r="M236" s="1019"/>
      <c r="N236" s="1019"/>
      <c r="O236" s="1091"/>
      <c r="P236" s="168"/>
      <c r="Q236" s="1034"/>
      <c r="R236" s="1851"/>
      <c r="S236" s="1851"/>
      <c r="T236" s="1015"/>
    </row>
    <row r="237" spans="2:20" ht="16.350000000000001" customHeight="1">
      <c r="B237" s="158"/>
      <c r="C237" s="158"/>
      <c r="D237" s="158"/>
      <c r="E237" s="158"/>
      <c r="F237" s="158"/>
      <c r="G237" s="158"/>
      <c r="H237" s="158"/>
      <c r="I237" s="158"/>
      <c r="J237" s="977"/>
      <c r="K237" s="168"/>
      <c r="L237" s="168"/>
      <c r="M237" s="168"/>
      <c r="N237" s="168"/>
      <c r="O237" s="168"/>
      <c r="P237" s="168"/>
      <c r="Q237" s="1034"/>
      <c r="R237" s="1851"/>
      <c r="S237" s="1851"/>
      <c r="T237" s="1015"/>
    </row>
    <row r="238" spans="2:20" ht="21" customHeight="1">
      <c r="B238" s="986" t="s">
        <v>5141</v>
      </c>
      <c r="C238" s="158"/>
      <c r="D238" s="158"/>
      <c r="E238" s="158"/>
      <c r="F238" s="158"/>
      <c r="G238" s="158"/>
      <c r="H238" s="158"/>
      <c r="I238" s="158"/>
      <c r="J238" s="977"/>
      <c r="K238" s="168"/>
      <c r="L238" s="168"/>
      <c r="M238" s="168"/>
      <c r="N238" s="168"/>
      <c r="O238" s="168"/>
      <c r="P238" s="168"/>
      <c r="Q238" s="1034"/>
      <c r="R238" s="1851"/>
      <c r="S238" s="1851"/>
      <c r="T238" s="1015"/>
    </row>
    <row r="239" spans="2:20" ht="15.75" customHeight="1">
      <c r="B239" s="1936" t="s">
        <v>5142</v>
      </c>
      <c r="C239" s="158"/>
      <c r="D239" s="158"/>
      <c r="E239" s="158"/>
      <c r="F239" s="158"/>
      <c r="G239" s="158"/>
      <c r="H239" s="158"/>
      <c r="I239" s="158"/>
      <c r="J239" s="977"/>
      <c r="K239" s="168"/>
      <c r="L239" s="168"/>
      <c r="M239" s="168"/>
      <c r="N239" s="168"/>
      <c r="O239" s="168"/>
      <c r="P239" s="168"/>
      <c r="Q239" s="1034"/>
      <c r="R239" s="1851"/>
      <c r="S239" s="1851"/>
      <c r="T239" s="1015"/>
    </row>
    <row r="240" spans="2:20" ht="16.350000000000001" customHeight="1">
      <c r="B240" s="1559"/>
      <c r="C240" s="158"/>
      <c r="D240" s="158"/>
      <c r="E240" s="158"/>
      <c r="F240" s="158"/>
      <c r="G240" s="158"/>
      <c r="H240" s="158"/>
      <c r="I240" s="158"/>
      <c r="J240" s="158"/>
      <c r="K240" s="168"/>
      <c r="L240" s="168"/>
      <c r="M240" s="168"/>
      <c r="N240" s="168"/>
      <c r="O240" s="168"/>
      <c r="P240" s="168"/>
      <c r="Q240" s="1090"/>
      <c r="R240" s="1019"/>
      <c r="S240" s="1019"/>
      <c r="T240" s="1091"/>
    </row>
    <row r="241" spans="2:2">
      <c r="B241" s="1559"/>
    </row>
    <row r="242" spans="2:2">
      <c r="B242" s="1559"/>
    </row>
    <row r="243" spans="2:2">
      <c r="B243" s="1559"/>
    </row>
    <row r="244" spans="2:2">
      <c r="B244" s="1559"/>
    </row>
    <row r="245" spans="2:2">
      <c r="B245" s="1559"/>
    </row>
    <row r="246" spans="2:2">
      <c r="B246" s="1874"/>
    </row>
  </sheetData>
  <mergeCells count="206">
    <mergeCell ref="B228:C233"/>
    <mergeCell ref="Q99:R105"/>
    <mergeCell ref="N15:R17"/>
    <mergeCell ref="B113:L113"/>
    <mergeCell ref="O207:Q209"/>
    <mergeCell ref="G210:H213"/>
    <mergeCell ref="B109:L109"/>
    <mergeCell ref="E126:L128"/>
    <mergeCell ref="T205:T206"/>
    <mergeCell ref="F195:I195"/>
    <mergeCell ref="M188:T188"/>
    <mergeCell ref="B115:L115"/>
    <mergeCell ref="O57:O66"/>
    <mergeCell ref="B196:T198"/>
    <mergeCell ref="Q114:R115"/>
    <mergeCell ref="B123:B125"/>
    <mergeCell ref="S211:T214"/>
    <mergeCell ref="B159:B168"/>
    <mergeCell ref="K218:M221"/>
    <mergeCell ref="Q117:R117"/>
    <mergeCell ref="O228:O230"/>
    <mergeCell ref="B157:B158"/>
    <mergeCell ref="Q224:T225"/>
    <mergeCell ref="Q67:R89"/>
    <mergeCell ref="B135:B137"/>
    <mergeCell ref="C157:D158"/>
    <mergeCell ref="Q112:R113"/>
    <mergeCell ref="A2:A16"/>
    <mergeCell ref="R147:T155"/>
    <mergeCell ref="K146:M146"/>
    <mergeCell ref="B112:L112"/>
    <mergeCell ref="N11:R14"/>
    <mergeCell ref="M30:M45"/>
    <mergeCell ref="O46:P56"/>
    <mergeCell ref="A17:A29"/>
    <mergeCell ref="N18:R21"/>
    <mergeCell ref="Q94:R97"/>
    <mergeCell ref="N46:N56"/>
    <mergeCell ref="N2:R10"/>
    <mergeCell ref="N67:N89"/>
    <mergeCell ref="K234:O236"/>
    <mergeCell ref="N120:O121"/>
    <mergeCell ref="B114:L114"/>
    <mergeCell ref="N108:R108"/>
    <mergeCell ref="R159:T160"/>
    <mergeCell ref="Q118:R119"/>
    <mergeCell ref="N95:O97"/>
    <mergeCell ref="Q116:R116"/>
    <mergeCell ref="O133:T140"/>
    <mergeCell ref="Q233:T240"/>
    <mergeCell ref="B225:C226"/>
    <mergeCell ref="N128:N132"/>
    <mergeCell ref="M231:O232"/>
    <mergeCell ref="N159:Q160"/>
    <mergeCell ref="N106:R106"/>
    <mergeCell ref="Q185:R187"/>
    <mergeCell ref="S185:T187"/>
    <mergeCell ref="B195:C195"/>
    <mergeCell ref="C185:E186"/>
    <mergeCell ref="C200:E201"/>
    <mergeCell ref="D195:E195"/>
    <mergeCell ref="D170:G171"/>
    <mergeCell ref="B210:B215"/>
    <mergeCell ref="B126:B128"/>
    <mergeCell ref="Q230:T231"/>
    <mergeCell ref="Q184:R184"/>
    <mergeCell ref="F146:I146"/>
    <mergeCell ref="N98:R98"/>
    <mergeCell ref="O30:P45"/>
    <mergeCell ref="B193:K193"/>
    <mergeCell ref="Q172:T180"/>
    <mergeCell ref="O224:P225"/>
    <mergeCell ref="Q226:Q229"/>
    <mergeCell ref="C123:D125"/>
    <mergeCell ref="K207:M209"/>
    <mergeCell ref="E121:L122"/>
    <mergeCell ref="N164:T164"/>
    <mergeCell ref="B116:L116"/>
    <mergeCell ref="B119:L119"/>
    <mergeCell ref="N110:O111"/>
    <mergeCell ref="S226:T229"/>
    <mergeCell ref="B118:L118"/>
    <mergeCell ref="C187:E187"/>
    <mergeCell ref="C138:D140"/>
    <mergeCell ref="M182:T183"/>
    <mergeCell ref="M185:N187"/>
    <mergeCell ref="B107:L107"/>
    <mergeCell ref="E225:H233"/>
    <mergeCell ref="B239:B246"/>
    <mergeCell ref="E215:H223"/>
    <mergeCell ref="B191:K191"/>
    <mergeCell ref="N123:T123"/>
    <mergeCell ref="S184:T184"/>
    <mergeCell ref="B224:C224"/>
    <mergeCell ref="M57:M66"/>
    <mergeCell ref="S223:T223"/>
    <mergeCell ref="N30:N37"/>
    <mergeCell ref="N200:R201"/>
    <mergeCell ref="B192:K192"/>
    <mergeCell ref="B121:B122"/>
    <mergeCell ref="E129:L131"/>
    <mergeCell ref="N133:N140"/>
    <mergeCell ref="Q90:R93"/>
    <mergeCell ref="O128:T132"/>
    <mergeCell ref="B129:B131"/>
    <mergeCell ref="C126:D128"/>
    <mergeCell ref="K229:K233"/>
    <mergeCell ref="E203:H208"/>
    <mergeCell ref="N165:Q168"/>
    <mergeCell ref="M82:M89"/>
    <mergeCell ref="J195:T195"/>
    <mergeCell ref="K157:L158"/>
    <mergeCell ref="N1:R1"/>
    <mergeCell ref="Q109:R109"/>
    <mergeCell ref="N157:T158"/>
    <mergeCell ref="B184:E184"/>
    <mergeCell ref="I170:O171"/>
    <mergeCell ref="D146:E146"/>
    <mergeCell ref="C129:D131"/>
    <mergeCell ref="N38:N45"/>
    <mergeCell ref="B108:L108"/>
    <mergeCell ref="N124:N125"/>
    <mergeCell ref="C135:D137"/>
    <mergeCell ref="N115:O116"/>
    <mergeCell ref="O82:P89"/>
    <mergeCell ref="B170:C171"/>
    <mergeCell ref="N57:N66"/>
    <mergeCell ref="M67:M75"/>
    <mergeCell ref="P57:P66"/>
    <mergeCell ref="D147:E155"/>
    <mergeCell ref="C121:D122"/>
    <mergeCell ref="N126:N127"/>
    <mergeCell ref="M76:M81"/>
    <mergeCell ref="F147:I155"/>
    <mergeCell ref="B172:C180"/>
    <mergeCell ref="O68:P81"/>
    <mergeCell ref="N229:N230"/>
    <mergeCell ref="N118:O119"/>
    <mergeCell ref="M2:M29"/>
    <mergeCell ref="M46:M56"/>
    <mergeCell ref="B147:B155"/>
    <mergeCell ref="E135:L137"/>
    <mergeCell ref="B142:T144"/>
    <mergeCell ref="K224:N225"/>
    <mergeCell ref="N163:T163"/>
    <mergeCell ref="O211:Q214"/>
    <mergeCell ref="E138:L140"/>
    <mergeCell ref="K159:L168"/>
    <mergeCell ref="B111:L111"/>
    <mergeCell ref="E132:L134"/>
    <mergeCell ref="Q170:T171"/>
    <mergeCell ref="Q110:R111"/>
    <mergeCell ref="F159:J168"/>
    <mergeCell ref="B190:E190"/>
    <mergeCell ref="F184:K190"/>
    <mergeCell ref="I172:O180"/>
    <mergeCell ref="F157:J158"/>
    <mergeCell ref="K226:N228"/>
    <mergeCell ref="O185:P187"/>
    <mergeCell ref="E210:F213"/>
    <mergeCell ref="N220:N221"/>
    <mergeCell ref="S210:T210"/>
    <mergeCell ref="N99:P105"/>
    <mergeCell ref="N22:R25"/>
    <mergeCell ref="O124:T125"/>
    <mergeCell ref="O67:P67"/>
    <mergeCell ref="S207:T209"/>
    <mergeCell ref="R165:T168"/>
    <mergeCell ref="R220:R221"/>
    <mergeCell ref="S220:T222"/>
    <mergeCell ref="O217:Q218"/>
    <mergeCell ref="M189:T193"/>
    <mergeCell ref="O220:Q222"/>
    <mergeCell ref="K210:M210"/>
    <mergeCell ref="O184:P184"/>
    <mergeCell ref="K147:M155"/>
    <mergeCell ref="M184:N184"/>
    <mergeCell ref="M90:M105"/>
    <mergeCell ref="N90:O94"/>
    <mergeCell ref="N109:O109"/>
    <mergeCell ref="Q120:R121"/>
    <mergeCell ref="N161:T162"/>
    <mergeCell ref="P226:P227"/>
    <mergeCell ref="R146:T146"/>
    <mergeCell ref="K205:K206"/>
    <mergeCell ref="C159:D161"/>
    <mergeCell ref="B110:L110"/>
    <mergeCell ref="O126:T127"/>
    <mergeCell ref="O203:Q205"/>
    <mergeCell ref="C189:E189"/>
    <mergeCell ref="O147:P155"/>
    <mergeCell ref="C132:D134"/>
    <mergeCell ref="D172:G180"/>
    <mergeCell ref="C188:E188"/>
    <mergeCell ref="B182:K183"/>
    <mergeCell ref="B185:B186"/>
    <mergeCell ref="C205:D206"/>
    <mergeCell ref="K211:M214"/>
    <mergeCell ref="B138:B140"/>
    <mergeCell ref="B117:L117"/>
    <mergeCell ref="B132:B134"/>
    <mergeCell ref="B203:B208"/>
    <mergeCell ref="C214:D215"/>
    <mergeCell ref="B217:C223"/>
    <mergeCell ref="E123:L125"/>
    <mergeCell ref="O146:P146"/>
  </mergeCells>
  <phoneticPr fontId="165" type="noConversion"/>
  <conditionalFormatting sqref="B2:B105">
    <cfRule type="containsText" dxfId="0" priority="1" operator="containsText" text="-">
      <formula>NOT(ISERROR(SEARCH("-",B2)))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C254"/>
  <sheetViews>
    <sheetView showGridLines="0" topLeftCell="A52" workbookViewId="0">
      <selection activeCell="I56" sqref="I56"/>
    </sheetView>
  </sheetViews>
  <sheetFormatPr defaultColWidth="10" defaultRowHeight="14.4"/>
  <cols>
    <col min="1" max="1" width="3.33203125" style="30" customWidth="1"/>
    <col min="2" max="2" width="28.33203125" style="30" customWidth="1"/>
    <col min="3" max="3" width="11" style="30" customWidth="1"/>
    <col min="4" max="4" width="5.6640625" style="30" customWidth="1"/>
    <col min="5" max="5" width="16.77734375" style="30" customWidth="1"/>
    <col min="6" max="6" width="20" style="30" customWidth="1"/>
    <col min="7" max="7" width="4.77734375" style="30" customWidth="1"/>
    <col min="8" max="8" width="11.77734375" style="30" customWidth="1"/>
    <col min="9" max="9" width="13" style="31" customWidth="1"/>
    <col min="10" max="10" width="8.6640625" style="31" customWidth="1"/>
    <col min="11" max="11" width="9.109375" style="31" customWidth="1"/>
    <col min="12" max="12" width="8.88671875" style="31" customWidth="1"/>
    <col min="13" max="13" width="16.33203125" style="31" customWidth="1"/>
    <col min="14" max="14" width="13.88671875" style="31" customWidth="1"/>
    <col min="15" max="15" width="11.88671875" style="31" customWidth="1"/>
    <col min="16" max="16" width="8.88671875" style="31" customWidth="1"/>
    <col min="17" max="17" width="30.5546875" style="31" customWidth="1"/>
    <col min="18" max="18" width="18.5546875" style="31" customWidth="1"/>
    <col min="19" max="19" width="7.5546875" style="31" customWidth="1"/>
    <col min="20" max="20" width="6" style="31" customWidth="1"/>
    <col min="21" max="21" width="10.6640625" style="31" customWidth="1"/>
    <col min="22" max="22" width="7.21875" style="31" customWidth="1"/>
    <col min="23" max="23" width="10.5546875" style="31" customWidth="1"/>
    <col min="24" max="24" width="13.5546875" style="31" customWidth="1"/>
    <col min="25" max="25" width="10.77734375" style="31" customWidth="1"/>
    <col min="26" max="26" width="7.77734375" style="31" customWidth="1"/>
    <col min="27" max="27" width="9.6640625" style="31" customWidth="1"/>
    <col min="28" max="28" width="13" style="31" customWidth="1"/>
    <col min="29" max="32" width="8.88671875" style="31" customWidth="1"/>
    <col min="33" max="33" width="8.88671875" style="31" hidden="1" customWidth="1"/>
    <col min="34" max="34" width="9.6640625" style="31" hidden="1" customWidth="1"/>
    <col min="35" max="16382" width="8.88671875" style="31" hidden="1" customWidth="1"/>
    <col min="16383" max="16383" width="8.88671875" style="32" hidden="1" customWidth="1"/>
    <col min="16384" max="16384" width="8.88671875" style="32" customWidth="1"/>
  </cols>
  <sheetData>
    <row r="1" spans="2:31" ht="22.05" customHeight="1">
      <c r="B1" s="33" t="s">
        <v>5143</v>
      </c>
      <c r="C1" s="34" t="s">
        <v>5144</v>
      </c>
      <c r="D1" s="35" t="s">
        <v>5145</v>
      </c>
      <c r="E1" s="34" t="s">
        <v>5146</v>
      </c>
      <c r="F1" s="34" t="s">
        <v>5147</v>
      </c>
      <c r="G1" s="35" t="s">
        <v>5148</v>
      </c>
      <c r="H1" s="34" t="s">
        <v>4563</v>
      </c>
      <c r="I1" s="70" t="s">
        <v>4564</v>
      </c>
      <c r="J1" s="70" t="s">
        <v>162</v>
      </c>
      <c r="K1" s="2005" t="s">
        <v>268</v>
      </c>
      <c r="L1" s="1851"/>
      <c r="M1" s="1851"/>
      <c r="N1" s="1851"/>
      <c r="O1" s="1851"/>
      <c r="Q1" s="87" t="s">
        <v>5149</v>
      </c>
      <c r="R1" s="88" t="s">
        <v>311</v>
      </c>
      <c r="S1" s="89" t="s">
        <v>35</v>
      </c>
      <c r="T1" s="89" t="s">
        <v>176</v>
      </c>
      <c r="U1" s="89" t="s">
        <v>5150</v>
      </c>
      <c r="V1" s="88" t="s">
        <v>5151</v>
      </c>
      <c r="W1" s="88" t="s">
        <v>5152</v>
      </c>
      <c r="X1" s="88" t="s">
        <v>5153</v>
      </c>
      <c r="Y1" s="122" t="s">
        <v>4563</v>
      </c>
      <c r="Z1" s="122" t="s">
        <v>162</v>
      </c>
      <c r="AA1" s="2081" t="s">
        <v>268</v>
      </c>
      <c r="AB1" s="1851"/>
      <c r="AC1" s="1851"/>
      <c r="AD1" s="1851"/>
      <c r="AE1" s="1851"/>
    </row>
    <row r="2" spans="2:31" ht="14.25" customHeight="1">
      <c r="B2" s="36" t="s">
        <v>5154</v>
      </c>
      <c r="C2" s="37">
        <v>1</v>
      </c>
      <c r="D2" s="37">
        <v>0</v>
      </c>
      <c r="E2" s="37" t="s">
        <v>5155</v>
      </c>
      <c r="F2" s="37" t="s">
        <v>5156</v>
      </c>
      <c r="G2" s="37" t="s">
        <v>175</v>
      </c>
      <c r="H2" s="37" t="s">
        <v>4572</v>
      </c>
      <c r="I2" s="71" t="s">
        <v>5157</v>
      </c>
      <c r="J2" s="2074" t="s">
        <v>5158</v>
      </c>
      <c r="K2" s="2023" t="s">
        <v>5159</v>
      </c>
      <c r="L2" s="1406"/>
      <c r="M2" s="1406"/>
      <c r="N2" s="1406"/>
      <c r="O2" s="1407"/>
      <c r="Q2" s="36" t="s">
        <v>5160</v>
      </c>
      <c r="R2" s="37" t="s">
        <v>109</v>
      </c>
      <c r="S2" s="37">
        <v>13</v>
      </c>
      <c r="T2" s="37">
        <v>4</v>
      </c>
      <c r="U2" s="37">
        <v>1</v>
      </c>
      <c r="V2" s="37" t="s">
        <v>5161</v>
      </c>
      <c r="W2" s="37" t="s">
        <v>5162</v>
      </c>
      <c r="X2" s="90" t="s">
        <v>5163</v>
      </c>
      <c r="Y2" s="71" t="s">
        <v>3276</v>
      </c>
      <c r="Z2" s="2025" t="s">
        <v>3964</v>
      </c>
      <c r="AA2" s="2070" t="s">
        <v>5164</v>
      </c>
      <c r="AB2" s="124"/>
      <c r="AC2" s="124"/>
      <c r="AD2" s="125"/>
      <c r="AE2" s="125"/>
    </row>
    <row r="3" spans="2:31" ht="14.25" customHeight="1">
      <c r="B3" s="38" t="s">
        <v>5165</v>
      </c>
      <c r="C3" s="39">
        <v>2</v>
      </c>
      <c r="D3" s="39">
        <v>0</v>
      </c>
      <c r="E3" s="39" t="s">
        <v>1479</v>
      </c>
      <c r="F3" s="39" t="s">
        <v>5166</v>
      </c>
      <c r="G3" s="39" t="s">
        <v>514</v>
      </c>
      <c r="H3" s="39" t="s">
        <v>13</v>
      </c>
      <c r="I3" s="72" t="s">
        <v>4818</v>
      </c>
      <c r="J3" s="1378"/>
      <c r="K3" s="1851"/>
      <c r="L3" s="1851"/>
      <c r="M3" s="1851"/>
      <c r="N3" s="1851"/>
      <c r="O3" s="1378"/>
      <c r="Q3" s="36" t="s">
        <v>5167</v>
      </c>
      <c r="R3" s="37" t="s">
        <v>109</v>
      </c>
      <c r="S3" s="37">
        <v>14</v>
      </c>
      <c r="T3" s="37">
        <v>5</v>
      </c>
      <c r="U3" s="37">
        <v>2</v>
      </c>
      <c r="V3" s="37">
        <v>4</v>
      </c>
      <c r="W3" s="37" t="s">
        <v>5168</v>
      </c>
      <c r="X3" s="90" t="s">
        <v>5163</v>
      </c>
      <c r="Y3" s="71" t="s">
        <v>4572</v>
      </c>
      <c r="Z3" s="1378"/>
      <c r="AA3" s="1714"/>
      <c r="AB3" s="124"/>
      <c r="AC3" s="124"/>
      <c r="AD3" s="125"/>
      <c r="AE3" s="125"/>
    </row>
    <row r="4" spans="2:31" ht="14.25" customHeight="1">
      <c r="B4" s="36" t="s">
        <v>5169</v>
      </c>
      <c r="C4" s="37">
        <v>3</v>
      </c>
      <c r="D4" s="37" t="s">
        <v>92</v>
      </c>
      <c r="E4" s="37" t="s">
        <v>92</v>
      </c>
      <c r="F4" s="37" t="s">
        <v>92</v>
      </c>
      <c r="G4" s="37" t="s">
        <v>514</v>
      </c>
      <c r="H4" s="37" t="s">
        <v>6103</v>
      </c>
      <c r="I4" s="71" t="s">
        <v>5170</v>
      </c>
      <c r="J4" s="1378"/>
      <c r="K4" s="1851"/>
      <c r="L4" s="1851"/>
      <c r="M4" s="1851"/>
      <c r="N4" s="1851"/>
      <c r="O4" s="1378"/>
      <c r="Q4" s="40" t="s">
        <v>5171</v>
      </c>
      <c r="R4" s="41" t="s">
        <v>109</v>
      </c>
      <c r="S4" s="41">
        <v>15</v>
      </c>
      <c r="T4" s="41">
        <v>6</v>
      </c>
      <c r="U4" s="41">
        <v>2</v>
      </c>
      <c r="V4" s="41">
        <v>4</v>
      </c>
      <c r="W4" s="41" t="s">
        <v>5168</v>
      </c>
      <c r="X4" s="91" t="s">
        <v>5163</v>
      </c>
      <c r="Y4" s="73" t="s">
        <v>3276</v>
      </c>
      <c r="Z4" s="1378"/>
      <c r="AA4" s="1714"/>
      <c r="AB4" s="124"/>
      <c r="AC4" s="124"/>
      <c r="AD4" s="125"/>
      <c r="AE4" s="125"/>
    </row>
    <row r="5" spans="2:31" ht="14.25" customHeight="1">
      <c r="B5" s="38" t="s">
        <v>5172</v>
      </c>
      <c r="C5" s="39">
        <v>5</v>
      </c>
      <c r="D5" s="39">
        <v>0</v>
      </c>
      <c r="E5" s="39" t="s">
        <v>1479</v>
      </c>
      <c r="F5" s="39" t="s">
        <v>5166</v>
      </c>
      <c r="G5" s="39" t="s">
        <v>514</v>
      </c>
      <c r="H5" s="39" t="s">
        <v>3276</v>
      </c>
      <c r="I5" s="72" t="s">
        <v>4818</v>
      </c>
      <c r="J5" s="1378"/>
      <c r="K5" s="1851"/>
      <c r="L5" s="1851"/>
      <c r="M5" s="1851"/>
      <c r="N5" s="1851"/>
      <c r="O5" s="1378"/>
      <c r="Q5" s="36" t="s">
        <v>5173</v>
      </c>
      <c r="R5" s="92" t="s">
        <v>109</v>
      </c>
      <c r="S5" s="37">
        <v>16</v>
      </c>
      <c r="T5" s="37">
        <v>5</v>
      </c>
      <c r="U5" s="37">
        <v>2</v>
      </c>
      <c r="V5" s="37">
        <v>1</v>
      </c>
      <c r="W5" s="37" t="s">
        <v>5162</v>
      </c>
      <c r="X5" s="37" t="s">
        <v>92</v>
      </c>
      <c r="Y5" s="71" t="s">
        <v>3276</v>
      </c>
      <c r="Z5" s="1378"/>
      <c r="AA5" s="1714"/>
      <c r="AB5" s="124"/>
      <c r="AC5" s="124"/>
      <c r="AD5" s="125"/>
      <c r="AE5" s="125"/>
    </row>
    <row r="6" spans="2:31" ht="14.25" customHeight="1">
      <c r="B6" s="36" t="s">
        <v>5174</v>
      </c>
      <c r="C6" s="37">
        <v>8</v>
      </c>
      <c r="D6" s="37">
        <v>0</v>
      </c>
      <c r="E6" s="37" t="s">
        <v>5155</v>
      </c>
      <c r="F6" s="37" t="s">
        <v>5156</v>
      </c>
      <c r="G6" s="37" t="s">
        <v>514</v>
      </c>
      <c r="H6" s="37" t="s">
        <v>3276</v>
      </c>
      <c r="I6" s="71" t="s">
        <v>4818</v>
      </c>
      <c r="J6" s="1378"/>
      <c r="K6" s="1851"/>
      <c r="L6" s="1851"/>
      <c r="M6" s="1851"/>
      <c r="N6" s="1851"/>
      <c r="O6" s="1378"/>
      <c r="Q6" s="40" t="s">
        <v>5175</v>
      </c>
      <c r="R6" s="37" t="s">
        <v>109</v>
      </c>
      <c r="S6" s="41">
        <v>14</v>
      </c>
      <c r="T6" s="41">
        <v>6</v>
      </c>
      <c r="U6" s="41">
        <v>2</v>
      </c>
      <c r="V6" s="41" t="s">
        <v>5176</v>
      </c>
      <c r="W6" s="41" t="s">
        <v>5168</v>
      </c>
      <c r="X6" s="91" t="s">
        <v>5177</v>
      </c>
      <c r="Y6" s="73" t="s">
        <v>4572</v>
      </c>
      <c r="Z6" s="1378"/>
      <c r="AA6" s="1714"/>
      <c r="AB6" s="124"/>
      <c r="AC6" s="124"/>
      <c r="AD6" s="125"/>
      <c r="AE6" s="125"/>
    </row>
    <row r="7" spans="2:31" ht="14.25" customHeight="1">
      <c r="B7" s="38" t="s">
        <v>5178</v>
      </c>
      <c r="C7" s="39">
        <v>15</v>
      </c>
      <c r="D7" s="39" t="s">
        <v>92</v>
      </c>
      <c r="E7" s="39" t="s">
        <v>92</v>
      </c>
      <c r="F7" s="39" t="s">
        <v>92</v>
      </c>
      <c r="G7" s="39" t="s">
        <v>514</v>
      </c>
      <c r="H7" s="39" t="s">
        <v>3276</v>
      </c>
      <c r="I7" s="72" t="s">
        <v>5179</v>
      </c>
      <c r="J7" s="1378"/>
      <c r="K7" s="1851"/>
      <c r="L7" s="1851"/>
      <c r="M7" s="1851"/>
      <c r="N7" s="1851"/>
      <c r="O7" s="1378"/>
      <c r="Q7" s="36" t="s">
        <v>5180</v>
      </c>
      <c r="R7" s="37" t="s">
        <v>109</v>
      </c>
      <c r="S7" s="37">
        <v>13</v>
      </c>
      <c r="T7" s="37">
        <v>7</v>
      </c>
      <c r="U7" s="37">
        <v>2</v>
      </c>
      <c r="V7" s="37" t="s">
        <v>5176</v>
      </c>
      <c r="W7" s="37" t="s">
        <v>5168</v>
      </c>
      <c r="X7" s="90" t="s">
        <v>5177</v>
      </c>
      <c r="Y7" s="71" t="s">
        <v>3276</v>
      </c>
      <c r="Z7" s="1378"/>
      <c r="AA7" s="1714"/>
      <c r="AB7" s="124"/>
      <c r="AC7" s="124"/>
      <c r="AD7" s="125"/>
      <c r="AE7" s="125"/>
    </row>
    <row r="8" spans="2:31" ht="14.25" customHeight="1">
      <c r="B8" s="36" t="s">
        <v>5181</v>
      </c>
      <c r="C8" s="37">
        <v>19</v>
      </c>
      <c r="D8" s="37" t="s">
        <v>92</v>
      </c>
      <c r="E8" s="37" t="s">
        <v>92</v>
      </c>
      <c r="F8" s="37" t="s">
        <v>92</v>
      </c>
      <c r="G8" s="37" t="s">
        <v>514</v>
      </c>
      <c r="H8" s="37" t="s">
        <v>92</v>
      </c>
      <c r="I8" s="71" t="s">
        <v>5182</v>
      </c>
      <c r="J8" s="1378"/>
      <c r="K8" s="1851"/>
      <c r="L8" s="1851"/>
      <c r="M8" s="1851"/>
      <c r="N8" s="1851"/>
      <c r="O8" s="1378"/>
      <c r="Q8" s="40" t="s">
        <v>5183</v>
      </c>
      <c r="R8" s="41" t="s">
        <v>109</v>
      </c>
      <c r="S8" s="41">
        <v>13</v>
      </c>
      <c r="T8" s="41">
        <v>9</v>
      </c>
      <c r="U8" s="41">
        <v>2</v>
      </c>
      <c r="V8" s="41" t="s">
        <v>5184</v>
      </c>
      <c r="W8" s="41" t="s">
        <v>5168</v>
      </c>
      <c r="X8" s="91" t="s">
        <v>5185</v>
      </c>
      <c r="Y8" s="73" t="s">
        <v>3276</v>
      </c>
      <c r="Z8" s="1378"/>
      <c r="AA8" s="1714"/>
      <c r="AB8" s="124"/>
      <c r="AC8" s="124"/>
      <c r="AD8" s="125"/>
      <c r="AE8" s="125"/>
    </row>
    <row r="9" spans="2:31" ht="14.25" customHeight="1">
      <c r="B9" s="36" t="s">
        <v>5186</v>
      </c>
      <c r="C9" s="37">
        <v>20</v>
      </c>
      <c r="D9" s="37" t="s">
        <v>92</v>
      </c>
      <c r="E9" s="37" t="s">
        <v>92</v>
      </c>
      <c r="F9" s="37" t="s">
        <v>92</v>
      </c>
      <c r="G9" s="37" t="s">
        <v>514</v>
      </c>
      <c r="H9" s="37" t="s">
        <v>4572</v>
      </c>
      <c r="I9" s="71" t="s">
        <v>5187</v>
      </c>
      <c r="J9" s="1378"/>
      <c r="K9" s="1851"/>
      <c r="L9" s="1851"/>
      <c r="M9" s="1851"/>
      <c r="N9" s="1851"/>
      <c r="O9" s="1378"/>
      <c r="Q9" s="36" t="s">
        <v>5188</v>
      </c>
      <c r="R9" s="37" t="s">
        <v>109</v>
      </c>
      <c r="S9" s="37">
        <v>13</v>
      </c>
      <c r="T9" s="37">
        <v>1</v>
      </c>
      <c r="U9" s="37">
        <v>0</v>
      </c>
      <c r="V9" s="37">
        <v>1</v>
      </c>
      <c r="W9" s="37" t="s">
        <v>5168</v>
      </c>
      <c r="X9" s="90" t="s">
        <v>92</v>
      </c>
      <c r="Y9" s="127" t="s">
        <v>4572</v>
      </c>
      <c r="Z9" s="1378"/>
      <c r="AA9" s="1714"/>
      <c r="AB9" s="124"/>
      <c r="AC9" s="124"/>
      <c r="AD9" s="125"/>
      <c r="AE9" s="125"/>
    </row>
    <row r="10" spans="2:31" ht="14.25" customHeight="1">
      <c r="B10" s="40" t="s">
        <v>5189</v>
      </c>
      <c r="C10" s="41" t="s">
        <v>5190</v>
      </c>
      <c r="D10" s="41" t="s">
        <v>92</v>
      </c>
      <c r="E10" s="41" t="s">
        <v>5191</v>
      </c>
      <c r="F10" s="41" t="s">
        <v>5192</v>
      </c>
      <c r="G10" s="41" t="s">
        <v>1519</v>
      </c>
      <c r="H10" s="41" t="s">
        <v>92</v>
      </c>
      <c r="I10" s="73" t="s">
        <v>92</v>
      </c>
      <c r="J10" s="1378"/>
      <c r="K10" s="1851"/>
      <c r="L10" s="1851"/>
      <c r="M10" s="1851"/>
      <c r="N10" s="1851"/>
      <c r="O10" s="1378"/>
      <c r="Q10" s="40" t="s">
        <v>5193</v>
      </c>
      <c r="R10" s="41" t="s">
        <v>109</v>
      </c>
      <c r="S10" s="41">
        <v>16</v>
      </c>
      <c r="T10" s="41">
        <v>3</v>
      </c>
      <c r="U10" s="41">
        <v>0</v>
      </c>
      <c r="V10" s="41">
        <v>1</v>
      </c>
      <c r="W10" s="41" t="s">
        <v>5168</v>
      </c>
      <c r="X10" s="91" t="s">
        <v>92</v>
      </c>
      <c r="Y10" s="71" t="s">
        <v>4572</v>
      </c>
      <c r="Z10" s="1411"/>
      <c r="AA10" s="1714"/>
      <c r="AB10" s="124"/>
      <c r="AC10" s="124"/>
      <c r="AD10" s="125"/>
      <c r="AE10" s="125"/>
    </row>
    <row r="11" spans="2:31" ht="14.25" customHeight="1">
      <c r="B11" s="42" t="s">
        <v>5194</v>
      </c>
      <c r="C11" s="43">
        <v>8</v>
      </c>
      <c r="D11" s="43" t="s">
        <v>5195</v>
      </c>
      <c r="E11" s="43" t="s">
        <v>5191</v>
      </c>
      <c r="F11" s="43" t="s">
        <v>5196</v>
      </c>
      <c r="G11" s="43" t="s">
        <v>1519</v>
      </c>
      <c r="H11" s="43" t="s">
        <v>92</v>
      </c>
      <c r="I11" s="74" t="s">
        <v>4818</v>
      </c>
      <c r="J11" s="1378"/>
      <c r="K11" s="1851"/>
      <c r="L11" s="1851"/>
      <c r="M11" s="1851"/>
      <c r="N11" s="1851"/>
      <c r="O11" s="1378"/>
      <c r="Q11" s="93" t="s">
        <v>5197</v>
      </c>
      <c r="R11" s="94" t="s">
        <v>5198</v>
      </c>
      <c r="S11" s="94">
        <v>11</v>
      </c>
      <c r="T11" s="94">
        <v>20</v>
      </c>
      <c r="U11" s="94">
        <v>24</v>
      </c>
      <c r="V11" s="94">
        <v>4</v>
      </c>
      <c r="W11" s="94" t="s">
        <v>5162</v>
      </c>
      <c r="X11" s="95" t="s">
        <v>5168</v>
      </c>
      <c r="Y11" s="128" t="s">
        <v>4572</v>
      </c>
      <c r="Z11" s="2095" t="s">
        <v>5199</v>
      </c>
      <c r="AA11" s="1714"/>
      <c r="AB11" s="124"/>
      <c r="AC11" s="124"/>
      <c r="AD11" s="125"/>
      <c r="AE11" s="125"/>
    </row>
    <row r="12" spans="2:31" ht="14.25" customHeight="1">
      <c r="B12" s="36" t="s">
        <v>5200</v>
      </c>
      <c r="C12" s="37">
        <v>10</v>
      </c>
      <c r="D12" s="37" t="s">
        <v>92</v>
      </c>
      <c r="E12" s="37" t="s">
        <v>92</v>
      </c>
      <c r="F12" s="37" t="s">
        <v>92</v>
      </c>
      <c r="G12" s="37" t="s">
        <v>514</v>
      </c>
      <c r="H12" s="37" t="s">
        <v>4572</v>
      </c>
      <c r="I12" s="71" t="s">
        <v>5201</v>
      </c>
      <c r="J12" s="1411"/>
      <c r="K12" s="1410"/>
      <c r="L12" s="1410"/>
      <c r="M12" s="1410"/>
      <c r="N12" s="1410"/>
      <c r="O12" s="1411"/>
      <c r="Q12" s="36" t="s">
        <v>5202</v>
      </c>
      <c r="R12" s="37" t="s">
        <v>5198</v>
      </c>
      <c r="S12" s="37">
        <v>12</v>
      </c>
      <c r="T12" s="37">
        <v>12</v>
      </c>
      <c r="U12" s="37">
        <v>1</v>
      </c>
      <c r="V12" s="37" t="s">
        <v>3943</v>
      </c>
      <c r="W12" s="37" t="s">
        <v>5203</v>
      </c>
      <c r="X12" s="90" t="s">
        <v>5204</v>
      </c>
      <c r="Y12" s="71" t="s">
        <v>13</v>
      </c>
      <c r="Z12" s="1378"/>
      <c r="AA12" s="1714"/>
      <c r="AB12" s="124"/>
      <c r="AC12" s="124"/>
      <c r="AD12" s="125"/>
      <c r="AE12" s="125"/>
    </row>
    <row r="13" spans="2:31" ht="14.25" customHeight="1">
      <c r="B13" s="44" t="s">
        <v>5205</v>
      </c>
      <c r="C13" s="45" t="s">
        <v>5206</v>
      </c>
      <c r="D13" s="45" t="s">
        <v>92</v>
      </c>
      <c r="E13" s="45" t="s">
        <v>5207</v>
      </c>
      <c r="F13" s="45" t="s">
        <v>92</v>
      </c>
      <c r="G13" s="45" t="s">
        <v>175</v>
      </c>
      <c r="H13" s="2052" t="s">
        <v>5208</v>
      </c>
      <c r="I13" s="2086" t="s">
        <v>92</v>
      </c>
      <c r="J13" s="2092" t="s">
        <v>5209</v>
      </c>
      <c r="K13" s="2078" t="s">
        <v>5210</v>
      </c>
      <c r="L13" s="1406"/>
      <c r="M13" s="1406"/>
      <c r="N13" s="1406"/>
      <c r="O13" s="1407"/>
      <c r="Q13" s="93" t="s">
        <v>5211</v>
      </c>
      <c r="R13" s="94" t="s">
        <v>5198</v>
      </c>
      <c r="S13" s="94">
        <v>15</v>
      </c>
      <c r="T13" s="94">
        <v>14</v>
      </c>
      <c r="U13" s="94">
        <v>2</v>
      </c>
      <c r="V13" s="94" t="s">
        <v>3943</v>
      </c>
      <c r="W13" s="94" t="s">
        <v>5168</v>
      </c>
      <c r="X13" s="95" t="s">
        <v>5212</v>
      </c>
      <c r="Y13" s="128" t="s">
        <v>3276</v>
      </c>
      <c r="Z13" s="1411"/>
      <c r="AA13" s="1714"/>
      <c r="AB13" s="124"/>
      <c r="AC13" s="124"/>
      <c r="AD13" s="125"/>
      <c r="AE13" s="125"/>
    </row>
    <row r="14" spans="2:31" ht="14.25" customHeight="1">
      <c r="B14" s="44" t="s">
        <v>5213</v>
      </c>
      <c r="C14" s="46" t="s">
        <v>5214</v>
      </c>
      <c r="D14" s="46" t="s">
        <v>92</v>
      </c>
      <c r="E14" s="46" t="s">
        <v>5207</v>
      </c>
      <c r="F14" s="46" t="s">
        <v>92</v>
      </c>
      <c r="G14" s="46" t="s">
        <v>175</v>
      </c>
      <c r="H14" s="1855"/>
      <c r="I14" s="1015"/>
      <c r="J14" s="1378"/>
      <c r="K14" s="1851"/>
      <c r="L14" s="1851"/>
      <c r="M14" s="1851"/>
      <c r="N14" s="1851"/>
      <c r="O14" s="1378"/>
      <c r="Q14" s="96" t="s">
        <v>5215</v>
      </c>
      <c r="R14" s="97" t="s">
        <v>5216</v>
      </c>
      <c r="S14" s="97">
        <v>11</v>
      </c>
      <c r="T14" s="97">
        <v>4</v>
      </c>
      <c r="U14" s="97">
        <v>0</v>
      </c>
      <c r="V14" s="97">
        <v>1</v>
      </c>
      <c r="W14" s="97" t="s">
        <v>5168</v>
      </c>
      <c r="X14" s="97" t="s">
        <v>92</v>
      </c>
      <c r="Y14" s="129" t="s">
        <v>5217</v>
      </c>
      <c r="Z14" s="2045" t="s">
        <v>5218</v>
      </c>
      <c r="AA14" s="1714"/>
      <c r="AB14" s="124"/>
      <c r="AC14" s="124"/>
      <c r="AD14" s="125"/>
      <c r="AE14" s="125"/>
    </row>
    <row r="15" spans="2:31" ht="14.25" customHeight="1">
      <c r="B15" s="44" t="s">
        <v>5219</v>
      </c>
      <c r="C15" s="45" t="s">
        <v>5220</v>
      </c>
      <c r="D15" s="45" t="s">
        <v>92</v>
      </c>
      <c r="E15" s="45" t="s">
        <v>5207</v>
      </c>
      <c r="F15" s="45" t="s">
        <v>92</v>
      </c>
      <c r="G15" s="45" t="s">
        <v>175</v>
      </c>
      <c r="H15" s="1855"/>
      <c r="I15" s="1015"/>
      <c r="J15" s="1378"/>
      <c r="K15" s="1851"/>
      <c r="L15" s="1851"/>
      <c r="M15" s="1851"/>
      <c r="N15" s="1851"/>
      <c r="O15" s="1378"/>
      <c r="Q15" s="36" t="s">
        <v>5221</v>
      </c>
      <c r="R15" s="37" t="s">
        <v>5222</v>
      </c>
      <c r="S15" s="37">
        <v>10</v>
      </c>
      <c r="T15" s="37">
        <v>3</v>
      </c>
      <c r="U15" s="37">
        <v>0</v>
      </c>
      <c r="V15" s="37" t="s">
        <v>5223</v>
      </c>
      <c r="W15" s="37" t="s">
        <v>5212</v>
      </c>
      <c r="X15" s="37" t="s">
        <v>5177</v>
      </c>
      <c r="Y15" s="71" t="s">
        <v>13</v>
      </c>
      <c r="Z15" s="1378"/>
      <c r="AA15" s="1714"/>
      <c r="AB15" s="124"/>
      <c r="AC15" s="124"/>
      <c r="AD15" s="125"/>
      <c r="AE15" s="125"/>
    </row>
    <row r="16" spans="2:31" ht="14.25" customHeight="1">
      <c r="B16" s="47" t="s">
        <v>5224</v>
      </c>
      <c r="C16" s="48">
        <v>2</v>
      </c>
      <c r="D16" s="48" t="s">
        <v>92</v>
      </c>
      <c r="E16" s="48" t="s">
        <v>92</v>
      </c>
      <c r="F16" s="48" t="s">
        <v>92</v>
      </c>
      <c r="G16" s="48" t="s">
        <v>175</v>
      </c>
      <c r="H16" s="48" t="s">
        <v>5225</v>
      </c>
      <c r="I16" s="76" t="s">
        <v>5226</v>
      </c>
      <c r="J16" s="1378"/>
      <c r="K16" s="1410"/>
      <c r="L16" s="1410"/>
      <c r="M16" s="1410"/>
      <c r="N16" s="1410"/>
      <c r="O16" s="1411"/>
      <c r="Q16" s="96" t="s">
        <v>4549</v>
      </c>
      <c r="R16" s="97" t="s">
        <v>5216</v>
      </c>
      <c r="S16" s="97">
        <v>10</v>
      </c>
      <c r="T16" s="97">
        <v>0.5</v>
      </c>
      <c r="U16" s="97">
        <v>0</v>
      </c>
      <c r="V16" s="97">
        <v>1</v>
      </c>
      <c r="W16" s="97" t="s">
        <v>5168</v>
      </c>
      <c r="X16" s="97" t="s">
        <v>92</v>
      </c>
      <c r="Y16" s="129" t="s">
        <v>4572</v>
      </c>
      <c r="Z16" s="1378"/>
      <c r="AA16" s="1714"/>
      <c r="AB16" s="124"/>
      <c r="AC16" s="124"/>
      <c r="AD16" s="125"/>
      <c r="AE16" s="125"/>
    </row>
    <row r="17" spans="2:31" ht="14.25" customHeight="1">
      <c r="B17" s="49" t="s">
        <v>5227</v>
      </c>
      <c r="C17" s="45">
        <v>8</v>
      </c>
      <c r="D17" s="45" t="s">
        <v>92</v>
      </c>
      <c r="E17" s="45" t="s">
        <v>92</v>
      </c>
      <c r="F17" s="45" t="s">
        <v>92</v>
      </c>
      <c r="G17" s="45" t="s">
        <v>175</v>
      </c>
      <c r="H17" s="45" t="s">
        <v>3276</v>
      </c>
      <c r="I17" s="75">
        <v>40</v>
      </c>
      <c r="J17" s="1378"/>
      <c r="K17" s="2059" t="s">
        <v>5228</v>
      </c>
      <c r="L17" s="1406"/>
      <c r="M17" s="1406"/>
      <c r="N17" s="1406"/>
      <c r="O17" s="1406"/>
      <c r="Q17" s="98" t="s">
        <v>5229</v>
      </c>
      <c r="R17" s="99" t="s">
        <v>5230</v>
      </c>
      <c r="S17" s="99">
        <v>4</v>
      </c>
      <c r="T17" s="99">
        <v>2</v>
      </c>
      <c r="U17" s="99">
        <v>0</v>
      </c>
      <c r="V17" s="99">
        <v>3</v>
      </c>
      <c r="W17" s="99" t="s">
        <v>5231</v>
      </c>
      <c r="X17" s="100" t="s">
        <v>5163</v>
      </c>
      <c r="Y17" s="130" t="s">
        <v>4572</v>
      </c>
      <c r="Z17" s="2080" t="s">
        <v>5232</v>
      </c>
      <c r="AA17" s="1714"/>
      <c r="AB17" s="125"/>
      <c r="AC17" s="125"/>
      <c r="AD17" s="125"/>
      <c r="AE17" s="125"/>
    </row>
    <row r="18" spans="2:31" ht="14.25" customHeight="1">
      <c r="B18" s="50" t="s">
        <v>5233</v>
      </c>
      <c r="C18" s="46">
        <v>12</v>
      </c>
      <c r="D18" s="46" t="s">
        <v>92</v>
      </c>
      <c r="E18" s="46" t="s">
        <v>92</v>
      </c>
      <c r="F18" s="46" t="s">
        <v>92</v>
      </c>
      <c r="G18" s="46" t="s">
        <v>514</v>
      </c>
      <c r="H18" s="46" t="s">
        <v>4572</v>
      </c>
      <c r="I18" s="77" t="s">
        <v>5234</v>
      </c>
      <c r="J18" s="1378"/>
      <c r="K18" s="1408"/>
      <c r="L18" s="1851"/>
      <c r="M18" s="1851"/>
      <c r="N18" s="1851"/>
      <c r="O18" s="1851"/>
      <c r="Q18" s="36" t="s">
        <v>5235</v>
      </c>
      <c r="R18" s="37" t="s">
        <v>5230</v>
      </c>
      <c r="S18" s="37">
        <v>12</v>
      </c>
      <c r="T18" s="37">
        <v>4</v>
      </c>
      <c r="U18" s="37">
        <v>0</v>
      </c>
      <c r="V18" s="37">
        <v>22</v>
      </c>
      <c r="W18" s="37" t="s">
        <v>5236</v>
      </c>
      <c r="X18" s="90" t="s">
        <v>5163</v>
      </c>
      <c r="Y18" s="71" t="s">
        <v>4572</v>
      </c>
      <c r="Z18" s="1378"/>
      <c r="AA18" s="1714"/>
      <c r="AB18" s="125"/>
      <c r="AC18" s="125"/>
      <c r="AD18" s="125"/>
      <c r="AE18" s="125"/>
    </row>
    <row r="19" spans="2:31" ht="14.25" customHeight="1">
      <c r="B19" s="49" t="s">
        <v>5237</v>
      </c>
      <c r="C19" s="45">
        <v>1</v>
      </c>
      <c r="D19" s="45" t="s">
        <v>92</v>
      </c>
      <c r="E19" s="45" t="s">
        <v>92</v>
      </c>
      <c r="F19" s="45" t="s">
        <v>92</v>
      </c>
      <c r="G19" s="45" t="s">
        <v>514</v>
      </c>
      <c r="H19" s="45" t="s">
        <v>4572</v>
      </c>
      <c r="I19" s="75" t="s">
        <v>5238</v>
      </c>
      <c r="J19" s="1378"/>
      <c r="K19" s="1408"/>
      <c r="L19" s="1851"/>
      <c r="M19" s="1851"/>
      <c r="N19" s="1851"/>
      <c r="O19" s="1851"/>
      <c r="Q19" s="98" t="s">
        <v>5239</v>
      </c>
      <c r="R19" s="99" t="s">
        <v>5240</v>
      </c>
      <c r="S19" s="99">
        <v>14</v>
      </c>
      <c r="T19" s="99">
        <v>3</v>
      </c>
      <c r="U19" s="99">
        <v>0</v>
      </c>
      <c r="V19" s="99">
        <v>6</v>
      </c>
      <c r="W19" s="99" t="s">
        <v>5168</v>
      </c>
      <c r="X19" s="100" t="s">
        <v>5163</v>
      </c>
      <c r="Y19" s="130" t="s">
        <v>4572</v>
      </c>
      <c r="Z19" s="1378"/>
      <c r="AA19" s="1714"/>
      <c r="AB19" s="125"/>
      <c r="AC19" s="125"/>
      <c r="AD19" s="125"/>
      <c r="AE19" s="125"/>
    </row>
    <row r="20" spans="2:31" ht="14.25" customHeight="1">
      <c r="B20" s="47" t="s">
        <v>5241</v>
      </c>
      <c r="C20" s="48">
        <v>20</v>
      </c>
      <c r="D20" s="48" t="s">
        <v>92</v>
      </c>
      <c r="E20" s="48" t="s">
        <v>92</v>
      </c>
      <c r="F20" s="48" t="s">
        <v>92</v>
      </c>
      <c r="G20" s="48" t="s">
        <v>514</v>
      </c>
      <c r="H20" s="48" t="s">
        <v>5242</v>
      </c>
      <c r="I20" s="76" t="s">
        <v>5243</v>
      </c>
      <c r="J20" s="1378"/>
      <c r="K20" s="1408"/>
      <c r="L20" s="1851"/>
      <c r="M20" s="1851"/>
      <c r="N20" s="1851"/>
      <c r="O20" s="1851"/>
      <c r="Q20" s="36" t="s">
        <v>5244</v>
      </c>
      <c r="R20" s="37" t="s">
        <v>5230</v>
      </c>
      <c r="S20" s="37">
        <v>11</v>
      </c>
      <c r="T20" s="37">
        <v>32</v>
      </c>
      <c r="U20" s="37" t="s">
        <v>5245</v>
      </c>
      <c r="V20" s="37" t="s">
        <v>5246</v>
      </c>
      <c r="W20" s="37" t="s">
        <v>5168</v>
      </c>
      <c r="X20" s="90" t="s">
        <v>5247</v>
      </c>
      <c r="Y20" s="71" t="s">
        <v>4572</v>
      </c>
      <c r="Z20" s="1378"/>
      <c r="AA20" s="1714"/>
      <c r="AB20" s="125"/>
      <c r="AC20" s="125"/>
      <c r="AD20" s="125"/>
      <c r="AE20" s="125"/>
    </row>
    <row r="21" spans="2:31" ht="14.25" customHeight="1">
      <c r="B21" s="49" t="s">
        <v>5248</v>
      </c>
      <c r="C21" s="45" t="s">
        <v>5249</v>
      </c>
      <c r="D21" s="45" t="s">
        <v>92</v>
      </c>
      <c r="E21" s="45" t="s">
        <v>92</v>
      </c>
      <c r="F21" s="45" t="s">
        <v>92</v>
      </c>
      <c r="G21" s="45" t="s">
        <v>1519</v>
      </c>
      <c r="H21" s="45" t="s">
        <v>3276</v>
      </c>
      <c r="I21" s="75" t="s">
        <v>5250</v>
      </c>
      <c r="J21" s="1378"/>
      <c r="K21" s="1408"/>
      <c r="L21" s="1851"/>
      <c r="M21" s="1851"/>
      <c r="N21" s="1851"/>
      <c r="O21" s="1851"/>
      <c r="Q21" s="101" t="s">
        <v>5251</v>
      </c>
      <c r="R21" s="99" t="s">
        <v>5252</v>
      </c>
      <c r="S21" s="99">
        <v>11</v>
      </c>
      <c r="T21" s="99">
        <v>65</v>
      </c>
      <c r="U21" s="99" t="s">
        <v>5245</v>
      </c>
      <c r="V21" s="99" t="s">
        <v>5253</v>
      </c>
      <c r="W21" s="99" t="s">
        <v>5168</v>
      </c>
      <c r="X21" s="100" t="s">
        <v>5247</v>
      </c>
      <c r="Y21" s="130" t="s">
        <v>4572</v>
      </c>
      <c r="Z21" s="1378"/>
      <c r="AA21" s="1714"/>
      <c r="AB21" s="2032" t="s">
        <v>5254</v>
      </c>
      <c r="AC21" s="1406"/>
      <c r="AD21" s="1406"/>
      <c r="AE21" s="1407"/>
    </row>
    <row r="22" spans="2:31" ht="14.25" customHeight="1">
      <c r="B22" s="50" t="s">
        <v>5255</v>
      </c>
      <c r="C22" s="46">
        <v>15</v>
      </c>
      <c r="D22" s="46" t="s">
        <v>92</v>
      </c>
      <c r="E22" s="46" t="s">
        <v>92</v>
      </c>
      <c r="F22" s="46" t="s">
        <v>92</v>
      </c>
      <c r="G22" s="46" t="s">
        <v>514</v>
      </c>
      <c r="H22" s="46" t="s">
        <v>4572</v>
      </c>
      <c r="I22" s="77" t="s">
        <v>5187</v>
      </c>
      <c r="J22" s="1378"/>
      <c r="K22" s="1408"/>
      <c r="L22" s="1851"/>
      <c r="M22" s="1851"/>
      <c r="N22" s="1851"/>
      <c r="O22" s="1851"/>
      <c r="Q22" s="101" t="s">
        <v>5256</v>
      </c>
      <c r="R22" s="37" t="s">
        <v>5257</v>
      </c>
      <c r="S22" s="37">
        <v>11</v>
      </c>
      <c r="T22" s="37">
        <v>75</v>
      </c>
      <c r="U22" s="37" t="s">
        <v>5245</v>
      </c>
      <c r="V22" s="37" t="s">
        <v>5258</v>
      </c>
      <c r="W22" s="37" t="s">
        <v>5168</v>
      </c>
      <c r="X22" s="90" t="s">
        <v>5259</v>
      </c>
      <c r="Y22" s="71" t="s">
        <v>5260</v>
      </c>
      <c r="Z22" s="1378"/>
      <c r="AA22" s="1714"/>
      <c r="AB22" s="1408"/>
      <c r="AC22" s="1851"/>
      <c r="AD22" s="1851"/>
      <c r="AE22" s="1378"/>
    </row>
    <row r="23" spans="2:31" ht="14.25" customHeight="1">
      <c r="B23" s="49" t="s">
        <v>5261</v>
      </c>
      <c r="C23" s="45">
        <v>4</v>
      </c>
      <c r="D23" s="45" t="s">
        <v>92</v>
      </c>
      <c r="E23" s="45" t="s">
        <v>5262</v>
      </c>
      <c r="F23" s="45" t="s">
        <v>92</v>
      </c>
      <c r="G23" s="45" t="s">
        <v>514</v>
      </c>
      <c r="H23" s="45" t="s">
        <v>4572</v>
      </c>
      <c r="I23" s="75" t="s">
        <v>5263</v>
      </c>
      <c r="J23" s="1378"/>
      <c r="K23" s="1408"/>
      <c r="L23" s="1851"/>
      <c r="M23" s="1851"/>
      <c r="N23" s="1851"/>
      <c r="O23" s="1851"/>
      <c r="Q23" s="101" t="s">
        <v>5264</v>
      </c>
      <c r="R23" s="99" t="s">
        <v>5257</v>
      </c>
      <c r="S23" s="99">
        <v>12</v>
      </c>
      <c r="T23" s="99">
        <v>24</v>
      </c>
      <c r="U23" s="99" t="s">
        <v>5245</v>
      </c>
      <c r="V23" s="99" t="s">
        <v>5265</v>
      </c>
      <c r="W23" s="99" t="s">
        <v>5168</v>
      </c>
      <c r="X23" s="100" t="s">
        <v>5247</v>
      </c>
      <c r="Y23" s="130" t="s">
        <v>4572</v>
      </c>
      <c r="Z23" s="1411"/>
      <c r="AA23" s="1715"/>
      <c r="AB23" s="1409"/>
      <c r="AC23" s="1410"/>
      <c r="AD23" s="1410"/>
      <c r="AE23" s="1411"/>
    </row>
    <row r="24" spans="2:31" ht="14.25" customHeight="1">
      <c r="B24" s="50" t="s">
        <v>5266</v>
      </c>
      <c r="C24" s="46">
        <v>3</v>
      </c>
      <c r="D24" s="46" t="s">
        <v>92</v>
      </c>
      <c r="E24" s="46" t="s">
        <v>92</v>
      </c>
      <c r="F24" s="46" t="s">
        <v>92</v>
      </c>
      <c r="G24" s="46" t="s">
        <v>514</v>
      </c>
      <c r="H24" s="46" t="s">
        <v>4572</v>
      </c>
      <c r="I24" s="77" t="s">
        <v>5267</v>
      </c>
      <c r="J24" s="1378"/>
      <c r="K24" s="1408"/>
      <c r="L24" s="1851"/>
      <c r="M24" s="1851"/>
      <c r="N24" s="1851"/>
      <c r="O24" s="1851"/>
      <c r="Q24" s="102" t="s">
        <v>5268</v>
      </c>
      <c r="R24" s="103" t="s">
        <v>109</v>
      </c>
      <c r="S24" s="103">
        <v>12</v>
      </c>
      <c r="T24" s="103">
        <v>6</v>
      </c>
      <c r="U24" s="103">
        <v>2</v>
      </c>
      <c r="V24" s="103">
        <v>80</v>
      </c>
      <c r="W24" s="103" t="s">
        <v>5168</v>
      </c>
      <c r="X24" s="104" t="s">
        <v>5212</v>
      </c>
      <c r="Y24" s="131" t="s">
        <v>4572</v>
      </c>
      <c r="Z24" s="2061" t="s">
        <v>5269</v>
      </c>
      <c r="AA24" s="132"/>
      <c r="AB24" s="132"/>
      <c r="AC24" s="132"/>
      <c r="AD24" s="132"/>
      <c r="AE24" s="132"/>
    </row>
    <row r="25" spans="2:31" ht="14.25" customHeight="1">
      <c r="B25" s="49" t="s">
        <v>5270</v>
      </c>
      <c r="C25" s="45">
        <v>3</v>
      </c>
      <c r="D25" s="45" t="s">
        <v>92</v>
      </c>
      <c r="E25" s="45" t="s">
        <v>92</v>
      </c>
      <c r="F25" s="45" t="s">
        <v>92</v>
      </c>
      <c r="G25" s="45" t="s">
        <v>514</v>
      </c>
      <c r="H25" s="45" t="s">
        <v>5271</v>
      </c>
      <c r="I25" s="75" t="s">
        <v>5272</v>
      </c>
      <c r="J25" s="1378"/>
      <c r="K25" s="1408"/>
      <c r="L25" s="1851"/>
      <c r="M25" s="1851"/>
      <c r="N25" s="1851"/>
      <c r="O25" s="1851"/>
      <c r="Q25" s="50" t="s">
        <v>1776</v>
      </c>
      <c r="R25" s="46" t="s">
        <v>109</v>
      </c>
      <c r="S25" s="46">
        <v>12</v>
      </c>
      <c r="T25" s="46">
        <v>7</v>
      </c>
      <c r="U25" s="46">
        <v>2</v>
      </c>
      <c r="V25" s="46">
        <v>200</v>
      </c>
      <c r="W25" s="46" t="s">
        <v>5168</v>
      </c>
      <c r="X25" s="48" t="s">
        <v>5212</v>
      </c>
      <c r="Y25" s="77" t="s">
        <v>4572</v>
      </c>
      <c r="Z25" s="1378"/>
      <c r="AA25" s="132"/>
      <c r="AB25" s="132"/>
      <c r="AC25" s="123"/>
      <c r="AD25" s="123"/>
      <c r="AE25" s="123"/>
    </row>
    <row r="26" spans="2:31" ht="14.25" customHeight="1">
      <c r="B26" s="51" t="s">
        <v>5273</v>
      </c>
      <c r="C26" s="52">
        <v>2</v>
      </c>
      <c r="D26" s="52" t="s">
        <v>92</v>
      </c>
      <c r="E26" s="52" t="s">
        <v>92</v>
      </c>
      <c r="F26" s="52" t="s">
        <v>92</v>
      </c>
      <c r="G26" s="52" t="s">
        <v>175</v>
      </c>
      <c r="H26" s="52" t="s">
        <v>4572</v>
      </c>
      <c r="I26" s="78" t="s">
        <v>4818</v>
      </c>
      <c r="J26" s="1411"/>
      <c r="K26" s="1409"/>
      <c r="L26" s="1410"/>
      <c r="M26" s="1410"/>
      <c r="N26" s="1410"/>
      <c r="O26" s="1410"/>
      <c r="Q26" s="102" t="s">
        <v>5274</v>
      </c>
      <c r="R26" s="103" t="s">
        <v>109</v>
      </c>
      <c r="S26" s="103">
        <v>12</v>
      </c>
      <c r="T26" s="103">
        <v>6</v>
      </c>
      <c r="U26" s="103">
        <v>2</v>
      </c>
      <c r="V26" s="103">
        <v>50</v>
      </c>
      <c r="W26" s="103" t="s">
        <v>5168</v>
      </c>
      <c r="X26" s="104" t="s">
        <v>5163</v>
      </c>
      <c r="Y26" s="131" t="s">
        <v>4572</v>
      </c>
      <c r="Z26" s="1378"/>
      <c r="AA26" s="132"/>
      <c r="AB26" s="132"/>
      <c r="AC26" s="123"/>
      <c r="AD26" s="123"/>
      <c r="AE26" s="123"/>
    </row>
    <row r="27" spans="2:31" ht="14.25" customHeight="1">
      <c r="B27" s="53" t="s">
        <v>5275</v>
      </c>
      <c r="C27" s="54">
        <v>1</v>
      </c>
      <c r="D27" s="54">
        <v>0</v>
      </c>
      <c r="E27" s="54" t="s">
        <v>1479</v>
      </c>
      <c r="F27" s="54" t="s">
        <v>5166</v>
      </c>
      <c r="G27" s="54" t="s">
        <v>175</v>
      </c>
      <c r="H27" s="54" t="s">
        <v>4572</v>
      </c>
      <c r="I27" s="79" t="s">
        <v>5276</v>
      </c>
      <c r="J27" s="2035" t="s">
        <v>1479</v>
      </c>
      <c r="K27" s="2018" t="s">
        <v>5277</v>
      </c>
      <c r="L27" s="1406"/>
      <c r="M27" s="1406"/>
      <c r="N27" s="1406"/>
      <c r="O27" s="1407"/>
      <c r="Q27" s="50" t="s">
        <v>5278</v>
      </c>
      <c r="R27" s="46" t="s">
        <v>109</v>
      </c>
      <c r="S27" s="46">
        <v>14</v>
      </c>
      <c r="T27" s="46">
        <v>5</v>
      </c>
      <c r="U27" s="46">
        <v>2</v>
      </c>
      <c r="V27" s="46" t="s">
        <v>5161</v>
      </c>
      <c r="W27" s="46" t="s">
        <v>5162</v>
      </c>
      <c r="X27" s="48" t="s">
        <v>5163</v>
      </c>
      <c r="Y27" s="77" t="s">
        <v>3276</v>
      </c>
      <c r="Z27" s="1378"/>
      <c r="AA27" s="132"/>
      <c r="AB27" s="132"/>
      <c r="AC27" s="123"/>
      <c r="AD27" s="123"/>
      <c r="AE27" s="123"/>
    </row>
    <row r="28" spans="2:31" ht="14.25" customHeight="1">
      <c r="B28" s="50" t="s">
        <v>5279</v>
      </c>
      <c r="C28" s="46">
        <v>1</v>
      </c>
      <c r="D28" s="46">
        <v>0</v>
      </c>
      <c r="E28" s="46" t="s">
        <v>1485</v>
      </c>
      <c r="F28" s="46" t="s">
        <v>5166</v>
      </c>
      <c r="G28" s="46" t="s">
        <v>514</v>
      </c>
      <c r="H28" s="46" t="s">
        <v>4654</v>
      </c>
      <c r="I28" s="77" t="s">
        <v>4818</v>
      </c>
      <c r="J28" s="1378"/>
      <c r="K28" s="1851"/>
      <c r="L28" s="1851"/>
      <c r="M28" s="1851"/>
      <c r="N28" s="1851"/>
      <c r="O28" s="1378"/>
      <c r="Q28" s="102" t="s">
        <v>5280</v>
      </c>
      <c r="R28" s="103" t="s">
        <v>109</v>
      </c>
      <c r="S28" s="103">
        <v>11</v>
      </c>
      <c r="T28" s="103">
        <v>1</v>
      </c>
      <c r="U28" s="103">
        <v>0</v>
      </c>
      <c r="V28" s="103">
        <v>1</v>
      </c>
      <c r="W28" s="103" t="s">
        <v>5168</v>
      </c>
      <c r="X28" s="104" t="s">
        <v>92</v>
      </c>
      <c r="Y28" s="131" t="s">
        <v>3276</v>
      </c>
      <c r="Z28" s="1378"/>
      <c r="AA28" s="123"/>
      <c r="AB28" s="123"/>
      <c r="AC28" s="123"/>
      <c r="AD28" s="123"/>
      <c r="AE28" s="123"/>
    </row>
    <row r="29" spans="2:31" ht="14.25" customHeight="1">
      <c r="B29" s="53" t="s">
        <v>5281</v>
      </c>
      <c r="C29" s="54">
        <v>1</v>
      </c>
      <c r="D29" s="54">
        <v>0</v>
      </c>
      <c r="E29" s="54" t="s">
        <v>5282</v>
      </c>
      <c r="F29" s="54" t="s">
        <v>5166</v>
      </c>
      <c r="G29" s="54" t="s">
        <v>514</v>
      </c>
      <c r="H29" s="54" t="s">
        <v>4572</v>
      </c>
      <c r="I29" s="79" t="s">
        <v>5283</v>
      </c>
      <c r="J29" s="1378"/>
      <c r="K29" s="1410"/>
      <c r="L29" s="1410"/>
      <c r="M29" s="1410"/>
      <c r="N29" s="1410"/>
      <c r="O29" s="1411"/>
      <c r="P29" s="80"/>
      <c r="Q29" s="50" t="s">
        <v>5284</v>
      </c>
      <c r="R29" s="46" t="s">
        <v>109</v>
      </c>
      <c r="S29" s="46">
        <v>14</v>
      </c>
      <c r="T29" s="46">
        <v>4</v>
      </c>
      <c r="U29" s="46">
        <v>0</v>
      </c>
      <c r="V29" s="46">
        <v>2</v>
      </c>
      <c r="W29" s="46" t="s">
        <v>5168</v>
      </c>
      <c r="X29" s="48" t="s">
        <v>5163</v>
      </c>
      <c r="Y29" s="77" t="s">
        <v>4572</v>
      </c>
      <c r="Z29" s="1378"/>
      <c r="AA29" s="123"/>
      <c r="AB29" s="123"/>
      <c r="AC29" s="123"/>
      <c r="AD29" s="123"/>
      <c r="AE29" s="123"/>
    </row>
    <row r="30" spans="2:31" ht="14.25" customHeight="1">
      <c r="B30" s="50" t="s">
        <v>5285</v>
      </c>
      <c r="C30" s="46" t="s">
        <v>5286</v>
      </c>
      <c r="D30" s="46">
        <v>0</v>
      </c>
      <c r="E30" s="46" t="s">
        <v>5287</v>
      </c>
      <c r="F30" s="46" t="s">
        <v>5166</v>
      </c>
      <c r="G30" s="46" t="s">
        <v>514</v>
      </c>
      <c r="H30" s="46" t="s">
        <v>4572</v>
      </c>
      <c r="I30" s="77" t="s">
        <v>5288</v>
      </c>
      <c r="J30" s="1378"/>
      <c r="K30" s="2105" t="s">
        <v>5289</v>
      </c>
      <c r="L30" s="1406"/>
      <c r="M30" s="1406"/>
      <c r="N30" s="1406"/>
      <c r="O30" s="1407"/>
      <c r="P30" s="80"/>
      <c r="Q30" s="102" t="s">
        <v>5290</v>
      </c>
      <c r="R30" s="103" t="s">
        <v>109</v>
      </c>
      <c r="S30" s="103">
        <v>14</v>
      </c>
      <c r="T30" s="103">
        <v>6</v>
      </c>
      <c r="U30" s="103">
        <v>2</v>
      </c>
      <c r="V30" s="103">
        <v>5</v>
      </c>
      <c r="W30" s="103" t="s">
        <v>5168</v>
      </c>
      <c r="X30" s="104" t="s">
        <v>5212</v>
      </c>
      <c r="Y30" s="131" t="s">
        <v>4572</v>
      </c>
      <c r="Z30" s="1378"/>
      <c r="AA30" s="123"/>
      <c r="AB30" s="123"/>
      <c r="AC30" s="123"/>
      <c r="AD30" s="123"/>
      <c r="AE30" s="123"/>
    </row>
    <row r="31" spans="2:31" ht="14.25" customHeight="1">
      <c r="B31" s="55" t="s">
        <v>5291</v>
      </c>
      <c r="C31" s="56" t="s">
        <v>5292</v>
      </c>
      <c r="D31" s="56">
        <v>0</v>
      </c>
      <c r="E31" s="56" t="s">
        <v>5293</v>
      </c>
      <c r="F31" s="56" t="s">
        <v>5166</v>
      </c>
      <c r="G31" s="56" t="s">
        <v>514</v>
      </c>
      <c r="H31" s="56" t="s">
        <v>3276</v>
      </c>
      <c r="I31" s="81">
        <v>15</v>
      </c>
      <c r="J31" s="1378"/>
      <c r="K31" s="1851"/>
      <c r="L31" s="1851"/>
      <c r="M31" s="1851"/>
      <c r="N31" s="1851"/>
      <c r="O31" s="1378"/>
      <c r="P31" s="80"/>
      <c r="Q31" s="50" t="s">
        <v>5294</v>
      </c>
      <c r="R31" s="46" t="s">
        <v>361</v>
      </c>
      <c r="S31" s="46" t="s">
        <v>5295</v>
      </c>
      <c r="T31" s="46">
        <v>-1</v>
      </c>
      <c r="U31" s="46">
        <v>0</v>
      </c>
      <c r="V31" s="46">
        <v>1</v>
      </c>
      <c r="W31" s="46" t="s">
        <v>5168</v>
      </c>
      <c r="X31" s="48" t="s">
        <v>92</v>
      </c>
      <c r="Y31" s="77" t="s">
        <v>3276</v>
      </c>
      <c r="Z31" s="1378"/>
      <c r="AA31" s="123"/>
      <c r="AB31" s="123"/>
      <c r="AC31" s="123"/>
      <c r="AD31" s="123"/>
      <c r="AE31" s="123"/>
    </row>
    <row r="32" spans="2:31" ht="14.25" customHeight="1">
      <c r="B32" s="50" t="s">
        <v>5296</v>
      </c>
      <c r="C32" s="46" t="s">
        <v>4646</v>
      </c>
      <c r="D32" s="46">
        <v>0</v>
      </c>
      <c r="E32" s="46" t="s">
        <v>1485</v>
      </c>
      <c r="F32" s="46" t="s">
        <v>5166</v>
      </c>
      <c r="G32" s="46" t="s">
        <v>514</v>
      </c>
      <c r="H32" s="46" t="s">
        <v>4572</v>
      </c>
      <c r="I32" s="77" t="s">
        <v>4580</v>
      </c>
      <c r="J32" s="1378"/>
      <c r="K32" s="1410"/>
      <c r="L32" s="1410"/>
      <c r="M32" s="1410"/>
      <c r="N32" s="1410"/>
      <c r="O32" s="1411"/>
      <c r="P32" s="80"/>
      <c r="Q32" s="102" t="s">
        <v>5297</v>
      </c>
      <c r="R32" s="103" t="s">
        <v>361</v>
      </c>
      <c r="S32" s="103" t="s">
        <v>5295</v>
      </c>
      <c r="T32" s="103">
        <v>-1</v>
      </c>
      <c r="U32" s="103">
        <v>0</v>
      </c>
      <c r="V32" s="103">
        <v>1</v>
      </c>
      <c r="W32" s="103" t="s">
        <v>5168</v>
      </c>
      <c r="X32" s="104" t="s">
        <v>92</v>
      </c>
      <c r="Y32" s="131" t="s">
        <v>4572</v>
      </c>
      <c r="Z32" s="1378"/>
      <c r="AA32" s="123"/>
      <c r="AB32" s="123"/>
      <c r="AC32" s="123"/>
      <c r="AD32" s="123"/>
      <c r="AE32" s="123"/>
    </row>
    <row r="33" spans="2:31" ht="14.25" customHeight="1">
      <c r="B33" s="53" t="s">
        <v>5298</v>
      </c>
      <c r="C33" s="54" t="s">
        <v>5299</v>
      </c>
      <c r="D33" s="54">
        <v>0</v>
      </c>
      <c r="E33" s="54" t="s">
        <v>1485</v>
      </c>
      <c r="F33" s="54" t="s">
        <v>5300</v>
      </c>
      <c r="G33" s="54" t="s">
        <v>175</v>
      </c>
      <c r="H33" s="54" t="s">
        <v>4572</v>
      </c>
      <c r="I33" s="79" t="s">
        <v>5301</v>
      </c>
      <c r="J33" s="1378"/>
      <c r="K33" s="80"/>
      <c r="L33" s="80"/>
      <c r="M33" s="80"/>
      <c r="N33" s="80"/>
      <c r="O33" s="80"/>
      <c r="P33" s="80"/>
      <c r="Q33" s="50" t="s">
        <v>5302</v>
      </c>
      <c r="R33" s="46" t="s">
        <v>110</v>
      </c>
      <c r="S33" s="46">
        <v>8</v>
      </c>
      <c r="T33" s="46">
        <v>4</v>
      </c>
      <c r="U33" s="46">
        <v>0</v>
      </c>
      <c r="V33" s="46">
        <v>1</v>
      </c>
      <c r="W33" s="46" t="s">
        <v>5168</v>
      </c>
      <c r="X33" s="48" t="s">
        <v>92</v>
      </c>
      <c r="Y33" s="77" t="s">
        <v>4572</v>
      </c>
      <c r="Z33" s="1378"/>
      <c r="AA33" s="123"/>
      <c r="AB33" s="123"/>
      <c r="AC33" s="123"/>
      <c r="AD33" s="123"/>
      <c r="AE33" s="123"/>
    </row>
    <row r="34" spans="2:31" ht="14.25" customHeight="1">
      <c r="B34" s="50" t="s">
        <v>5303</v>
      </c>
      <c r="C34" s="46" t="s">
        <v>5304</v>
      </c>
      <c r="D34" s="46">
        <v>0</v>
      </c>
      <c r="E34" s="46" t="s">
        <v>5305</v>
      </c>
      <c r="F34" s="46" t="s">
        <v>5166</v>
      </c>
      <c r="G34" s="46" t="s">
        <v>175</v>
      </c>
      <c r="H34" s="46" t="s">
        <v>4572</v>
      </c>
      <c r="I34" s="77" t="s">
        <v>4580</v>
      </c>
      <c r="J34" s="1378"/>
      <c r="K34" s="80"/>
      <c r="L34" s="80"/>
      <c r="M34" s="80"/>
      <c r="N34" s="80"/>
      <c r="O34" s="80"/>
      <c r="P34" s="80"/>
      <c r="Q34" s="102" t="s">
        <v>5306</v>
      </c>
      <c r="R34" s="103" t="s">
        <v>109</v>
      </c>
      <c r="S34" s="103">
        <v>10</v>
      </c>
      <c r="T34" s="103">
        <v>4</v>
      </c>
      <c r="U34" s="103">
        <v>0</v>
      </c>
      <c r="V34" s="103">
        <v>1</v>
      </c>
      <c r="W34" s="103" t="s">
        <v>5168</v>
      </c>
      <c r="X34" s="104" t="s">
        <v>92</v>
      </c>
      <c r="Y34" s="131" t="s">
        <v>4572</v>
      </c>
      <c r="Z34" s="1378"/>
      <c r="AA34" s="123"/>
      <c r="AB34" s="123"/>
      <c r="AC34" s="123"/>
      <c r="AD34" s="123"/>
      <c r="AE34" s="123"/>
    </row>
    <row r="35" spans="2:31" ht="14.25" customHeight="1">
      <c r="B35" s="53" t="s">
        <v>5307</v>
      </c>
      <c r="C35" s="54" t="s">
        <v>4646</v>
      </c>
      <c r="D35" s="54">
        <v>0</v>
      </c>
      <c r="E35" s="54" t="s">
        <v>1479</v>
      </c>
      <c r="F35" s="54" t="s">
        <v>5166</v>
      </c>
      <c r="G35" s="54" t="s">
        <v>514</v>
      </c>
      <c r="H35" s="54" t="s">
        <v>4572</v>
      </c>
      <c r="I35" s="79" t="s">
        <v>5308</v>
      </c>
      <c r="J35" s="1378"/>
      <c r="K35" s="80"/>
      <c r="L35" s="80"/>
      <c r="M35" s="80"/>
      <c r="N35" s="80"/>
      <c r="O35" s="80"/>
      <c r="P35" s="80"/>
      <c r="Q35" s="50" t="s">
        <v>5309</v>
      </c>
      <c r="R35" s="46" t="s">
        <v>5310</v>
      </c>
      <c r="S35" s="46">
        <v>10</v>
      </c>
      <c r="T35" s="46">
        <v>4</v>
      </c>
      <c r="U35" s="46">
        <v>0</v>
      </c>
      <c r="V35" s="46">
        <v>1</v>
      </c>
      <c r="W35" s="46" t="s">
        <v>5168</v>
      </c>
      <c r="X35" s="48" t="s">
        <v>92</v>
      </c>
      <c r="Y35" s="77" t="s">
        <v>4572</v>
      </c>
      <c r="Z35" s="1378"/>
      <c r="AA35" s="123"/>
      <c r="AB35" s="123"/>
      <c r="AC35" s="123"/>
      <c r="AD35" s="123"/>
      <c r="AE35" s="123"/>
    </row>
    <row r="36" spans="2:31" ht="14.25" customHeight="1">
      <c r="B36" s="50" t="s">
        <v>5311</v>
      </c>
      <c r="C36" s="46">
        <v>3</v>
      </c>
      <c r="D36" s="46">
        <v>0</v>
      </c>
      <c r="E36" s="46" t="s">
        <v>5312</v>
      </c>
      <c r="F36" s="46" t="s">
        <v>5166</v>
      </c>
      <c r="G36" s="46" t="s">
        <v>514</v>
      </c>
      <c r="H36" s="46" t="s">
        <v>5313</v>
      </c>
      <c r="I36" s="77" t="s">
        <v>4818</v>
      </c>
      <c r="J36" s="1378"/>
      <c r="K36" s="80"/>
      <c r="L36" s="2083" t="s">
        <v>5314</v>
      </c>
      <c r="M36" s="1851"/>
      <c r="N36" s="1851"/>
      <c r="O36" s="1851"/>
      <c r="Q36" s="102" t="s">
        <v>5315</v>
      </c>
      <c r="R36" s="103" t="s">
        <v>5316</v>
      </c>
      <c r="S36" s="103">
        <v>9</v>
      </c>
      <c r="T36" s="103">
        <v>3</v>
      </c>
      <c r="U36" s="103">
        <v>0</v>
      </c>
      <c r="V36" s="103">
        <v>2</v>
      </c>
      <c r="W36" s="103" t="s">
        <v>5168</v>
      </c>
      <c r="X36" s="104" t="s">
        <v>5163</v>
      </c>
      <c r="Y36" s="131" t="s">
        <v>4572</v>
      </c>
      <c r="Z36" s="1378"/>
      <c r="AA36" s="123"/>
      <c r="AB36" s="123"/>
      <c r="AC36" s="123"/>
      <c r="AD36" s="123"/>
      <c r="AE36" s="123"/>
    </row>
    <row r="37" spans="2:31" ht="14.25" customHeight="1">
      <c r="B37" s="53" t="s">
        <v>5317</v>
      </c>
      <c r="C37" s="54">
        <v>3</v>
      </c>
      <c r="D37" s="54">
        <v>0</v>
      </c>
      <c r="E37" s="54" t="s">
        <v>5318</v>
      </c>
      <c r="F37" s="54" t="s">
        <v>5166</v>
      </c>
      <c r="G37" s="54" t="s">
        <v>514</v>
      </c>
      <c r="H37" s="54" t="s">
        <v>5313</v>
      </c>
      <c r="I37" s="79" t="s">
        <v>4818</v>
      </c>
      <c r="J37" s="1378"/>
      <c r="K37" s="80"/>
      <c r="L37" s="1851"/>
      <c r="M37" s="1851"/>
      <c r="N37" s="1851"/>
      <c r="O37" s="1851"/>
      <c r="Q37" s="105" t="s">
        <v>5319</v>
      </c>
      <c r="R37" s="106" t="s">
        <v>5198</v>
      </c>
      <c r="S37" s="106">
        <v>19</v>
      </c>
      <c r="T37" s="106">
        <v>65</v>
      </c>
      <c r="U37" s="106">
        <v>10</v>
      </c>
      <c r="V37" s="106">
        <v>300</v>
      </c>
      <c r="W37" s="106" t="s">
        <v>5168</v>
      </c>
      <c r="X37" s="107" t="s">
        <v>5212</v>
      </c>
      <c r="Y37" s="133" t="s">
        <v>4572</v>
      </c>
      <c r="Z37" s="2072" t="s">
        <v>5320</v>
      </c>
      <c r="AA37" s="123"/>
      <c r="AB37" s="123"/>
      <c r="AC37" s="123"/>
      <c r="AD37" s="123"/>
      <c r="AE37" s="123"/>
    </row>
    <row r="38" spans="2:31" ht="14.25" customHeight="1">
      <c r="B38" s="50" t="s">
        <v>5321</v>
      </c>
      <c r="C38" s="46">
        <v>2</v>
      </c>
      <c r="D38" s="46">
        <v>0</v>
      </c>
      <c r="E38" s="46" t="s">
        <v>1479</v>
      </c>
      <c r="F38" s="46" t="s">
        <v>5166</v>
      </c>
      <c r="G38" s="46" t="s">
        <v>514</v>
      </c>
      <c r="H38" s="46" t="s">
        <v>5313</v>
      </c>
      <c r="I38" s="77" t="s">
        <v>4818</v>
      </c>
      <c r="J38" s="1378"/>
      <c r="K38" s="80"/>
      <c r="L38" s="1851"/>
      <c r="M38" s="1851"/>
      <c r="N38" s="1851"/>
      <c r="O38" s="1851"/>
      <c r="Q38" s="50" t="s">
        <v>5322</v>
      </c>
      <c r="R38" s="46" t="s">
        <v>5323</v>
      </c>
      <c r="S38" s="46">
        <v>20</v>
      </c>
      <c r="T38" s="46">
        <v>45</v>
      </c>
      <c r="U38" s="46">
        <v>15</v>
      </c>
      <c r="V38" s="46">
        <v>1</v>
      </c>
      <c r="W38" s="46" t="s">
        <v>5162</v>
      </c>
      <c r="X38" s="48" t="s">
        <v>5324</v>
      </c>
      <c r="Y38" s="77" t="s">
        <v>4572</v>
      </c>
      <c r="Z38" s="1378"/>
      <c r="AA38" s="123"/>
      <c r="AB38" s="123"/>
      <c r="AC38" s="123"/>
      <c r="AD38" s="123"/>
      <c r="AE38" s="123"/>
    </row>
    <row r="39" spans="2:31" ht="14.25" customHeight="1">
      <c r="B39" s="53" t="s">
        <v>5325</v>
      </c>
      <c r="C39" s="54">
        <v>4</v>
      </c>
      <c r="D39" s="54">
        <v>0</v>
      </c>
      <c r="E39" s="54" t="s">
        <v>5282</v>
      </c>
      <c r="F39" s="54" t="s">
        <v>5166</v>
      </c>
      <c r="G39" s="57" t="s">
        <v>514</v>
      </c>
      <c r="H39" s="54" t="s">
        <v>5326</v>
      </c>
      <c r="I39" s="79" t="s">
        <v>4818</v>
      </c>
      <c r="J39" s="1378"/>
      <c r="K39" s="80"/>
      <c r="L39" s="1851"/>
      <c r="M39" s="1851"/>
      <c r="N39" s="1851"/>
      <c r="O39" s="1851"/>
      <c r="Q39" s="105" t="s">
        <v>5327</v>
      </c>
      <c r="R39" s="106" t="s">
        <v>5323</v>
      </c>
      <c r="S39" s="106">
        <v>19</v>
      </c>
      <c r="T39" s="106">
        <v>53</v>
      </c>
      <c r="U39" s="106">
        <v>20</v>
      </c>
      <c r="V39" s="106">
        <v>2</v>
      </c>
      <c r="W39" s="106" t="s">
        <v>5162</v>
      </c>
      <c r="X39" s="107" t="s">
        <v>5324</v>
      </c>
      <c r="Y39" s="133" t="s">
        <v>4572</v>
      </c>
      <c r="Z39" s="1378"/>
      <c r="AA39" s="2091" t="s">
        <v>5328</v>
      </c>
      <c r="AB39" s="1406"/>
      <c r="AC39" s="1406"/>
      <c r="AD39" s="1406"/>
      <c r="AE39" s="1407"/>
    </row>
    <row r="40" spans="2:31" ht="14.25" customHeight="1">
      <c r="B40" s="58" t="s">
        <v>5329</v>
      </c>
      <c r="C40" s="59">
        <v>4</v>
      </c>
      <c r="D40" s="59">
        <v>0</v>
      </c>
      <c r="E40" s="59" t="s">
        <v>5282</v>
      </c>
      <c r="F40" s="59" t="s">
        <v>5166</v>
      </c>
      <c r="G40" s="60" t="s">
        <v>514</v>
      </c>
      <c r="H40" s="59" t="s">
        <v>5330</v>
      </c>
      <c r="I40" s="82" t="s">
        <v>4818</v>
      </c>
      <c r="J40" s="1378"/>
      <c r="K40" s="80"/>
      <c r="L40" s="1851"/>
      <c r="M40" s="1851"/>
      <c r="N40" s="1851"/>
      <c r="O40" s="1851"/>
      <c r="Q40" s="50" t="s">
        <v>5331</v>
      </c>
      <c r="R40" s="46" t="s">
        <v>5198</v>
      </c>
      <c r="S40" s="46">
        <v>18</v>
      </c>
      <c r="T40" s="46">
        <v>35</v>
      </c>
      <c r="U40" s="46">
        <v>7</v>
      </c>
      <c r="V40" s="46" t="s">
        <v>5332</v>
      </c>
      <c r="W40" s="46" t="s">
        <v>5168</v>
      </c>
      <c r="X40" s="48" t="s">
        <v>5212</v>
      </c>
      <c r="Y40" s="77" t="s">
        <v>3276</v>
      </c>
      <c r="Z40" s="1378"/>
      <c r="AA40" s="1408"/>
      <c r="AB40" s="1851"/>
      <c r="AC40" s="1851"/>
      <c r="AD40" s="1851"/>
      <c r="AE40" s="1378"/>
    </row>
    <row r="41" spans="2:31" ht="14.25" customHeight="1">
      <c r="B41" s="53" t="s">
        <v>5333</v>
      </c>
      <c r="C41" s="57">
        <v>1</v>
      </c>
      <c r="D41" s="54">
        <v>0</v>
      </c>
      <c r="E41" s="54" t="s">
        <v>5305</v>
      </c>
      <c r="F41" s="54" t="s">
        <v>5166</v>
      </c>
      <c r="G41" s="57" t="s">
        <v>175</v>
      </c>
      <c r="H41" s="54" t="s">
        <v>5334</v>
      </c>
      <c r="I41" s="79" t="s">
        <v>5335</v>
      </c>
      <c r="J41" s="1411"/>
      <c r="K41" s="80"/>
      <c r="L41" s="1851"/>
      <c r="M41" s="1851"/>
      <c r="N41" s="1851"/>
      <c r="O41" s="1851"/>
      <c r="Q41" s="105" t="s">
        <v>5336</v>
      </c>
      <c r="R41" s="106" t="s">
        <v>5198</v>
      </c>
      <c r="S41" s="106">
        <v>18</v>
      </c>
      <c r="T41" s="106">
        <v>60</v>
      </c>
      <c r="U41" s="106">
        <v>15</v>
      </c>
      <c r="V41" s="106">
        <v>2</v>
      </c>
      <c r="W41" s="106" t="s">
        <v>5162</v>
      </c>
      <c r="X41" s="107" t="s">
        <v>5324</v>
      </c>
      <c r="Y41" s="133" t="s">
        <v>4572</v>
      </c>
      <c r="Z41" s="1378"/>
      <c r="AA41" s="1409"/>
      <c r="AB41" s="1410"/>
      <c r="AC41" s="1410"/>
      <c r="AD41" s="1410"/>
      <c r="AE41" s="1411"/>
    </row>
    <row r="42" spans="2:31" ht="14.25" customHeight="1">
      <c r="B42" s="61" t="s">
        <v>5337</v>
      </c>
      <c r="C42" s="62">
        <v>2</v>
      </c>
      <c r="D42" s="63">
        <v>0</v>
      </c>
      <c r="E42" s="63" t="s">
        <v>5338</v>
      </c>
      <c r="F42" s="63" t="s">
        <v>5156</v>
      </c>
      <c r="G42" s="62" t="s">
        <v>175</v>
      </c>
      <c r="H42" s="63" t="s">
        <v>4572</v>
      </c>
      <c r="I42" s="83" t="s">
        <v>5339</v>
      </c>
      <c r="J42" s="2066" t="s">
        <v>5340</v>
      </c>
      <c r="K42" s="80"/>
      <c r="L42" s="1851"/>
      <c r="M42" s="1851"/>
      <c r="N42" s="1851"/>
      <c r="O42" s="1851"/>
      <c r="Q42" s="50" t="s">
        <v>5341</v>
      </c>
      <c r="R42" s="46" t="s">
        <v>5198</v>
      </c>
      <c r="S42" s="46">
        <v>16</v>
      </c>
      <c r="T42" s="46">
        <v>64</v>
      </c>
      <c r="U42" s="46">
        <v>10</v>
      </c>
      <c r="V42" s="46">
        <v>2</v>
      </c>
      <c r="W42" s="46" t="s">
        <v>5168</v>
      </c>
      <c r="X42" s="48" t="s">
        <v>5212</v>
      </c>
      <c r="Y42" s="77" t="s">
        <v>4572</v>
      </c>
      <c r="Z42" s="1378"/>
      <c r="AA42" s="2107" t="s">
        <v>5342</v>
      </c>
      <c r="AB42" s="1406"/>
      <c r="AC42" s="1406"/>
      <c r="AD42" s="1406"/>
      <c r="AE42" s="1407"/>
    </row>
    <row r="43" spans="2:31" ht="14.25" customHeight="1">
      <c r="B43" s="50" t="s">
        <v>5343</v>
      </c>
      <c r="C43" s="48">
        <v>2</v>
      </c>
      <c r="D43" s="46">
        <v>0</v>
      </c>
      <c r="E43" s="46" t="s">
        <v>5344</v>
      </c>
      <c r="F43" s="46" t="s">
        <v>5156</v>
      </c>
      <c r="G43" s="48" t="s">
        <v>175</v>
      </c>
      <c r="H43" s="46" t="s">
        <v>3276</v>
      </c>
      <c r="I43" s="77">
        <v>160</v>
      </c>
      <c r="J43" s="1378"/>
      <c r="K43" s="80"/>
      <c r="L43" s="1851"/>
      <c r="M43" s="1851"/>
      <c r="N43" s="1851"/>
      <c r="O43" s="1851"/>
      <c r="Q43" s="105" t="s">
        <v>5345</v>
      </c>
      <c r="R43" s="106" t="s">
        <v>5323</v>
      </c>
      <c r="S43" s="106" t="s">
        <v>5346</v>
      </c>
      <c r="T43" s="106">
        <v>35</v>
      </c>
      <c r="U43" s="106">
        <v>20</v>
      </c>
      <c r="V43" s="106">
        <v>1</v>
      </c>
      <c r="W43" s="106" t="s">
        <v>5162</v>
      </c>
      <c r="X43" s="107" t="s">
        <v>92</v>
      </c>
      <c r="Y43" s="133" t="s">
        <v>3276</v>
      </c>
      <c r="Z43" s="1378"/>
      <c r="AA43" s="1408"/>
      <c r="AB43" s="1851"/>
      <c r="AC43" s="1851"/>
      <c r="AD43" s="1851"/>
      <c r="AE43" s="1378"/>
    </row>
    <row r="44" spans="2:31" ht="14.25" customHeight="1">
      <c r="B44" s="61" t="s">
        <v>5347</v>
      </c>
      <c r="C44" s="62">
        <v>2</v>
      </c>
      <c r="D44" s="63">
        <v>0</v>
      </c>
      <c r="E44" s="63" t="s">
        <v>5348</v>
      </c>
      <c r="F44" s="63" t="s">
        <v>5349</v>
      </c>
      <c r="G44" s="62" t="s">
        <v>514</v>
      </c>
      <c r="H44" s="63" t="s">
        <v>4572</v>
      </c>
      <c r="I44" s="624" t="s">
        <v>5350</v>
      </c>
      <c r="J44" s="1378"/>
      <c r="K44" s="80"/>
      <c r="L44" s="1851"/>
      <c r="M44" s="1851"/>
      <c r="N44" s="1851"/>
      <c r="O44" s="1851"/>
      <c r="Q44" s="50" t="s">
        <v>5351</v>
      </c>
      <c r="R44" s="48" t="s">
        <v>5198</v>
      </c>
      <c r="S44" s="46">
        <v>15</v>
      </c>
      <c r="T44" s="48">
        <v>20</v>
      </c>
      <c r="U44" s="48">
        <v>4</v>
      </c>
      <c r="V44" s="48">
        <v>8</v>
      </c>
      <c r="W44" s="48" t="s">
        <v>5168</v>
      </c>
      <c r="X44" s="48" t="s">
        <v>5163</v>
      </c>
      <c r="Y44" s="76" t="s">
        <v>3276</v>
      </c>
      <c r="Z44" s="1378"/>
      <c r="AA44" s="1408"/>
      <c r="AB44" s="1851"/>
      <c r="AC44" s="1851"/>
      <c r="AD44" s="1851"/>
      <c r="AE44" s="1378"/>
    </row>
    <row r="45" spans="2:31" ht="14.25" customHeight="1">
      <c r="B45" s="50" t="s">
        <v>5352</v>
      </c>
      <c r="C45" s="48">
        <v>3</v>
      </c>
      <c r="D45" s="46">
        <v>0</v>
      </c>
      <c r="E45" s="46" t="s">
        <v>5353</v>
      </c>
      <c r="F45" s="46" t="s">
        <v>5156</v>
      </c>
      <c r="G45" s="48" t="s">
        <v>514</v>
      </c>
      <c r="H45" s="46" t="s">
        <v>3276</v>
      </c>
      <c r="I45" s="77">
        <v>35</v>
      </c>
      <c r="J45" s="1378"/>
      <c r="K45" s="80"/>
      <c r="L45" s="1851"/>
      <c r="M45" s="1851"/>
      <c r="N45" s="1851"/>
      <c r="O45" s="1851"/>
      <c r="Q45" s="108" t="s">
        <v>5354</v>
      </c>
      <c r="R45" s="109" t="s">
        <v>376</v>
      </c>
      <c r="S45" s="110">
        <v>14</v>
      </c>
      <c r="T45" s="111">
        <v>-2</v>
      </c>
      <c r="U45" s="111">
        <v>0</v>
      </c>
      <c r="V45" s="111" t="s">
        <v>92</v>
      </c>
      <c r="W45" s="111" t="s">
        <v>92</v>
      </c>
      <c r="X45" s="110" t="s">
        <v>92</v>
      </c>
      <c r="Y45" s="134" t="s">
        <v>3276</v>
      </c>
      <c r="Z45" s="1378"/>
      <c r="AA45" s="1409"/>
      <c r="AB45" s="1410"/>
      <c r="AC45" s="1410"/>
      <c r="AD45" s="1410"/>
      <c r="AE45" s="1411"/>
    </row>
    <row r="46" spans="2:31" ht="14.25" customHeight="1">
      <c r="B46" s="61" t="s">
        <v>5355</v>
      </c>
      <c r="C46" s="62">
        <v>4</v>
      </c>
      <c r="D46" s="63">
        <v>1</v>
      </c>
      <c r="E46" s="63" t="s">
        <v>5356</v>
      </c>
      <c r="F46" s="63" t="s">
        <v>5156</v>
      </c>
      <c r="G46" s="62" t="s">
        <v>514</v>
      </c>
      <c r="H46" s="63" t="s">
        <v>5313</v>
      </c>
      <c r="I46" s="83" t="s">
        <v>4818</v>
      </c>
      <c r="J46" s="1378"/>
      <c r="K46" s="80"/>
      <c r="L46" s="84"/>
      <c r="M46" s="84"/>
      <c r="N46" s="84"/>
      <c r="O46" s="84"/>
      <c r="Q46" s="49" t="s">
        <v>5357</v>
      </c>
      <c r="R46" s="45" t="s">
        <v>5198</v>
      </c>
      <c r="S46" s="45" t="s">
        <v>92</v>
      </c>
      <c r="T46" s="45">
        <v>6</v>
      </c>
      <c r="U46" s="45">
        <v>0</v>
      </c>
      <c r="V46" s="45">
        <v>9</v>
      </c>
      <c r="W46" s="45" t="s">
        <v>5168</v>
      </c>
      <c r="X46" s="112" t="s">
        <v>5163</v>
      </c>
      <c r="Y46" s="75" t="s">
        <v>4572</v>
      </c>
      <c r="Z46" s="1378"/>
      <c r="AA46" s="135"/>
      <c r="AB46" s="123"/>
      <c r="AC46" s="123"/>
      <c r="AD46" s="123"/>
      <c r="AE46" s="123"/>
    </row>
    <row r="47" spans="2:31" ht="14.25" customHeight="1">
      <c r="B47" s="50" t="s">
        <v>5358</v>
      </c>
      <c r="C47" s="48">
        <v>4</v>
      </c>
      <c r="D47" s="46">
        <v>1</v>
      </c>
      <c r="E47" s="46" t="s">
        <v>5356</v>
      </c>
      <c r="F47" s="46" t="s">
        <v>5156</v>
      </c>
      <c r="G47" s="48" t="s">
        <v>514</v>
      </c>
      <c r="H47" s="46" t="s">
        <v>5313</v>
      </c>
      <c r="I47" s="77" t="s">
        <v>4818</v>
      </c>
      <c r="J47" s="1378"/>
      <c r="K47" s="80"/>
      <c r="L47" s="84"/>
      <c r="M47" s="84"/>
      <c r="N47" s="84"/>
      <c r="O47" s="84"/>
      <c r="Q47" s="50" t="s">
        <v>5359</v>
      </c>
      <c r="R47" s="46" t="s">
        <v>5198</v>
      </c>
      <c r="S47" s="46">
        <v>12</v>
      </c>
      <c r="T47" s="46">
        <v>20</v>
      </c>
      <c r="U47" s="46">
        <v>2</v>
      </c>
      <c r="V47" s="46" t="s">
        <v>5360</v>
      </c>
      <c r="W47" s="46" t="s">
        <v>5162</v>
      </c>
      <c r="X47" s="48" t="s">
        <v>5324</v>
      </c>
      <c r="Y47" s="77" t="s">
        <v>13</v>
      </c>
      <c r="Z47" s="1378"/>
      <c r="AA47" s="135"/>
      <c r="AB47" s="123"/>
      <c r="AC47" s="123"/>
      <c r="AD47" s="123"/>
      <c r="AE47" s="123"/>
    </row>
    <row r="48" spans="2:31" ht="14.25" customHeight="1">
      <c r="B48" s="61" t="s">
        <v>5361</v>
      </c>
      <c r="C48" s="62">
        <v>4</v>
      </c>
      <c r="D48" s="63">
        <v>1</v>
      </c>
      <c r="E48" s="63" t="s">
        <v>5356</v>
      </c>
      <c r="F48" s="63" t="s">
        <v>5156</v>
      </c>
      <c r="G48" s="62" t="s">
        <v>514</v>
      </c>
      <c r="H48" s="63" t="s">
        <v>5313</v>
      </c>
      <c r="I48" s="83" t="s">
        <v>4818</v>
      </c>
      <c r="J48" s="1378"/>
      <c r="K48" s="80"/>
      <c r="L48" s="84"/>
      <c r="M48" s="84"/>
      <c r="N48" s="84"/>
      <c r="O48" s="84"/>
      <c r="Q48" s="105" t="s">
        <v>5362</v>
      </c>
      <c r="R48" s="106" t="s">
        <v>5323</v>
      </c>
      <c r="S48" s="106">
        <v>12</v>
      </c>
      <c r="T48" s="106">
        <v>3</v>
      </c>
      <c r="U48" s="106">
        <v>0</v>
      </c>
      <c r="V48" s="106" t="s">
        <v>5360</v>
      </c>
      <c r="W48" s="106" t="s">
        <v>5162</v>
      </c>
      <c r="X48" s="107" t="s">
        <v>5324</v>
      </c>
      <c r="Y48" s="133" t="s">
        <v>4572</v>
      </c>
      <c r="Z48" s="1378"/>
      <c r="AA48" s="135"/>
      <c r="AB48" s="123"/>
      <c r="AC48" s="123"/>
      <c r="AD48" s="123"/>
      <c r="AE48" s="123"/>
    </row>
    <row r="49" spans="2:31" ht="14.25" customHeight="1">
      <c r="B49" s="50" t="s">
        <v>5363</v>
      </c>
      <c r="C49" s="48">
        <v>5</v>
      </c>
      <c r="D49" s="46">
        <v>1</v>
      </c>
      <c r="E49" s="46" t="s">
        <v>5364</v>
      </c>
      <c r="F49" s="46" t="s">
        <v>5156</v>
      </c>
      <c r="G49" s="48" t="s">
        <v>514</v>
      </c>
      <c r="H49" s="46" t="s">
        <v>5313</v>
      </c>
      <c r="I49" s="77" t="s">
        <v>4818</v>
      </c>
      <c r="J49" s="1378"/>
      <c r="K49" s="80"/>
      <c r="L49" s="84"/>
      <c r="M49" s="84"/>
      <c r="N49" s="84"/>
      <c r="O49" s="84"/>
      <c r="Q49" s="113" t="s">
        <v>5365</v>
      </c>
      <c r="R49" s="114" t="s">
        <v>5230</v>
      </c>
      <c r="S49" s="114">
        <v>9</v>
      </c>
      <c r="T49" s="114">
        <v>3</v>
      </c>
      <c r="U49" s="114">
        <v>0</v>
      </c>
      <c r="V49" s="114" t="s">
        <v>5360</v>
      </c>
      <c r="W49" s="114" t="s">
        <v>5162</v>
      </c>
      <c r="X49" s="115" t="s">
        <v>5162</v>
      </c>
      <c r="Y49" s="136" t="s">
        <v>5313</v>
      </c>
      <c r="Z49" s="2073" t="s">
        <v>5366</v>
      </c>
      <c r="AA49" s="135"/>
      <c r="AB49" s="123"/>
      <c r="AC49" s="123"/>
      <c r="AD49" s="123"/>
      <c r="AE49" s="123"/>
    </row>
    <row r="50" spans="2:31" ht="14.25" customHeight="1">
      <c r="B50" s="61" t="s">
        <v>5367</v>
      </c>
      <c r="C50" s="62">
        <v>4</v>
      </c>
      <c r="D50" s="63">
        <v>0</v>
      </c>
      <c r="E50" s="63" t="s">
        <v>5356</v>
      </c>
      <c r="F50" s="63" t="s">
        <v>5156</v>
      </c>
      <c r="G50" s="62" t="s">
        <v>514</v>
      </c>
      <c r="H50" s="63" t="s">
        <v>5313</v>
      </c>
      <c r="I50" s="83" t="s">
        <v>4818</v>
      </c>
      <c r="J50" s="1378"/>
      <c r="K50" s="80"/>
      <c r="L50" s="84"/>
      <c r="M50" s="84"/>
      <c r="N50" s="84"/>
      <c r="O50" s="84"/>
      <c r="Q50" s="50" t="s">
        <v>5368</v>
      </c>
      <c r="R50" s="46" t="s">
        <v>5230</v>
      </c>
      <c r="S50" s="46">
        <v>9</v>
      </c>
      <c r="T50" s="46">
        <v>3</v>
      </c>
      <c r="U50" s="46">
        <v>0</v>
      </c>
      <c r="V50" s="46" t="s">
        <v>5369</v>
      </c>
      <c r="W50" s="46" t="s">
        <v>5236</v>
      </c>
      <c r="X50" s="48" t="s">
        <v>5212</v>
      </c>
      <c r="Y50" s="77" t="s">
        <v>5313</v>
      </c>
      <c r="Z50" s="1378"/>
      <c r="AA50" s="123"/>
      <c r="AB50" s="123"/>
      <c r="AC50" s="123"/>
      <c r="AD50" s="123"/>
      <c r="AE50" s="123"/>
    </row>
    <row r="51" spans="2:31" ht="14.25" customHeight="1">
      <c r="B51" s="50" t="s">
        <v>5370</v>
      </c>
      <c r="C51" s="48">
        <v>5</v>
      </c>
      <c r="D51" s="46">
        <v>1</v>
      </c>
      <c r="E51" s="46" t="s">
        <v>5364</v>
      </c>
      <c r="F51" s="46" t="s">
        <v>5156</v>
      </c>
      <c r="G51" s="48" t="s">
        <v>514</v>
      </c>
      <c r="H51" s="46" t="s">
        <v>5313</v>
      </c>
      <c r="I51" s="77" t="s">
        <v>4818</v>
      </c>
      <c r="J51" s="1378"/>
      <c r="K51" s="80"/>
      <c r="L51" s="84"/>
      <c r="M51" s="84"/>
      <c r="N51" s="84"/>
      <c r="O51" s="84"/>
      <c r="Q51" s="113" t="s">
        <v>5371</v>
      </c>
      <c r="R51" s="114" t="s">
        <v>5372</v>
      </c>
      <c r="S51" s="114">
        <v>12</v>
      </c>
      <c r="T51" s="114">
        <v>4</v>
      </c>
      <c r="U51" s="114">
        <v>0</v>
      </c>
      <c r="V51" s="114">
        <v>13</v>
      </c>
      <c r="W51" s="114" t="s">
        <v>5236</v>
      </c>
      <c r="X51" s="115" t="s">
        <v>5212</v>
      </c>
      <c r="Y51" s="136" t="s">
        <v>4572</v>
      </c>
      <c r="Z51" s="1378"/>
      <c r="AA51" s="123"/>
      <c r="AB51" s="123"/>
      <c r="AC51" s="123"/>
      <c r="AD51" s="123"/>
      <c r="AE51" s="123"/>
    </row>
    <row r="52" spans="2:31" ht="14.25" customHeight="1">
      <c r="B52" s="61" t="s">
        <v>5373</v>
      </c>
      <c r="C52" s="62">
        <v>4</v>
      </c>
      <c r="D52" s="63">
        <v>1</v>
      </c>
      <c r="E52" s="63" t="s">
        <v>5364</v>
      </c>
      <c r="F52" s="63" t="s">
        <v>5156</v>
      </c>
      <c r="G52" s="62" t="s">
        <v>514</v>
      </c>
      <c r="H52" s="63" t="s">
        <v>5313</v>
      </c>
      <c r="I52" s="83" t="s">
        <v>4818</v>
      </c>
      <c r="J52" s="1378"/>
      <c r="K52" s="80"/>
      <c r="L52" s="84"/>
      <c r="M52" s="84"/>
      <c r="N52" s="84"/>
      <c r="O52" s="84"/>
      <c r="Q52" s="50" t="s">
        <v>5374</v>
      </c>
      <c r="R52" s="46" t="s">
        <v>5372</v>
      </c>
      <c r="S52" s="116" t="s">
        <v>5375</v>
      </c>
      <c r="T52" s="46">
        <v>3</v>
      </c>
      <c r="U52" s="46">
        <v>0</v>
      </c>
      <c r="V52" s="46">
        <v>1</v>
      </c>
      <c r="W52" s="46" t="s">
        <v>5168</v>
      </c>
      <c r="X52" s="48" t="s">
        <v>92</v>
      </c>
      <c r="Y52" s="77" t="s">
        <v>4572</v>
      </c>
      <c r="Z52" s="1378"/>
      <c r="AA52" s="123"/>
      <c r="AB52" s="123"/>
      <c r="AC52" s="123"/>
      <c r="AD52" s="123"/>
      <c r="AE52" s="123"/>
    </row>
    <row r="53" spans="2:31" ht="14.25" customHeight="1">
      <c r="B53" s="50" t="s">
        <v>5376</v>
      </c>
      <c r="C53" s="48">
        <v>3</v>
      </c>
      <c r="D53" s="46">
        <v>0</v>
      </c>
      <c r="E53" s="46" t="s">
        <v>5356</v>
      </c>
      <c r="F53" s="46" t="s">
        <v>5156</v>
      </c>
      <c r="G53" s="48" t="s">
        <v>514</v>
      </c>
      <c r="H53" s="46" t="s">
        <v>5313</v>
      </c>
      <c r="I53" s="77" t="s">
        <v>4818</v>
      </c>
      <c r="J53" s="1378"/>
      <c r="K53" s="80"/>
      <c r="L53" s="84"/>
      <c r="M53" s="84"/>
      <c r="N53" s="84"/>
      <c r="O53" s="84"/>
      <c r="Q53" s="113" t="s">
        <v>5377</v>
      </c>
      <c r="R53" s="114" t="s">
        <v>5230</v>
      </c>
      <c r="S53" s="114">
        <v>8</v>
      </c>
      <c r="T53" s="114">
        <v>5</v>
      </c>
      <c r="U53" s="114">
        <v>0</v>
      </c>
      <c r="V53" s="114">
        <v>12</v>
      </c>
      <c r="W53" s="114" t="s">
        <v>5168</v>
      </c>
      <c r="X53" s="115" t="s">
        <v>5163</v>
      </c>
      <c r="Y53" s="136" t="s">
        <v>5378</v>
      </c>
      <c r="Z53" s="1378"/>
      <c r="AA53" s="123"/>
      <c r="AB53" s="123"/>
      <c r="AC53" s="123"/>
      <c r="AD53" s="123"/>
      <c r="AE53" s="123"/>
    </row>
    <row r="54" spans="2:31" ht="14.25" customHeight="1">
      <c r="B54" s="61" t="s">
        <v>5379</v>
      </c>
      <c r="C54" s="62">
        <v>4</v>
      </c>
      <c r="D54" s="63">
        <v>0</v>
      </c>
      <c r="E54" s="63" t="s">
        <v>5155</v>
      </c>
      <c r="F54" s="63" t="s">
        <v>5156</v>
      </c>
      <c r="G54" s="62" t="s">
        <v>514</v>
      </c>
      <c r="H54" s="63" t="s">
        <v>3276</v>
      </c>
      <c r="I54" s="83">
        <v>40</v>
      </c>
      <c r="J54" s="1378"/>
      <c r="K54" s="80"/>
      <c r="L54" s="84"/>
      <c r="M54" s="84"/>
      <c r="N54" s="84"/>
      <c r="O54" s="84"/>
      <c r="Q54" s="50" t="s">
        <v>5380</v>
      </c>
      <c r="R54" s="46" t="s">
        <v>5240</v>
      </c>
      <c r="S54" s="46">
        <v>13</v>
      </c>
      <c r="T54" s="46">
        <v>5</v>
      </c>
      <c r="U54" s="46">
        <v>0</v>
      </c>
      <c r="V54" s="46">
        <v>9</v>
      </c>
      <c r="W54" s="46" t="s">
        <v>5231</v>
      </c>
      <c r="X54" s="48" t="s">
        <v>5163</v>
      </c>
      <c r="Y54" s="77" t="s">
        <v>4572</v>
      </c>
      <c r="Z54" s="1378"/>
      <c r="AA54" s="123"/>
      <c r="AB54" s="123"/>
      <c r="AC54" s="123"/>
      <c r="AD54" s="123"/>
      <c r="AE54" s="123"/>
    </row>
    <row r="55" spans="2:31" ht="14.25" customHeight="1">
      <c r="B55" s="50" t="s">
        <v>5381</v>
      </c>
      <c r="C55" s="48">
        <v>6</v>
      </c>
      <c r="D55" s="46">
        <v>0</v>
      </c>
      <c r="E55" s="46" t="s">
        <v>5155</v>
      </c>
      <c r="F55" s="46" t="s">
        <v>5156</v>
      </c>
      <c r="G55" s="48" t="s">
        <v>514</v>
      </c>
      <c r="H55" s="46" t="s">
        <v>4572</v>
      </c>
      <c r="I55" s="77" t="s">
        <v>4818</v>
      </c>
      <c r="J55" s="1378"/>
      <c r="K55" s="80"/>
      <c r="L55" s="84"/>
      <c r="M55" s="84"/>
      <c r="N55" s="84"/>
      <c r="O55" s="84"/>
      <c r="Q55" s="113" t="s">
        <v>5382</v>
      </c>
      <c r="R55" s="114" t="s">
        <v>5252</v>
      </c>
      <c r="S55" s="114">
        <v>10</v>
      </c>
      <c r="T55" s="114">
        <v>12</v>
      </c>
      <c r="U55" s="114" t="s">
        <v>5245</v>
      </c>
      <c r="V55" s="114" t="s">
        <v>5383</v>
      </c>
      <c r="W55" s="114" t="s">
        <v>5168</v>
      </c>
      <c r="X55" s="115" t="s">
        <v>5259</v>
      </c>
      <c r="Y55" s="136" t="s">
        <v>4572</v>
      </c>
      <c r="Z55" s="1378"/>
      <c r="AA55" s="132"/>
      <c r="AB55" s="123"/>
      <c r="AC55" s="123"/>
      <c r="AD55" s="123"/>
      <c r="AE55" s="123"/>
    </row>
    <row r="56" spans="2:31" ht="14.25" customHeight="1">
      <c r="B56" s="61" t="s">
        <v>5384</v>
      </c>
      <c r="C56" s="62">
        <v>5</v>
      </c>
      <c r="D56" s="63">
        <v>1</v>
      </c>
      <c r="E56" s="63" t="s">
        <v>5385</v>
      </c>
      <c r="F56" s="63" t="s">
        <v>5156</v>
      </c>
      <c r="G56" s="62" t="s">
        <v>514</v>
      </c>
      <c r="H56" s="63" t="s">
        <v>3276</v>
      </c>
      <c r="I56" s="83">
        <v>120</v>
      </c>
      <c r="J56" s="1378"/>
      <c r="K56" s="80"/>
      <c r="L56" s="84"/>
      <c r="M56" s="84"/>
      <c r="N56" s="84"/>
      <c r="O56" s="84"/>
      <c r="Q56" s="50" t="s">
        <v>5386</v>
      </c>
      <c r="R56" s="46" t="s">
        <v>5252</v>
      </c>
      <c r="S56" s="46">
        <v>10</v>
      </c>
      <c r="T56" s="46">
        <v>11</v>
      </c>
      <c r="U56" s="46" t="s">
        <v>5245</v>
      </c>
      <c r="V56" s="46" t="s">
        <v>4026</v>
      </c>
      <c r="W56" s="46" t="s">
        <v>5168</v>
      </c>
      <c r="X56" s="48" t="s">
        <v>5212</v>
      </c>
      <c r="Y56" s="77" t="s">
        <v>4572</v>
      </c>
      <c r="Z56" s="1378"/>
      <c r="AA56" s="132"/>
      <c r="AB56" s="123"/>
      <c r="AC56" s="123"/>
      <c r="AD56" s="123"/>
      <c r="AE56" s="123"/>
    </row>
    <row r="57" spans="2:31" ht="14.25" customHeight="1">
      <c r="B57" s="64" t="s">
        <v>5387</v>
      </c>
      <c r="C57" s="48">
        <v>12</v>
      </c>
      <c r="D57" s="48">
        <v>1</v>
      </c>
      <c r="E57" s="48" t="s">
        <v>5191</v>
      </c>
      <c r="F57" s="48" t="s">
        <v>5156</v>
      </c>
      <c r="G57" s="48" t="s">
        <v>514</v>
      </c>
      <c r="H57" s="48" t="s">
        <v>3276</v>
      </c>
      <c r="I57" s="85" t="s">
        <v>4818</v>
      </c>
      <c r="J57" s="1378"/>
      <c r="K57" s="80"/>
      <c r="L57" s="84"/>
      <c r="M57" s="84"/>
      <c r="N57" s="84"/>
      <c r="O57" s="84"/>
      <c r="Q57" s="113" t="s">
        <v>5388</v>
      </c>
      <c r="R57" s="114" t="s">
        <v>5389</v>
      </c>
      <c r="S57" s="114">
        <v>7</v>
      </c>
      <c r="T57" s="114">
        <v>90</v>
      </c>
      <c r="U57" s="114" t="s">
        <v>5245</v>
      </c>
      <c r="V57" s="114" t="s">
        <v>5390</v>
      </c>
      <c r="W57" s="114" t="s">
        <v>5203</v>
      </c>
      <c r="X57" s="115" t="s">
        <v>5391</v>
      </c>
      <c r="Y57" s="136" t="s">
        <v>4572</v>
      </c>
      <c r="Z57" s="1411"/>
      <c r="AA57" s="123"/>
      <c r="AB57" s="123"/>
      <c r="AC57" s="123"/>
      <c r="AD57" s="123"/>
      <c r="AE57" s="123"/>
    </row>
    <row r="58" spans="2:31" ht="14.25" customHeight="1">
      <c r="B58" s="61" t="s">
        <v>5392</v>
      </c>
      <c r="C58" s="62" t="s">
        <v>5393</v>
      </c>
      <c r="D58" s="63">
        <v>1</v>
      </c>
      <c r="E58" s="63" t="s">
        <v>5191</v>
      </c>
      <c r="F58" s="63" t="s">
        <v>5156</v>
      </c>
      <c r="G58" s="62" t="s">
        <v>175</v>
      </c>
      <c r="H58" s="63" t="s">
        <v>4572</v>
      </c>
      <c r="I58" s="83" t="s">
        <v>4818</v>
      </c>
      <c r="J58" s="1378"/>
      <c r="K58" s="80"/>
      <c r="L58" s="84"/>
      <c r="M58" s="84"/>
      <c r="N58" s="84"/>
      <c r="O58" s="84"/>
      <c r="Q58" s="117" t="s">
        <v>5394</v>
      </c>
      <c r="R58" s="118" t="s">
        <v>5310</v>
      </c>
      <c r="S58" s="118">
        <v>13</v>
      </c>
      <c r="T58" s="118">
        <v>16</v>
      </c>
      <c r="U58" s="118">
        <v>6</v>
      </c>
      <c r="V58" s="118" t="s">
        <v>4253</v>
      </c>
      <c r="W58" s="118" t="s">
        <v>5168</v>
      </c>
      <c r="X58" s="119" t="s">
        <v>5212</v>
      </c>
      <c r="Y58" s="137" t="s">
        <v>3276</v>
      </c>
      <c r="Z58" s="2104" t="s">
        <v>5395</v>
      </c>
      <c r="AA58" s="135"/>
      <c r="AB58" s="123"/>
      <c r="AC58" s="123"/>
      <c r="AD58" s="123"/>
      <c r="AE58" s="123"/>
    </row>
    <row r="59" spans="2:31" ht="14.25" customHeight="1">
      <c r="B59" s="65" t="s">
        <v>5396</v>
      </c>
      <c r="C59" s="66">
        <v>1</v>
      </c>
      <c r="D59" s="67">
        <v>0</v>
      </c>
      <c r="E59" s="67" t="s">
        <v>1632</v>
      </c>
      <c r="F59" s="67" t="s">
        <v>5397</v>
      </c>
      <c r="G59" s="66" t="s">
        <v>175</v>
      </c>
      <c r="H59" s="67" t="s">
        <v>4572</v>
      </c>
      <c r="I59" s="86" t="s">
        <v>5398</v>
      </c>
      <c r="J59" s="2076" t="s">
        <v>5399</v>
      </c>
      <c r="K59" s="80"/>
      <c r="L59" s="80"/>
      <c r="Q59" s="50" t="s">
        <v>5400</v>
      </c>
      <c r="R59" s="46" t="s">
        <v>5310</v>
      </c>
      <c r="S59" s="120">
        <v>11</v>
      </c>
      <c r="T59" s="46">
        <v>8</v>
      </c>
      <c r="U59" s="46">
        <v>4</v>
      </c>
      <c r="V59" s="46" t="s">
        <v>3943</v>
      </c>
      <c r="W59" s="46" t="s">
        <v>5168</v>
      </c>
      <c r="X59" s="48" t="s">
        <v>5212</v>
      </c>
      <c r="Y59" s="77" t="s">
        <v>4572</v>
      </c>
      <c r="Z59" s="1851"/>
      <c r="AA59" s="135"/>
      <c r="AB59" s="123"/>
      <c r="AC59" s="123"/>
      <c r="AD59" s="123"/>
      <c r="AE59" s="123"/>
    </row>
    <row r="60" spans="2:31" ht="14.25" customHeight="1">
      <c r="B60" s="50" t="s">
        <v>5401</v>
      </c>
      <c r="C60" s="48">
        <v>2</v>
      </c>
      <c r="D60" s="46">
        <v>0</v>
      </c>
      <c r="E60" s="46" t="s">
        <v>1632</v>
      </c>
      <c r="F60" s="46" t="s">
        <v>5397</v>
      </c>
      <c r="G60" s="48" t="s">
        <v>514</v>
      </c>
      <c r="H60" s="46" t="s">
        <v>3276</v>
      </c>
      <c r="I60" s="77">
        <v>20</v>
      </c>
      <c r="J60" s="1378"/>
      <c r="K60" s="80"/>
      <c r="L60" s="80"/>
      <c r="Q60" s="117" t="s">
        <v>5402</v>
      </c>
      <c r="R60" s="118" t="s">
        <v>5310</v>
      </c>
      <c r="S60" s="121" t="s">
        <v>4843</v>
      </c>
      <c r="T60" s="118">
        <v>6</v>
      </c>
      <c r="U60" s="118">
        <v>2</v>
      </c>
      <c r="V60" s="118" t="s">
        <v>4000</v>
      </c>
      <c r="W60" s="118" t="s">
        <v>5168</v>
      </c>
      <c r="X60" s="119" t="s">
        <v>5212</v>
      </c>
      <c r="Y60" s="137" t="s">
        <v>3276</v>
      </c>
      <c r="Z60" s="1851"/>
      <c r="AA60" s="2008" t="s">
        <v>5403</v>
      </c>
      <c r="AB60" s="1088"/>
      <c r="AC60" s="1088"/>
      <c r="AD60" s="1088"/>
      <c r="AE60" s="1089"/>
    </row>
    <row r="61" spans="2:31" ht="14.25" customHeight="1">
      <c r="B61" s="68" t="s">
        <v>5404</v>
      </c>
      <c r="C61" s="66">
        <v>1</v>
      </c>
      <c r="D61" s="69">
        <v>0</v>
      </c>
      <c r="E61" s="69" t="s">
        <v>1632</v>
      </c>
      <c r="F61" s="69" t="s">
        <v>5397</v>
      </c>
      <c r="G61" s="66" t="s">
        <v>175</v>
      </c>
      <c r="H61" s="69" t="s">
        <v>4572</v>
      </c>
      <c r="I61" s="625" t="s">
        <v>5350</v>
      </c>
      <c r="J61" s="1378"/>
      <c r="K61" s="80"/>
      <c r="L61" s="80"/>
      <c r="Q61" s="50" t="s">
        <v>5405</v>
      </c>
      <c r="R61" s="46" t="s">
        <v>2490</v>
      </c>
      <c r="S61" s="120" t="s">
        <v>4704</v>
      </c>
      <c r="T61" s="46">
        <v>4</v>
      </c>
      <c r="U61" s="46">
        <v>2</v>
      </c>
      <c r="V61" s="120" t="s">
        <v>5406</v>
      </c>
      <c r="W61" s="46" t="s">
        <v>92</v>
      </c>
      <c r="X61" s="48" t="s">
        <v>5163</v>
      </c>
      <c r="Y61" s="77" t="s">
        <v>4572</v>
      </c>
      <c r="Z61" s="1851"/>
      <c r="AA61" s="138" t="s">
        <v>328</v>
      </c>
      <c r="AB61" s="139">
        <v>5</v>
      </c>
      <c r="AC61" s="139">
        <v>6</v>
      </c>
      <c r="AD61" s="139">
        <v>7</v>
      </c>
      <c r="AE61" s="140">
        <v>8</v>
      </c>
    </row>
    <row r="62" spans="2:31" ht="14.25" customHeight="1">
      <c r="B62" s="50" t="s">
        <v>5407</v>
      </c>
      <c r="C62" s="48">
        <v>1</v>
      </c>
      <c r="D62" s="46">
        <v>0</v>
      </c>
      <c r="E62" s="46" t="s">
        <v>1632</v>
      </c>
      <c r="F62" s="46" t="s">
        <v>5397</v>
      </c>
      <c r="G62" s="48" t="s">
        <v>514</v>
      </c>
      <c r="H62" s="46" t="s">
        <v>3276</v>
      </c>
      <c r="I62" s="77" t="s">
        <v>4818</v>
      </c>
      <c r="J62" s="1378"/>
      <c r="K62" s="80"/>
      <c r="L62" s="80"/>
      <c r="Q62" s="117" t="s">
        <v>5408</v>
      </c>
      <c r="R62" s="118" t="s">
        <v>5310</v>
      </c>
      <c r="S62" s="121" t="s">
        <v>4700</v>
      </c>
      <c r="T62" s="118">
        <v>35</v>
      </c>
      <c r="U62" s="118">
        <v>3</v>
      </c>
      <c r="V62" s="118" t="s">
        <v>4026</v>
      </c>
      <c r="W62" s="118" t="s">
        <v>5168</v>
      </c>
      <c r="X62" s="119" t="s">
        <v>5212</v>
      </c>
      <c r="Y62" s="137" t="s">
        <v>3276</v>
      </c>
      <c r="Z62" s="1851"/>
      <c r="AA62" s="141" t="s">
        <v>5409</v>
      </c>
      <c r="AB62" s="142">
        <v>3</v>
      </c>
      <c r="AC62" s="142">
        <v>4</v>
      </c>
      <c r="AD62" s="142">
        <v>6</v>
      </c>
      <c r="AE62" s="85">
        <v>8</v>
      </c>
    </row>
    <row r="63" spans="2:31" ht="14.25" customHeight="1">
      <c r="B63" s="65" t="s">
        <v>5410</v>
      </c>
      <c r="C63" s="66">
        <v>2</v>
      </c>
      <c r="D63" s="67">
        <v>0</v>
      </c>
      <c r="E63" s="67" t="s">
        <v>1632</v>
      </c>
      <c r="F63" s="67" t="s">
        <v>5397</v>
      </c>
      <c r="G63" s="66" t="s">
        <v>514</v>
      </c>
      <c r="H63" s="67" t="s">
        <v>4572</v>
      </c>
      <c r="I63" s="625" t="s">
        <v>5350</v>
      </c>
      <c r="J63" s="1378"/>
      <c r="K63" s="80"/>
      <c r="L63" s="80"/>
      <c r="Q63" s="50" t="s">
        <v>5411</v>
      </c>
      <c r="R63" s="46" t="s">
        <v>5310</v>
      </c>
      <c r="S63" s="120" t="s">
        <v>5412</v>
      </c>
      <c r="T63" s="46">
        <v>30</v>
      </c>
      <c r="U63" s="46">
        <v>3</v>
      </c>
      <c r="V63" s="120" t="s">
        <v>4006</v>
      </c>
      <c r="W63" s="46" t="s">
        <v>5168</v>
      </c>
      <c r="X63" s="48" t="s">
        <v>5212</v>
      </c>
      <c r="Y63" s="77" t="s">
        <v>3276</v>
      </c>
      <c r="Z63" s="1851"/>
      <c r="AA63" s="138" t="s">
        <v>328</v>
      </c>
      <c r="AB63" s="139">
        <v>9</v>
      </c>
      <c r="AC63" s="139">
        <v>10</v>
      </c>
      <c r="AD63" s="139">
        <v>11</v>
      </c>
      <c r="AE63" s="140">
        <v>12</v>
      </c>
    </row>
    <row r="64" spans="2:31" ht="14.25" customHeight="1">
      <c r="B64" s="50" t="s">
        <v>5413</v>
      </c>
      <c r="C64" s="48">
        <v>2</v>
      </c>
      <c r="D64" s="46">
        <v>0</v>
      </c>
      <c r="E64" s="46" t="s">
        <v>1632</v>
      </c>
      <c r="F64" s="46" t="s">
        <v>5397</v>
      </c>
      <c r="G64" s="48" t="s">
        <v>514</v>
      </c>
      <c r="H64" s="46" t="s">
        <v>5313</v>
      </c>
      <c r="I64" s="77" t="s">
        <v>4818</v>
      </c>
      <c r="J64" s="1378"/>
      <c r="K64" s="80"/>
      <c r="L64" s="80"/>
      <c r="Q64" s="117" t="s">
        <v>5414</v>
      </c>
      <c r="R64" s="118" t="s">
        <v>5310</v>
      </c>
      <c r="S64" s="121" t="s">
        <v>5415</v>
      </c>
      <c r="T64" s="118">
        <v>16</v>
      </c>
      <c r="U64" s="118">
        <v>2</v>
      </c>
      <c r="V64" s="118" t="s">
        <v>3665</v>
      </c>
      <c r="W64" s="118" t="s">
        <v>5168</v>
      </c>
      <c r="X64" s="119" t="s">
        <v>5163</v>
      </c>
      <c r="Y64" s="137" t="s">
        <v>3276</v>
      </c>
      <c r="Z64" s="1410"/>
      <c r="AA64" s="141" t="s">
        <v>5409</v>
      </c>
      <c r="AB64" s="142">
        <v>12</v>
      </c>
      <c r="AC64" s="142">
        <v>18</v>
      </c>
      <c r="AD64" s="142">
        <v>27</v>
      </c>
      <c r="AE64" s="85">
        <v>40</v>
      </c>
    </row>
    <row r="65" spans="2:31" ht="14.25" customHeight="1">
      <c r="B65" s="68" t="s">
        <v>5416</v>
      </c>
      <c r="C65" s="66">
        <v>1</v>
      </c>
      <c r="D65" s="69">
        <v>0</v>
      </c>
      <c r="E65" s="69" t="s">
        <v>1752</v>
      </c>
      <c r="F65" s="69" t="s">
        <v>5417</v>
      </c>
      <c r="G65" s="66" t="s">
        <v>175</v>
      </c>
      <c r="H65" s="69" t="s">
        <v>4572</v>
      </c>
      <c r="I65" s="161" t="s">
        <v>5418</v>
      </c>
      <c r="J65" s="1378"/>
      <c r="K65" s="80"/>
      <c r="L65" s="80"/>
      <c r="Q65" s="169"/>
      <c r="R65" s="170"/>
      <c r="S65" s="170"/>
      <c r="T65" s="170"/>
      <c r="U65" s="170"/>
      <c r="V65" s="170"/>
      <c r="W65" s="170"/>
      <c r="X65" s="171"/>
      <c r="Y65" s="186"/>
      <c r="Z65" s="132"/>
      <c r="AA65" s="138" t="s">
        <v>328</v>
      </c>
      <c r="AB65" s="139">
        <v>13</v>
      </c>
      <c r="AC65" s="139">
        <v>14</v>
      </c>
      <c r="AD65" s="139">
        <v>15</v>
      </c>
      <c r="AE65" s="140">
        <v>16</v>
      </c>
    </row>
    <row r="66" spans="2:31" ht="14.25" customHeight="1">
      <c r="B66" s="50" t="s">
        <v>5419</v>
      </c>
      <c r="C66" s="48">
        <v>2</v>
      </c>
      <c r="D66" s="46">
        <v>1</v>
      </c>
      <c r="E66" s="46" t="s">
        <v>1752</v>
      </c>
      <c r="F66" s="46" t="s">
        <v>5417</v>
      </c>
      <c r="G66" s="48" t="s">
        <v>514</v>
      </c>
      <c r="H66" s="46" t="s">
        <v>5313</v>
      </c>
      <c r="I66" s="77" t="s">
        <v>4818</v>
      </c>
      <c r="J66" s="1378"/>
      <c r="K66" s="80"/>
      <c r="L66" s="80"/>
      <c r="Q66" s="172"/>
      <c r="R66" s="173"/>
      <c r="S66" s="173"/>
      <c r="T66" s="173"/>
      <c r="U66" s="173"/>
      <c r="V66" s="173"/>
      <c r="W66" s="173"/>
      <c r="X66" s="126"/>
      <c r="Y66" s="187"/>
      <c r="Z66" s="132"/>
      <c r="AA66" s="141" t="s">
        <v>5409</v>
      </c>
      <c r="AB66" s="142">
        <v>60</v>
      </c>
      <c r="AC66" s="142">
        <v>90</v>
      </c>
      <c r="AD66" s="142">
        <v>135</v>
      </c>
      <c r="AE66" s="85">
        <v>200</v>
      </c>
    </row>
    <row r="67" spans="2:31" ht="14.25" customHeight="1">
      <c r="B67" s="65" t="s">
        <v>5420</v>
      </c>
      <c r="C67" s="66">
        <v>2</v>
      </c>
      <c r="D67" s="67">
        <v>1</v>
      </c>
      <c r="E67" s="67" t="s">
        <v>1752</v>
      </c>
      <c r="F67" s="67" t="s">
        <v>5417</v>
      </c>
      <c r="G67" s="66" t="s">
        <v>175</v>
      </c>
      <c r="H67" s="67" t="s">
        <v>4572</v>
      </c>
      <c r="I67" s="626" t="s">
        <v>5421</v>
      </c>
      <c r="J67" s="1378"/>
      <c r="Q67" s="169"/>
      <c r="R67" s="170"/>
      <c r="S67" s="170"/>
      <c r="T67" s="170"/>
      <c r="U67" s="170"/>
      <c r="V67" s="170"/>
      <c r="W67" s="171"/>
      <c r="X67" s="170"/>
      <c r="Y67" s="188"/>
      <c r="Z67" s="132"/>
      <c r="AA67" s="138" t="s">
        <v>328</v>
      </c>
      <c r="AB67" s="139">
        <v>17</v>
      </c>
      <c r="AC67" s="139">
        <v>18</v>
      </c>
      <c r="AD67" s="139">
        <v>19</v>
      </c>
      <c r="AE67" s="140">
        <v>20</v>
      </c>
    </row>
    <row r="68" spans="2:31" ht="14.25" customHeight="1">
      <c r="B68" s="143" t="s">
        <v>5422</v>
      </c>
      <c r="C68" s="144">
        <v>9</v>
      </c>
      <c r="D68" s="145">
        <v>1</v>
      </c>
      <c r="E68" s="145" t="s">
        <v>92</v>
      </c>
      <c r="F68" s="145" t="s">
        <v>5423</v>
      </c>
      <c r="G68" s="144" t="s">
        <v>514</v>
      </c>
      <c r="H68" s="145" t="s">
        <v>3276</v>
      </c>
      <c r="I68" s="162">
        <v>40</v>
      </c>
      <c r="J68" s="2009" t="s">
        <v>5424</v>
      </c>
      <c r="K68" s="2082" t="s">
        <v>5425</v>
      </c>
      <c r="L68" s="2053" t="s">
        <v>5426</v>
      </c>
      <c r="M68" s="1406"/>
      <c r="N68" s="1406"/>
      <c r="O68" s="1407"/>
      <c r="Q68" s="174"/>
      <c r="R68" s="175"/>
      <c r="S68" s="175"/>
      <c r="T68" s="175"/>
      <c r="U68" s="175"/>
      <c r="V68" s="175"/>
      <c r="W68" s="176"/>
      <c r="X68" s="175"/>
      <c r="Y68" s="189"/>
      <c r="Z68" s="132"/>
      <c r="AA68" s="190" t="s">
        <v>5409</v>
      </c>
      <c r="AB68" s="191">
        <v>300</v>
      </c>
      <c r="AC68" s="191">
        <v>450</v>
      </c>
      <c r="AD68" s="191">
        <v>675</v>
      </c>
      <c r="AE68" s="192">
        <v>1000</v>
      </c>
    </row>
    <row r="69" spans="2:31" ht="14.25" customHeight="1">
      <c r="B69" s="146" t="s">
        <v>5427</v>
      </c>
      <c r="C69" s="48">
        <v>25</v>
      </c>
      <c r="D69" s="147">
        <v>1</v>
      </c>
      <c r="E69" s="147" t="s">
        <v>92</v>
      </c>
      <c r="F69" s="147" t="s">
        <v>5423</v>
      </c>
      <c r="G69" s="48" t="s">
        <v>514</v>
      </c>
      <c r="H69" s="147" t="s">
        <v>3276</v>
      </c>
      <c r="I69" s="163" t="s">
        <v>4818</v>
      </c>
      <c r="J69" s="1378"/>
      <c r="K69" s="1378"/>
      <c r="L69" s="1408"/>
      <c r="M69" s="1851"/>
      <c r="N69" s="1851"/>
      <c r="O69" s="1378"/>
      <c r="Q69" s="177"/>
      <c r="R69" s="126"/>
      <c r="S69" s="126"/>
      <c r="T69" s="126"/>
      <c r="U69" s="126"/>
      <c r="V69" s="126"/>
      <c r="W69" s="126"/>
      <c r="X69" s="123"/>
      <c r="Y69" s="123"/>
      <c r="Z69" s="123"/>
      <c r="AA69" s="2038" t="s">
        <v>5428</v>
      </c>
      <c r="AB69" s="1851"/>
      <c r="AC69" s="1851"/>
      <c r="AD69" s="1851"/>
      <c r="AE69" s="1851"/>
    </row>
    <row r="70" spans="2:31" ht="14.25" customHeight="1">
      <c r="B70" s="143" t="s">
        <v>5429</v>
      </c>
      <c r="C70" s="144">
        <v>30</v>
      </c>
      <c r="D70" s="145">
        <v>2</v>
      </c>
      <c r="E70" s="145" t="s">
        <v>92</v>
      </c>
      <c r="F70" s="145" t="s">
        <v>5423</v>
      </c>
      <c r="G70" s="144" t="s">
        <v>514</v>
      </c>
      <c r="H70" s="145" t="s">
        <v>3276</v>
      </c>
      <c r="I70" s="162" t="s">
        <v>4818</v>
      </c>
      <c r="J70" s="1378"/>
      <c r="K70" s="1378"/>
      <c r="L70" s="1408"/>
      <c r="M70" s="1851"/>
      <c r="N70" s="1851"/>
      <c r="O70" s="1378"/>
      <c r="Q70" s="1965" t="s">
        <v>5430</v>
      </c>
      <c r="R70" s="1088"/>
      <c r="S70" s="1088"/>
      <c r="T70" s="1088"/>
      <c r="U70" s="1088"/>
      <c r="V70" s="1088"/>
      <c r="W70" s="1088"/>
      <c r="X70" s="1088"/>
      <c r="Y70" s="1088"/>
      <c r="Z70" s="1089"/>
      <c r="AA70" s="123"/>
      <c r="AB70" s="193"/>
      <c r="AC70" s="123"/>
      <c r="AD70" s="123"/>
      <c r="AE70" s="123"/>
    </row>
    <row r="71" spans="2:31" ht="14.25" customHeight="1">
      <c r="B71" s="148" t="s">
        <v>5431</v>
      </c>
      <c r="C71" s="149">
        <v>15</v>
      </c>
      <c r="D71" s="150">
        <v>0</v>
      </c>
      <c r="E71" s="150" t="s">
        <v>5432</v>
      </c>
      <c r="F71" s="150" t="s">
        <v>5433</v>
      </c>
      <c r="G71" s="149" t="s">
        <v>514</v>
      </c>
      <c r="H71" s="150" t="s">
        <v>5313</v>
      </c>
      <c r="I71" s="164" t="s">
        <v>4818</v>
      </c>
      <c r="J71" s="1378"/>
      <c r="K71" s="1378"/>
      <c r="L71" s="1409"/>
      <c r="M71" s="1410"/>
      <c r="N71" s="1410"/>
      <c r="O71" s="1411"/>
      <c r="Q71" s="2103" t="s">
        <v>5434</v>
      </c>
      <c r="R71" s="1406"/>
      <c r="S71" s="1406"/>
      <c r="T71" s="1406"/>
      <c r="U71" s="1406"/>
      <c r="V71" s="1406"/>
      <c r="W71" s="1406"/>
      <c r="X71" s="1406"/>
      <c r="Y71" s="1406"/>
      <c r="Z71" s="1602"/>
      <c r="AA71" s="123"/>
      <c r="AB71" s="193"/>
      <c r="AC71" s="123"/>
      <c r="AD71" s="123"/>
      <c r="AE71" s="123"/>
    </row>
    <row r="72" spans="2:31" ht="14.25" customHeight="1">
      <c r="B72" s="143" t="s">
        <v>5435</v>
      </c>
      <c r="C72" s="144">
        <v>10</v>
      </c>
      <c r="D72" s="145">
        <v>1</v>
      </c>
      <c r="E72" s="145" t="s">
        <v>92</v>
      </c>
      <c r="F72" s="145" t="s">
        <v>5423</v>
      </c>
      <c r="G72" s="144" t="s">
        <v>514</v>
      </c>
      <c r="H72" s="145" t="s">
        <v>5313</v>
      </c>
      <c r="I72" s="162" t="s">
        <v>4818</v>
      </c>
      <c r="J72" s="1378"/>
      <c r="K72" s="1378"/>
      <c r="L72" s="2040" t="s">
        <v>5436</v>
      </c>
      <c r="M72" s="1406"/>
      <c r="N72" s="1406"/>
      <c r="O72" s="1407"/>
      <c r="Q72" s="1034"/>
      <c r="R72" s="1851"/>
      <c r="S72" s="1851"/>
      <c r="T72" s="1851"/>
      <c r="U72" s="1851"/>
      <c r="V72" s="1851"/>
      <c r="W72" s="1851"/>
      <c r="X72" s="1851"/>
      <c r="Y72" s="1851"/>
      <c r="Z72" s="1015"/>
      <c r="AA72" s="123"/>
      <c r="AB72" s="193"/>
      <c r="AC72" s="123"/>
      <c r="AD72" s="123"/>
      <c r="AE72" s="123"/>
    </row>
    <row r="73" spans="2:31" ht="14.25" customHeight="1">
      <c r="B73" s="146" t="s">
        <v>5437</v>
      </c>
      <c r="C73" s="48">
        <v>15</v>
      </c>
      <c r="D73" s="147">
        <v>1</v>
      </c>
      <c r="E73" s="147" t="s">
        <v>92</v>
      </c>
      <c r="F73" s="147" t="s">
        <v>5423</v>
      </c>
      <c r="G73" s="48" t="s">
        <v>514</v>
      </c>
      <c r="H73" s="147" t="s">
        <v>5313</v>
      </c>
      <c r="I73" s="163" t="s">
        <v>4818</v>
      </c>
      <c r="J73" s="1378"/>
      <c r="K73" s="1378"/>
      <c r="L73" s="1408"/>
      <c r="M73" s="1851"/>
      <c r="N73" s="1851"/>
      <c r="O73" s="1378"/>
      <c r="Q73" s="1665"/>
      <c r="R73" s="1410"/>
      <c r="S73" s="1410"/>
      <c r="T73" s="1410"/>
      <c r="U73" s="1410"/>
      <c r="V73" s="1410"/>
      <c r="W73" s="1410"/>
      <c r="X73" s="1410"/>
      <c r="Y73" s="1410"/>
      <c r="Z73" s="1604"/>
      <c r="AA73" s="123"/>
      <c r="AB73" s="193"/>
      <c r="AC73" s="123"/>
      <c r="AD73" s="123"/>
      <c r="AE73" s="123"/>
    </row>
    <row r="74" spans="2:31" ht="14.25" customHeight="1">
      <c r="B74" s="143" t="s">
        <v>5438</v>
      </c>
      <c r="C74" s="144">
        <v>20</v>
      </c>
      <c r="D74" s="145">
        <v>2</v>
      </c>
      <c r="E74" s="145" t="s">
        <v>92</v>
      </c>
      <c r="F74" s="145" t="s">
        <v>5423</v>
      </c>
      <c r="G74" s="144" t="s">
        <v>514</v>
      </c>
      <c r="H74" s="145" t="s">
        <v>5313</v>
      </c>
      <c r="I74" s="162" t="s">
        <v>4818</v>
      </c>
      <c r="J74" s="1378"/>
      <c r="K74" s="1378"/>
      <c r="L74" s="1408"/>
      <c r="M74" s="1851"/>
      <c r="N74" s="1851"/>
      <c r="O74" s="1378"/>
      <c r="Q74" s="2048" t="s">
        <v>5439</v>
      </c>
      <c r="R74" s="1406"/>
      <c r="S74" s="1406"/>
      <c r="T74" s="1406"/>
      <c r="U74" s="1406"/>
      <c r="V74" s="1406"/>
      <c r="W74" s="1406"/>
      <c r="X74" s="1406"/>
      <c r="Y74" s="1406"/>
      <c r="Z74" s="1602"/>
      <c r="AA74" s="123"/>
      <c r="AB74" s="193"/>
      <c r="AC74" s="123"/>
      <c r="AD74" s="123"/>
      <c r="AE74" s="123"/>
    </row>
    <row r="75" spans="2:31" ht="14.25" customHeight="1">
      <c r="B75" s="151" t="s">
        <v>5440</v>
      </c>
      <c r="C75" s="152">
        <v>2</v>
      </c>
      <c r="D75" s="152" t="s">
        <v>92</v>
      </c>
      <c r="E75" s="152" t="s">
        <v>92</v>
      </c>
      <c r="F75" s="152" t="s">
        <v>1389</v>
      </c>
      <c r="G75" s="152" t="s">
        <v>514</v>
      </c>
      <c r="H75" s="152" t="s">
        <v>5313</v>
      </c>
      <c r="I75" s="165" t="s">
        <v>4818</v>
      </c>
      <c r="J75" s="1378"/>
      <c r="K75" s="1411"/>
      <c r="L75" s="1409"/>
      <c r="M75" s="1410"/>
      <c r="N75" s="1410"/>
      <c r="O75" s="1411"/>
      <c r="Q75" s="1034"/>
      <c r="R75" s="1851"/>
      <c r="S75" s="1851"/>
      <c r="T75" s="1851"/>
      <c r="U75" s="1851"/>
      <c r="V75" s="1851"/>
      <c r="W75" s="1851"/>
      <c r="X75" s="1851"/>
      <c r="Y75" s="1851"/>
      <c r="Z75" s="1015"/>
      <c r="AA75" s="123"/>
      <c r="AB75" s="193"/>
      <c r="AC75" s="123"/>
      <c r="AD75" s="123"/>
      <c r="AE75" s="123"/>
    </row>
    <row r="76" spans="2:31" ht="14.25" customHeight="1">
      <c r="B76" s="153" t="s">
        <v>50</v>
      </c>
      <c r="C76" s="154" t="s">
        <v>172</v>
      </c>
      <c r="D76" s="155"/>
      <c r="E76" s="155" t="s">
        <v>92</v>
      </c>
      <c r="F76" s="155"/>
      <c r="G76" s="154"/>
      <c r="H76" s="155"/>
      <c r="I76" s="155"/>
      <c r="J76" s="2037" t="s">
        <v>1481</v>
      </c>
      <c r="N76" s="166"/>
      <c r="Q76" s="1034"/>
      <c r="R76" s="1851"/>
      <c r="S76" s="1851"/>
      <c r="T76" s="1851"/>
      <c r="U76" s="1851"/>
      <c r="V76" s="1851"/>
      <c r="W76" s="1851"/>
      <c r="X76" s="1851"/>
      <c r="Y76" s="1851"/>
      <c r="Z76" s="1015"/>
      <c r="AA76" s="123"/>
      <c r="AB76" s="193"/>
      <c r="AC76" s="123"/>
      <c r="AD76" s="123"/>
      <c r="AE76" s="123"/>
    </row>
    <row r="77" spans="2:31" ht="14.25" customHeight="1">
      <c r="B77" s="153"/>
      <c r="C77" s="155"/>
      <c r="D77" s="155"/>
      <c r="E77" s="155"/>
      <c r="F77" s="155"/>
      <c r="G77" s="155"/>
      <c r="H77" s="155"/>
      <c r="I77" s="155"/>
      <c r="J77" s="1378"/>
      <c r="N77" s="166"/>
      <c r="Q77" s="2079" t="s">
        <v>5441</v>
      </c>
      <c r="R77" s="1851"/>
      <c r="S77" s="1851"/>
      <c r="T77" s="1851"/>
      <c r="U77" s="1851"/>
      <c r="V77" s="1851"/>
      <c r="W77" s="1851"/>
      <c r="X77" s="1851"/>
      <c r="Y77" s="1851"/>
      <c r="Z77" s="1015"/>
      <c r="AA77" s="123"/>
      <c r="AB77" s="193"/>
      <c r="AC77" s="123"/>
      <c r="AD77" s="123"/>
      <c r="AE77" s="123"/>
    </row>
    <row r="78" spans="2:31" ht="14.25" customHeight="1">
      <c r="B78" s="153"/>
      <c r="C78" s="155"/>
      <c r="D78" s="155"/>
      <c r="E78" s="155"/>
      <c r="F78" s="155"/>
      <c r="G78" s="155"/>
      <c r="H78" s="155"/>
      <c r="I78" s="155"/>
      <c r="J78" s="1378"/>
      <c r="N78" s="166"/>
      <c r="Q78" s="2077" t="s">
        <v>5442</v>
      </c>
      <c r="R78" s="1851"/>
      <c r="S78" s="1851"/>
      <c r="T78" s="1851"/>
      <c r="U78" s="1851"/>
      <c r="V78" s="1851"/>
      <c r="W78" s="1851"/>
      <c r="X78" s="1851"/>
      <c r="Y78" s="1851"/>
      <c r="Z78" s="1015"/>
      <c r="AA78" s="123"/>
      <c r="AB78" s="193"/>
      <c r="AC78" s="123"/>
      <c r="AD78" s="123"/>
      <c r="AE78" s="123"/>
    </row>
    <row r="79" spans="2:31" ht="14.25" customHeight="1">
      <c r="B79" s="153"/>
      <c r="C79" s="155"/>
      <c r="D79" s="155"/>
      <c r="E79" s="155"/>
      <c r="F79" s="155"/>
      <c r="G79" s="155"/>
      <c r="H79" s="155"/>
      <c r="I79" s="155"/>
      <c r="J79" s="1378"/>
      <c r="K79" s="80"/>
      <c r="Q79" s="1034"/>
      <c r="R79" s="1851"/>
      <c r="S79" s="1851"/>
      <c r="T79" s="1851"/>
      <c r="U79" s="1851"/>
      <c r="V79" s="1851"/>
      <c r="W79" s="1851"/>
      <c r="X79" s="1851"/>
      <c r="Y79" s="1851"/>
      <c r="Z79" s="1015"/>
      <c r="AA79" s="123"/>
      <c r="AB79" s="193"/>
      <c r="AC79" s="123"/>
      <c r="AD79" s="123"/>
      <c r="AE79" s="123"/>
    </row>
    <row r="80" spans="2:31" ht="14.25" customHeight="1">
      <c r="B80" s="153"/>
      <c r="C80" s="155"/>
      <c r="D80" s="155"/>
      <c r="E80" s="155"/>
      <c r="F80" s="155"/>
      <c r="G80" s="155"/>
      <c r="H80" s="155"/>
      <c r="I80" s="155"/>
      <c r="J80" s="1378"/>
      <c r="K80" s="80"/>
      <c r="Q80" s="1034"/>
      <c r="R80" s="1851"/>
      <c r="S80" s="1851"/>
      <c r="T80" s="1851"/>
      <c r="U80" s="1851"/>
      <c r="V80" s="1851"/>
      <c r="W80" s="1851"/>
      <c r="X80" s="1851"/>
      <c r="Y80" s="1851"/>
      <c r="Z80" s="1015"/>
      <c r="AA80" s="123"/>
      <c r="AB80" s="193"/>
      <c r="AC80" s="123"/>
      <c r="AD80" s="123"/>
      <c r="AE80" s="123"/>
    </row>
    <row r="81" spans="2:31" ht="14.25" customHeight="1">
      <c r="B81" s="153"/>
      <c r="C81" s="155"/>
      <c r="D81" s="155"/>
      <c r="E81" s="155"/>
      <c r="F81" s="155"/>
      <c r="G81" s="155"/>
      <c r="H81" s="155"/>
      <c r="I81" s="155"/>
      <c r="J81" s="1378"/>
      <c r="K81" s="80"/>
      <c r="Q81" s="2024" t="s">
        <v>5443</v>
      </c>
      <c r="R81" s="1406"/>
      <c r="S81" s="1406"/>
      <c r="T81" s="1406"/>
      <c r="U81" s="1406"/>
      <c r="V81" s="1406"/>
      <c r="W81" s="1406"/>
      <c r="X81" s="1406"/>
      <c r="Y81" s="1406"/>
      <c r="Z81" s="1602"/>
      <c r="AA81" s="132"/>
    </row>
    <row r="82" spans="2:31" ht="14.25" customHeight="1">
      <c r="B82" s="153"/>
      <c r="C82" s="155"/>
      <c r="D82" s="155"/>
      <c r="E82" s="155"/>
      <c r="F82" s="155"/>
      <c r="G82" s="155"/>
      <c r="H82" s="155"/>
      <c r="I82" s="155"/>
      <c r="J82" s="1411"/>
      <c r="K82" s="80"/>
      <c r="Q82" s="1034"/>
      <c r="R82" s="1851"/>
      <c r="S82" s="1851"/>
      <c r="T82" s="1851"/>
      <c r="U82" s="1851"/>
      <c r="V82" s="1851"/>
      <c r="W82" s="1851"/>
      <c r="X82" s="1851"/>
      <c r="Y82" s="1851"/>
      <c r="Z82" s="1015"/>
      <c r="AA82" s="132"/>
    </row>
    <row r="83" spans="2:31" ht="14.25" customHeight="1">
      <c r="K83" s="80"/>
      <c r="M83" s="80"/>
      <c r="N83" s="166"/>
      <c r="Q83" s="1665"/>
      <c r="R83" s="1410"/>
      <c r="S83" s="1410"/>
      <c r="T83" s="1410"/>
      <c r="U83" s="1410"/>
      <c r="V83" s="1410"/>
      <c r="W83" s="1410"/>
      <c r="X83" s="1410"/>
      <c r="Y83" s="1410"/>
      <c r="Z83" s="1604"/>
      <c r="AA83" s="132"/>
    </row>
    <row r="84" spans="2:31" ht="14.25" customHeight="1">
      <c r="B84" s="2090" t="s">
        <v>4982</v>
      </c>
      <c r="C84" s="1088"/>
      <c r="D84" s="1088"/>
      <c r="E84" s="1088"/>
      <c r="F84" s="1088"/>
      <c r="G84" s="1088"/>
      <c r="H84" s="1088"/>
      <c r="I84" s="1088"/>
      <c r="J84" s="1089"/>
      <c r="K84" s="80"/>
      <c r="L84" s="80"/>
      <c r="M84" s="80"/>
      <c r="N84" s="166"/>
      <c r="Q84" s="2057" t="s">
        <v>5444</v>
      </c>
      <c r="R84" s="1851"/>
      <c r="S84" s="1851"/>
      <c r="T84" s="1851"/>
      <c r="U84" s="1851"/>
      <c r="V84" s="1851"/>
      <c r="W84" s="1851"/>
      <c r="X84" s="1851"/>
      <c r="Y84" s="1851"/>
      <c r="Z84" s="1015"/>
      <c r="AA84" s="132"/>
      <c r="AB84" s="193"/>
      <c r="AC84" s="123"/>
      <c r="AD84" s="123"/>
      <c r="AE84" s="123"/>
    </row>
    <row r="85" spans="2:31" ht="14.25" customHeight="1">
      <c r="B85" s="2033" t="s">
        <v>5445</v>
      </c>
      <c r="C85" s="1388"/>
      <c r="D85" s="1388"/>
      <c r="E85" s="1388"/>
      <c r="F85" s="1388"/>
      <c r="G85" s="1388"/>
      <c r="H85" s="1388"/>
      <c r="I85" s="1388"/>
      <c r="J85" s="1960"/>
      <c r="K85" s="80"/>
      <c r="L85" s="80"/>
      <c r="M85" s="80"/>
      <c r="N85" s="166"/>
      <c r="Q85" s="1665"/>
      <c r="R85" s="1410"/>
      <c r="S85" s="1410"/>
      <c r="T85" s="1410"/>
      <c r="U85" s="1410"/>
      <c r="V85" s="1410"/>
      <c r="W85" s="1410"/>
      <c r="X85" s="1410"/>
      <c r="Y85" s="1410"/>
      <c r="Z85" s="1604"/>
      <c r="AA85" s="132"/>
      <c r="AB85" s="193"/>
      <c r="AC85" s="123"/>
      <c r="AD85" s="123"/>
      <c r="AE85" s="123"/>
    </row>
    <row r="86" spans="2:31" ht="14.25" customHeight="1">
      <c r="B86" s="2033" t="s">
        <v>5446</v>
      </c>
      <c r="C86" s="1388"/>
      <c r="D86" s="1388"/>
      <c r="E86" s="1388"/>
      <c r="F86" s="1388"/>
      <c r="G86" s="1388"/>
      <c r="H86" s="1388"/>
      <c r="I86" s="1388"/>
      <c r="J86" s="1960"/>
      <c r="K86" s="80"/>
      <c r="L86" s="80"/>
      <c r="M86" s="80"/>
      <c r="N86" s="166"/>
      <c r="Q86" s="2015" t="s">
        <v>5447</v>
      </c>
      <c r="R86" s="1851"/>
      <c r="S86" s="1851"/>
      <c r="T86" s="1851"/>
      <c r="U86" s="1851"/>
      <c r="V86" s="1851"/>
      <c r="W86" s="1851"/>
      <c r="X86" s="1851"/>
      <c r="Y86" s="1851"/>
      <c r="Z86" s="1015"/>
      <c r="AA86" s="132"/>
      <c r="AB86" s="193"/>
      <c r="AC86" s="123"/>
      <c r="AD86" s="123"/>
      <c r="AE86" s="123"/>
    </row>
    <row r="87" spans="2:31" ht="14.25" customHeight="1">
      <c r="B87" s="2033" t="s">
        <v>5448</v>
      </c>
      <c r="C87" s="1388"/>
      <c r="D87" s="1388"/>
      <c r="E87" s="1388"/>
      <c r="F87" s="1388"/>
      <c r="G87" s="1388"/>
      <c r="H87" s="1388"/>
      <c r="I87" s="1388"/>
      <c r="J87" s="1960"/>
      <c r="K87" s="80"/>
      <c r="L87" s="80"/>
      <c r="M87" s="80"/>
      <c r="N87" s="166"/>
      <c r="Q87" s="1090"/>
      <c r="R87" s="1019"/>
      <c r="S87" s="1019"/>
      <c r="T87" s="1019"/>
      <c r="U87" s="1019"/>
      <c r="V87" s="1019"/>
      <c r="W87" s="1019"/>
      <c r="X87" s="1019"/>
      <c r="Y87" s="1019"/>
      <c r="Z87" s="1091"/>
    </row>
    <row r="88" spans="2:31" ht="14.25" customHeight="1">
      <c r="B88" s="2033" t="s">
        <v>5449</v>
      </c>
      <c r="C88" s="1388"/>
      <c r="D88" s="1388"/>
      <c r="E88" s="1388"/>
      <c r="F88" s="1388"/>
      <c r="G88" s="1388"/>
      <c r="H88" s="1388"/>
      <c r="I88" s="1388"/>
      <c r="J88" s="1960"/>
      <c r="K88" s="80"/>
      <c r="L88" s="80"/>
      <c r="M88" s="80"/>
      <c r="N88" s="166"/>
    </row>
    <row r="89" spans="2:31" ht="14.25" customHeight="1">
      <c r="B89" s="2093" t="s">
        <v>5450</v>
      </c>
      <c r="C89" s="1019"/>
      <c r="D89" s="1019"/>
      <c r="E89" s="1019"/>
      <c r="F89" s="1019"/>
      <c r="G89" s="1019"/>
      <c r="H89" s="1019"/>
      <c r="I89" s="1019"/>
      <c r="J89" s="1091"/>
      <c r="K89" s="80"/>
      <c r="L89" s="80"/>
      <c r="M89" s="80"/>
      <c r="N89" s="166"/>
    </row>
    <row r="90" spans="2:31" ht="14.25" customHeight="1">
      <c r="B90" s="156"/>
      <c r="C90" s="156"/>
      <c r="D90" s="156"/>
      <c r="E90" s="156"/>
      <c r="F90" s="156"/>
      <c r="G90" s="156"/>
      <c r="H90" s="156"/>
      <c r="I90" s="156"/>
      <c r="J90" s="156"/>
      <c r="K90" s="80"/>
      <c r="L90" s="80"/>
      <c r="M90" s="80"/>
      <c r="N90" s="166"/>
      <c r="Q90" s="1649" t="s">
        <v>5451</v>
      </c>
      <c r="R90" s="1088"/>
      <c r="S90" s="1088"/>
      <c r="T90" s="1088"/>
      <c r="U90" s="1088"/>
      <c r="V90" s="1088"/>
      <c r="W90" s="1088"/>
      <c r="X90" s="1088"/>
      <c r="Y90" s="1088"/>
      <c r="Z90" s="1088"/>
      <c r="AA90" s="1088"/>
      <c r="AB90" s="1088"/>
      <c r="AC90" s="1088"/>
      <c r="AD90" s="1088"/>
      <c r="AE90" s="1089"/>
    </row>
    <row r="91" spans="2:31" ht="14.25" customHeight="1">
      <c r="K91" s="80"/>
      <c r="L91" s="80"/>
      <c r="Q91" s="1034"/>
      <c r="R91" s="1851"/>
      <c r="S91" s="1851"/>
      <c r="T91" s="1851"/>
      <c r="U91" s="1851"/>
      <c r="V91" s="1851"/>
      <c r="W91" s="1851"/>
      <c r="X91" s="1851"/>
      <c r="Y91" s="1851"/>
      <c r="Z91" s="1851"/>
      <c r="AA91" s="1851"/>
      <c r="AB91" s="1851"/>
      <c r="AC91" s="1851"/>
      <c r="AD91" s="1851"/>
      <c r="AE91" s="1015"/>
    </row>
    <row r="92" spans="2:31" ht="14.25" customHeight="1">
      <c r="K92" s="80"/>
      <c r="L92" s="80"/>
      <c r="Q92" s="1090"/>
      <c r="R92" s="1019"/>
      <c r="S92" s="1019"/>
      <c r="T92" s="1019"/>
      <c r="U92" s="1019"/>
      <c r="V92" s="1019"/>
      <c r="W92" s="1019"/>
      <c r="X92" s="1019"/>
      <c r="Y92" s="1019"/>
      <c r="Z92" s="1019"/>
      <c r="AA92" s="1019"/>
      <c r="AB92" s="1019"/>
      <c r="AC92" s="1019"/>
      <c r="AD92" s="1019"/>
      <c r="AE92" s="1091"/>
    </row>
    <row r="93" spans="2:31" ht="14.25" customHeight="1">
      <c r="K93" s="80"/>
      <c r="L93" s="80"/>
      <c r="Q93" s="178"/>
      <c r="R93" s="178"/>
      <c r="S93" s="178"/>
      <c r="T93" s="178"/>
      <c r="U93" s="178"/>
      <c r="V93" s="178"/>
      <c r="W93" s="178"/>
      <c r="X93" s="178"/>
      <c r="Y93" s="178"/>
      <c r="Z93" s="178"/>
      <c r="AA93" s="178"/>
      <c r="AB93" s="178"/>
      <c r="AC93" s="178"/>
      <c r="AD93" s="178"/>
      <c r="AE93" s="178"/>
    </row>
    <row r="94" spans="2:31" ht="14.25" customHeight="1">
      <c r="K94" s="80"/>
      <c r="L94" s="80"/>
      <c r="Q94" s="1692" t="s">
        <v>5452</v>
      </c>
      <c r="R94" s="1088"/>
      <c r="S94" s="1088"/>
      <c r="T94" s="1088"/>
      <c r="U94" s="1088"/>
      <c r="V94" s="1089"/>
      <c r="W94" s="179"/>
      <c r="X94" s="2106" t="s">
        <v>5453</v>
      </c>
      <c r="Y94" s="1088"/>
      <c r="Z94" s="1088"/>
      <c r="AA94" s="1088"/>
      <c r="AB94" s="1088"/>
      <c r="AC94" s="1088"/>
      <c r="AD94" s="1088"/>
      <c r="AE94" s="1089"/>
    </row>
    <row r="95" spans="2:31" ht="14.25" customHeight="1">
      <c r="K95" s="80"/>
      <c r="L95" s="80"/>
      <c r="Q95" s="1034"/>
      <c r="R95" s="1851"/>
      <c r="S95" s="1851"/>
      <c r="T95" s="1851"/>
      <c r="U95" s="1851"/>
      <c r="V95" s="1015"/>
      <c r="W95" s="179"/>
      <c r="X95" s="1034"/>
      <c r="Y95" s="1851"/>
      <c r="Z95" s="1851"/>
      <c r="AA95" s="1851"/>
      <c r="AB95" s="1851"/>
      <c r="AC95" s="1851"/>
      <c r="AD95" s="1851"/>
      <c r="AE95" s="1015"/>
    </row>
    <row r="96" spans="2:31" ht="14.25" customHeight="1">
      <c r="K96" s="80"/>
      <c r="L96" s="80"/>
      <c r="Q96" s="1661" t="s">
        <v>5454</v>
      </c>
      <c r="R96" s="1613"/>
      <c r="S96" s="1613"/>
      <c r="T96" s="1613"/>
      <c r="U96" s="1613"/>
      <c r="V96" s="1628"/>
      <c r="W96" s="180"/>
      <c r="X96" s="2027" t="s">
        <v>5455</v>
      </c>
      <c r="Y96" s="1613"/>
      <c r="Z96" s="1613"/>
      <c r="AA96" s="1613"/>
      <c r="AB96" s="1777"/>
      <c r="AC96" s="2058" t="s">
        <v>5456</v>
      </c>
      <c r="AD96" s="1613"/>
      <c r="AE96" s="1777"/>
    </row>
    <row r="97" spans="11:31" ht="14.25" customHeight="1">
      <c r="K97" s="80"/>
      <c r="L97" s="80"/>
      <c r="Q97" s="1034"/>
      <c r="R97" s="1851"/>
      <c r="S97" s="1851"/>
      <c r="T97" s="1851"/>
      <c r="U97" s="1851"/>
      <c r="V97" s="1015"/>
      <c r="W97" s="180"/>
      <c r="X97" s="1034"/>
      <c r="Y97" s="1851"/>
      <c r="Z97" s="1851"/>
      <c r="AA97" s="1851"/>
      <c r="AB97" s="1635"/>
      <c r="AC97" s="194" t="s">
        <v>5457</v>
      </c>
      <c r="AD97" s="2058" t="s">
        <v>5458</v>
      </c>
      <c r="AE97" s="1777"/>
    </row>
    <row r="98" spans="11:31" ht="14.25" customHeight="1">
      <c r="K98" s="2047"/>
      <c r="L98" s="1851"/>
      <c r="N98" s="2047"/>
      <c r="O98" s="1851"/>
      <c r="Q98" s="1034"/>
      <c r="R98" s="1851"/>
      <c r="S98" s="1851"/>
      <c r="T98" s="1851"/>
      <c r="U98" s="1851"/>
      <c r="V98" s="1015"/>
      <c r="W98" s="180"/>
      <c r="X98" s="1034"/>
      <c r="Y98" s="1851"/>
      <c r="Z98" s="1851"/>
      <c r="AA98" s="1851"/>
      <c r="AB98" s="1635"/>
      <c r="AC98" s="195" t="s">
        <v>5459</v>
      </c>
      <c r="AD98" s="2049" t="s">
        <v>5460</v>
      </c>
      <c r="AE98" s="2050"/>
    </row>
    <row r="99" spans="11:31" ht="14.25" customHeight="1">
      <c r="K99" s="1851"/>
      <c r="L99" s="1851"/>
      <c r="N99" s="1851"/>
      <c r="O99" s="1851"/>
      <c r="Q99" s="1034"/>
      <c r="R99" s="1851"/>
      <c r="S99" s="1851"/>
      <c r="T99" s="1851"/>
      <c r="U99" s="1851"/>
      <c r="V99" s="1015"/>
      <c r="W99" s="180"/>
      <c r="X99" s="1034"/>
      <c r="Y99" s="1851"/>
      <c r="Z99" s="1851"/>
      <c r="AA99" s="1851"/>
      <c r="AB99" s="1635"/>
      <c r="AC99" s="196" t="s">
        <v>5461</v>
      </c>
      <c r="AD99" s="2043" t="s">
        <v>5462</v>
      </c>
      <c r="AE99" s="1652"/>
    </row>
    <row r="100" spans="11:31" ht="14.25" customHeight="1">
      <c r="K100" s="1851"/>
      <c r="L100" s="1851"/>
      <c r="N100" s="1851"/>
      <c r="O100" s="1851"/>
      <c r="Q100" s="1090"/>
      <c r="R100" s="1019"/>
      <c r="S100" s="1019"/>
      <c r="T100" s="1019"/>
      <c r="U100" s="1019"/>
      <c r="V100" s="1091"/>
      <c r="W100" s="180"/>
      <c r="X100" s="1624"/>
      <c r="Y100" s="1625"/>
      <c r="Z100" s="1625"/>
      <c r="AA100" s="1625"/>
      <c r="AB100" s="1652"/>
      <c r="AC100" s="196" t="s">
        <v>5463</v>
      </c>
      <c r="AD100" s="2043" t="s">
        <v>5464</v>
      </c>
      <c r="AE100" s="1652"/>
    </row>
    <row r="101" spans="11:31" ht="14.25" customHeight="1">
      <c r="K101" s="1851"/>
      <c r="L101" s="1851"/>
      <c r="N101" s="1851"/>
      <c r="O101" s="1851"/>
      <c r="Q101" s="181"/>
      <c r="R101" s="181"/>
      <c r="S101" s="181"/>
      <c r="T101" s="181"/>
      <c r="U101" s="181"/>
      <c r="V101" s="181"/>
      <c r="W101" s="180"/>
      <c r="X101" s="2041" t="s">
        <v>5465</v>
      </c>
      <c r="Y101" s="1851"/>
      <c r="Z101" s="1851"/>
      <c r="AA101" s="1851"/>
      <c r="AB101" s="1851"/>
      <c r="AC101" s="1851"/>
      <c r="AD101" s="1851"/>
      <c r="AE101" s="1015"/>
    </row>
    <row r="102" spans="11:31" ht="14.25" customHeight="1">
      <c r="K102" s="1851"/>
      <c r="L102" s="1851"/>
      <c r="N102" s="2047"/>
      <c r="O102" s="1851"/>
      <c r="Q102" s="2100" t="s">
        <v>5466</v>
      </c>
      <c r="R102" s="1088"/>
      <c r="S102" s="1088"/>
      <c r="T102" s="1088"/>
      <c r="U102" s="1088"/>
      <c r="V102" s="1089"/>
      <c r="W102" s="182"/>
      <c r="X102" s="1090"/>
      <c r="Y102" s="1019"/>
      <c r="Z102" s="1019"/>
      <c r="AA102" s="1019"/>
      <c r="AB102" s="1019"/>
      <c r="AC102" s="1019"/>
      <c r="AD102" s="1019"/>
      <c r="AE102" s="1091"/>
    </row>
    <row r="103" spans="11:31" ht="27.15" customHeight="1">
      <c r="K103" s="2047"/>
      <c r="L103" s="1851"/>
      <c r="N103" s="1851"/>
      <c r="O103" s="1851"/>
      <c r="Q103" s="1624"/>
      <c r="R103" s="1625"/>
      <c r="S103" s="1625"/>
      <c r="T103" s="1625"/>
      <c r="U103" s="1625"/>
      <c r="V103" s="1644"/>
      <c r="W103" s="182"/>
      <c r="X103" s="182"/>
      <c r="Y103" s="182"/>
      <c r="Z103" s="182"/>
      <c r="AA103" s="182"/>
      <c r="AB103" s="182"/>
      <c r="AC103" s="182"/>
      <c r="AD103" s="180"/>
      <c r="AE103" s="180"/>
    </row>
    <row r="104" spans="11:31" ht="27.15" customHeight="1">
      <c r="K104" s="1851"/>
      <c r="L104" s="1851"/>
      <c r="N104" s="1851"/>
      <c r="O104" s="1851"/>
      <c r="Q104" s="2051" t="s">
        <v>5467</v>
      </c>
      <c r="R104" s="1851"/>
      <c r="S104" s="1851"/>
      <c r="T104" s="1851"/>
      <c r="U104" s="1851"/>
      <c r="V104" s="1015"/>
      <c r="W104" s="183"/>
      <c r="X104" s="2030" t="s">
        <v>5468</v>
      </c>
      <c r="Y104" s="1088"/>
      <c r="Z104" s="1088"/>
      <c r="AA104" s="1088"/>
      <c r="AB104" s="1088"/>
      <c r="AC104" s="1088"/>
      <c r="AD104" s="1088"/>
      <c r="AE104" s="1089"/>
    </row>
    <row r="105" spans="11:31" ht="27.15" customHeight="1">
      <c r="K105" s="1851"/>
      <c r="L105" s="1851"/>
      <c r="N105" s="1851"/>
      <c r="O105" s="1851"/>
      <c r="Q105" s="1624"/>
      <c r="R105" s="1625"/>
      <c r="S105" s="1625"/>
      <c r="T105" s="1625"/>
      <c r="U105" s="1625"/>
      <c r="V105" s="1644"/>
      <c r="W105" s="183"/>
      <c r="X105" s="1624"/>
      <c r="Y105" s="1625"/>
      <c r="Z105" s="1625"/>
      <c r="AA105" s="1625"/>
      <c r="AB105" s="1625"/>
      <c r="AC105" s="1625"/>
      <c r="AD105" s="1625"/>
      <c r="AE105" s="1644"/>
    </row>
    <row r="106" spans="11:31" ht="27.15" customHeight="1">
      <c r="K106" s="2022"/>
      <c r="L106" s="1851"/>
      <c r="M106" s="1851"/>
      <c r="N106" s="1851"/>
      <c r="O106" s="1851"/>
      <c r="Q106" s="2056" t="s">
        <v>5469</v>
      </c>
      <c r="R106" s="1635"/>
      <c r="S106" s="2013" t="s">
        <v>5470</v>
      </c>
      <c r="T106" s="1851"/>
      <c r="U106" s="1851"/>
      <c r="V106" s="1015"/>
      <c r="W106" s="180"/>
      <c r="X106" s="2062" t="s">
        <v>5471</v>
      </c>
      <c r="Y106" s="1613"/>
      <c r="Z106" s="1613"/>
      <c r="AA106" s="1613"/>
      <c r="AB106" s="2049" t="s">
        <v>5472</v>
      </c>
      <c r="AC106" s="2060" t="s">
        <v>5473</v>
      </c>
      <c r="AD106" s="1851"/>
      <c r="AE106" s="1015"/>
    </row>
    <row r="107" spans="11:31" ht="27.15" customHeight="1">
      <c r="Q107" s="1034"/>
      <c r="R107" s="1635"/>
      <c r="S107" s="1629"/>
      <c r="T107" s="1851"/>
      <c r="U107" s="1851"/>
      <c r="V107" s="1015"/>
      <c r="W107" s="180"/>
      <c r="X107" s="1034"/>
      <c r="Y107" s="1851"/>
      <c r="Z107" s="1851"/>
      <c r="AA107" s="1851"/>
      <c r="AB107" s="2084"/>
      <c r="AC107" s="1851"/>
      <c r="AD107" s="1851"/>
      <c r="AE107" s="1015"/>
    </row>
    <row r="108" spans="11:31" ht="15" customHeight="1">
      <c r="K108" s="2022"/>
      <c r="L108" s="1851"/>
      <c r="M108" s="1851"/>
      <c r="N108" s="1851"/>
      <c r="O108" s="1851"/>
      <c r="Q108" s="1034"/>
      <c r="R108" s="1635"/>
      <c r="S108" s="1648"/>
      <c r="T108" s="1625"/>
      <c r="U108" s="1625"/>
      <c r="V108" s="1644"/>
      <c r="W108" s="180"/>
      <c r="X108" s="1034"/>
      <c r="Y108" s="1851"/>
      <c r="Z108" s="1851"/>
      <c r="AA108" s="1851"/>
      <c r="AB108" s="2065" t="s">
        <v>5474</v>
      </c>
      <c r="AC108" s="2109" t="s">
        <v>5475</v>
      </c>
      <c r="AD108" s="1613"/>
      <c r="AE108" s="1628"/>
    </row>
    <row r="109" spans="11:31" ht="16.350000000000001" customHeight="1">
      <c r="K109" s="2022"/>
      <c r="L109" s="1851"/>
      <c r="N109" s="2022"/>
      <c r="O109" s="1851"/>
      <c r="Q109" s="1034"/>
      <c r="R109" s="1635"/>
      <c r="S109" s="2071" t="s">
        <v>5476</v>
      </c>
      <c r="T109" s="1851"/>
      <c r="U109" s="2111" t="s">
        <v>5477</v>
      </c>
      <c r="V109" s="2098" t="s">
        <v>5478</v>
      </c>
      <c r="W109" s="180"/>
      <c r="X109" s="1034"/>
      <c r="Y109" s="1851"/>
      <c r="Z109" s="1851"/>
      <c r="AA109" s="1851"/>
      <c r="AB109" s="1629"/>
      <c r="AC109" s="1648"/>
      <c r="AD109" s="1625"/>
      <c r="AE109" s="1644"/>
    </row>
    <row r="110" spans="11:31" ht="16.350000000000001" customHeight="1">
      <c r="K110" s="2022"/>
      <c r="L110" s="1851"/>
      <c r="M110" s="142"/>
      <c r="N110" s="2022"/>
      <c r="O110" s="1851"/>
      <c r="Q110" s="1034"/>
      <c r="R110" s="1635"/>
      <c r="S110" s="1629"/>
      <c r="T110" s="1851"/>
      <c r="U110" s="1851"/>
      <c r="V110" s="1015"/>
      <c r="W110" s="180"/>
      <c r="X110" s="2026" t="s">
        <v>5479</v>
      </c>
      <c r="Y110" s="1851"/>
      <c r="Z110" s="1851"/>
      <c r="AA110" s="1635"/>
      <c r="AB110" s="2094" t="s">
        <v>5480</v>
      </c>
      <c r="AC110" s="2016" t="s">
        <v>5481</v>
      </c>
      <c r="AD110" s="1851"/>
      <c r="AE110" s="1015"/>
    </row>
    <row r="111" spans="11:31" ht="16.05" customHeight="1">
      <c r="K111" s="1851"/>
      <c r="L111" s="1851"/>
      <c r="M111" s="142"/>
      <c r="N111" s="1851"/>
      <c r="O111" s="1851"/>
      <c r="Q111" s="1034"/>
      <c r="R111" s="1635"/>
      <c r="S111" s="1629"/>
      <c r="T111" s="1851"/>
      <c r="U111" s="1851"/>
      <c r="V111" s="1015"/>
      <c r="W111" s="180"/>
      <c r="X111" s="1034"/>
      <c r="Y111" s="1851"/>
      <c r="Z111" s="1851"/>
      <c r="AA111" s="1635"/>
      <c r="AB111" s="1851"/>
      <c r="AC111" s="1629"/>
      <c r="AD111" s="1851"/>
      <c r="AE111" s="1015"/>
    </row>
    <row r="112" spans="11:31" ht="16.350000000000001" customHeight="1">
      <c r="K112" s="2022"/>
      <c r="L112" s="1851"/>
      <c r="M112" s="142"/>
      <c r="N112" s="2022"/>
      <c r="O112" s="1851"/>
      <c r="Q112" s="1624"/>
      <c r="R112" s="1652"/>
      <c r="S112" s="1648"/>
      <c r="T112" s="1625"/>
      <c r="U112" s="1625"/>
      <c r="V112" s="1644"/>
      <c r="W112" s="180"/>
      <c r="X112" s="1034"/>
      <c r="Y112" s="1851"/>
      <c r="Z112" s="1851"/>
      <c r="AA112" s="1635"/>
      <c r="AB112" s="1625"/>
      <c r="AC112" s="1648"/>
      <c r="AD112" s="1625"/>
      <c r="AE112" s="1644"/>
    </row>
    <row r="113" spans="11:31" ht="16.350000000000001" customHeight="1">
      <c r="K113" s="1851"/>
      <c r="L113" s="1851"/>
      <c r="M113" s="142"/>
      <c r="N113" s="1851"/>
      <c r="O113" s="1851"/>
      <c r="Q113" s="2110" t="s">
        <v>5482</v>
      </c>
      <c r="R113" s="1851"/>
      <c r="S113" s="1851"/>
      <c r="T113" s="1851"/>
      <c r="U113" s="1851"/>
      <c r="V113" s="1015"/>
      <c r="W113" s="180"/>
      <c r="X113" s="1034"/>
      <c r="Y113" s="1851"/>
      <c r="Z113" s="1851"/>
      <c r="AA113" s="1635"/>
      <c r="AB113" s="2101" t="s">
        <v>5483</v>
      </c>
      <c r="AC113" s="1851"/>
      <c r="AD113" s="1851"/>
      <c r="AE113" s="1015"/>
    </row>
    <row r="114" spans="11:31" ht="16.350000000000001" customHeight="1">
      <c r="K114" s="1878"/>
      <c r="L114" s="1851"/>
      <c r="M114" s="167"/>
      <c r="N114" s="1878"/>
      <c r="O114" s="1851"/>
      <c r="P114" s="168"/>
      <c r="Q114" s="1034"/>
      <c r="R114" s="1851"/>
      <c r="S114" s="1851"/>
      <c r="T114" s="1851"/>
      <c r="U114" s="1851"/>
      <c r="V114" s="1015"/>
      <c r="W114" s="180"/>
      <c r="X114" s="2054" t="s">
        <v>5484</v>
      </c>
      <c r="Y114" s="1625"/>
      <c r="Z114" s="1625"/>
      <c r="AA114" s="1652"/>
      <c r="AB114" s="1648"/>
      <c r="AC114" s="1625"/>
      <c r="AD114" s="1625"/>
      <c r="AE114" s="1644"/>
    </row>
    <row r="115" spans="11:31" ht="16.350000000000001" customHeight="1">
      <c r="K115" s="1851"/>
      <c r="L115" s="1851"/>
      <c r="M115" s="167"/>
      <c r="N115" s="1851"/>
      <c r="O115" s="1851"/>
      <c r="P115" s="168"/>
      <c r="Q115" s="1090"/>
      <c r="R115" s="1019"/>
      <c r="S115" s="1019"/>
      <c r="T115" s="1019"/>
      <c r="U115" s="1019"/>
      <c r="V115" s="1091"/>
      <c r="W115" s="180"/>
      <c r="X115" s="2042" t="s">
        <v>5485</v>
      </c>
      <c r="Y115" s="2067" t="s">
        <v>5486</v>
      </c>
      <c r="Z115" s="2034" t="s">
        <v>5487</v>
      </c>
      <c r="AA115" s="1613"/>
      <c r="AB115" s="1613"/>
      <c r="AC115" s="1777"/>
      <c r="AD115" s="2108" t="s">
        <v>5488</v>
      </c>
      <c r="AE115" s="1628"/>
    </row>
    <row r="116" spans="11:31" ht="16.350000000000001" customHeight="1">
      <c r="K116" s="1878"/>
      <c r="L116" s="1851"/>
      <c r="M116" s="167"/>
      <c r="N116" s="1878"/>
      <c r="O116" s="1851"/>
      <c r="P116" s="168"/>
      <c r="Q116" s="178"/>
      <c r="R116" s="178"/>
      <c r="S116" s="178"/>
      <c r="T116" s="178"/>
      <c r="U116" s="178"/>
      <c r="V116" s="178"/>
      <c r="W116" s="184"/>
      <c r="X116" s="1624"/>
      <c r="Y116" s="1625"/>
      <c r="Z116" s="1625"/>
      <c r="AA116" s="1625"/>
      <c r="AB116" s="1625"/>
      <c r="AC116" s="1652"/>
      <c r="AD116" s="1629"/>
      <c r="AE116" s="1015"/>
    </row>
    <row r="117" spans="11:31" ht="16.350000000000001" customHeight="1">
      <c r="K117" s="1851"/>
      <c r="L117" s="1851"/>
      <c r="M117" s="167"/>
      <c r="N117" s="1851"/>
      <c r="O117" s="1851"/>
      <c r="P117" s="168"/>
      <c r="Q117" s="178"/>
      <c r="R117" s="178"/>
      <c r="S117" s="178"/>
      <c r="T117" s="178"/>
      <c r="U117" s="178"/>
      <c r="V117" s="178"/>
      <c r="W117" s="184"/>
      <c r="X117" s="2042" t="s">
        <v>5489</v>
      </c>
      <c r="Y117" s="2067" t="s">
        <v>5490</v>
      </c>
      <c r="Z117" s="2034" t="s">
        <v>5491</v>
      </c>
      <c r="AA117" s="1613"/>
      <c r="AB117" s="1613"/>
      <c r="AC117" s="1777"/>
      <c r="AD117" s="1629"/>
      <c r="AE117" s="1015"/>
    </row>
    <row r="118" spans="11:31" ht="16.350000000000001" customHeight="1">
      <c r="K118" s="168"/>
      <c r="L118" s="168"/>
      <c r="M118" s="168"/>
      <c r="N118" s="168"/>
      <c r="O118" s="168"/>
      <c r="P118" s="168"/>
      <c r="Q118" s="178"/>
      <c r="R118" s="178"/>
      <c r="S118" s="178"/>
      <c r="T118" s="178"/>
      <c r="U118" s="178"/>
      <c r="V118" s="178"/>
      <c r="W118" s="184"/>
      <c r="X118" s="1624"/>
      <c r="Y118" s="1625"/>
      <c r="Z118" s="1625"/>
      <c r="AA118" s="1625"/>
      <c r="AB118" s="1625"/>
      <c r="AC118" s="1652"/>
      <c r="AD118" s="1629"/>
      <c r="AE118" s="1015"/>
    </row>
    <row r="119" spans="11:31" ht="16.350000000000001" customHeight="1">
      <c r="K119" s="168"/>
      <c r="L119" s="168"/>
      <c r="M119" s="168"/>
      <c r="N119" s="168"/>
      <c r="O119" s="168"/>
      <c r="P119" s="168"/>
      <c r="Q119" s="178"/>
      <c r="R119" s="178"/>
      <c r="S119" s="178"/>
      <c r="T119" s="178"/>
      <c r="U119" s="178"/>
      <c r="V119" s="178"/>
      <c r="W119" s="184"/>
      <c r="X119" s="2068" t="s">
        <v>5492</v>
      </c>
      <c r="Y119" s="2085" t="s">
        <v>1489</v>
      </c>
      <c r="Z119" s="2019" t="s">
        <v>5493</v>
      </c>
      <c r="AA119" s="1613"/>
      <c r="AB119" s="1613"/>
      <c r="AC119" s="1777"/>
      <c r="AD119" s="1629"/>
      <c r="AE119" s="1015"/>
    </row>
    <row r="120" spans="11:31" ht="16.350000000000001" customHeight="1">
      <c r="K120" s="168"/>
      <c r="L120" s="168"/>
      <c r="M120" s="168"/>
      <c r="N120" s="168"/>
      <c r="O120" s="168"/>
      <c r="P120" s="168"/>
      <c r="Q120" s="178"/>
      <c r="R120" s="178"/>
      <c r="S120" s="178"/>
      <c r="T120" s="178"/>
      <c r="U120" s="178"/>
      <c r="V120" s="178"/>
      <c r="W120" s="184"/>
      <c r="X120" s="1090"/>
      <c r="Y120" s="1019"/>
      <c r="Z120" s="1019"/>
      <c r="AA120" s="1019"/>
      <c r="AB120" s="1019"/>
      <c r="AC120" s="1778"/>
      <c r="AD120" s="1708"/>
      <c r="AE120" s="1091"/>
    </row>
    <row r="121" spans="11:31" ht="16.350000000000001" customHeight="1">
      <c r="K121" s="168"/>
      <c r="L121" s="168"/>
      <c r="M121" s="168"/>
      <c r="N121" s="168"/>
      <c r="O121" s="168"/>
      <c r="P121" s="168"/>
      <c r="Q121" s="123"/>
      <c r="R121" s="123"/>
      <c r="S121" s="123"/>
      <c r="T121" s="123"/>
      <c r="U121" s="123"/>
      <c r="V121" s="123"/>
      <c r="W121" s="123"/>
      <c r="X121" s="123"/>
      <c r="Y121" s="123"/>
      <c r="Z121" s="123"/>
      <c r="AA121" s="123"/>
      <c r="AB121" s="123"/>
      <c r="AC121" s="123"/>
      <c r="AD121" s="123"/>
      <c r="AE121" s="123"/>
    </row>
    <row r="122" spans="11:31" ht="16.350000000000001" customHeight="1">
      <c r="K122" s="168"/>
      <c r="L122" s="168"/>
      <c r="M122" s="168"/>
      <c r="N122" s="168"/>
      <c r="O122" s="168"/>
      <c r="P122" s="168"/>
      <c r="Q122" s="2046" t="s">
        <v>5494</v>
      </c>
      <c r="R122" s="1088"/>
      <c r="S122" s="1088"/>
      <c r="T122" s="1088"/>
      <c r="U122" s="1088"/>
      <c r="V122" s="1088"/>
      <c r="W122" s="1088"/>
      <c r="X122" s="1088"/>
      <c r="Y122" s="1088"/>
      <c r="Z122" s="1088"/>
      <c r="AA122" s="1088"/>
      <c r="AB122" s="1088"/>
      <c r="AC122" s="1088"/>
      <c r="AD122" s="1088"/>
      <c r="AE122" s="1089"/>
    </row>
    <row r="123" spans="11:31" ht="16.350000000000001" customHeight="1">
      <c r="K123" s="168"/>
      <c r="L123" s="168"/>
      <c r="M123" s="168"/>
      <c r="N123" s="168"/>
      <c r="O123" s="168"/>
      <c r="P123" s="168"/>
      <c r="Q123" s="1034"/>
      <c r="R123" s="1851"/>
      <c r="S123" s="1851"/>
      <c r="T123" s="1851"/>
      <c r="U123" s="1851"/>
      <c r="V123" s="1851"/>
      <c r="W123" s="1851"/>
      <c r="X123" s="1851"/>
      <c r="Y123" s="1851"/>
      <c r="Z123" s="1851"/>
      <c r="AA123" s="1851"/>
      <c r="AB123" s="1851"/>
      <c r="AC123" s="1851"/>
      <c r="AD123" s="1851"/>
      <c r="AE123" s="1015"/>
    </row>
    <row r="124" spans="11:31" ht="16.350000000000001" customHeight="1">
      <c r="K124" s="168"/>
      <c r="L124" s="160"/>
      <c r="M124" s="160"/>
      <c r="N124" s="160"/>
      <c r="O124" s="160"/>
      <c r="P124" s="160"/>
      <c r="Q124" s="1034"/>
      <c r="R124" s="1851"/>
      <c r="S124" s="1851"/>
      <c r="T124" s="1851"/>
      <c r="U124" s="1851"/>
      <c r="V124" s="1851"/>
      <c r="W124" s="1851"/>
      <c r="X124" s="1851"/>
      <c r="Y124" s="1851"/>
      <c r="Z124" s="1851"/>
      <c r="AA124" s="1851"/>
      <c r="AB124" s="1851"/>
      <c r="AC124" s="1851"/>
      <c r="AD124" s="1851"/>
      <c r="AE124" s="1015"/>
    </row>
    <row r="125" spans="11:31" ht="16.350000000000001" customHeight="1">
      <c r="K125" s="168"/>
      <c r="L125" s="160"/>
      <c r="M125" s="160"/>
      <c r="N125" s="160"/>
      <c r="O125" s="160"/>
      <c r="P125" s="160"/>
      <c r="Q125" s="2021" t="s">
        <v>5495</v>
      </c>
      <c r="R125" s="1851"/>
      <c r="S125" s="1851"/>
      <c r="T125" s="1851"/>
      <c r="U125" s="1851"/>
      <c r="V125" s="2097" t="s">
        <v>165</v>
      </c>
      <c r="W125" s="1851"/>
      <c r="X125" s="2089" t="s">
        <v>5496</v>
      </c>
      <c r="Y125" s="1851"/>
      <c r="Z125" s="1851"/>
      <c r="AA125" s="1851"/>
      <c r="AB125" s="1851"/>
      <c r="AC125" s="1851"/>
      <c r="AD125" s="1851"/>
      <c r="AE125" s="1015"/>
    </row>
    <row r="126" spans="11:31" ht="16.350000000000001" customHeight="1">
      <c r="K126" s="168"/>
      <c r="L126" s="160"/>
      <c r="M126" s="160"/>
      <c r="N126" s="160"/>
      <c r="O126" s="160"/>
      <c r="P126" s="160"/>
      <c r="Q126" s="2055" t="s">
        <v>5497</v>
      </c>
      <c r="R126" s="1851"/>
      <c r="S126" s="1851"/>
      <c r="T126" s="1851"/>
      <c r="U126" s="1851"/>
      <c r="V126" s="2007" t="s">
        <v>5498</v>
      </c>
      <c r="W126" s="1851"/>
      <c r="X126" s="2020" t="s">
        <v>5499</v>
      </c>
      <c r="Y126" s="1851"/>
      <c r="Z126" s="1851"/>
      <c r="AA126" s="1851"/>
      <c r="AB126" s="1851"/>
      <c r="AC126" s="1851"/>
      <c r="AD126" s="1851"/>
      <c r="AE126" s="1015"/>
    </row>
    <row r="127" spans="11:31" ht="16.350000000000001" customHeight="1">
      <c r="K127" s="168"/>
      <c r="L127" s="160"/>
      <c r="M127" s="160"/>
      <c r="N127" s="160"/>
      <c r="O127" s="160"/>
      <c r="P127" s="160"/>
      <c r="Q127" s="1034"/>
      <c r="R127" s="1851"/>
      <c r="S127" s="1851"/>
      <c r="T127" s="1851"/>
      <c r="U127" s="1851"/>
      <c r="V127" s="1851"/>
      <c r="W127" s="1851"/>
      <c r="X127" s="1851"/>
      <c r="Y127" s="1851"/>
      <c r="Z127" s="1851"/>
      <c r="AA127" s="1851"/>
      <c r="AB127" s="1851"/>
      <c r="AC127" s="1851"/>
      <c r="AD127" s="1851"/>
      <c r="AE127" s="1015"/>
    </row>
    <row r="128" spans="11:31" ht="16.350000000000001" customHeight="1">
      <c r="K128" s="168"/>
      <c r="L128" s="160"/>
      <c r="M128" s="160"/>
      <c r="N128" s="160"/>
      <c r="O128" s="160"/>
      <c r="P128" s="160"/>
      <c r="Q128" s="1034"/>
      <c r="R128" s="1851"/>
      <c r="S128" s="1851"/>
      <c r="T128" s="1851"/>
      <c r="U128" s="1851"/>
      <c r="V128" s="1851"/>
      <c r="W128" s="1851"/>
      <c r="X128" s="1851"/>
      <c r="Y128" s="1851"/>
      <c r="Z128" s="1851"/>
      <c r="AA128" s="1851"/>
      <c r="AB128" s="1851"/>
      <c r="AC128" s="1851"/>
      <c r="AD128" s="1851"/>
      <c r="AE128" s="1015"/>
    </row>
    <row r="129" spans="17:31" ht="16.350000000000001" customHeight="1">
      <c r="Q129" s="2075" t="s">
        <v>5500</v>
      </c>
      <c r="R129" s="1851"/>
      <c r="S129" s="1851"/>
      <c r="T129" s="1851"/>
      <c r="U129" s="1851"/>
      <c r="V129" s="2028" t="s">
        <v>5501</v>
      </c>
      <c r="W129" s="1851"/>
      <c r="X129" s="2088" t="s">
        <v>5502</v>
      </c>
      <c r="Y129" s="1851"/>
      <c r="Z129" s="1851"/>
      <c r="AA129" s="1851"/>
      <c r="AB129" s="1851"/>
      <c r="AC129" s="1851"/>
      <c r="AD129" s="1851"/>
      <c r="AE129" s="1015"/>
    </row>
    <row r="130" spans="17:31" ht="16.350000000000001" customHeight="1">
      <c r="Q130" s="1034"/>
      <c r="R130" s="1851"/>
      <c r="S130" s="1851"/>
      <c r="T130" s="1851"/>
      <c r="U130" s="1851"/>
      <c r="V130" s="1851"/>
      <c r="W130" s="1851"/>
      <c r="X130" s="1851"/>
      <c r="Y130" s="1851"/>
      <c r="Z130" s="1851"/>
      <c r="AA130" s="1851"/>
      <c r="AB130" s="1851"/>
      <c r="AC130" s="1851"/>
      <c r="AD130" s="1851"/>
      <c r="AE130" s="1015"/>
    </row>
    <row r="131" spans="17:31" ht="16.350000000000001" customHeight="1">
      <c r="Q131" s="1034"/>
      <c r="R131" s="1851"/>
      <c r="S131" s="1851"/>
      <c r="T131" s="1851"/>
      <c r="U131" s="1851"/>
      <c r="V131" s="1851"/>
      <c r="W131" s="1851"/>
      <c r="X131" s="1851"/>
      <c r="Y131" s="1851"/>
      <c r="Z131" s="1851"/>
      <c r="AA131" s="1851"/>
      <c r="AB131" s="1851"/>
      <c r="AC131" s="1851"/>
      <c r="AD131" s="1851"/>
      <c r="AE131" s="1015"/>
    </row>
    <row r="132" spans="17:31" ht="16.350000000000001" customHeight="1">
      <c r="Q132" s="2055" t="s">
        <v>5503</v>
      </c>
      <c r="R132" s="1851"/>
      <c r="S132" s="1851"/>
      <c r="T132" s="1851"/>
      <c r="U132" s="1851"/>
      <c r="V132" s="2007" t="s">
        <v>5504</v>
      </c>
      <c r="W132" s="1851"/>
      <c r="X132" s="2020" t="s">
        <v>5505</v>
      </c>
      <c r="Y132" s="1851"/>
      <c r="Z132" s="1851"/>
      <c r="AA132" s="1851"/>
      <c r="AB132" s="1851"/>
      <c r="AC132" s="1851"/>
      <c r="AD132" s="1851"/>
      <c r="AE132" s="1015"/>
    </row>
    <row r="133" spans="17:31" ht="16.350000000000001" customHeight="1">
      <c r="Q133" s="1034"/>
      <c r="R133" s="1851"/>
      <c r="S133" s="1851"/>
      <c r="T133" s="1851"/>
      <c r="U133" s="1851"/>
      <c r="V133" s="1851"/>
      <c r="W133" s="1851"/>
      <c r="X133" s="1851"/>
      <c r="Y133" s="1851"/>
      <c r="Z133" s="1851"/>
      <c r="AA133" s="1851"/>
      <c r="AB133" s="1851"/>
      <c r="AC133" s="1851"/>
      <c r="AD133" s="1851"/>
      <c r="AE133" s="1015"/>
    </row>
    <row r="134" spans="17:31" ht="16.350000000000001" customHeight="1">
      <c r="Q134" s="1034"/>
      <c r="R134" s="1851"/>
      <c r="S134" s="1851"/>
      <c r="T134" s="1851"/>
      <c r="U134" s="1851"/>
      <c r="V134" s="1851"/>
      <c r="W134" s="1851"/>
      <c r="X134" s="1851"/>
      <c r="Y134" s="1851"/>
      <c r="Z134" s="1851"/>
      <c r="AA134" s="1851"/>
      <c r="AB134" s="1851"/>
      <c r="AC134" s="1851"/>
      <c r="AD134" s="1851"/>
      <c r="AE134" s="1015"/>
    </row>
    <row r="135" spans="17:31" ht="16.350000000000001" customHeight="1">
      <c r="Q135" s="2075" t="s">
        <v>5506</v>
      </c>
      <c r="R135" s="1851"/>
      <c r="S135" s="1851"/>
      <c r="T135" s="1851"/>
      <c r="U135" s="1851"/>
      <c r="V135" s="2028" t="s">
        <v>5507</v>
      </c>
      <c r="W135" s="1851"/>
      <c r="X135" s="2088" t="s">
        <v>5508</v>
      </c>
      <c r="Y135" s="1851"/>
      <c r="Z135" s="1851"/>
      <c r="AA135" s="1851"/>
      <c r="AB135" s="1851"/>
      <c r="AC135" s="1851"/>
      <c r="AD135" s="1851"/>
      <c r="AE135" s="1015"/>
    </row>
    <row r="136" spans="17:31" ht="16.350000000000001" customHeight="1">
      <c r="Q136" s="1034"/>
      <c r="R136" s="1851"/>
      <c r="S136" s="1851"/>
      <c r="T136" s="1851"/>
      <c r="U136" s="1851"/>
      <c r="V136" s="1851"/>
      <c r="W136" s="1851"/>
      <c r="X136" s="1851"/>
      <c r="Y136" s="1851"/>
      <c r="Z136" s="1851"/>
      <c r="AA136" s="1851"/>
      <c r="AB136" s="1851"/>
      <c r="AC136" s="1851"/>
      <c r="AD136" s="1851"/>
      <c r="AE136" s="1015"/>
    </row>
    <row r="137" spans="17:31" ht="16.350000000000001" customHeight="1">
      <c r="Q137" s="1034"/>
      <c r="R137" s="1851"/>
      <c r="S137" s="1851"/>
      <c r="T137" s="1851"/>
      <c r="U137" s="1851"/>
      <c r="V137" s="1851"/>
      <c r="W137" s="1851"/>
      <c r="X137" s="1851"/>
      <c r="Y137" s="1851"/>
      <c r="Z137" s="1851"/>
      <c r="AA137" s="1851"/>
      <c r="AB137" s="1851"/>
      <c r="AC137" s="1851"/>
      <c r="AD137" s="1851"/>
      <c r="AE137" s="1015"/>
    </row>
    <row r="138" spans="17:31" ht="16.350000000000001" customHeight="1">
      <c r="Q138" s="2096" t="s">
        <v>5509</v>
      </c>
      <c r="R138" s="1851"/>
      <c r="S138" s="1851"/>
      <c r="T138" s="1851"/>
      <c r="U138" s="1851"/>
      <c r="V138" s="2017" t="s">
        <v>5510</v>
      </c>
      <c r="W138" s="1851"/>
      <c r="X138" s="2031" t="s">
        <v>5511</v>
      </c>
      <c r="Y138" s="1851"/>
      <c r="Z138" s="1851"/>
      <c r="AA138" s="1851"/>
      <c r="AB138" s="1851"/>
      <c r="AC138" s="1851"/>
      <c r="AD138" s="1851"/>
      <c r="AE138" s="1015"/>
    </row>
    <row r="139" spans="17:31" ht="16.350000000000001" customHeight="1">
      <c r="Q139" s="1034"/>
      <c r="R139" s="1851"/>
      <c r="S139" s="1851"/>
      <c r="T139" s="1851"/>
      <c r="U139" s="1851"/>
      <c r="V139" s="1851"/>
      <c r="W139" s="1851"/>
      <c r="X139" s="1851"/>
      <c r="Y139" s="1851"/>
      <c r="Z139" s="1851"/>
      <c r="AA139" s="1851"/>
      <c r="AB139" s="1851"/>
      <c r="AC139" s="1851"/>
      <c r="AD139" s="1851"/>
      <c r="AE139" s="1015"/>
    </row>
    <row r="140" spans="17:31" ht="16.350000000000001" customHeight="1">
      <c r="Q140" s="1090"/>
      <c r="R140" s="1019"/>
      <c r="S140" s="1019"/>
      <c r="T140" s="1019"/>
      <c r="U140" s="1019"/>
      <c r="V140" s="1019"/>
      <c r="W140" s="1019"/>
      <c r="X140" s="1019"/>
      <c r="Y140" s="1019"/>
      <c r="Z140" s="1019"/>
      <c r="AA140" s="1019"/>
      <c r="AB140" s="1019"/>
      <c r="AC140" s="1019"/>
      <c r="AD140" s="1019"/>
      <c r="AE140" s="1091"/>
    </row>
    <row r="146" spans="2:17" ht="23.1" customHeight="1">
      <c r="B146" s="198"/>
      <c r="C146" s="197"/>
      <c r="D146" s="2039"/>
      <c r="E146" s="1855"/>
      <c r="F146" s="2039"/>
      <c r="G146" s="1855"/>
      <c r="H146" s="158"/>
      <c r="I146" s="2010"/>
      <c r="J146" s="1851"/>
      <c r="K146" s="168"/>
      <c r="L146" s="2010"/>
      <c r="M146" s="1851"/>
      <c r="N146" s="168"/>
      <c r="O146" s="2010"/>
      <c r="P146" s="1851"/>
      <c r="Q146" s="1851"/>
    </row>
    <row r="147" spans="2:17" ht="16.350000000000001" customHeight="1">
      <c r="B147" s="2044"/>
      <c r="C147" s="197"/>
      <c r="D147" s="2044"/>
      <c r="E147" s="1855"/>
      <c r="F147" s="2044"/>
      <c r="G147" s="1855"/>
      <c r="H147" s="197"/>
      <c r="I147" s="2007"/>
      <c r="J147" s="1851"/>
      <c r="K147" s="168"/>
      <c r="L147" s="2007"/>
      <c r="M147" s="1851"/>
      <c r="N147" s="168"/>
      <c r="O147" s="2007"/>
      <c r="P147" s="1851"/>
      <c r="Q147" s="1851"/>
    </row>
    <row r="148" spans="2:17" ht="16.350000000000001" customHeight="1">
      <c r="B148" s="1855"/>
      <c r="C148" s="197"/>
      <c r="D148" s="1855"/>
      <c r="E148" s="1855"/>
      <c r="F148" s="1855"/>
      <c r="G148" s="1855"/>
      <c r="H148" s="197"/>
      <c r="I148" s="1851"/>
      <c r="J148" s="1851"/>
      <c r="K148" s="168"/>
      <c r="L148" s="1851"/>
      <c r="M148" s="1851"/>
      <c r="N148" s="168"/>
      <c r="O148" s="1851"/>
      <c r="P148" s="1851"/>
      <c r="Q148" s="1851"/>
    </row>
    <row r="149" spans="2:17" ht="16.350000000000001" customHeight="1">
      <c r="B149" s="1855"/>
      <c r="C149" s="197"/>
      <c r="D149" s="1855"/>
      <c r="E149" s="1855"/>
      <c r="F149" s="1855"/>
      <c r="G149" s="1855"/>
      <c r="H149" s="197"/>
      <c r="I149" s="1851"/>
      <c r="J149" s="1851"/>
      <c r="K149" s="168"/>
      <c r="L149" s="1851"/>
      <c r="M149" s="1851"/>
      <c r="N149" s="168"/>
      <c r="O149" s="1851"/>
      <c r="P149" s="1851"/>
      <c r="Q149" s="1851"/>
    </row>
    <row r="150" spans="2:17" ht="16.350000000000001" customHeight="1">
      <c r="B150" s="1855"/>
      <c r="C150" s="197"/>
      <c r="D150" s="1855"/>
      <c r="E150" s="1855"/>
      <c r="F150" s="1855"/>
      <c r="G150" s="1855"/>
      <c r="H150" s="197"/>
      <c r="I150" s="1851"/>
      <c r="J150" s="1851"/>
      <c r="K150" s="168"/>
      <c r="L150" s="1851"/>
      <c r="M150" s="1851"/>
      <c r="N150" s="168"/>
      <c r="O150" s="1851"/>
      <c r="P150" s="1851"/>
      <c r="Q150" s="1851"/>
    </row>
    <row r="151" spans="2:17" ht="16.350000000000001" customHeight="1">
      <c r="B151" s="1855"/>
      <c r="C151" s="197"/>
      <c r="D151" s="1855"/>
      <c r="E151" s="1855"/>
      <c r="F151" s="1855"/>
      <c r="G151" s="1855"/>
      <c r="H151" s="197"/>
      <c r="I151" s="1851"/>
      <c r="J151" s="1851"/>
      <c r="K151" s="168"/>
      <c r="L151" s="1851"/>
      <c r="M151" s="1851"/>
      <c r="N151" s="168"/>
      <c r="O151" s="1851"/>
      <c r="P151" s="1851"/>
      <c r="Q151" s="1851"/>
    </row>
    <row r="152" spans="2:17" ht="16.350000000000001" customHeight="1">
      <c r="B152" s="1855"/>
      <c r="C152" s="197"/>
      <c r="D152" s="1855"/>
      <c r="E152" s="1855"/>
      <c r="F152" s="1855"/>
      <c r="G152" s="1855"/>
      <c r="H152" s="197"/>
      <c r="I152" s="1851"/>
      <c r="J152" s="1851"/>
      <c r="K152" s="168"/>
      <c r="L152" s="1851"/>
      <c r="M152" s="1851"/>
      <c r="N152" s="168"/>
      <c r="O152" s="1851"/>
      <c r="P152" s="1851"/>
      <c r="Q152" s="1851"/>
    </row>
    <row r="153" spans="2:17" ht="16.350000000000001" customHeight="1">
      <c r="B153" s="1855"/>
      <c r="C153" s="197"/>
      <c r="D153" s="1855"/>
      <c r="E153" s="1855"/>
      <c r="F153" s="1855"/>
      <c r="G153" s="1855"/>
      <c r="H153" s="197"/>
      <c r="I153" s="1851"/>
      <c r="J153" s="1851"/>
      <c r="K153" s="168"/>
      <c r="L153" s="1851"/>
      <c r="M153" s="1851"/>
      <c r="N153" s="168"/>
      <c r="O153" s="1851"/>
      <c r="P153" s="1851"/>
      <c r="Q153" s="1851"/>
    </row>
    <row r="154" spans="2:17" ht="16.350000000000001" customHeight="1">
      <c r="B154" s="1855"/>
      <c r="C154" s="197"/>
      <c r="D154" s="1855"/>
      <c r="E154" s="1855"/>
      <c r="F154" s="1855"/>
      <c r="G154" s="1855"/>
      <c r="H154" s="197"/>
      <c r="I154" s="1851"/>
      <c r="J154" s="1851"/>
      <c r="K154" s="168"/>
      <c r="L154" s="1851"/>
      <c r="M154" s="1851"/>
      <c r="N154" s="168"/>
      <c r="O154" s="1851"/>
      <c r="P154" s="1851"/>
      <c r="Q154" s="1851"/>
    </row>
    <row r="155" spans="2:17" ht="16.350000000000001" customHeight="1">
      <c r="B155" s="197"/>
      <c r="C155" s="197"/>
      <c r="D155" s="197"/>
      <c r="E155" s="197"/>
      <c r="F155" s="197"/>
      <c r="G155" s="197"/>
      <c r="H155" s="197"/>
      <c r="I155" s="168"/>
      <c r="J155" s="168"/>
      <c r="K155" s="168"/>
      <c r="L155" s="168"/>
      <c r="M155" s="168"/>
      <c r="N155" s="168"/>
      <c r="O155" s="168"/>
      <c r="P155" s="168"/>
      <c r="Q155" s="168"/>
    </row>
    <row r="156" spans="2:17" ht="16.350000000000001" customHeight="1">
      <c r="B156" s="197"/>
      <c r="C156" s="197"/>
      <c r="D156" s="197"/>
      <c r="E156" s="197"/>
      <c r="F156" s="197"/>
      <c r="G156" s="197"/>
      <c r="H156" s="197"/>
      <c r="I156" s="168"/>
      <c r="J156" s="168"/>
      <c r="K156" s="168"/>
      <c r="L156" s="168"/>
      <c r="M156" s="168"/>
      <c r="N156" s="168"/>
      <c r="O156" s="168"/>
      <c r="P156" s="168"/>
      <c r="Q156" s="168"/>
    </row>
    <row r="157" spans="2:17" ht="16.350000000000001" customHeight="1">
      <c r="B157" s="2039"/>
      <c r="C157" s="2039"/>
      <c r="D157" s="1855"/>
      <c r="E157" s="197"/>
      <c r="F157" s="2039"/>
      <c r="G157" s="1855"/>
      <c r="H157" s="2039"/>
      <c r="I157" s="1851"/>
      <c r="J157" s="168"/>
      <c r="K157" s="2010"/>
      <c r="L157" s="1851"/>
      <c r="M157" s="1851"/>
      <c r="N157" s="1851"/>
      <c r="O157" s="1851"/>
      <c r="P157" s="1851"/>
      <c r="Q157" s="1851"/>
    </row>
    <row r="158" spans="2:17" ht="16.350000000000001" customHeight="1">
      <c r="B158" s="1855"/>
      <c r="C158" s="1855"/>
      <c r="D158" s="1855"/>
      <c r="E158" s="197"/>
      <c r="F158" s="1855"/>
      <c r="G158" s="1855"/>
      <c r="H158" s="1855"/>
      <c r="I158" s="1851"/>
      <c r="J158" s="168"/>
      <c r="K158" s="1851"/>
      <c r="L158" s="1851"/>
      <c r="M158" s="1851"/>
      <c r="N158" s="1851"/>
      <c r="O158" s="1851"/>
      <c r="P158" s="1851"/>
      <c r="Q158" s="1851"/>
    </row>
    <row r="159" spans="2:17" ht="16.350000000000001" customHeight="1">
      <c r="B159" s="2064"/>
      <c r="C159" s="2044"/>
      <c r="D159" s="1855"/>
      <c r="E159" s="197"/>
      <c r="F159" s="2044"/>
      <c r="G159" s="1855"/>
      <c r="H159" s="2064"/>
      <c r="I159" s="1851"/>
      <c r="J159" s="168"/>
      <c r="K159" s="2007"/>
      <c r="L159" s="1851"/>
      <c r="M159" s="1851"/>
      <c r="N159" s="1851"/>
      <c r="O159" s="2099"/>
      <c r="P159" s="1851"/>
      <c r="Q159" s="1851"/>
    </row>
    <row r="160" spans="2:17" ht="16.350000000000001" customHeight="1">
      <c r="B160" s="1855"/>
      <c r="C160" s="1855"/>
      <c r="D160" s="1855"/>
      <c r="E160" s="197"/>
      <c r="F160" s="1855"/>
      <c r="G160" s="1855"/>
      <c r="H160" s="1855"/>
      <c r="I160" s="1851"/>
      <c r="J160" s="168"/>
      <c r="K160" s="1851"/>
      <c r="L160" s="1851"/>
      <c r="M160" s="1851"/>
      <c r="N160" s="1851"/>
      <c r="O160" s="1851"/>
      <c r="P160" s="1851"/>
      <c r="Q160" s="1851"/>
    </row>
    <row r="161" spans="2:17" ht="16.350000000000001" customHeight="1">
      <c r="B161" s="1855"/>
      <c r="C161" s="199"/>
      <c r="D161" s="199"/>
      <c r="E161" s="158"/>
      <c r="F161" s="1855"/>
      <c r="G161" s="1855"/>
      <c r="H161" s="1855"/>
      <c r="I161" s="1851"/>
      <c r="J161" s="168"/>
      <c r="K161" s="2014"/>
      <c r="L161" s="1851"/>
      <c r="M161" s="1851"/>
      <c r="N161" s="1851"/>
      <c r="O161" s="1851"/>
      <c r="P161" s="1851"/>
      <c r="Q161" s="1851"/>
    </row>
    <row r="162" spans="2:17" ht="16.350000000000001" customHeight="1">
      <c r="B162" s="1855"/>
      <c r="C162" s="199"/>
      <c r="D162" s="199"/>
      <c r="E162" s="158"/>
      <c r="F162" s="1855"/>
      <c r="G162" s="1855"/>
      <c r="H162" s="1855"/>
      <c r="I162" s="1851"/>
      <c r="J162" s="168"/>
      <c r="K162" s="1851"/>
      <c r="L162" s="1851"/>
      <c r="M162" s="1851"/>
      <c r="N162" s="1851"/>
      <c r="O162" s="1851"/>
      <c r="P162" s="1851"/>
      <c r="Q162" s="1851"/>
    </row>
    <row r="163" spans="2:17" ht="16.350000000000001" customHeight="1">
      <c r="B163" s="1855"/>
      <c r="C163" s="199"/>
      <c r="D163" s="199"/>
      <c r="E163" s="158"/>
      <c r="F163" s="1855"/>
      <c r="G163" s="1855"/>
      <c r="H163" s="1855"/>
      <c r="I163" s="1851"/>
      <c r="J163" s="168"/>
      <c r="K163" s="2007"/>
      <c r="L163" s="1851"/>
      <c r="M163" s="1851"/>
      <c r="N163" s="1851"/>
      <c r="O163" s="1851"/>
      <c r="P163" s="1851"/>
      <c r="Q163" s="1851"/>
    </row>
    <row r="164" spans="2:17" ht="16.350000000000001" customHeight="1">
      <c r="B164" s="1855"/>
      <c r="C164" s="199"/>
      <c r="D164" s="199"/>
      <c r="E164" s="158"/>
      <c r="F164" s="1855"/>
      <c r="G164" s="1855"/>
      <c r="H164" s="1855"/>
      <c r="I164" s="1851"/>
      <c r="J164" s="168"/>
      <c r="K164" s="2007"/>
      <c r="L164" s="1851"/>
      <c r="M164" s="1851"/>
      <c r="N164" s="1851"/>
      <c r="O164" s="2007"/>
      <c r="P164" s="1851"/>
      <c r="Q164" s="1851"/>
    </row>
    <row r="165" spans="2:17" ht="16.350000000000001" customHeight="1">
      <c r="B165" s="1855"/>
      <c r="C165" s="199"/>
      <c r="D165" s="199"/>
      <c r="E165" s="158"/>
      <c r="F165" s="1855"/>
      <c r="G165" s="1855"/>
      <c r="H165" s="1855"/>
      <c r="I165" s="1851"/>
      <c r="J165" s="168"/>
      <c r="K165" s="1851"/>
      <c r="L165" s="1851"/>
      <c r="M165" s="1851"/>
      <c r="N165" s="1851"/>
      <c r="O165" s="1851"/>
      <c r="P165" s="1851"/>
      <c r="Q165" s="1851"/>
    </row>
    <row r="166" spans="2:17" ht="16.350000000000001" customHeight="1">
      <c r="B166" s="1855"/>
      <c r="C166" s="199"/>
      <c r="D166" s="199"/>
      <c r="E166" s="158"/>
      <c r="F166" s="1855"/>
      <c r="G166" s="1855"/>
      <c r="H166" s="1855"/>
      <c r="I166" s="1851"/>
      <c r="J166" s="168"/>
      <c r="K166" s="1851"/>
      <c r="L166" s="1851"/>
      <c r="M166" s="1851"/>
      <c r="N166" s="1851"/>
      <c r="O166" s="1851"/>
      <c r="P166" s="1851"/>
      <c r="Q166" s="1851"/>
    </row>
    <row r="167" spans="2:17" ht="16.350000000000001" customHeight="1">
      <c r="B167" s="1855"/>
      <c r="C167" s="167"/>
      <c r="D167" s="199"/>
      <c r="E167" s="158"/>
      <c r="F167" s="1855"/>
      <c r="G167" s="1855"/>
      <c r="H167" s="1855"/>
      <c r="I167" s="1851"/>
      <c r="J167" s="168"/>
      <c r="K167" s="1851"/>
      <c r="L167" s="1851"/>
      <c r="M167" s="1851"/>
      <c r="N167" s="1851"/>
      <c r="O167" s="1851"/>
      <c r="P167" s="1851"/>
      <c r="Q167" s="1851"/>
    </row>
    <row r="168" spans="2:17" ht="16.350000000000001" customHeight="1">
      <c r="B168" s="158"/>
      <c r="D168" s="158"/>
      <c r="E168" s="158"/>
      <c r="F168" s="158"/>
      <c r="G168" s="158"/>
      <c r="H168" s="158"/>
      <c r="I168" s="168"/>
      <c r="J168" s="168"/>
      <c r="K168" s="160"/>
      <c r="L168" s="160"/>
      <c r="M168" s="160"/>
      <c r="N168" s="160"/>
      <c r="O168" s="159"/>
      <c r="P168" s="159"/>
      <c r="Q168" s="159"/>
    </row>
    <row r="169" spans="2:17" ht="16.350000000000001" customHeight="1">
      <c r="B169" s="158"/>
      <c r="C169" s="158"/>
      <c r="D169" s="158"/>
      <c r="E169" s="158"/>
      <c r="F169" s="158"/>
      <c r="G169" s="158"/>
      <c r="H169" s="158"/>
      <c r="I169" s="168"/>
      <c r="J169" s="168"/>
      <c r="K169" s="160"/>
      <c r="L169" s="160"/>
      <c r="M169" s="160"/>
      <c r="N169" s="160"/>
      <c r="O169" s="159"/>
      <c r="P169" s="159"/>
      <c r="Q169" s="159"/>
    </row>
    <row r="170" spans="2:17" ht="16.350000000000001" customHeight="1">
      <c r="B170" s="2010"/>
      <c r="C170" s="2010"/>
      <c r="D170" s="1855"/>
      <c r="E170" s="158"/>
      <c r="F170" s="2087"/>
      <c r="G170" s="1855"/>
      <c r="H170" s="158"/>
      <c r="I170" s="2010"/>
      <c r="J170" s="1851"/>
      <c r="K170" s="1851"/>
      <c r="L170" s="1851"/>
      <c r="M170" s="1851"/>
      <c r="N170" s="1851"/>
      <c r="O170" s="1851"/>
      <c r="P170" s="1851"/>
      <c r="Q170" s="1851"/>
    </row>
    <row r="171" spans="2:17" ht="16.350000000000001" customHeight="1">
      <c r="B171" s="1855"/>
      <c r="C171" s="1855"/>
      <c r="D171" s="1855"/>
      <c r="E171" s="158"/>
      <c r="F171" s="1855"/>
      <c r="G171" s="1855"/>
      <c r="H171" s="158"/>
      <c r="I171" s="1851"/>
      <c r="J171" s="1851"/>
      <c r="K171" s="1851"/>
      <c r="L171" s="1851"/>
      <c r="M171" s="1851"/>
      <c r="N171" s="1851"/>
      <c r="O171" s="1851"/>
      <c r="P171" s="1851"/>
      <c r="Q171" s="1851"/>
    </row>
    <row r="172" spans="2:17" ht="16.350000000000001" customHeight="1">
      <c r="B172" s="2069"/>
      <c r="C172" s="2007"/>
      <c r="D172" s="1855"/>
      <c r="E172" s="158"/>
      <c r="F172" s="2007"/>
      <c r="G172" s="1855"/>
      <c r="H172" s="158"/>
      <c r="I172" s="2007"/>
      <c r="J172" s="1851"/>
      <c r="K172" s="1851"/>
      <c r="L172" s="1851"/>
      <c r="M172" s="2007"/>
      <c r="N172" s="1851"/>
      <c r="O172" s="1851"/>
      <c r="P172" s="1851"/>
      <c r="Q172" s="1851"/>
    </row>
    <row r="173" spans="2:17" ht="16.350000000000001" customHeight="1">
      <c r="B173" s="1855"/>
      <c r="C173" s="1855"/>
      <c r="D173" s="1855"/>
      <c r="E173" s="158"/>
      <c r="F173" s="1855"/>
      <c r="G173" s="1855"/>
      <c r="I173" s="1851"/>
      <c r="J173" s="1851"/>
      <c r="K173" s="1851"/>
      <c r="L173" s="1851"/>
      <c r="M173" s="1851"/>
      <c r="N173" s="1851"/>
      <c r="O173" s="1851"/>
      <c r="P173" s="1851"/>
      <c r="Q173" s="1851"/>
    </row>
    <row r="174" spans="2:17" ht="16.350000000000001" customHeight="1">
      <c r="B174" s="1855"/>
      <c r="C174" s="1855"/>
      <c r="D174" s="1855"/>
      <c r="E174" s="158"/>
      <c r="F174" s="1855"/>
      <c r="G174" s="1855"/>
      <c r="I174" s="1878"/>
      <c r="J174" s="2007"/>
      <c r="K174" s="1851"/>
      <c r="L174" s="1851"/>
      <c r="M174" s="1851"/>
      <c r="N174" s="1851"/>
      <c r="O174" s="1851"/>
      <c r="P174" s="1851"/>
      <c r="Q174" s="1851"/>
    </row>
    <row r="175" spans="2:17" ht="15">
      <c r="B175" s="1855"/>
      <c r="C175" s="1855"/>
      <c r="D175" s="1855"/>
      <c r="E175" s="158"/>
      <c r="F175" s="1855"/>
      <c r="G175" s="1855"/>
      <c r="H175" s="158"/>
      <c r="I175" s="1851"/>
      <c r="J175" s="1851"/>
      <c r="K175" s="1851"/>
      <c r="L175" s="1851"/>
      <c r="M175" s="1851"/>
      <c r="N175" s="1851"/>
      <c r="O175" s="1851"/>
      <c r="P175" s="1851"/>
      <c r="Q175" s="1851"/>
    </row>
    <row r="176" spans="2:17" ht="15">
      <c r="B176" s="1855"/>
      <c r="C176" s="1855"/>
      <c r="D176" s="1855"/>
      <c r="E176" s="158"/>
      <c r="F176" s="1855"/>
      <c r="G176" s="1855"/>
      <c r="H176" s="158"/>
      <c r="I176" s="1851"/>
      <c r="J176" s="1851"/>
      <c r="K176" s="1851"/>
      <c r="L176" s="1851"/>
      <c r="M176" s="1851"/>
      <c r="N176" s="1851"/>
      <c r="O176" s="1851"/>
      <c r="P176" s="1851"/>
      <c r="Q176" s="1851"/>
    </row>
    <row r="177" spans="2:17" ht="16.350000000000001" customHeight="1">
      <c r="B177" s="1855"/>
      <c r="C177" s="1855"/>
      <c r="D177" s="1855"/>
      <c r="E177" s="158"/>
      <c r="F177" s="1855"/>
      <c r="G177" s="1855"/>
      <c r="H177" s="158"/>
      <c r="I177" s="167"/>
      <c r="J177" s="1878"/>
      <c r="K177" s="1851"/>
      <c r="L177" s="1851"/>
      <c r="M177" s="1851"/>
      <c r="N177" s="1851"/>
      <c r="O177" s="1851"/>
      <c r="P177" s="1851"/>
      <c r="Q177" s="1851"/>
    </row>
    <row r="178" spans="2:17" ht="16.350000000000001" customHeight="1">
      <c r="B178" s="1855"/>
      <c r="C178" s="1855"/>
      <c r="D178" s="1855"/>
      <c r="E178" s="158"/>
      <c r="F178" s="1855"/>
      <c r="G178" s="1855"/>
      <c r="H178" s="158"/>
      <c r="I178" s="167"/>
      <c r="J178" s="1878"/>
      <c r="K178" s="1851"/>
      <c r="L178" s="1851"/>
      <c r="M178" s="1851"/>
      <c r="N178" s="1851"/>
      <c r="O178" s="1851"/>
      <c r="P178" s="1851"/>
      <c r="Q178" s="1851"/>
    </row>
    <row r="179" spans="2:17" ht="16.350000000000001" customHeight="1">
      <c r="B179" s="1855"/>
      <c r="C179" s="1855"/>
      <c r="D179" s="1855"/>
      <c r="E179" s="158"/>
      <c r="F179" s="1855"/>
      <c r="G179" s="1855"/>
      <c r="H179" s="158"/>
      <c r="I179" s="167"/>
      <c r="J179" s="1878"/>
      <c r="K179" s="1851"/>
      <c r="L179" s="1851"/>
      <c r="M179" s="1851"/>
      <c r="N179" s="1851"/>
      <c r="O179" s="1851"/>
      <c r="P179" s="1851"/>
      <c r="Q179" s="1851"/>
    </row>
    <row r="180" spans="2:17" ht="16.350000000000001" customHeight="1">
      <c r="B180" s="1855"/>
      <c r="C180" s="1855"/>
      <c r="D180" s="1855"/>
      <c r="E180" s="158"/>
      <c r="F180" s="1855"/>
      <c r="G180" s="1855"/>
      <c r="H180" s="158"/>
      <c r="I180" s="1878"/>
      <c r="J180" s="1851"/>
      <c r="K180" s="1851"/>
      <c r="L180" s="1851"/>
      <c r="M180" s="1851"/>
      <c r="N180" s="1851"/>
      <c r="O180" s="1851"/>
      <c r="P180" s="1851"/>
      <c r="Q180" s="1851"/>
    </row>
    <row r="181" spans="2:17" ht="15">
      <c r="B181" s="158"/>
      <c r="C181" s="158"/>
      <c r="D181" s="158"/>
      <c r="E181" s="158"/>
      <c r="F181" s="158"/>
      <c r="G181" s="158"/>
      <c r="H181" s="158"/>
      <c r="I181" s="2007"/>
      <c r="J181" s="1851"/>
      <c r="K181" s="1851"/>
      <c r="L181" s="1851"/>
      <c r="M181" s="1851"/>
      <c r="N181" s="1851"/>
      <c r="O181" s="1851"/>
      <c r="P181" s="1851"/>
      <c r="Q181" s="1851"/>
    </row>
    <row r="182" spans="2:17" ht="15">
      <c r="B182" s="158"/>
      <c r="C182" s="158"/>
      <c r="D182" s="158"/>
      <c r="E182" s="158"/>
      <c r="F182" s="158"/>
      <c r="G182" s="158"/>
      <c r="H182" s="158"/>
      <c r="I182" s="1851"/>
      <c r="J182" s="1851"/>
      <c r="K182" s="1851"/>
      <c r="L182" s="1851"/>
      <c r="M182" s="1851"/>
      <c r="N182" s="1851"/>
      <c r="O182" s="1851"/>
      <c r="P182" s="1851"/>
      <c r="Q182" s="1851"/>
    </row>
    <row r="183" spans="2:17" ht="15">
      <c r="B183" s="158"/>
      <c r="C183" s="158"/>
      <c r="D183" s="158"/>
      <c r="E183" s="158"/>
      <c r="F183" s="158"/>
      <c r="G183" s="158"/>
      <c r="H183" s="158"/>
      <c r="I183" s="1851"/>
      <c r="J183" s="1851"/>
      <c r="K183" s="1851"/>
      <c r="L183" s="1851"/>
      <c r="M183" s="1851"/>
      <c r="N183" s="1851"/>
      <c r="O183" s="1851"/>
      <c r="P183" s="1851"/>
      <c r="Q183" s="1851"/>
    </row>
    <row r="184" spans="2:17" ht="16.350000000000001" customHeight="1">
      <c r="B184" s="158"/>
      <c r="C184" s="158"/>
      <c r="D184" s="158"/>
      <c r="E184" s="158"/>
      <c r="F184" s="158"/>
      <c r="G184" s="158"/>
      <c r="H184" s="158"/>
      <c r="I184" s="168"/>
      <c r="J184" s="168"/>
      <c r="K184" s="168"/>
      <c r="L184" s="168"/>
      <c r="M184" s="168"/>
      <c r="N184" s="168"/>
      <c r="O184" s="168"/>
      <c r="P184" s="168"/>
      <c r="Q184" s="168"/>
    </row>
    <row r="185" spans="2:17" ht="15" customHeight="1">
      <c r="B185" s="2063"/>
      <c r="C185" s="1855"/>
      <c r="D185" s="1855"/>
      <c r="E185" s="1855"/>
      <c r="F185" s="1855"/>
      <c r="G185" s="1855"/>
      <c r="H185" s="1855"/>
      <c r="I185" s="1851"/>
      <c r="J185" s="1851"/>
      <c r="K185" s="1851"/>
      <c r="L185" s="1851"/>
      <c r="M185" s="1851"/>
      <c r="N185" s="1851"/>
      <c r="O185" s="1851"/>
      <c r="P185" s="1851"/>
      <c r="Q185" s="1851"/>
    </row>
    <row r="186" spans="2:17" ht="15" customHeight="1">
      <c r="B186" s="1855"/>
      <c r="C186" s="1855"/>
      <c r="D186" s="1855"/>
      <c r="E186" s="1855"/>
      <c r="F186" s="1855"/>
      <c r="G186" s="1855"/>
      <c r="H186" s="1855"/>
      <c r="I186" s="1851"/>
      <c r="J186" s="1851"/>
      <c r="K186" s="1851"/>
      <c r="L186" s="1851"/>
      <c r="M186" s="1851"/>
      <c r="N186" s="1851"/>
      <c r="O186" s="1851"/>
      <c r="P186" s="1851"/>
      <c r="Q186" s="1851"/>
    </row>
    <row r="187" spans="2:17" ht="16.95" customHeight="1">
      <c r="B187" s="1956"/>
      <c r="C187" s="1855"/>
      <c r="D187" s="1956"/>
      <c r="E187" s="1855"/>
      <c r="F187" s="1956"/>
      <c r="G187" s="1855"/>
      <c r="H187" s="1956"/>
      <c r="I187" s="1851"/>
      <c r="J187" s="1851"/>
      <c r="K187" s="1851"/>
      <c r="L187" s="1851"/>
      <c r="M187" s="1851"/>
      <c r="N187" s="1851"/>
      <c r="O187" s="1851"/>
      <c r="P187" s="1851"/>
      <c r="Q187" s="1851"/>
    </row>
    <row r="188" spans="2:17" ht="16.95" customHeight="1">
      <c r="B188" s="1956"/>
      <c r="C188" s="1855"/>
      <c r="D188" s="2002"/>
      <c r="E188" s="1855"/>
      <c r="F188" s="2006"/>
      <c r="G188" s="1855"/>
      <c r="H188" s="2006"/>
      <c r="I188" s="1851"/>
      <c r="J188" s="1851"/>
      <c r="K188" s="1851"/>
      <c r="L188" s="1851"/>
      <c r="M188" s="1851"/>
      <c r="N188" s="1851"/>
      <c r="O188" s="1851"/>
      <c r="P188" s="1851"/>
      <c r="Q188" s="1851"/>
    </row>
    <row r="189" spans="2:17" ht="16.95" customHeight="1">
      <c r="B189" s="1855"/>
      <c r="C189" s="1855"/>
      <c r="D189" s="1855"/>
      <c r="E189" s="1855"/>
      <c r="F189" s="1855"/>
      <c r="G189" s="1855"/>
      <c r="H189" s="1855"/>
      <c r="I189" s="1851"/>
      <c r="J189" s="1851"/>
      <c r="K189" s="1851"/>
      <c r="L189" s="1851"/>
      <c r="M189" s="1851"/>
      <c r="N189" s="1851"/>
      <c r="O189" s="1851"/>
      <c r="P189" s="1851"/>
      <c r="Q189" s="1851"/>
    </row>
    <row r="190" spans="2:17" ht="16.95" customHeight="1">
      <c r="B190" s="1956"/>
      <c r="C190" s="1855"/>
      <c r="D190" s="2006"/>
      <c r="E190" s="1855"/>
      <c r="F190" s="2006"/>
      <c r="G190" s="1855"/>
      <c r="H190" s="2006"/>
      <c r="I190" s="1851"/>
      <c r="J190" s="1851"/>
      <c r="K190" s="1851"/>
      <c r="L190" s="1851"/>
      <c r="M190" s="1851"/>
      <c r="N190" s="1851"/>
      <c r="O190" s="1851"/>
      <c r="P190" s="1851"/>
      <c r="Q190" s="1851"/>
    </row>
    <row r="191" spans="2:17" ht="16.95" customHeight="1">
      <c r="B191" s="1855"/>
      <c r="C191" s="1855"/>
      <c r="D191" s="1855"/>
      <c r="E191" s="1855"/>
      <c r="F191" s="1855"/>
      <c r="G191" s="1855"/>
      <c r="H191" s="1855"/>
      <c r="I191" s="1851"/>
      <c r="J191" s="1851"/>
      <c r="K191" s="1851"/>
      <c r="L191" s="1851"/>
      <c r="M191" s="1851"/>
      <c r="N191" s="1851"/>
      <c r="O191" s="1851"/>
      <c r="P191" s="1851"/>
      <c r="Q191" s="1851"/>
    </row>
    <row r="192" spans="2:17" ht="16.95" customHeight="1">
      <c r="B192" s="1956"/>
      <c r="C192" s="1855"/>
      <c r="D192" s="2002"/>
      <c r="E192" s="1855"/>
      <c r="F192" s="2006"/>
      <c r="G192" s="1855"/>
      <c r="H192" s="2006"/>
      <c r="I192" s="1851"/>
      <c r="J192" s="1851"/>
      <c r="K192" s="1851"/>
      <c r="L192" s="1851"/>
      <c r="M192" s="1851"/>
      <c r="N192" s="1851"/>
      <c r="O192" s="1851"/>
      <c r="P192" s="1851"/>
      <c r="Q192" s="1851"/>
    </row>
    <row r="193" spans="2:17" ht="16.95" customHeight="1">
      <c r="B193" s="1855"/>
      <c r="C193" s="1855"/>
      <c r="D193" s="1855"/>
      <c r="E193" s="1855"/>
      <c r="F193" s="1855"/>
      <c r="G193" s="1855"/>
      <c r="H193" s="1855"/>
      <c r="I193" s="1851"/>
      <c r="J193" s="1851"/>
      <c r="K193" s="1851"/>
      <c r="L193" s="1851"/>
      <c r="M193" s="1851"/>
      <c r="N193" s="1851"/>
      <c r="O193" s="1851"/>
      <c r="P193" s="1851"/>
      <c r="Q193" s="1851"/>
    </row>
    <row r="194" spans="2:17" ht="16.95" customHeight="1">
      <c r="B194" s="1956"/>
      <c r="C194" s="1855"/>
      <c r="D194" s="2006"/>
      <c r="E194" s="1855"/>
      <c r="F194" s="2006"/>
      <c r="G194" s="1855"/>
      <c r="H194" s="2006"/>
      <c r="I194" s="1851"/>
      <c r="J194" s="1851"/>
      <c r="K194" s="1851"/>
      <c r="L194" s="1851"/>
      <c r="M194" s="1851"/>
      <c r="N194" s="1851"/>
      <c r="O194" s="1851"/>
      <c r="P194" s="1851"/>
      <c r="Q194" s="1851"/>
    </row>
    <row r="195" spans="2:17" ht="16.95" customHeight="1">
      <c r="B195" s="1855"/>
      <c r="C195" s="1855"/>
      <c r="D195" s="1855"/>
      <c r="E195" s="1855"/>
      <c r="F195" s="1855"/>
      <c r="G195" s="1855"/>
      <c r="H195" s="1855"/>
      <c r="I195" s="1851"/>
      <c r="J195" s="1851"/>
      <c r="K195" s="1851"/>
      <c r="L195" s="1851"/>
      <c r="M195" s="1851"/>
      <c r="N195" s="1851"/>
      <c r="O195" s="1851"/>
      <c r="P195" s="1851"/>
      <c r="Q195" s="1851"/>
    </row>
    <row r="196" spans="2:17" ht="16.95" customHeight="1">
      <c r="B196" s="1956"/>
      <c r="C196" s="1855"/>
      <c r="D196" s="2002"/>
      <c r="E196" s="1855"/>
      <c r="F196" s="2006"/>
      <c r="G196" s="1855"/>
      <c r="H196" s="2006"/>
      <c r="I196" s="1851"/>
      <c r="J196" s="1851"/>
      <c r="K196" s="1851"/>
      <c r="L196" s="1851"/>
      <c r="M196" s="1851"/>
      <c r="N196" s="1851"/>
      <c r="O196" s="1851"/>
      <c r="P196" s="1851"/>
      <c r="Q196" s="1851"/>
    </row>
    <row r="197" spans="2:17" ht="16.95" customHeight="1">
      <c r="B197" s="1855"/>
      <c r="C197" s="1855"/>
      <c r="D197" s="1855"/>
      <c r="E197" s="1855"/>
      <c r="F197" s="1855"/>
      <c r="G197" s="1855"/>
      <c r="H197" s="1855"/>
      <c r="I197" s="1851"/>
      <c r="J197" s="1851"/>
      <c r="K197" s="1851"/>
      <c r="L197" s="1851"/>
      <c r="M197" s="1851"/>
      <c r="N197" s="1851"/>
      <c r="O197" s="1851"/>
      <c r="P197" s="1851"/>
      <c r="Q197" s="1851"/>
    </row>
    <row r="198" spans="2:17" ht="16.95" customHeight="1">
      <c r="B198" s="1956"/>
      <c r="C198" s="1855"/>
      <c r="D198" s="2006"/>
      <c r="E198" s="1855"/>
      <c r="F198" s="2006"/>
      <c r="G198" s="1855"/>
      <c r="H198" s="2006"/>
      <c r="I198" s="1851"/>
      <c r="J198" s="1851"/>
      <c r="K198" s="1851"/>
      <c r="L198" s="1851"/>
      <c r="M198" s="1851"/>
      <c r="N198" s="1851"/>
      <c r="O198" s="1851"/>
      <c r="P198" s="1851"/>
      <c r="Q198" s="1851"/>
    </row>
    <row r="199" spans="2:17" ht="16.95" customHeight="1">
      <c r="B199" s="1855"/>
      <c r="C199" s="1855"/>
      <c r="D199" s="1855"/>
      <c r="E199" s="1855"/>
      <c r="F199" s="1855"/>
      <c r="G199" s="1855"/>
      <c r="H199" s="1855"/>
      <c r="I199" s="1851"/>
      <c r="J199" s="1851"/>
      <c r="K199" s="1851"/>
      <c r="L199" s="1851"/>
      <c r="M199" s="1851"/>
      <c r="N199" s="1851"/>
      <c r="O199" s="1851"/>
      <c r="P199" s="1851"/>
      <c r="Q199" s="1851"/>
    </row>
    <row r="200" spans="2:17" ht="16.95" customHeight="1">
      <c r="B200" s="1956"/>
      <c r="C200" s="1855"/>
      <c r="D200" s="2002"/>
      <c r="E200" s="1855"/>
      <c r="F200" s="2006"/>
      <c r="G200" s="1855"/>
      <c r="H200" s="2006"/>
      <c r="I200" s="1851"/>
      <c r="J200" s="1851"/>
      <c r="K200" s="1851"/>
      <c r="L200" s="1851"/>
      <c r="M200" s="1851"/>
      <c r="N200" s="1851"/>
      <c r="O200" s="1851"/>
      <c r="P200" s="1851"/>
      <c r="Q200" s="1851"/>
    </row>
    <row r="201" spans="2:17" ht="16.95" customHeight="1">
      <c r="B201" s="1855"/>
      <c r="C201" s="1855"/>
      <c r="D201" s="1855"/>
      <c r="E201" s="1855"/>
      <c r="F201" s="1855"/>
      <c r="G201" s="1855"/>
      <c r="H201" s="1855"/>
      <c r="I201" s="1851"/>
      <c r="J201" s="1851"/>
      <c r="K201" s="1851"/>
      <c r="L201" s="1851"/>
      <c r="M201" s="1851"/>
      <c r="N201" s="1851"/>
      <c r="O201" s="1851"/>
      <c r="P201" s="1851"/>
      <c r="Q201" s="1851"/>
    </row>
    <row r="202" spans="2:17" ht="16.95" customHeight="1">
      <c r="B202" s="1956"/>
      <c r="C202" s="1855"/>
      <c r="D202" s="2006"/>
      <c r="E202" s="1855"/>
      <c r="F202" s="2006"/>
      <c r="G202" s="1855"/>
      <c r="H202" s="2006"/>
      <c r="I202" s="1851"/>
      <c r="J202" s="1851"/>
      <c r="K202" s="1851"/>
      <c r="L202" s="1851"/>
      <c r="M202" s="1851"/>
      <c r="N202" s="1851"/>
      <c r="O202" s="1851"/>
      <c r="P202" s="1851"/>
      <c r="Q202" s="1851"/>
    </row>
    <row r="203" spans="2:17" ht="16.95" customHeight="1">
      <c r="B203" s="1855"/>
      <c r="C203" s="1855"/>
      <c r="D203" s="1855"/>
      <c r="E203" s="1855"/>
      <c r="F203" s="1855"/>
      <c r="G203" s="1855"/>
      <c r="H203" s="1855"/>
      <c r="I203" s="1851"/>
      <c r="J203" s="1851"/>
      <c r="K203" s="1851"/>
      <c r="L203" s="1851"/>
      <c r="M203" s="1851"/>
      <c r="N203" s="1851"/>
      <c r="O203" s="1851"/>
      <c r="P203" s="1851"/>
      <c r="Q203" s="1851"/>
    </row>
    <row r="204" spans="2:17" ht="16.95" customHeight="1">
      <c r="B204" s="1956"/>
      <c r="C204" s="1855"/>
      <c r="D204" s="2002"/>
      <c r="E204" s="1855"/>
      <c r="F204" s="2006"/>
      <c r="G204" s="1855"/>
      <c r="H204" s="2006"/>
      <c r="I204" s="1851"/>
      <c r="J204" s="1851"/>
      <c r="K204" s="1851"/>
      <c r="L204" s="1851"/>
      <c r="M204" s="1851"/>
      <c r="N204" s="1851"/>
      <c r="O204" s="1851"/>
      <c r="P204" s="1851"/>
      <c r="Q204" s="1851"/>
    </row>
    <row r="205" spans="2:17" ht="16.95" customHeight="1">
      <c r="B205" s="1855"/>
      <c r="C205" s="1855"/>
      <c r="D205" s="1855"/>
      <c r="E205" s="1855"/>
      <c r="F205" s="1855"/>
      <c r="G205" s="1855"/>
      <c r="H205" s="1855"/>
      <c r="I205" s="1851"/>
      <c r="J205" s="1851"/>
      <c r="K205" s="1851"/>
      <c r="L205" s="1851"/>
      <c r="M205" s="1851"/>
      <c r="N205" s="1851"/>
      <c r="O205" s="1851"/>
      <c r="P205" s="1851"/>
      <c r="Q205" s="1851"/>
    </row>
    <row r="206" spans="2:17" ht="16.95" customHeight="1">
      <c r="B206" s="1956"/>
      <c r="C206" s="1855"/>
      <c r="D206" s="2006"/>
      <c r="E206" s="1855"/>
      <c r="F206" s="2006"/>
      <c r="G206" s="1855"/>
      <c r="H206" s="2006"/>
      <c r="I206" s="1851"/>
      <c r="J206" s="1851"/>
      <c r="K206" s="1851"/>
      <c r="L206" s="1851"/>
      <c r="M206" s="1851"/>
      <c r="N206" s="1851"/>
      <c r="O206" s="1851"/>
      <c r="P206" s="1851"/>
      <c r="Q206" s="1851"/>
    </row>
    <row r="207" spans="2:17" ht="16.95" customHeight="1">
      <c r="B207" s="1855"/>
      <c r="C207" s="1855"/>
      <c r="D207" s="1855"/>
      <c r="E207" s="1855"/>
      <c r="F207" s="1855"/>
      <c r="G207" s="1855"/>
      <c r="H207" s="1855"/>
      <c r="I207" s="1851"/>
      <c r="J207" s="1851"/>
      <c r="K207" s="1851"/>
      <c r="L207" s="1851"/>
      <c r="M207" s="1851"/>
      <c r="N207" s="1851"/>
      <c r="O207" s="1851"/>
      <c r="P207" s="1851"/>
      <c r="Q207" s="1851"/>
    </row>
    <row r="208" spans="2:17" ht="16.95" customHeight="1">
      <c r="B208" s="1956"/>
      <c r="C208" s="1855"/>
      <c r="D208" s="2002"/>
      <c r="E208" s="1855"/>
      <c r="F208" s="2006"/>
      <c r="G208" s="1855"/>
      <c r="H208" s="2006"/>
      <c r="I208" s="1851"/>
      <c r="J208" s="1851"/>
      <c r="K208" s="1851"/>
      <c r="L208" s="1851"/>
      <c r="M208" s="1851"/>
      <c r="N208" s="1851"/>
      <c r="O208" s="1851"/>
      <c r="P208" s="1851"/>
      <c r="Q208" s="1851"/>
    </row>
    <row r="209" spans="2:17" ht="16.95" customHeight="1">
      <c r="B209" s="1855"/>
      <c r="C209" s="1855"/>
      <c r="D209" s="1855"/>
      <c r="E209" s="1855"/>
      <c r="F209" s="1855"/>
      <c r="G209" s="1855"/>
      <c r="H209" s="1855"/>
      <c r="I209" s="1851"/>
      <c r="J209" s="1851"/>
      <c r="K209" s="1851"/>
      <c r="L209" s="1851"/>
      <c r="M209" s="1851"/>
      <c r="N209" s="1851"/>
      <c r="O209" s="1851"/>
      <c r="P209" s="1851"/>
      <c r="Q209" s="1851"/>
    </row>
    <row r="210" spans="2:17" ht="16.95" customHeight="1">
      <c r="B210" s="1861"/>
      <c r="C210" s="1855"/>
      <c r="D210" s="1861"/>
      <c r="E210" s="1855"/>
      <c r="F210" s="1861"/>
      <c r="G210" s="1855"/>
      <c r="H210" s="1861"/>
      <c r="I210" s="1851"/>
      <c r="J210" s="1851"/>
      <c r="K210" s="1851"/>
      <c r="L210" s="1851"/>
      <c r="M210" s="1851"/>
      <c r="N210" s="1851"/>
      <c r="O210" s="1851"/>
      <c r="P210" s="1851"/>
      <c r="Q210" s="1851"/>
    </row>
    <row r="211" spans="2:17" ht="16.95" customHeight="1">
      <c r="B211" s="1855"/>
      <c r="C211" s="1855"/>
      <c r="D211" s="1855"/>
      <c r="E211" s="1855"/>
      <c r="F211" s="1855"/>
      <c r="G211" s="1855"/>
      <c r="H211" s="1855"/>
      <c r="I211" s="1851"/>
      <c r="J211" s="1851"/>
      <c r="K211" s="1851"/>
      <c r="L211" s="1851"/>
      <c r="M211" s="1851"/>
      <c r="N211" s="1851"/>
      <c r="O211" s="1851"/>
      <c r="P211" s="1851"/>
      <c r="Q211" s="1851"/>
    </row>
    <row r="212" spans="2:17" ht="18" customHeight="1">
      <c r="B212" s="2102"/>
      <c r="C212" s="1855"/>
      <c r="D212" s="1855"/>
      <c r="E212" s="1855"/>
      <c r="F212" s="1855"/>
      <c r="G212" s="1855"/>
      <c r="H212" s="1855"/>
      <c r="I212" s="1851"/>
      <c r="J212" s="1851"/>
      <c r="K212" s="1851"/>
      <c r="L212" s="1851"/>
      <c r="M212" s="1851"/>
      <c r="N212" s="1851"/>
      <c r="O212" s="1851"/>
      <c r="P212" s="1851"/>
      <c r="Q212" s="1851"/>
    </row>
    <row r="213" spans="2:17" ht="18" customHeight="1">
      <c r="B213" s="1855"/>
      <c r="C213" s="1855"/>
      <c r="D213" s="1855"/>
      <c r="E213" s="1855"/>
      <c r="F213" s="1855"/>
      <c r="G213" s="1855"/>
      <c r="H213" s="1855"/>
      <c r="I213" s="1851"/>
      <c r="J213" s="1851"/>
      <c r="K213" s="1851"/>
      <c r="L213" s="1851"/>
      <c r="M213" s="1851"/>
      <c r="N213" s="1851"/>
      <c r="O213" s="1851"/>
      <c r="P213" s="1851"/>
      <c r="Q213" s="1851"/>
    </row>
    <row r="214" spans="2:17" ht="18" customHeight="1">
      <c r="B214" s="1855"/>
      <c r="C214" s="1855"/>
      <c r="D214" s="1855"/>
      <c r="E214" s="1855"/>
      <c r="F214" s="1855"/>
      <c r="G214" s="1855"/>
      <c r="H214" s="1855"/>
      <c r="I214" s="1851"/>
      <c r="J214" s="1851"/>
      <c r="K214" s="1851"/>
      <c r="L214" s="1851"/>
      <c r="M214" s="1851"/>
      <c r="N214" s="1851"/>
      <c r="O214" s="1851"/>
      <c r="P214" s="1851"/>
      <c r="Q214" s="1851"/>
    </row>
    <row r="215" spans="2:17" ht="18" customHeight="1">
      <c r="B215" s="200"/>
      <c r="C215" s="200"/>
      <c r="D215" s="200"/>
      <c r="E215" s="200"/>
      <c r="F215" s="200"/>
      <c r="G215" s="200"/>
      <c r="H215" s="200"/>
      <c r="I215" s="200"/>
      <c r="J215" s="200"/>
      <c r="K215" s="200"/>
      <c r="L215" s="200"/>
      <c r="M215" s="200"/>
      <c r="N215" s="200"/>
      <c r="O215" s="200"/>
      <c r="P215" s="200"/>
      <c r="Q215" s="200"/>
    </row>
    <row r="216" spans="2:17" ht="18" customHeight="1">
      <c r="B216" s="1711"/>
      <c r="C216" s="1855"/>
      <c r="D216" s="1855"/>
      <c r="E216" s="1855"/>
      <c r="F216" s="1855"/>
      <c r="G216" s="1855"/>
      <c r="J216" s="1711"/>
      <c r="K216" s="1851"/>
      <c r="L216" s="1851"/>
      <c r="M216" s="1851"/>
      <c r="N216" s="1851"/>
      <c r="O216" s="1851"/>
      <c r="P216" s="1851"/>
      <c r="Q216" s="1851"/>
    </row>
    <row r="217" spans="2:17" ht="18" customHeight="1">
      <c r="B217" s="1855"/>
      <c r="C217" s="1855"/>
      <c r="D217" s="1855"/>
      <c r="E217" s="1855"/>
      <c r="F217" s="1855"/>
      <c r="G217" s="1855"/>
      <c r="J217" s="1851"/>
      <c r="K217" s="1851"/>
      <c r="L217" s="1851"/>
      <c r="M217" s="1851"/>
      <c r="N217" s="1851"/>
      <c r="O217" s="1851"/>
      <c r="P217" s="1851"/>
      <c r="Q217" s="1851"/>
    </row>
    <row r="218" spans="2:17" ht="18" customHeight="1">
      <c r="B218" s="2012"/>
      <c r="C218" s="1855"/>
      <c r="D218" s="1855"/>
      <c r="E218" s="1855"/>
      <c r="F218" s="1855"/>
      <c r="G218" s="2036"/>
      <c r="J218" s="2036"/>
      <c r="K218" s="1851"/>
      <c r="L218" s="1851"/>
      <c r="M218" s="1851"/>
      <c r="N218" s="2011"/>
      <c r="O218" s="1851"/>
      <c r="P218" s="1851"/>
      <c r="Q218" s="1851"/>
    </row>
    <row r="219" spans="2:17" ht="18" customHeight="1">
      <c r="B219" s="1855"/>
      <c r="C219" s="1855"/>
      <c r="D219" s="1855"/>
      <c r="E219" s="1855"/>
      <c r="F219" s="1855"/>
      <c r="G219" s="1855"/>
      <c r="J219" s="1851"/>
      <c r="K219" s="1851"/>
      <c r="L219" s="1851"/>
      <c r="M219" s="1851"/>
      <c r="N219" s="2036"/>
      <c r="O219" s="1851"/>
      <c r="P219" s="1851"/>
      <c r="Q219" s="1851"/>
    </row>
    <row r="220" spans="2:17" ht="18" customHeight="1">
      <c r="B220" s="1855"/>
      <c r="C220" s="1855"/>
      <c r="D220" s="1855"/>
      <c r="E220" s="1855"/>
      <c r="F220" s="1855"/>
      <c r="G220" s="1855"/>
      <c r="J220" s="1851"/>
      <c r="K220" s="1851"/>
      <c r="L220" s="1851"/>
      <c r="M220" s="1851"/>
      <c r="N220" s="1851"/>
      <c r="O220" s="1851"/>
      <c r="P220" s="1851"/>
      <c r="Q220" s="1851"/>
    </row>
    <row r="221" spans="2:17" ht="18" customHeight="1">
      <c r="B221" s="1855"/>
      <c r="C221" s="1855"/>
      <c r="D221" s="1855"/>
      <c r="E221" s="1855"/>
      <c r="F221" s="1855"/>
      <c r="G221" s="1855"/>
      <c r="J221" s="1851"/>
      <c r="K221" s="1851"/>
      <c r="L221" s="1851"/>
      <c r="M221" s="1851"/>
      <c r="N221" s="2011"/>
      <c r="O221" s="1851"/>
      <c r="P221" s="1851"/>
      <c r="Q221" s="1851"/>
    </row>
    <row r="222" spans="2:17" ht="18" customHeight="1">
      <c r="B222" s="1855"/>
      <c r="C222" s="1855"/>
      <c r="D222" s="1855"/>
      <c r="E222" s="1855"/>
      <c r="F222" s="1855"/>
      <c r="G222" s="1855"/>
      <c r="J222" s="1851"/>
      <c r="K222" s="1851"/>
      <c r="L222" s="1851"/>
      <c r="M222" s="1851"/>
      <c r="N222" s="2036"/>
      <c r="O222" s="1851"/>
      <c r="P222" s="1851"/>
      <c r="Q222" s="1851"/>
    </row>
    <row r="223" spans="2:17" ht="18" customHeight="1">
      <c r="B223" s="2012"/>
      <c r="C223" s="1855"/>
      <c r="D223" s="1855"/>
      <c r="E223" s="1855"/>
      <c r="F223" s="1855"/>
      <c r="G223" s="1855"/>
      <c r="J223" s="1851"/>
      <c r="K223" s="1851"/>
      <c r="L223" s="1851"/>
      <c r="M223" s="1851"/>
      <c r="N223" s="1851"/>
      <c r="O223" s="1851"/>
      <c r="P223" s="1851"/>
      <c r="Q223" s="1851"/>
    </row>
    <row r="224" spans="2:17" ht="18" customHeight="1">
      <c r="B224" s="1855"/>
      <c r="C224" s="1855"/>
      <c r="D224" s="1855"/>
      <c r="E224" s="1855"/>
      <c r="F224" s="1855"/>
      <c r="G224" s="1855"/>
      <c r="J224" s="2029"/>
      <c r="K224" s="1851"/>
      <c r="L224" s="1851"/>
      <c r="M224" s="1851"/>
      <c r="N224" s="1851"/>
      <c r="O224" s="1851"/>
      <c r="P224" s="1851"/>
      <c r="Q224" s="1851"/>
    </row>
    <row r="225" spans="2:17" ht="18" customHeight="1">
      <c r="B225" s="1855"/>
      <c r="C225" s="1855"/>
      <c r="D225" s="1855"/>
      <c r="E225" s="1855"/>
      <c r="F225" s="1855"/>
      <c r="G225" s="1855"/>
      <c r="J225" s="1851"/>
      <c r="K225" s="1851"/>
      <c r="L225" s="1851"/>
      <c r="M225" s="1851"/>
      <c r="N225" s="1851"/>
      <c r="O225" s="1851"/>
      <c r="P225" s="1851"/>
      <c r="Q225" s="1851"/>
    </row>
    <row r="226" spans="2:17" ht="18" customHeight="1">
      <c r="B226" s="1855"/>
      <c r="C226" s="1855"/>
      <c r="D226" s="1855"/>
      <c r="E226" s="1855"/>
      <c r="F226" s="1855"/>
      <c r="G226" s="1855"/>
      <c r="J226" s="1851"/>
      <c r="K226" s="1851"/>
      <c r="L226" s="1851"/>
      <c r="M226" s="1851"/>
      <c r="N226" s="1851"/>
      <c r="O226" s="1851"/>
      <c r="P226" s="1851"/>
      <c r="Q226" s="1851"/>
    </row>
    <row r="227" spans="2:17" ht="18" customHeight="1">
      <c r="B227" s="1855"/>
      <c r="C227" s="1855"/>
      <c r="D227" s="1855"/>
      <c r="E227" s="1855"/>
      <c r="F227" s="1855"/>
      <c r="G227" s="1855"/>
      <c r="J227" s="1851"/>
      <c r="K227" s="1851"/>
      <c r="L227" s="1851"/>
      <c r="M227" s="1851"/>
      <c r="N227" s="1851"/>
      <c r="O227" s="1851"/>
      <c r="P227" s="1851"/>
      <c r="Q227" s="1851"/>
    </row>
    <row r="228" spans="2:17" ht="18" customHeight="1">
      <c r="B228" s="201"/>
      <c r="C228" s="201"/>
      <c r="D228" s="201"/>
      <c r="E228" s="201"/>
      <c r="F228" s="201"/>
      <c r="G228" s="200"/>
      <c r="J228" s="1851"/>
      <c r="K228" s="1851"/>
      <c r="L228" s="1851"/>
      <c r="M228" s="1851"/>
      <c r="N228" s="1851"/>
      <c r="O228" s="1851"/>
      <c r="P228" s="1851"/>
      <c r="Q228" s="1851"/>
    </row>
    <row r="229" spans="2:17" ht="18" customHeight="1">
      <c r="B229" s="201"/>
      <c r="C229" s="201"/>
      <c r="D229" s="201"/>
      <c r="E229" s="201"/>
      <c r="F229" s="201"/>
      <c r="G229" s="200"/>
      <c r="H229" s="200"/>
      <c r="I229" s="200"/>
      <c r="J229" s="200"/>
      <c r="K229" s="200"/>
      <c r="L229" s="200"/>
      <c r="M229" s="200"/>
      <c r="N229" s="200"/>
      <c r="O229" s="200"/>
      <c r="P229" s="200"/>
    </row>
    <row r="230" spans="2:17" ht="18" customHeight="1">
      <c r="C230" s="31"/>
      <c r="D230" s="31"/>
      <c r="E230" s="31"/>
      <c r="F230" s="31"/>
      <c r="G230" s="31"/>
      <c r="H230" s="31"/>
      <c r="J230" s="1711"/>
      <c r="K230" s="1851"/>
      <c r="L230" s="1851"/>
      <c r="M230" s="1851"/>
      <c r="N230" s="1851"/>
      <c r="O230" s="1851"/>
      <c r="P230" s="1851"/>
      <c r="Q230" s="1851"/>
    </row>
    <row r="231" spans="2:17" ht="18" customHeight="1">
      <c r="C231" s="31"/>
      <c r="D231" s="31"/>
      <c r="E231" s="31"/>
      <c r="F231" s="31"/>
      <c r="G231" s="31"/>
      <c r="H231" s="31"/>
      <c r="J231" s="1851"/>
      <c r="K231" s="1851"/>
      <c r="L231" s="1851"/>
      <c r="M231" s="1851"/>
      <c r="N231" s="1851"/>
      <c r="O231" s="1851"/>
      <c r="P231" s="1851"/>
      <c r="Q231" s="1851"/>
    </row>
    <row r="232" spans="2:17" ht="18" customHeight="1">
      <c r="C232" s="31"/>
      <c r="D232" s="31"/>
      <c r="E232" s="31"/>
      <c r="F232" s="31"/>
      <c r="G232" s="31"/>
      <c r="H232" s="31"/>
      <c r="J232" s="2036"/>
      <c r="K232" s="1851"/>
      <c r="L232" s="1851"/>
      <c r="M232" s="1851"/>
      <c r="N232" s="1851"/>
      <c r="O232" s="1851"/>
      <c r="P232" s="1851"/>
      <c r="Q232" s="1851"/>
    </row>
    <row r="233" spans="2:17" ht="18" customHeight="1">
      <c r="C233" s="31"/>
      <c r="D233" s="31"/>
      <c r="E233" s="31"/>
      <c r="F233" s="31"/>
      <c r="G233" s="31"/>
      <c r="H233" s="31"/>
      <c r="J233" s="1851"/>
      <c r="K233" s="1851"/>
      <c r="L233" s="1851"/>
      <c r="M233" s="1851"/>
      <c r="N233" s="1851"/>
      <c r="O233" s="1851"/>
      <c r="P233" s="1851"/>
      <c r="Q233" s="1851"/>
    </row>
    <row r="234" spans="2:17" ht="18" customHeight="1">
      <c r="C234" s="31"/>
      <c r="D234" s="31"/>
      <c r="E234" s="31"/>
      <c r="F234" s="31"/>
      <c r="G234" s="31"/>
      <c r="H234" s="31"/>
      <c r="J234" s="2029"/>
      <c r="K234" s="1851"/>
      <c r="L234" s="1851"/>
      <c r="M234" s="1851"/>
      <c r="N234" s="1851"/>
      <c r="O234" s="1851"/>
      <c r="P234" s="1851"/>
      <c r="Q234" s="1851"/>
    </row>
    <row r="235" spans="2:17" ht="18" customHeight="1">
      <c r="C235" s="31"/>
      <c r="D235" s="31"/>
      <c r="E235" s="31"/>
      <c r="F235" s="31"/>
      <c r="G235" s="31"/>
      <c r="H235" s="31"/>
      <c r="J235" s="1851"/>
      <c r="K235" s="1851"/>
      <c r="L235" s="1851"/>
      <c r="M235" s="1851"/>
      <c r="N235" s="1851"/>
      <c r="O235" s="1851"/>
      <c r="P235" s="1851"/>
      <c r="Q235" s="1851"/>
    </row>
    <row r="236" spans="2:17" ht="18" customHeight="1">
      <c r="C236" s="31"/>
      <c r="D236" s="31"/>
      <c r="E236" s="31"/>
      <c r="F236" s="31"/>
      <c r="G236" s="31"/>
      <c r="H236" s="31"/>
      <c r="J236" s="1851"/>
      <c r="K236" s="1851"/>
      <c r="L236" s="1851"/>
      <c r="M236" s="1851"/>
      <c r="N236" s="1851"/>
      <c r="O236" s="1851"/>
      <c r="P236" s="1851"/>
      <c r="Q236" s="1851"/>
    </row>
    <row r="237" spans="2:17" ht="18" customHeight="1">
      <c r="C237" s="31"/>
      <c r="D237" s="31"/>
      <c r="E237" s="31"/>
      <c r="F237" s="31"/>
      <c r="G237" s="31"/>
      <c r="H237" s="31"/>
      <c r="J237" s="1851"/>
      <c r="K237" s="1851"/>
      <c r="L237" s="1851"/>
      <c r="M237" s="1851"/>
      <c r="N237" s="1851"/>
      <c r="O237" s="1851"/>
      <c r="P237" s="1851"/>
      <c r="Q237" s="1851"/>
    </row>
    <row r="238" spans="2:17" ht="18" customHeight="1">
      <c r="C238" s="31"/>
      <c r="D238" s="31"/>
      <c r="E238" s="31"/>
      <c r="F238" s="31"/>
      <c r="G238" s="31"/>
      <c r="H238" s="31"/>
      <c r="J238" s="1851"/>
      <c r="K238" s="1851"/>
      <c r="L238" s="1851"/>
      <c r="M238" s="1851"/>
      <c r="N238" s="1851"/>
      <c r="O238" s="1851"/>
      <c r="P238" s="1851"/>
      <c r="Q238" s="1851"/>
    </row>
    <row r="239" spans="2:17" ht="18" customHeight="1">
      <c r="C239" s="31"/>
      <c r="D239" s="31"/>
      <c r="E239" s="31"/>
      <c r="F239" s="31"/>
      <c r="G239" s="31"/>
      <c r="H239" s="31"/>
      <c r="J239" s="1851"/>
      <c r="K239" s="1851"/>
      <c r="L239" s="1851"/>
      <c r="M239" s="1851"/>
      <c r="N239" s="1851"/>
      <c r="O239" s="1851"/>
      <c r="P239" s="1851"/>
      <c r="Q239" s="1851"/>
    </row>
    <row r="241" spans="10:17" ht="18" customHeight="1">
      <c r="J241" s="1711"/>
      <c r="K241" s="1851"/>
      <c r="L241" s="1851"/>
      <c r="M241" s="1851"/>
      <c r="N241" s="1851"/>
      <c r="O241" s="1851"/>
      <c r="P241" s="1851"/>
      <c r="Q241" s="1851"/>
    </row>
    <row r="242" spans="10:17" ht="18" customHeight="1">
      <c r="J242" s="1851"/>
      <c r="K242" s="1851"/>
      <c r="L242" s="1851"/>
      <c r="M242" s="1851"/>
      <c r="N242" s="1851"/>
      <c r="O242" s="1851"/>
      <c r="P242" s="1851"/>
      <c r="Q242" s="1851"/>
    </row>
    <row r="243" spans="10:17" ht="18" customHeight="1">
      <c r="J243" s="2036"/>
      <c r="K243" s="1851"/>
      <c r="L243" s="1851"/>
      <c r="M243" s="1851"/>
      <c r="N243" s="2011"/>
      <c r="O243" s="1851"/>
      <c r="P243" s="1851"/>
      <c r="Q243" s="1851"/>
    </row>
    <row r="244" spans="10:17" ht="18" customHeight="1">
      <c r="J244" s="1851"/>
      <c r="K244" s="1851"/>
      <c r="L244" s="1851"/>
      <c r="M244" s="1851"/>
      <c r="N244" s="2036"/>
      <c r="O244" s="1851"/>
      <c r="P244" s="1851"/>
      <c r="Q244" s="1851"/>
    </row>
    <row r="245" spans="10:17" ht="18" customHeight="1">
      <c r="J245" s="1851"/>
      <c r="K245" s="1851"/>
      <c r="L245" s="1851"/>
      <c r="M245" s="1851"/>
      <c r="N245" s="1851"/>
      <c r="O245" s="1851"/>
      <c r="P245" s="1851"/>
      <c r="Q245" s="1851"/>
    </row>
    <row r="246" spans="10:17" ht="18" customHeight="1">
      <c r="J246" s="1851"/>
      <c r="K246" s="1851"/>
      <c r="L246" s="1851"/>
      <c r="M246" s="1851"/>
      <c r="N246" s="2011"/>
      <c r="O246" s="1851"/>
      <c r="P246" s="1851"/>
      <c r="Q246" s="1851"/>
    </row>
    <row r="247" spans="10:17" ht="18" customHeight="1">
      <c r="J247" s="1851"/>
      <c r="K247" s="1851"/>
      <c r="L247" s="1851"/>
      <c r="M247" s="1851"/>
      <c r="N247" s="2036"/>
      <c r="O247" s="1851"/>
      <c r="P247" s="1851"/>
      <c r="Q247" s="1851"/>
    </row>
    <row r="248" spans="10:17" ht="18" customHeight="1">
      <c r="J248" s="1851"/>
      <c r="K248" s="1851"/>
      <c r="L248" s="1851"/>
      <c r="M248" s="1851"/>
      <c r="N248" s="1851"/>
      <c r="O248" s="1851"/>
      <c r="P248" s="1851"/>
      <c r="Q248" s="1851"/>
    </row>
    <row r="249" spans="10:17">
      <c r="J249" s="2029"/>
      <c r="K249" s="1851"/>
      <c r="L249" s="1851"/>
      <c r="M249" s="1851"/>
      <c r="N249" s="1851"/>
      <c r="O249" s="1851"/>
      <c r="P249" s="1851"/>
      <c r="Q249" s="1851"/>
    </row>
    <row r="250" spans="10:17">
      <c r="J250" s="1851"/>
      <c r="K250" s="1851"/>
      <c r="L250" s="1851"/>
      <c r="M250" s="1851"/>
      <c r="N250" s="1851"/>
      <c r="O250" s="1851"/>
      <c r="P250" s="1851"/>
      <c r="Q250" s="1851"/>
    </row>
    <row r="251" spans="10:17">
      <c r="J251" s="1851"/>
      <c r="K251" s="1851"/>
      <c r="L251" s="1851"/>
      <c r="M251" s="1851"/>
      <c r="N251" s="1851"/>
      <c r="O251" s="1851"/>
      <c r="P251" s="1851"/>
      <c r="Q251" s="1851"/>
    </row>
    <row r="252" spans="10:17">
      <c r="J252" s="1851"/>
      <c r="K252" s="1851"/>
      <c r="L252" s="1851"/>
      <c r="M252" s="1851"/>
      <c r="N252" s="1851"/>
      <c r="O252" s="1851"/>
      <c r="P252" s="1851"/>
      <c r="Q252" s="1851"/>
    </row>
    <row r="253" spans="10:17">
      <c r="J253" s="1851"/>
      <c r="K253" s="1851"/>
      <c r="L253" s="1851"/>
      <c r="M253" s="1851"/>
      <c r="N253" s="1851"/>
      <c r="O253" s="1851"/>
      <c r="P253" s="1851"/>
      <c r="Q253" s="1851"/>
    </row>
    <row r="254" spans="10:17">
      <c r="J254" s="1851"/>
      <c r="K254" s="1851"/>
      <c r="L254" s="1851"/>
      <c r="M254" s="1851"/>
      <c r="N254" s="1851"/>
      <c r="O254" s="1851"/>
      <c r="P254" s="1851"/>
      <c r="Q254" s="1851"/>
    </row>
  </sheetData>
  <mergeCells count="240">
    <mergeCell ref="J243:M248"/>
    <mergeCell ref="Z58:Z64"/>
    <mergeCell ref="K30:O32"/>
    <mergeCell ref="B87:J87"/>
    <mergeCell ref="Z115:AC116"/>
    <mergeCell ref="B157:B158"/>
    <mergeCell ref="D147:E154"/>
    <mergeCell ref="X94:AE95"/>
    <mergeCell ref="X117:X118"/>
    <mergeCell ref="K159:N160"/>
    <mergeCell ref="Q132:U134"/>
    <mergeCell ref="J174:L176"/>
    <mergeCell ref="K106:O106"/>
    <mergeCell ref="F157:G158"/>
    <mergeCell ref="H196:Q197"/>
    <mergeCell ref="AA42:AE45"/>
    <mergeCell ref="AD115:AE120"/>
    <mergeCell ref="AC108:AE109"/>
    <mergeCell ref="D206:E207"/>
    <mergeCell ref="D187:E187"/>
    <mergeCell ref="V126:W128"/>
    <mergeCell ref="Q113:V115"/>
    <mergeCell ref="F187:G187"/>
    <mergeCell ref="U109:U112"/>
    <mergeCell ref="B212:Q214"/>
    <mergeCell ref="N246:Q246"/>
    <mergeCell ref="H208:Q209"/>
    <mergeCell ref="C170:D171"/>
    <mergeCell ref="Q71:Z73"/>
    <mergeCell ref="C157:D158"/>
    <mergeCell ref="F202:G203"/>
    <mergeCell ref="F208:G209"/>
    <mergeCell ref="D194:E195"/>
    <mergeCell ref="B216:G217"/>
    <mergeCell ref="B218:F222"/>
    <mergeCell ref="B206:C207"/>
    <mergeCell ref="N244:Q245"/>
    <mergeCell ref="B204:C205"/>
    <mergeCell ref="J232:Q233"/>
    <mergeCell ref="N221:Q221"/>
    <mergeCell ref="B188:C189"/>
    <mergeCell ref="D188:E189"/>
    <mergeCell ref="H190:Q191"/>
    <mergeCell ref="J216:Q217"/>
    <mergeCell ref="D196:E197"/>
    <mergeCell ref="F190:G191"/>
    <mergeCell ref="X129:AE131"/>
    <mergeCell ref="L146:M146"/>
    <mergeCell ref="AD97:AE97"/>
    <mergeCell ref="Q94:V95"/>
    <mergeCell ref="Q138:U140"/>
    <mergeCell ref="F192:G193"/>
    <mergeCell ref="V125:W125"/>
    <mergeCell ref="V109:V112"/>
    <mergeCell ref="H210:Q211"/>
    <mergeCell ref="K98:L102"/>
    <mergeCell ref="K110:L111"/>
    <mergeCell ref="F194:G195"/>
    <mergeCell ref="F159:G167"/>
    <mergeCell ref="V129:W131"/>
    <mergeCell ref="H159:I167"/>
    <mergeCell ref="O164:Q167"/>
    <mergeCell ref="K103:L105"/>
    <mergeCell ref="K108:O108"/>
    <mergeCell ref="O159:Q160"/>
    <mergeCell ref="Y117:Y118"/>
    <mergeCell ref="N98:O101"/>
    <mergeCell ref="H188:Q189"/>
    <mergeCell ref="Q102:V103"/>
    <mergeCell ref="AB113:AE114"/>
    <mergeCell ref="J179:L179"/>
    <mergeCell ref="F196:G197"/>
    <mergeCell ref="AA1:AE1"/>
    <mergeCell ref="B170:B171"/>
    <mergeCell ref="I147:J154"/>
    <mergeCell ref="F146:G146"/>
    <mergeCell ref="K68:K75"/>
    <mergeCell ref="K164:N167"/>
    <mergeCell ref="C159:D160"/>
    <mergeCell ref="L36:O45"/>
    <mergeCell ref="AB106:AB107"/>
    <mergeCell ref="Y119:Y120"/>
    <mergeCell ref="I13:I15"/>
    <mergeCell ref="F170:G171"/>
    <mergeCell ref="X135:AE137"/>
    <mergeCell ref="L147:M154"/>
    <mergeCell ref="X125:AE125"/>
    <mergeCell ref="B84:J84"/>
    <mergeCell ref="AD99:AE99"/>
    <mergeCell ref="Q135:U137"/>
    <mergeCell ref="AA39:AE41"/>
    <mergeCell ref="K112:L113"/>
    <mergeCell ref="J13:J26"/>
    <mergeCell ref="B89:J89"/>
    <mergeCell ref="AB110:AB112"/>
    <mergeCell ref="Z11:Z13"/>
    <mergeCell ref="AA2:AA23"/>
    <mergeCell ref="B190:C191"/>
    <mergeCell ref="F206:G207"/>
    <mergeCell ref="N110:O111"/>
    <mergeCell ref="V132:W134"/>
    <mergeCell ref="M172:Q180"/>
    <mergeCell ref="K114:L115"/>
    <mergeCell ref="D190:E191"/>
    <mergeCell ref="S109:T112"/>
    <mergeCell ref="Z37:Z48"/>
    <mergeCell ref="F198:G199"/>
    <mergeCell ref="Z49:Z57"/>
    <mergeCell ref="J2:J12"/>
    <mergeCell ref="Q129:U131"/>
    <mergeCell ref="J59:J67"/>
    <mergeCell ref="Q78:Z80"/>
    <mergeCell ref="K13:O16"/>
    <mergeCell ref="B202:C203"/>
    <mergeCell ref="Q77:Z77"/>
    <mergeCell ref="Q70:Z70"/>
    <mergeCell ref="Z17:Z23"/>
    <mergeCell ref="B196:C197"/>
    <mergeCell ref="B198:C199"/>
    <mergeCell ref="B147:B154"/>
    <mergeCell ref="AC96:AE96"/>
    <mergeCell ref="H198:Q199"/>
    <mergeCell ref="K17:O26"/>
    <mergeCell ref="K157:Q158"/>
    <mergeCell ref="AC106:AE107"/>
    <mergeCell ref="N222:Q223"/>
    <mergeCell ref="Z24:Z36"/>
    <mergeCell ref="D198:E199"/>
    <mergeCell ref="X106:AA109"/>
    <mergeCell ref="B185:Q186"/>
    <mergeCell ref="B159:B167"/>
    <mergeCell ref="I170:Q171"/>
    <mergeCell ref="Q96:V100"/>
    <mergeCell ref="AB108:AB109"/>
    <mergeCell ref="H200:Q201"/>
    <mergeCell ref="H157:I158"/>
    <mergeCell ref="J42:J58"/>
    <mergeCell ref="Y115:Y116"/>
    <mergeCell ref="X119:X120"/>
    <mergeCell ref="B172:B180"/>
    <mergeCell ref="D204:E205"/>
    <mergeCell ref="F204:G205"/>
    <mergeCell ref="B210:C211"/>
    <mergeCell ref="D210:E211"/>
    <mergeCell ref="J249:Q254"/>
    <mergeCell ref="Z14:Z16"/>
    <mergeCell ref="D200:E201"/>
    <mergeCell ref="F200:G201"/>
    <mergeCell ref="Q122:AE124"/>
    <mergeCell ref="G218:G227"/>
    <mergeCell ref="N102:O105"/>
    <mergeCell ref="Q74:Z76"/>
    <mergeCell ref="J178:L178"/>
    <mergeCell ref="AD98:AE98"/>
    <mergeCell ref="B88:J88"/>
    <mergeCell ref="Q104:V105"/>
    <mergeCell ref="D202:E203"/>
    <mergeCell ref="H13:H15"/>
    <mergeCell ref="L68:O71"/>
    <mergeCell ref="X114:AA114"/>
    <mergeCell ref="N247:Q248"/>
    <mergeCell ref="B192:C193"/>
    <mergeCell ref="D192:E193"/>
    <mergeCell ref="Q126:U128"/>
    <mergeCell ref="K109:L109"/>
    <mergeCell ref="Q106:R112"/>
    <mergeCell ref="Q84:Z85"/>
    <mergeCell ref="I174:I176"/>
    <mergeCell ref="J234:Q239"/>
    <mergeCell ref="Z117:AC118"/>
    <mergeCell ref="B194:C195"/>
    <mergeCell ref="F210:G211"/>
    <mergeCell ref="N114:O115"/>
    <mergeCell ref="J27:J41"/>
    <mergeCell ref="N219:Q220"/>
    <mergeCell ref="N243:Q243"/>
    <mergeCell ref="J76:J82"/>
    <mergeCell ref="Q90:AE92"/>
    <mergeCell ref="AA69:AE69"/>
    <mergeCell ref="K163:Q163"/>
    <mergeCell ref="B85:J85"/>
    <mergeCell ref="C172:D180"/>
    <mergeCell ref="D146:E146"/>
    <mergeCell ref="J218:M223"/>
    <mergeCell ref="L72:O75"/>
    <mergeCell ref="B187:C187"/>
    <mergeCell ref="X101:AE102"/>
    <mergeCell ref="X132:AE134"/>
    <mergeCell ref="X115:X116"/>
    <mergeCell ref="AD100:AE100"/>
    <mergeCell ref="F147:G154"/>
    <mergeCell ref="J230:Q231"/>
    <mergeCell ref="J241:Q242"/>
    <mergeCell ref="Q125:U125"/>
    <mergeCell ref="N116:O117"/>
    <mergeCell ref="N109:O109"/>
    <mergeCell ref="H202:Q203"/>
    <mergeCell ref="I181:Q183"/>
    <mergeCell ref="K2:O12"/>
    <mergeCell ref="Q81:Z83"/>
    <mergeCell ref="O146:Q146"/>
    <mergeCell ref="Z2:Z10"/>
    <mergeCell ref="H192:Q193"/>
    <mergeCell ref="X110:AA113"/>
    <mergeCell ref="X96:AB100"/>
    <mergeCell ref="V135:W137"/>
    <mergeCell ref="J224:Q228"/>
    <mergeCell ref="X104:AE105"/>
    <mergeCell ref="N112:O113"/>
    <mergeCell ref="X138:AE140"/>
    <mergeCell ref="H206:Q207"/>
    <mergeCell ref="H187:Q187"/>
    <mergeCell ref="AB21:AE23"/>
    <mergeCell ref="I180:L180"/>
    <mergeCell ref="B86:J86"/>
    <mergeCell ref="F188:G189"/>
    <mergeCell ref="K1:O1"/>
    <mergeCell ref="H194:Q195"/>
    <mergeCell ref="F172:G180"/>
    <mergeCell ref="K116:L117"/>
    <mergeCell ref="AA60:AE60"/>
    <mergeCell ref="J68:J75"/>
    <mergeCell ref="I146:J146"/>
    <mergeCell ref="N218:Q218"/>
    <mergeCell ref="B223:F227"/>
    <mergeCell ref="J177:L177"/>
    <mergeCell ref="S106:V108"/>
    <mergeCell ref="B200:C201"/>
    <mergeCell ref="K161:Q162"/>
    <mergeCell ref="Q86:Z87"/>
    <mergeCell ref="AC110:AE112"/>
    <mergeCell ref="V138:W140"/>
    <mergeCell ref="I172:L173"/>
    <mergeCell ref="K27:O29"/>
    <mergeCell ref="Z119:AC120"/>
    <mergeCell ref="H204:Q205"/>
    <mergeCell ref="X126:AE128"/>
    <mergeCell ref="O147:Q154"/>
    <mergeCell ref="B208:C209"/>
    <mergeCell ref="D208:E209"/>
  </mergeCells>
  <phoneticPr fontId="16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2:H63"/>
  <sheetViews>
    <sheetView showGridLines="0" workbookViewId="0"/>
  </sheetViews>
  <sheetFormatPr defaultColWidth="9" defaultRowHeight="15.6"/>
  <cols>
    <col min="1" max="3" width="9" style="14" customWidth="1"/>
    <col min="4" max="4" width="80.6640625" style="14" customWidth="1"/>
    <col min="5" max="6" width="9" style="14" customWidth="1"/>
    <col min="7" max="7" width="80.6640625" style="14" customWidth="1"/>
    <col min="8" max="9" width="9" style="14" customWidth="1"/>
    <col min="10" max="16384" width="9" style="14"/>
  </cols>
  <sheetData>
    <row r="2" spans="3:7" ht="19.05" customHeight="1">
      <c r="C2" s="2118" t="s">
        <v>5512</v>
      </c>
      <c r="D2" s="1089"/>
      <c r="F2" s="2113" t="s">
        <v>5513</v>
      </c>
      <c r="G2" s="2114"/>
    </row>
    <row r="3" spans="3:7">
      <c r="C3" s="15" t="s">
        <v>409</v>
      </c>
      <c r="D3" s="16" t="s">
        <v>5514</v>
      </c>
      <c r="F3" s="15" t="s">
        <v>409</v>
      </c>
      <c r="G3" s="16" t="s">
        <v>5514</v>
      </c>
    </row>
    <row r="4" spans="3:7" ht="55.05" customHeight="1">
      <c r="C4" s="17">
        <v>1</v>
      </c>
      <c r="D4" s="18" t="s">
        <v>5515</v>
      </c>
      <c r="F4" s="17">
        <v>1</v>
      </c>
      <c r="G4" s="18" t="s">
        <v>5516</v>
      </c>
    </row>
    <row r="5" spans="3:7" ht="55.05" customHeight="1">
      <c r="C5" s="19">
        <v>2</v>
      </c>
      <c r="D5" s="20" t="s">
        <v>5517</v>
      </c>
      <c r="F5" s="19">
        <v>2</v>
      </c>
      <c r="G5" s="20" t="s">
        <v>5518</v>
      </c>
    </row>
    <row r="6" spans="3:7" ht="55.05" customHeight="1">
      <c r="C6" s="17">
        <v>3</v>
      </c>
      <c r="D6" s="18" t="s">
        <v>5519</v>
      </c>
      <c r="F6" s="17">
        <v>3</v>
      </c>
      <c r="G6" s="18" t="s">
        <v>5520</v>
      </c>
    </row>
    <row r="7" spans="3:7" ht="55.05" customHeight="1">
      <c r="C7" s="19">
        <v>4</v>
      </c>
      <c r="D7" s="20" t="s">
        <v>5521</v>
      </c>
      <c r="F7" s="19">
        <v>4</v>
      </c>
      <c r="G7" s="20" t="s">
        <v>5522</v>
      </c>
    </row>
    <row r="8" spans="3:7" ht="55.05" customHeight="1">
      <c r="C8" s="17">
        <v>5</v>
      </c>
      <c r="D8" s="18" t="s">
        <v>5523</v>
      </c>
      <c r="F8" s="17">
        <v>5</v>
      </c>
      <c r="G8" s="18" t="s">
        <v>5524</v>
      </c>
    </row>
    <row r="9" spans="3:7" ht="55.05" customHeight="1">
      <c r="C9" s="19">
        <v>6</v>
      </c>
      <c r="D9" s="20" t="s">
        <v>5525</v>
      </c>
      <c r="F9" s="19">
        <v>6</v>
      </c>
      <c r="G9" s="20" t="s">
        <v>5526</v>
      </c>
    </row>
    <row r="10" spans="3:7" ht="55.05" customHeight="1">
      <c r="C10" s="17">
        <v>7</v>
      </c>
      <c r="D10" s="18" t="s">
        <v>5527</v>
      </c>
      <c r="F10" s="17">
        <v>7</v>
      </c>
      <c r="G10" s="18" t="s">
        <v>5528</v>
      </c>
    </row>
    <row r="11" spans="3:7" ht="55.05" customHeight="1">
      <c r="C11" s="19">
        <v>8</v>
      </c>
      <c r="D11" s="20" t="s">
        <v>5529</v>
      </c>
      <c r="F11" s="19">
        <v>8</v>
      </c>
      <c r="G11" s="20" t="s">
        <v>5530</v>
      </c>
    </row>
    <row r="12" spans="3:7" ht="55.05" customHeight="1">
      <c r="C12" s="17">
        <v>9</v>
      </c>
      <c r="D12" s="18" t="s">
        <v>5531</v>
      </c>
      <c r="F12" s="17">
        <v>9</v>
      </c>
      <c r="G12" s="18" t="s">
        <v>5532</v>
      </c>
    </row>
    <row r="13" spans="3:7" ht="55.05" customHeight="1">
      <c r="C13" s="21">
        <v>10</v>
      </c>
      <c r="D13" s="22" t="s">
        <v>5533</v>
      </c>
      <c r="F13" s="21">
        <v>10</v>
      </c>
      <c r="G13" s="23" t="s">
        <v>5534</v>
      </c>
    </row>
    <row r="15" spans="3:7">
      <c r="C15" s="2128" t="s">
        <v>2293</v>
      </c>
      <c r="D15" s="1089"/>
      <c r="F15" s="2128" t="s">
        <v>2294</v>
      </c>
      <c r="G15" s="1089"/>
    </row>
    <row r="16" spans="3:7">
      <c r="C16" s="24" t="s">
        <v>409</v>
      </c>
      <c r="D16" s="25" t="s">
        <v>5535</v>
      </c>
      <c r="E16" s="26"/>
      <c r="F16" s="24" t="s">
        <v>409</v>
      </c>
      <c r="G16" s="25" t="s">
        <v>5535</v>
      </c>
    </row>
    <row r="17" spans="3:7">
      <c r="C17" s="2120">
        <v>0</v>
      </c>
      <c r="D17" s="2127" t="str">
        <f>IF(C17=0,"请在左侧输入数字",VLOOKUP(C17,附表!M114:N213,2,FALSE))</f>
        <v>请在左侧输入数字</v>
      </c>
      <c r="E17" s="26"/>
      <c r="F17" s="2120">
        <v>0</v>
      </c>
      <c r="G17" s="2127" t="str">
        <f>IF(F17=0,"请在左侧输入数字",VLOOKUP(F17,附表!S114:T213,2,FALSE))</f>
        <v>请在左侧输入数字</v>
      </c>
    </row>
    <row r="18" spans="3:7">
      <c r="C18" s="1090"/>
      <c r="D18" s="1091"/>
      <c r="E18" s="26"/>
      <c r="F18" s="1090"/>
      <c r="G18" s="1091"/>
    </row>
    <row r="19" spans="3:7" ht="19.8" customHeight="1">
      <c r="C19" s="27"/>
      <c r="D19" s="27"/>
      <c r="E19" s="26"/>
      <c r="F19" s="27"/>
      <c r="G19" s="27"/>
    </row>
    <row r="23" spans="3:7">
      <c r="C23" s="2136" t="s">
        <v>5536</v>
      </c>
      <c r="D23" s="1088"/>
      <c r="E23" s="1088"/>
      <c r="F23" s="1088"/>
      <c r="G23" s="1089"/>
    </row>
    <row r="24" spans="3:7" ht="16.95" customHeight="1">
      <c r="C24" s="1034"/>
      <c r="D24" s="1603"/>
      <c r="E24" s="1603"/>
      <c r="F24" s="1603"/>
      <c r="G24" s="1015"/>
    </row>
    <row r="25" spans="3:7" ht="20.100000000000001" customHeight="1">
      <c r="C25" s="1090"/>
      <c r="D25" s="1019"/>
      <c r="E25" s="1019"/>
      <c r="F25" s="1019"/>
      <c r="G25" s="1091"/>
    </row>
    <row r="26" spans="3:7" ht="19.8" customHeight="1">
      <c r="C26" s="27"/>
      <c r="D26" s="27"/>
      <c r="E26" s="26"/>
      <c r="F26" s="27"/>
      <c r="G26" s="27"/>
    </row>
    <row r="27" spans="3:7">
      <c r="C27" s="2112" t="s">
        <v>5537</v>
      </c>
      <c r="D27" s="1089"/>
      <c r="E27" s="26"/>
      <c r="F27" s="2112" t="s">
        <v>5538</v>
      </c>
      <c r="G27" s="1089"/>
    </row>
    <row r="28" spans="3:7">
      <c r="C28" s="1034"/>
      <c r="D28" s="1015"/>
      <c r="E28" s="26"/>
      <c r="F28" s="1034"/>
      <c r="G28" s="1015"/>
    </row>
    <row r="29" spans="3:7">
      <c r="C29" s="2135" t="s">
        <v>5539</v>
      </c>
      <c r="D29" s="1628"/>
      <c r="E29" s="26"/>
      <c r="F29" s="2135" t="s">
        <v>5540</v>
      </c>
      <c r="G29" s="1628"/>
    </row>
    <row r="30" spans="3:7">
      <c r="C30" s="1034"/>
      <c r="D30" s="1015"/>
      <c r="E30" s="26"/>
      <c r="F30" s="1034"/>
      <c r="G30" s="1015"/>
    </row>
    <row r="31" spans="3:7" ht="15" customHeight="1">
      <c r="C31" s="1034"/>
      <c r="D31" s="1015"/>
      <c r="E31" s="26"/>
      <c r="F31" s="1034"/>
      <c r="G31" s="1015"/>
    </row>
    <row r="32" spans="3:7" ht="15" customHeight="1">
      <c r="C32" s="1090"/>
      <c r="D32" s="1091"/>
      <c r="E32" s="26"/>
      <c r="F32" s="1034"/>
      <c r="G32" s="1015"/>
    </row>
    <row r="33" spans="3:8" ht="15" customHeight="1">
      <c r="C33" s="27"/>
      <c r="D33" s="27"/>
      <c r="E33" s="26"/>
      <c r="F33" s="1034"/>
      <c r="G33" s="1015"/>
    </row>
    <row r="34" spans="3:8" ht="15" customHeight="1">
      <c r="C34" s="2121" t="s">
        <v>5541</v>
      </c>
      <c r="D34" s="2131" t="s">
        <v>5542</v>
      </c>
      <c r="E34" s="26"/>
      <c r="F34" s="1034"/>
      <c r="G34" s="1015"/>
    </row>
    <row r="35" spans="3:8" ht="15" customHeight="1">
      <c r="C35" s="1034"/>
      <c r="D35" s="2132"/>
      <c r="E35" s="26"/>
      <c r="F35" s="1034"/>
      <c r="G35" s="1015"/>
    </row>
    <row r="36" spans="3:8" ht="15" customHeight="1">
      <c r="C36" s="1034"/>
      <c r="D36" s="2132"/>
      <c r="E36" s="26"/>
      <c r="F36" s="1034"/>
      <c r="G36" s="1015"/>
    </row>
    <row r="37" spans="3:8" ht="15" customHeight="1">
      <c r="C37" s="1034"/>
      <c r="D37" s="2132"/>
      <c r="E37" s="26"/>
      <c r="F37" s="1034"/>
      <c r="G37" s="1015"/>
    </row>
    <row r="38" spans="3:8" ht="15" customHeight="1">
      <c r="C38" s="1034"/>
      <c r="D38" s="2132"/>
      <c r="E38" s="26"/>
      <c r="F38" s="1034"/>
      <c r="G38" s="1015"/>
    </row>
    <row r="39" spans="3:8" ht="15" customHeight="1">
      <c r="C39" s="1034"/>
      <c r="D39" s="2132"/>
      <c r="E39" s="26"/>
      <c r="F39" s="1034"/>
      <c r="G39" s="1015"/>
      <c r="H39" s="28" t="s">
        <v>5543</v>
      </c>
    </row>
    <row r="40" spans="3:8">
      <c r="C40" s="1034"/>
      <c r="D40" s="2139" t="s">
        <v>5544</v>
      </c>
      <c r="E40" s="26"/>
      <c r="F40" s="1034"/>
      <c r="G40" s="1015"/>
    </row>
    <row r="41" spans="3:8">
      <c r="C41" s="1034"/>
      <c r="D41" s="2132"/>
      <c r="E41" s="26"/>
      <c r="F41" s="1034"/>
      <c r="G41" s="1015"/>
    </row>
    <row r="42" spans="3:8">
      <c r="C42" s="1090"/>
      <c r="D42" s="2140"/>
      <c r="E42" s="26"/>
      <c r="F42" s="1090"/>
      <c r="G42" s="1091"/>
    </row>
    <row r="43" spans="3:8" ht="19.8" customHeight="1">
      <c r="C43" s="27"/>
      <c r="D43" s="27"/>
      <c r="E43" s="26"/>
      <c r="F43" s="27"/>
      <c r="G43" s="27"/>
    </row>
    <row r="44" spans="3:8">
      <c r="C44" s="2136" t="s">
        <v>5545</v>
      </c>
      <c r="D44" s="1088"/>
      <c r="E44" s="1088"/>
      <c r="F44" s="1088"/>
      <c r="G44" s="1089"/>
    </row>
    <row r="45" spans="3:8">
      <c r="C45" s="1034"/>
      <c r="D45" s="1603"/>
      <c r="E45" s="1603"/>
      <c r="F45" s="1603"/>
      <c r="G45" s="1015"/>
    </row>
    <row r="46" spans="3:8">
      <c r="C46" s="1090"/>
      <c r="D46" s="1019"/>
      <c r="E46" s="1019"/>
      <c r="F46" s="1019"/>
      <c r="G46" s="1091"/>
    </row>
    <row r="47" spans="3:8" ht="19.8" customHeight="1">
      <c r="C47" s="27"/>
      <c r="D47" s="27"/>
      <c r="E47" s="26"/>
      <c r="F47" s="27"/>
      <c r="G47" s="27"/>
    </row>
    <row r="48" spans="3:8">
      <c r="C48" s="2130" t="s">
        <v>5546</v>
      </c>
      <c r="D48" s="2115" t="s">
        <v>5547</v>
      </c>
      <c r="E48" s="26"/>
      <c r="F48" s="2130" t="s">
        <v>5548</v>
      </c>
      <c r="G48" s="2115" t="s">
        <v>5549</v>
      </c>
    </row>
    <row r="49" spans="3:7">
      <c r="C49" s="1034"/>
      <c r="D49" s="2116"/>
      <c r="E49" s="26"/>
      <c r="F49" s="1034"/>
      <c r="G49" s="2116"/>
    </row>
    <row r="50" spans="3:7">
      <c r="C50" s="1090"/>
      <c r="D50" s="2117"/>
      <c r="E50" s="26"/>
      <c r="F50" s="1090"/>
      <c r="G50" s="2117"/>
    </row>
    <row r="51" spans="3:7">
      <c r="D51" s="26"/>
      <c r="E51" s="26"/>
      <c r="F51" s="29"/>
      <c r="G51" s="29"/>
    </row>
    <row r="52" spans="3:7">
      <c r="C52" s="2137" t="s">
        <v>5550</v>
      </c>
      <c r="D52" s="2122" t="s">
        <v>5551</v>
      </c>
      <c r="E52" s="26"/>
      <c r="F52" s="2130" t="s">
        <v>5552</v>
      </c>
      <c r="G52" s="2125" t="s">
        <v>5553</v>
      </c>
    </row>
    <row r="53" spans="3:7">
      <c r="C53" s="1034"/>
      <c r="D53" s="2116"/>
      <c r="E53" s="26"/>
      <c r="F53" s="1034"/>
      <c r="G53" s="2124"/>
    </row>
    <row r="54" spans="3:7">
      <c r="C54" s="1034"/>
      <c r="D54" s="2116"/>
      <c r="E54" s="26"/>
      <c r="F54" s="1034"/>
      <c r="G54" s="2126" t="s">
        <v>5554</v>
      </c>
    </row>
    <row r="55" spans="3:7">
      <c r="C55" s="2138" t="s">
        <v>5555</v>
      </c>
      <c r="D55" s="2123" t="s">
        <v>5556</v>
      </c>
      <c r="E55" s="26"/>
      <c r="F55" s="1034"/>
      <c r="G55" s="2116"/>
    </row>
    <row r="56" spans="3:7">
      <c r="C56" s="1034"/>
      <c r="D56" s="2124"/>
      <c r="E56" s="26"/>
      <c r="F56" s="1034"/>
      <c r="G56" s="2124"/>
    </row>
    <row r="57" spans="3:7">
      <c r="C57" s="1034"/>
      <c r="D57" s="2129" t="s">
        <v>5557</v>
      </c>
      <c r="E57" s="26"/>
      <c r="F57" s="1034"/>
      <c r="G57" s="2119" t="s">
        <v>5558</v>
      </c>
    </row>
    <row r="58" spans="3:7">
      <c r="C58" s="1034"/>
      <c r="D58" s="2116"/>
      <c r="E58" s="26"/>
      <c r="F58" s="1034"/>
      <c r="G58" s="2116"/>
    </row>
    <row r="59" spans="3:7">
      <c r="C59" s="2133" t="s">
        <v>5559</v>
      </c>
      <c r="D59" s="2141" t="s">
        <v>5560</v>
      </c>
      <c r="E59" s="26"/>
      <c r="F59" s="1034"/>
      <c r="G59" s="2116"/>
    </row>
    <row r="60" spans="3:7">
      <c r="C60" s="1034"/>
      <c r="D60" s="2116"/>
      <c r="E60" s="26"/>
      <c r="F60" s="1034"/>
      <c r="G60" s="2134" t="s">
        <v>5561</v>
      </c>
    </row>
    <row r="61" spans="3:7">
      <c r="C61" s="1034"/>
      <c r="D61" s="2116"/>
      <c r="E61" s="26"/>
      <c r="F61" s="1034"/>
      <c r="G61" s="2116"/>
    </row>
    <row r="62" spans="3:7">
      <c r="C62" s="1090"/>
      <c r="D62" s="2117"/>
      <c r="E62" s="26"/>
      <c r="F62" s="1034"/>
      <c r="G62" s="2116"/>
    </row>
    <row r="63" spans="3:7">
      <c r="C63" s="29"/>
      <c r="D63" s="29"/>
      <c r="E63" s="26"/>
      <c r="F63" s="1090"/>
      <c r="G63" s="2117"/>
    </row>
  </sheetData>
  <mergeCells count="33">
    <mergeCell ref="C59:C62"/>
    <mergeCell ref="G60:G63"/>
    <mergeCell ref="C29:D32"/>
    <mergeCell ref="D48:D50"/>
    <mergeCell ref="C23:G25"/>
    <mergeCell ref="C52:C54"/>
    <mergeCell ref="F29:G42"/>
    <mergeCell ref="C44:G46"/>
    <mergeCell ref="C55:C58"/>
    <mergeCell ref="D40:D42"/>
    <mergeCell ref="D59:D62"/>
    <mergeCell ref="F27:G28"/>
    <mergeCell ref="D17:D18"/>
    <mergeCell ref="F52:F63"/>
    <mergeCell ref="F48:F50"/>
    <mergeCell ref="F15:G15"/>
    <mergeCell ref="F17:F18"/>
    <mergeCell ref="C27:D28"/>
    <mergeCell ref="F2:G2"/>
    <mergeCell ref="G48:G50"/>
    <mergeCell ref="C2:D2"/>
    <mergeCell ref="G57:G59"/>
    <mergeCell ref="C17:C18"/>
    <mergeCell ref="C34:C42"/>
    <mergeCell ref="D52:D54"/>
    <mergeCell ref="D55:D56"/>
    <mergeCell ref="G52:G53"/>
    <mergeCell ref="G54:G56"/>
    <mergeCell ref="G17:G18"/>
    <mergeCell ref="C15:D15"/>
    <mergeCell ref="D57:D58"/>
    <mergeCell ref="C48:C50"/>
    <mergeCell ref="D34:D39"/>
  </mergeCells>
  <phoneticPr fontId="165"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B00-000000000000}"/>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1156"/>
  <sheetViews>
    <sheetView topLeftCell="J1" workbookViewId="0">
      <selection activeCell="K1" sqref="K1"/>
    </sheetView>
  </sheetViews>
  <sheetFormatPr defaultRowHeight="14.4"/>
  <cols>
    <col min="1" max="1" width="10" style="992" customWidth="1"/>
    <col min="2" max="2" width="14" style="992" customWidth="1"/>
    <col min="3" max="3" width="28" style="992" customWidth="1"/>
    <col min="4" max="4" width="12" style="992" customWidth="1"/>
    <col min="5" max="5" width="25.21875" style="992" customWidth="1"/>
    <col min="6" max="6" width="18" style="992" customWidth="1"/>
    <col min="7" max="7" width="82.88671875" style="992" customWidth="1"/>
    <col min="8" max="8" width="105.109375" style="992" customWidth="1"/>
    <col min="9" max="9" width="31.33203125" style="992" customWidth="1"/>
    <col min="10" max="10" width="32.77734375" customWidth="1"/>
    <col min="11" max="11" width="68.0" customWidth="1"/>
    <col min="12" max="12" width="60.0" customWidth="1"/>
    <col min="13" max="13" width="40.0" customWidth="1"/>
    <col min="14" max="14" width="52.0" customWidth="1"/>
    <col min="15" max="15" width="22.0" customWidth="1"/>
    <col min="16" max="16" width="18.0" customWidth="1"/>
    <col min="17" max="17" width="18.0" customWidth="1"/>
    <col min="18" max="18" width="32.0" customWidth="1"/>
    <col min="19" max="19" width="56.0" customWidth="1"/>
    <col min="20" max="20" width="58.0" customWidth="1"/>
    <col min="21" max="21" width="28.0" customWidth="1"/>
    <col min="22" max="22" width="60.0" customWidth="1"/>
  </cols>
  <sheetData>
    <row r="1" spans="1:11" ht="57.6" customHeight="1">
      <c r="A1" t="str" s="2142">
        <v>原始历史参考（保留原表；当前换算使用第 35 行起的年度数据）</v>
      </c>
      <c r="B1" s="2142"/>
      <c r="C1" s="2142"/>
      <c r="D1" s="2142"/>
      <c r="E1" s="2142"/>
      <c r="F1" s="2142"/>
      <c r="G1" s="2142"/>
      <c r="H1" s="2142"/>
      <c r="I1" s="994"/>
      <c r="J1" s="2244" t="str">
        <v>汇率年份</v>
      </c>
      <c r="K1" s="2245" t="n">
        <v>1920</v>
      </c>
      <c r="U1" t="str" s="2231">
        <v>匹配记录（公式）</v>
      </c>
      <c r="V1" s="2231" t="n">
        <f>IF(COUNTIF($M$36:$M$1156,$K$1&amp;"|"&amp;$K$2)=0,0,MATCH($K$1&amp;"|"&amp;$K$2,$M$36:$M$1156,0))</f>
        <v>1</v>
      </c>
    </row>
    <row r="2" spans="1:11" ht="54.6" customHeight="1">
      <c r="J2" s="2244" t="str">
        <v>目标币种</v>
      </c>
      <c r="K2" s="2245" t="str">
        <v>美元（USD）</v>
      </c>
    </row>
    <row r="3" spans="1:11" ht="26.4" customHeight="1">
      <c r="A3" s="989" t="s">
        <v>6115</v>
      </c>
      <c r="B3" s="989" t="s">
        <v>5563</v>
      </c>
      <c r="C3" s="989" t="s">
        <v>5564</v>
      </c>
      <c r="D3" s="989" t="s">
        <v>5565</v>
      </c>
      <c r="E3" s="989" t="s">
        <v>5566</v>
      </c>
      <c r="F3" s="989" t="s">
        <v>5567</v>
      </c>
      <c r="G3" s="989" t="s">
        <v>108</v>
      </c>
      <c r="H3" s="989" t="s">
        <v>5568</v>
      </c>
      <c r="I3"/>
      <c r="J3" s="2244" t="str">
        <v>当年实际币名</v>
      </c>
      <c r="K3" s="2243" t="str">
        <f>IF($V$1=0,"",IF(INDEX($C$36:$C$1156,$V$1)="","",INDEX($C$36:$C$1156,$V$1)))</f>
        <v>美元（USD）</v>
      </c>
    </row>
    <row r="4" spans="1:11" ht="23.4" customHeight="1">
      <c r="A4" s="991">
        <v>1920</v>
      </c>
      <c r="B4" s="990" t="s">
        <v>5569</v>
      </c>
      <c r="C4" s="990" t="s">
        <v>187</v>
      </c>
      <c r="D4" s="990" t="s">
        <v>5570</v>
      </c>
      <c r="E4" s="990" t="s">
        <v>5571</v>
      </c>
      <c r="F4" s="990">
        <v>16.649999999999999</v>
      </c>
      <c r="G4" s="990" t="s">
        <v>5573</v>
      </c>
      <c r="H4" s="990" t="s">
        <v>5574</v>
      </c>
      <c r="I4"/>
      <c r="J4" s="2244" t="str">
        <v>统计口径</v>
      </c>
      <c r="K4" s="2243" t="str">
        <f>IF($V$1=0,"",IF(INDEX($F$36:$F$1156,$V$1)="","",INDEX($F$36:$F$1156,$V$1)))</f>
        <v>基准恒等</v>
      </c>
    </row>
    <row r="5" spans="1:11" ht="26.4" customHeight="1">
      <c r="A5" s="991">
        <v>1920</v>
      </c>
      <c r="B5" s="990" t="s">
        <v>5575</v>
      </c>
      <c r="C5" s="990" t="s">
        <v>3323</v>
      </c>
      <c r="D5" s="990" t="s">
        <v>5576</v>
      </c>
      <c r="E5" s="990" t="s">
        <v>5577</v>
      </c>
      <c r="F5" s="990">
        <v>61.02</v>
      </c>
      <c r="G5" s="990" t="s">
        <v>5578</v>
      </c>
      <c r="H5" s="990" t="s">
        <v>5579</v>
      </c>
      <c r="I5"/>
      <c r="J5" s="2244" t="str">
        <v>1 美元兑换本币</v>
      </c>
      <c r="K5" s="2248" t="n">
        <f>IF(K8="可用",INDEX($E$36:$E$1156,$V$1),"")</f>
        <v>1</v>
      </c>
    </row>
    <row r="6" spans="1:11" ht="23.4" customHeight="1">
      <c r="A6" s="991">
        <v>1920</v>
      </c>
      <c r="B6" s="990" t="s">
        <v>5580</v>
      </c>
      <c r="C6" s="990" t="s">
        <v>5581</v>
      </c>
      <c r="D6" s="990" t="s">
        <v>5582</v>
      </c>
      <c r="E6" s="990" t="s">
        <v>5583</v>
      </c>
      <c r="F6" s="990">
        <v>14.87</v>
      </c>
      <c r="G6" s="990" t="s">
        <v>5584</v>
      </c>
      <c r="H6" s="990" t="s">
        <v>5585</v>
      </c>
      <c r="I6"/>
      <c r="J6" s="2244" t="str">
        <v>观测期间</v>
      </c>
      <c r="K6" s="2243" t="str">
        <f>IF($V$1=0,"",IF(INDEX($I$36:$I$1156,$V$1)="","",INDEX($I$36:$I$1156,$V$1)))</f>
        <v>1920</v>
      </c>
    </row>
    <row r="7" spans="1:11" ht="36.0" customHeight="1">
      <c r="A7" s="991">
        <v>1920</v>
      </c>
      <c r="B7" s="990" t="s">
        <v>5586</v>
      </c>
      <c r="C7" s="990" t="s">
        <v>5587</v>
      </c>
      <c r="D7" s="990" t="s">
        <v>5588</v>
      </c>
      <c r="E7" s="990" t="s">
        <v>5589</v>
      </c>
      <c r="F7" s="990">
        <v>1.17</v>
      </c>
      <c r="G7" s="990" t="s">
        <v>5590</v>
      </c>
      <c r="H7" s="990" t="s">
        <v>5585</v>
      </c>
      <c r="I7"/>
      <c r="J7" s="2244" t="str">
        <v>数据来源</v>
      </c>
      <c r="K7" s="2243" t="str">
        <f>IF($V$1=0,"",IF(INDEX($G$36:$G$1156,$V$1)="","",INDEX($G$36:$G$1156,$V$1)))</f>
        <v>用户提供的历史汇率表</v>
      </c>
    </row>
    <row r="8" spans="1:11" ht="27.6" customHeight="1">
      <c r="A8" s="991">
        <v>1920</v>
      </c>
      <c r="B8" s="990" t="s">
        <v>5591</v>
      </c>
      <c r="C8" s="990" t="s">
        <v>5592</v>
      </c>
      <c r="D8" s="990" t="s">
        <v>5593</v>
      </c>
      <c r="E8" s="990" t="s">
        <v>5594</v>
      </c>
      <c r="F8" s="990">
        <v>0.28999999999999998</v>
      </c>
      <c r="G8" s="990" t="s">
        <v>5595</v>
      </c>
      <c r="H8" s="990" t="s">
        <v>5585</v>
      </c>
      <c r="I8"/>
      <c r="J8" s="2244" t="str">
        <v>选择状态</v>
      </c>
      <c r="K8" s="2243" t="str">
        <f>IF(NOT(ISNUMBER(K1)),"年份须为 1920—2026 的整数",IF(OR(K1&lt;1920,K1&gt;2026,K1&lt;&gt;INT(K1)),"年份须为 1920—2026 的整数",IF($V$1=0,"请重新选择该年份的币种",IF(INDEX($D$36:$D$1156,$V$1)="可用","可用","缺少报价，请重新选择"))))</f>
        <v>可用</v>
      </c>
    </row>
    <row r="9" spans="1:11" ht="26.4" customHeight="1">
      <c r="A9" s="991">
        <v>1920</v>
      </c>
      <c r="B9" s="990" t="s">
        <v>5591</v>
      </c>
      <c r="C9" s="990" t="s">
        <v>5596</v>
      </c>
      <c r="D9" s="990" t="s">
        <v>5572</v>
      </c>
      <c r="E9" s="990" t="s">
        <v>5597</v>
      </c>
      <c r="F9" s="990">
        <v>3.96</v>
      </c>
      <c r="G9" s="990" t="s">
        <v>6118</v>
      </c>
      <c r="H9" s="990" t="s">
        <v>5598</v>
      </c>
      <c r="I9"/>
      <c r="J9" s="2244" t="str">
        <v>消费水平（美元）</v>
      </c>
      <c r="K9" s="2246" t="n">
        <f>LOOKUP('人物卡'!$R$26,{0,1,10,50,90,99},{0.5,2,10,50,250,5000})*IF($K$1=2026,20,1)</f>
        <v>0.5</v>
      </c>
    </row>
    <row r="10" spans="1:11" ht="28.2" customHeight="1">
      <c r="A10" s="991">
        <v>1920</v>
      </c>
      <c r="B10" s="990" t="s">
        <v>5599</v>
      </c>
      <c r="C10" s="990" t="s">
        <v>5600</v>
      </c>
      <c r="D10" s="990" t="s">
        <v>5601</v>
      </c>
      <c r="E10" s="990" t="s">
        <v>5602</v>
      </c>
      <c r="F10" s="990">
        <v>0.83</v>
      </c>
      <c r="H10" s="990" t="s">
        <v>5585</v>
      </c>
      <c r="I10"/>
      <c r="J10" s="2244" t="str">
        <v>现金（美元）</v>
      </c>
      <c r="K10" s="2246" t="n">
        <f>IF('人物卡'!$R$26=0,0.5,IF('人物卡'!$R$26=99,50000,'人物卡'!$R$26*LOOKUP('人物卡'!$R$26,{1,10,50,90},{1,2,5,20})))*IF($K$1=2026,20,1)</f>
        <v>0.5</v>
      </c>
    </row>
    <row r="11" spans="1:11" ht="25.8" customHeight="1">
      <c r="A11" s="991">
        <v>1920</v>
      </c>
      <c r="B11" s="990" t="s">
        <v>5603</v>
      </c>
      <c r="C11" s="990" t="s">
        <v>5604</v>
      </c>
      <c r="D11" s="990" t="s">
        <v>5605</v>
      </c>
      <c r="E11" s="990" t="s">
        <v>5606</v>
      </c>
      <c r="F11" s="990">
        <v>8.3699999999999992</v>
      </c>
      <c r="G11" s="990"/>
      <c r="H11" s="990" t="s">
        <v>5585</v>
      </c>
      <c r="I11"/>
      <c r="J11" s="2244" t="str">
        <v>其他资产（美元）</v>
      </c>
      <c r="K11" s="2246" t="n">
        <f>IF('人物卡'!$R$26=0,0,IF('人物卡'!$R$26=99,5000000,'人物卡'!$R$26*LOOKUP('人物卡'!$R$26,{1,10,50,90},{10,50,500,2000})))*IF($K$1=2026,20,1)</f>
        <v>0</v>
      </c>
    </row>
    <row r="12" spans="1:11" ht="25.8" customHeight="1">
      <c r="A12" s="991">
        <v>1920</v>
      </c>
      <c r="B12" s="990" t="s">
        <v>5607</v>
      </c>
      <c r="C12" s="990" t="s">
        <v>5608</v>
      </c>
      <c r="D12" s="990" t="s">
        <v>5609</v>
      </c>
      <c r="E12" s="990" t="s">
        <v>5610</v>
      </c>
      <c r="F12" s="990">
        <v>2.81</v>
      </c>
      <c r="G12" s="990" t="s">
        <v>5611</v>
      </c>
      <c r="H12" s="990" t="s">
        <v>5585</v>
      </c>
      <c r="I12"/>
      <c r="J12" s="2244"/>
      <c r="K12" s="2246"/>
    </row>
    <row r="13" spans="1:11" ht="28.2" customHeight="1">
      <c r="A13" s="991">
        <v>1920</v>
      </c>
      <c r="B13" s="990" t="s">
        <v>5612</v>
      </c>
      <c r="C13" s="990" t="s">
        <v>5613</v>
      </c>
      <c r="D13" s="990" t="s">
        <v>5614</v>
      </c>
      <c r="E13" s="990" t="s">
        <v>5615</v>
      </c>
      <c r="F13" s="990">
        <v>6.48</v>
      </c>
      <c r="G13" s="990"/>
      <c r="H13" s="990" t="s">
        <v>5585</v>
      </c>
      <c r="I13"/>
      <c r="J13" s="2244" t="str">
        <v>交通工具（美元）</v>
      </c>
      <c r="K13" s="2247" t="n">
        <v>0</v>
      </c>
    </row>
    <row r="14" spans="1:11" ht="31.8" customHeight="1">
      <c r="A14" s="991">
        <v>1920</v>
      </c>
      <c r="B14" s="990" t="s">
        <v>5616</v>
      </c>
      <c r="C14" s="990" t="s">
        <v>5617</v>
      </c>
      <c r="D14" s="990" t="s">
        <v>5618</v>
      </c>
      <c r="E14" s="990" t="s">
        <v>5619</v>
      </c>
      <c r="F14" s="990">
        <v>20.81</v>
      </c>
      <c r="G14" s="990" t="s">
        <v>5620</v>
      </c>
      <c r="H14" s="990" t="s">
        <v>5621</v>
      </c>
      <c r="I14"/>
      <c r="J14" s="2244" t="str">
        <v>住所（美元）</v>
      </c>
      <c r="K14" s="2247" t="n">
        <v>0</v>
      </c>
    </row>
    <row r="15" spans="1:11" ht="30.0" customHeight="1">
      <c r="A15" s="991">
        <v>1920</v>
      </c>
      <c r="B15" s="990" t="s">
        <v>5616</v>
      </c>
      <c r="C15" s="990" t="s">
        <v>5622</v>
      </c>
      <c r="D15" s="990" t="s">
        <v>5623</v>
      </c>
      <c r="E15" s="990" t="s">
        <v>5572</v>
      </c>
      <c r="F15" s="990" t="s">
        <v>5572</v>
      </c>
      <c r="G15" s="990" t="s">
        <v>5624</v>
      </c>
      <c r="H15" s="990"/>
      <c r="I15"/>
      <c r="J15" s="2244" t="str">
        <v>奢侈品（美元）</v>
      </c>
      <c r="K15" s="2247" t="n">
        <v>0</v>
      </c>
    </row>
    <row r="16" spans="1:11" ht="16.35" customHeight="1">
      <c r="A16" s="991">
        <v>1920</v>
      </c>
      <c r="B16" s="990" t="s">
        <v>5616</v>
      </c>
      <c r="C16" s="990" t="s">
        <v>5625</v>
      </c>
      <c r="D16" s="990" t="s">
        <v>5572</v>
      </c>
      <c r="E16" s="990" t="s">
        <v>5626</v>
      </c>
      <c r="F16" s="990">
        <v>12.48</v>
      </c>
      <c r="G16" s="990" t="s">
        <v>5627</v>
      </c>
      <c r="H16" s="990" t="s">
        <v>5628</v>
      </c>
      <c r="I16"/>
      <c r="J16" s="2244" t="str">
        <v>股票 / 证券（美元）</v>
      </c>
      <c r="K16" s="2247" t="n">
        <v>0</v>
      </c>
    </row>
    <row r="17" spans="1:11" ht="28.35" customHeight="1">
      <c r="I17"/>
      <c r="J17" s="2244" t="str">
        <v>其他（美元）</v>
      </c>
      <c r="K17" s="2247" t="n">
        <v>0</v>
      </c>
    </row>
    <row r="18" spans="1:11" ht="36.0" customHeight="1">
      <c r="A18" s="991">
        <v>1929</v>
      </c>
      <c r="B18" s="990" t="s">
        <v>5569</v>
      </c>
      <c r="C18" s="990" t="s">
        <v>187</v>
      </c>
      <c r="D18" s="990" t="s">
        <v>5570</v>
      </c>
      <c r="E18" s="990" t="s">
        <v>5571</v>
      </c>
      <c r="F18" s="990">
        <v>19.47</v>
      </c>
      <c r="G18" s="990" t="s">
        <v>5629</v>
      </c>
      <c r="H18" s="990" t="s">
        <v>5630</v>
      </c>
      <c r="I18"/>
      <c r="J18" s="2244" t="str">
        <v>报价提示</v>
      </c>
      <c r="K18" s="2243" t="str">
        <f>IF($V$1=0,"",IF(INDEX($T$36:$T$1156,$V$1)="","",INDEX($T$36:$T$1156,$V$1)))</f>
        <v/>
      </c>
    </row>
    <row r="19" spans="1:11" ht="51.0" customHeight="1">
      <c r="A19" s="991">
        <v>1929</v>
      </c>
      <c r="B19" s="990" t="s">
        <v>5575</v>
      </c>
      <c r="C19" s="990" t="s">
        <v>3323</v>
      </c>
      <c r="D19" s="990" t="s">
        <v>5576</v>
      </c>
      <c r="E19" s="990" t="s">
        <v>5631</v>
      </c>
      <c r="F19" s="990">
        <v>94.63</v>
      </c>
      <c r="G19" s="990" t="s">
        <v>5632</v>
      </c>
      <c r="H19" s="990" t="s">
        <v>5579</v>
      </c>
      <c r="I19"/>
      <c r="J19" s="2244" t="str">
        <v>原始资料链接</v>
      </c>
      <c r="K19" s="2243" t="str">
        <f>IF($V$1=0,"",IF(INDEX($H$36:$H$1156,$V$1)="","",INDEX($H$36:$H$1156,$V$1)))</f>
        <v/>
      </c>
    </row>
    <row r="20" spans="1:11" ht="36.0" customHeight="1">
      <c r="A20" s="991">
        <v>1929</v>
      </c>
      <c r="B20" s="990" t="s">
        <v>5580</v>
      </c>
      <c r="C20" s="990" t="s">
        <v>5581</v>
      </c>
      <c r="D20" s="990" t="s">
        <v>5582</v>
      </c>
      <c r="E20" s="990" t="s">
        <v>5633</v>
      </c>
      <c r="F20" s="990">
        <v>19.32</v>
      </c>
      <c r="G20" s="990" t="s">
        <v>5634</v>
      </c>
      <c r="H20" s="990" t="s">
        <v>5585</v>
      </c>
      <c r="I20"/>
      <c r="J20" s="2244" t="str">
        <v>换算说明</v>
      </c>
      <c r="K20" s="2243" t="str">
        <f>IF($V$1=0,"",IF(INDEX($L$36:$L$1156,$V$1)="","",INDEX($L$36:$L$1156,$V$1)))</f>
        <v>美元基准，汇率恒为 1。</v>
      </c>
    </row>
    <row r="21" spans="1:11" ht="96.0" customHeight="1">
      <c r="A21" s="991">
        <v>1929</v>
      </c>
      <c r="B21" s="990" t="s">
        <v>5586</v>
      </c>
      <c r="C21" s="990" t="s">
        <v>5587</v>
      </c>
      <c r="D21" s="990" t="s">
        <v>5588</v>
      </c>
      <c r="E21" s="990" t="s">
        <v>5635</v>
      </c>
      <c r="F21" s="990">
        <v>0.76</v>
      </c>
      <c r="G21" s="990" t="s">
        <v>5636</v>
      </c>
      <c r="H21" s="990" t="s">
        <v>5585</v>
      </c>
      <c r="I21"/>
      <c r="J21" s="2244" t="str">
        <v>说明与限制</v>
      </c>
      <c r="K21" s="2243" t="str">
        <f>IF($V$1=0,"",IF(INDEX($K$36:$K$1156,$V$1)="","",INDEX($K$36:$K$1156,$V$1)))</f>
        <v>1 美元等于 1 美元，无外部报价。</v>
      </c>
    </row>
    <row r="22" spans="1:11" ht="21.6" customHeight="1">
      <c r="A22" s="991">
        <v>1929</v>
      </c>
      <c r="B22" s="990" t="s">
        <v>5591</v>
      </c>
      <c r="C22" s="990" t="s">
        <v>5637</v>
      </c>
      <c r="D22" s="990" t="s">
        <v>5638</v>
      </c>
      <c r="E22" s="990" t="s">
        <v>5639</v>
      </c>
      <c r="F22" s="990">
        <v>4.6399999999999997</v>
      </c>
      <c r="G22" s="990" t="s">
        <v>5640</v>
      </c>
      <c r="H22" s="990" t="s">
        <v>5585</v>
      </c>
      <c r="I22"/>
      <c r="J22" s="2244" t="str">
        <v>引用数据文件</v>
      </c>
      <c r="K22" s="2243" t="str">
        <v>historical_exchange_rates_1920_2026.xlsx</v>
      </c>
    </row>
    <row r="23" spans="1:11" ht="36.0" customHeight="1">
      <c r="A23" s="991">
        <v>1929</v>
      </c>
      <c r="B23" s="990" t="s">
        <v>5591</v>
      </c>
      <c r="C23" s="990" t="s">
        <v>5596</v>
      </c>
      <c r="D23" s="990" t="s">
        <v>5572</v>
      </c>
      <c r="E23" s="990" t="s">
        <v>5597</v>
      </c>
      <c r="F23" s="990">
        <v>4.6399999999999997</v>
      </c>
      <c r="G23" s="990" t="s">
        <v>5641</v>
      </c>
      <c r="H23" s="990" t="s">
        <v>5598</v>
      </c>
      <c r="I23"/>
      <c r="J23" s="2244" t="str">
        <v>原表位置</v>
      </c>
      <c r="K23" s="2243" t="str">
        <f>IF($V$1=0,"",IF(INDEX($S$36:$S$1156,$V$1)="","",INDEX($S$36:$S$1156,$V$1)))</f>
        <v>年度汇率!B6</v>
      </c>
    </row>
    <row r="24" spans="1:11" ht="26.399999618530273" customHeight="1">
      <c r="A24" s="991">
        <v>1929</v>
      </c>
      <c r="B24" s="990" t="s">
        <v>5599</v>
      </c>
      <c r="C24" s="990" t="s">
        <v>5600</v>
      </c>
      <c r="D24" s="990" t="s">
        <v>5601</v>
      </c>
      <c r="E24" s="990" t="s">
        <v>5642</v>
      </c>
      <c r="F24" s="990">
        <v>1.02</v>
      </c>
      <c r="G24" s="990"/>
      <c r="H24" s="990" t="s">
        <v>5585</v>
      </c>
      <c r="I24"/>
      <c r="J24" s="2244" t="str">
        <v>使用方法</v>
      </c>
      <c r="K24" s="2243" t="str">
        <v>修改黄色年份和币种。改年后若选择失效，请重新选择币种。美元基准沿用信用评级规则，不代表逐年购买力；下方数据可查看来源。</v>
      </c>
    </row>
    <row r="25" spans="1:11" ht="15" customHeight="1">
      <c r="A25" s="991">
        <v>1929</v>
      </c>
      <c r="B25" s="990" t="s">
        <v>5603</v>
      </c>
      <c r="C25" s="990" t="s">
        <v>5604</v>
      </c>
      <c r="D25" s="990" t="s">
        <v>5605</v>
      </c>
      <c r="E25" s="990" t="s">
        <v>5643</v>
      </c>
      <c r="F25" s="990">
        <v>8.9700000000000006</v>
      </c>
      <c r="G25" s="990"/>
      <c r="H25" s="990" t="s">
        <v>5585</v>
      </c>
      <c r="I25"/>
      <c r="J25" s="2241" t="str">
        <v>年度数据</v>
      </c>
      <c r="K25" s="2241" t="str">
        <f>HYPERLINK("#'货币汇率'!A35","查看全部年度汇率与来源")</f>
        <v>查看全部年度汇率与来源</v>
      </c>
    </row>
    <row r="26" spans="1:11" ht="15" customHeight="1">
      <c r="A26" s="991">
        <v>1929</v>
      </c>
      <c r="B26" s="990" t="s">
        <v>5607</v>
      </c>
      <c r="C26" s="990" t="s">
        <v>5608</v>
      </c>
      <c r="D26" s="990" t="s">
        <v>5609</v>
      </c>
      <c r="E26" s="990" t="s">
        <v>5644</v>
      </c>
      <c r="F26" s="990">
        <v>3.75</v>
      </c>
      <c r="G26" s="990"/>
      <c r="H26" s="990" t="s">
        <v>5585</v>
      </c>
      <c r="I26"/>
    </row>
    <row r="27" spans="1:11" ht="16.8" customHeight="1">
      <c r="A27" s="991">
        <v>1929</v>
      </c>
      <c r="B27" s="990" t="s">
        <v>5612</v>
      </c>
      <c r="C27" s="990" t="s">
        <v>5613</v>
      </c>
      <c r="D27" s="990" t="s">
        <v>5614</v>
      </c>
      <c r="E27" s="990" t="s">
        <v>5645</v>
      </c>
      <c r="F27" s="990">
        <v>7.06</v>
      </c>
      <c r="G27" s="990"/>
      <c r="H27" s="990" t="s">
        <v>5585</v>
      </c>
      <c r="I27"/>
    </row>
    <row r="28" spans="1:11" ht="15" customHeight="1">
      <c r="A28" s="991">
        <v>1929</v>
      </c>
      <c r="B28" s="990" t="s">
        <v>5616</v>
      </c>
      <c r="C28" s="990" t="s">
        <v>5646</v>
      </c>
      <c r="D28" s="990" t="s">
        <v>5618</v>
      </c>
      <c r="E28" s="990" t="s">
        <v>5647</v>
      </c>
      <c r="F28" s="990">
        <v>9.74</v>
      </c>
      <c r="G28" s="990"/>
      <c r="H28" s="990" t="s">
        <v>5648</v>
      </c>
      <c r="I28"/>
    </row>
    <row r="29" spans="1:11" ht="17.55" customHeight="1">
      <c r="A29" s="991">
        <v>1929</v>
      </c>
      <c r="B29" s="990" t="s">
        <v>5616</v>
      </c>
      <c r="C29" s="990" t="s">
        <v>5649</v>
      </c>
      <c r="D29" s="990" t="s">
        <v>5572</v>
      </c>
      <c r="E29" s="990" t="s">
        <v>5650</v>
      </c>
      <c r="F29" s="990">
        <v>12.48</v>
      </c>
      <c r="G29" s="990" t="s">
        <v>6116</v>
      </c>
      <c r="H29" s="990" t="s">
        <v>5628</v>
      </c>
      <c r="I29"/>
    </row>
    <row r="30" spans="1:11" ht="14.55" customHeight="1">
      <c r="A30" s="991">
        <v>1929</v>
      </c>
      <c r="B30" s="990" t="s">
        <v>5616</v>
      </c>
      <c r="C30" s="990" t="s">
        <v>5651</v>
      </c>
      <c r="D30" s="990" t="s">
        <v>5623</v>
      </c>
      <c r="E30" s="990" t="s">
        <v>5652</v>
      </c>
      <c r="F30" s="990">
        <v>9.74</v>
      </c>
      <c r="G30" s="990" t="s">
        <v>5653</v>
      </c>
      <c r="H30" s="990" t="s">
        <v>5628</v>
      </c>
      <c r="I30"/>
    </row>
    <row r="31" spans="1:11" ht="14.1" customHeight="1">
      <c r="A31" s="991">
        <v>1929</v>
      </c>
      <c r="B31" s="990" t="s">
        <v>5591</v>
      </c>
      <c r="C31" s="990" t="s">
        <v>5654</v>
      </c>
      <c r="D31" s="990" t="s">
        <v>5655</v>
      </c>
      <c r="E31" s="990" t="s">
        <v>6117</v>
      </c>
      <c r="F31" s="990" t="s">
        <v>5572</v>
      </c>
      <c r="G31" s="990" t="s">
        <v>5656</v>
      </c>
      <c r="H31" s="990"/>
      <c r="I31"/>
    </row>
    <row r="33">
      <c r="A33" s="2240" t="str">
        <v>年度汇率 1920—2026（仅使用以下数据换算；缺失未插补）</v>
      </c>
    </row>
    <row r="35" ht="15.0" customHeight="1">
      <c r="A35" s="2237" t="str">
        <v>年份</v>
      </c>
      <c r="B35" s="2237" t="str">
        <v>币种标识</v>
      </c>
      <c r="C35" s="2237" t="str">
        <v>当年实际币名</v>
      </c>
      <c r="D35" s="2237" t="str">
        <v>报价状态</v>
      </c>
      <c r="E35" s="2237" t="str">
        <v>1 美元兑换本币</v>
      </c>
      <c r="F35" s="2237" t="str">
        <v>统计口径</v>
      </c>
      <c r="G35" s="2237" t="str">
        <v>机构或文献</v>
      </c>
      <c r="H35" s="2237" t="str">
        <v>原始资料链接</v>
      </c>
      <c r="I35" s="2237" t="str">
        <v>观测期间</v>
      </c>
      <c r="J35" s="2237" t="str">
        <v>引用文件</v>
      </c>
      <c r="K35" s="2237" t="str">
        <v>说明与限制</v>
      </c>
      <c r="L35" s="2237" t="str">
        <v>换算说明</v>
      </c>
      <c r="M35" s="2237" t="str">
        <v>匹配键</v>
      </c>
      <c r="N35" s="2237" t="str">
        <v>选择项</v>
      </c>
      <c r="O35" s="2237" t="str">
        <v>原始报价</v>
      </c>
      <c r="P35" s="2237" t="str">
        <v>原始方向</v>
      </c>
      <c r="Q35" s="2237" t="str">
        <v>转换倍率</v>
      </c>
      <c r="R35" s="2237" t="str">
        <v>原表来源评级</v>
      </c>
      <c r="S35" s="2237" t="str">
        <v>原表位置</v>
      </c>
      <c r="T35" s="2237" t="str">
        <v>报价提示</v>
      </c>
      <c r="U35" t="str" s="2231">
        <v>下拉年份</v>
      </c>
      <c r="V35" t="str" s="2231">
        <v>可选币种（供下拉选择）</v>
      </c>
    </row>
    <row r="36" ht="15.0" customHeight="1">
      <c r="A36" s="2234" t="n">
        <v>1920</v>
      </c>
      <c r="B36" s="2234" t="str">
        <v>USD</v>
      </c>
      <c r="C36" s="2234" t="str">
        <v>美元（USD）</v>
      </c>
      <c r="D36" s="2234" t="str">
        <v>可用</v>
      </c>
      <c r="E36" s="2238" t="n">
        <v>1</v>
      </c>
      <c r="F36" s="2234" t="str">
        <v>基准恒等</v>
      </c>
      <c r="G36" s="2234" t="str">
        <v>用户提供的历史汇率表</v>
      </c>
      <c r="H36" s="2234" t="str"/>
      <c r="I36" s="2234" t="str">
        <v>1920</v>
      </c>
      <c r="J36" s="2234" t="str">
        <v>historical_exchange_rates_1920_2026.xlsx</v>
      </c>
      <c r="K36" s="2234" t="str">
        <v>1 美元等于 1 美元，无外部报价。</v>
      </c>
      <c r="L36" s="2234" t="str">
        <v>美元基准，汇率恒为 1。</v>
      </c>
      <c r="M36" s="2234" t="str">
        <v>1920|美元（USD）</v>
      </c>
      <c r="N36" s="2234" t="str">
        <v>美元（USD）</v>
      </c>
      <c r="O36" s="2239"/>
      <c r="P36" s="2234" t="str"/>
      <c r="Q36" s="2239"/>
      <c r="R36" s="2234" t="str"/>
      <c r="S36" s="2234" t="str">
        <v>年度汇率!B6</v>
      </c>
      <c r="T36" s="2234" t="str"/>
      <c r="U36" t="n" s="2231">
        <v>1920</v>
      </c>
      <c r="V36" t="str" s="2231">
        <v>美元（USD）</v>
      </c>
    </row>
    <row r="37" ht="15.0" customHeight="1">
      <c r="A37" s="2234" t="n">
        <v>1920</v>
      </c>
      <c r="B37" s="2234" t="str">
        <v>GBP</v>
      </c>
      <c r="C37" s="2234" t="str">
        <v>英镑（GBP）</v>
      </c>
      <c r="D37" s="2234" t="str">
        <v>可用</v>
      </c>
      <c r="E37" s="2238" t="n">
        <v>0.2729</v>
      </c>
      <c r="F37" s="2234" t="str">
        <v>年均</v>
      </c>
      <c r="G37" s="2234" t="str">
        <v>MeasuringWorth：英镑／美元年度历史汇率</v>
      </c>
      <c r="H37" s="2234" t="str">
        <v>https://www.measuringworth.com/datasets/exchangeglobal/result.php?countryE%5B%5D=United+Kingdom&amp;year_result=2007&amp;year_source=1791</v>
      </c>
      <c r="I37" s="2234" t="str">
        <v>1920-01-01—1920-12-31</v>
      </c>
      <c r="J37" s="2234" t="str">
        <v>historical_exchange_rates_1920_2026.xlsx</v>
      </c>
      <c r="K37" s="2234" t="str">
        <v>年度汇率，本币／美元；1920—1949。</v>
      </c>
      <c r="L37" s="2234" t="str">
        <v>原报价已按 1 美元兑换本币表示。</v>
      </c>
      <c r="M37" s="2234" t="str">
        <v>1920|英镑（GBP）</v>
      </c>
      <c r="N37" s="2234" t="str">
        <v>英镑（GBP）</v>
      </c>
      <c r="O37" s="2239" t="n">
        <v>0.2729</v>
      </c>
      <c r="P37" s="2234" t="str">
        <v>LCU/USD</v>
      </c>
      <c r="Q37" s="2239" t="n">
        <v>1</v>
      </c>
      <c r="R37" s="2234" t="str">
        <v>B：学术历史汇编</v>
      </c>
      <c r="S37" s="2234" t="str">
        <v>年度汇率!C6；原始记录!A6:M6</v>
      </c>
      <c r="T37" s="2234" t="str"/>
      <c r="U37" t="n" s="2231">
        <v>1920</v>
      </c>
      <c r="V37" t="str" s="2231">
        <v>英镑（GBP）</v>
      </c>
    </row>
    <row r="38" ht="15.0" customHeight="1">
      <c r="A38" s="2234" t="n">
        <v>1920</v>
      </c>
      <c r="B38" s="2234" t="str">
        <v>CAD</v>
      </c>
      <c r="C38" s="2234" t="str">
        <v>加拿大元（CAD）</v>
      </c>
      <c r="D38" s="2234" t="str">
        <v>可用</v>
      </c>
      <c r="E38" s="2238" t="n">
        <v>1.12</v>
      </c>
      <c r="F38" s="2234" t="str">
        <v>年均</v>
      </c>
      <c r="G38" s="2234" t="str">
        <v>Lawrence H. Officer / MeasuringWorth：加拿大元</v>
      </c>
      <c r="H38" s="2234" t="str">
        <v>https://www.measuringworth.com/datasets/exchangeglobal/result.php?countryE%5B%5D=Canada&amp;year_result=2007&amp;year_source=1913</v>
      </c>
      <c r="I38" s="2234" t="str">
        <v>1920-01-01—1920-12-31</v>
      </c>
      <c r="J38" s="2234" t="str">
        <v>historical_exchange_rates_1920_2026.xlsx</v>
      </c>
      <c r="K38" s="2234" t="str">
        <v>纽约市场年度报价；1942—1945缺失。</v>
      </c>
      <c r="L38" s="2234" t="str">
        <v>原报价已按 1 美元兑换本币表示。</v>
      </c>
      <c r="M38" s="2234" t="str">
        <v>1920|加拿大元（CAD）</v>
      </c>
      <c r="N38" s="2234" t="str">
        <v>加拿大元（CAD）</v>
      </c>
      <c r="O38" s="2239" t="n">
        <v>1.12</v>
      </c>
      <c r="P38" s="2234" t="str">
        <v>LCU/USD</v>
      </c>
      <c r="Q38" s="2239" t="n">
        <v>1</v>
      </c>
      <c r="R38" s="2234" t="str">
        <v>B：学术历史汇编</v>
      </c>
      <c r="S38" s="2234" t="str">
        <v>年度汇率!D6；原始记录!A7:M7</v>
      </c>
      <c r="T38" s="2234" t="str"/>
      <c r="U38" t="n" s="2231">
        <v>1920</v>
      </c>
      <c r="V38" t="str" s="2231">
        <v>加拿大元（CAD）</v>
      </c>
    </row>
    <row r="39" ht="15.0" customHeight="1">
      <c r="A39" s="2234" t="n">
        <v>1920</v>
      </c>
      <c r="B39" s="2234" t="str">
        <v>FRF_OLD</v>
      </c>
      <c r="C39" s="2234" t="str">
        <v>法国旧法郎</v>
      </c>
      <c r="D39" s="2234" t="str">
        <v>可用</v>
      </c>
      <c r="E39" s="2238" t="n">
        <v>14.205</v>
      </c>
      <c r="F39" s="2234" t="str">
        <v>年均</v>
      </c>
      <c r="G39" s="2234" t="str">
        <v>MeasuringWorth：法国年均汇率</v>
      </c>
      <c r="H39" s="2234" t="str">
        <v>https://www.measuringworth.com/datasets/exchangeglobal/result.php?countryE%5B%5D=France&amp;year_result=1940&amp;year_source=1920</v>
      </c>
      <c r="I39" s="2234" t="str">
        <v>1920-01-01—1920-12-31</v>
      </c>
      <c r="J39" s="2234" t="str">
        <v>historical_exchange_rates_1920_2026.xlsx</v>
      </c>
      <c r="K39" s="2234" t="str">
        <v>纽约市场；1940仅至6月15日可用报价。</v>
      </c>
      <c r="L39" s="2234" t="str">
        <v>原报价已按 1 美元兑换本币表示。</v>
      </c>
      <c r="M39" s="2234" t="str">
        <v>1920|法国旧法郎</v>
      </c>
      <c r="N39" s="2234" t="str">
        <v>法国旧法郎</v>
      </c>
      <c r="O39" s="2239" t="n">
        <v>14.205</v>
      </c>
      <c r="P39" s="2234" t="str">
        <v>LCU/USD</v>
      </c>
      <c r="Q39" s="2239" t="n">
        <v>1</v>
      </c>
      <c r="R39" s="2234" t="str">
        <v>B：学术历史汇编</v>
      </c>
      <c r="S39" s="2234" t="str">
        <v>年度汇率!E6；原始记录!A8:M8</v>
      </c>
      <c r="T39" s="2234" t="str"/>
      <c r="U39" t="n" s="2231">
        <v>1920</v>
      </c>
      <c r="V39" t="str" s="2231">
        <v>法国旧法郎</v>
      </c>
    </row>
    <row r="40" ht="24.0" customHeight="1">
      <c r="A40" s="2234" t="n">
        <v>1920</v>
      </c>
      <c r="B40" s="2234" t="str">
        <v>DRM</v>
      </c>
      <c r="C40" s="2234" t="str">
        <v>德国纸马克</v>
      </c>
      <c r="D40" s="2234" t="str">
        <v>可用</v>
      </c>
      <c r="E40" s="2238" t="n">
        <v>57.11</v>
      </c>
      <c r="F40" s="2234" t="str">
        <v>年均</v>
      </c>
      <c r="G40" s="2234" t="str">
        <v>Harold Marcuse / UCSB：德国，转载Officer年度表</v>
      </c>
      <c r="H40" s="2234" t="str">
        <v>https://marcuse.faculty.history.ucsb.edu/projects/currency.htm</v>
      </c>
      <c r="I40" s="2234" t="str">
        <v>1920-01-01—1920-12-31</v>
      </c>
      <c r="J40" s="2234" t="str">
        <v>historical_exchange_rates_1920_2026.xlsx</v>
      </c>
      <c r="K40" s="2234" t="str">
        <v>使用右侧annual avg.表，不使用左侧定点汇率；1923—1924数据有币改及倒数均值口径疑点，未采用。</v>
      </c>
      <c r="L40" s="2234" t="str">
        <v>原报价已按 1 美元兑换本币表示。</v>
      </c>
      <c r="M40" s="2234" t="str">
        <v>1920|德国纸马克</v>
      </c>
      <c r="N40" s="2234" t="str">
        <v>德国纸马克</v>
      </c>
      <c r="O40" s="2239" t="n">
        <v>57.11</v>
      </c>
      <c r="P40" s="2234" t="str">
        <v>LCU/USD</v>
      </c>
      <c r="Q40" s="2239" t="n">
        <v>1</v>
      </c>
      <c r="R40" s="2234" t="str">
        <v>B：大学页面转录</v>
      </c>
      <c r="S40" s="2234" t="str">
        <v>年度汇率!F6、年度汇率!M6；原始记录!A9:M9</v>
      </c>
      <c r="T40" s="2234" t="str"/>
      <c r="U40" t="n" s="2231">
        <v>1920</v>
      </c>
      <c r="V40" t="str" s="2231">
        <v>德国纸马克</v>
      </c>
    </row>
    <row r="41" ht="36.0" customHeight="1">
      <c r="A41" s="2234" t="n">
        <v>1920</v>
      </c>
      <c r="B41" s="2234" t="str">
        <v>ITL</v>
      </c>
      <c r="C41" s="2234" t="str">
        <v>意大利里拉（ITL）</v>
      </c>
      <c r="D41" s="2234" t="str">
        <v>可用</v>
      </c>
      <c r="E41" s="2238" t="n">
        <v>20.12072434607646</v>
      </c>
      <c r="F41" s="2234" t="str">
        <v>年均</v>
      </c>
      <c r="G41" s="2234" t="str">
        <v>美联储《Banking and Monetary Statistics 1914—1941》表173，意大利，印刷页673</v>
      </c>
      <c r="H41" s="2234" t="str">
        <v>https://fraser.stlouisfed.org/title/banking-monetary-statistics-1914-1941-38/part-i-6408/fulltext</v>
      </c>
      <c r="I41" s="2234" t="str">
        <v>1920-01-01—1920-12-31</v>
      </c>
      <c r="J41" s="2234" t="str">
        <v>historical_exchange_rates_1920_2026.xlsx</v>
      </c>
      <c r="K41" s="2234" t="str">
        <v>纽约报价；由美分／里拉的年均报价取倒数，非里拉／美元逐日均值。 反向值由原报价均值取倒数；不等于反向日度汇率的算术平均。
原表为日度报价的年平均，单位：美分／里拉；标准化为100÷原值。</v>
      </c>
      <c r="L41" s="2234" t="str">
        <v>原报价为每单位本币兑美元，取原报价均值的倒数；不等于反向日度汇率的算术平均。乘以 100，还原当年币制的计价单位。</v>
      </c>
      <c r="M41" s="2234" t="str">
        <v>1920|意大利里拉（ITL）</v>
      </c>
      <c r="N41" s="2234" t="str">
        <v>意大利里拉（ITL）</v>
      </c>
      <c r="O41" s="2239" t="n">
        <v>4.97</v>
      </c>
      <c r="P41" s="2234" t="str">
        <v>US cents/LCU</v>
      </c>
      <c r="Q41" s="2239" t="n">
        <v>100</v>
      </c>
      <c r="R41" s="2234" t="str">
        <v>A：机构统计／原始统计表</v>
      </c>
      <c r="S41" s="2234" t="str">
        <v>年度汇率!G6；原始记录!A10:M10</v>
      </c>
      <c r="T41" s="2234" t="str"/>
      <c r="U41" t="n" s="2231">
        <v>1920</v>
      </c>
      <c r="V41" t="str" s="2231">
        <v>意大利里拉（ITL）</v>
      </c>
    </row>
    <row r="42" ht="15.0" customHeight="1">
      <c r="A42" s="2234" t="n">
        <v>1920</v>
      </c>
      <c r="B42" s="2234" t="str">
        <v>JPY</v>
      </c>
      <c r="C42" s="2234" t="str">
        <v>日元（JPY）</v>
      </c>
      <c r="D42" s="2234" t="str">
        <v>可用</v>
      </c>
      <c r="E42" s="2238" t="n">
        <v>1.99</v>
      </c>
      <c r="F42" s="2234" t="str">
        <v>年均</v>
      </c>
      <c r="G42" s="2234" t="str">
        <v>MeasuringWorth：日本年均汇率</v>
      </c>
      <c r="H42" s="2234" t="str">
        <v>https://www.measuringworth.com/datasets/exchangeglobal/result.php?countryE%5B%5D=Japan&amp;year_result=2016&amp;year_source=1916</v>
      </c>
      <c r="I42" s="2234" t="str">
        <v>1920-01-01—1920-12-31</v>
      </c>
      <c r="J42" s="2234" t="str">
        <v>historical_exchange_rates_1920_2026.xlsx</v>
      </c>
      <c r="K42" s="2234" t="str">
        <v>以纽约市场年度平均报价为主；保留原表精度。</v>
      </c>
      <c r="L42" s="2234" t="str">
        <v>原报价已按 1 美元兑换本币表示。</v>
      </c>
      <c r="M42" s="2234" t="str">
        <v>1920|日元（JPY）</v>
      </c>
      <c r="N42" s="2234" t="str">
        <v>日元（JPY）</v>
      </c>
      <c r="O42" s="2239" t="n">
        <v>1.99</v>
      </c>
      <c r="P42" s="2234" t="str">
        <v>LCU/USD</v>
      </c>
      <c r="Q42" s="2239" t="n">
        <v>1</v>
      </c>
      <c r="R42" s="2234" t="str">
        <v>B：学术历史汇编</v>
      </c>
      <c r="S42" s="2234" t="str">
        <v>年度汇率!H6；原始记录!A11:M11</v>
      </c>
      <c r="T42" s="2234" t="str"/>
      <c r="U42" t="n" s="2231">
        <v>1920</v>
      </c>
      <c r="V42" t="str" s="2231">
        <v>日元（JPY）</v>
      </c>
    </row>
    <row r="43" ht="15.0" customHeight="1">
      <c r="A43" s="2234" t="n">
        <v>1920</v>
      </c>
      <c r="B43" s="2234" t="str">
        <v>CHF</v>
      </c>
      <c r="C43" s="2234" t="str">
        <v>瑞士法郎（CHF）</v>
      </c>
      <c r="D43" s="2234" t="str">
        <v>可用</v>
      </c>
      <c r="E43" s="2238" t="n">
        <v>5.9161</v>
      </c>
      <c r="F43" s="2234" t="str">
        <v>年均</v>
      </c>
      <c r="G43" s="2234" t="str">
        <v>MeasuringWorth：瑞士年均汇率</v>
      </c>
      <c r="H43" s="2234" t="str">
        <v>https://www.measuringworth.com/datasets/exchangeglobal/result.php?countryE%5B%5D=Switzerland&amp;year_result=1955&amp;year_source=1905</v>
      </c>
      <c r="I43" s="2234" t="str">
        <v>1920-01-01—1920-12-31</v>
      </c>
      <c r="J43" s="2234" t="str">
        <v>historical_exchange_rates_1920_2026.xlsx</v>
      </c>
      <c r="K43" s="2234" t="str">
        <v>纽约市场；1941仅上半年报价，1942–1945原表无值。</v>
      </c>
      <c r="L43" s="2234" t="str">
        <v>原报价已按 1 美元兑换本币表示。</v>
      </c>
      <c r="M43" s="2234" t="str">
        <v>1920|瑞士法郎（CHF）</v>
      </c>
      <c r="N43" s="2234" t="str">
        <v>瑞士法郎（CHF）</v>
      </c>
      <c r="O43" s="2239" t="n">
        <v>5.9161</v>
      </c>
      <c r="P43" s="2234" t="str">
        <v>LCU/USD</v>
      </c>
      <c r="Q43" s="2239" t="n">
        <v>1</v>
      </c>
      <c r="R43" s="2234" t="str">
        <v>B：学术历史汇编</v>
      </c>
      <c r="S43" s="2234" t="str">
        <v>年度汇率!I6；原始记录!A12:M12</v>
      </c>
      <c r="T43" s="2234" t="str"/>
      <c r="U43" t="n" s="2231">
        <v>1920</v>
      </c>
      <c r="V43" t="str" s="2231">
        <v>瑞士法郎（CHF）</v>
      </c>
    </row>
    <row r="44" ht="15.0" customHeight="1">
      <c r="A44" s="2234" t="n">
        <v>1920</v>
      </c>
      <c r="B44" s="2234" t="str">
        <v>INR</v>
      </c>
      <c r="C44" s="2234" t="str">
        <v>英属印度卢比</v>
      </c>
      <c r="D44" s="2234" t="str">
        <v>可用</v>
      </c>
      <c r="E44" s="2238" t="n">
        <v>2.57</v>
      </c>
      <c r="F44" s="2234" t="str">
        <v>年均</v>
      </c>
      <c r="G44" s="2234" t="str">
        <v>MeasuringWorth：印度年均汇率</v>
      </c>
      <c r="H44" s="2234" t="str">
        <v>https://www.measuringworth.com/datasets/exchangeglobal/result.php?countryE%5B%5D=India&amp;year_result=1948&amp;year_source=1916</v>
      </c>
      <c r="I44" s="2234" t="str">
        <v>1920-01-01—1920-12-31</v>
      </c>
      <c r="J44" s="2234" t="str">
        <v>historical_exchange_rates_1920_2026.xlsx</v>
      </c>
      <c r="K44" s="2234" t="str">
        <v>英属印度／印度卢比；保留原表精度。</v>
      </c>
      <c r="L44" s="2234" t="str">
        <v>原报价已按 1 美元兑换本币表示。</v>
      </c>
      <c r="M44" s="2234" t="str">
        <v>1920|英属印度卢比</v>
      </c>
      <c r="N44" s="2234" t="str">
        <v>英属印度卢比</v>
      </c>
      <c r="O44" s="2239" t="n">
        <v>2.57</v>
      </c>
      <c r="P44" s="2234" t="str">
        <v>LCU/USD</v>
      </c>
      <c r="Q44" s="2239" t="n">
        <v>1</v>
      </c>
      <c r="R44" s="2234" t="str">
        <v>B：学术历史汇编</v>
      </c>
      <c r="S44" s="2234" t="str">
        <v>年度汇率!J6；原始记录!A13:M13</v>
      </c>
      <c r="T44" s="2234" t="str"/>
      <c r="U44" t="n" s="2231">
        <v>1920</v>
      </c>
      <c r="V44" t="str" s="2231">
        <v>英属印度卢比</v>
      </c>
    </row>
    <row r="45" ht="24.0" customHeight="1">
      <c r="A45" s="2234" t="n">
        <v>1920</v>
      </c>
      <c r="B45" s="2234" t="str">
        <v>RUB_EARLY</v>
      </c>
      <c r="C45" s="2234" t="str">
        <v>苏俄纸卢布（多币并存）</v>
      </c>
      <c r="D45" s="2234" t="str">
        <v>缺失</v>
      </c>
      <c r="E45" s="2238"/>
      <c r="F45" s="2234" t="str">
        <v>缺失／未核实</v>
      </c>
      <c r="G45" s="2234" t="str">
        <v>用户提供的历史汇率表</v>
      </c>
      <c r="H45" s="2234" t="str"/>
      <c r="I45" s="2234" t="str">
        <v>1920</v>
      </c>
      <c r="J45" s="2234" t="str">
        <v>historical_exchange_rates_1920_2026.xlsx</v>
      </c>
      <c r="K45" s="2234" t="str">
        <v>本次未取得可核验的对应年份官价或年均；早期多种纸卢布／切尔文券并行，未用后期金平价倒推。</v>
      </c>
      <c r="L45" s="2234" t="str"/>
      <c r="M45" s="2234" t="str">
        <v>1920|苏俄纸卢布（多币并存）</v>
      </c>
      <c r="N45" s="2234" t="str">
        <v>苏俄纸卢布（多币并存）</v>
      </c>
      <c r="O45" s="2239"/>
      <c r="P45" s="2234" t="str"/>
      <c r="Q45" s="2239"/>
      <c r="R45" s="2234" t="str"/>
      <c r="S45" s="2234" t="str">
        <v>年度汇率!K6</v>
      </c>
      <c r="T45" s="2234" t="str">
        <v>本次未取得可核验的对应年份官价或年均；早期多种纸卢布／切尔文券并行，未用后期金平价倒推。</v>
      </c>
      <c r="U45" t="n" s="2231">
        <v>1920</v>
      </c>
      <c r="V45" t="str" s="2231">
        <v>上海两（银两计价，非银元）</v>
      </c>
    </row>
    <row r="46" ht="48.0" customHeight="1">
      <c r="A46" s="2234" t="n">
        <v>1920</v>
      </c>
      <c r="B46" s="2234" t="str">
        <v>TAEL</v>
      </c>
      <c r="C46" s="2234" t="str">
        <v>上海两（银两计价，非银元）</v>
      </c>
      <c r="D46" s="2234" t="str">
        <v>可用</v>
      </c>
      <c r="E46" s="2238" t="n">
        <v>0.8431034976991706</v>
      </c>
      <c r="F46" s="2234" t="str">
        <v>年均</v>
      </c>
      <c r="G46" s="2234" t="str">
        <v>美联储《Banking and Monetary Statistics 1914—1941》表173，中国，印刷页667</v>
      </c>
      <c r="H46" s="2234" t="str">
        <v>https://fraser.stlouisfed.org/title/banking-monetary-statistics-1914-1941-38/part-i-6408/fulltext</v>
      </c>
      <c r="I46" s="2234" t="str">
        <v>1920-01-01—1920-12-31</v>
      </c>
      <c r="J46" s="2234" t="str">
        <v>historical_exchange_rates_1920_2026.xlsx</v>
      </c>
      <c r="K46" s="2234" t="str">
        <v>纽约报价；100÷美分年均报价；不同币制年份单位见实际币名表，并非全国统一零售兑换价。 反向值由原报价均值取倒数；不等于反向日度汇率的算术平均。
原表日度报价的年均值，单位：美分／中国货币单位。1920—21上海两；1922—32旧银元；1933年4月10日起新元；1935年币制过渡；1936—41法币。</v>
      </c>
      <c r="L46" s="2234" t="str">
        <v>原报价为每单位本币兑美元，取原报价均值的倒数；不等于反向日度汇率的算术平均。乘以 100，还原当年币制的计价单位。</v>
      </c>
      <c r="M46" s="2234" t="str">
        <v>1920|上海两（银两计价，非银元）</v>
      </c>
      <c r="N46" s="2234" t="str">
        <v>上海两（银两计价，非银元）</v>
      </c>
      <c r="O46" s="2239" t="n">
        <v>118.6094</v>
      </c>
      <c r="P46" s="2234" t="str">
        <v>US cents/LCU</v>
      </c>
      <c r="Q46" s="2239" t="n">
        <v>100</v>
      </c>
      <c r="R46" s="2234" t="str">
        <v>A：机构统计／原始统计表</v>
      </c>
      <c r="S46" s="2234" t="str">
        <v>年度汇率!L6；原始记录!A14:M14</v>
      </c>
      <c r="T46" s="2234" t="str"/>
      <c r="U46" t="n" s="2231">
        <v>1921</v>
      </c>
      <c r="V46" t="str" s="2231">
        <v>美元（USD）</v>
      </c>
    </row>
    <row r="47" ht="15.0" customHeight="1">
      <c r="A47" s="2234" t="n">
        <v>1921</v>
      </c>
      <c r="B47" s="2234" t="str">
        <v>USD</v>
      </c>
      <c r="C47" s="2234" t="str">
        <v>美元（USD）</v>
      </c>
      <c r="D47" s="2234" t="str">
        <v>可用</v>
      </c>
      <c r="E47" s="2238" t="n">
        <v>1</v>
      </c>
      <c r="F47" s="2234" t="str">
        <v>基准恒等</v>
      </c>
      <c r="G47" s="2234" t="str">
        <v>用户提供的历史汇率表</v>
      </c>
      <c r="H47" s="2234" t="str"/>
      <c r="I47" s="2234" t="str">
        <v>1921</v>
      </c>
      <c r="J47" s="2234" t="str">
        <v>historical_exchange_rates_1920_2026.xlsx</v>
      </c>
      <c r="K47" s="2234" t="str">
        <v>1 美元等于 1 美元，无外部报价。</v>
      </c>
      <c r="L47" s="2234" t="str">
        <v>美元基准，汇率恒为 1。</v>
      </c>
      <c r="M47" s="2234" t="str">
        <v>1921|美元（USD）</v>
      </c>
      <c r="N47" s="2234" t="str">
        <v>美元（USD）</v>
      </c>
      <c r="O47" s="2239"/>
      <c r="P47" s="2234" t="str"/>
      <c r="Q47" s="2239"/>
      <c r="R47" s="2234" t="str"/>
      <c r="S47" s="2234" t="str">
        <v>年度汇率!B7</v>
      </c>
      <c r="T47" s="2234" t="str"/>
      <c r="U47" t="n" s="2231">
        <v>1921</v>
      </c>
      <c r="V47" t="str" s="2231">
        <v>英镑（GBP）</v>
      </c>
    </row>
    <row r="48" ht="15.0" customHeight="1">
      <c r="A48" s="2234" t="n">
        <v>1921</v>
      </c>
      <c r="B48" s="2234" t="str">
        <v>GBP</v>
      </c>
      <c r="C48" s="2234" t="str">
        <v>英镑（GBP）</v>
      </c>
      <c r="D48" s="2234" t="str">
        <v>可用</v>
      </c>
      <c r="E48" s="2238" t="n">
        <v>0.2598</v>
      </c>
      <c r="F48" s="2234" t="str">
        <v>年均</v>
      </c>
      <c r="G48" s="2234" t="str">
        <v>MeasuringWorth：英镑／美元年度历史汇率</v>
      </c>
      <c r="H48" s="2234" t="str">
        <v>https://www.measuringworth.com/datasets/exchangeglobal/result.php?countryE%5B%5D=United+Kingdom&amp;year_result=2007&amp;year_source=1791</v>
      </c>
      <c r="I48" s="2234" t="str">
        <v>1921-01-01—1921-12-31</v>
      </c>
      <c r="J48" s="2234" t="str">
        <v>historical_exchange_rates_1920_2026.xlsx</v>
      </c>
      <c r="K48" s="2234" t="str">
        <v>年度汇率，本币／美元；1920—1949。</v>
      </c>
      <c r="L48" s="2234" t="str">
        <v>原报价已按 1 美元兑换本币表示。</v>
      </c>
      <c r="M48" s="2234" t="str">
        <v>1921|英镑（GBP）</v>
      </c>
      <c r="N48" s="2234" t="str">
        <v>英镑（GBP）</v>
      </c>
      <c r="O48" s="2239" t="n">
        <v>0.2598</v>
      </c>
      <c r="P48" s="2234" t="str">
        <v>LCU/USD</v>
      </c>
      <c r="Q48" s="2239" t="n">
        <v>1</v>
      </c>
      <c r="R48" s="2234" t="str">
        <v>B：学术历史汇编</v>
      </c>
      <c r="S48" s="2234" t="str">
        <v>年度汇率!C7；原始记录!A15:M15</v>
      </c>
      <c r="T48" s="2234" t="str"/>
      <c r="U48" t="n" s="2231">
        <v>1921</v>
      </c>
      <c r="V48" t="str" s="2231">
        <v>加拿大元（CAD）</v>
      </c>
    </row>
    <row r="49" ht="15.0" customHeight="1">
      <c r="A49" s="2234" t="n">
        <v>1921</v>
      </c>
      <c r="B49" s="2234" t="str">
        <v>CAD</v>
      </c>
      <c r="C49" s="2234" t="str">
        <v>加拿大元（CAD）</v>
      </c>
      <c r="D49" s="2234" t="str">
        <v>可用</v>
      </c>
      <c r="E49" s="2238" t="n">
        <v>1.117</v>
      </c>
      <c r="F49" s="2234" t="str">
        <v>年均</v>
      </c>
      <c r="G49" s="2234" t="str">
        <v>Lawrence H. Officer / MeasuringWorth：加拿大元</v>
      </c>
      <c r="H49" s="2234" t="str">
        <v>https://www.measuringworth.com/datasets/exchangeglobal/result.php?countryE%5B%5D=Canada&amp;year_result=2007&amp;year_source=1913</v>
      </c>
      <c r="I49" s="2234" t="str">
        <v>1921-01-01—1921-12-31</v>
      </c>
      <c r="J49" s="2234" t="str">
        <v>historical_exchange_rates_1920_2026.xlsx</v>
      </c>
      <c r="K49" s="2234" t="str">
        <v>纽约市场年度报价；1942—1945缺失。</v>
      </c>
      <c r="L49" s="2234" t="str">
        <v>原报价已按 1 美元兑换本币表示。</v>
      </c>
      <c r="M49" s="2234" t="str">
        <v>1921|加拿大元（CAD）</v>
      </c>
      <c r="N49" s="2234" t="str">
        <v>加拿大元（CAD）</v>
      </c>
      <c r="O49" s="2239" t="n">
        <v>1.117</v>
      </c>
      <c r="P49" s="2234" t="str">
        <v>LCU/USD</v>
      </c>
      <c r="Q49" s="2239" t="n">
        <v>1</v>
      </c>
      <c r="R49" s="2234" t="str">
        <v>B：学术历史汇编</v>
      </c>
      <c r="S49" s="2234" t="str">
        <v>年度汇率!D7；原始记录!A16:M16</v>
      </c>
      <c r="T49" s="2234" t="str"/>
      <c r="U49" t="n" s="2231">
        <v>1921</v>
      </c>
      <c r="V49" t="str" s="2231">
        <v>法国旧法郎</v>
      </c>
    </row>
    <row r="50" ht="15.0" customHeight="1">
      <c r="A50" s="2234" t="n">
        <v>1921</v>
      </c>
      <c r="B50" s="2234" t="str">
        <v>FRF_OLD</v>
      </c>
      <c r="C50" s="2234" t="str">
        <v>法国旧法郎</v>
      </c>
      <c r="D50" s="2234" t="str">
        <v>可用</v>
      </c>
      <c r="E50" s="2238" t="n">
        <v>13.413</v>
      </c>
      <c r="F50" s="2234" t="str">
        <v>年均</v>
      </c>
      <c r="G50" s="2234" t="str">
        <v>MeasuringWorth：法国年均汇率</v>
      </c>
      <c r="H50" s="2234" t="str">
        <v>https://www.measuringworth.com/datasets/exchangeglobal/result.php?countryE%5B%5D=France&amp;year_result=1940&amp;year_source=1920</v>
      </c>
      <c r="I50" s="2234" t="str">
        <v>1921-01-01—1921-12-31</v>
      </c>
      <c r="J50" s="2234" t="str">
        <v>historical_exchange_rates_1920_2026.xlsx</v>
      </c>
      <c r="K50" s="2234" t="str">
        <v>纽约市场；1940仅至6月15日可用报价。</v>
      </c>
      <c r="L50" s="2234" t="str">
        <v>原报价已按 1 美元兑换本币表示。</v>
      </c>
      <c r="M50" s="2234" t="str">
        <v>1921|法国旧法郎</v>
      </c>
      <c r="N50" s="2234" t="str">
        <v>法国旧法郎</v>
      </c>
      <c r="O50" s="2239" t="n">
        <v>13.413</v>
      </c>
      <c r="P50" s="2234" t="str">
        <v>LCU/USD</v>
      </c>
      <c r="Q50" s="2239" t="n">
        <v>1</v>
      </c>
      <c r="R50" s="2234" t="str">
        <v>B：学术历史汇编</v>
      </c>
      <c r="S50" s="2234" t="str">
        <v>年度汇率!E7；原始记录!A17:M17</v>
      </c>
      <c r="T50" s="2234" t="str"/>
      <c r="U50" t="n" s="2231">
        <v>1921</v>
      </c>
      <c r="V50" t="str" s="2231">
        <v>德国纸马克</v>
      </c>
    </row>
    <row r="51" ht="24.0" customHeight="1">
      <c r="A51" s="2234" t="n">
        <v>1921</v>
      </c>
      <c r="B51" s="2234" t="str">
        <v>DRM</v>
      </c>
      <c r="C51" s="2234" t="str">
        <v>德国纸马克</v>
      </c>
      <c r="D51" s="2234" t="str">
        <v>可用</v>
      </c>
      <c r="E51" s="2238" t="n">
        <v>83.02</v>
      </c>
      <c r="F51" s="2234" t="str">
        <v>年均</v>
      </c>
      <c r="G51" s="2234" t="str">
        <v>Harold Marcuse / UCSB：德国，转载Officer年度表</v>
      </c>
      <c r="H51" s="2234" t="str">
        <v>https://marcuse.faculty.history.ucsb.edu/projects/currency.htm</v>
      </c>
      <c r="I51" s="2234" t="str">
        <v>1921-01-01—1921-12-31</v>
      </c>
      <c r="J51" s="2234" t="str">
        <v>historical_exchange_rates_1920_2026.xlsx</v>
      </c>
      <c r="K51" s="2234" t="str">
        <v>使用右侧annual avg.表，不使用左侧定点汇率；1923—1924数据有币改及倒数均值口径疑点，未采用。</v>
      </c>
      <c r="L51" s="2234" t="str">
        <v>原报价已按 1 美元兑换本币表示。</v>
      </c>
      <c r="M51" s="2234" t="str">
        <v>1921|德国纸马克</v>
      </c>
      <c r="N51" s="2234" t="str">
        <v>德国纸马克</v>
      </c>
      <c r="O51" s="2239" t="n">
        <v>83.02</v>
      </c>
      <c r="P51" s="2234" t="str">
        <v>LCU/USD</v>
      </c>
      <c r="Q51" s="2239" t="n">
        <v>1</v>
      </c>
      <c r="R51" s="2234" t="str">
        <v>B：大学页面转录</v>
      </c>
      <c r="S51" s="2234" t="str">
        <v>年度汇率!F7、年度汇率!M7；原始记录!A18:M18</v>
      </c>
      <c r="T51" s="2234" t="str"/>
      <c r="U51" t="n" s="2231">
        <v>1921</v>
      </c>
      <c r="V51" t="str" s="2231">
        <v>意大利里拉（ITL）</v>
      </c>
    </row>
    <row r="52" ht="36.0" customHeight="1">
      <c r="A52" s="2234" t="n">
        <v>1921</v>
      </c>
      <c r="B52" s="2234" t="str">
        <v>ITL</v>
      </c>
      <c r="C52" s="2234" t="str">
        <v>意大利里拉（ITL）</v>
      </c>
      <c r="D52" s="2234" t="str">
        <v>可用</v>
      </c>
      <c r="E52" s="2238" t="n">
        <v>23.290478852245204</v>
      </c>
      <c r="F52" s="2234" t="str">
        <v>年均</v>
      </c>
      <c r="G52" s="2234" t="str">
        <v>美联储《Banking and Monetary Statistics 1914—1941》表173，意大利，印刷页673</v>
      </c>
      <c r="H52" s="2234" t="str">
        <v>https://fraser.stlouisfed.org/title/banking-monetary-statistics-1914-1941-38/part-i-6408/fulltext</v>
      </c>
      <c r="I52" s="2234" t="str">
        <v>1921-01-01—1921-12-31</v>
      </c>
      <c r="J52" s="2234" t="str">
        <v>historical_exchange_rates_1920_2026.xlsx</v>
      </c>
      <c r="K52" s="2234" t="str">
        <v>纽约报价；由美分／里拉的年均报价取倒数，非里拉／美元逐日均值。 反向值由原报价均值取倒数；不等于反向日度汇率的算术平均。
原表为日度报价的年平均，单位：美分／里拉；标准化为100÷原值。</v>
      </c>
      <c r="L52" s="2234" t="str">
        <v>原报价为每单位本币兑美元，取原报价均值的倒数；不等于反向日度汇率的算术平均。乘以 100，还原当年币制的计价单位。</v>
      </c>
      <c r="M52" s="2234" t="str">
        <v>1921|意大利里拉（ITL）</v>
      </c>
      <c r="N52" s="2234" t="str">
        <v>意大利里拉（ITL）</v>
      </c>
      <c r="O52" s="2239" t="n">
        <v>4.2936</v>
      </c>
      <c r="P52" s="2234" t="str">
        <v>US cents/LCU</v>
      </c>
      <c r="Q52" s="2239" t="n">
        <v>100</v>
      </c>
      <c r="R52" s="2234" t="str">
        <v>A：机构统计／原始统计表</v>
      </c>
      <c r="S52" s="2234" t="str">
        <v>年度汇率!G7；原始记录!A19:M19</v>
      </c>
      <c r="T52" s="2234" t="str"/>
      <c r="U52" t="n" s="2231">
        <v>1921</v>
      </c>
      <c r="V52" t="str" s="2231">
        <v>日元（JPY）</v>
      </c>
    </row>
    <row r="53" ht="15.0" customHeight="1">
      <c r="A53" s="2234" t="n">
        <v>1921</v>
      </c>
      <c r="B53" s="2234" t="str">
        <v>JPY</v>
      </c>
      <c r="C53" s="2234" t="str">
        <v>日元（JPY）</v>
      </c>
      <c r="D53" s="2234" t="str">
        <v>可用</v>
      </c>
      <c r="E53" s="2238" t="n">
        <v>2.07</v>
      </c>
      <c r="F53" s="2234" t="str">
        <v>年均</v>
      </c>
      <c r="G53" s="2234" t="str">
        <v>MeasuringWorth：日本年均汇率</v>
      </c>
      <c r="H53" s="2234" t="str">
        <v>https://www.measuringworth.com/datasets/exchangeglobal/result.php?countryE%5B%5D=Japan&amp;year_result=2016&amp;year_source=1916</v>
      </c>
      <c r="I53" s="2234" t="str">
        <v>1921-01-01—1921-12-31</v>
      </c>
      <c r="J53" s="2234" t="str">
        <v>historical_exchange_rates_1920_2026.xlsx</v>
      </c>
      <c r="K53" s="2234" t="str">
        <v>以纽约市场年度平均报价为主；保留原表精度。</v>
      </c>
      <c r="L53" s="2234" t="str">
        <v>原报价已按 1 美元兑换本币表示。</v>
      </c>
      <c r="M53" s="2234" t="str">
        <v>1921|日元（JPY）</v>
      </c>
      <c r="N53" s="2234" t="str">
        <v>日元（JPY）</v>
      </c>
      <c r="O53" s="2239" t="n">
        <v>2.07</v>
      </c>
      <c r="P53" s="2234" t="str">
        <v>LCU/USD</v>
      </c>
      <c r="Q53" s="2239" t="n">
        <v>1</v>
      </c>
      <c r="R53" s="2234" t="str">
        <v>B：学术历史汇编</v>
      </c>
      <c r="S53" s="2234" t="str">
        <v>年度汇率!H7；原始记录!A20:M20</v>
      </c>
      <c r="T53" s="2234" t="str"/>
      <c r="U53" t="n" s="2231">
        <v>1921</v>
      </c>
      <c r="V53" t="str" s="2231">
        <v>瑞士法郎（CHF）</v>
      </c>
    </row>
    <row r="54" ht="15.0" customHeight="1">
      <c r="A54" s="2234" t="n">
        <v>1921</v>
      </c>
      <c r="B54" s="2234" t="str">
        <v>CHF</v>
      </c>
      <c r="C54" s="2234" t="str">
        <v>瑞士法郎（CHF）</v>
      </c>
      <c r="D54" s="2234" t="str">
        <v>可用</v>
      </c>
      <c r="E54" s="2238" t="n">
        <v>5.7624</v>
      </c>
      <c r="F54" s="2234" t="str">
        <v>年均</v>
      </c>
      <c r="G54" s="2234" t="str">
        <v>MeasuringWorth：瑞士年均汇率</v>
      </c>
      <c r="H54" s="2234" t="str">
        <v>https://www.measuringworth.com/datasets/exchangeglobal/result.php?countryE%5B%5D=Switzerland&amp;year_result=1955&amp;year_source=1905</v>
      </c>
      <c r="I54" s="2234" t="str">
        <v>1921-01-01—1921-12-31</v>
      </c>
      <c r="J54" s="2234" t="str">
        <v>historical_exchange_rates_1920_2026.xlsx</v>
      </c>
      <c r="K54" s="2234" t="str">
        <v>纽约市场；1941仅上半年报价，1942–1945原表无值。</v>
      </c>
      <c r="L54" s="2234" t="str">
        <v>原报价已按 1 美元兑换本币表示。</v>
      </c>
      <c r="M54" s="2234" t="str">
        <v>1921|瑞士法郎（CHF）</v>
      </c>
      <c r="N54" s="2234" t="str">
        <v>瑞士法郎（CHF）</v>
      </c>
      <c r="O54" s="2239" t="n">
        <v>5.7624</v>
      </c>
      <c r="P54" s="2234" t="str">
        <v>LCU/USD</v>
      </c>
      <c r="Q54" s="2239" t="n">
        <v>1</v>
      </c>
      <c r="R54" s="2234" t="str">
        <v>B：学术历史汇编</v>
      </c>
      <c r="S54" s="2234" t="str">
        <v>年度汇率!I7；原始记录!A21:M21</v>
      </c>
      <c r="T54" s="2234" t="str"/>
      <c r="U54" t="n" s="2231">
        <v>1921</v>
      </c>
      <c r="V54" t="str" s="2231">
        <v>英属印度卢比</v>
      </c>
    </row>
    <row r="55" ht="15.0" customHeight="1">
      <c r="A55" s="2234" t="n">
        <v>1921</v>
      </c>
      <c r="B55" s="2234" t="str">
        <v>INR</v>
      </c>
      <c r="C55" s="2234" t="str">
        <v>英属印度卢比</v>
      </c>
      <c r="D55" s="2234" t="str">
        <v>可用</v>
      </c>
      <c r="E55" s="2238" t="n">
        <v>3.81</v>
      </c>
      <c r="F55" s="2234" t="str">
        <v>年均</v>
      </c>
      <c r="G55" s="2234" t="str">
        <v>MeasuringWorth：印度年均汇率</v>
      </c>
      <c r="H55" s="2234" t="str">
        <v>https://www.measuringworth.com/datasets/exchangeglobal/result.php?countryE%5B%5D=India&amp;year_result=1948&amp;year_source=1916</v>
      </c>
      <c r="I55" s="2234" t="str">
        <v>1921-01-01—1921-12-31</v>
      </c>
      <c r="J55" s="2234" t="str">
        <v>historical_exchange_rates_1920_2026.xlsx</v>
      </c>
      <c r="K55" s="2234" t="str">
        <v>英属印度／印度卢比；保留原表精度。</v>
      </c>
      <c r="L55" s="2234" t="str">
        <v>原报价已按 1 美元兑换本币表示。</v>
      </c>
      <c r="M55" s="2234" t="str">
        <v>1921|英属印度卢比</v>
      </c>
      <c r="N55" s="2234" t="str">
        <v>英属印度卢比</v>
      </c>
      <c r="O55" s="2239" t="n">
        <v>3.81</v>
      </c>
      <c r="P55" s="2234" t="str">
        <v>LCU/USD</v>
      </c>
      <c r="Q55" s="2239" t="n">
        <v>1</v>
      </c>
      <c r="R55" s="2234" t="str">
        <v>B：学术历史汇编</v>
      </c>
      <c r="S55" s="2234" t="str">
        <v>年度汇率!J7；原始记录!A22:M22</v>
      </c>
      <c r="T55" s="2234" t="str"/>
      <c r="U55" t="n" s="2231">
        <v>1921</v>
      </c>
      <c r="V55" t="str" s="2231">
        <v>上海两（银两计价，非银元）</v>
      </c>
    </row>
    <row r="56" ht="24.0" customHeight="1">
      <c r="A56" s="2234" t="n">
        <v>1921</v>
      </c>
      <c r="B56" s="2234" t="str">
        <v>RUB_EARLY</v>
      </c>
      <c r="C56" s="2234" t="str">
        <v>苏俄纸卢布（多币并存）</v>
      </c>
      <c r="D56" s="2234" t="str">
        <v>缺失</v>
      </c>
      <c r="E56" s="2238"/>
      <c r="F56" s="2234" t="str">
        <v>缺失／未核实</v>
      </c>
      <c r="G56" s="2234" t="str">
        <v>用户提供的历史汇率表</v>
      </c>
      <c r="H56" s="2234" t="str"/>
      <c r="I56" s="2234" t="str">
        <v>1921</v>
      </c>
      <c r="J56" s="2234" t="str">
        <v>historical_exchange_rates_1920_2026.xlsx</v>
      </c>
      <c r="K56" s="2234" t="str">
        <v>本次未取得可核验的对应年份官价或年均；早期多种纸卢布／切尔文券并行，未用后期金平价倒推。</v>
      </c>
      <c r="L56" s="2234" t="str"/>
      <c r="M56" s="2234" t="str">
        <v>1921|苏俄纸卢布（多币并存）</v>
      </c>
      <c r="N56" s="2234" t="str">
        <v>苏俄纸卢布（多币并存）</v>
      </c>
      <c r="O56" s="2239"/>
      <c r="P56" s="2234" t="str"/>
      <c r="Q56" s="2239"/>
      <c r="R56" s="2234" t="str"/>
      <c r="S56" s="2234" t="str">
        <v>年度汇率!K7</v>
      </c>
      <c r="T56" s="2234" t="str">
        <v>本次未取得可核验的对应年份官价或年均；早期多种纸卢布／切尔文券并行，未用后期金平价倒推。</v>
      </c>
      <c r="U56" t="n" s="2231">
        <v>1922</v>
      </c>
      <c r="V56" t="str" s="2231">
        <v>美元（USD）</v>
      </c>
    </row>
    <row r="57" ht="48.0" customHeight="1">
      <c r="A57" s="2234" t="n">
        <v>1921</v>
      </c>
      <c r="B57" s="2234" t="str">
        <v>TAEL</v>
      </c>
      <c r="C57" s="2234" t="str">
        <v>上海两（银两计价，非银元）</v>
      </c>
      <c r="D57" s="2234" t="str">
        <v>可用</v>
      </c>
      <c r="E57" s="2238" t="n">
        <v>1.4129762083066046</v>
      </c>
      <c r="F57" s="2234" t="str">
        <v>年均</v>
      </c>
      <c r="G57" s="2234" t="str">
        <v>美联储《Banking and Monetary Statistics 1914—1941》表173，中国，印刷页667</v>
      </c>
      <c r="H57" s="2234" t="str">
        <v>https://fraser.stlouisfed.org/title/banking-monetary-statistics-1914-1941-38/part-i-6408/fulltext</v>
      </c>
      <c r="I57" s="2234" t="str">
        <v>1921-01-01—1921-12-31</v>
      </c>
      <c r="J57" s="2234" t="str">
        <v>historical_exchange_rates_1920_2026.xlsx</v>
      </c>
      <c r="K57" s="2234" t="str">
        <v>纽约报价；100÷美分年均报价；不同币制年份单位见实际币名表，并非全国统一零售兑换价。 反向值由原报价均值取倒数；不等于反向日度汇率的算术平均。
原表日度报价的年均值，单位：美分／中国货币单位。1920—21上海两；1922—32旧银元；1933年4月10日起新元；1935年币制过渡；1936—41法币。</v>
      </c>
      <c r="L57" s="2234" t="str">
        <v>原报价为每单位本币兑美元，取原报价均值的倒数；不等于反向日度汇率的算术平均。乘以 100，还原当年币制的计价单位。</v>
      </c>
      <c r="M57" s="2234" t="str">
        <v>1921|上海两（银两计价，非银元）</v>
      </c>
      <c r="N57" s="2234" t="str">
        <v>上海两（银两计价，非银元）</v>
      </c>
      <c r="O57" s="2239" t="n">
        <v>70.7726</v>
      </c>
      <c r="P57" s="2234" t="str">
        <v>US cents/LCU</v>
      </c>
      <c r="Q57" s="2239" t="n">
        <v>100</v>
      </c>
      <c r="R57" s="2234" t="str">
        <v>A：机构统计／原始统计表</v>
      </c>
      <c r="S57" s="2234" t="str">
        <v>年度汇率!L7；原始记录!A23:M23</v>
      </c>
      <c r="T57" s="2234" t="str"/>
      <c r="U57" t="n" s="2231">
        <v>1922</v>
      </c>
      <c r="V57" t="str" s="2231">
        <v>英镑（GBP）</v>
      </c>
    </row>
    <row r="58" ht="15.0" customHeight="1">
      <c r="A58" s="2234" t="n">
        <v>1922</v>
      </c>
      <c r="B58" s="2234" t="str">
        <v>USD</v>
      </c>
      <c r="C58" s="2234" t="str">
        <v>美元（USD）</v>
      </c>
      <c r="D58" s="2234" t="str">
        <v>可用</v>
      </c>
      <c r="E58" s="2238" t="n">
        <v>1</v>
      </c>
      <c r="F58" s="2234" t="str">
        <v>基准恒等</v>
      </c>
      <c r="G58" s="2234" t="str">
        <v>用户提供的历史汇率表</v>
      </c>
      <c r="H58" s="2234" t="str"/>
      <c r="I58" s="2234" t="str">
        <v>1922</v>
      </c>
      <c r="J58" s="2234" t="str">
        <v>historical_exchange_rates_1920_2026.xlsx</v>
      </c>
      <c r="K58" s="2234" t="str">
        <v>1 美元等于 1 美元，无外部报价。</v>
      </c>
      <c r="L58" s="2234" t="str">
        <v>美元基准，汇率恒为 1。</v>
      </c>
      <c r="M58" s="2234" t="str">
        <v>1922|美元（USD）</v>
      </c>
      <c r="N58" s="2234" t="str">
        <v>美元（USD）</v>
      </c>
      <c r="O58" s="2239"/>
      <c r="P58" s="2234" t="str"/>
      <c r="Q58" s="2239"/>
      <c r="R58" s="2234" t="str"/>
      <c r="S58" s="2234" t="str">
        <v>年度汇率!B8</v>
      </c>
      <c r="T58" s="2234" t="str"/>
      <c r="U58" t="n" s="2231">
        <v>1922</v>
      </c>
      <c r="V58" t="str" s="2231">
        <v>加拿大元（CAD）</v>
      </c>
    </row>
    <row r="59" ht="15.0" customHeight="1">
      <c r="A59" s="2234" t="n">
        <v>1922</v>
      </c>
      <c r="B59" s="2234" t="str">
        <v>GBP</v>
      </c>
      <c r="C59" s="2234" t="str">
        <v>英镑（GBP）</v>
      </c>
      <c r="D59" s="2234" t="str">
        <v>可用</v>
      </c>
      <c r="E59" s="2238" t="n">
        <v>0.2258</v>
      </c>
      <c r="F59" s="2234" t="str">
        <v>年均</v>
      </c>
      <c r="G59" s="2234" t="str">
        <v>MeasuringWorth：英镑／美元年度历史汇率</v>
      </c>
      <c r="H59" s="2234" t="str">
        <v>https://www.measuringworth.com/datasets/exchangeglobal/result.php?countryE%5B%5D=United+Kingdom&amp;year_result=2007&amp;year_source=1791</v>
      </c>
      <c r="I59" s="2234" t="str">
        <v>1922-01-01—1922-12-31</v>
      </c>
      <c r="J59" s="2234" t="str">
        <v>historical_exchange_rates_1920_2026.xlsx</v>
      </c>
      <c r="K59" s="2234" t="str">
        <v>年度汇率，本币／美元；1920—1949。</v>
      </c>
      <c r="L59" s="2234" t="str">
        <v>原报价已按 1 美元兑换本币表示。</v>
      </c>
      <c r="M59" s="2234" t="str">
        <v>1922|英镑（GBP）</v>
      </c>
      <c r="N59" s="2234" t="str">
        <v>英镑（GBP）</v>
      </c>
      <c r="O59" s="2239" t="n">
        <v>0.2258</v>
      </c>
      <c r="P59" s="2234" t="str">
        <v>LCU/USD</v>
      </c>
      <c r="Q59" s="2239" t="n">
        <v>1</v>
      </c>
      <c r="R59" s="2234" t="str">
        <v>B：学术历史汇编</v>
      </c>
      <c r="S59" s="2234" t="str">
        <v>年度汇率!C8；原始记录!A24:M24</v>
      </c>
      <c r="T59" s="2234" t="str"/>
      <c r="U59" t="n" s="2231">
        <v>1922</v>
      </c>
      <c r="V59" t="str" s="2231">
        <v>法国旧法郎</v>
      </c>
    </row>
    <row r="60" ht="15.0" customHeight="1">
      <c r="A60" s="2234" t="n">
        <v>1922</v>
      </c>
      <c r="B60" s="2234" t="str">
        <v>CAD</v>
      </c>
      <c r="C60" s="2234" t="str">
        <v>加拿大元（CAD）</v>
      </c>
      <c r="D60" s="2234" t="str">
        <v>可用</v>
      </c>
      <c r="E60" s="2238" t="n">
        <v>1.015</v>
      </c>
      <c r="F60" s="2234" t="str">
        <v>年均</v>
      </c>
      <c r="G60" s="2234" t="str">
        <v>Lawrence H. Officer / MeasuringWorth：加拿大元</v>
      </c>
      <c r="H60" s="2234" t="str">
        <v>https://www.measuringworth.com/datasets/exchangeglobal/result.php?countryE%5B%5D=Canada&amp;year_result=2007&amp;year_source=1913</v>
      </c>
      <c r="I60" s="2234" t="str">
        <v>1922-01-01—1922-12-31</v>
      </c>
      <c r="J60" s="2234" t="str">
        <v>historical_exchange_rates_1920_2026.xlsx</v>
      </c>
      <c r="K60" s="2234" t="str">
        <v>纽约市场年度报价；1942—1945缺失。</v>
      </c>
      <c r="L60" s="2234" t="str">
        <v>原报价已按 1 美元兑换本币表示。</v>
      </c>
      <c r="M60" s="2234" t="str">
        <v>1922|加拿大元（CAD）</v>
      </c>
      <c r="N60" s="2234" t="str">
        <v>加拿大元（CAD）</v>
      </c>
      <c r="O60" s="2239" t="n">
        <v>1.015</v>
      </c>
      <c r="P60" s="2234" t="str">
        <v>LCU/USD</v>
      </c>
      <c r="Q60" s="2239" t="n">
        <v>1</v>
      </c>
      <c r="R60" s="2234" t="str">
        <v>B：学术历史汇编</v>
      </c>
      <c r="S60" s="2234" t="str">
        <v>年度汇率!D8；原始记录!A25:M25</v>
      </c>
      <c r="T60" s="2234" t="str"/>
      <c r="U60" t="n" s="2231">
        <v>1922</v>
      </c>
      <c r="V60" t="str" s="2231">
        <v>德国纸马克</v>
      </c>
    </row>
    <row r="61" ht="15.0" customHeight="1">
      <c r="A61" s="2234" t="n">
        <v>1922</v>
      </c>
      <c r="B61" s="2234" t="str">
        <v>FRF_OLD</v>
      </c>
      <c r="C61" s="2234" t="str">
        <v>法国旧法郎</v>
      </c>
      <c r="D61" s="2234" t="str">
        <v>可用</v>
      </c>
      <c r="E61" s="2238" t="n">
        <v>12.193</v>
      </c>
      <c r="F61" s="2234" t="str">
        <v>年均</v>
      </c>
      <c r="G61" s="2234" t="str">
        <v>MeasuringWorth：法国年均汇率</v>
      </c>
      <c r="H61" s="2234" t="str">
        <v>https://www.measuringworth.com/datasets/exchangeglobal/result.php?countryE%5B%5D=France&amp;year_result=1940&amp;year_source=1920</v>
      </c>
      <c r="I61" s="2234" t="str">
        <v>1922-01-01—1922-12-31</v>
      </c>
      <c r="J61" s="2234" t="str">
        <v>historical_exchange_rates_1920_2026.xlsx</v>
      </c>
      <c r="K61" s="2234" t="str">
        <v>纽约市场；1940仅至6月15日可用报价。</v>
      </c>
      <c r="L61" s="2234" t="str">
        <v>原报价已按 1 美元兑换本币表示。</v>
      </c>
      <c r="M61" s="2234" t="str">
        <v>1922|法国旧法郎</v>
      </c>
      <c r="N61" s="2234" t="str">
        <v>法国旧法郎</v>
      </c>
      <c r="O61" s="2239" t="n">
        <v>12.193</v>
      </c>
      <c r="P61" s="2234" t="str">
        <v>LCU/USD</v>
      </c>
      <c r="Q61" s="2239" t="n">
        <v>1</v>
      </c>
      <c r="R61" s="2234" t="str">
        <v>B：学术历史汇编</v>
      </c>
      <c r="S61" s="2234" t="str">
        <v>年度汇率!E8；原始记录!A26:M26</v>
      </c>
      <c r="T61" s="2234" t="str"/>
      <c r="U61" t="n" s="2231">
        <v>1922</v>
      </c>
      <c r="V61" t="str" s="2231">
        <v>意大利里拉（ITL）</v>
      </c>
    </row>
    <row r="62" ht="24.0" customHeight="1">
      <c r="A62" s="2234" t="n">
        <v>1922</v>
      </c>
      <c r="B62" s="2234" t="str">
        <v>DRM</v>
      </c>
      <c r="C62" s="2234" t="str">
        <v>德国纸马克</v>
      </c>
      <c r="D62" s="2234" t="str">
        <v>可用</v>
      </c>
      <c r="E62" s="2238" t="n">
        <v>430.48</v>
      </c>
      <c r="F62" s="2234" t="str">
        <v>年均</v>
      </c>
      <c r="G62" s="2234" t="str">
        <v>Harold Marcuse / UCSB：德国，转载Officer年度表</v>
      </c>
      <c r="H62" s="2234" t="str">
        <v>https://marcuse.faculty.history.ucsb.edu/projects/currency.htm</v>
      </c>
      <c r="I62" s="2234" t="str">
        <v>1922-01-01—1922-12-31</v>
      </c>
      <c r="J62" s="2234" t="str">
        <v>historical_exchange_rates_1920_2026.xlsx</v>
      </c>
      <c r="K62" s="2234" t="str">
        <v>使用右侧annual avg.表，不使用左侧定点汇率；1923—1924数据有币改及倒数均值口径疑点，未采用。</v>
      </c>
      <c r="L62" s="2234" t="str">
        <v>原报价已按 1 美元兑换本币表示。</v>
      </c>
      <c r="M62" s="2234" t="str">
        <v>1922|德国纸马克</v>
      </c>
      <c r="N62" s="2234" t="str">
        <v>德国纸马克</v>
      </c>
      <c r="O62" s="2239" t="n">
        <v>430.48</v>
      </c>
      <c r="P62" s="2234" t="str">
        <v>LCU/USD</v>
      </c>
      <c r="Q62" s="2239" t="n">
        <v>1</v>
      </c>
      <c r="R62" s="2234" t="str">
        <v>B：大学页面转录</v>
      </c>
      <c r="S62" s="2234" t="str">
        <v>年度汇率!F8、年度汇率!M8；原始记录!A27:M27</v>
      </c>
      <c r="T62" s="2234" t="str"/>
      <c r="U62" t="n" s="2231">
        <v>1922</v>
      </c>
      <c r="V62" t="str" s="2231">
        <v>日元（JPY）</v>
      </c>
    </row>
    <row r="63" ht="36.0" customHeight="1">
      <c r="A63" s="2234" t="n">
        <v>1922</v>
      </c>
      <c r="B63" s="2234" t="str">
        <v>ITL</v>
      </c>
      <c r="C63" s="2234" t="str">
        <v>意大利里拉（ITL）</v>
      </c>
      <c r="D63" s="2234" t="str">
        <v>可用</v>
      </c>
      <c r="E63" s="2238" t="n">
        <v>21.02651443470216</v>
      </c>
      <c r="F63" s="2234" t="str">
        <v>年均</v>
      </c>
      <c r="G63" s="2234" t="str">
        <v>美联储《Banking and Monetary Statistics 1914—1941》表173，意大利，印刷页673</v>
      </c>
      <c r="H63" s="2234" t="str">
        <v>https://fraser.stlouisfed.org/title/banking-monetary-statistics-1914-1941-38/part-i-6408/fulltext</v>
      </c>
      <c r="I63" s="2234" t="str">
        <v>1922-01-01—1922-12-31</v>
      </c>
      <c r="J63" s="2234" t="str">
        <v>historical_exchange_rates_1920_2026.xlsx</v>
      </c>
      <c r="K63" s="2234" t="str">
        <v>纽约报价；由美分／里拉的年均报价取倒数，非里拉／美元逐日均值。 反向值由原报价均值取倒数；不等于反向日度汇率的算术平均。
原表为日度报价的年平均，单位：美分／里拉；标准化为100÷原值。</v>
      </c>
      <c r="L63" s="2234" t="str">
        <v>原报价为每单位本币兑美元，取原报价均值的倒数；不等于反向日度汇率的算术平均。乘以 100，还原当年币制的计价单位。</v>
      </c>
      <c r="M63" s="2234" t="str">
        <v>1922|意大利里拉（ITL）</v>
      </c>
      <c r="N63" s="2234" t="str">
        <v>意大利里拉（ITL）</v>
      </c>
      <c r="O63" s="2239" t="n">
        <v>4.7559</v>
      </c>
      <c r="P63" s="2234" t="str">
        <v>US cents/LCU</v>
      </c>
      <c r="Q63" s="2239" t="n">
        <v>100</v>
      </c>
      <c r="R63" s="2234" t="str">
        <v>A：机构统计／原始统计表</v>
      </c>
      <c r="S63" s="2234" t="str">
        <v>年度汇率!G8；原始记录!A28:M28</v>
      </c>
      <c r="T63" s="2234" t="str"/>
      <c r="U63" t="n" s="2231">
        <v>1922</v>
      </c>
      <c r="V63" t="str" s="2231">
        <v>瑞士法郎（CHF）</v>
      </c>
    </row>
    <row r="64" ht="15.0" customHeight="1">
      <c r="A64" s="2234" t="n">
        <v>1922</v>
      </c>
      <c r="B64" s="2234" t="str">
        <v>JPY</v>
      </c>
      <c r="C64" s="2234" t="str">
        <v>日元（JPY）</v>
      </c>
      <c r="D64" s="2234" t="str">
        <v>可用</v>
      </c>
      <c r="E64" s="2238" t="n">
        <v>2.09</v>
      </c>
      <c r="F64" s="2234" t="str">
        <v>年均</v>
      </c>
      <c r="G64" s="2234" t="str">
        <v>MeasuringWorth：日本年均汇率</v>
      </c>
      <c r="H64" s="2234" t="str">
        <v>https://www.measuringworth.com/datasets/exchangeglobal/result.php?countryE%5B%5D=Japan&amp;year_result=2016&amp;year_source=1916</v>
      </c>
      <c r="I64" s="2234" t="str">
        <v>1922-01-01—1922-12-31</v>
      </c>
      <c r="J64" s="2234" t="str">
        <v>historical_exchange_rates_1920_2026.xlsx</v>
      </c>
      <c r="K64" s="2234" t="str">
        <v>以纽约市场年度平均报价为主；保留原表精度。</v>
      </c>
      <c r="L64" s="2234" t="str">
        <v>原报价已按 1 美元兑换本币表示。</v>
      </c>
      <c r="M64" s="2234" t="str">
        <v>1922|日元（JPY）</v>
      </c>
      <c r="N64" s="2234" t="str">
        <v>日元（JPY）</v>
      </c>
      <c r="O64" s="2239" t="n">
        <v>2.09</v>
      </c>
      <c r="P64" s="2234" t="str">
        <v>LCU/USD</v>
      </c>
      <c r="Q64" s="2239" t="n">
        <v>1</v>
      </c>
      <c r="R64" s="2234" t="str">
        <v>B：学术历史汇编</v>
      </c>
      <c r="S64" s="2234" t="str">
        <v>年度汇率!H8；原始记录!A29:M29</v>
      </c>
      <c r="T64" s="2234" t="str"/>
      <c r="U64" t="n" s="2231">
        <v>1922</v>
      </c>
      <c r="V64" t="str" s="2231">
        <v>英属印度卢比</v>
      </c>
    </row>
    <row r="65" ht="15.0" customHeight="1">
      <c r="A65" s="2234" t="n">
        <v>1922</v>
      </c>
      <c r="B65" s="2234" t="str">
        <v>CHF</v>
      </c>
      <c r="C65" s="2234" t="str">
        <v>瑞士法郎（CHF）</v>
      </c>
      <c r="D65" s="2234" t="str">
        <v>可用</v>
      </c>
      <c r="E65" s="2238" t="n">
        <v>5.2452</v>
      </c>
      <c r="F65" s="2234" t="str">
        <v>年均</v>
      </c>
      <c r="G65" s="2234" t="str">
        <v>MeasuringWorth：瑞士年均汇率</v>
      </c>
      <c r="H65" s="2234" t="str">
        <v>https://www.measuringworth.com/datasets/exchangeglobal/result.php?countryE%5B%5D=Switzerland&amp;year_result=1955&amp;year_source=1905</v>
      </c>
      <c r="I65" s="2234" t="str">
        <v>1922-01-01—1922-12-31</v>
      </c>
      <c r="J65" s="2234" t="str">
        <v>historical_exchange_rates_1920_2026.xlsx</v>
      </c>
      <c r="K65" s="2234" t="str">
        <v>纽约市场；1941仅上半年报价，1942–1945原表无值。</v>
      </c>
      <c r="L65" s="2234" t="str">
        <v>原报价已按 1 美元兑换本币表示。</v>
      </c>
      <c r="M65" s="2234" t="str">
        <v>1922|瑞士法郎（CHF）</v>
      </c>
      <c r="N65" s="2234" t="str">
        <v>瑞士法郎（CHF）</v>
      </c>
      <c r="O65" s="2239" t="n">
        <v>5.2452</v>
      </c>
      <c r="P65" s="2234" t="str">
        <v>LCU/USD</v>
      </c>
      <c r="Q65" s="2239" t="n">
        <v>1</v>
      </c>
      <c r="R65" s="2234" t="str">
        <v>B：学术历史汇编</v>
      </c>
      <c r="S65" s="2234" t="str">
        <v>年度汇率!I8；原始记录!A30:M30</v>
      </c>
      <c r="T65" s="2234" t="str"/>
      <c r="U65" t="n" s="2231">
        <v>1922</v>
      </c>
      <c r="V65" t="str" s="2231">
        <v>中国旧银元（元）</v>
      </c>
    </row>
    <row r="66" ht="15.0" customHeight="1">
      <c r="A66" s="2234" t="n">
        <v>1922</v>
      </c>
      <c r="B66" s="2234" t="str">
        <v>INR</v>
      </c>
      <c r="C66" s="2234" t="str">
        <v>英属印度卢比</v>
      </c>
      <c r="D66" s="2234" t="str">
        <v>可用</v>
      </c>
      <c r="E66" s="2238" t="n">
        <v>3.48</v>
      </c>
      <c r="F66" s="2234" t="str">
        <v>年均</v>
      </c>
      <c r="G66" s="2234" t="str">
        <v>MeasuringWorth：印度年均汇率</v>
      </c>
      <c r="H66" s="2234" t="str">
        <v>https://www.measuringworth.com/datasets/exchangeglobal/result.php?countryE%5B%5D=India&amp;year_result=1948&amp;year_source=1916</v>
      </c>
      <c r="I66" s="2234" t="str">
        <v>1922-01-01—1922-12-31</v>
      </c>
      <c r="J66" s="2234" t="str">
        <v>historical_exchange_rates_1920_2026.xlsx</v>
      </c>
      <c r="K66" s="2234" t="str">
        <v>英属印度／印度卢比；保留原表精度。</v>
      </c>
      <c r="L66" s="2234" t="str">
        <v>原报价已按 1 美元兑换本币表示。</v>
      </c>
      <c r="M66" s="2234" t="str">
        <v>1922|英属印度卢比</v>
      </c>
      <c r="N66" s="2234" t="str">
        <v>英属印度卢比</v>
      </c>
      <c r="O66" s="2239" t="n">
        <v>3.48</v>
      </c>
      <c r="P66" s="2234" t="str">
        <v>LCU/USD</v>
      </c>
      <c r="Q66" s="2239" t="n">
        <v>1</v>
      </c>
      <c r="R66" s="2234" t="str">
        <v>B：学术历史汇编</v>
      </c>
      <c r="S66" s="2234" t="str">
        <v>年度汇率!J8；原始记录!A31:M31</v>
      </c>
      <c r="T66" s="2234" t="str"/>
      <c r="U66" t="n" s="2231">
        <v>1923</v>
      </c>
      <c r="V66" t="str" s="2231">
        <v>美元（USD）</v>
      </c>
    </row>
    <row r="67" ht="24.0" customHeight="1">
      <c r="A67" s="2234" t="n">
        <v>1922</v>
      </c>
      <c r="B67" s="2234" t="str">
        <v>RUB_1922</v>
      </c>
      <c r="C67" s="2234" t="str">
        <v>1922卢布／切尔文券（并行）</v>
      </c>
      <c r="D67" s="2234" t="str">
        <v>缺失</v>
      </c>
      <c r="E67" s="2238"/>
      <c r="F67" s="2234" t="str">
        <v>缺失／未核实</v>
      </c>
      <c r="G67" s="2234" t="str">
        <v>用户提供的历史汇率表</v>
      </c>
      <c r="H67" s="2234" t="str"/>
      <c r="I67" s="2234" t="str">
        <v>1922</v>
      </c>
      <c r="J67" s="2234" t="str">
        <v>historical_exchange_rates_1920_2026.xlsx</v>
      </c>
      <c r="K67" s="2234" t="str">
        <v>本次未取得可核验的对应年份官价或年均；早期多种纸卢布／切尔文券并行，未用后期金平价倒推。</v>
      </c>
      <c r="L67" s="2234" t="str"/>
      <c r="M67" s="2234" t="str">
        <v>1922|1922卢布／切尔文券（并行）</v>
      </c>
      <c r="N67" s="2234" t="str">
        <v>1922卢布／切尔文券（并行）</v>
      </c>
      <c r="O67" s="2239"/>
      <c r="P67" s="2234" t="str"/>
      <c r="Q67" s="2239"/>
      <c r="R67" s="2234" t="str"/>
      <c r="S67" s="2234" t="str">
        <v>年度汇率!K8</v>
      </c>
      <c r="T67" s="2234" t="str">
        <v>本次未取得可核验的对应年份官价或年均；早期多种纸卢布／切尔文券并行，未用后期金平价倒推。</v>
      </c>
      <c r="U67" t="n" s="2231">
        <v>1923</v>
      </c>
      <c r="V67" t="str" s="2231">
        <v>英镑（GBP）</v>
      </c>
    </row>
    <row r="68" ht="48.0" customHeight="1">
      <c r="A68" s="2234" t="n">
        <v>1922</v>
      </c>
      <c r="B68" s="2234" t="str">
        <v>CN_SILVER_OLD</v>
      </c>
      <c r="C68" s="2234" t="str">
        <v>中国旧银元（元）</v>
      </c>
      <c r="D68" s="2234" t="str">
        <v>可用</v>
      </c>
      <c r="E68" s="2238" t="n">
        <v>1.79745875281527</v>
      </c>
      <c r="F68" s="2234" t="str">
        <v>年均</v>
      </c>
      <c r="G68" s="2234" t="str">
        <v>美联储《Banking and Monetary Statistics 1914—1941》表173，中国，印刷页667</v>
      </c>
      <c r="H68" s="2234" t="str">
        <v>https://fraser.stlouisfed.org/title/banking-monetary-statistics-1914-1941-38/part-i-6408/fulltext</v>
      </c>
      <c r="I68" s="2234" t="str">
        <v>1922-01-01—1922-12-31</v>
      </c>
      <c r="J68" s="2234" t="str">
        <v>historical_exchange_rates_1920_2026.xlsx</v>
      </c>
      <c r="K68" s="2234" t="str">
        <v>纽约报价；100÷美分年均报价；不同币制年份单位见实际币名表，并非全国统一零售兑换价。 反向值由原报价均值取倒数；不等于反向日度汇率的算术平均。
原表日度报价的年均值，单位：美分／中国货币单位。1920—21上海两；1922—32旧银元；1933年4月10日起新元；1935年币制过渡；1936—41法币。</v>
      </c>
      <c r="L68" s="2234" t="str">
        <v>原报价为每单位本币兑美元，取原报价均值的倒数；不等于反向日度汇率的算术平均。乘以 100，还原当年币制的计价单位。</v>
      </c>
      <c r="M68" s="2234" t="str">
        <v>1922|中国旧银元（元）</v>
      </c>
      <c r="N68" s="2234" t="str">
        <v>中国旧银元（元）</v>
      </c>
      <c r="O68" s="2239" t="n">
        <v>55.6341</v>
      </c>
      <c r="P68" s="2234" t="str">
        <v>US cents/LCU</v>
      </c>
      <c r="Q68" s="2239" t="n">
        <v>100</v>
      </c>
      <c r="R68" s="2234" t="str">
        <v>A：机构统计／原始统计表</v>
      </c>
      <c r="S68" s="2234" t="str">
        <v>年度汇率!L8；原始记录!A32:M32</v>
      </c>
      <c r="T68" s="2234" t="str"/>
      <c r="U68" t="n" s="2231">
        <v>1923</v>
      </c>
      <c r="V68" t="str" s="2231">
        <v>加拿大元（CAD）</v>
      </c>
    </row>
    <row r="69" ht="15.0" customHeight="1">
      <c r="A69" s="2234" t="n">
        <v>1923</v>
      </c>
      <c r="B69" s="2234" t="str">
        <v>USD</v>
      </c>
      <c r="C69" s="2234" t="str">
        <v>美元（USD）</v>
      </c>
      <c r="D69" s="2234" t="str">
        <v>可用</v>
      </c>
      <c r="E69" s="2238" t="n">
        <v>1</v>
      </c>
      <c r="F69" s="2234" t="str">
        <v>基准恒等</v>
      </c>
      <c r="G69" s="2234" t="str">
        <v>用户提供的历史汇率表</v>
      </c>
      <c r="H69" s="2234" t="str"/>
      <c r="I69" s="2234" t="str">
        <v>1923</v>
      </c>
      <c r="J69" s="2234" t="str">
        <v>historical_exchange_rates_1920_2026.xlsx</v>
      </c>
      <c r="K69" s="2234" t="str">
        <v>1 美元等于 1 美元，无外部报价。</v>
      </c>
      <c r="L69" s="2234" t="str">
        <v>美元基准，汇率恒为 1。</v>
      </c>
      <c r="M69" s="2234" t="str">
        <v>1923|美元（USD）</v>
      </c>
      <c r="N69" s="2234" t="str">
        <v>美元（USD）</v>
      </c>
      <c r="O69" s="2239"/>
      <c r="P69" s="2234" t="str"/>
      <c r="Q69" s="2239"/>
      <c r="R69" s="2234" t="str"/>
      <c r="S69" s="2234" t="str">
        <v>年度汇率!B9</v>
      </c>
      <c r="T69" s="2234" t="str"/>
      <c r="U69" t="n" s="2231">
        <v>1923</v>
      </c>
      <c r="V69" t="str" s="2231">
        <v>法国旧法郎</v>
      </c>
    </row>
    <row r="70" ht="15.0" customHeight="1">
      <c r="A70" s="2234" t="n">
        <v>1923</v>
      </c>
      <c r="B70" s="2234" t="str">
        <v>GBP</v>
      </c>
      <c r="C70" s="2234" t="str">
        <v>英镑（GBP）</v>
      </c>
      <c r="D70" s="2234" t="str">
        <v>可用</v>
      </c>
      <c r="E70" s="2238" t="n">
        <v>0.2186</v>
      </c>
      <c r="F70" s="2234" t="str">
        <v>年均</v>
      </c>
      <c r="G70" s="2234" t="str">
        <v>MeasuringWorth：英镑／美元年度历史汇率</v>
      </c>
      <c r="H70" s="2234" t="str">
        <v>https://www.measuringworth.com/datasets/exchangeglobal/result.php?countryE%5B%5D=United+Kingdom&amp;year_result=2007&amp;year_source=1791</v>
      </c>
      <c r="I70" s="2234" t="str">
        <v>1923-01-01—1923-12-31</v>
      </c>
      <c r="J70" s="2234" t="str">
        <v>historical_exchange_rates_1920_2026.xlsx</v>
      </c>
      <c r="K70" s="2234" t="str">
        <v>年度汇率，本币／美元；1920—1949。</v>
      </c>
      <c r="L70" s="2234" t="str">
        <v>原报价已按 1 美元兑换本币表示。</v>
      </c>
      <c r="M70" s="2234" t="str">
        <v>1923|英镑（GBP）</v>
      </c>
      <c r="N70" s="2234" t="str">
        <v>英镑（GBP）</v>
      </c>
      <c r="O70" s="2239" t="n">
        <v>0.2186</v>
      </c>
      <c r="P70" s="2234" t="str">
        <v>LCU/USD</v>
      </c>
      <c r="Q70" s="2239" t="n">
        <v>1</v>
      </c>
      <c r="R70" s="2234" t="str">
        <v>B：学术历史汇编</v>
      </c>
      <c r="S70" s="2234" t="str">
        <v>年度汇率!C9；原始记录!A33:M33</v>
      </c>
      <c r="T70" s="2234" t="str"/>
      <c r="U70" t="n" s="2231">
        <v>1923</v>
      </c>
      <c r="V70" t="str" s="2231">
        <v>意大利里拉（ITL）</v>
      </c>
    </row>
    <row r="71" ht="15.0" customHeight="1">
      <c r="A71" s="2234" t="n">
        <v>1923</v>
      </c>
      <c r="B71" s="2234" t="str">
        <v>CAD</v>
      </c>
      <c r="C71" s="2234" t="str">
        <v>加拿大元（CAD）</v>
      </c>
      <c r="D71" s="2234" t="str">
        <v>可用</v>
      </c>
      <c r="E71" s="2238" t="n">
        <v>1.02</v>
      </c>
      <c r="F71" s="2234" t="str">
        <v>年均</v>
      </c>
      <c r="G71" s="2234" t="str">
        <v>Lawrence H. Officer / MeasuringWorth：加拿大元</v>
      </c>
      <c r="H71" s="2234" t="str">
        <v>https://www.measuringworth.com/datasets/exchangeglobal/result.php?countryE%5B%5D=Canada&amp;year_result=2007&amp;year_source=1913</v>
      </c>
      <c r="I71" s="2234" t="str">
        <v>1923-01-01—1923-12-31</v>
      </c>
      <c r="J71" s="2234" t="str">
        <v>historical_exchange_rates_1920_2026.xlsx</v>
      </c>
      <c r="K71" s="2234" t="str">
        <v>纽约市场年度报价；1942—1945缺失。</v>
      </c>
      <c r="L71" s="2234" t="str">
        <v>原报价已按 1 美元兑换本币表示。</v>
      </c>
      <c r="M71" s="2234" t="str">
        <v>1923|加拿大元（CAD）</v>
      </c>
      <c r="N71" s="2234" t="str">
        <v>加拿大元（CAD）</v>
      </c>
      <c r="O71" s="2239" t="n">
        <v>1.02</v>
      </c>
      <c r="P71" s="2234" t="str">
        <v>LCU/USD</v>
      </c>
      <c r="Q71" s="2239" t="n">
        <v>1</v>
      </c>
      <c r="R71" s="2234" t="str">
        <v>B：学术历史汇编</v>
      </c>
      <c r="S71" s="2234" t="str">
        <v>年度汇率!D9；原始记录!A34:M34</v>
      </c>
      <c r="T71" s="2234" t="str"/>
      <c r="U71" t="n" s="2231">
        <v>1923</v>
      </c>
      <c r="V71" t="str" s="2231">
        <v>日元（JPY）</v>
      </c>
    </row>
    <row r="72" ht="15.0" customHeight="1">
      <c r="A72" s="2234" t="n">
        <v>1923</v>
      </c>
      <c r="B72" s="2234" t="str">
        <v>FRF_OLD</v>
      </c>
      <c r="C72" s="2234" t="str">
        <v>法国旧法郎</v>
      </c>
      <c r="D72" s="2234" t="str">
        <v>可用</v>
      </c>
      <c r="E72" s="2238" t="n">
        <v>16.444</v>
      </c>
      <c r="F72" s="2234" t="str">
        <v>年均</v>
      </c>
      <c r="G72" s="2234" t="str">
        <v>MeasuringWorth：法国年均汇率</v>
      </c>
      <c r="H72" s="2234" t="str">
        <v>https://www.measuringworth.com/datasets/exchangeglobal/result.php?countryE%5B%5D=France&amp;year_result=1940&amp;year_source=1920</v>
      </c>
      <c r="I72" s="2234" t="str">
        <v>1923-01-01—1923-12-31</v>
      </c>
      <c r="J72" s="2234" t="str">
        <v>historical_exchange_rates_1920_2026.xlsx</v>
      </c>
      <c r="K72" s="2234" t="str">
        <v>纽约市场；1940仅至6月15日可用报价。</v>
      </c>
      <c r="L72" s="2234" t="str">
        <v>原报价已按 1 美元兑换本币表示。</v>
      </c>
      <c r="M72" s="2234" t="str">
        <v>1923|法国旧法郎</v>
      </c>
      <c r="N72" s="2234" t="str">
        <v>法国旧法郎</v>
      </c>
      <c r="O72" s="2239" t="n">
        <v>16.444</v>
      </c>
      <c r="P72" s="2234" t="str">
        <v>LCU/USD</v>
      </c>
      <c r="Q72" s="2239" t="n">
        <v>1</v>
      </c>
      <c r="R72" s="2234" t="str">
        <v>B：学术历史汇编</v>
      </c>
      <c r="S72" s="2234" t="str">
        <v>年度汇率!E9；原始记录!A35:M35</v>
      </c>
      <c r="T72" s="2234" t="str"/>
      <c r="U72" t="n" s="2231">
        <v>1923</v>
      </c>
      <c r="V72" t="str" s="2231">
        <v>瑞士法郎（CHF）</v>
      </c>
    </row>
    <row r="73" ht="24.0" customHeight="1">
      <c r="A73" s="2234" t="n">
        <v>1923</v>
      </c>
      <c r="B73" s="2234" t="str">
        <v>DE_TRANSITION_1923</v>
      </c>
      <c r="C73" s="2234" t="str">
        <v>纸马克／伦滕马克（过渡）</v>
      </c>
      <c r="D73" s="2234" t="str">
        <v>缺失</v>
      </c>
      <c r="E73" s="2238"/>
      <c r="F73" s="2234" t="str">
        <v>缺失／未核实</v>
      </c>
      <c r="G73" s="2234" t="str">
        <v>用户提供的历史汇率表</v>
      </c>
      <c r="H73" s="2234" t="str"/>
      <c r="I73" s="2234" t="str">
        <v>1923</v>
      </c>
      <c r="J73" s="2234" t="str">
        <v>historical_exchange_rates_1920_2026.xlsx</v>
      </c>
      <c r="K73" s="2234" t="str">
        <v>恶性通胀与币制改换；已见特殊报价，但其单位／年均定义未充分核验，未强行纳入。</v>
      </c>
      <c r="L73" s="2234" t="str"/>
      <c r="M73" s="2234" t="str">
        <v>1923|纸马克／伦滕马克（过渡）</v>
      </c>
      <c r="N73" s="2234" t="str">
        <v>纸马克／伦滕马克（过渡）</v>
      </c>
      <c r="O73" s="2239"/>
      <c r="P73" s="2234" t="str"/>
      <c r="Q73" s="2239"/>
      <c r="R73" s="2234" t="str"/>
      <c r="S73" s="2234" t="str">
        <v>年度汇率!F9、年度汇率!M9</v>
      </c>
      <c r="T73" s="2234" t="str">
        <v>恶性通胀与币制改换；已见特殊报价，但其单位／年均定义未充分核验，未强行纳入。</v>
      </c>
      <c r="U73" t="n" s="2231">
        <v>1923</v>
      </c>
      <c r="V73" t="str" s="2231">
        <v>英属印度卢比</v>
      </c>
    </row>
    <row r="74" ht="36.0" customHeight="1">
      <c r="A74" s="2234" t="n">
        <v>1923</v>
      </c>
      <c r="B74" s="2234" t="str">
        <v>ITL</v>
      </c>
      <c r="C74" s="2234" t="str">
        <v>意大利里拉（ITL）</v>
      </c>
      <c r="D74" s="2234" t="str">
        <v>可用</v>
      </c>
      <c r="E74" s="2238" t="n">
        <v>21.73157162726008</v>
      </c>
      <c r="F74" s="2234" t="str">
        <v>年均</v>
      </c>
      <c r="G74" s="2234" t="str">
        <v>美联储《Banking and Monetary Statistics 1914—1941》表173，意大利，印刷页673</v>
      </c>
      <c r="H74" s="2234" t="str">
        <v>https://fraser.stlouisfed.org/title/banking-monetary-statistics-1914-1941-38/part-i-6408/fulltext</v>
      </c>
      <c r="I74" s="2234" t="str">
        <v>1923-01-01—1923-12-31</v>
      </c>
      <c r="J74" s="2234" t="str">
        <v>historical_exchange_rates_1920_2026.xlsx</v>
      </c>
      <c r="K74" s="2234" t="str">
        <v>纽约报价；由美分／里拉的年均报价取倒数，非里拉／美元逐日均值。 反向值由原报价均值取倒数；不等于反向日度汇率的算术平均。
原表为日度报价的年平均，单位：美分／里拉；标准化为100÷原值。</v>
      </c>
      <c r="L74" s="2234" t="str">
        <v>原报价为每单位本币兑美元，取原报价均值的倒数；不等于反向日度汇率的算术平均。乘以 100，还原当年币制的计价单位。</v>
      </c>
      <c r="M74" s="2234" t="str">
        <v>1923|意大利里拉（ITL）</v>
      </c>
      <c r="N74" s="2234" t="str">
        <v>意大利里拉（ITL）</v>
      </c>
      <c r="O74" s="2239" t="n">
        <v>4.6016</v>
      </c>
      <c r="P74" s="2234" t="str">
        <v>US cents/LCU</v>
      </c>
      <c r="Q74" s="2239" t="n">
        <v>100</v>
      </c>
      <c r="R74" s="2234" t="str">
        <v>A：机构统计／原始统计表</v>
      </c>
      <c r="S74" s="2234" t="str">
        <v>年度汇率!G9；原始记录!A36:M36</v>
      </c>
      <c r="T74" s="2234" t="str"/>
      <c r="U74" t="n" s="2231">
        <v>1923</v>
      </c>
      <c r="V74" t="str" s="2231">
        <v>中国旧银元（元）</v>
      </c>
    </row>
    <row r="75" ht="15.0" customHeight="1">
      <c r="A75" s="2234" t="n">
        <v>1923</v>
      </c>
      <c r="B75" s="2234" t="str">
        <v>JPY</v>
      </c>
      <c r="C75" s="2234" t="str">
        <v>日元（JPY）</v>
      </c>
      <c r="D75" s="2234" t="str">
        <v>可用</v>
      </c>
      <c r="E75" s="2238" t="n">
        <v>2.06</v>
      </c>
      <c r="F75" s="2234" t="str">
        <v>年均</v>
      </c>
      <c r="G75" s="2234" t="str">
        <v>MeasuringWorth：日本年均汇率</v>
      </c>
      <c r="H75" s="2234" t="str">
        <v>https://www.measuringworth.com/datasets/exchangeglobal/result.php?countryE%5B%5D=Japan&amp;year_result=2016&amp;year_source=1916</v>
      </c>
      <c r="I75" s="2234" t="str">
        <v>1923-01-01—1923-12-31</v>
      </c>
      <c r="J75" s="2234" t="str">
        <v>historical_exchange_rates_1920_2026.xlsx</v>
      </c>
      <c r="K75" s="2234" t="str">
        <v>以纽约市场年度平均报价为主；保留原表精度。</v>
      </c>
      <c r="L75" s="2234" t="str">
        <v>原报价已按 1 美元兑换本币表示。</v>
      </c>
      <c r="M75" s="2234" t="str">
        <v>1923|日元（JPY）</v>
      </c>
      <c r="N75" s="2234" t="str">
        <v>日元（JPY）</v>
      </c>
      <c r="O75" s="2239" t="n">
        <v>2.06</v>
      </c>
      <c r="P75" s="2234" t="str">
        <v>LCU/USD</v>
      </c>
      <c r="Q75" s="2239" t="n">
        <v>1</v>
      </c>
      <c r="R75" s="2234" t="str">
        <v>B：学术历史汇编</v>
      </c>
      <c r="S75" s="2234" t="str">
        <v>年度汇率!H9；原始记录!A37:M37</v>
      </c>
      <c r="T75" s="2234" t="str"/>
      <c r="U75" t="n" s="2231">
        <v>1924</v>
      </c>
      <c r="V75" t="str" s="2231">
        <v>美元（USD）</v>
      </c>
    </row>
    <row r="76" ht="15.0" customHeight="1">
      <c r="A76" s="2234" t="n">
        <v>1923</v>
      </c>
      <c r="B76" s="2234" t="str">
        <v>CHF</v>
      </c>
      <c r="C76" s="2234" t="str">
        <v>瑞士法郎（CHF）</v>
      </c>
      <c r="D76" s="2234" t="str">
        <v>可用</v>
      </c>
      <c r="E76" s="2238" t="n">
        <v>5.5371</v>
      </c>
      <c r="F76" s="2234" t="str">
        <v>年均</v>
      </c>
      <c r="G76" s="2234" t="str">
        <v>MeasuringWorth：瑞士年均汇率</v>
      </c>
      <c r="H76" s="2234" t="str">
        <v>https://www.measuringworth.com/datasets/exchangeglobal/result.php?countryE%5B%5D=Switzerland&amp;year_result=1955&amp;year_source=1905</v>
      </c>
      <c r="I76" s="2234" t="str">
        <v>1923-01-01—1923-12-31</v>
      </c>
      <c r="J76" s="2234" t="str">
        <v>historical_exchange_rates_1920_2026.xlsx</v>
      </c>
      <c r="K76" s="2234" t="str">
        <v>纽约市场；1941仅上半年报价，1942–1945原表无值。</v>
      </c>
      <c r="L76" s="2234" t="str">
        <v>原报价已按 1 美元兑换本币表示。</v>
      </c>
      <c r="M76" s="2234" t="str">
        <v>1923|瑞士法郎（CHF）</v>
      </c>
      <c r="N76" s="2234" t="str">
        <v>瑞士法郎（CHF）</v>
      </c>
      <c r="O76" s="2239" t="n">
        <v>5.5371</v>
      </c>
      <c r="P76" s="2234" t="str">
        <v>LCU/USD</v>
      </c>
      <c r="Q76" s="2239" t="n">
        <v>1</v>
      </c>
      <c r="R76" s="2234" t="str">
        <v>B：学术历史汇编</v>
      </c>
      <c r="S76" s="2234" t="str">
        <v>年度汇率!I9；原始记录!A38:M38</v>
      </c>
      <c r="T76" s="2234" t="str"/>
      <c r="U76" t="n" s="2231">
        <v>1924</v>
      </c>
      <c r="V76" t="str" s="2231">
        <v>英镑（GBP）</v>
      </c>
    </row>
    <row r="77" ht="15.0" customHeight="1">
      <c r="A77" s="2234" t="n">
        <v>1923</v>
      </c>
      <c r="B77" s="2234" t="str">
        <v>INR</v>
      </c>
      <c r="C77" s="2234" t="str">
        <v>英属印度卢比</v>
      </c>
      <c r="D77" s="2234" t="str">
        <v>可用</v>
      </c>
      <c r="E77" s="2238" t="n">
        <v>3.21</v>
      </c>
      <c r="F77" s="2234" t="str">
        <v>年均</v>
      </c>
      <c r="G77" s="2234" t="str">
        <v>MeasuringWorth：印度年均汇率</v>
      </c>
      <c r="H77" s="2234" t="str">
        <v>https://www.measuringworth.com/datasets/exchangeglobal/result.php?countryE%5B%5D=India&amp;year_result=1948&amp;year_source=1916</v>
      </c>
      <c r="I77" s="2234" t="str">
        <v>1923-01-01—1923-12-31</v>
      </c>
      <c r="J77" s="2234" t="str">
        <v>historical_exchange_rates_1920_2026.xlsx</v>
      </c>
      <c r="K77" s="2234" t="str">
        <v>英属印度／印度卢比；保留原表精度。</v>
      </c>
      <c r="L77" s="2234" t="str">
        <v>原报价已按 1 美元兑换本币表示。</v>
      </c>
      <c r="M77" s="2234" t="str">
        <v>1923|英属印度卢比</v>
      </c>
      <c r="N77" s="2234" t="str">
        <v>英属印度卢比</v>
      </c>
      <c r="O77" s="2239" t="n">
        <v>3.21</v>
      </c>
      <c r="P77" s="2234" t="str">
        <v>LCU/USD</v>
      </c>
      <c r="Q77" s="2239" t="n">
        <v>1</v>
      </c>
      <c r="R77" s="2234" t="str">
        <v>B：学术历史汇编</v>
      </c>
      <c r="S77" s="2234" t="str">
        <v>年度汇率!J9；原始记录!A39:M39</v>
      </c>
      <c r="T77" s="2234" t="str"/>
      <c r="U77" t="n" s="2231">
        <v>1924</v>
      </c>
      <c r="V77" t="str" s="2231">
        <v>加拿大元（CAD）</v>
      </c>
    </row>
    <row r="78" ht="24.0" customHeight="1">
      <c r="A78" s="2234" t="n">
        <v>1923</v>
      </c>
      <c r="B78" s="2234" t="str">
        <v>RUB_1923</v>
      </c>
      <c r="C78" s="2234" t="str">
        <v>1923卢布／切尔文券（并行）</v>
      </c>
      <c r="D78" s="2234" t="str">
        <v>缺失</v>
      </c>
      <c r="E78" s="2238"/>
      <c r="F78" s="2234" t="str">
        <v>缺失／未核实</v>
      </c>
      <c r="G78" s="2234" t="str">
        <v>用户提供的历史汇率表</v>
      </c>
      <c r="H78" s="2234" t="str"/>
      <c r="I78" s="2234" t="str">
        <v>1923</v>
      </c>
      <c r="J78" s="2234" t="str">
        <v>historical_exchange_rates_1920_2026.xlsx</v>
      </c>
      <c r="K78" s="2234" t="str">
        <v>本次未取得可核验的对应年份官价或年均；早期多种纸卢布／切尔文券并行，未用后期金平价倒推。</v>
      </c>
      <c r="L78" s="2234" t="str"/>
      <c r="M78" s="2234" t="str">
        <v>1923|1923卢布／切尔文券（并行）</v>
      </c>
      <c r="N78" s="2234" t="str">
        <v>1923卢布／切尔文券（并行）</v>
      </c>
      <c r="O78" s="2239"/>
      <c r="P78" s="2234" t="str"/>
      <c r="Q78" s="2239"/>
      <c r="R78" s="2234" t="str"/>
      <c r="S78" s="2234" t="str">
        <v>年度汇率!K9</v>
      </c>
      <c r="T78" s="2234" t="str">
        <v>本次未取得可核验的对应年份官价或年均；早期多种纸卢布／切尔文券并行，未用后期金平价倒推。</v>
      </c>
      <c r="U78" t="n" s="2231">
        <v>1924</v>
      </c>
      <c r="V78" t="str" s="2231">
        <v>法国旧法郎</v>
      </c>
    </row>
    <row r="79" ht="48.0" customHeight="1">
      <c r="A79" s="2234" t="n">
        <v>1923</v>
      </c>
      <c r="B79" s="2234" t="str">
        <v>CN_SILVER_OLD</v>
      </c>
      <c r="C79" s="2234" t="str">
        <v>中国旧银元（元）</v>
      </c>
      <c r="D79" s="2234" t="str">
        <v>可用</v>
      </c>
      <c r="E79" s="2238" t="n">
        <v>1.9003350290656242</v>
      </c>
      <c r="F79" s="2234" t="str">
        <v>年均</v>
      </c>
      <c r="G79" s="2234" t="str">
        <v>美联储《Banking and Monetary Statistics 1914—1941》表173，中国，印刷页667</v>
      </c>
      <c r="H79" s="2234" t="str">
        <v>https://fraser.stlouisfed.org/title/banking-monetary-statistics-1914-1941-38/part-i-6408/fulltext</v>
      </c>
      <c r="I79" s="2234" t="str">
        <v>1923-01-01—1923-12-31</v>
      </c>
      <c r="J79" s="2234" t="str">
        <v>historical_exchange_rates_1920_2026.xlsx</v>
      </c>
      <c r="K79" s="2234" t="str">
        <v>纽约报价；100÷美分年均报价；不同币制年份单位见实际币名表，并非全国统一零售兑换价。 反向值由原报价均值取倒数；不等于反向日度汇率的算术平均。
原表日度报价的年均值，单位：美分／中国货币单位。1920—21上海两；1922—32旧银元；1933年4月10日起新元；1935年币制过渡；1936—41法币。</v>
      </c>
      <c r="L79" s="2234" t="str">
        <v>原报价为每单位本币兑美元，取原报价均值的倒数；不等于反向日度汇率的算术平均。乘以 100，还原当年币制的计价单位。</v>
      </c>
      <c r="M79" s="2234" t="str">
        <v>1923|中国旧银元（元）</v>
      </c>
      <c r="N79" s="2234" t="str">
        <v>中国旧银元（元）</v>
      </c>
      <c r="O79" s="2239" t="n">
        <v>52.6223</v>
      </c>
      <c r="P79" s="2234" t="str">
        <v>US cents/LCU</v>
      </c>
      <c r="Q79" s="2239" t="n">
        <v>100</v>
      </c>
      <c r="R79" s="2234" t="str">
        <v>A：机构统计／原始统计表</v>
      </c>
      <c r="S79" s="2234" t="str">
        <v>年度汇率!L9；原始记录!A40:M40</v>
      </c>
      <c r="T79" s="2234" t="str"/>
      <c r="U79" t="n" s="2231">
        <v>1924</v>
      </c>
      <c r="V79" t="str" s="2231">
        <v>意大利里拉（ITL）</v>
      </c>
    </row>
    <row r="80" ht="15.0" customHeight="1">
      <c r="A80" s="2234" t="n">
        <v>1924</v>
      </c>
      <c r="B80" s="2234" t="str">
        <v>USD</v>
      </c>
      <c r="C80" s="2234" t="str">
        <v>美元（USD）</v>
      </c>
      <c r="D80" s="2234" t="str">
        <v>可用</v>
      </c>
      <c r="E80" s="2238" t="n">
        <v>1</v>
      </c>
      <c r="F80" s="2234" t="str">
        <v>基准恒等</v>
      </c>
      <c r="G80" s="2234" t="str">
        <v>用户提供的历史汇率表</v>
      </c>
      <c r="H80" s="2234" t="str"/>
      <c r="I80" s="2234" t="str">
        <v>1924</v>
      </c>
      <c r="J80" s="2234" t="str">
        <v>historical_exchange_rates_1920_2026.xlsx</v>
      </c>
      <c r="K80" s="2234" t="str">
        <v>1 美元等于 1 美元，无外部报价。</v>
      </c>
      <c r="L80" s="2234" t="str">
        <v>美元基准，汇率恒为 1。</v>
      </c>
      <c r="M80" s="2234" t="str">
        <v>1924|美元（USD）</v>
      </c>
      <c r="N80" s="2234" t="str">
        <v>美元（USD）</v>
      </c>
      <c r="O80" s="2239"/>
      <c r="P80" s="2234" t="str"/>
      <c r="Q80" s="2239"/>
      <c r="R80" s="2234" t="str"/>
      <c r="S80" s="2234" t="str">
        <v>年度汇率!B10</v>
      </c>
      <c r="T80" s="2234" t="str"/>
      <c r="U80" t="n" s="2231">
        <v>1924</v>
      </c>
      <c r="V80" t="str" s="2231">
        <v>日元（JPY）</v>
      </c>
    </row>
    <row r="81" ht="15.0" customHeight="1">
      <c r="A81" s="2234" t="n">
        <v>1924</v>
      </c>
      <c r="B81" s="2234" t="str">
        <v>GBP</v>
      </c>
      <c r="C81" s="2234" t="str">
        <v>英镑（GBP）</v>
      </c>
      <c r="D81" s="2234" t="str">
        <v>可用</v>
      </c>
      <c r="E81" s="2238" t="n">
        <v>0.2264</v>
      </c>
      <c r="F81" s="2234" t="str">
        <v>年均</v>
      </c>
      <c r="G81" s="2234" t="str">
        <v>MeasuringWorth：英镑／美元年度历史汇率</v>
      </c>
      <c r="H81" s="2234" t="str">
        <v>https://www.measuringworth.com/datasets/exchangeglobal/result.php?countryE%5B%5D=United+Kingdom&amp;year_result=2007&amp;year_source=1791</v>
      </c>
      <c r="I81" s="2234" t="str">
        <v>1924-01-01—1924-12-31</v>
      </c>
      <c r="J81" s="2234" t="str">
        <v>historical_exchange_rates_1920_2026.xlsx</v>
      </c>
      <c r="K81" s="2234" t="str">
        <v>年度汇率，本币／美元；1920—1949。</v>
      </c>
      <c r="L81" s="2234" t="str">
        <v>原报价已按 1 美元兑换本币表示。</v>
      </c>
      <c r="M81" s="2234" t="str">
        <v>1924|英镑（GBP）</v>
      </c>
      <c r="N81" s="2234" t="str">
        <v>英镑（GBP）</v>
      </c>
      <c r="O81" s="2239" t="n">
        <v>0.2264</v>
      </c>
      <c r="P81" s="2234" t="str">
        <v>LCU/USD</v>
      </c>
      <c r="Q81" s="2239" t="n">
        <v>1</v>
      </c>
      <c r="R81" s="2234" t="str">
        <v>B：学术历史汇编</v>
      </c>
      <c r="S81" s="2234" t="str">
        <v>年度汇率!C10；原始记录!A41:M41</v>
      </c>
      <c r="T81" s="2234" t="str"/>
      <c r="U81" t="n" s="2231">
        <v>1924</v>
      </c>
      <c r="V81" t="str" s="2231">
        <v>瑞士法郎（CHF）</v>
      </c>
    </row>
    <row r="82" ht="15.0" customHeight="1">
      <c r="A82" s="2234" t="n">
        <v>1924</v>
      </c>
      <c r="B82" s="2234" t="str">
        <v>CAD</v>
      </c>
      <c r="C82" s="2234" t="str">
        <v>加拿大元（CAD）</v>
      </c>
      <c r="D82" s="2234" t="str">
        <v>可用</v>
      </c>
      <c r="E82" s="2238" t="n">
        <v>1.013</v>
      </c>
      <c r="F82" s="2234" t="str">
        <v>年均</v>
      </c>
      <c r="G82" s="2234" t="str">
        <v>Lawrence H. Officer / MeasuringWorth：加拿大元</v>
      </c>
      <c r="H82" s="2234" t="str">
        <v>https://www.measuringworth.com/datasets/exchangeglobal/result.php?countryE%5B%5D=Canada&amp;year_result=2007&amp;year_source=1913</v>
      </c>
      <c r="I82" s="2234" t="str">
        <v>1924-01-01—1924-12-31</v>
      </c>
      <c r="J82" s="2234" t="str">
        <v>historical_exchange_rates_1920_2026.xlsx</v>
      </c>
      <c r="K82" s="2234" t="str">
        <v>纽约市场年度报价；1942—1945缺失。</v>
      </c>
      <c r="L82" s="2234" t="str">
        <v>原报价已按 1 美元兑换本币表示。</v>
      </c>
      <c r="M82" s="2234" t="str">
        <v>1924|加拿大元（CAD）</v>
      </c>
      <c r="N82" s="2234" t="str">
        <v>加拿大元（CAD）</v>
      </c>
      <c r="O82" s="2239" t="n">
        <v>1.013</v>
      </c>
      <c r="P82" s="2234" t="str">
        <v>LCU/USD</v>
      </c>
      <c r="Q82" s="2239" t="n">
        <v>1</v>
      </c>
      <c r="R82" s="2234" t="str">
        <v>B：学术历史汇编</v>
      </c>
      <c r="S82" s="2234" t="str">
        <v>年度汇率!D10；原始记录!A42:M42</v>
      </c>
      <c r="T82" s="2234" t="str"/>
      <c r="U82" t="n" s="2231">
        <v>1924</v>
      </c>
      <c r="V82" t="str" s="2231">
        <v>英属印度卢比</v>
      </c>
    </row>
    <row r="83" ht="15.0" customHeight="1">
      <c r="A83" s="2234" t="n">
        <v>1924</v>
      </c>
      <c r="B83" s="2234" t="str">
        <v>FRF_OLD</v>
      </c>
      <c r="C83" s="2234" t="str">
        <v>法国旧法郎</v>
      </c>
      <c r="D83" s="2234" t="str">
        <v>可用</v>
      </c>
      <c r="E83" s="2238" t="n">
        <v>19.096</v>
      </c>
      <c r="F83" s="2234" t="str">
        <v>年均</v>
      </c>
      <c r="G83" s="2234" t="str">
        <v>MeasuringWorth：法国年均汇率</v>
      </c>
      <c r="H83" s="2234" t="str">
        <v>https://www.measuringworth.com/datasets/exchangeglobal/result.php?countryE%5B%5D=France&amp;year_result=1940&amp;year_source=1920</v>
      </c>
      <c r="I83" s="2234" t="str">
        <v>1924-01-01—1924-12-31</v>
      </c>
      <c r="J83" s="2234" t="str">
        <v>historical_exchange_rates_1920_2026.xlsx</v>
      </c>
      <c r="K83" s="2234" t="str">
        <v>纽约市场；1940仅至6月15日可用报价。</v>
      </c>
      <c r="L83" s="2234" t="str">
        <v>原报价已按 1 美元兑换本币表示。</v>
      </c>
      <c r="M83" s="2234" t="str">
        <v>1924|法国旧法郎</v>
      </c>
      <c r="N83" s="2234" t="str">
        <v>法国旧法郎</v>
      </c>
      <c r="O83" s="2239" t="n">
        <v>19.096</v>
      </c>
      <c r="P83" s="2234" t="str">
        <v>LCU/USD</v>
      </c>
      <c r="Q83" s="2239" t="n">
        <v>1</v>
      </c>
      <c r="R83" s="2234" t="str">
        <v>B：学术历史汇编</v>
      </c>
      <c r="S83" s="2234" t="str">
        <v>年度汇率!E10；原始记录!A43:M43</v>
      </c>
      <c r="T83" s="2234" t="str"/>
      <c r="U83" t="n" s="2231">
        <v>1924</v>
      </c>
      <c r="V83" t="str" s="2231">
        <v>苏联卢布（1924币制）</v>
      </c>
    </row>
    <row r="84" ht="24.0" customHeight="1">
      <c r="A84" s="2234" t="n">
        <v>1924</v>
      </c>
      <c r="B84" s="2234" t="str">
        <v>DE_TRANSITION_1924</v>
      </c>
      <c r="C84" s="2234" t="str">
        <v>伦滕马克／帝国马克（过渡）</v>
      </c>
      <c r="D84" s="2234" t="str">
        <v>缺失</v>
      </c>
      <c r="E84" s="2238"/>
      <c r="F84" s="2234" t="str">
        <v>缺失／未核实</v>
      </c>
      <c r="G84" s="2234" t="str">
        <v>用户提供的历史汇率表</v>
      </c>
      <c r="H84" s="2234" t="str"/>
      <c r="I84" s="2234" t="str">
        <v>1924</v>
      </c>
      <c r="J84" s="2234" t="str">
        <v>historical_exchange_rates_1920_2026.xlsx</v>
      </c>
      <c r="K84" s="2234" t="str">
        <v>恶性通胀与币制改换；已见特殊报价，但其单位／年均定义未充分核验，未强行纳入。</v>
      </c>
      <c r="L84" s="2234" t="str"/>
      <c r="M84" s="2234" t="str">
        <v>1924|伦滕马克／帝国马克（过渡）</v>
      </c>
      <c r="N84" s="2234" t="str">
        <v>伦滕马克／帝国马克（过渡）</v>
      </c>
      <c r="O84" s="2239"/>
      <c r="P84" s="2234" t="str"/>
      <c r="Q84" s="2239"/>
      <c r="R84" s="2234" t="str"/>
      <c r="S84" s="2234" t="str">
        <v>年度汇率!F10、年度汇率!M10</v>
      </c>
      <c r="T84" s="2234" t="str">
        <v>恶性通胀与币制改换；已见特殊报价，但其单位／年均定义未充分核验，未强行纳入。</v>
      </c>
      <c r="U84" t="n" s="2231">
        <v>1924</v>
      </c>
      <c r="V84" t="str" s="2231">
        <v>中国旧银元（元）</v>
      </c>
    </row>
    <row r="85" ht="36.0" customHeight="1">
      <c r="A85" s="2234" t="n">
        <v>1924</v>
      </c>
      <c r="B85" s="2234" t="str">
        <v>ITL</v>
      </c>
      <c r="C85" s="2234" t="str">
        <v>意大利里拉（ITL）</v>
      </c>
      <c r="D85" s="2234" t="str">
        <v>可用</v>
      </c>
      <c r="E85" s="2238" t="n">
        <v>22.94630564479119</v>
      </c>
      <c r="F85" s="2234" t="str">
        <v>年均</v>
      </c>
      <c r="G85" s="2234" t="str">
        <v>美联储《Banking and Monetary Statistics 1914—1941》表173，意大利，印刷页673</v>
      </c>
      <c r="H85" s="2234" t="str">
        <v>https://fraser.stlouisfed.org/title/banking-monetary-statistics-1914-1941-38/part-i-6408/fulltext</v>
      </c>
      <c r="I85" s="2234" t="str">
        <v>1924-01-01—1924-12-31</v>
      </c>
      <c r="J85" s="2234" t="str">
        <v>historical_exchange_rates_1920_2026.xlsx</v>
      </c>
      <c r="K85" s="2234" t="str">
        <v>纽约报价；由美分／里拉的年均报价取倒数，非里拉／美元逐日均值。 反向值由原报价均值取倒数；不等于反向日度汇率的算术平均。
原表为日度报价的年平均，单位：美分／里拉；标准化为100÷原值。</v>
      </c>
      <c r="L85" s="2234" t="str">
        <v>原报价为每单位本币兑美元，取原报价均值的倒数；不等于反向日度汇率的算术平均。乘以 100，还原当年币制的计价单位。</v>
      </c>
      <c r="M85" s="2234" t="str">
        <v>1924|意大利里拉（ITL）</v>
      </c>
      <c r="N85" s="2234" t="str">
        <v>意大利里拉（ITL）</v>
      </c>
      <c r="O85" s="2239" t="n">
        <v>4.358</v>
      </c>
      <c r="P85" s="2234" t="str">
        <v>US cents/LCU</v>
      </c>
      <c r="Q85" s="2239" t="n">
        <v>100</v>
      </c>
      <c r="R85" s="2234" t="str">
        <v>A：机构统计／原始统计表</v>
      </c>
      <c r="S85" s="2234" t="str">
        <v>年度汇率!G10；原始记录!A44:M44</v>
      </c>
      <c r="T85" s="2234" t="str"/>
      <c r="U85" t="n" s="2231">
        <v>1925</v>
      </c>
      <c r="V85" t="str" s="2231">
        <v>美元（USD）</v>
      </c>
    </row>
    <row r="86" ht="15.0" customHeight="1">
      <c r="A86" s="2234" t="n">
        <v>1924</v>
      </c>
      <c r="B86" s="2234" t="str">
        <v>JPY</v>
      </c>
      <c r="C86" s="2234" t="str">
        <v>日元（JPY）</v>
      </c>
      <c r="D86" s="2234" t="str">
        <v>可用</v>
      </c>
      <c r="E86" s="2238" t="n">
        <v>2.43</v>
      </c>
      <c r="F86" s="2234" t="str">
        <v>年均</v>
      </c>
      <c r="G86" s="2234" t="str">
        <v>MeasuringWorth：日本年均汇率</v>
      </c>
      <c r="H86" s="2234" t="str">
        <v>https://www.measuringworth.com/datasets/exchangeglobal/result.php?countryE%5B%5D=Japan&amp;year_result=2016&amp;year_source=1916</v>
      </c>
      <c r="I86" s="2234" t="str">
        <v>1924-01-01—1924-12-31</v>
      </c>
      <c r="J86" s="2234" t="str">
        <v>historical_exchange_rates_1920_2026.xlsx</v>
      </c>
      <c r="K86" s="2234" t="str">
        <v>以纽约市场年度平均报价为主；保留原表精度。</v>
      </c>
      <c r="L86" s="2234" t="str">
        <v>原报价已按 1 美元兑换本币表示。</v>
      </c>
      <c r="M86" s="2234" t="str">
        <v>1924|日元（JPY）</v>
      </c>
      <c r="N86" s="2234" t="str">
        <v>日元（JPY）</v>
      </c>
      <c r="O86" s="2239" t="n">
        <v>2.43</v>
      </c>
      <c r="P86" s="2234" t="str">
        <v>LCU/USD</v>
      </c>
      <c r="Q86" s="2239" t="n">
        <v>1</v>
      </c>
      <c r="R86" s="2234" t="str">
        <v>B：学术历史汇编</v>
      </c>
      <c r="S86" s="2234" t="str">
        <v>年度汇率!H10；原始记录!A45:M45</v>
      </c>
      <c r="T86" s="2234" t="str"/>
      <c r="U86" t="n" s="2231">
        <v>1925</v>
      </c>
      <c r="V86" t="str" s="2231">
        <v>英镑（GBP）</v>
      </c>
    </row>
    <row r="87" ht="15.0" customHeight="1">
      <c r="A87" s="2234" t="n">
        <v>1924</v>
      </c>
      <c r="B87" s="2234" t="str">
        <v>CHF</v>
      </c>
      <c r="C87" s="2234" t="str">
        <v>瑞士法郎（CHF）</v>
      </c>
      <c r="D87" s="2234" t="str">
        <v>可用</v>
      </c>
      <c r="E87" s="2238" t="n">
        <v>5.4876</v>
      </c>
      <c r="F87" s="2234" t="str">
        <v>年均</v>
      </c>
      <c r="G87" s="2234" t="str">
        <v>MeasuringWorth：瑞士年均汇率</v>
      </c>
      <c r="H87" s="2234" t="str">
        <v>https://www.measuringworth.com/datasets/exchangeglobal/result.php?countryE%5B%5D=Switzerland&amp;year_result=1955&amp;year_source=1905</v>
      </c>
      <c r="I87" s="2234" t="str">
        <v>1924-01-01—1924-12-31</v>
      </c>
      <c r="J87" s="2234" t="str">
        <v>historical_exchange_rates_1920_2026.xlsx</v>
      </c>
      <c r="K87" s="2234" t="str">
        <v>纽约市场；1941仅上半年报价，1942–1945原表无值。</v>
      </c>
      <c r="L87" s="2234" t="str">
        <v>原报价已按 1 美元兑换本币表示。</v>
      </c>
      <c r="M87" s="2234" t="str">
        <v>1924|瑞士法郎（CHF）</v>
      </c>
      <c r="N87" s="2234" t="str">
        <v>瑞士法郎（CHF）</v>
      </c>
      <c r="O87" s="2239" t="n">
        <v>5.4876</v>
      </c>
      <c r="P87" s="2234" t="str">
        <v>LCU/USD</v>
      </c>
      <c r="Q87" s="2239" t="n">
        <v>1</v>
      </c>
      <c r="R87" s="2234" t="str">
        <v>B：学术历史汇编</v>
      </c>
      <c r="S87" s="2234" t="str">
        <v>年度汇率!I10；原始记录!A46:M46</v>
      </c>
      <c r="T87" s="2234" t="str"/>
      <c r="U87" t="n" s="2231">
        <v>1925</v>
      </c>
      <c r="V87" t="str" s="2231">
        <v>加拿大元（CAD）</v>
      </c>
    </row>
    <row r="88" ht="15.0" customHeight="1">
      <c r="A88" s="2234" t="n">
        <v>1924</v>
      </c>
      <c r="B88" s="2234" t="str">
        <v>INR</v>
      </c>
      <c r="C88" s="2234" t="str">
        <v>英属印度卢比</v>
      </c>
      <c r="D88" s="2234" t="str">
        <v>可用</v>
      </c>
      <c r="E88" s="2238" t="n">
        <v>3.15</v>
      </c>
      <c r="F88" s="2234" t="str">
        <v>年均</v>
      </c>
      <c r="G88" s="2234" t="str">
        <v>MeasuringWorth：印度年均汇率</v>
      </c>
      <c r="H88" s="2234" t="str">
        <v>https://www.measuringworth.com/datasets/exchangeglobal/result.php?countryE%5B%5D=India&amp;year_result=1948&amp;year_source=1916</v>
      </c>
      <c r="I88" s="2234" t="str">
        <v>1924-01-01—1924-12-31</v>
      </c>
      <c r="J88" s="2234" t="str">
        <v>historical_exchange_rates_1920_2026.xlsx</v>
      </c>
      <c r="K88" s="2234" t="str">
        <v>英属印度／印度卢比；保留原表精度。</v>
      </c>
      <c r="L88" s="2234" t="str">
        <v>原报价已按 1 美元兑换本币表示。</v>
      </c>
      <c r="M88" s="2234" t="str">
        <v>1924|英属印度卢比</v>
      </c>
      <c r="N88" s="2234" t="str">
        <v>英属印度卢比</v>
      </c>
      <c r="O88" s="2239" t="n">
        <v>3.15</v>
      </c>
      <c r="P88" s="2234" t="str">
        <v>LCU/USD</v>
      </c>
      <c r="Q88" s="2239" t="n">
        <v>1</v>
      </c>
      <c r="R88" s="2234" t="str">
        <v>B：学术历史汇编</v>
      </c>
      <c r="S88" s="2234" t="str">
        <v>年度汇率!J10；原始记录!A47:M47</v>
      </c>
      <c r="T88" s="2234" t="str"/>
      <c r="U88" t="n" s="2231">
        <v>1925</v>
      </c>
      <c r="V88" t="str" s="2231">
        <v>法国旧法郎</v>
      </c>
    </row>
    <row r="89" ht="48.0" customHeight="1">
      <c r="A89" s="2234" t="n">
        <v>1924</v>
      </c>
      <c r="B89" s="2234" t="str">
        <v>SUR_1924</v>
      </c>
      <c r="C89" s="2234" t="str">
        <v>苏联卢布（1924币制）</v>
      </c>
      <c r="D89" s="2234" t="str">
        <v>可用</v>
      </c>
      <c r="E89" s="2238" t="n">
        <v>1.9405</v>
      </c>
      <c r="F89" s="2234" t="str">
        <v>定点官价参考（非年均）</v>
      </c>
      <c r="G89" s="2234" t="str">
        <v>苏联卢布历史官价表（Wikipedia转引俄央行历史档案）</v>
      </c>
      <c r="H89" s="2234" t="str">
        <v>https://en.wikipedia.org/wiki/Soviet_ruble#Exchange_rates</v>
      </c>
      <c r="I89" s="2234" t="str">
        <v>1924-04-01</v>
      </c>
      <c r="J89" s="2234" t="str">
        <v>historical_exchange_rates_1920_2026.xlsx</v>
      </c>
      <c r="K89" s="2234" t="str">
        <v>1924币制过渡年选4月1日官价；不使用1月1日跨币制报价代表全年。不是年均、市场价或自由兑换价；原档未复核。
二手转引，原俄央行历史页面本次无法访问。数值均为当时卢布／美元；区间官价与定点报价不是可自由兑换的市场年均价。</v>
      </c>
      <c r="L89" s="2234" t="str">
        <v>原报价已按 1 美元兑换本币表示。</v>
      </c>
      <c r="M89" s="2234" t="str">
        <v>1924|苏联卢布（1924币制）</v>
      </c>
      <c r="N89" s="2234" t="str">
        <v>苏联卢布（1924币制）</v>
      </c>
      <c r="O89" s="2239" t="n">
        <v>1.9405</v>
      </c>
      <c r="P89" s="2234" t="str">
        <v>LCU/USD</v>
      </c>
      <c r="Q89" s="2239" t="n">
        <v>1</v>
      </c>
      <c r="R89" s="2234" t="str">
        <v>C：二手转引（原档未复核）</v>
      </c>
      <c r="S89" s="2234" t="str">
        <v>年度汇率!K10；原始记录!A48:M48</v>
      </c>
      <c r="T89" s="2234" t="str">
        <v>官价参考，并非市场年均汇率</v>
      </c>
      <c r="U89" t="n" s="2231">
        <v>1925</v>
      </c>
      <c r="V89" t="str" s="2231">
        <v>帝国马克（Reichsmark）</v>
      </c>
    </row>
    <row r="90" ht="48.0" customHeight="1">
      <c r="A90" s="2234" t="n">
        <v>1924</v>
      </c>
      <c r="B90" s="2234" t="str">
        <v>CN_SILVER_OLD</v>
      </c>
      <c r="C90" s="2234" t="str">
        <v>中国旧银元（元）</v>
      </c>
      <c r="D90" s="2234" t="str">
        <v>可用</v>
      </c>
      <c r="E90" s="2238" t="n">
        <v>1.8976304288834533</v>
      </c>
      <c r="F90" s="2234" t="str">
        <v>年均</v>
      </c>
      <c r="G90" s="2234" t="str">
        <v>美联储《Banking and Monetary Statistics 1914—1941》表173，中国，印刷页667</v>
      </c>
      <c r="H90" s="2234" t="str">
        <v>https://fraser.stlouisfed.org/title/banking-monetary-statistics-1914-1941-38/part-i-6408/fulltext</v>
      </c>
      <c r="I90" s="2234" t="str">
        <v>1924-01-01—1924-12-31</v>
      </c>
      <c r="J90" s="2234" t="str">
        <v>historical_exchange_rates_1920_2026.xlsx</v>
      </c>
      <c r="K90" s="2234" t="str">
        <v>纽约报价；100÷美分年均报价；不同币制年份单位见实际币名表，并非全国统一零售兑换价。 反向值由原报价均值取倒数；不等于反向日度汇率的算术平均。
原表日度报价的年均值，单位：美分／中国货币单位。1920—21上海两；1922—32旧银元；1933年4月10日起新元；1935年币制过渡；1936—41法币。</v>
      </c>
      <c r="L90" s="2234" t="str">
        <v>原报价为每单位本币兑美元，取原报价均值的倒数；不等于反向日度汇率的算术平均。乘以 100，还原当年币制的计价单位。</v>
      </c>
      <c r="M90" s="2234" t="str">
        <v>1924|中国旧银元（元）</v>
      </c>
      <c r="N90" s="2234" t="str">
        <v>中国旧银元（元）</v>
      </c>
      <c r="O90" s="2239" t="n">
        <v>52.6973</v>
      </c>
      <c r="P90" s="2234" t="str">
        <v>US cents/LCU</v>
      </c>
      <c r="Q90" s="2239" t="n">
        <v>100</v>
      </c>
      <c r="R90" s="2234" t="str">
        <v>A：机构统计／原始统计表</v>
      </c>
      <c r="S90" s="2234" t="str">
        <v>年度汇率!L10；原始记录!A49:M49</v>
      </c>
      <c r="T90" s="2234" t="str"/>
      <c r="U90" t="n" s="2231">
        <v>1925</v>
      </c>
      <c r="V90" t="str" s="2231">
        <v>意大利里拉（ITL）</v>
      </c>
    </row>
    <row r="91" ht="15.0" customHeight="1">
      <c r="A91" s="2234" t="n">
        <v>1925</v>
      </c>
      <c r="B91" s="2234" t="str">
        <v>USD</v>
      </c>
      <c r="C91" s="2234" t="str">
        <v>美元（USD）</v>
      </c>
      <c r="D91" s="2234" t="str">
        <v>可用</v>
      </c>
      <c r="E91" s="2238" t="n">
        <v>1</v>
      </c>
      <c r="F91" s="2234" t="str">
        <v>基准恒等</v>
      </c>
      <c r="G91" s="2234" t="str">
        <v>用户提供的历史汇率表</v>
      </c>
      <c r="H91" s="2234" t="str"/>
      <c r="I91" s="2234" t="str">
        <v>1925</v>
      </c>
      <c r="J91" s="2234" t="str">
        <v>historical_exchange_rates_1920_2026.xlsx</v>
      </c>
      <c r="K91" s="2234" t="str">
        <v>1 美元等于 1 美元，无外部报价。</v>
      </c>
      <c r="L91" s="2234" t="str">
        <v>美元基准，汇率恒为 1。</v>
      </c>
      <c r="M91" s="2234" t="str">
        <v>1925|美元（USD）</v>
      </c>
      <c r="N91" s="2234" t="str">
        <v>美元（USD）</v>
      </c>
      <c r="O91" s="2239"/>
      <c r="P91" s="2234" t="str"/>
      <c r="Q91" s="2239"/>
      <c r="R91" s="2234" t="str"/>
      <c r="S91" s="2234" t="str">
        <v>年度汇率!B11</v>
      </c>
      <c r="T91" s="2234" t="str"/>
      <c r="U91" t="n" s="2231">
        <v>1925</v>
      </c>
      <c r="V91" t="str" s="2231">
        <v>日元（JPY）</v>
      </c>
    </row>
    <row r="92" ht="15.0" customHeight="1">
      <c r="A92" s="2234" t="n">
        <v>1925</v>
      </c>
      <c r="B92" s="2234" t="str">
        <v>GBP</v>
      </c>
      <c r="C92" s="2234" t="str">
        <v>英镑（GBP）</v>
      </c>
      <c r="D92" s="2234" t="str">
        <v>可用</v>
      </c>
      <c r="E92" s="2238" t="n">
        <v>0.2071</v>
      </c>
      <c r="F92" s="2234" t="str">
        <v>年均</v>
      </c>
      <c r="G92" s="2234" t="str">
        <v>MeasuringWorth：英镑／美元年度历史汇率</v>
      </c>
      <c r="H92" s="2234" t="str">
        <v>https://www.measuringworth.com/datasets/exchangeglobal/result.php?countryE%5B%5D=United+Kingdom&amp;year_result=2007&amp;year_source=1791</v>
      </c>
      <c r="I92" s="2234" t="str">
        <v>1925-01-01—1925-12-31</v>
      </c>
      <c r="J92" s="2234" t="str">
        <v>historical_exchange_rates_1920_2026.xlsx</v>
      </c>
      <c r="K92" s="2234" t="str">
        <v>年度汇率，本币／美元；1920—1949。</v>
      </c>
      <c r="L92" s="2234" t="str">
        <v>原报价已按 1 美元兑换本币表示。</v>
      </c>
      <c r="M92" s="2234" t="str">
        <v>1925|英镑（GBP）</v>
      </c>
      <c r="N92" s="2234" t="str">
        <v>英镑（GBP）</v>
      </c>
      <c r="O92" s="2239" t="n">
        <v>0.2071</v>
      </c>
      <c r="P92" s="2234" t="str">
        <v>LCU/USD</v>
      </c>
      <c r="Q92" s="2239" t="n">
        <v>1</v>
      </c>
      <c r="R92" s="2234" t="str">
        <v>B：学术历史汇编</v>
      </c>
      <c r="S92" s="2234" t="str">
        <v>年度汇率!C11；原始记录!A50:M50</v>
      </c>
      <c r="T92" s="2234" t="str"/>
      <c r="U92" t="n" s="2231">
        <v>1925</v>
      </c>
      <c r="V92" t="str" s="2231">
        <v>瑞士法郎（CHF）</v>
      </c>
    </row>
    <row r="93" ht="15.0" customHeight="1">
      <c r="A93" s="2234" t="n">
        <v>1925</v>
      </c>
      <c r="B93" s="2234" t="str">
        <v>CAD</v>
      </c>
      <c r="C93" s="2234" t="str">
        <v>加拿大元（CAD）</v>
      </c>
      <c r="D93" s="2234" t="str">
        <v>可用</v>
      </c>
      <c r="E93" s="2238" t="n">
        <v>1</v>
      </c>
      <c r="F93" s="2234" t="str">
        <v>年均</v>
      </c>
      <c r="G93" s="2234" t="str">
        <v>Lawrence H. Officer / MeasuringWorth：加拿大元</v>
      </c>
      <c r="H93" s="2234" t="str">
        <v>https://www.measuringworth.com/datasets/exchangeglobal/result.php?countryE%5B%5D=Canada&amp;year_result=2007&amp;year_source=1913</v>
      </c>
      <c r="I93" s="2234" t="str">
        <v>1925-01-01—1925-12-31</v>
      </c>
      <c r="J93" s="2234" t="str">
        <v>historical_exchange_rates_1920_2026.xlsx</v>
      </c>
      <c r="K93" s="2234" t="str">
        <v>纽约市场年度报价；1942—1945缺失。</v>
      </c>
      <c r="L93" s="2234" t="str">
        <v>原报价已按 1 美元兑换本币表示。</v>
      </c>
      <c r="M93" s="2234" t="str">
        <v>1925|加拿大元（CAD）</v>
      </c>
      <c r="N93" s="2234" t="str">
        <v>加拿大元（CAD）</v>
      </c>
      <c r="O93" s="2239" t="n">
        <v>1</v>
      </c>
      <c r="P93" s="2234" t="str">
        <v>LCU/USD</v>
      </c>
      <c r="Q93" s="2239" t="n">
        <v>1</v>
      </c>
      <c r="R93" s="2234" t="str">
        <v>B：学术历史汇编</v>
      </c>
      <c r="S93" s="2234" t="str">
        <v>年度汇率!D11；原始记录!A51:M51</v>
      </c>
      <c r="T93" s="2234" t="str"/>
      <c r="U93" t="n" s="2231">
        <v>1925</v>
      </c>
      <c r="V93" t="str" s="2231">
        <v>英属印度卢比</v>
      </c>
    </row>
    <row r="94" ht="15.0" customHeight="1">
      <c r="A94" s="2234" t="n">
        <v>1925</v>
      </c>
      <c r="B94" s="2234" t="str">
        <v>FRF_OLD</v>
      </c>
      <c r="C94" s="2234" t="str">
        <v>法国旧法郎</v>
      </c>
      <c r="D94" s="2234" t="str">
        <v>可用</v>
      </c>
      <c r="E94" s="2238" t="n">
        <v>20.977</v>
      </c>
      <c r="F94" s="2234" t="str">
        <v>年均</v>
      </c>
      <c r="G94" s="2234" t="str">
        <v>MeasuringWorth：法国年均汇率</v>
      </c>
      <c r="H94" s="2234" t="str">
        <v>https://www.measuringworth.com/datasets/exchangeglobal/result.php?countryE%5B%5D=France&amp;year_result=1940&amp;year_source=1920</v>
      </c>
      <c r="I94" s="2234" t="str">
        <v>1925-01-01—1925-12-31</v>
      </c>
      <c r="J94" s="2234" t="str">
        <v>historical_exchange_rates_1920_2026.xlsx</v>
      </c>
      <c r="K94" s="2234" t="str">
        <v>纽约市场；1940仅至6月15日可用报价。</v>
      </c>
      <c r="L94" s="2234" t="str">
        <v>原报价已按 1 美元兑换本币表示。</v>
      </c>
      <c r="M94" s="2234" t="str">
        <v>1925|法国旧法郎</v>
      </c>
      <c r="N94" s="2234" t="str">
        <v>法国旧法郎</v>
      </c>
      <c r="O94" s="2239" t="n">
        <v>20.977</v>
      </c>
      <c r="P94" s="2234" t="str">
        <v>LCU/USD</v>
      </c>
      <c r="Q94" s="2239" t="n">
        <v>1</v>
      </c>
      <c r="R94" s="2234" t="str">
        <v>B：学术历史汇编</v>
      </c>
      <c r="S94" s="2234" t="str">
        <v>年度汇率!E11；原始记录!A52:M52</v>
      </c>
      <c r="T94" s="2234" t="str"/>
      <c r="U94" t="n" s="2231">
        <v>1925</v>
      </c>
      <c r="V94" t="str" s="2231">
        <v>中国旧银元（元）</v>
      </c>
    </row>
    <row r="95" ht="24.0" customHeight="1">
      <c r="A95" s="2234" t="n">
        <v>1925</v>
      </c>
      <c r="B95" s="2234" t="str">
        <v>RM</v>
      </c>
      <c r="C95" s="2234" t="str">
        <v>帝国马克（Reichsmark）</v>
      </c>
      <c r="D95" s="2234" t="str">
        <v>可用</v>
      </c>
      <c r="E95" s="2238" t="n">
        <v>4.2</v>
      </c>
      <c r="F95" s="2234" t="str">
        <v>年均</v>
      </c>
      <c r="G95" s="2234" t="str">
        <v>Harold Marcuse / UCSB：德国，转载Officer年度表</v>
      </c>
      <c r="H95" s="2234" t="str">
        <v>https://marcuse.faculty.history.ucsb.edu/projects/currency.htm</v>
      </c>
      <c r="I95" s="2234" t="str">
        <v>1925-01-01—1925-12-31</v>
      </c>
      <c r="J95" s="2234" t="str">
        <v>historical_exchange_rates_1920_2026.xlsx</v>
      </c>
      <c r="K95" s="2234" t="str">
        <v>使用右侧annual avg.表，不使用左侧定点汇率；1923—1924数据有币改及倒数均值口径疑点，未采用。</v>
      </c>
      <c r="L95" s="2234" t="str">
        <v>原报价已按 1 美元兑换本币表示。</v>
      </c>
      <c r="M95" s="2234" t="str">
        <v>1925|帝国马克（Reichsmark）</v>
      </c>
      <c r="N95" s="2234" t="str">
        <v>帝国马克（Reichsmark）</v>
      </c>
      <c r="O95" s="2239" t="n">
        <v>4.2</v>
      </c>
      <c r="P95" s="2234" t="str">
        <v>LCU/USD</v>
      </c>
      <c r="Q95" s="2239" t="n">
        <v>1</v>
      </c>
      <c r="R95" s="2234" t="str">
        <v>B：大学页面转录</v>
      </c>
      <c r="S95" s="2234" t="str">
        <v>年度汇率!F11、年度汇率!M11；原始记录!A53:M53</v>
      </c>
      <c r="T95" s="2234" t="str"/>
      <c r="U95" t="n" s="2231">
        <v>1926</v>
      </c>
      <c r="V95" t="str" s="2231">
        <v>美元（USD）</v>
      </c>
    </row>
    <row r="96" ht="36.0" customHeight="1">
      <c r="A96" s="2234" t="n">
        <v>1925</v>
      </c>
      <c r="B96" s="2234" t="str">
        <v>ITL</v>
      </c>
      <c r="C96" s="2234" t="str">
        <v>意大利里拉（ITL）</v>
      </c>
      <c r="D96" s="2234" t="str">
        <v>可用</v>
      </c>
      <c r="E96" s="2238" t="n">
        <v>25.1407884151247</v>
      </c>
      <c r="F96" s="2234" t="str">
        <v>年均</v>
      </c>
      <c r="G96" s="2234" t="str">
        <v>美联储《Banking and Monetary Statistics 1914—1941》表173，意大利，印刷页673</v>
      </c>
      <c r="H96" s="2234" t="str">
        <v>https://fraser.stlouisfed.org/title/banking-monetary-statistics-1914-1941-38/part-i-6408/fulltext</v>
      </c>
      <c r="I96" s="2234" t="str">
        <v>1925-01-01—1925-12-31</v>
      </c>
      <c r="J96" s="2234" t="str">
        <v>historical_exchange_rates_1920_2026.xlsx</v>
      </c>
      <c r="K96" s="2234" t="str">
        <v>纽约报价；由美分／里拉的年均报价取倒数，非里拉／美元逐日均值。 反向值由原报价均值取倒数；不等于反向日度汇率的算术平均。
原表为日度报价的年平均，单位：美分／里拉；标准化为100÷原值。</v>
      </c>
      <c r="L96" s="2234" t="str">
        <v>原报价为每单位本币兑美元，取原报价均值的倒数；不等于反向日度汇率的算术平均。乘以 100，还原当年币制的计价单位。</v>
      </c>
      <c r="M96" s="2234" t="str">
        <v>1925|意大利里拉（ITL）</v>
      </c>
      <c r="N96" s="2234" t="str">
        <v>意大利里拉（ITL）</v>
      </c>
      <c r="O96" s="2239" t="n">
        <v>3.9776</v>
      </c>
      <c r="P96" s="2234" t="str">
        <v>US cents/LCU</v>
      </c>
      <c r="Q96" s="2239" t="n">
        <v>100</v>
      </c>
      <c r="R96" s="2234" t="str">
        <v>A：机构统计／原始统计表</v>
      </c>
      <c r="S96" s="2234" t="str">
        <v>年度汇率!G11；原始记录!A54:M54</v>
      </c>
      <c r="T96" s="2234" t="str"/>
      <c r="U96" t="n" s="2231">
        <v>1926</v>
      </c>
      <c r="V96" t="str" s="2231">
        <v>英镑（GBP）</v>
      </c>
    </row>
    <row r="97" ht="15.0" customHeight="1">
      <c r="A97" s="2234" t="n">
        <v>1925</v>
      </c>
      <c r="B97" s="2234" t="str">
        <v>JPY</v>
      </c>
      <c r="C97" s="2234" t="str">
        <v>日元（JPY）</v>
      </c>
      <c r="D97" s="2234" t="str">
        <v>可用</v>
      </c>
      <c r="E97" s="2238" t="n">
        <v>2.44</v>
      </c>
      <c r="F97" s="2234" t="str">
        <v>年均</v>
      </c>
      <c r="G97" s="2234" t="str">
        <v>MeasuringWorth：日本年均汇率</v>
      </c>
      <c r="H97" s="2234" t="str">
        <v>https://www.measuringworth.com/datasets/exchangeglobal/result.php?countryE%5B%5D=Japan&amp;year_result=2016&amp;year_source=1916</v>
      </c>
      <c r="I97" s="2234" t="str">
        <v>1925-01-01—1925-12-31</v>
      </c>
      <c r="J97" s="2234" t="str">
        <v>historical_exchange_rates_1920_2026.xlsx</v>
      </c>
      <c r="K97" s="2234" t="str">
        <v>以纽约市场年度平均报价为主；保留原表精度。</v>
      </c>
      <c r="L97" s="2234" t="str">
        <v>原报价已按 1 美元兑换本币表示。</v>
      </c>
      <c r="M97" s="2234" t="str">
        <v>1925|日元（JPY）</v>
      </c>
      <c r="N97" s="2234" t="str">
        <v>日元（JPY）</v>
      </c>
      <c r="O97" s="2239" t="n">
        <v>2.44</v>
      </c>
      <c r="P97" s="2234" t="str">
        <v>LCU/USD</v>
      </c>
      <c r="Q97" s="2239" t="n">
        <v>1</v>
      </c>
      <c r="R97" s="2234" t="str">
        <v>B：学术历史汇编</v>
      </c>
      <c r="S97" s="2234" t="str">
        <v>年度汇率!H11；原始记录!A55:M55</v>
      </c>
      <c r="T97" s="2234" t="str"/>
      <c r="U97" t="n" s="2231">
        <v>1926</v>
      </c>
      <c r="V97" t="str" s="2231">
        <v>加拿大元（CAD）</v>
      </c>
    </row>
    <row r="98" ht="15.0" customHeight="1">
      <c r="A98" s="2234" t="n">
        <v>1925</v>
      </c>
      <c r="B98" s="2234" t="str">
        <v>CHF</v>
      </c>
      <c r="C98" s="2234" t="str">
        <v>瑞士法郎（CHF）</v>
      </c>
      <c r="D98" s="2234" t="str">
        <v>可用</v>
      </c>
      <c r="E98" s="2238" t="n">
        <v>5.1742</v>
      </c>
      <c r="F98" s="2234" t="str">
        <v>年均</v>
      </c>
      <c r="G98" s="2234" t="str">
        <v>MeasuringWorth：瑞士年均汇率</v>
      </c>
      <c r="H98" s="2234" t="str">
        <v>https://www.measuringworth.com/datasets/exchangeglobal/result.php?countryE%5B%5D=Switzerland&amp;year_result=1955&amp;year_source=1905</v>
      </c>
      <c r="I98" s="2234" t="str">
        <v>1925-01-01—1925-12-31</v>
      </c>
      <c r="J98" s="2234" t="str">
        <v>historical_exchange_rates_1920_2026.xlsx</v>
      </c>
      <c r="K98" s="2234" t="str">
        <v>纽约市场；1941仅上半年报价，1942–1945原表无值。</v>
      </c>
      <c r="L98" s="2234" t="str">
        <v>原报价已按 1 美元兑换本币表示。</v>
      </c>
      <c r="M98" s="2234" t="str">
        <v>1925|瑞士法郎（CHF）</v>
      </c>
      <c r="N98" s="2234" t="str">
        <v>瑞士法郎（CHF）</v>
      </c>
      <c r="O98" s="2239" t="n">
        <v>5.1742</v>
      </c>
      <c r="P98" s="2234" t="str">
        <v>LCU/USD</v>
      </c>
      <c r="Q98" s="2239" t="n">
        <v>1</v>
      </c>
      <c r="R98" s="2234" t="str">
        <v>B：学术历史汇编</v>
      </c>
      <c r="S98" s="2234" t="str">
        <v>年度汇率!I11；原始记录!A56:M56</v>
      </c>
      <c r="T98" s="2234" t="str"/>
      <c r="U98" t="n" s="2231">
        <v>1926</v>
      </c>
      <c r="V98" t="str" s="2231">
        <v>法国旧法郎</v>
      </c>
    </row>
    <row r="99" ht="15.0" customHeight="1">
      <c r="A99" s="2234" t="n">
        <v>1925</v>
      </c>
      <c r="B99" s="2234" t="str">
        <v>INR</v>
      </c>
      <c r="C99" s="2234" t="str">
        <v>英属印度卢比</v>
      </c>
      <c r="D99" s="2234" t="str">
        <v>可用</v>
      </c>
      <c r="E99" s="2238" t="n">
        <v>2.76</v>
      </c>
      <c r="F99" s="2234" t="str">
        <v>年均</v>
      </c>
      <c r="G99" s="2234" t="str">
        <v>MeasuringWorth：印度年均汇率</v>
      </c>
      <c r="H99" s="2234" t="str">
        <v>https://www.measuringworth.com/datasets/exchangeglobal/result.php?countryE%5B%5D=India&amp;year_result=1948&amp;year_source=1916</v>
      </c>
      <c r="I99" s="2234" t="str">
        <v>1925-01-01—1925-12-31</v>
      </c>
      <c r="J99" s="2234" t="str">
        <v>historical_exchange_rates_1920_2026.xlsx</v>
      </c>
      <c r="K99" s="2234" t="str">
        <v>英属印度／印度卢比；保留原表精度。</v>
      </c>
      <c r="L99" s="2234" t="str">
        <v>原报价已按 1 美元兑换本币表示。</v>
      </c>
      <c r="M99" s="2234" t="str">
        <v>1925|英属印度卢比</v>
      </c>
      <c r="N99" s="2234" t="str">
        <v>英属印度卢比</v>
      </c>
      <c r="O99" s="2239" t="n">
        <v>2.76</v>
      </c>
      <c r="P99" s="2234" t="str">
        <v>LCU/USD</v>
      </c>
      <c r="Q99" s="2239" t="n">
        <v>1</v>
      </c>
      <c r="R99" s="2234" t="str">
        <v>B：学术历史汇编</v>
      </c>
      <c r="S99" s="2234" t="str">
        <v>年度汇率!J11；原始记录!A57:M57</v>
      </c>
      <c r="T99" s="2234" t="str"/>
      <c r="U99" t="n" s="2231">
        <v>1926</v>
      </c>
      <c r="V99" t="str" s="2231">
        <v>帝国马克（Reichsmark）</v>
      </c>
    </row>
    <row r="100" ht="24.0" customHeight="1">
      <c r="A100" s="2234" t="n">
        <v>1925</v>
      </c>
      <c r="B100" s="2234" t="str">
        <v>SUR_1924</v>
      </c>
      <c r="C100" s="2234" t="str">
        <v>苏联卢布（1924币制）</v>
      </c>
      <c r="D100" s="2234" t="str">
        <v>缺失</v>
      </c>
      <c r="E100" s="2238"/>
      <c r="F100" s="2234" t="str">
        <v>缺失／未核实</v>
      </c>
      <c r="G100" s="2234" t="str">
        <v>用户提供的历史汇率表</v>
      </c>
      <c r="H100" s="2234" t="str"/>
      <c r="I100" s="2234" t="str">
        <v>1925</v>
      </c>
      <c r="J100" s="2234" t="str">
        <v>historical_exchange_rates_1920_2026.xlsx</v>
      </c>
      <c r="K100" s="2234" t="str">
        <v>本次未取得可核验的对应年份官价或年均；早期多种纸卢布／切尔文券并行，未用后期金平价倒推。</v>
      </c>
      <c r="L100" s="2234" t="str"/>
      <c r="M100" s="2234" t="str">
        <v>1925|苏联卢布（1924币制）</v>
      </c>
      <c r="N100" s="2234" t="str">
        <v>苏联卢布（1924币制）</v>
      </c>
      <c r="O100" s="2239"/>
      <c r="P100" s="2234" t="str"/>
      <c r="Q100" s="2239"/>
      <c r="R100" s="2234" t="str"/>
      <c r="S100" s="2234" t="str">
        <v>年度汇率!K11</v>
      </c>
      <c r="T100" s="2234" t="str">
        <v>本次未取得可核验的对应年份官价或年均；早期多种纸卢布／切尔文券并行，未用后期金平价倒推。</v>
      </c>
      <c r="U100" t="n" s="2231">
        <v>1926</v>
      </c>
      <c r="V100" t="str" s="2231">
        <v>意大利里拉（ITL）</v>
      </c>
    </row>
    <row r="101" ht="48.0" customHeight="1">
      <c r="A101" s="2234" t="n">
        <v>1925</v>
      </c>
      <c r="B101" s="2234" t="str">
        <v>CN_SILVER_OLD</v>
      </c>
      <c r="C101" s="2234" t="str">
        <v>中国旧银元（元）</v>
      </c>
      <c r="D101" s="2234" t="str">
        <v>可用</v>
      </c>
      <c r="E101" s="2238" t="n">
        <v>1.7572654138535777</v>
      </c>
      <c r="F101" s="2234" t="str">
        <v>年均</v>
      </c>
      <c r="G101" s="2234" t="str">
        <v>美联储《Banking and Monetary Statistics 1914—1941》表173，中国，印刷页667</v>
      </c>
      <c r="H101" s="2234" t="str">
        <v>https://fraser.stlouisfed.org/title/banking-monetary-statistics-1914-1941-38/part-i-6408/fulltext</v>
      </c>
      <c r="I101" s="2234" t="str">
        <v>1925-01-01—1925-12-31</v>
      </c>
      <c r="J101" s="2234" t="str">
        <v>historical_exchange_rates_1920_2026.xlsx</v>
      </c>
      <c r="K101" s="2234" t="str">
        <v>纽约报价；100÷美分年均报价；不同币制年份单位见实际币名表，并非全国统一零售兑换价。 反向值由原报价均值取倒数；不等于反向日度汇率的算术平均。
原表日度报价的年均值，单位：美分／中国货币单位。1920—21上海两；1922—32旧银元；1933年4月10日起新元；1935年币制过渡；1936—41法币。</v>
      </c>
      <c r="L101" s="2234" t="str">
        <v>原报价为每单位本币兑美元，取原报价均值的倒数；不等于反向日度汇率的算术平均。乘以 100，还原当年币制的计价单位。</v>
      </c>
      <c r="M101" s="2234" t="str">
        <v>1925|中国旧银元（元）</v>
      </c>
      <c r="N101" s="2234" t="str">
        <v>中国旧银元（元）</v>
      </c>
      <c r="O101" s="2239" t="n">
        <v>56.9066</v>
      </c>
      <c r="P101" s="2234" t="str">
        <v>US cents/LCU</v>
      </c>
      <c r="Q101" s="2239" t="n">
        <v>100</v>
      </c>
      <c r="R101" s="2234" t="str">
        <v>A：机构统计／原始统计表</v>
      </c>
      <c r="S101" s="2234" t="str">
        <v>年度汇率!L11；原始记录!A58:M58</v>
      </c>
      <c r="T101" s="2234" t="str"/>
      <c r="U101" t="n" s="2231">
        <v>1926</v>
      </c>
      <c r="V101" t="str" s="2231">
        <v>日元（JPY）</v>
      </c>
    </row>
    <row r="102" ht="15.0" customHeight="1">
      <c r="A102" s="2234" t="n">
        <v>1926</v>
      </c>
      <c r="B102" s="2234" t="str">
        <v>USD</v>
      </c>
      <c r="C102" s="2234" t="str">
        <v>美元（USD）</v>
      </c>
      <c r="D102" s="2234" t="str">
        <v>可用</v>
      </c>
      <c r="E102" s="2238" t="n">
        <v>1</v>
      </c>
      <c r="F102" s="2234" t="str">
        <v>基准恒等</v>
      </c>
      <c r="G102" s="2234" t="str">
        <v>用户提供的历史汇率表</v>
      </c>
      <c r="H102" s="2234" t="str"/>
      <c r="I102" s="2234" t="str">
        <v>1926</v>
      </c>
      <c r="J102" s="2234" t="str">
        <v>historical_exchange_rates_1920_2026.xlsx</v>
      </c>
      <c r="K102" s="2234" t="str">
        <v>1 美元等于 1 美元，无外部报价。</v>
      </c>
      <c r="L102" s="2234" t="str">
        <v>美元基准，汇率恒为 1。</v>
      </c>
      <c r="M102" s="2234" t="str">
        <v>1926|美元（USD）</v>
      </c>
      <c r="N102" s="2234" t="str">
        <v>美元（USD）</v>
      </c>
      <c r="O102" s="2239"/>
      <c r="P102" s="2234" t="str"/>
      <c r="Q102" s="2239"/>
      <c r="R102" s="2234" t="str"/>
      <c r="S102" s="2234" t="str">
        <v>年度汇率!B12</v>
      </c>
      <c r="T102" s="2234" t="str"/>
      <c r="U102" t="n" s="2231">
        <v>1926</v>
      </c>
      <c r="V102" t="str" s="2231">
        <v>瑞士法郎（CHF）</v>
      </c>
    </row>
    <row r="103" ht="15.0" customHeight="1">
      <c r="A103" s="2234" t="n">
        <v>1926</v>
      </c>
      <c r="B103" s="2234" t="str">
        <v>GBP</v>
      </c>
      <c r="C103" s="2234" t="str">
        <v>英镑（GBP）</v>
      </c>
      <c r="D103" s="2234" t="str">
        <v>可用</v>
      </c>
      <c r="E103" s="2238" t="n">
        <v>0.2058</v>
      </c>
      <c r="F103" s="2234" t="str">
        <v>年均</v>
      </c>
      <c r="G103" s="2234" t="str">
        <v>MeasuringWorth：英镑／美元年度历史汇率</v>
      </c>
      <c r="H103" s="2234" t="str">
        <v>https://www.measuringworth.com/datasets/exchangeglobal/result.php?countryE%5B%5D=United+Kingdom&amp;year_result=2007&amp;year_source=1791</v>
      </c>
      <c r="I103" s="2234" t="str">
        <v>1926-01-01—1926-12-31</v>
      </c>
      <c r="J103" s="2234" t="str">
        <v>historical_exchange_rates_1920_2026.xlsx</v>
      </c>
      <c r="K103" s="2234" t="str">
        <v>年度汇率，本币／美元；1920—1949。</v>
      </c>
      <c r="L103" s="2234" t="str">
        <v>原报价已按 1 美元兑换本币表示。</v>
      </c>
      <c r="M103" s="2234" t="str">
        <v>1926|英镑（GBP）</v>
      </c>
      <c r="N103" s="2234" t="str">
        <v>英镑（GBP）</v>
      </c>
      <c r="O103" s="2239" t="n">
        <v>0.2058</v>
      </c>
      <c r="P103" s="2234" t="str">
        <v>LCU/USD</v>
      </c>
      <c r="Q103" s="2239" t="n">
        <v>1</v>
      </c>
      <c r="R103" s="2234" t="str">
        <v>B：学术历史汇编</v>
      </c>
      <c r="S103" s="2234" t="str">
        <v>年度汇率!C12；原始记录!A59:M59</v>
      </c>
      <c r="T103" s="2234" t="str"/>
      <c r="U103" t="n" s="2231">
        <v>1926</v>
      </c>
      <c r="V103" t="str" s="2231">
        <v>英属印度卢比</v>
      </c>
    </row>
    <row r="104" ht="15.0" customHeight="1">
      <c r="A104" s="2234" t="n">
        <v>1926</v>
      </c>
      <c r="B104" s="2234" t="str">
        <v>CAD</v>
      </c>
      <c r="C104" s="2234" t="str">
        <v>加拿大元（CAD）</v>
      </c>
      <c r="D104" s="2234" t="str">
        <v>可用</v>
      </c>
      <c r="E104" s="2238" t="n">
        <v>1</v>
      </c>
      <c r="F104" s="2234" t="str">
        <v>年均</v>
      </c>
      <c r="G104" s="2234" t="str">
        <v>Lawrence H. Officer / MeasuringWorth：加拿大元</v>
      </c>
      <c r="H104" s="2234" t="str">
        <v>https://www.measuringworth.com/datasets/exchangeglobal/result.php?countryE%5B%5D=Canada&amp;year_result=2007&amp;year_source=1913</v>
      </c>
      <c r="I104" s="2234" t="str">
        <v>1926-01-01—1926-12-31</v>
      </c>
      <c r="J104" s="2234" t="str">
        <v>historical_exchange_rates_1920_2026.xlsx</v>
      </c>
      <c r="K104" s="2234" t="str">
        <v>纽约市场年度报价；1942—1945缺失。</v>
      </c>
      <c r="L104" s="2234" t="str">
        <v>原报价已按 1 美元兑换本币表示。</v>
      </c>
      <c r="M104" s="2234" t="str">
        <v>1926|加拿大元（CAD）</v>
      </c>
      <c r="N104" s="2234" t="str">
        <v>加拿大元（CAD）</v>
      </c>
      <c r="O104" s="2239" t="n">
        <v>1</v>
      </c>
      <c r="P104" s="2234" t="str">
        <v>LCU/USD</v>
      </c>
      <c r="Q104" s="2239" t="n">
        <v>1</v>
      </c>
      <c r="R104" s="2234" t="str">
        <v>B：学术历史汇编</v>
      </c>
      <c r="S104" s="2234" t="str">
        <v>年度汇率!D12；原始记录!A60:M60</v>
      </c>
      <c r="T104" s="2234" t="str"/>
      <c r="U104" t="n" s="2231">
        <v>1926</v>
      </c>
      <c r="V104" t="str" s="2231">
        <v>中国旧银元（元）</v>
      </c>
    </row>
    <row r="105" ht="15.0" customHeight="1">
      <c r="A105" s="2234" t="n">
        <v>1926</v>
      </c>
      <c r="B105" s="2234" t="str">
        <v>FRF_OLD</v>
      </c>
      <c r="C105" s="2234" t="str">
        <v>法国旧法郎</v>
      </c>
      <c r="D105" s="2234" t="str">
        <v>可用</v>
      </c>
      <c r="E105" s="2238" t="n">
        <v>30.838</v>
      </c>
      <c r="F105" s="2234" t="str">
        <v>年均</v>
      </c>
      <c r="G105" s="2234" t="str">
        <v>MeasuringWorth：法国年均汇率</v>
      </c>
      <c r="H105" s="2234" t="str">
        <v>https://www.measuringworth.com/datasets/exchangeglobal/result.php?countryE%5B%5D=France&amp;year_result=1940&amp;year_source=1920</v>
      </c>
      <c r="I105" s="2234" t="str">
        <v>1926-01-01—1926-12-31</v>
      </c>
      <c r="J105" s="2234" t="str">
        <v>historical_exchange_rates_1920_2026.xlsx</v>
      </c>
      <c r="K105" s="2234" t="str">
        <v>纽约市场；1940仅至6月15日可用报价。</v>
      </c>
      <c r="L105" s="2234" t="str">
        <v>原报价已按 1 美元兑换本币表示。</v>
      </c>
      <c r="M105" s="2234" t="str">
        <v>1926|法国旧法郎</v>
      </c>
      <c r="N105" s="2234" t="str">
        <v>法国旧法郎</v>
      </c>
      <c r="O105" s="2239" t="n">
        <v>30.838</v>
      </c>
      <c r="P105" s="2234" t="str">
        <v>LCU/USD</v>
      </c>
      <c r="Q105" s="2239" t="n">
        <v>1</v>
      </c>
      <c r="R105" s="2234" t="str">
        <v>B：学术历史汇编</v>
      </c>
      <c r="S105" s="2234" t="str">
        <v>年度汇率!E12；原始记录!A61:M61</v>
      </c>
      <c r="T105" s="2234" t="str"/>
      <c r="U105" t="n" s="2231">
        <v>1927</v>
      </c>
      <c r="V105" t="str" s="2231">
        <v>美元（USD）</v>
      </c>
    </row>
    <row r="106" ht="24.0" customHeight="1">
      <c r="A106" s="2234" t="n">
        <v>1926</v>
      </c>
      <c r="B106" s="2234" t="str">
        <v>RM</v>
      </c>
      <c r="C106" s="2234" t="str">
        <v>帝国马克（Reichsmark）</v>
      </c>
      <c r="D106" s="2234" t="str">
        <v>可用</v>
      </c>
      <c r="E106" s="2238" t="n">
        <v>4.2</v>
      </c>
      <c r="F106" s="2234" t="str">
        <v>年均</v>
      </c>
      <c r="G106" s="2234" t="str">
        <v>Harold Marcuse / UCSB：德国，转载Officer年度表</v>
      </c>
      <c r="H106" s="2234" t="str">
        <v>https://marcuse.faculty.history.ucsb.edu/projects/currency.htm</v>
      </c>
      <c r="I106" s="2234" t="str">
        <v>1926-01-01—1926-12-31</v>
      </c>
      <c r="J106" s="2234" t="str">
        <v>historical_exchange_rates_1920_2026.xlsx</v>
      </c>
      <c r="K106" s="2234" t="str">
        <v>使用右侧annual avg.表，不使用左侧定点汇率；1923—1924数据有币改及倒数均值口径疑点，未采用。</v>
      </c>
      <c r="L106" s="2234" t="str">
        <v>原报价已按 1 美元兑换本币表示。</v>
      </c>
      <c r="M106" s="2234" t="str">
        <v>1926|帝国马克（Reichsmark）</v>
      </c>
      <c r="N106" s="2234" t="str">
        <v>帝国马克（Reichsmark）</v>
      </c>
      <c r="O106" s="2239" t="n">
        <v>4.2</v>
      </c>
      <c r="P106" s="2234" t="str">
        <v>LCU/USD</v>
      </c>
      <c r="Q106" s="2239" t="n">
        <v>1</v>
      </c>
      <c r="R106" s="2234" t="str">
        <v>B：大学页面转录</v>
      </c>
      <c r="S106" s="2234" t="str">
        <v>年度汇率!F12、年度汇率!M12；原始记录!A62:M62</v>
      </c>
      <c r="T106" s="2234" t="str"/>
      <c r="U106" t="n" s="2231">
        <v>1927</v>
      </c>
      <c r="V106" t="str" s="2231">
        <v>英镑（GBP）</v>
      </c>
    </row>
    <row r="107" ht="36.0" customHeight="1">
      <c r="A107" s="2234" t="n">
        <v>1926</v>
      </c>
      <c r="B107" s="2234" t="str">
        <v>ITL</v>
      </c>
      <c r="C107" s="2234" t="str">
        <v>意大利里拉（ITL）</v>
      </c>
      <c r="D107" s="2234" t="str">
        <v>可用</v>
      </c>
      <c r="E107" s="2238" t="n">
        <v>25.710906566565537</v>
      </c>
      <c r="F107" s="2234" t="str">
        <v>年均</v>
      </c>
      <c r="G107" s="2234" t="str">
        <v>美联储《Banking and Monetary Statistics 1914—1941》表173，意大利，印刷页673</v>
      </c>
      <c r="H107" s="2234" t="str">
        <v>https://fraser.stlouisfed.org/title/banking-monetary-statistics-1914-1941-38/part-i-6408/fulltext</v>
      </c>
      <c r="I107" s="2234" t="str">
        <v>1926-01-01—1926-12-31</v>
      </c>
      <c r="J107" s="2234" t="str">
        <v>historical_exchange_rates_1920_2026.xlsx</v>
      </c>
      <c r="K107" s="2234" t="str">
        <v>纽约报价；由美分／里拉的年均报价取倒数，非里拉／美元逐日均值。 反向值由原报价均值取倒数；不等于反向日度汇率的算术平均。
原表为日度报价的年平均，单位：美分／里拉；标准化为100÷原值。</v>
      </c>
      <c r="L107" s="2234" t="str">
        <v>原报价为每单位本币兑美元，取原报价均值的倒数；不等于反向日度汇率的算术平均。乘以 100，还原当年币制的计价单位。</v>
      </c>
      <c r="M107" s="2234" t="str">
        <v>1926|意大利里拉（ITL）</v>
      </c>
      <c r="N107" s="2234" t="str">
        <v>意大利里拉（ITL）</v>
      </c>
      <c r="O107" s="2239" t="n">
        <v>3.8894</v>
      </c>
      <c r="P107" s="2234" t="str">
        <v>US cents/LCU</v>
      </c>
      <c r="Q107" s="2239" t="n">
        <v>100</v>
      </c>
      <c r="R107" s="2234" t="str">
        <v>A：机构统计／原始统计表</v>
      </c>
      <c r="S107" s="2234" t="str">
        <v>年度汇率!G12；原始记录!A63:M63</v>
      </c>
      <c r="T107" s="2234" t="str"/>
      <c r="U107" t="n" s="2231">
        <v>1927</v>
      </c>
      <c r="V107" t="str" s="2231">
        <v>加拿大元（CAD）</v>
      </c>
    </row>
    <row r="108" ht="15.0" customHeight="1">
      <c r="A108" s="2234" t="n">
        <v>1926</v>
      </c>
      <c r="B108" s="2234" t="str">
        <v>JPY</v>
      </c>
      <c r="C108" s="2234" t="str">
        <v>日元（JPY）</v>
      </c>
      <c r="D108" s="2234" t="str">
        <v>可用</v>
      </c>
      <c r="E108" s="2238" t="n">
        <v>2.12</v>
      </c>
      <c r="F108" s="2234" t="str">
        <v>年均</v>
      </c>
      <c r="G108" s="2234" t="str">
        <v>MeasuringWorth：日本年均汇率</v>
      </c>
      <c r="H108" s="2234" t="str">
        <v>https://www.measuringworth.com/datasets/exchangeglobal/result.php?countryE%5B%5D=Japan&amp;year_result=2016&amp;year_source=1916</v>
      </c>
      <c r="I108" s="2234" t="str">
        <v>1926-01-01—1926-12-31</v>
      </c>
      <c r="J108" s="2234" t="str">
        <v>historical_exchange_rates_1920_2026.xlsx</v>
      </c>
      <c r="K108" s="2234" t="str">
        <v>以纽约市场年度平均报价为主；保留原表精度。</v>
      </c>
      <c r="L108" s="2234" t="str">
        <v>原报价已按 1 美元兑换本币表示。</v>
      </c>
      <c r="M108" s="2234" t="str">
        <v>1926|日元（JPY）</v>
      </c>
      <c r="N108" s="2234" t="str">
        <v>日元（JPY）</v>
      </c>
      <c r="O108" s="2239" t="n">
        <v>2.12</v>
      </c>
      <c r="P108" s="2234" t="str">
        <v>LCU/USD</v>
      </c>
      <c r="Q108" s="2239" t="n">
        <v>1</v>
      </c>
      <c r="R108" s="2234" t="str">
        <v>B：学术历史汇编</v>
      </c>
      <c r="S108" s="2234" t="str">
        <v>年度汇率!H12；原始记录!A64:M64</v>
      </c>
      <c r="T108" s="2234" t="str"/>
      <c r="U108" t="n" s="2231">
        <v>1927</v>
      </c>
      <c r="V108" t="str" s="2231">
        <v>法国旧法郎</v>
      </c>
    </row>
    <row r="109" ht="15.0" customHeight="1">
      <c r="A109" s="2234" t="n">
        <v>1926</v>
      </c>
      <c r="B109" s="2234" t="str">
        <v>CHF</v>
      </c>
      <c r="C109" s="2234" t="str">
        <v>瑞士法郎（CHF）</v>
      </c>
      <c r="D109" s="2234" t="str">
        <v>可用</v>
      </c>
      <c r="E109" s="2238" t="n">
        <v>5.1779</v>
      </c>
      <c r="F109" s="2234" t="str">
        <v>年均</v>
      </c>
      <c r="G109" s="2234" t="str">
        <v>MeasuringWorth：瑞士年均汇率</v>
      </c>
      <c r="H109" s="2234" t="str">
        <v>https://www.measuringworth.com/datasets/exchangeglobal/result.php?countryE%5B%5D=Switzerland&amp;year_result=1955&amp;year_source=1905</v>
      </c>
      <c r="I109" s="2234" t="str">
        <v>1926-01-01—1926-12-31</v>
      </c>
      <c r="J109" s="2234" t="str">
        <v>historical_exchange_rates_1920_2026.xlsx</v>
      </c>
      <c r="K109" s="2234" t="str">
        <v>纽约市场；1941仅上半年报价，1942–1945原表无值。</v>
      </c>
      <c r="L109" s="2234" t="str">
        <v>原报价已按 1 美元兑换本币表示。</v>
      </c>
      <c r="M109" s="2234" t="str">
        <v>1926|瑞士法郎（CHF）</v>
      </c>
      <c r="N109" s="2234" t="str">
        <v>瑞士法郎（CHF）</v>
      </c>
      <c r="O109" s="2239" t="n">
        <v>5.1779</v>
      </c>
      <c r="P109" s="2234" t="str">
        <v>LCU/USD</v>
      </c>
      <c r="Q109" s="2239" t="n">
        <v>1</v>
      </c>
      <c r="R109" s="2234" t="str">
        <v>B：学术历史汇编</v>
      </c>
      <c r="S109" s="2234" t="str">
        <v>年度汇率!I12；原始记录!A65:M65</v>
      </c>
      <c r="T109" s="2234" t="str"/>
      <c r="U109" t="n" s="2231">
        <v>1927</v>
      </c>
      <c r="V109" t="str" s="2231">
        <v>帝国马克（Reichsmark）</v>
      </c>
    </row>
    <row r="110" ht="15.0" customHeight="1">
      <c r="A110" s="2234" t="n">
        <v>1926</v>
      </c>
      <c r="B110" s="2234" t="str">
        <v>INR</v>
      </c>
      <c r="C110" s="2234" t="str">
        <v>英属印度卢比</v>
      </c>
      <c r="D110" s="2234" t="str">
        <v>可用</v>
      </c>
      <c r="E110" s="2238" t="n">
        <v>2.75</v>
      </c>
      <c r="F110" s="2234" t="str">
        <v>年均</v>
      </c>
      <c r="G110" s="2234" t="str">
        <v>MeasuringWorth：印度年均汇率</v>
      </c>
      <c r="H110" s="2234" t="str">
        <v>https://www.measuringworth.com/datasets/exchangeglobal/result.php?countryE%5B%5D=India&amp;year_result=1948&amp;year_source=1916</v>
      </c>
      <c r="I110" s="2234" t="str">
        <v>1926-01-01—1926-12-31</v>
      </c>
      <c r="J110" s="2234" t="str">
        <v>historical_exchange_rates_1920_2026.xlsx</v>
      </c>
      <c r="K110" s="2234" t="str">
        <v>英属印度／印度卢比；保留原表精度。</v>
      </c>
      <c r="L110" s="2234" t="str">
        <v>原报价已按 1 美元兑换本币表示。</v>
      </c>
      <c r="M110" s="2234" t="str">
        <v>1926|英属印度卢比</v>
      </c>
      <c r="N110" s="2234" t="str">
        <v>英属印度卢比</v>
      </c>
      <c r="O110" s="2239" t="n">
        <v>2.75</v>
      </c>
      <c r="P110" s="2234" t="str">
        <v>LCU/USD</v>
      </c>
      <c r="Q110" s="2239" t="n">
        <v>1</v>
      </c>
      <c r="R110" s="2234" t="str">
        <v>B：学术历史汇编</v>
      </c>
      <c r="S110" s="2234" t="str">
        <v>年度汇率!J12；原始记录!A66:M66</v>
      </c>
      <c r="T110" s="2234" t="str"/>
      <c r="U110" t="n" s="2231">
        <v>1927</v>
      </c>
      <c r="V110" t="str" s="2231">
        <v>意大利里拉（ITL）</v>
      </c>
    </row>
    <row r="111" ht="24.0" customHeight="1">
      <c r="A111" s="2234" t="n">
        <v>1926</v>
      </c>
      <c r="B111" s="2234" t="str">
        <v>SUR_1924</v>
      </c>
      <c r="C111" s="2234" t="str">
        <v>苏联卢布（1924币制）</v>
      </c>
      <c r="D111" s="2234" t="str">
        <v>缺失</v>
      </c>
      <c r="E111" s="2238"/>
      <c r="F111" s="2234" t="str">
        <v>缺失／未核实</v>
      </c>
      <c r="G111" s="2234" t="str">
        <v>用户提供的历史汇率表</v>
      </c>
      <c r="H111" s="2234" t="str"/>
      <c r="I111" s="2234" t="str">
        <v>1926</v>
      </c>
      <c r="J111" s="2234" t="str">
        <v>historical_exchange_rates_1920_2026.xlsx</v>
      </c>
      <c r="K111" s="2234" t="str">
        <v>本次未取得可核验的对应年份官价或年均；早期多种纸卢布／切尔文券并行，未用后期金平价倒推。</v>
      </c>
      <c r="L111" s="2234" t="str"/>
      <c r="M111" s="2234" t="str">
        <v>1926|苏联卢布（1924币制）</v>
      </c>
      <c r="N111" s="2234" t="str">
        <v>苏联卢布（1924币制）</v>
      </c>
      <c r="O111" s="2239"/>
      <c r="P111" s="2234" t="str"/>
      <c r="Q111" s="2239"/>
      <c r="R111" s="2234" t="str"/>
      <c r="S111" s="2234" t="str">
        <v>年度汇率!K12</v>
      </c>
      <c r="T111" s="2234" t="str">
        <v>本次未取得可核验的对应年份官价或年均；早期多种纸卢布／切尔文券并行，未用后期金平价倒推。</v>
      </c>
      <c r="U111" t="n" s="2231">
        <v>1927</v>
      </c>
      <c r="V111" t="str" s="2231">
        <v>日元（JPY）</v>
      </c>
    </row>
    <row r="112" ht="48.0" customHeight="1">
      <c r="A112" s="2234" t="n">
        <v>1926</v>
      </c>
      <c r="B112" s="2234" t="str">
        <v>CN_SILVER_OLD</v>
      </c>
      <c r="C112" s="2234" t="str">
        <v>中国旧银元（元）</v>
      </c>
      <c r="D112" s="2234" t="str">
        <v>可用</v>
      </c>
      <c r="E112" s="2238" t="n">
        <v>2.0007722981070692</v>
      </c>
      <c r="F112" s="2234" t="str">
        <v>年均</v>
      </c>
      <c r="G112" s="2234" t="str">
        <v>美联储《Banking and Monetary Statistics 1914—1941》表173，中国，印刷页667</v>
      </c>
      <c r="H112" s="2234" t="str">
        <v>https://fraser.stlouisfed.org/title/banking-monetary-statistics-1914-1941-38/part-i-6408/fulltext</v>
      </c>
      <c r="I112" s="2234" t="str">
        <v>1926-01-01—1926-12-31</v>
      </c>
      <c r="J112" s="2234" t="str">
        <v>historical_exchange_rates_1920_2026.xlsx</v>
      </c>
      <c r="K112" s="2234" t="str">
        <v>纽约报价；100÷美分年均报价；不同币制年份单位见实际币名表，并非全国统一零售兑换价。 反向值由原报价均值取倒数；不等于反向日度汇率的算术平均。
原表日度报价的年均值，单位：美分／中国货币单位。1920—21上海两；1922—32旧银元；1933年4月10日起新元；1935年币制过渡；1936—41法币。</v>
      </c>
      <c r="L112" s="2234" t="str">
        <v>原报价为每单位本币兑美元，取原报价均值的倒数；不等于反向日度汇率的算术平均。乘以 100，还原当年币制的计价单位。</v>
      </c>
      <c r="M112" s="2234" t="str">
        <v>1926|中国旧银元（元）</v>
      </c>
      <c r="N112" s="2234" t="str">
        <v>中国旧银元（元）</v>
      </c>
      <c r="O112" s="2239" t="n">
        <v>49.9807</v>
      </c>
      <c r="P112" s="2234" t="str">
        <v>US cents/LCU</v>
      </c>
      <c r="Q112" s="2239" t="n">
        <v>100</v>
      </c>
      <c r="R112" s="2234" t="str">
        <v>A：机构统计／原始统计表</v>
      </c>
      <c r="S112" s="2234" t="str">
        <v>年度汇率!L12；原始记录!A67:M67</v>
      </c>
      <c r="T112" s="2234" t="str"/>
      <c r="U112" t="n" s="2231">
        <v>1927</v>
      </c>
      <c r="V112" t="str" s="2231">
        <v>瑞士法郎（CHF）</v>
      </c>
    </row>
    <row r="113" ht="15.0" customHeight="1">
      <c r="A113" s="2234" t="n">
        <v>1927</v>
      </c>
      <c r="B113" s="2234" t="str">
        <v>USD</v>
      </c>
      <c r="C113" s="2234" t="str">
        <v>美元（USD）</v>
      </c>
      <c r="D113" s="2234" t="str">
        <v>可用</v>
      </c>
      <c r="E113" s="2238" t="n">
        <v>1</v>
      </c>
      <c r="F113" s="2234" t="str">
        <v>基准恒等</v>
      </c>
      <c r="G113" s="2234" t="str">
        <v>用户提供的历史汇率表</v>
      </c>
      <c r="H113" s="2234" t="str"/>
      <c r="I113" s="2234" t="str">
        <v>1927</v>
      </c>
      <c r="J113" s="2234" t="str">
        <v>historical_exchange_rates_1920_2026.xlsx</v>
      </c>
      <c r="K113" s="2234" t="str">
        <v>1 美元等于 1 美元，无外部报价。</v>
      </c>
      <c r="L113" s="2234" t="str">
        <v>美元基准，汇率恒为 1。</v>
      </c>
      <c r="M113" s="2234" t="str">
        <v>1927|美元（USD）</v>
      </c>
      <c r="N113" s="2234" t="str">
        <v>美元（USD）</v>
      </c>
      <c r="O113" s="2239"/>
      <c r="P113" s="2234" t="str"/>
      <c r="Q113" s="2239"/>
      <c r="R113" s="2234" t="str"/>
      <c r="S113" s="2234" t="str">
        <v>年度汇率!B13</v>
      </c>
      <c r="T113" s="2234" t="str"/>
      <c r="U113" t="n" s="2231">
        <v>1927</v>
      </c>
      <c r="V113" t="str" s="2231">
        <v>英属印度卢比</v>
      </c>
    </row>
    <row r="114" ht="15.0" customHeight="1">
      <c r="A114" s="2234" t="n">
        <v>1927</v>
      </c>
      <c r="B114" s="2234" t="str">
        <v>GBP</v>
      </c>
      <c r="C114" s="2234" t="str">
        <v>英镑（GBP）</v>
      </c>
      <c r="D114" s="2234" t="str">
        <v>可用</v>
      </c>
      <c r="E114" s="2238" t="n">
        <v>0.2057</v>
      </c>
      <c r="F114" s="2234" t="str">
        <v>年均</v>
      </c>
      <c r="G114" s="2234" t="str">
        <v>MeasuringWorth：英镑／美元年度历史汇率</v>
      </c>
      <c r="H114" s="2234" t="str">
        <v>https://www.measuringworth.com/datasets/exchangeglobal/result.php?countryE%5B%5D=United+Kingdom&amp;year_result=2007&amp;year_source=1791</v>
      </c>
      <c r="I114" s="2234" t="str">
        <v>1927-01-01—1927-12-31</v>
      </c>
      <c r="J114" s="2234" t="str">
        <v>historical_exchange_rates_1920_2026.xlsx</v>
      </c>
      <c r="K114" s="2234" t="str">
        <v>年度汇率，本币／美元；1920—1949。</v>
      </c>
      <c r="L114" s="2234" t="str">
        <v>原报价已按 1 美元兑换本币表示。</v>
      </c>
      <c r="M114" s="2234" t="str">
        <v>1927|英镑（GBP）</v>
      </c>
      <c r="N114" s="2234" t="str">
        <v>英镑（GBP）</v>
      </c>
      <c r="O114" s="2239" t="n">
        <v>0.2057</v>
      </c>
      <c r="P114" s="2234" t="str">
        <v>LCU/USD</v>
      </c>
      <c r="Q114" s="2239" t="n">
        <v>1</v>
      </c>
      <c r="R114" s="2234" t="str">
        <v>B：学术历史汇编</v>
      </c>
      <c r="S114" s="2234" t="str">
        <v>年度汇率!C13；原始记录!A68:M68</v>
      </c>
      <c r="T114" s="2234" t="str"/>
      <c r="U114" t="n" s="2231">
        <v>1927</v>
      </c>
      <c r="V114" t="str" s="2231">
        <v>苏联卢布（1924币制）</v>
      </c>
    </row>
    <row r="115" ht="15.0" customHeight="1">
      <c r="A115" s="2234" t="n">
        <v>1927</v>
      </c>
      <c r="B115" s="2234" t="str">
        <v>CAD</v>
      </c>
      <c r="C115" s="2234" t="str">
        <v>加拿大元（CAD）</v>
      </c>
      <c r="D115" s="2234" t="str">
        <v>可用</v>
      </c>
      <c r="E115" s="2238" t="n">
        <v>1</v>
      </c>
      <c r="F115" s="2234" t="str">
        <v>年均</v>
      </c>
      <c r="G115" s="2234" t="str">
        <v>Lawrence H. Officer / MeasuringWorth：加拿大元</v>
      </c>
      <c r="H115" s="2234" t="str">
        <v>https://www.measuringworth.com/datasets/exchangeglobal/result.php?countryE%5B%5D=Canada&amp;year_result=2007&amp;year_source=1913</v>
      </c>
      <c r="I115" s="2234" t="str">
        <v>1927-01-01—1927-12-31</v>
      </c>
      <c r="J115" s="2234" t="str">
        <v>historical_exchange_rates_1920_2026.xlsx</v>
      </c>
      <c r="K115" s="2234" t="str">
        <v>纽约市场年度报价；1942—1945缺失。</v>
      </c>
      <c r="L115" s="2234" t="str">
        <v>原报价已按 1 美元兑换本币表示。</v>
      </c>
      <c r="M115" s="2234" t="str">
        <v>1927|加拿大元（CAD）</v>
      </c>
      <c r="N115" s="2234" t="str">
        <v>加拿大元（CAD）</v>
      </c>
      <c r="O115" s="2239" t="n">
        <v>1</v>
      </c>
      <c r="P115" s="2234" t="str">
        <v>LCU/USD</v>
      </c>
      <c r="Q115" s="2239" t="n">
        <v>1</v>
      </c>
      <c r="R115" s="2234" t="str">
        <v>B：学术历史汇编</v>
      </c>
      <c r="S115" s="2234" t="str">
        <v>年度汇率!D13；原始记录!A69:M69</v>
      </c>
      <c r="T115" s="2234" t="str"/>
      <c r="U115" t="n" s="2231">
        <v>1927</v>
      </c>
      <c r="V115" t="str" s="2231">
        <v>中国旧银元（元）</v>
      </c>
    </row>
    <row r="116" ht="15.0" customHeight="1">
      <c r="A116" s="2234" t="n">
        <v>1927</v>
      </c>
      <c r="B116" s="2234" t="str">
        <v>FRF_OLD</v>
      </c>
      <c r="C116" s="2234" t="str">
        <v>法国旧法郎</v>
      </c>
      <c r="D116" s="2234" t="str">
        <v>可用</v>
      </c>
      <c r="E116" s="2238" t="n">
        <v>25.484</v>
      </c>
      <c r="F116" s="2234" t="str">
        <v>年均</v>
      </c>
      <c r="G116" s="2234" t="str">
        <v>MeasuringWorth：法国年均汇率</v>
      </c>
      <c r="H116" s="2234" t="str">
        <v>https://www.measuringworth.com/datasets/exchangeglobal/result.php?countryE%5B%5D=France&amp;year_result=1940&amp;year_source=1920</v>
      </c>
      <c r="I116" s="2234" t="str">
        <v>1927-01-01—1927-12-31</v>
      </c>
      <c r="J116" s="2234" t="str">
        <v>historical_exchange_rates_1920_2026.xlsx</v>
      </c>
      <c r="K116" s="2234" t="str">
        <v>纽约市场；1940仅至6月15日可用报价。</v>
      </c>
      <c r="L116" s="2234" t="str">
        <v>原报价已按 1 美元兑换本币表示。</v>
      </c>
      <c r="M116" s="2234" t="str">
        <v>1927|法国旧法郎</v>
      </c>
      <c r="N116" s="2234" t="str">
        <v>法国旧法郎</v>
      </c>
      <c r="O116" s="2239" t="n">
        <v>25.484</v>
      </c>
      <c r="P116" s="2234" t="str">
        <v>LCU/USD</v>
      </c>
      <c r="Q116" s="2239" t="n">
        <v>1</v>
      </c>
      <c r="R116" s="2234" t="str">
        <v>B：学术历史汇编</v>
      </c>
      <c r="S116" s="2234" t="str">
        <v>年度汇率!E13；原始记录!A70:M70</v>
      </c>
      <c r="T116" s="2234" t="str"/>
      <c r="U116" t="n" s="2231">
        <v>1928</v>
      </c>
      <c r="V116" t="str" s="2231">
        <v>美元（USD）</v>
      </c>
    </row>
    <row r="117" ht="24.0" customHeight="1">
      <c r="A117" s="2234" t="n">
        <v>1927</v>
      </c>
      <c r="B117" s="2234" t="str">
        <v>RM</v>
      </c>
      <c r="C117" s="2234" t="str">
        <v>帝国马克（Reichsmark）</v>
      </c>
      <c r="D117" s="2234" t="str">
        <v>可用</v>
      </c>
      <c r="E117" s="2238" t="n">
        <v>4.21</v>
      </c>
      <c r="F117" s="2234" t="str">
        <v>年均</v>
      </c>
      <c r="G117" s="2234" t="str">
        <v>Harold Marcuse / UCSB：德国，转载Officer年度表</v>
      </c>
      <c r="H117" s="2234" t="str">
        <v>https://marcuse.faculty.history.ucsb.edu/projects/currency.htm</v>
      </c>
      <c r="I117" s="2234" t="str">
        <v>1927-01-01—1927-12-31</v>
      </c>
      <c r="J117" s="2234" t="str">
        <v>historical_exchange_rates_1920_2026.xlsx</v>
      </c>
      <c r="K117" s="2234" t="str">
        <v>使用右侧annual avg.表，不使用左侧定点汇率；1923—1924数据有币改及倒数均值口径疑点，未采用。</v>
      </c>
      <c r="L117" s="2234" t="str">
        <v>原报价已按 1 美元兑换本币表示。</v>
      </c>
      <c r="M117" s="2234" t="str">
        <v>1927|帝国马克（Reichsmark）</v>
      </c>
      <c r="N117" s="2234" t="str">
        <v>帝国马克（Reichsmark）</v>
      </c>
      <c r="O117" s="2239" t="n">
        <v>4.21</v>
      </c>
      <c r="P117" s="2234" t="str">
        <v>LCU/USD</v>
      </c>
      <c r="Q117" s="2239" t="n">
        <v>1</v>
      </c>
      <c r="R117" s="2234" t="str">
        <v>B：大学页面转录</v>
      </c>
      <c r="S117" s="2234" t="str">
        <v>年度汇率!F13、年度汇率!M13；原始记录!A71:M71</v>
      </c>
      <c r="T117" s="2234" t="str"/>
      <c r="U117" t="n" s="2231">
        <v>1928</v>
      </c>
      <c r="V117" t="str" s="2231">
        <v>英镑（GBP）</v>
      </c>
    </row>
    <row r="118" ht="36.0" customHeight="1">
      <c r="A118" s="2234" t="n">
        <v>1927</v>
      </c>
      <c r="B118" s="2234" t="str">
        <v>ITL</v>
      </c>
      <c r="C118" s="2234" t="str">
        <v>意大利里拉（ITL）</v>
      </c>
      <c r="D118" s="2234" t="str">
        <v>可用</v>
      </c>
      <c r="E118" s="2238" t="n">
        <v>19.394879751745542</v>
      </c>
      <c r="F118" s="2234" t="str">
        <v>年均</v>
      </c>
      <c r="G118" s="2234" t="str">
        <v>美联储《Banking and Monetary Statistics 1914—1941》表173，意大利，印刷页673</v>
      </c>
      <c r="H118" s="2234" t="str">
        <v>https://fraser.stlouisfed.org/title/banking-monetary-statistics-1914-1941-38/part-i-6408/fulltext</v>
      </c>
      <c r="I118" s="2234" t="str">
        <v>1927-01-01—1927-12-31</v>
      </c>
      <c r="J118" s="2234" t="str">
        <v>historical_exchange_rates_1920_2026.xlsx</v>
      </c>
      <c r="K118" s="2234" t="str">
        <v>纽约报价；由美分／里拉的年均报价取倒数，非里拉／美元逐日均值。 反向值由原报价均值取倒数；不等于反向日度汇率的算术平均。
原表为日度报价的年平均，单位：美分／里拉；标准化为100÷原值。</v>
      </c>
      <c r="L118" s="2234" t="str">
        <v>原报价为每单位本币兑美元，取原报价均值的倒数；不等于反向日度汇率的算术平均。乘以 100，还原当年币制的计价单位。</v>
      </c>
      <c r="M118" s="2234" t="str">
        <v>1927|意大利里拉（ITL）</v>
      </c>
      <c r="N118" s="2234" t="str">
        <v>意大利里拉（ITL）</v>
      </c>
      <c r="O118" s="2239" t="n">
        <v>5.156</v>
      </c>
      <c r="P118" s="2234" t="str">
        <v>US cents/LCU</v>
      </c>
      <c r="Q118" s="2239" t="n">
        <v>100</v>
      </c>
      <c r="R118" s="2234" t="str">
        <v>A：机构统计／原始统计表</v>
      </c>
      <c r="S118" s="2234" t="str">
        <v>年度汇率!G13；原始记录!A72:M72</v>
      </c>
      <c r="T118" s="2234" t="str"/>
      <c r="U118" t="n" s="2231">
        <v>1928</v>
      </c>
      <c r="V118" t="str" s="2231">
        <v>加拿大元（CAD）</v>
      </c>
    </row>
    <row r="119" ht="15.0" customHeight="1">
      <c r="A119" s="2234" t="n">
        <v>1927</v>
      </c>
      <c r="B119" s="2234" t="str">
        <v>JPY</v>
      </c>
      <c r="C119" s="2234" t="str">
        <v>日元（JPY）</v>
      </c>
      <c r="D119" s="2234" t="str">
        <v>可用</v>
      </c>
      <c r="E119" s="2238" t="n">
        <v>2.11</v>
      </c>
      <c r="F119" s="2234" t="str">
        <v>年均</v>
      </c>
      <c r="G119" s="2234" t="str">
        <v>MeasuringWorth：日本年均汇率</v>
      </c>
      <c r="H119" s="2234" t="str">
        <v>https://www.measuringworth.com/datasets/exchangeglobal/result.php?countryE%5B%5D=Japan&amp;year_result=2016&amp;year_source=1916</v>
      </c>
      <c r="I119" s="2234" t="str">
        <v>1927-01-01—1927-12-31</v>
      </c>
      <c r="J119" s="2234" t="str">
        <v>historical_exchange_rates_1920_2026.xlsx</v>
      </c>
      <c r="K119" s="2234" t="str">
        <v>以纽约市场年度平均报价为主；保留原表精度。</v>
      </c>
      <c r="L119" s="2234" t="str">
        <v>原报价已按 1 美元兑换本币表示。</v>
      </c>
      <c r="M119" s="2234" t="str">
        <v>1927|日元（JPY）</v>
      </c>
      <c r="N119" s="2234" t="str">
        <v>日元（JPY）</v>
      </c>
      <c r="O119" s="2239" t="n">
        <v>2.11</v>
      </c>
      <c r="P119" s="2234" t="str">
        <v>LCU/USD</v>
      </c>
      <c r="Q119" s="2239" t="n">
        <v>1</v>
      </c>
      <c r="R119" s="2234" t="str">
        <v>B：学术历史汇编</v>
      </c>
      <c r="S119" s="2234" t="str">
        <v>年度汇率!H13；原始记录!A73:M73</v>
      </c>
      <c r="T119" s="2234" t="str"/>
      <c r="U119" t="n" s="2231">
        <v>1928</v>
      </c>
      <c r="V119" t="str" s="2231">
        <v>法国旧法郎</v>
      </c>
    </row>
    <row r="120" ht="15.0" customHeight="1">
      <c r="A120" s="2234" t="n">
        <v>1927</v>
      </c>
      <c r="B120" s="2234" t="str">
        <v>CHF</v>
      </c>
      <c r="C120" s="2234" t="str">
        <v>瑞士法郎（CHF）</v>
      </c>
      <c r="D120" s="2234" t="str">
        <v>可用</v>
      </c>
      <c r="E120" s="2238" t="n">
        <v>5.1916</v>
      </c>
      <c r="F120" s="2234" t="str">
        <v>年均</v>
      </c>
      <c r="G120" s="2234" t="str">
        <v>MeasuringWorth：瑞士年均汇率</v>
      </c>
      <c r="H120" s="2234" t="str">
        <v>https://www.measuringworth.com/datasets/exchangeglobal/result.php?countryE%5B%5D=Switzerland&amp;year_result=1955&amp;year_source=1905</v>
      </c>
      <c r="I120" s="2234" t="str">
        <v>1927-01-01—1927-12-31</v>
      </c>
      <c r="J120" s="2234" t="str">
        <v>historical_exchange_rates_1920_2026.xlsx</v>
      </c>
      <c r="K120" s="2234" t="str">
        <v>纽约市场；1941仅上半年报价，1942–1945原表无值。</v>
      </c>
      <c r="L120" s="2234" t="str">
        <v>原报价已按 1 美元兑换本币表示。</v>
      </c>
      <c r="M120" s="2234" t="str">
        <v>1927|瑞士法郎（CHF）</v>
      </c>
      <c r="N120" s="2234" t="str">
        <v>瑞士法郎（CHF）</v>
      </c>
      <c r="O120" s="2239" t="n">
        <v>5.1916</v>
      </c>
      <c r="P120" s="2234" t="str">
        <v>LCU/USD</v>
      </c>
      <c r="Q120" s="2239" t="n">
        <v>1</v>
      </c>
      <c r="R120" s="2234" t="str">
        <v>B：学术历史汇编</v>
      </c>
      <c r="S120" s="2234" t="str">
        <v>年度汇率!I13；原始记录!A74:M74</v>
      </c>
      <c r="T120" s="2234" t="str"/>
      <c r="U120" t="n" s="2231">
        <v>1928</v>
      </c>
      <c r="V120" t="str" s="2231">
        <v>帝国马克（Reichsmark）</v>
      </c>
    </row>
    <row r="121" ht="15.0" customHeight="1">
      <c r="A121" s="2234" t="n">
        <v>1927</v>
      </c>
      <c r="B121" s="2234" t="str">
        <v>INR</v>
      </c>
      <c r="C121" s="2234" t="str">
        <v>英属印度卢比</v>
      </c>
      <c r="D121" s="2234" t="str">
        <v>可用</v>
      </c>
      <c r="E121" s="2238" t="n">
        <v>2.75</v>
      </c>
      <c r="F121" s="2234" t="str">
        <v>年均</v>
      </c>
      <c r="G121" s="2234" t="str">
        <v>MeasuringWorth：印度年均汇率</v>
      </c>
      <c r="H121" s="2234" t="str">
        <v>https://www.measuringworth.com/datasets/exchangeglobal/result.php?countryE%5B%5D=India&amp;year_result=1948&amp;year_source=1916</v>
      </c>
      <c r="I121" s="2234" t="str">
        <v>1927-01-01—1927-12-31</v>
      </c>
      <c r="J121" s="2234" t="str">
        <v>historical_exchange_rates_1920_2026.xlsx</v>
      </c>
      <c r="K121" s="2234" t="str">
        <v>英属印度／印度卢比；保留原表精度。</v>
      </c>
      <c r="L121" s="2234" t="str">
        <v>原报价已按 1 美元兑换本币表示。</v>
      </c>
      <c r="M121" s="2234" t="str">
        <v>1927|英属印度卢比</v>
      </c>
      <c r="N121" s="2234" t="str">
        <v>英属印度卢比</v>
      </c>
      <c r="O121" s="2239" t="n">
        <v>2.75</v>
      </c>
      <c r="P121" s="2234" t="str">
        <v>LCU/USD</v>
      </c>
      <c r="Q121" s="2239" t="n">
        <v>1</v>
      </c>
      <c r="R121" s="2234" t="str">
        <v>B：学术历史汇编</v>
      </c>
      <c r="S121" s="2234" t="str">
        <v>年度汇率!J13；原始记录!A75:M75</v>
      </c>
      <c r="T121" s="2234" t="str"/>
      <c r="U121" t="n" s="2231">
        <v>1928</v>
      </c>
      <c r="V121" t="str" s="2231">
        <v>意大利里拉（ITL）</v>
      </c>
    </row>
    <row r="122" ht="36.0" customHeight="1">
      <c r="A122" s="2234" t="n">
        <v>1927</v>
      </c>
      <c r="B122" s="2234" t="str">
        <v>SUR_1924</v>
      </c>
      <c r="C122" s="2234" t="str">
        <v>苏联卢布（1924币制）</v>
      </c>
      <c r="D122" s="2234" t="str">
        <v>可用</v>
      </c>
      <c r="E122" s="2238" t="n">
        <v>1.945</v>
      </c>
      <c r="F122" s="2234" t="str">
        <v>定点官价参考（非年均）</v>
      </c>
      <c r="G122" s="2234" t="str">
        <v>苏联卢布历史官价表（Wikipedia转引俄央行历史档案）</v>
      </c>
      <c r="H122" s="2234" t="str">
        <v>https://en.wikipedia.org/wiki/Soviet_ruble#Exchange_rates</v>
      </c>
      <c r="I122" s="2234" t="str">
        <v>1927-01-01</v>
      </c>
      <c r="J122" s="2234" t="str">
        <v>historical_exchange_rates_1920_2026.xlsx</v>
      </c>
      <c r="K122"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122" s="2234" t="str">
        <v>原报价已按 1 美元兑换本币表示。</v>
      </c>
      <c r="M122" s="2234" t="str">
        <v>1927|苏联卢布（1924币制）</v>
      </c>
      <c r="N122" s="2234" t="str">
        <v>苏联卢布（1924币制）</v>
      </c>
      <c r="O122" s="2239" t="n">
        <v>1.945</v>
      </c>
      <c r="P122" s="2234" t="str">
        <v>LCU/USD</v>
      </c>
      <c r="Q122" s="2239" t="n">
        <v>1</v>
      </c>
      <c r="R122" s="2234" t="str">
        <v>C：二手转引（原档未复核）</v>
      </c>
      <c r="S122" s="2234" t="str">
        <v>年度汇率!K13；原始记录!A76:M76</v>
      </c>
      <c r="T122" s="2234" t="str">
        <v>官价参考，并非市场年均汇率</v>
      </c>
      <c r="U122" t="n" s="2231">
        <v>1928</v>
      </c>
      <c r="V122" t="str" s="2231">
        <v>日元（JPY）</v>
      </c>
    </row>
    <row r="123" ht="48.0" customHeight="1">
      <c r="A123" s="2234" t="n">
        <v>1927</v>
      </c>
      <c r="B123" s="2234" t="str">
        <v>CN_SILVER_OLD</v>
      </c>
      <c r="C123" s="2234" t="str">
        <v>中国旧银元（元）</v>
      </c>
      <c r="D123" s="2234" t="str">
        <v>可用</v>
      </c>
      <c r="E123" s="2238" t="n">
        <v>2.275758168833947</v>
      </c>
      <c r="F123" s="2234" t="str">
        <v>年均</v>
      </c>
      <c r="G123" s="2234" t="str">
        <v>美联储《Banking and Monetary Statistics 1914—1941》表173，中国，印刷页667</v>
      </c>
      <c r="H123" s="2234" t="str">
        <v>https://fraser.stlouisfed.org/title/banking-monetary-statistics-1914-1941-38/part-i-6408/fulltext</v>
      </c>
      <c r="I123" s="2234" t="str">
        <v>1927-01-01—1927-12-31</v>
      </c>
      <c r="J123" s="2234" t="str">
        <v>historical_exchange_rates_1920_2026.xlsx</v>
      </c>
      <c r="K123" s="2234" t="str">
        <v>纽约报价；100÷美分年均报价；不同币制年份单位见实际币名表，并非全国统一零售兑换价。 反向值由原报价均值取倒数；不等于反向日度汇率的算术平均。
原表日度报价的年均值，单位：美分／中国货币单位。1920—21上海两；1922—32旧银元；1933年4月10日起新元；1935年币制过渡；1936—41法币。</v>
      </c>
      <c r="L123" s="2234" t="str">
        <v>原报价为每单位本币兑美元，取原报价均值的倒数；不等于反向日度汇率的算术平均。乘以 100，还原当年币制的计价单位。</v>
      </c>
      <c r="M123" s="2234" t="str">
        <v>1927|中国旧银元（元）</v>
      </c>
      <c r="N123" s="2234" t="str">
        <v>中国旧银元（元）</v>
      </c>
      <c r="O123" s="2239" t="n">
        <v>43.9414</v>
      </c>
      <c r="P123" s="2234" t="str">
        <v>US cents/LCU</v>
      </c>
      <c r="Q123" s="2239" t="n">
        <v>100</v>
      </c>
      <c r="R123" s="2234" t="str">
        <v>A：机构统计／原始统计表</v>
      </c>
      <c r="S123" s="2234" t="str">
        <v>年度汇率!L13；原始记录!A77:M77</v>
      </c>
      <c r="T123" s="2234" t="str"/>
      <c r="U123" t="n" s="2231">
        <v>1928</v>
      </c>
      <c r="V123" t="str" s="2231">
        <v>瑞士法郎（CHF）</v>
      </c>
    </row>
    <row r="124" ht="15.0" customHeight="1">
      <c r="A124" s="2234" t="n">
        <v>1928</v>
      </c>
      <c r="B124" s="2234" t="str">
        <v>USD</v>
      </c>
      <c r="C124" s="2234" t="str">
        <v>美元（USD）</v>
      </c>
      <c r="D124" s="2234" t="str">
        <v>可用</v>
      </c>
      <c r="E124" s="2238" t="n">
        <v>1</v>
      </c>
      <c r="F124" s="2234" t="str">
        <v>基准恒等</v>
      </c>
      <c r="G124" s="2234" t="str">
        <v>用户提供的历史汇率表</v>
      </c>
      <c r="H124" s="2234" t="str"/>
      <c r="I124" s="2234" t="str">
        <v>1928</v>
      </c>
      <c r="J124" s="2234" t="str">
        <v>historical_exchange_rates_1920_2026.xlsx</v>
      </c>
      <c r="K124" s="2234" t="str">
        <v>1 美元等于 1 美元，无外部报价。</v>
      </c>
      <c r="L124" s="2234" t="str">
        <v>美元基准，汇率恒为 1。</v>
      </c>
      <c r="M124" s="2234" t="str">
        <v>1928|美元（USD）</v>
      </c>
      <c r="N124" s="2234" t="str">
        <v>美元（USD）</v>
      </c>
      <c r="O124" s="2239"/>
      <c r="P124" s="2234" t="str"/>
      <c r="Q124" s="2239"/>
      <c r="R124" s="2234" t="str"/>
      <c r="S124" s="2234" t="str">
        <v>年度汇率!B14</v>
      </c>
      <c r="T124" s="2234" t="str"/>
      <c r="U124" t="n" s="2231">
        <v>1928</v>
      </c>
      <c r="V124" t="str" s="2231">
        <v>英属印度卢比</v>
      </c>
    </row>
    <row r="125" ht="15.0" customHeight="1">
      <c r="A125" s="2234" t="n">
        <v>1928</v>
      </c>
      <c r="B125" s="2234" t="str">
        <v>GBP</v>
      </c>
      <c r="C125" s="2234" t="str">
        <v>英镑（GBP）</v>
      </c>
      <c r="D125" s="2234" t="str">
        <v>可用</v>
      </c>
      <c r="E125" s="2238" t="n">
        <v>0.2055</v>
      </c>
      <c r="F125" s="2234" t="str">
        <v>年均</v>
      </c>
      <c r="G125" s="2234" t="str">
        <v>MeasuringWorth：英镑／美元年度历史汇率</v>
      </c>
      <c r="H125" s="2234" t="str">
        <v>https://www.measuringworth.com/datasets/exchangeglobal/result.php?countryE%5B%5D=United+Kingdom&amp;year_result=2007&amp;year_source=1791</v>
      </c>
      <c r="I125" s="2234" t="str">
        <v>1928-01-01—1928-12-31</v>
      </c>
      <c r="J125" s="2234" t="str">
        <v>historical_exchange_rates_1920_2026.xlsx</v>
      </c>
      <c r="K125" s="2234" t="str">
        <v>年度汇率，本币／美元；1920—1949。</v>
      </c>
      <c r="L125" s="2234" t="str">
        <v>原报价已按 1 美元兑换本币表示。</v>
      </c>
      <c r="M125" s="2234" t="str">
        <v>1928|英镑（GBP）</v>
      </c>
      <c r="N125" s="2234" t="str">
        <v>英镑（GBP）</v>
      </c>
      <c r="O125" s="2239" t="n">
        <v>0.2055</v>
      </c>
      <c r="P125" s="2234" t="str">
        <v>LCU/USD</v>
      </c>
      <c r="Q125" s="2239" t="n">
        <v>1</v>
      </c>
      <c r="R125" s="2234" t="str">
        <v>B：学术历史汇编</v>
      </c>
      <c r="S125" s="2234" t="str">
        <v>年度汇率!C14；原始记录!A78:M78</v>
      </c>
      <c r="T125" s="2234" t="str"/>
      <c r="U125" t="n" s="2231">
        <v>1928</v>
      </c>
      <c r="V125" t="str" s="2231">
        <v>苏联卢布（1924币制）</v>
      </c>
    </row>
    <row r="126" ht="15.0" customHeight="1">
      <c r="A126" s="2234" t="n">
        <v>1928</v>
      </c>
      <c r="B126" s="2234" t="str">
        <v>CAD</v>
      </c>
      <c r="C126" s="2234" t="str">
        <v>加拿大元（CAD）</v>
      </c>
      <c r="D126" s="2234" t="str">
        <v>可用</v>
      </c>
      <c r="E126" s="2238" t="n">
        <v>1.001</v>
      </c>
      <c r="F126" s="2234" t="str">
        <v>年均</v>
      </c>
      <c r="G126" s="2234" t="str">
        <v>Lawrence H. Officer / MeasuringWorth：加拿大元</v>
      </c>
      <c r="H126" s="2234" t="str">
        <v>https://www.measuringworth.com/datasets/exchangeglobal/result.php?countryE%5B%5D=Canada&amp;year_result=2007&amp;year_source=1913</v>
      </c>
      <c r="I126" s="2234" t="str">
        <v>1928-01-01—1928-12-31</v>
      </c>
      <c r="J126" s="2234" t="str">
        <v>historical_exchange_rates_1920_2026.xlsx</v>
      </c>
      <c r="K126" s="2234" t="str">
        <v>纽约市场年度报价；1942—1945缺失。</v>
      </c>
      <c r="L126" s="2234" t="str">
        <v>原报价已按 1 美元兑换本币表示。</v>
      </c>
      <c r="M126" s="2234" t="str">
        <v>1928|加拿大元（CAD）</v>
      </c>
      <c r="N126" s="2234" t="str">
        <v>加拿大元（CAD）</v>
      </c>
      <c r="O126" s="2239" t="n">
        <v>1.001</v>
      </c>
      <c r="P126" s="2234" t="str">
        <v>LCU/USD</v>
      </c>
      <c r="Q126" s="2239" t="n">
        <v>1</v>
      </c>
      <c r="R126" s="2234" t="str">
        <v>B：学术历史汇编</v>
      </c>
      <c r="S126" s="2234" t="str">
        <v>年度汇率!D14；原始记录!A79:M79</v>
      </c>
      <c r="T126" s="2234" t="str"/>
      <c r="U126" t="n" s="2231">
        <v>1928</v>
      </c>
      <c r="V126" t="str" s="2231">
        <v>中国旧银元（元）</v>
      </c>
    </row>
    <row r="127" ht="15.0" customHeight="1">
      <c r="A127" s="2234" t="n">
        <v>1928</v>
      </c>
      <c r="B127" s="2234" t="str">
        <v>FRF_OLD</v>
      </c>
      <c r="C127" s="2234" t="str">
        <v>法国旧法郎</v>
      </c>
      <c r="D127" s="2234" t="str">
        <v>可用</v>
      </c>
      <c r="E127" s="2238" t="n">
        <v>25.504</v>
      </c>
      <c r="F127" s="2234" t="str">
        <v>年均</v>
      </c>
      <c r="G127" s="2234" t="str">
        <v>MeasuringWorth：法国年均汇率</v>
      </c>
      <c r="H127" s="2234" t="str">
        <v>https://www.measuringworth.com/datasets/exchangeglobal/result.php?countryE%5B%5D=France&amp;year_result=1940&amp;year_source=1920</v>
      </c>
      <c r="I127" s="2234" t="str">
        <v>1928-01-01—1928-12-31</v>
      </c>
      <c r="J127" s="2234" t="str">
        <v>historical_exchange_rates_1920_2026.xlsx</v>
      </c>
      <c r="K127" s="2234" t="str">
        <v>纽约市场；1940仅至6月15日可用报价。</v>
      </c>
      <c r="L127" s="2234" t="str">
        <v>原报价已按 1 美元兑换本币表示。</v>
      </c>
      <c r="M127" s="2234" t="str">
        <v>1928|法国旧法郎</v>
      </c>
      <c r="N127" s="2234" t="str">
        <v>法国旧法郎</v>
      </c>
      <c r="O127" s="2239" t="n">
        <v>25.504</v>
      </c>
      <c r="P127" s="2234" t="str">
        <v>LCU/USD</v>
      </c>
      <c r="Q127" s="2239" t="n">
        <v>1</v>
      </c>
      <c r="R127" s="2234" t="str">
        <v>B：学术历史汇编</v>
      </c>
      <c r="S127" s="2234" t="str">
        <v>年度汇率!E14；原始记录!A80:M80</v>
      </c>
      <c r="T127" s="2234" t="str"/>
      <c r="U127" t="n" s="2231">
        <v>1929</v>
      </c>
      <c r="V127" t="str" s="2231">
        <v>美元（USD）</v>
      </c>
    </row>
    <row r="128" ht="24.0" customHeight="1">
      <c r="A128" s="2234" t="n">
        <v>1928</v>
      </c>
      <c r="B128" s="2234" t="str">
        <v>RM</v>
      </c>
      <c r="C128" s="2234" t="str">
        <v>帝国马克（Reichsmark）</v>
      </c>
      <c r="D128" s="2234" t="str">
        <v>可用</v>
      </c>
      <c r="E128" s="2238" t="n">
        <v>4.19</v>
      </c>
      <c r="F128" s="2234" t="str">
        <v>年均</v>
      </c>
      <c r="G128" s="2234" t="str">
        <v>Harold Marcuse / UCSB：德国，转载Officer年度表</v>
      </c>
      <c r="H128" s="2234" t="str">
        <v>https://marcuse.faculty.history.ucsb.edu/projects/currency.htm</v>
      </c>
      <c r="I128" s="2234" t="str">
        <v>1928-01-01—1928-12-31</v>
      </c>
      <c r="J128" s="2234" t="str">
        <v>historical_exchange_rates_1920_2026.xlsx</v>
      </c>
      <c r="K128" s="2234" t="str">
        <v>使用右侧annual avg.表，不使用左侧定点汇率；1923—1924数据有币改及倒数均值口径疑点，未采用。</v>
      </c>
      <c r="L128" s="2234" t="str">
        <v>原报价已按 1 美元兑换本币表示。</v>
      </c>
      <c r="M128" s="2234" t="str">
        <v>1928|帝国马克（Reichsmark）</v>
      </c>
      <c r="N128" s="2234" t="str">
        <v>帝国马克（Reichsmark）</v>
      </c>
      <c r="O128" s="2239" t="n">
        <v>4.19</v>
      </c>
      <c r="P128" s="2234" t="str">
        <v>LCU/USD</v>
      </c>
      <c r="Q128" s="2239" t="n">
        <v>1</v>
      </c>
      <c r="R128" s="2234" t="str">
        <v>B：大学页面转录</v>
      </c>
      <c r="S128" s="2234" t="str">
        <v>年度汇率!F14、年度汇率!M14；原始记录!A81:M81</v>
      </c>
      <c r="T128" s="2234" t="str"/>
      <c r="U128" t="n" s="2231">
        <v>1929</v>
      </c>
      <c r="V128" t="str" s="2231">
        <v>英镑（GBP）</v>
      </c>
    </row>
    <row r="129" ht="36.0" customHeight="1">
      <c r="A129" s="2234" t="n">
        <v>1928</v>
      </c>
      <c r="B129" s="2234" t="str">
        <v>ITL</v>
      </c>
      <c r="C129" s="2234" t="str">
        <v>意大利里拉（ITL）</v>
      </c>
      <c r="D129" s="2234" t="str">
        <v>可用</v>
      </c>
      <c r="E129" s="2238" t="n">
        <v>19.02189420022446</v>
      </c>
      <c r="F129" s="2234" t="str">
        <v>年均</v>
      </c>
      <c r="G129" s="2234" t="str">
        <v>美联储《Banking and Monetary Statistics 1914—1941》表173，意大利，印刷页673</v>
      </c>
      <c r="H129" s="2234" t="str">
        <v>https://fraser.stlouisfed.org/title/banking-monetary-statistics-1914-1941-38/part-i-6408/fulltext</v>
      </c>
      <c r="I129" s="2234" t="str">
        <v>1928-01-01—1928-12-31</v>
      </c>
      <c r="J129" s="2234" t="str">
        <v>historical_exchange_rates_1920_2026.xlsx</v>
      </c>
      <c r="K129" s="2234" t="str">
        <v>纽约报价；由美分／里拉的年均报价取倒数，非里拉／美元逐日均值。 反向值由原报价均值取倒数；不等于反向日度汇率的算术平均。
原表为日度报价的年平均，单位：美分／里拉；标准化为100÷原值。</v>
      </c>
      <c r="L129" s="2234" t="str">
        <v>原报价为每单位本币兑美元，取原报价均值的倒数；不等于反向日度汇率的算术平均。乘以 100，还原当年币制的计价单位。</v>
      </c>
      <c r="M129" s="2234" t="str">
        <v>1928|意大利里拉（ITL）</v>
      </c>
      <c r="N129" s="2234" t="str">
        <v>意大利里拉（ITL）</v>
      </c>
      <c r="O129" s="2239" t="n">
        <v>5.2571</v>
      </c>
      <c r="P129" s="2234" t="str">
        <v>US cents/LCU</v>
      </c>
      <c r="Q129" s="2239" t="n">
        <v>100</v>
      </c>
      <c r="R129" s="2234" t="str">
        <v>A：机构统计／原始统计表</v>
      </c>
      <c r="S129" s="2234" t="str">
        <v>年度汇率!G14；原始记录!A82:M82</v>
      </c>
      <c r="T129" s="2234" t="str"/>
      <c r="U129" t="n" s="2231">
        <v>1929</v>
      </c>
      <c r="V129" t="str" s="2231">
        <v>加拿大元（CAD）</v>
      </c>
    </row>
    <row r="130" ht="15.0" customHeight="1">
      <c r="A130" s="2234" t="n">
        <v>1928</v>
      </c>
      <c r="B130" s="2234" t="str">
        <v>JPY</v>
      </c>
      <c r="C130" s="2234" t="str">
        <v>日元（JPY）</v>
      </c>
      <c r="D130" s="2234" t="str">
        <v>可用</v>
      </c>
      <c r="E130" s="2238" t="n">
        <v>2.15</v>
      </c>
      <c r="F130" s="2234" t="str">
        <v>年均</v>
      </c>
      <c r="G130" s="2234" t="str">
        <v>MeasuringWorth：日本年均汇率</v>
      </c>
      <c r="H130" s="2234" t="str">
        <v>https://www.measuringworth.com/datasets/exchangeglobal/result.php?countryE%5B%5D=Japan&amp;year_result=2016&amp;year_source=1916</v>
      </c>
      <c r="I130" s="2234" t="str">
        <v>1928-01-01—1928-12-31</v>
      </c>
      <c r="J130" s="2234" t="str">
        <v>historical_exchange_rates_1920_2026.xlsx</v>
      </c>
      <c r="K130" s="2234" t="str">
        <v>以纽约市场年度平均报价为主；保留原表精度。</v>
      </c>
      <c r="L130" s="2234" t="str">
        <v>原报价已按 1 美元兑换本币表示。</v>
      </c>
      <c r="M130" s="2234" t="str">
        <v>1928|日元（JPY）</v>
      </c>
      <c r="N130" s="2234" t="str">
        <v>日元（JPY）</v>
      </c>
      <c r="O130" s="2239" t="n">
        <v>2.15</v>
      </c>
      <c r="P130" s="2234" t="str">
        <v>LCU/USD</v>
      </c>
      <c r="Q130" s="2239" t="n">
        <v>1</v>
      </c>
      <c r="R130" s="2234" t="str">
        <v>B：学术历史汇编</v>
      </c>
      <c r="S130" s="2234" t="str">
        <v>年度汇率!H14；原始记录!A83:M83</v>
      </c>
      <c r="T130" s="2234" t="str"/>
      <c r="U130" t="n" s="2231">
        <v>1929</v>
      </c>
      <c r="V130" t="str" s="2231">
        <v>法国旧法郎</v>
      </c>
    </row>
    <row r="131" ht="15.0" customHeight="1">
      <c r="A131" s="2234" t="n">
        <v>1928</v>
      </c>
      <c r="B131" s="2234" t="str">
        <v>CHF</v>
      </c>
      <c r="C131" s="2234" t="str">
        <v>瑞士法郎（CHF）</v>
      </c>
      <c r="D131" s="2234" t="str">
        <v>可用</v>
      </c>
      <c r="E131" s="2238" t="n">
        <v>5.1922</v>
      </c>
      <c r="F131" s="2234" t="str">
        <v>年均</v>
      </c>
      <c r="G131" s="2234" t="str">
        <v>MeasuringWorth：瑞士年均汇率</v>
      </c>
      <c r="H131" s="2234" t="str">
        <v>https://www.measuringworth.com/datasets/exchangeglobal/result.php?countryE%5B%5D=Switzerland&amp;year_result=1955&amp;year_source=1905</v>
      </c>
      <c r="I131" s="2234" t="str">
        <v>1928-01-01—1928-12-31</v>
      </c>
      <c r="J131" s="2234" t="str">
        <v>historical_exchange_rates_1920_2026.xlsx</v>
      </c>
      <c r="K131" s="2234" t="str">
        <v>纽约市场；1941仅上半年报价，1942–1945原表无值。</v>
      </c>
      <c r="L131" s="2234" t="str">
        <v>原报价已按 1 美元兑换本币表示。</v>
      </c>
      <c r="M131" s="2234" t="str">
        <v>1928|瑞士法郎（CHF）</v>
      </c>
      <c r="N131" s="2234" t="str">
        <v>瑞士法郎（CHF）</v>
      </c>
      <c r="O131" s="2239" t="n">
        <v>5.1922</v>
      </c>
      <c r="P131" s="2234" t="str">
        <v>LCU/USD</v>
      </c>
      <c r="Q131" s="2239" t="n">
        <v>1</v>
      </c>
      <c r="R131" s="2234" t="str">
        <v>B：学术历史汇编</v>
      </c>
      <c r="S131" s="2234" t="str">
        <v>年度汇率!I14；原始记录!A84:M84</v>
      </c>
      <c r="T131" s="2234" t="str"/>
      <c r="U131" t="n" s="2231">
        <v>1929</v>
      </c>
      <c r="V131" t="str" s="2231">
        <v>帝国马克（Reichsmark）</v>
      </c>
    </row>
    <row r="132" ht="15.0" customHeight="1">
      <c r="A132" s="2234" t="n">
        <v>1928</v>
      </c>
      <c r="B132" s="2234" t="str">
        <v>INR</v>
      </c>
      <c r="C132" s="2234" t="str">
        <v>英属印度卢比</v>
      </c>
      <c r="D132" s="2234" t="str">
        <v>可用</v>
      </c>
      <c r="E132" s="2238" t="n">
        <v>2.74</v>
      </c>
      <c r="F132" s="2234" t="str">
        <v>年均</v>
      </c>
      <c r="G132" s="2234" t="str">
        <v>MeasuringWorth：印度年均汇率</v>
      </c>
      <c r="H132" s="2234" t="str">
        <v>https://www.measuringworth.com/datasets/exchangeglobal/result.php?countryE%5B%5D=India&amp;year_result=1948&amp;year_source=1916</v>
      </c>
      <c r="I132" s="2234" t="str">
        <v>1928-01-01—1928-12-31</v>
      </c>
      <c r="J132" s="2234" t="str">
        <v>historical_exchange_rates_1920_2026.xlsx</v>
      </c>
      <c r="K132" s="2234" t="str">
        <v>英属印度／印度卢比；保留原表精度。</v>
      </c>
      <c r="L132" s="2234" t="str">
        <v>原报价已按 1 美元兑换本币表示。</v>
      </c>
      <c r="M132" s="2234" t="str">
        <v>1928|英属印度卢比</v>
      </c>
      <c r="N132" s="2234" t="str">
        <v>英属印度卢比</v>
      </c>
      <c r="O132" s="2239" t="n">
        <v>2.74</v>
      </c>
      <c r="P132" s="2234" t="str">
        <v>LCU/USD</v>
      </c>
      <c r="Q132" s="2239" t="n">
        <v>1</v>
      </c>
      <c r="R132" s="2234" t="str">
        <v>B：学术历史汇编</v>
      </c>
      <c r="S132" s="2234" t="str">
        <v>年度汇率!J14；原始记录!A85:M85</v>
      </c>
      <c r="T132" s="2234" t="str"/>
      <c r="U132" t="n" s="2231">
        <v>1929</v>
      </c>
      <c r="V132" t="str" s="2231">
        <v>意大利里拉（ITL）</v>
      </c>
    </row>
    <row r="133" ht="36.0" customHeight="1">
      <c r="A133" s="2234" t="n">
        <v>1928</v>
      </c>
      <c r="B133" s="2234" t="str">
        <v>SUR_1924</v>
      </c>
      <c r="C133" s="2234" t="str">
        <v>苏联卢布（1924币制）</v>
      </c>
      <c r="D133" s="2234" t="str">
        <v>可用</v>
      </c>
      <c r="E133" s="2238" t="n">
        <v>1.9434</v>
      </c>
      <c r="F133" s="2234" t="str">
        <v>定点官价参考（非年均）</v>
      </c>
      <c r="G133" s="2234" t="str">
        <v>苏联卢布历史官价表（Wikipedia转引俄央行历史档案）</v>
      </c>
      <c r="H133" s="2234" t="str">
        <v>https://en.wikipedia.org/wiki/Soviet_ruble#Exchange_rates</v>
      </c>
      <c r="I133" s="2234" t="str">
        <v>1928-02-01</v>
      </c>
      <c r="J133" s="2234" t="str">
        <v>historical_exchange_rates_1920_2026.xlsx</v>
      </c>
      <c r="K133"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133" s="2234" t="str">
        <v>原报价已按 1 美元兑换本币表示。</v>
      </c>
      <c r="M133" s="2234" t="str">
        <v>1928|苏联卢布（1924币制）</v>
      </c>
      <c r="N133" s="2234" t="str">
        <v>苏联卢布（1924币制）</v>
      </c>
      <c r="O133" s="2239" t="n">
        <v>1.9434</v>
      </c>
      <c r="P133" s="2234" t="str">
        <v>LCU/USD</v>
      </c>
      <c r="Q133" s="2239" t="n">
        <v>1</v>
      </c>
      <c r="R133" s="2234" t="str">
        <v>C：二手转引（原档未复核）</v>
      </c>
      <c r="S133" s="2234" t="str">
        <v>年度汇率!K14；原始记录!A86:M86</v>
      </c>
      <c r="T133" s="2234" t="str">
        <v>官价参考，并非市场年均汇率</v>
      </c>
      <c r="U133" t="n" s="2231">
        <v>1929</v>
      </c>
      <c r="V133" t="str" s="2231">
        <v>日元（JPY）</v>
      </c>
    </row>
    <row r="134" ht="48.0" customHeight="1">
      <c r="A134" s="2234" t="n">
        <v>1928</v>
      </c>
      <c r="B134" s="2234" t="str">
        <v>CN_SILVER_OLD</v>
      </c>
      <c r="C134" s="2234" t="str">
        <v>中国旧银元（元）</v>
      </c>
      <c r="D134" s="2234" t="str">
        <v>可用</v>
      </c>
      <c r="E134" s="2238" t="n">
        <v>2.1674202064251005</v>
      </c>
      <c r="F134" s="2234" t="str">
        <v>年均</v>
      </c>
      <c r="G134" s="2234" t="str">
        <v>美联储《Banking and Monetary Statistics 1914—1941》表173，中国，印刷页667</v>
      </c>
      <c r="H134" s="2234" t="str">
        <v>https://fraser.stlouisfed.org/title/banking-monetary-statistics-1914-1941-38/part-i-6408/fulltext</v>
      </c>
      <c r="I134" s="2234" t="str">
        <v>1928-01-01—1928-12-31</v>
      </c>
      <c r="J134" s="2234" t="str">
        <v>historical_exchange_rates_1920_2026.xlsx</v>
      </c>
      <c r="K134" s="2234" t="str">
        <v>纽约报价；100÷美分年均报价；不同币制年份单位见实际币名表，并非全国统一零售兑换价。 反向值由原报价均值取倒数；不等于反向日度汇率的算术平均。
原表日度报价的年均值，单位：美分／中国货币单位。1920—21上海两；1922—32旧银元；1933年4月10日起新元；1935年币制过渡；1936—41法币。</v>
      </c>
      <c r="L134" s="2234" t="str">
        <v>原报价为每单位本币兑美元，取原报价均值的倒数；不等于反向日度汇率的算术平均。乘以 100，还原当年币制的计价单位。</v>
      </c>
      <c r="M134" s="2234" t="str">
        <v>1928|中国旧银元（元）</v>
      </c>
      <c r="N134" s="2234" t="str">
        <v>中国旧银元（元）</v>
      </c>
      <c r="O134" s="2239" t="n">
        <v>46.1378</v>
      </c>
      <c r="P134" s="2234" t="str">
        <v>US cents/LCU</v>
      </c>
      <c r="Q134" s="2239" t="n">
        <v>100</v>
      </c>
      <c r="R134" s="2234" t="str">
        <v>A：机构统计／原始统计表</v>
      </c>
      <c r="S134" s="2234" t="str">
        <v>年度汇率!L14；原始记录!A87:M87</v>
      </c>
      <c r="T134" s="2234" t="str"/>
      <c r="U134" t="n" s="2231">
        <v>1929</v>
      </c>
      <c r="V134" t="str" s="2231">
        <v>瑞士法郎（CHF）</v>
      </c>
    </row>
    <row r="135" ht="15.0" customHeight="1">
      <c r="A135" s="2234" t="n">
        <v>1929</v>
      </c>
      <c r="B135" s="2234" t="str">
        <v>USD</v>
      </c>
      <c r="C135" s="2234" t="str">
        <v>美元（USD）</v>
      </c>
      <c r="D135" s="2234" t="str">
        <v>可用</v>
      </c>
      <c r="E135" s="2238" t="n">
        <v>1</v>
      </c>
      <c r="F135" s="2234" t="str">
        <v>基准恒等</v>
      </c>
      <c r="G135" s="2234" t="str">
        <v>用户提供的历史汇率表</v>
      </c>
      <c r="H135" s="2234" t="str"/>
      <c r="I135" s="2234" t="str">
        <v>1929</v>
      </c>
      <c r="J135" s="2234" t="str">
        <v>historical_exchange_rates_1920_2026.xlsx</v>
      </c>
      <c r="K135" s="2234" t="str">
        <v>1 美元等于 1 美元，无外部报价。</v>
      </c>
      <c r="L135" s="2234" t="str">
        <v>美元基准，汇率恒为 1。</v>
      </c>
      <c r="M135" s="2234" t="str">
        <v>1929|美元（USD）</v>
      </c>
      <c r="N135" s="2234" t="str">
        <v>美元（USD）</v>
      </c>
      <c r="O135" s="2239"/>
      <c r="P135" s="2234" t="str"/>
      <c r="Q135" s="2239"/>
      <c r="R135" s="2234" t="str"/>
      <c r="S135" s="2234" t="str">
        <v>年度汇率!B15</v>
      </c>
      <c r="T135" s="2234" t="str"/>
      <c r="U135" t="n" s="2231">
        <v>1929</v>
      </c>
      <c r="V135" t="str" s="2231">
        <v>英属印度卢比</v>
      </c>
    </row>
    <row r="136" ht="15.0" customHeight="1">
      <c r="A136" s="2234" t="n">
        <v>1929</v>
      </c>
      <c r="B136" s="2234" t="str">
        <v>GBP</v>
      </c>
      <c r="C136" s="2234" t="str">
        <v>英镑（GBP）</v>
      </c>
      <c r="D136" s="2234" t="str">
        <v>可用</v>
      </c>
      <c r="E136" s="2238" t="n">
        <v>0.2059</v>
      </c>
      <c r="F136" s="2234" t="str">
        <v>年均</v>
      </c>
      <c r="G136" s="2234" t="str">
        <v>MeasuringWorth：英镑／美元年度历史汇率</v>
      </c>
      <c r="H136" s="2234" t="str">
        <v>https://www.measuringworth.com/datasets/exchangeglobal/result.php?countryE%5B%5D=United+Kingdom&amp;year_result=2007&amp;year_source=1791</v>
      </c>
      <c r="I136" s="2234" t="str">
        <v>1929-01-01—1929-12-31</v>
      </c>
      <c r="J136" s="2234" t="str">
        <v>historical_exchange_rates_1920_2026.xlsx</v>
      </c>
      <c r="K136" s="2234" t="str">
        <v>年度汇率，本币／美元；1920—1949。</v>
      </c>
      <c r="L136" s="2234" t="str">
        <v>原报价已按 1 美元兑换本币表示。</v>
      </c>
      <c r="M136" s="2234" t="str">
        <v>1929|英镑（GBP）</v>
      </c>
      <c r="N136" s="2234" t="str">
        <v>英镑（GBP）</v>
      </c>
      <c r="O136" s="2239" t="n">
        <v>0.2059</v>
      </c>
      <c r="P136" s="2234" t="str">
        <v>LCU/USD</v>
      </c>
      <c r="Q136" s="2239" t="n">
        <v>1</v>
      </c>
      <c r="R136" s="2234" t="str">
        <v>B：学术历史汇编</v>
      </c>
      <c r="S136" s="2234" t="str">
        <v>年度汇率!C15；原始记录!A88:M88</v>
      </c>
      <c r="T136" s="2234" t="str"/>
      <c r="U136" t="n" s="2231">
        <v>1929</v>
      </c>
      <c r="V136" t="str" s="2231">
        <v>苏联卢布（1924币制）</v>
      </c>
    </row>
    <row r="137" ht="15.0" customHeight="1">
      <c r="A137" s="2234" t="n">
        <v>1929</v>
      </c>
      <c r="B137" s="2234" t="str">
        <v>CAD</v>
      </c>
      <c r="C137" s="2234" t="str">
        <v>加拿大元（CAD）</v>
      </c>
      <c r="D137" s="2234" t="str">
        <v>可用</v>
      </c>
      <c r="E137" s="2238" t="n">
        <v>1.008</v>
      </c>
      <c r="F137" s="2234" t="str">
        <v>年均</v>
      </c>
      <c r="G137" s="2234" t="str">
        <v>Lawrence H. Officer / MeasuringWorth：加拿大元</v>
      </c>
      <c r="H137" s="2234" t="str">
        <v>https://www.measuringworth.com/datasets/exchangeglobal/result.php?countryE%5B%5D=Canada&amp;year_result=2007&amp;year_source=1913</v>
      </c>
      <c r="I137" s="2234" t="str">
        <v>1929-01-01—1929-12-31</v>
      </c>
      <c r="J137" s="2234" t="str">
        <v>historical_exchange_rates_1920_2026.xlsx</v>
      </c>
      <c r="K137" s="2234" t="str">
        <v>纽约市场年度报价；1942—1945缺失。</v>
      </c>
      <c r="L137" s="2234" t="str">
        <v>原报价已按 1 美元兑换本币表示。</v>
      </c>
      <c r="M137" s="2234" t="str">
        <v>1929|加拿大元（CAD）</v>
      </c>
      <c r="N137" s="2234" t="str">
        <v>加拿大元（CAD）</v>
      </c>
      <c r="O137" s="2239" t="n">
        <v>1.008</v>
      </c>
      <c r="P137" s="2234" t="str">
        <v>LCU/USD</v>
      </c>
      <c r="Q137" s="2239" t="n">
        <v>1</v>
      </c>
      <c r="R137" s="2234" t="str">
        <v>B：学术历史汇编</v>
      </c>
      <c r="S137" s="2234" t="str">
        <v>年度汇率!D15；原始记录!A89:M89</v>
      </c>
      <c r="T137" s="2234" t="str"/>
      <c r="U137" t="n" s="2231">
        <v>1929</v>
      </c>
      <c r="V137" t="str" s="2231">
        <v>中国旧银元（元）</v>
      </c>
    </row>
    <row r="138" ht="15.0" customHeight="1">
      <c r="A138" s="2234" t="n">
        <v>1929</v>
      </c>
      <c r="B138" s="2234" t="str">
        <v>FRF_OLD</v>
      </c>
      <c r="C138" s="2234" t="str">
        <v>法国旧法郎</v>
      </c>
      <c r="D138" s="2234" t="str">
        <v>可用</v>
      </c>
      <c r="E138" s="2238" t="n">
        <v>25.536</v>
      </c>
      <c r="F138" s="2234" t="str">
        <v>年均</v>
      </c>
      <c r="G138" s="2234" t="str">
        <v>MeasuringWorth：法国年均汇率</v>
      </c>
      <c r="H138" s="2234" t="str">
        <v>https://www.measuringworth.com/datasets/exchangeglobal/result.php?countryE%5B%5D=France&amp;year_result=1940&amp;year_source=1920</v>
      </c>
      <c r="I138" s="2234" t="str">
        <v>1929-01-01—1929-12-31</v>
      </c>
      <c r="J138" s="2234" t="str">
        <v>historical_exchange_rates_1920_2026.xlsx</v>
      </c>
      <c r="K138" s="2234" t="str">
        <v>纽约市场；1940仅至6月15日可用报价。</v>
      </c>
      <c r="L138" s="2234" t="str">
        <v>原报价已按 1 美元兑换本币表示。</v>
      </c>
      <c r="M138" s="2234" t="str">
        <v>1929|法国旧法郎</v>
      </c>
      <c r="N138" s="2234" t="str">
        <v>法国旧法郎</v>
      </c>
      <c r="O138" s="2239" t="n">
        <v>25.536</v>
      </c>
      <c r="P138" s="2234" t="str">
        <v>LCU/USD</v>
      </c>
      <c r="Q138" s="2239" t="n">
        <v>1</v>
      </c>
      <c r="R138" s="2234" t="str">
        <v>B：学术历史汇编</v>
      </c>
      <c r="S138" s="2234" t="str">
        <v>年度汇率!E15；原始记录!A90:M90</v>
      </c>
      <c r="T138" s="2234" t="str"/>
      <c r="U138" t="n" s="2231">
        <v>1930</v>
      </c>
      <c r="V138" t="str" s="2231">
        <v>美元（USD）</v>
      </c>
    </row>
    <row r="139" ht="24.0" customHeight="1">
      <c r="A139" s="2234" t="n">
        <v>1929</v>
      </c>
      <c r="B139" s="2234" t="str">
        <v>RM</v>
      </c>
      <c r="C139" s="2234" t="str">
        <v>帝国马克（Reichsmark）</v>
      </c>
      <c r="D139" s="2234" t="str">
        <v>可用</v>
      </c>
      <c r="E139" s="2238" t="n">
        <v>4.2</v>
      </c>
      <c r="F139" s="2234" t="str">
        <v>年均</v>
      </c>
      <c r="G139" s="2234" t="str">
        <v>Harold Marcuse / UCSB：德国，转载Officer年度表</v>
      </c>
      <c r="H139" s="2234" t="str">
        <v>https://marcuse.faculty.history.ucsb.edu/projects/currency.htm</v>
      </c>
      <c r="I139" s="2234" t="str">
        <v>1929-01-01—1929-12-31</v>
      </c>
      <c r="J139" s="2234" t="str">
        <v>historical_exchange_rates_1920_2026.xlsx</v>
      </c>
      <c r="K139" s="2234" t="str">
        <v>使用右侧annual avg.表，不使用左侧定点汇率；1923—1924数据有币改及倒数均值口径疑点，未采用。</v>
      </c>
      <c r="L139" s="2234" t="str">
        <v>原报价已按 1 美元兑换本币表示。</v>
      </c>
      <c r="M139" s="2234" t="str">
        <v>1929|帝国马克（Reichsmark）</v>
      </c>
      <c r="N139" s="2234" t="str">
        <v>帝国马克（Reichsmark）</v>
      </c>
      <c r="O139" s="2239" t="n">
        <v>4.2</v>
      </c>
      <c r="P139" s="2234" t="str">
        <v>LCU/USD</v>
      </c>
      <c r="Q139" s="2239" t="n">
        <v>1</v>
      </c>
      <c r="R139" s="2234" t="str">
        <v>B：大学页面转录</v>
      </c>
      <c r="S139" s="2234" t="str">
        <v>年度汇率!F15、年度汇率!M15；原始记录!A91:M91</v>
      </c>
      <c r="T139" s="2234" t="str"/>
      <c r="U139" t="n" s="2231">
        <v>1930</v>
      </c>
      <c r="V139" t="str" s="2231">
        <v>英镑（GBP）</v>
      </c>
    </row>
    <row r="140" ht="36.0" customHeight="1">
      <c r="A140" s="2234" t="n">
        <v>1929</v>
      </c>
      <c r="B140" s="2234" t="str">
        <v>ITL</v>
      </c>
      <c r="C140" s="2234" t="str">
        <v>意大利里拉（ITL）</v>
      </c>
      <c r="D140" s="2234" t="str">
        <v>可用</v>
      </c>
      <c r="E140" s="2238" t="n">
        <v>19.10803684029503</v>
      </c>
      <c r="F140" s="2234" t="str">
        <v>年均</v>
      </c>
      <c r="G140" s="2234" t="str">
        <v>美联储《Banking and Monetary Statistics 1914—1941》表173，意大利，印刷页673</v>
      </c>
      <c r="H140" s="2234" t="str">
        <v>https://fraser.stlouisfed.org/title/banking-monetary-statistics-1914-1941-38/part-i-6408/fulltext</v>
      </c>
      <c r="I140" s="2234" t="str">
        <v>1929-01-01—1929-12-31</v>
      </c>
      <c r="J140" s="2234" t="str">
        <v>historical_exchange_rates_1920_2026.xlsx</v>
      </c>
      <c r="K140" s="2234" t="str">
        <v>纽约报价；由美分／里拉的年均报价取倒数，非里拉／美元逐日均值。 反向值由原报价均值取倒数；不等于反向日度汇率的算术平均。
原表为日度报价的年平均，单位：美分／里拉；标准化为100÷原值。</v>
      </c>
      <c r="L140" s="2234" t="str">
        <v>原报价为每单位本币兑美元，取原报价均值的倒数；不等于反向日度汇率的算术平均。乘以 100，还原当年币制的计价单位。</v>
      </c>
      <c r="M140" s="2234" t="str">
        <v>1929|意大利里拉（ITL）</v>
      </c>
      <c r="N140" s="2234" t="str">
        <v>意大利里拉（ITL）</v>
      </c>
      <c r="O140" s="2239" t="n">
        <v>5.2334</v>
      </c>
      <c r="P140" s="2234" t="str">
        <v>US cents/LCU</v>
      </c>
      <c r="Q140" s="2239" t="n">
        <v>100</v>
      </c>
      <c r="R140" s="2234" t="str">
        <v>A：机构统计／原始统计表</v>
      </c>
      <c r="S140" s="2234" t="str">
        <v>年度汇率!G15；原始记录!A92:M92</v>
      </c>
      <c r="T140" s="2234" t="str"/>
      <c r="U140" t="n" s="2231">
        <v>1930</v>
      </c>
      <c r="V140" t="str" s="2231">
        <v>加拿大元（CAD）</v>
      </c>
    </row>
    <row r="141" ht="15.0" customHeight="1">
      <c r="A141" s="2234" t="n">
        <v>1929</v>
      </c>
      <c r="B141" s="2234" t="str">
        <v>JPY</v>
      </c>
      <c r="C141" s="2234" t="str">
        <v>日元（JPY）</v>
      </c>
      <c r="D141" s="2234" t="str">
        <v>可用</v>
      </c>
      <c r="E141" s="2238" t="n">
        <v>2.17</v>
      </c>
      <c r="F141" s="2234" t="str">
        <v>年均</v>
      </c>
      <c r="G141" s="2234" t="str">
        <v>MeasuringWorth：日本年均汇率</v>
      </c>
      <c r="H141" s="2234" t="str">
        <v>https://www.measuringworth.com/datasets/exchangeglobal/result.php?countryE%5B%5D=Japan&amp;year_result=2016&amp;year_source=1916</v>
      </c>
      <c r="I141" s="2234" t="str">
        <v>1929-01-01—1929-12-31</v>
      </c>
      <c r="J141" s="2234" t="str">
        <v>historical_exchange_rates_1920_2026.xlsx</v>
      </c>
      <c r="K141" s="2234" t="str">
        <v>以纽约市场年度平均报价为主；保留原表精度。</v>
      </c>
      <c r="L141" s="2234" t="str">
        <v>原报价已按 1 美元兑换本币表示。</v>
      </c>
      <c r="M141" s="2234" t="str">
        <v>1929|日元（JPY）</v>
      </c>
      <c r="N141" s="2234" t="str">
        <v>日元（JPY）</v>
      </c>
      <c r="O141" s="2239" t="n">
        <v>2.17</v>
      </c>
      <c r="P141" s="2234" t="str">
        <v>LCU/USD</v>
      </c>
      <c r="Q141" s="2239" t="n">
        <v>1</v>
      </c>
      <c r="R141" s="2234" t="str">
        <v>B：学术历史汇编</v>
      </c>
      <c r="S141" s="2234" t="str">
        <v>年度汇率!H15；原始记录!A93:M93</v>
      </c>
      <c r="T141" s="2234" t="str"/>
      <c r="U141" t="n" s="2231">
        <v>1930</v>
      </c>
      <c r="V141" t="str" s="2231">
        <v>法国旧法郎</v>
      </c>
    </row>
    <row r="142" ht="15.0" customHeight="1">
      <c r="A142" s="2234" t="n">
        <v>1929</v>
      </c>
      <c r="B142" s="2234" t="str">
        <v>CHF</v>
      </c>
      <c r="C142" s="2234" t="str">
        <v>瑞士法郎（CHF）</v>
      </c>
      <c r="D142" s="2234" t="str">
        <v>可用</v>
      </c>
      <c r="E142" s="2238" t="n">
        <v>5.1869</v>
      </c>
      <c r="F142" s="2234" t="str">
        <v>年均</v>
      </c>
      <c r="G142" s="2234" t="str">
        <v>MeasuringWorth：瑞士年均汇率</v>
      </c>
      <c r="H142" s="2234" t="str">
        <v>https://www.measuringworth.com/datasets/exchangeglobal/result.php?countryE%5B%5D=Switzerland&amp;year_result=1955&amp;year_source=1905</v>
      </c>
      <c r="I142" s="2234" t="str">
        <v>1929-01-01—1929-12-31</v>
      </c>
      <c r="J142" s="2234" t="str">
        <v>historical_exchange_rates_1920_2026.xlsx</v>
      </c>
      <c r="K142" s="2234" t="str">
        <v>纽约市场；1941仅上半年报价，1942–1945原表无值。</v>
      </c>
      <c r="L142" s="2234" t="str">
        <v>原报价已按 1 美元兑换本币表示。</v>
      </c>
      <c r="M142" s="2234" t="str">
        <v>1929|瑞士法郎（CHF）</v>
      </c>
      <c r="N142" s="2234" t="str">
        <v>瑞士法郎（CHF）</v>
      </c>
      <c r="O142" s="2239" t="n">
        <v>5.1869</v>
      </c>
      <c r="P142" s="2234" t="str">
        <v>LCU/USD</v>
      </c>
      <c r="Q142" s="2239" t="n">
        <v>1</v>
      </c>
      <c r="R142" s="2234" t="str">
        <v>B：学术历史汇编</v>
      </c>
      <c r="S142" s="2234" t="str">
        <v>年度汇率!I15；原始记录!A94:M94</v>
      </c>
      <c r="T142" s="2234" t="str"/>
      <c r="U142" t="n" s="2231">
        <v>1930</v>
      </c>
      <c r="V142" t="str" s="2231">
        <v>帝国马克（Reichsmark）</v>
      </c>
    </row>
    <row r="143" ht="15.0" customHeight="1">
      <c r="A143" s="2234" t="n">
        <v>1929</v>
      </c>
      <c r="B143" s="2234" t="str">
        <v>INR</v>
      </c>
      <c r="C143" s="2234" t="str">
        <v>英属印度卢比</v>
      </c>
      <c r="D143" s="2234" t="str">
        <v>可用</v>
      </c>
      <c r="E143" s="2238" t="n">
        <v>2.76</v>
      </c>
      <c r="F143" s="2234" t="str">
        <v>年均</v>
      </c>
      <c r="G143" s="2234" t="str">
        <v>MeasuringWorth：印度年均汇率</v>
      </c>
      <c r="H143" s="2234" t="str">
        <v>https://www.measuringworth.com/datasets/exchangeglobal/result.php?countryE%5B%5D=India&amp;year_result=1948&amp;year_source=1916</v>
      </c>
      <c r="I143" s="2234" t="str">
        <v>1929-01-01—1929-12-31</v>
      </c>
      <c r="J143" s="2234" t="str">
        <v>historical_exchange_rates_1920_2026.xlsx</v>
      </c>
      <c r="K143" s="2234" t="str">
        <v>英属印度／印度卢比；保留原表精度。</v>
      </c>
      <c r="L143" s="2234" t="str">
        <v>原报价已按 1 美元兑换本币表示。</v>
      </c>
      <c r="M143" s="2234" t="str">
        <v>1929|英属印度卢比</v>
      </c>
      <c r="N143" s="2234" t="str">
        <v>英属印度卢比</v>
      </c>
      <c r="O143" s="2239" t="n">
        <v>2.76</v>
      </c>
      <c r="P143" s="2234" t="str">
        <v>LCU/USD</v>
      </c>
      <c r="Q143" s="2239" t="n">
        <v>1</v>
      </c>
      <c r="R143" s="2234" t="str">
        <v>B：学术历史汇编</v>
      </c>
      <c r="S143" s="2234" t="str">
        <v>年度汇率!J15；原始记录!A95:M95</v>
      </c>
      <c r="T143" s="2234" t="str"/>
      <c r="U143" t="n" s="2231">
        <v>1930</v>
      </c>
      <c r="V143" t="str" s="2231">
        <v>意大利里拉（ITL）</v>
      </c>
    </row>
    <row r="144" ht="48.0" customHeight="1">
      <c r="A144" s="2234" t="n">
        <v>1929</v>
      </c>
      <c r="B144" s="2234" t="str">
        <v>SUR_1924</v>
      </c>
      <c r="C144" s="2234" t="str">
        <v>苏联卢布（1924币制）</v>
      </c>
      <c r="D144" s="2234" t="str">
        <v>可用</v>
      </c>
      <c r="E144" s="2238" t="n">
        <v>1.9434</v>
      </c>
      <c r="F144" s="2234" t="str">
        <v>官价区间参考（非年均）</v>
      </c>
      <c r="G144" s="2234" t="str">
        <v>苏联卢布历史官价表（Wikipedia转引俄央行历史档案）</v>
      </c>
      <c r="H144" s="2234" t="str">
        <v>https://en.wikipedia.org/wiki/Soviet_ruble#Exchange_rates</v>
      </c>
      <c r="I144" s="2234" t="str">
        <v>1928-02-01—1933-04-01</v>
      </c>
      <c r="J144" s="2234" t="str">
        <v>historical_exchange_rates_1920_2026.xlsx</v>
      </c>
      <c r="K144"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144" s="2234" t="str">
        <v>原报价已按 1 美元兑换本币表示。</v>
      </c>
      <c r="M144" s="2234" t="str">
        <v>1929|苏联卢布（1924币制）</v>
      </c>
      <c r="N144" s="2234" t="str">
        <v>苏联卢布（1924币制）</v>
      </c>
      <c r="O144" s="2239" t="n">
        <v>1.9434</v>
      </c>
      <c r="P144" s="2234" t="str">
        <v>LCU/USD</v>
      </c>
      <c r="Q144" s="2239" t="n">
        <v>1</v>
      </c>
      <c r="R144" s="2234" t="str">
        <v>C：二手转引（原档未复核）</v>
      </c>
      <c r="S144" s="2234" t="str">
        <v>年度汇率!K15；原始记录!A96:M96</v>
      </c>
      <c r="T144" s="2234" t="str">
        <v>官价参考，并非市场年均汇率</v>
      </c>
      <c r="U144" t="n" s="2231">
        <v>1930</v>
      </c>
      <c r="V144" t="str" s="2231">
        <v>日元（JPY）</v>
      </c>
    </row>
    <row r="145" ht="48.0" customHeight="1">
      <c r="A145" s="2234" t="n">
        <v>1929</v>
      </c>
      <c r="B145" s="2234" t="str">
        <v>CN_SILVER_OLD</v>
      </c>
      <c r="C145" s="2234" t="str">
        <v>中国旧银元（元）</v>
      </c>
      <c r="D145" s="2234" t="str">
        <v>可用</v>
      </c>
      <c r="E145" s="2238" t="n">
        <v>2.386594973353667</v>
      </c>
      <c r="F145" s="2234" t="str">
        <v>年均</v>
      </c>
      <c r="G145" s="2234" t="str">
        <v>美联储《Banking and Monetary Statistics 1914—1941》表173，中国，印刷页667</v>
      </c>
      <c r="H145" s="2234" t="str">
        <v>https://fraser.stlouisfed.org/title/banking-monetary-statistics-1914-1941-38/part-i-6408/fulltext</v>
      </c>
      <c r="I145" s="2234" t="str">
        <v>1929-01-01—1929-12-31</v>
      </c>
      <c r="J145" s="2234" t="str">
        <v>historical_exchange_rates_1920_2026.xlsx</v>
      </c>
      <c r="K145" s="2234" t="str">
        <v>纽约报价；100÷美分年均报价；不同币制年份单位见实际币名表，并非全国统一零售兑换价。 反向值由原报价均值取倒数；不等于反向日度汇率的算术平均。
原表日度报价的年均值，单位：美分／中国货币单位。1920—21上海两；1922—32旧银元；1933年4月10日起新元；1935年币制过渡；1936—41法币。</v>
      </c>
      <c r="L145" s="2234" t="str">
        <v>原报价为每单位本币兑美元，取原报价均值的倒数；不等于反向日度汇率的算术平均。乘以 100，还原当年币制的计价单位。</v>
      </c>
      <c r="M145" s="2234" t="str">
        <v>1929|中国旧银元（元）</v>
      </c>
      <c r="N145" s="2234" t="str">
        <v>中国旧银元（元）</v>
      </c>
      <c r="O145" s="2239" t="n">
        <v>41.9007</v>
      </c>
      <c r="P145" s="2234" t="str">
        <v>US cents/LCU</v>
      </c>
      <c r="Q145" s="2239" t="n">
        <v>100</v>
      </c>
      <c r="R145" s="2234" t="str">
        <v>A：机构统计／原始统计表</v>
      </c>
      <c r="S145" s="2234" t="str">
        <v>年度汇率!L15；原始记录!A97:M97</v>
      </c>
      <c r="T145" s="2234" t="str"/>
      <c r="U145" t="n" s="2231">
        <v>1930</v>
      </c>
      <c r="V145" t="str" s="2231">
        <v>瑞士法郎（CHF）</v>
      </c>
    </row>
    <row r="146" ht="15.0" customHeight="1">
      <c r="A146" s="2234" t="n">
        <v>1930</v>
      </c>
      <c r="B146" s="2234" t="str">
        <v>USD</v>
      </c>
      <c r="C146" s="2234" t="str">
        <v>美元（USD）</v>
      </c>
      <c r="D146" s="2234" t="str">
        <v>可用</v>
      </c>
      <c r="E146" s="2238" t="n">
        <v>1</v>
      </c>
      <c r="F146" s="2234" t="str">
        <v>基准恒等</v>
      </c>
      <c r="G146" s="2234" t="str">
        <v>用户提供的历史汇率表</v>
      </c>
      <c r="H146" s="2234" t="str"/>
      <c r="I146" s="2234" t="str">
        <v>1930</v>
      </c>
      <c r="J146" s="2234" t="str">
        <v>historical_exchange_rates_1920_2026.xlsx</v>
      </c>
      <c r="K146" s="2234" t="str">
        <v>1 美元等于 1 美元，无外部报价。</v>
      </c>
      <c r="L146" s="2234" t="str">
        <v>美元基准，汇率恒为 1。</v>
      </c>
      <c r="M146" s="2234" t="str">
        <v>1930|美元（USD）</v>
      </c>
      <c r="N146" s="2234" t="str">
        <v>美元（USD）</v>
      </c>
      <c r="O146" s="2239"/>
      <c r="P146" s="2234" t="str"/>
      <c r="Q146" s="2239"/>
      <c r="R146" s="2234" t="str"/>
      <c r="S146" s="2234" t="str">
        <v>年度汇率!B16</v>
      </c>
      <c r="T146" s="2234" t="str"/>
      <c r="U146" t="n" s="2231">
        <v>1930</v>
      </c>
      <c r="V146" t="str" s="2231">
        <v>英属印度卢比</v>
      </c>
    </row>
    <row r="147" ht="15.0" customHeight="1">
      <c r="A147" s="2234" t="n">
        <v>1930</v>
      </c>
      <c r="B147" s="2234" t="str">
        <v>GBP</v>
      </c>
      <c r="C147" s="2234" t="str">
        <v>英镑（GBP）</v>
      </c>
      <c r="D147" s="2234" t="str">
        <v>可用</v>
      </c>
      <c r="E147" s="2238" t="n">
        <v>0.2057</v>
      </c>
      <c r="F147" s="2234" t="str">
        <v>年均</v>
      </c>
      <c r="G147" s="2234" t="str">
        <v>MeasuringWorth：英镑／美元年度历史汇率</v>
      </c>
      <c r="H147" s="2234" t="str">
        <v>https://www.measuringworth.com/datasets/exchangeglobal/result.php?countryE%5B%5D=United+Kingdom&amp;year_result=2007&amp;year_source=1791</v>
      </c>
      <c r="I147" s="2234" t="str">
        <v>1930-01-01—1930-12-31</v>
      </c>
      <c r="J147" s="2234" t="str">
        <v>historical_exchange_rates_1920_2026.xlsx</v>
      </c>
      <c r="K147" s="2234" t="str">
        <v>年度汇率，本币／美元；1920—1949。</v>
      </c>
      <c r="L147" s="2234" t="str">
        <v>原报价已按 1 美元兑换本币表示。</v>
      </c>
      <c r="M147" s="2234" t="str">
        <v>1930|英镑（GBP）</v>
      </c>
      <c r="N147" s="2234" t="str">
        <v>英镑（GBP）</v>
      </c>
      <c r="O147" s="2239" t="n">
        <v>0.2057</v>
      </c>
      <c r="P147" s="2234" t="str">
        <v>LCU/USD</v>
      </c>
      <c r="Q147" s="2239" t="n">
        <v>1</v>
      </c>
      <c r="R147" s="2234" t="str">
        <v>B：学术历史汇编</v>
      </c>
      <c r="S147" s="2234" t="str">
        <v>年度汇率!C16；原始记录!A98:M98</v>
      </c>
      <c r="T147" s="2234" t="str"/>
      <c r="U147" t="n" s="2231">
        <v>1930</v>
      </c>
      <c r="V147" t="str" s="2231">
        <v>苏联卢布（1924币制）</v>
      </c>
    </row>
    <row r="148" ht="15.0" customHeight="1">
      <c r="A148" s="2234" t="n">
        <v>1930</v>
      </c>
      <c r="B148" s="2234" t="str">
        <v>CAD</v>
      </c>
      <c r="C148" s="2234" t="str">
        <v>加拿大元（CAD）</v>
      </c>
      <c r="D148" s="2234" t="str">
        <v>可用</v>
      </c>
      <c r="E148" s="2238" t="n">
        <v>1.002</v>
      </c>
      <c r="F148" s="2234" t="str">
        <v>年均</v>
      </c>
      <c r="G148" s="2234" t="str">
        <v>Lawrence H. Officer / MeasuringWorth：加拿大元</v>
      </c>
      <c r="H148" s="2234" t="str">
        <v>https://www.measuringworth.com/datasets/exchangeglobal/result.php?countryE%5B%5D=Canada&amp;year_result=2007&amp;year_source=1913</v>
      </c>
      <c r="I148" s="2234" t="str">
        <v>1930-01-01—1930-12-31</v>
      </c>
      <c r="J148" s="2234" t="str">
        <v>historical_exchange_rates_1920_2026.xlsx</v>
      </c>
      <c r="K148" s="2234" t="str">
        <v>纽约市场年度报价；1942—1945缺失。</v>
      </c>
      <c r="L148" s="2234" t="str">
        <v>原报价已按 1 美元兑换本币表示。</v>
      </c>
      <c r="M148" s="2234" t="str">
        <v>1930|加拿大元（CAD）</v>
      </c>
      <c r="N148" s="2234" t="str">
        <v>加拿大元（CAD）</v>
      </c>
      <c r="O148" s="2239" t="n">
        <v>1.002</v>
      </c>
      <c r="P148" s="2234" t="str">
        <v>LCU/USD</v>
      </c>
      <c r="Q148" s="2239" t="n">
        <v>1</v>
      </c>
      <c r="R148" s="2234" t="str">
        <v>B：学术历史汇编</v>
      </c>
      <c r="S148" s="2234" t="str">
        <v>年度汇率!D16；原始记录!A99:M99</v>
      </c>
      <c r="T148" s="2234" t="str"/>
      <c r="U148" t="n" s="2231">
        <v>1930</v>
      </c>
      <c r="V148" t="str" s="2231">
        <v>中国旧银元（元）</v>
      </c>
    </row>
    <row r="149" ht="15.0" customHeight="1">
      <c r="A149" s="2234" t="n">
        <v>1930</v>
      </c>
      <c r="B149" s="2234" t="str">
        <v>FRF_OLD</v>
      </c>
      <c r="C149" s="2234" t="str">
        <v>法国旧法郎</v>
      </c>
      <c r="D149" s="2234" t="str">
        <v>可用</v>
      </c>
      <c r="E149" s="2238" t="n">
        <v>25.478</v>
      </c>
      <c r="F149" s="2234" t="str">
        <v>年均</v>
      </c>
      <c r="G149" s="2234" t="str">
        <v>MeasuringWorth：法国年均汇率</v>
      </c>
      <c r="H149" s="2234" t="str">
        <v>https://www.measuringworth.com/datasets/exchangeglobal/result.php?countryE%5B%5D=France&amp;year_result=1940&amp;year_source=1920</v>
      </c>
      <c r="I149" s="2234" t="str">
        <v>1930-01-01—1930-12-31</v>
      </c>
      <c r="J149" s="2234" t="str">
        <v>historical_exchange_rates_1920_2026.xlsx</v>
      </c>
      <c r="K149" s="2234" t="str">
        <v>纽约市场；1940仅至6月15日可用报价。</v>
      </c>
      <c r="L149" s="2234" t="str">
        <v>原报价已按 1 美元兑换本币表示。</v>
      </c>
      <c r="M149" s="2234" t="str">
        <v>1930|法国旧法郎</v>
      </c>
      <c r="N149" s="2234" t="str">
        <v>法国旧法郎</v>
      </c>
      <c r="O149" s="2239" t="n">
        <v>25.478</v>
      </c>
      <c r="P149" s="2234" t="str">
        <v>LCU/USD</v>
      </c>
      <c r="Q149" s="2239" t="n">
        <v>1</v>
      </c>
      <c r="R149" s="2234" t="str">
        <v>B：学术历史汇编</v>
      </c>
      <c r="S149" s="2234" t="str">
        <v>年度汇率!E16；原始记录!A100:M100</v>
      </c>
      <c r="T149" s="2234" t="str"/>
      <c r="U149" t="n" s="2231">
        <v>1931</v>
      </c>
      <c r="V149" t="str" s="2231">
        <v>美元（USD）</v>
      </c>
    </row>
    <row r="150" ht="24.0" customHeight="1">
      <c r="A150" s="2234" t="n">
        <v>1930</v>
      </c>
      <c r="B150" s="2234" t="str">
        <v>RM</v>
      </c>
      <c r="C150" s="2234" t="str">
        <v>帝国马克（Reichsmark）</v>
      </c>
      <c r="D150" s="2234" t="str">
        <v>可用</v>
      </c>
      <c r="E150" s="2238" t="n">
        <v>4.19</v>
      </c>
      <c r="F150" s="2234" t="str">
        <v>年均</v>
      </c>
      <c r="G150" s="2234" t="str">
        <v>Harold Marcuse / UCSB：德国，转载Officer年度表</v>
      </c>
      <c r="H150" s="2234" t="str">
        <v>https://marcuse.faculty.history.ucsb.edu/projects/currency.htm</v>
      </c>
      <c r="I150" s="2234" t="str">
        <v>1930-01-01—1930-12-31</v>
      </c>
      <c r="J150" s="2234" t="str">
        <v>historical_exchange_rates_1920_2026.xlsx</v>
      </c>
      <c r="K150" s="2234" t="str">
        <v>使用右侧annual avg.表，不使用左侧定点汇率；1923—1924数据有币改及倒数均值口径疑点，未采用。</v>
      </c>
      <c r="L150" s="2234" t="str">
        <v>原报价已按 1 美元兑换本币表示。</v>
      </c>
      <c r="M150" s="2234" t="str">
        <v>1930|帝国马克（Reichsmark）</v>
      </c>
      <c r="N150" s="2234" t="str">
        <v>帝国马克（Reichsmark）</v>
      </c>
      <c r="O150" s="2239" t="n">
        <v>4.19</v>
      </c>
      <c r="P150" s="2234" t="str">
        <v>LCU/USD</v>
      </c>
      <c r="Q150" s="2239" t="n">
        <v>1</v>
      </c>
      <c r="R150" s="2234" t="str">
        <v>B：大学页面转录</v>
      </c>
      <c r="S150" s="2234" t="str">
        <v>年度汇率!F16、年度汇率!M16；原始记录!A101:M101</v>
      </c>
      <c r="T150" s="2234" t="str"/>
      <c r="U150" t="n" s="2231">
        <v>1931</v>
      </c>
      <c r="V150" t="str" s="2231">
        <v>英镑（GBP）</v>
      </c>
    </row>
    <row r="151" ht="36.0" customHeight="1">
      <c r="A151" s="2234" t="n">
        <v>1930</v>
      </c>
      <c r="B151" s="2234" t="str">
        <v>ITL</v>
      </c>
      <c r="C151" s="2234" t="str">
        <v>意大利里拉（ITL）</v>
      </c>
      <c r="D151" s="2234" t="str">
        <v>可用</v>
      </c>
      <c r="E151" s="2238" t="n">
        <v>19.09344331156681</v>
      </c>
      <c r="F151" s="2234" t="str">
        <v>年均</v>
      </c>
      <c r="G151" s="2234" t="str">
        <v>美联储《Banking and Monetary Statistics 1914—1941》表173，意大利，印刷页673</v>
      </c>
      <c r="H151" s="2234" t="str">
        <v>https://fraser.stlouisfed.org/title/banking-monetary-statistics-1914-1941-38/part-i-6408/fulltext</v>
      </c>
      <c r="I151" s="2234" t="str">
        <v>1930-01-01—1930-12-31</v>
      </c>
      <c r="J151" s="2234" t="str">
        <v>historical_exchange_rates_1920_2026.xlsx</v>
      </c>
      <c r="K151" s="2234" t="str">
        <v>纽约报价；由美分／里拉的年均报价取倒数，非里拉／美元逐日均值。 反向值由原报价均值取倒数；不等于反向日度汇率的算术平均。
原表为日度报价的年平均，单位：美分／里拉；标准化为100÷原值。</v>
      </c>
      <c r="L151" s="2234" t="str">
        <v>原报价为每单位本币兑美元，取原报价均值的倒数；不等于反向日度汇率的算术平均。乘以 100，还原当年币制的计价单位。</v>
      </c>
      <c r="M151" s="2234" t="str">
        <v>1930|意大利里拉（ITL）</v>
      </c>
      <c r="N151" s="2234" t="str">
        <v>意大利里拉（ITL）</v>
      </c>
      <c r="O151" s="2239" t="n">
        <v>5.2374</v>
      </c>
      <c r="P151" s="2234" t="str">
        <v>US cents/LCU</v>
      </c>
      <c r="Q151" s="2239" t="n">
        <v>100</v>
      </c>
      <c r="R151" s="2234" t="str">
        <v>A：机构统计／原始统计表</v>
      </c>
      <c r="S151" s="2234" t="str">
        <v>年度汇率!G16；原始记录!A102:M102</v>
      </c>
      <c r="T151" s="2234" t="str"/>
      <c r="U151" t="n" s="2231">
        <v>1931</v>
      </c>
      <c r="V151" t="str" s="2231">
        <v>加拿大元（CAD）</v>
      </c>
    </row>
    <row r="152" ht="15.0" customHeight="1">
      <c r="A152" s="2234" t="n">
        <v>1930</v>
      </c>
      <c r="B152" s="2234" t="str">
        <v>JPY</v>
      </c>
      <c r="C152" s="2234" t="str">
        <v>日元（JPY）</v>
      </c>
      <c r="D152" s="2234" t="str">
        <v>可用</v>
      </c>
      <c r="E152" s="2238" t="n">
        <v>2.02</v>
      </c>
      <c r="F152" s="2234" t="str">
        <v>年均</v>
      </c>
      <c r="G152" s="2234" t="str">
        <v>MeasuringWorth：日本年均汇率</v>
      </c>
      <c r="H152" s="2234" t="str">
        <v>https://www.measuringworth.com/datasets/exchangeglobal/result.php?countryE%5B%5D=Japan&amp;year_result=2016&amp;year_source=1916</v>
      </c>
      <c r="I152" s="2234" t="str">
        <v>1930-01-01—1930-12-31</v>
      </c>
      <c r="J152" s="2234" t="str">
        <v>historical_exchange_rates_1920_2026.xlsx</v>
      </c>
      <c r="K152" s="2234" t="str">
        <v>以纽约市场年度平均报价为主；保留原表精度。</v>
      </c>
      <c r="L152" s="2234" t="str">
        <v>原报价已按 1 美元兑换本币表示。</v>
      </c>
      <c r="M152" s="2234" t="str">
        <v>1930|日元（JPY）</v>
      </c>
      <c r="N152" s="2234" t="str">
        <v>日元（JPY）</v>
      </c>
      <c r="O152" s="2239" t="n">
        <v>2.02</v>
      </c>
      <c r="P152" s="2234" t="str">
        <v>LCU/USD</v>
      </c>
      <c r="Q152" s="2239" t="n">
        <v>1</v>
      </c>
      <c r="R152" s="2234" t="str">
        <v>B：学术历史汇编</v>
      </c>
      <c r="S152" s="2234" t="str">
        <v>年度汇率!H16；原始记录!A103:M103</v>
      </c>
      <c r="T152" s="2234" t="str"/>
      <c r="U152" t="n" s="2231">
        <v>1931</v>
      </c>
      <c r="V152" t="str" s="2231">
        <v>法国旧法郎</v>
      </c>
    </row>
    <row r="153" ht="15.0" customHeight="1">
      <c r="A153" s="2234" t="n">
        <v>1930</v>
      </c>
      <c r="B153" s="2234" t="str">
        <v>CHF</v>
      </c>
      <c r="C153" s="2234" t="str">
        <v>瑞士法郎（CHF）</v>
      </c>
      <c r="D153" s="2234" t="str">
        <v>可用</v>
      </c>
      <c r="E153" s="2238" t="n">
        <v>5.1594</v>
      </c>
      <c r="F153" s="2234" t="str">
        <v>年均</v>
      </c>
      <c r="G153" s="2234" t="str">
        <v>MeasuringWorth：瑞士年均汇率</v>
      </c>
      <c r="H153" s="2234" t="str">
        <v>https://www.measuringworth.com/datasets/exchangeglobal/result.php?countryE%5B%5D=Switzerland&amp;year_result=1955&amp;year_source=1905</v>
      </c>
      <c r="I153" s="2234" t="str">
        <v>1930-01-01—1930-12-31</v>
      </c>
      <c r="J153" s="2234" t="str">
        <v>historical_exchange_rates_1920_2026.xlsx</v>
      </c>
      <c r="K153" s="2234" t="str">
        <v>纽约市场；1941仅上半年报价，1942–1945原表无值。</v>
      </c>
      <c r="L153" s="2234" t="str">
        <v>原报价已按 1 美元兑换本币表示。</v>
      </c>
      <c r="M153" s="2234" t="str">
        <v>1930|瑞士法郎（CHF）</v>
      </c>
      <c r="N153" s="2234" t="str">
        <v>瑞士法郎（CHF）</v>
      </c>
      <c r="O153" s="2239" t="n">
        <v>5.1594</v>
      </c>
      <c r="P153" s="2234" t="str">
        <v>LCU/USD</v>
      </c>
      <c r="Q153" s="2239" t="n">
        <v>1</v>
      </c>
      <c r="R153" s="2234" t="str">
        <v>B：学术历史汇编</v>
      </c>
      <c r="S153" s="2234" t="str">
        <v>年度汇率!I16；原始记录!A104:M104</v>
      </c>
      <c r="T153" s="2234" t="str"/>
      <c r="U153" t="n" s="2231">
        <v>1931</v>
      </c>
      <c r="V153" t="str" s="2231">
        <v>帝国马克（Reichsmark）</v>
      </c>
    </row>
    <row r="154" ht="15.0" customHeight="1">
      <c r="A154" s="2234" t="n">
        <v>1930</v>
      </c>
      <c r="B154" s="2234" t="str">
        <v>INR</v>
      </c>
      <c r="C154" s="2234" t="str">
        <v>英属印度卢比</v>
      </c>
      <c r="D154" s="2234" t="str">
        <v>可用</v>
      </c>
      <c r="E154" s="2238" t="n">
        <v>2.77</v>
      </c>
      <c r="F154" s="2234" t="str">
        <v>年均</v>
      </c>
      <c r="G154" s="2234" t="str">
        <v>MeasuringWorth：印度年均汇率</v>
      </c>
      <c r="H154" s="2234" t="str">
        <v>https://www.measuringworth.com/datasets/exchangeglobal/result.php?countryE%5B%5D=India&amp;year_result=1948&amp;year_source=1916</v>
      </c>
      <c r="I154" s="2234" t="str">
        <v>1930-01-01—1930-12-31</v>
      </c>
      <c r="J154" s="2234" t="str">
        <v>historical_exchange_rates_1920_2026.xlsx</v>
      </c>
      <c r="K154" s="2234" t="str">
        <v>英属印度／印度卢比；保留原表精度。</v>
      </c>
      <c r="L154" s="2234" t="str">
        <v>原报价已按 1 美元兑换本币表示。</v>
      </c>
      <c r="M154" s="2234" t="str">
        <v>1930|英属印度卢比</v>
      </c>
      <c r="N154" s="2234" t="str">
        <v>英属印度卢比</v>
      </c>
      <c r="O154" s="2239" t="n">
        <v>2.77</v>
      </c>
      <c r="P154" s="2234" t="str">
        <v>LCU/USD</v>
      </c>
      <c r="Q154" s="2239" t="n">
        <v>1</v>
      </c>
      <c r="R154" s="2234" t="str">
        <v>B：学术历史汇编</v>
      </c>
      <c r="S154" s="2234" t="str">
        <v>年度汇率!J16；原始记录!A105:M105</v>
      </c>
      <c r="T154" s="2234" t="str"/>
      <c r="U154" t="n" s="2231">
        <v>1931</v>
      </c>
      <c r="V154" t="str" s="2231">
        <v>意大利里拉（ITL）</v>
      </c>
    </row>
    <row r="155" ht="48.0" customHeight="1">
      <c r="A155" s="2234" t="n">
        <v>1930</v>
      </c>
      <c r="B155" s="2234" t="str">
        <v>SUR_1924</v>
      </c>
      <c r="C155" s="2234" t="str">
        <v>苏联卢布（1924币制）</v>
      </c>
      <c r="D155" s="2234" t="str">
        <v>可用</v>
      </c>
      <c r="E155" s="2238" t="n">
        <v>1.9434</v>
      </c>
      <c r="F155" s="2234" t="str">
        <v>官价区间参考（非年均）</v>
      </c>
      <c r="G155" s="2234" t="str">
        <v>苏联卢布历史官价表（Wikipedia转引俄央行历史档案）</v>
      </c>
      <c r="H155" s="2234" t="str">
        <v>https://en.wikipedia.org/wiki/Soviet_ruble#Exchange_rates</v>
      </c>
      <c r="I155" s="2234" t="str">
        <v>1928-02-01—1933-04-01</v>
      </c>
      <c r="J155" s="2234" t="str">
        <v>historical_exchange_rates_1920_2026.xlsx</v>
      </c>
      <c r="K155"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155" s="2234" t="str">
        <v>原报价已按 1 美元兑换本币表示。</v>
      </c>
      <c r="M155" s="2234" t="str">
        <v>1930|苏联卢布（1924币制）</v>
      </c>
      <c r="N155" s="2234" t="str">
        <v>苏联卢布（1924币制）</v>
      </c>
      <c r="O155" s="2239" t="n">
        <v>1.9434</v>
      </c>
      <c r="P155" s="2234" t="str">
        <v>LCU/USD</v>
      </c>
      <c r="Q155" s="2239" t="n">
        <v>1</v>
      </c>
      <c r="R155" s="2234" t="str">
        <v>C：二手转引（原档未复核）</v>
      </c>
      <c r="S155" s="2234" t="str">
        <v>年度汇率!K16；原始记录!A106:M106</v>
      </c>
      <c r="T155" s="2234" t="str">
        <v>官价参考，并非市场年均汇率</v>
      </c>
      <c r="U155" t="n" s="2231">
        <v>1931</v>
      </c>
      <c r="V155" t="str" s="2231">
        <v>日元（JPY）</v>
      </c>
    </row>
    <row r="156" ht="48.0" customHeight="1">
      <c r="A156" s="2234" t="n">
        <v>1930</v>
      </c>
      <c r="B156" s="2234" t="str">
        <v>CN_SILVER_OLD</v>
      </c>
      <c r="C156" s="2234" t="str">
        <v>中国旧银元（元）</v>
      </c>
      <c r="D156" s="2234" t="str">
        <v>可用</v>
      </c>
      <c r="E156" s="2238" t="n">
        <v>3.342625833149489</v>
      </c>
      <c r="F156" s="2234" t="str">
        <v>年均</v>
      </c>
      <c r="G156" s="2234" t="str">
        <v>美联储《Banking and Monetary Statistics 1914—1941》表173，中国，印刷页667</v>
      </c>
      <c r="H156" s="2234" t="str">
        <v>https://fraser.stlouisfed.org/title/banking-monetary-statistics-1914-1941-38/part-i-6408/fulltext</v>
      </c>
      <c r="I156" s="2234" t="str">
        <v>1930-01-01—1930-12-31</v>
      </c>
      <c r="J156" s="2234" t="str">
        <v>historical_exchange_rates_1920_2026.xlsx</v>
      </c>
      <c r="K156" s="2234" t="str">
        <v>纽约报价；100÷美分年均报价；不同币制年份单位见实际币名表，并非全国统一零售兑换价。 反向值由原报价均值取倒数；不等于反向日度汇率的算术平均。
原表日度报价的年均值，单位：美分／中国货币单位。1920—21上海两；1922—32旧银元；1933年4月10日起新元；1935年币制过渡；1936—41法币。</v>
      </c>
      <c r="L156" s="2234" t="str">
        <v>原报价为每单位本币兑美元，取原报价均值的倒数；不等于反向日度汇率的算术平均。乘以 100，还原当年币制的计价单位。</v>
      </c>
      <c r="M156" s="2234" t="str">
        <v>1930|中国旧银元（元）</v>
      </c>
      <c r="N156" s="2234" t="str">
        <v>中国旧银元（元）</v>
      </c>
      <c r="O156" s="2239" t="n">
        <v>29.9166</v>
      </c>
      <c r="P156" s="2234" t="str">
        <v>US cents/LCU</v>
      </c>
      <c r="Q156" s="2239" t="n">
        <v>100</v>
      </c>
      <c r="R156" s="2234" t="str">
        <v>A：机构统计／原始统计表</v>
      </c>
      <c r="S156" s="2234" t="str">
        <v>年度汇率!L16；原始记录!A107:M107</v>
      </c>
      <c r="T156" s="2234" t="str"/>
      <c r="U156" t="n" s="2231">
        <v>1931</v>
      </c>
      <c r="V156" t="str" s="2231">
        <v>瑞士法郎（CHF）</v>
      </c>
    </row>
    <row r="157" ht="15.0" customHeight="1">
      <c r="A157" s="2234" t="n">
        <v>1931</v>
      </c>
      <c r="B157" s="2234" t="str">
        <v>USD</v>
      </c>
      <c r="C157" s="2234" t="str">
        <v>美元（USD）</v>
      </c>
      <c r="D157" s="2234" t="str">
        <v>可用</v>
      </c>
      <c r="E157" s="2238" t="n">
        <v>1</v>
      </c>
      <c r="F157" s="2234" t="str">
        <v>基准恒等</v>
      </c>
      <c r="G157" s="2234" t="str">
        <v>用户提供的历史汇率表</v>
      </c>
      <c r="H157" s="2234" t="str"/>
      <c r="I157" s="2234" t="str">
        <v>1931</v>
      </c>
      <c r="J157" s="2234" t="str">
        <v>historical_exchange_rates_1920_2026.xlsx</v>
      </c>
      <c r="K157" s="2234" t="str">
        <v>1 美元等于 1 美元，无外部报价。</v>
      </c>
      <c r="L157" s="2234" t="str">
        <v>美元基准，汇率恒为 1。</v>
      </c>
      <c r="M157" s="2234" t="str">
        <v>1931|美元（USD）</v>
      </c>
      <c r="N157" s="2234" t="str">
        <v>美元（USD）</v>
      </c>
      <c r="O157" s="2239"/>
      <c r="P157" s="2234" t="str"/>
      <c r="Q157" s="2239"/>
      <c r="R157" s="2234" t="str"/>
      <c r="S157" s="2234" t="str">
        <v>年度汇率!B17</v>
      </c>
      <c r="T157" s="2234" t="str"/>
      <c r="U157" t="n" s="2231">
        <v>1931</v>
      </c>
      <c r="V157" t="str" s="2231">
        <v>英属印度卢比</v>
      </c>
    </row>
    <row r="158" ht="15.0" customHeight="1">
      <c r="A158" s="2234" t="n">
        <v>1931</v>
      </c>
      <c r="B158" s="2234" t="str">
        <v>GBP</v>
      </c>
      <c r="C158" s="2234" t="str">
        <v>英镑（GBP）</v>
      </c>
      <c r="D158" s="2234" t="str">
        <v>可用</v>
      </c>
      <c r="E158" s="2238" t="n">
        <v>0.2205</v>
      </c>
      <c r="F158" s="2234" t="str">
        <v>年均</v>
      </c>
      <c r="G158" s="2234" t="str">
        <v>MeasuringWorth：英镑／美元年度历史汇率</v>
      </c>
      <c r="H158" s="2234" t="str">
        <v>https://www.measuringworth.com/datasets/exchangeglobal/result.php?countryE%5B%5D=United+Kingdom&amp;year_result=2007&amp;year_source=1791</v>
      </c>
      <c r="I158" s="2234" t="str">
        <v>1931-01-01—1931-12-31</v>
      </c>
      <c r="J158" s="2234" t="str">
        <v>historical_exchange_rates_1920_2026.xlsx</v>
      </c>
      <c r="K158" s="2234" t="str">
        <v>年度汇率，本币／美元；1920—1949。</v>
      </c>
      <c r="L158" s="2234" t="str">
        <v>原报价已按 1 美元兑换本币表示。</v>
      </c>
      <c r="M158" s="2234" t="str">
        <v>1931|英镑（GBP）</v>
      </c>
      <c r="N158" s="2234" t="str">
        <v>英镑（GBP）</v>
      </c>
      <c r="O158" s="2239" t="n">
        <v>0.2205</v>
      </c>
      <c r="P158" s="2234" t="str">
        <v>LCU/USD</v>
      </c>
      <c r="Q158" s="2239" t="n">
        <v>1</v>
      </c>
      <c r="R158" s="2234" t="str">
        <v>B：学术历史汇编</v>
      </c>
      <c r="S158" s="2234" t="str">
        <v>年度汇率!C17；原始记录!A108:M108</v>
      </c>
      <c r="T158" s="2234" t="str"/>
      <c r="U158" t="n" s="2231">
        <v>1931</v>
      </c>
      <c r="V158" t="str" s="2231">
        <v>苏联卢布（1924币制）</v>
      </c>
    </row>
    <row r="159" ht="15.0" customHeight="1">
      <c r="A159" s="2234" t="n">
        <v>1931</v>
      </c>
      <c r="B159" s="2234" t="str">
        <v>CAD</v>
      </c>
      <c r="C159" s="2234" t="str">
        <v>加拿大元（CAD）</v>
      </c>
      <c r="D159" s="2234" t="str">
        <v>可用</v>
      </c>
      <c r="E159" s="2238" t="n">
        <v>1.038</v>
      </c>
      <c r="F159" s="2234" t="str">
        <v>年均</v>
      </c>
      <c r="G159" s="2234" t="str">
        <v>Lawrence H. Officer / MeasuringWorth：加拿大元</v>
      </c>
      <c r="H159" s="2234" t="str">
        <v>https://www.measuringworth.com/datasets/exchangeglobal/result.php?countryE%5B%5D=Canada&amp;year_result=2007&amp;year_source=1913</v>
      </c>
      <c r="I159" s="2234" t="str">
        <v>1931-01-01—1931-12-31</v>
      </c>
      <c r="J159" s="2234" t="str">
        <v>historical_exchange_rates_1920_2026.xlsx</v>
      </c>
      <c r="K159" s="2234" t="str">
        <v>纽约市场年度报价；1942—1945缺失。</v>
      </c>
      <c r="L159" s="2234" t="str">
        <v>原报价已按 1 美元兑换本币表示。</v>
      </c>
      <c r="M159" s="2234" t="str">
        <v>1931|加拿大元（CAD）</v>
      </c>
      <c r="N159" s="2234" t="str">
        <v>加拿大元（CAD）</v>
      </c>
      <c r="O159" s="2239" t="n">
        <v>1.038</v>
      </c>
      <c r="P159" s="2234" t="str">
        <v>LCU/USD</v>
      </c>
      <c r="Q159" s="2239" t="n">
        <v>1</v>
      </c>
      <c r="R159" s="2234" t="str">
        <v>B：学术历史汇编</v>
      </c>
      <c r="S159" s="2234" t="str">
        <v>年度汇率!D17；原始记录!A109:M109</v>
      </c>
      <c r="T159" s="2234" t="str"/>
      <c r="U159" t="n" s="2231">
        <v>1931</v>
      </c>
      <c r="V159" t="str" s="2231">
        <v>中国旧银元（元）</v>
      </c>
    </row>
    <row r="160" ht="15.0" customHeight="1">
      <c r="A160" s="2234" t="n">
        <v>1931</v>
      </c>
      <c r="B160" s="2234" t="str">
        <v>FRF_OLD</v>
      </c>
      <c r="C160" s="2234" t="str">
        <v>法国旧法郎</v>
      </c>
      <c r="D160" s="2234" t="str">
        <v>可用</v>
      </c>
      <c r="E160" s="2238" t="n">
        <v>25.51</v>
      </c>
      <c r="F160" s="2234" t="str">
        <v>年均</v>
      </c>
      <c r="G160" s="2234" t="str">
        <v>MeasuringWorth：法国年均汇率</v>
      </c>
      <c r="H160" s="2234" t="str">
        <v>https://www.measuringworth.com/datasets/exchangeglobal/result.php?countryE%5B%5D=France&amp;year_result=1940&amp;year_source=1920</v>
      </c>
      <c r="I160" s="2234" t="str">
        <v>1931-01-01—1931-12-31</v>
      </c>
      <c r="J160" s="2234" t="str">
        <v>historical_exchange_rates_1920_2026.xlsx</v>
      </c>
      <c r="K160" s="2234" t="str">
        <v>纽约市场；1940仅至6月15日可用报价。</v>
      </c>
      <c r="L160" s="2234" t="str">
        <v>原报价已按 1 美元兑换本币表示。</v>
      </c>
      <c r="M160" s="2234" t="str">
        <v>1931|法国旧法郎</v>
      </c>
      <c r="N160" s="2234" t="str">
        <v>法国旧法郎</v>
      </c>
      <c r="O160" s="2239" t="n">
        <v>25.51</v>
      </c>
      <c r="P160" s="2234" t="str">
        <v>LCU/USD</v>
      </c>
      <c r="Q160" s="2239" t="n">
        <v>1</v>
      </c>
      <c r="R160" s="2234" t="str">
        <v>B：学术历史汇编</v>
      </c>
      <c r="S160" s="2234" t="str">
        <v>年度汇率!E17；原始记录!A110:M110</v>
      </c>
      <c r="T160" s="2234" t="str"/>
      <c r="U160" t="n" s="2231">
        <v>1932</v>
      </c>
      <c r="V160" t="str" s="2231">
        <v>美元（USD）</v>
      </c>
    </row>
    <row r="161" ht="24.0" customHeight="1">
      <c r="A161" s="2234" t="n">
        <v>1931</v>
      </c>
      <c r="B161" s="2234" t="str">
        <v>RM</v>
      </c>
      <c r="C161" s="2234" t="str">
        <v>帝国马克（Reichsmark）</v>
      </c>
      <c r="D161" s="2234" t="str">
        <v>可用</v>
      </c>
      <c r="E161" s="2238" t="n">
        <v>4.23</v>
      </c>
      <c r="F161" s="2234" t="str">
        <v>年均</v>
      </c>
      <c r="G161" s="2234" t="str">
        <v>Harold Marcuse / UCSB：德国，转载Officer年度表</v>
      </c>
      <c r="H161" s="2234" t="str">
        <v>https://marcuse.faculty.history.ucsb.edu/projects/currency.htm</v>
      </c>
      <c r="I161" s="2234" t="str">
        <v>1931-01-01—1931-12-31</v>
      </c>
      <c r="J161" s="2234" t="str">
        <v>historical_exchange_rates_1920_2026.xlsx</v>
      </c>
      <c r="K161" s="2234" t="str">
        <v>使用右侧annual avg.表，不使用左侧定点汇率；1923—1924数据有币改及倒数均值口径疑点，未采用。</v>
      </c>
      <c r="L161" s="2234" t="str">
        <v>原报价已按 1 美元兑换本币表示。</v>
      </c>
      <c r="M161" s="2234" t="str">
        <v>1931|帝国马克（Reichsmark）</v>
      </c>
      <c r="N161" s="2234" t="str">
        <v>帝国马克（Reichsmark）</v>
      </c>
      <c r="O161" s="2239" t="n">
        <v>4.23</v>
      </c>
      <c r="P161" s="2234" t="str">
        <v>LCU/USD</v>
      </c>
      <c r="Q161" s="2239" t="n">
        <v>1</v>
      </c>
      <c r="R161" s="2234" t="str">
        <v>B：大学页面转录</v>
      </c>
      <c r="S161" s="2234" t="str">
        <v>年度汇率!F17、年度汇率!M17；原始记录!A111:M111</v>
      </c>
      <c r="T161" s="2234" t="str"/>
      <c r="U161" t="n" s="2231">
        <v>1932</v>
      </c>
      <c r="V161" t="str" s="2231">
        <v>英镑（GBP）</v>
      </c>
    </row>
    <row r="162" ht="36.0" customHeight="1">
      <c r="A162" s="2234" t="n">
        <v>1931</v>
      </c>
      <c r="B162" s="2234" t="str">
        <v>ITL</v>
      </c>
      <c r="C162" s="2234" t="str">
        <v>意大利里拉（ITL）</v>
      </c>
      <c r="D162" s="2234" t="str">
        <v>可用</v>
      </c>
      <c r="E162" s="2238" t="n">
        <v>19.20749860745635</v>
      </c>
      <c r="F162" s="2234" t="str">
        <v>年均</v>
      </c>
      <c r="G162" s="2234" t="str">
        <v>美联储《Banking and Monetary Statistics 1914—1941》表173，意大利，印刷页673</v>
      </c>
      <c r="H162" s="2234" t="str">
        <v>https://fraser.stlouisfed.org/title/banking-monetary-statistics-1914-1941-38/part-i-6408/fulltext</v>
      </c>
      <c r="I162" s="2234" t="str">
        <v>1931-01-01—1931-12-31</v>
      </c>
      <c r="J162" s="2234" t="str">
        <v>historical_exchange_rates_1920_2026.xlsx</v>
      </c>
      <c r="K162" s="2234" t="str">
        <v>纽约报价；由美分／里拉的年均报价取倒数，非里拉／美元逐日均值。 反向值由原报价均值取倒数；不等于反向日度汇率的算术平均。
原表为日度报价的年平均，单位：美分／里拉；标准化为100÷原值。</v>
      </c>
      <c r="L162" s="2234" t="str">
        <v>原报价为每单位本币兑美元，取原报价均值的倒数；不等于反向日度汇率的算术平均。乘以 100，还原当年币制的计价单位。</v>
      </c>
      <c r="M162" s="2234" t="str">
        <v>1931|意大利里拉（ITL）</v>
      </c>
      <c r="N162" s="2234" t="str">
        <v>意大利里拉（ITL）</v>
      </c>
      <c r="O162" s="2239" t="n">
        <v>5.2063</v>
      </c>
      <c r="P162" s="2234" t="str">
        <v>US cents/LCU</v>
      </c>
      <c r="Q162" s="2239" t="n">
        <v>100</v>
      </c>
      <c r="R162" s="2234" t="str">
        <v>A：机构统计／原始统计表</v>
      </c>
      <c r="S162" s="2234" t="str">
        <v>年度汇率!G17；原始记录!A112:M112</v>
      </c>
      <c r="T162" s="2234" t="str"/>
      <c r="U162" t="n" s="2231">
        <v>1932</v>
      </c>
      <c r="V162" t="str" s="2231">
        <v>加拿大元（CAD）</v>
      </c>
    </row>
    <row r="163" ht="15.0" customHeight="1">
      <c r="A163" s="2234" t="n">
        <v>1931</v>
      </c>
      <c r="B163" s="2234" t="str">
        <v>JPY</v>
      </c>
      <c r="C163" s="2234" t="str">
        <v>日元（JPY）</v>
      </c>
      <c r="D163" s="2234" t="str">
        <v>可用</v>
      </c>
      <c r="E163" s="2238" t="n">
        <v>2.05</v>
      </c>
      <c r="F163" s="2234" t="str">
        <v>年均</v>
      </c>
      <c r="G163" s="2234" t="str">
        <v>MeasuringWorth：日本年均汇率</v>
      </c>
      <c r="H163" s="2234" t="str">
        <v>https://www.measuringworth.com/datasets/exchangeglobal/result.php?countryE%5B%5D=Japan&amp;year_result=2016&amp;year_source=1916</v>
      </c>
      <c r="I163" s="2234" t="str">
        <v>1931-01-01—1931-12-31</v>
      </c>
      <c r="J163" s="2234" t="str">
        <v>historical_exchange_rates_1920_2026.xlsx</v>
      </c>
      <c r="K163" s="2234" t="str">
        <v>以纽约市场年度平均报价为主；保留原表精度。</v>
      </c>
      <c r="L163" s="2234" t="str">
        <v>原报价已按 1 美元兑换本币表示。</v>
      </c>
      <c r="M163" s="2234" t="str">
        <v>1931|日元（JPY）</v>
      </c>
      <c r="N163" s="2234" t="str">
        <v>日元（JPY）</v>
      </c>
      <c r="O163" s="2239" t="n">
        <v>2.05</v>
      </c>
      <c r="P163" s="2234" t="str">
        <v>LCU/USD</v>
      </c>
      <c r="Q163" s="2239" t="n">
        <v>1</v>
      </c>
      <c r="R163" s="2234" t="str">
        <v>B：学术历史汇编</v>
      </c>
      <c r="S163" s="2234" t="str">
        <v>年度汇率!H17；原始记录!A113:M113</v>
      </c>
      <c r="T163" s="2234" t="str"/>
      <c r="U163" t="n" s="2231">
        <v>1932</v>
      </c>
      <c r="V163" t="str" s="2231">
        <v>法国旧法郎</v>
      </c>
    </row>
    <row r="164" ht="15.0" customHeight="1">
      <c r="A164" s="2234" t="n">
        <v>1931</v>
      </c>
      <c r="B164" s="2234" t="str">
        <v>CHF</v>
      </c>
      <c r="C164" s="2234" t="str">
        <v>瑞士法郎（CHF）</v>
      </c>
      <c r="D164" s="2234" t="str">
        <v>可用</v>
      </c>
      <c r="E164" s="2238" t="n">
        <v>5.1544</v>
      </c>
      <c r="F164" s="2234" t="str">
        <v>年均</v>
      </c>
      <c r="G164" s="2234" t="str">
        <v>MeasuringWorth：瑞士年均汇率</v>
      </c>
      <c r="H164" s="2234" t="str">
        <v>https://www.measuringworth.com/datasets/exchangeglobal/result.php?countryE%5B%5D=Switzerland&amp;year_result=1955&amp;year_source=1905</v>
      </c>
      <c r="I164" s="2234" t="str">
        <v>1931-01-01—1931-12-31</v>
      </c>
      <c r="J164" s="2234" t="str">
        <v>historical_exchange_rates_1920_2026.xlsx</v>
      </c>
      <c r="K164" s="2234" t="str">
        <v>纽约市场；1941仅上半年报价，1942–1945原表无值。</v>
      </c>
      <c r="L164" s="2234" t="str">
        <v>原报价已按 1 美元兑换本币表示。</v>
      </c>
      <c r="M164" s="2234" t="str">
        <v>1931|瑞士法郎（CHF）</v>
      </c>
      <c r="N164" s="2234" t="str">
        <v>瑞士法郎（CHF）</v>
      </c>
      <c r="O164" s="2239" t="n">
        <v>5.1544</v>
      </c>
      <c r="P164" s="2234" t="str">
        <v>LCU/USD</v>
      </c>
      <c r="Q164" s="2239" t="n">
        <v>1</v>
      </c>
      <c r="R164" s="2234" t="str">
        <v>B：学术历史汇编</v>
      </c>
      <c r="S164" s="2234" t="str">
        <v>年度汇率!I17；原始记录!A114:M114</v>
      </c>
      <c r="T164" s="2234" t="str"/>
      <c r="U164" t="n" s="2231">
        <v>1932</v>
      </c>
      <c r="V164" t="str" s="2231">
        <v>帝国马克（Reichsmark）</v>
      </c>
    </row>
    <row r="165" ht="15.0" customHeight="1">
      <c r="A165" s="2234" t="n">
        <v>1931</v>
      </c>
      <c r="B165" s="2234" t="str">
        <v>INR</v>
      </c>
      <c r="C165" s="2234" t="str">
        <v>英属印度卢比</v>
      </c>
      <c r="D165" s="2234" t="str">
        <v>可用</v>
      </c>
      <c r="E165" s="2238" t="n">
        <v>2.97</v>
      </c>
      <c r="F165" s="2234" t="str">
        <v>年均</v>
      </c>
      <c r="G165" s="2234" t="str">
        <v>MeasuringWorth：印度年均汇率</v>
      </c>
      <c r="H165" s="2234" t="str">
        <v>https://www.measuringworth.com/datasets/exchangeglobal/result.php?countryE%5B%5D=India&amp;year_result=1948&amp;year_source=1916</v>
      </c>
      <c r="I165" s="2234" t="str">
        <v>1931-01-01—1931-12-31</v>
      </c>
      <c r="J165" s="2234" t="str">
        <v>historical_exchange_rates_1920_2026.xlsx</v>
      </c>
      <c r="K165" s="2234" t="str">
        <v>英属印度／印度卢比；保留原表精度。</v>
      </c>
      <c r="L165" s="2234" t="str">
        <v>原报价已按 1 美元兑换本币表示。</v>
      </c>
      <c r="M165" s="2234" t="str">
        <v>1931|英属印度卢比</v>
      </c>
      <c r="N165" s="2234" t="str">
        <v>英属印度卢比</v>
      </c>
      <c r="O165" s="2239" t="n">
        <v>2.97</v>
      </c>
      <c r="P165" s="2234" t="str">
        <v>LCU/USD</v>
      </c>
      <c r="Q165" s="2239" t="n">
        <v>1</v>
      </c>
      <c r="R165" s="2234" t="str">
        <v>B：学术历史汇编</v>
      </c>
      <c r="S165" s="2234" t="str">
        <v>年度汇率!J17；原始记录!A115:M115</v>
      </c>
      <c r="T165" s="2234" t="str"/>
      <c r="U165" t="n" s="2231">
        <v>1932</v>
      </c>
      <c r="V165" t="str" s="2231">
        <v>意大利里拉（ITL）</v>
      </c>
    </row>
    <row r="166" ht="48.0" customHeight="1">
      <c r="A166" s="2234" t="n">
        <v>1931</v>
      </c>
      <c r="B166" s="2234" t="str">
        <v>SUR_1924</v>
      </c>
      <c r="C166" s="2234" t="str">
        <v>苏联卢布（1924币制）</v>
      </c>
      <c r="D166" s="2234" t="str">
        <v>可用</v>
      </c>
      <c r="E166" s="2238" t="n">
        <v>1.9434</v>
      </c>
      <c r="F166" s="2234" t="str">
        <v>官价区间参考（非年均）</v>
      </c>
      <c r="G166" s="2234" t="str">
        <v>苏联卢布历史官价表（Wikipedia转引俄央行历史档案）</v>
      </c>
      <c r="H166" s="2234" t="str">
        <v>https://en.wikipedia.org/wiki/Soviet_ruble#Exchange_rates</v>
      </c>
      <c r="I166" s="2234" t="str">
        <v>1928-02-01—1933-04-01</v>
      </c>
      <c r="J166" s="2234" t="str">
        <v>historical_exchange_rates_1920_2026.xlsx</v>
      </c>
      <c r="K166"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166" s="2234" t="str">
        <v>原报价已按 1 美元兑换本币表示。</v>
      </c>
      <c r="M166" s="2234" t="str">
        <v>1931|苏联卢布（1924币制）</v>
      </c>
      <c r="N166" s="2234" t="str">
        <v>苏联卢布（1924币制）</v>
      </c>
      <c r="O166" s="2239" t="n">
        <v>1.9434</v>
      </c>
      <c r="P166" s="2234" t="str">
        <v>LCU/USD</v>
      </c>
      <c r="Q166" s="2239" t="n">
        <v>1</v>
      </c>
      <c r="R166" s="2234" t="str">
        <v>C：二手转引（原档未复核）</v>
      </c>
      <c r="S166" s="2234" t="str">
        <v>年度汇率!K17；原始记录!A116:M116</v>
      </c>
      <c r="T166" s="2234" t="str">
        <v>官价参考，并非市场年均汇率</v>
      </c>
      <c r="U166" t="n" s="2231">
        <v>1932</v>
      </c>
      <c r="V166" t="str" s="2231">
        <v>日元（JPY）</v>
      </c>
    </row>
    <row r="167" ht="48.0" customHeight="1">
      <c r="A167" s="2234" t="n">
        <v>1931</v>
      </c>
      <c r="B167" s="2234" t="str">
        <v>CN_SILVER_OLD</v>
      </c>
      <c r="C167" s="2234" t="str">
        <v>中国旧银元（元）</v>
      </c>
      <c r="D167" s="2234" t="str">
        <v>可用</v>
      </c>
      <c r="E167" s="2238" t="n">
        <v>4.4569436954302954</v>
      </c>
      <c r="F167" s="2234" t="str">
        <v>年均</v>
      </c>
      <c r="G167" s="2234" t="str">
        <v>美联储《Banking and Monetary Statistics 1914—1941》表173，中国，印刷页667</v>
      </c>
      <c r="H167" s="2234" t="str">
        <v>https://fraser.stlouisfed.org/title/banking-monetary-statistics-1914-1941-38/part-i-6408/fulltext</v>
      </c>
      <c r="I167" s="2234" t="str">
        <v>1931-01-01—1931-12-31</v>
      </c>
      <c r="J167" s="2234" t="str">
        <v>historical_exchange_rates_1920_2026.xlsx</v>
      </c>
      <c r="K167" s="2234" t="str">
        <v>纽约报价；100÷美分年均报价；不同币制年份单位见实际币名表，并非全国统一零售兑换价。 反向值由原报价均值取倒数；不等于反向日度汇率的算术平均。
原表日度报价的年均值，单位：美分／中国货币单位。1920—21上海两；1922—32旧银元；1933年4月10日起新元；1935年币制过渡；1936—41法币。</v>
      </c>
      <c r="L167" s="2234" t="str">
        <v>原报价为每单位本币兑美元，取原报价均值的倒数；不等于反向日度汇率的算术平均。乘以 100，还原当年币制的计价单位。</v>
      </c>
      <c r="M167" s="2234" t="str">
        <v>1931|中国旧银元（元）</v>
      </c>
      <c r="N167" s="2234" t="str">
        <v>中国旧银元（元）</v>
      </c>
      <c r="O167" s="2239" t="n">
        <v>22.4369</v>
      </c>
      <c r="P167" s="2234" t="str">
        <v>US cents/LCU</v>
      </c>
      <c r="Q167" s="2239" t="n">
        <v>100</v>
      </c>
      <c r="R167" s="2234" t="str">
        <v>A：机构统计／原始统计表</v>
      </c>
      <c r="S167" s="2234" t="str">
        <v>年度汇率!L17；原始记录!A117:M117</v>
      </c>
      <c r="T167" s="2234" t="str"/>
      <c r="U167" t="n" s="2231">
        <v>1932</v>
      </c>
      <c r="V167" t="str" s="2231">
        <v>瑞士法郎（CHF）</v>
      </c>
    </row>
    <row r="168" ht="15.0" customHeight="1">
      <c r="A168" s="2234" t="n">
        <v>1932</v>
      </c>
      <c r="B168" s="2234" t="str">
        <v>USD</v>
      </c>
      <c r="C168" s="2234" t="str">
        <v>美元（USD）</v>
      </c>
      <c r="D168" s="2234" t="str">
        <v>可用</v>
      </c>
      <c r="E168" s="2238" t="n">
        <v>1</v>
      </c>
      <c r="F168" s="2234" t="str">
        <v>基准恒等</v>
      </c>
      <c r="G168" s="2234" t="str">
        <v>用户提供的历史汇率表</v>
      </c>
      <c r="H168" s="2234" t="str"/>
      <c r="I168" s="2234" t="str">
        <v>1932</v>
      </c>
      <c r="J168" s="2234" t="str">
        <v>historical_exchange_rates_1920_2026.xlsx</v>
      </c>
      <c r="K168" s="2234" t="str">
        <v>1 美元等于 1 美元，无外部报价。</v>
      </c>
      <c r="L168" s="2234" t="str">
        <v>美元基准，汇率恒为 1。</v>
      </c>
      <c r="M168" s="2234" t="str">
        <v>1932|美元（USD）</v>
      </c>
      <c r="N168" s="2234" t="str">
        <v>美元（USD）</v>
      </c>
      <c r="O168" s="2239"/>
      <c r="P168" s="2234" t="str"/>
      <c r="Q168" s="2239"/>
      <c r="R168" s="2234" t="str"/>
      <c r="S168" s="2234" t="str">
        <v>年度汇率!B18</v>
      </c>
      <c r="T168" s="2234" t="str"/>
      <c r="U168" t="n" s="2231">
        <v>1932</v>
      </c>
      <c r="V168" t="str" s="2231">
        <v>英属印度卢比</v>
      </c>
    </row>
    <row r="169" ht="15.0" customHeight="1">
      <c r="A169" s="2234" t="n">
        <v>1932</v>
      </c>
      <c r="B169" s="2234" t="str">
        <v>GBP</v>
      </c>
      <c r="C169" s="2234" t="str">
        <v>英镑（GBP）</v>
      </c>
      <c r="D169" s="2234" t="str">
        <v>可用</v>
      </c>
      <c r="E169" s="2238" t="n">
        <v>0.2852</v>
      </c>
      <c r="F169" s="2234" t="str">
        <v>年均</v>
      </c>
      <c r="G169" s="2234" t="str">
        <v>MeasuringWorth：英镑／美元年度历史汇率</v>
      </c>
      <c r="H169" s="2234" t="str">
        <v>https://www.measuringworth.com/datasets/exchangeglobal/result.php?countryE%5B%5D=United+Kingdom&amp;year_result=2007&amp;year_source=1791</v>
      </c>
      <c r="I169" s="2234" t="str">
        <v>1932-01-01—1932-12-31</v>
      </c>
      <c r="J169" s="2234" t="str">
        <v>historical_exchange_rates_1920_2026.xlsx</v>
      </c>
      <c r="K169" s="2234" t="str">
        <v>年度汇率，本币／美元；1920—1949。</v>
      </c>
      <c r="L169" s="2234" t="str">
        <v>原报价已按 1 美元兑换本币表示。</v>
      </c>
      <c r="M169" s="2234" t="str">
        <v>1932|英镑（GBP）</v>
      </c>
      <c r="N169" s="2234" t="str">
        <v>英镑（GBP）</v>
      </c>
      <c r="O169" s="2239" t="n">
        <v>0.2852</v>
      </c>
      <c r="P169" s="2234" t="str">
        <v>LCU/USD</v>
      </c>
      <c r="Q169" s="2239" t="n">
        <v>1</v>
      </c>
      <c r="R169" s="2234" t="str">
        <v>B：学术历史汇编</v>
      </c>
      <c r="S169" s="2234" t="str">
        <v>年度汇率!C18；原始记录!A118:M118</v>
      </c>
      <c r="T169" s="2234" t="str"/>
      <c r="U169" t="n" s="2231">
        <v>1932</v>
      </c>
      <c r="V169" t="str" s="2231">
        <v>苏联卢布（1924币制）</v>
      </c>
    </row>
    <row r="170" ht="15.0" customHeight="1">
      <c r="A170" s="2234" t="n">
        <v>1932</v>
      </c>
      <c r="B170" s="2234" t="str">
        <v>CAD</v>
      </c>
      <c r="C170" s="2234" t="str">
        <v>加拿大元（CAD）</v>
      </c>
      <c r="D170" s="2234" t="str">
        <v>可用</v>
      </c>
      <c r="E170" s="2238" t="n">
        <v>1.135</v>
      </c>
      <c r="F170" s="2234" t="str">
        <v>年均</v>
      </c>
      <c r="G170" s="2234" t="str">
        <v>Lawrence H. Officer / MeasuringWorth：加拿大元</v>
      </c>
      <c r="H170" s="2234" t="str">
        <v>https://www.measuringworth.com/datasets/exchangeglobal/result.php?countryE%5B%5D=Canada&amp;year_result=2007&amp;year_source=1913</v>
      </c>
      <c r="I170" s="2234" t="str">
        <v>1932-01-01—1932-12-31</v>
      </c>
      <c r="J170" s="2234" t="str">
        <v>historical_exchange_rates_1920_2026.xlsx</v>
      </c>
      <c r="K170" s="2234" t="str">
        <v>纽约市场年度报价；1942—1945缺失。</v>
      </c>
      <c r="L170" s="2234" t="str">
        <v>原报价已按 1 美元兑换本币表示。</v>
      </c>
      <c r="M170" s="2234" t="str">
        <v>1932|加拿大元（CAD）</v>
      </c>
      <c r="N170" s="2234" t="str">
        <v>加拿大元（CAD）</v>
      </c>
      <c r="O170" s="2239" t="n">
        <v>1.135</v>
      </c>
      <c r="P170" s="2234" t="str">
        <v>LCU/USD</v>
      </c>
      <c r="Q170" s="2239" t="n">
        <v>1</v>
      </c>
      <c r="R170" s="2234" t="str">
        <v>B：学术历史汇编</v>
      </c>
      <c r="S170" s="2234" t="str">
        <v>年度汇率!D18；原始记录!A119:M119</v>
      </c>
      <c r="T170" s="2234" t="str"/>
      <c r="U170" t="n" s="2231">
        <v>1932</v>
      </c>
      <c r="V170" t="str" s="2231">
        <v>中国旧银元（元）</v>
      </c>
    </row>
    <row r="171" ht="15.0" customHeight="1">
      <c r="A171" s="2234" t="n">
        <v>1932</v>
      </c>
      <c r="B171" s="2234" t="str">
        <v>FRF_OLD</v>
      </c>
      <c r="C171" s="2234" t="str">
        <v>法国旧法郎</v>
      </c>
      <c r="D171" s="2234" t="str">
        <v>可用</v>
      </c>
      <c r="E171" s="2238" t="n">
        <v>25.461</v>
      </c>
      <c r="F171" s="2234" t="str">
        <v>年均</v>
      </c>
      <c r="G171" s="2234" t="str">
        <v>MeasuringWorth：法国年均汇率</v>
      </c>
      <c r="H171" s="2234" t="str">
        <v>https://www.measuringworth.com/datasets/exchangeglobal/result.php?countryE%5B%5D=France&amp;year_result=1940&amp;year_source=1920</v>
      </c>
      <c r="I171" s="2234" t="str">
        <v>1932-01-01—1932-12-31</v>
      </c>
      <c r="J171" s="2234" t="str">
        <v>historical_exchange_rates_1920_2026.xlsx</v>
      </c>
      <c r="K171" s="2234" t="str">
        <v>纽约市场；1940仅至6月15日可用报价。</v>
      </c>
      <c r="L171" s="2234" t="str">
        <v>原报价已按 1 美元兑换本币表示。</v>
      </c>
      <c r="M171" s="2234" t="str">
        <v>1932|法国旧法郎</v>
      </c>
      <c r="N171" s="2234" t="str">
        <v>法国旧法郎</v>
      </c>
      <c r="O171" s="2239" t="n">
        <v>25.461</v>
      </c>
      <c r="P171" s="2234" t="str">
        <v>LCU/USD</v>
      </c>
      <c r="Q171" s="2239" t="n">
        <v>1</v>
      </c>
      <c r="R171" s="2234" t="str">
        <v>B：学术历史汇编</v>
      </c>
      <c r="S171" s="2234" t="str">
        <v>年度汇率!E18；原始记录!A120:M120</v>
      </c>
      <c r="T171" s="2234" t="str"/>
      <c r="U171" t="n" s="2231">
        <v>1933</v>
      </c>
      <c r="V171" t="str" s="2231">
        <v>美元（USD）</v>
      </c>
    </row>
    <row r="172" ht="24.0" customHeight="1">
      <c r="A172" s="2234" t="n">
        <v>1932</v>
      </c>
      <c r="B172" s="2234" t="str">
        <v>RM</v>
      </c>
      <c r="C172" s="2234" t="str">
        <v>帝国马克（Reichsmark）</v>
      </c>
      <c r="D172" s="2234" t="str">
        <v>可用</v>
      </c>
      <c r="E172" s="2238" t="n">
        <v>4.21</v>
      </c>
      <c r="F172" s="2234" t="str">
        <v>年均</v>
      </c>
      <c r="G172" s="2234" t="str">
        <v>Harold Marcuse / UCSB：德国，转载Officer年度表</v>
      </c>
      <c r="H172" s="2234" t="str">
        <v>https://marcuse.faculty.history.ucsb.edu/projects/currency.htm</v>
      </c>
      <c r="I172" s="2234" t="str">
        <v>1932-01-01—1932-12-31</v>
      </c>
      <c r="J172" s="2234" t="str">
        <v>historical_exchange_rates_1920_2026.xlsx</v>
      </c>
      <c r="K172" s="2234" t="str">
        <v>使用右侧annual avg.表，不使用左侧定点汇率；1923—1924数据有币改及倒数均值口径疑点，未采用。</v>
      </c>
      <c r="L172" s="2234" t="str">
        <v>原报价已按 1 美元兑换本币表示。</v>
      </c>
      <c r="M172" s="2234" t="str">
        <v>1932|帝国马克（Reichsmark）</v>
      </c>
      <c r="N172" s="2234" t="str">
        <v>帝国马克（Reichsmark）</v>
      </c>
      <c r="O172" s="2239" t="n">
        <v>4.21</v>
      </c>
      <c r="P172" s="2234" t="str">
        <v>LCU/USD</v>
      </c>
      <c r="Q172" s="2239" t="n">
        <v>1</v>
      </c>
      <c r="R172" s="2234" t="str">
        <v>B：大学页面转录</v>
      </c>
      <c r="S172" s="2234" t="str">
        <v>年度汇率!F18、年度汇率!M18；原始记录!A121:M121</v>
      </c>
      <c r="T172" s="2234" t="str"/>
      <c r="U172" t="n" s="2231">
        <v>1933</v>
      </c>
      <c r="V172" t="str" s="2231">
        <v>英镑（GBP）</v>
      </c>
    </row>
    <row r="173" ht="36.0" customHeight="1">
      <c r="A173" s="2234" t="n">
        <v>1932</v>
      </c>
      <c r="B173" s="2234" t="str">
        <v>ITL</v>
      </c>
      <c r="C173" s="2234" t="str">
        <v>意大利里拉（ITL）</v>
      </c>
      <c r="D173" s="2234" t="str">
        <v>可用</v>
      </c>
      <c r="E173" s="2238" t="n">
        <v>19.511053011531033</v>
      </c>
      <c r="F173" s="2234" t="str">
        <v>年均</v>
      </c>
      <c r="G173" s="2234" t="str">
        <v>美联储《Banking and Monetary Statistics 1914—1941》表173，意大利，印刷页673</v>
      </c>
      <c r="H173" s="2234" t="str">
        <v>https://fraser.stlouisfed.org/title/banking-monetary-statistics-1914-1941-38/part-i-6408/fulltext</v>
      </c>
      <c r="I173" s="2234" t="str">
        <v>1932-01-01—1932-12-31</v>
      </c>
      <c r="J173" s="2234" t="str">
        <v>historical_exchange_rates_1920_2026.xlsx</v>
      </c>
      <c r="K173" s="2234" t="str">
        <v>纽约报价；由美分／里拉的年均报价取倒数，非里拉／美元逐日均值。 反向值由原报价均值取倒数；不等于反向日度汇率的算术平均。
原表为日度报价的年平均，单位：美分／里拉；标准化为100÷原值。</v>
      </c>
      <c r="L173" s="2234" t="str">
        <v>原报价为每单位本币兑美元，取原报价均值的倒数；不等于反向日度汇率的算术平均。乘以 100，还原当年币制的计价单位。</v>
      </c>
      <c r="M173" s="2234" t="str">
        <v>1932|意大利里拉（ITL）</v>
      </c>
      <c r="N173" s="2234" t="str">
        <v>意大利里拉（ITL）</v>
      </c>
      <c r="O173" s="2239" t="n">
        <v>5.1253</v>
      </c>
      <c r="P173" s="2234" t="str">
        <v>US cents/LCU</v>
      </c>
      <c r="Q173" s="2239" t="n">
        <v>100</v>
      </c>
      <c r="R173" s="2234" t="str">
        <v>A：机构统计／原始统计表</v>
      </c>
      <c r="S173" s="2234" t="str">
        <v>年度汇率!G18；原始记录!A122:M122</v>
      </c>
      <c r="T173" s="2234" t="str"/>
      <c r="U173" t="n" s="2231">
        <v>1933</v>
      </c>
      <c r="V173" t="str" s="2231">
        <v>加拿大元（CAD）</v>
      </c>
    </row>
    <row r="174" ht="15.0" customHeight="1">
      <c r="A174" s="2234" t="n">
        <v>1932</v>
      </c>
      <c r="B174" s="2234" t="str">
        <v>JPY</v>
      </c>
      <c r="C174" s="2234" t="str">
        <v>日元（JPY）</v>
      </c>
      <c r="D174" s="2234" t="str">
        <v>可用</v>
      </c>
      <c r="E174" s="2238" t="n">
        <v>3.56</v>
      </c>
      <c r="F174" s="2234" t="str">
        <v>年均</v>
      </c>
      <c r="G174" s="2234" t="str">
        <v>MeasuringWorth：日本年均汇率</v>
      </c>
      <c r="H174" s="2234" t="str">
        <v>https://www.measuringworth.com/datasets/exchangeglobal/result.php?countryE%5B%5D=Japan&amp;year_result=2016&amp;year_source=1916</v>
      </c>
      <c r="I174" s="2234" t="str">
        <v>1932-01-01—1932-12-31</v>
      </c>
      <c r="J174" s="2234" t="str">
        <v>historical_exchange_rates_1920_2026.xlsx</v>
      </c>
      <c r="K174" s="2234" t="str">
        <v>以纽约市场年度平均报价为主；保留原表精度。</v>
      </c>
      <c r="L174" s="2234" t="str">
        <v>原报价已按 1 美元兑换本币表示。</v>
      </c>
      <c r="M174" s="2234" t="str">
        <v>1932|日元（JPY）</v>
      </c>
      <c r="N174" s="2234" t="str">
        <v>日元（JPY）</v>
      </c>
      <c r="O174" s="2239" t="n">
        <v>3.56</v>
      </c>
      <c r="P174" s="2234" t="str">
        <v>LCU/USD</v>
      </c>
      <c r="Q174" s="2239" t="n">
        <v>1</v>
      </c>
      <c r="R174" s="2234" t="str">
        <v>B：学术历史汇编</v>
      </c>
      <c r="S174" s="2234" t="str">
        <v>年度汇率!H18；原始记录!A123:M123</v>
      </c>
      <c r="T174" s="2234" t="str"/>
      <c r="U174" t="n" s="2231">
        <v>1933</v>
      </c>
      <c r="V174" t="str" s="2231">
        <v>法国旧法郎</v>
      </c>
    </row>
    <row r="175" ht="15.0" customHeight="1">
      <c r="A175" s="2234" t="n">
        <v>1932</v>
      </c>
      <c r="B175" s="2234" t="str">
        <v>CHF</v>
      </c>
      <c r="C175" s="2234" t="str">
        <v>瑞士法郎（CHF）</v>
      </c>
      <c r="D175" s="2234" t="str">
        <v>可用</v>
      </c>
      <c r="E175" s="2238" t="n">
        <v>5.1533</v>
      </c>
      <c r="F175" s="2234" t="str">
        <v>年均</v>
      </c>
      <c r="G175" s="2234" t="str">
        <v>MeasuringWorth：瑞士年均汇率</v>
      </c>
      <c r="H175" s="2234" t="str">
        <v>https://www.measuringworth.com/datasets/exchangeglobal/result.php?countryE%5B%5D=Switzerland&amp;year_result=1955&amp;year_source=1905</v>
      </c>
      <c r="I175" s="2234" t="str">
        <v>1932-01-01—1932-12-31</v>
      </c>
      <c r="J175" s="2234" t="str">
        <v>historical_exchange_rates_1920_2026.xlsx</v>
      </c>
      <c r="K175" s="2234" t="str">
        <v>纽约市场；1941仅上半年报价，1942–1945原表无值。</v>
      </c>
      <c r="L175" s="2234" t="str">
        <v>原报价已按 1 美元兑换本币表示。</v>
      </c>
      <c r="M175" s="2234" t="str">
        <v>1932|瑞士法郎（CHF）</v>
      </c>
      <c r="N175" s="2234" t="str">
        <v>瑞士法郎（CHF）</v>
      </c>
      <c r="O175" s="2239" t="n">
        <v>5.1533</v>
      </c>
      <c r="P175" s="2234" t="str">
        <v>LCU/USD</v>
      </c>
      <c r="Q175" s="2239" t="n">
        <v>1</v>
      </c>
      <c r="R175" s="2234" t="str">
        <v>B：学术历史汇编</v>
      </c>
      <c r="S175" s="2234" t="str">
        <v>年度汇率!I18；原始记录!A124:M124</v>
      </c>
      <c r="T175" s="2234" t="str"/>
      <c r="U175" t="n" s="2231">
        <v>1933</v>
      </c>
      <c r="V175" t="str" s="2231">
        <v>帝国马克（Reichsmark）</v>
      </c>
    </row>
    <row r="176" ht="15.0" customHeight="1">
      <c r="A176" s="2234" t="n">
        <v>1932</v>
      </c>
      <c r="B176" s="2234" t="str">
        <v>INR</v>
      </c>
      <c r="C176" s="2234" t="str">
        <v>英属印度卢比</v>
      </c>
      <c r="D176" s="2234" t="str">
        <v>可用</v>
      </c>
      <c r="E176" s="2238" t="n">
        <v>3.8</v>
      </c>
      <c r="F176" s="2234" t="str">
        <v>年均</v>
      </c>
      <c r="G176" s="2234" t="str">
        <v>MeasuringWorth：印度年均汇率</v>
      </c>
      <c r="H176" s="2234" t="str">
        <v>https://www.measuringworth.com/datasets/exchangeglobal/result.php?countryE%5B%5D=India&amp;year_result=1948&amp;year_source=1916</v>
      </c>
      <c r="I176" s="2234" t="str">
        <v>1932-01-01—1932-12-31</v>
      </c>
      <c r="J176" s="2234" t="str">
        <v>historical_exchange_rates_1920_2026.xlsx</v>
      </c>
      <c r="K176" s="2234" t="str">
        <v>英属印度／印度卢比；保留原表精度。</v>
      </c>
      <c r="L176" s="2234" t="str">
        <v>原报价已按 1 美元兑换本币表示。</v>
      </c>
      <c r="M176" s="2234" t="str">
        <v>1932|英属印度卢比</v>
      </c>
      <c r="N176" s="2234" t="str">
        <v>英属印度卢比</v>
      </c>
      <c r="O176" s="2239" t="n">
        <v>3.8</v>
      </c>
      <c r="P176" s="2234" t="str">
        <v>LCU/USD</v>
      </c>
      <c r="Q176" s="2239" t="n">
        <v>1</v>
      </c>
      <c r="R176" s="2234" t="str">
        <v>B：学术历史汇编</v>
      </c>
      <c r="S176" s="2234" t="str">
        <v>年度汇率!J18；原始记录!A125:M125</v>
      </c>
      <c r="T176" s="2234" t="str"/>
      <c r="U176" t="n" s="2231">
        <v>1933</v>
      </c>
      <c r="V176" t="str" s="2231">
        <v>意大利里拉（ITL）</v>
      </c>
    </row>
    <row r="177" ht="48.0" customHeight="1">
      <c r="A177" s="2234" t="n">
        <v>1932</v>
      </c>
      <c r="B177" s="2234" t="str">
        <v>SUR_1924</v>
      </c>
      <c r="C177" s="2234" t="str">
        <v>苏联卢布（1924币制）</v>
      </c>
      <c r="D177" s="2234" t="str">
        <v>可用</v>
      </c>
      <c r="E177" s="2238" t="n">
        <v>1.9434</v>
      </c>
      <c r="F177" s="2234" t="str">
        <v>官价区间参考（非年均）</v>
      </c>
      <c r="G177" s="2234" t="str">
        <v>苏联卢布历史官价表（Wikipedia转引俄央行历史档案）</v>
      </c>
      <c r="H177" s="2234" t="str">
        <v>https://en.wikipedia.org/wiki/Soviet_ruble#Exchange_rates</v>
      </c>
      <c r="I177" s="2234" t="str">
        <v>1928-02-01—1933-04-01</v>
      </c>
      <c r="J177" s="2234" t="str">
        <v>historical_exchange_rates_1920_2026.xlsx</v>
      </c>
      <c r="K177"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177" s="2234" t="str">
        <v>原报价已按 1 美元兑换本币表示。</v>
      </c>
      <c r="M177" s="2234" t="str">
        <v>1932|苏联卢布（1924币制）</v>
      </c>
      <c r="N177" s="2234" t="str">
        <v>苏联卢布（1924币制）</v>
      </c>
      <c r="O177" s="2239" t="n">
        <v>1.9434</v>
      </c>
      <c r="P177" s="2234" t="str">
        <v>LCU/USD</v>
      </c>
      <c r="Q177" s="2239" t="n">
        <v>1</v>
      </c>
      <c r="R177" s="2234" t="str">
        <v>C：二手转引（原档未复核）</v>
      </c>
      <c r="S177" s="2234" t="str">
        <v>年度汇率!K18；原始记录!A126:M126</v>
      </c>
      <c r="T177" s="2234" t="str">
        <v>官价参考，并非市场年均汇率</v>
      </c>
      <c r="U177" t="n" s="2231">
        <v>1933</v>
      </c>
      <c r="V177" t="str" s="2231">
        <v>日元（JPY）</v>
      </c>
    </row>
    <row r="178" ht="48.0" customHeight="1">
      <c r="A178" s="2234" t="n">
        <v>1932</v>
      </c>
      <c r="B178" s="2234" t="str">
        <v>CN_SILVER_OLD</v>
      </c>
      <c r="C178" s="2234" t="str">
        <v>中国旧银元（元）</v>
      </c>
      <c r="D178" s="2234" t="str">
        <v>可用</v>
      </c>
      <c r="E178" s="2238" t="n">
        <v>4.600725994561942</v>
      </c>
      <c r="F178" s="2234" t="str">
        <v>年均</v>
      </c>
      <c r="G178" s="2234" t="str">
        <v>美联储《Banking and Monetary Statistics 1914—1941》表173，中国，印刷页667</v>
      </c>
      <c r="H178" s="2234" t="str">
        <v>https://fraser.stlouisfed.org/title/banking-monetary-statistics-1914-1941-38/part-i-6408/fulltext</v>
      </c>
      <c r="I178" s="2234" t="str">
        <v>1932-01-01—1932-12-31</v>
      </c>
      <c r="J178" s="2234" t="str">
        <v>historical_exchange_rates_1920_2026.xlsx</v>
      </c>
      <c r="K178" s="2234" t="str">
        <v>纽约报价；100÷美分年均报价；不同币制年份单位见实际币名表，并非全国统一零售兑换价。 反向值由原报价均值取倒数；不等于反向日度汇率的算术平均。
原表日度报价的年均值，单位：美分／中国货币单位。1920—21上海两；1922—32旧银元；1933年4月10日起新元；1935年币制过渡；1936—41法币。</v>
      </c>
      <c r="L178" s="2234" t="str">
        <v>原报价为每单位本币兑美元，取原报价均值的倒数；不等于反向日度汇率的算术平均。乘以 100，还原当年币制的计价单位。</v>
      </c>
      <c r="M178" s="2234" t="str">
        <v>1932|中国旧银元（元）</v>
      </c>
      <c r="N178" s="2234" t="str">
        <v>中国旧银元（元）</v>
      </c>
      <c r="O178" s="2239" t="n">
        <v>21.7357</v>
      </c>
      <c r="P178" s="2234" t="str">
        <v>US cents/LCU</v>
      </c>
      <c r="Q178" s="2239" t="n">
        <v>100</v>
      </c>
      <c r="R178" s="2234" t="str">
        <v>A：机构统计／原始统计表</v>
      </c>
      <c r="S178" s="2234" t="str">
        <v>年度汇率!L18；原始记录!A127:M127</v>
      </c>
      <c r="T178" s="2234" t="str"/>
      <c r="U178" t="n" s="2231">
        <v>1933</v>
      </c>
      <c r="V178" t="str" s="2231">
        <v>瑞士法郎（CHF）</v>
      </c>
    </row>
    <row r="179" ht="15.0" customHeight="1">
      <c r="A179" s="2234" t="n">
        <v>1933</v>
      </c>
      <c r="B179" s="2234" t="str">
        <v>USD</v>
      </c>
      <c r="C179" s="2234" t="str">
        <v>美元（USD）</v>
      </c>
      <c r="D179" s="2234" t="str">
        <v>可用</v>
      </c>
      <c r="E179" s="2238" t="n">
        <v>1</v>
      </c>
      <c r="F179" s="2234" t="str">
        <v>基准恒等</v>
      </c>
      <c r="G179" s="2234" t="str">
        <v>用户提供的历史汇率表</v>
      </c>
      <c r="H179" s="2234" t="str"/>
      <c r="I179" s="2234" t="str">
        <v>1933</v>
      </c>
      <c r="J179" s="2234" t="str">
        <v>historical_exchange_rates_1920_2026.xlsx</v>
      </c>
      <c r="K179" s="2234" t="str">
        <v>1 美元等于 1 美元，无外部报价。</v>
      </c>
      <c r="L179" s="2234" t="str">
        <v>美元基准，汇率恒为 1。</v>
      </c>
      <c r="M179" s="2234" t="str">
        <v>1933|美元（USD）</v>
      </c>
      <c r="N179" s="2234" t="str">
        <v>美元（USD）</v>
      </c>
      <c r="O179" s="2239"/>
      <c r="P179" s="2234" t="str"/>
      <c r="Q179" s="2239"/>
      <c r="R179" s="2234" t="str"/>
      <c r="S179" s="2234" t="str">
        <v>年度汇率!B19</v>
      </c>
      <c r="T179" s="2234" t="str"/>
      <c r="U179" t="n" s="2231">
        <v>1933</v>
      </c>
      <c r="V179" t="str" s="2231">
        <v>英属印度卢比</v>
      </c>
    </row>
    <row r="180" ht="15.0" customHeight="1">
      <c r="A180" s="2234" t="n">
        <v>1933</v>
      </c>
      <c r="B180" s="2234" t="str">
        <v>GBP</v>
      </c>
      <c r="C180" s="2234" t="str">
        <v>英镑（GBP）</v>
      </c>
      <c r="D180" s="2234" t="str">
        <v>可用</v>
      </c>
      <c r="E180" s="2238" t="n">
        <v>0.236</v>
      </c>
      <c r="F180" s="2234" t="str">
        <v>年均</v>
      </c>
      <c r="G180" s="2234" t="str">
        <v>MeasuringWorth：英镑／美元年度历史汇率</v>
      </c>
      <c r="H180" s="2234" t="str">
        <v>https://www.measuringworth.com/datasets/exchangeglobal/result.php?countryE%5B%5D=United+Kingdom&amp;year_result=2007&amp;year_source=1791</v>
      </c>
      <c r="I180" s="2234" t="str">
        <v>1933-01-01—1933-12-31</v>
      </c>
      <c r="J180" s="2234" t="str">
        <v>historical_exchange_rates_1920_2026.xlsx</v>
      </c>
      <c r="K180" s="2234" t="str">
        <v>年度汇率，本币／美元；1920—1949。</v>
      </c>
      <c r="L180" s="2234" t="str">
        <v>原报价已按 1 美元兑换本币表示。</v>
      </c>
      <c r="M180" s="2234" t="str">
        <v>1933|英镑（GBP）</v>
      </c>
      <c r="N180" s="2234" t="str">
        <v>英镑（GBP）</v>
      </c>
      <c r="O180" s="2239" t="n">
        <v>0.236</v>
      </c>
      <c r="P180" s="2234" t="str">
        <v>LCU/USD</v>
      </c>
      <c r="Q180" s="2239" t="n">
        <v>1</v>
      </c>
      <c r="R180" s="2234" t="str">
        <v>B：学术历史汇编</v>
      </c>
      <c r="S180" s="2234" t="str">
        <v>年度汇率!C19；原始记录!A128:M128</v>
      </c>
      <c r="T180" s="2234" t="str"/>
      <c r="U180" t="n" s="2231">
        <v>1933</v>
      </c>
      <c r="V180" t="str" s="2231">
        <v>苏联卢布（1924币制）</v>
      </c>
    </row>
    <row r="181" ht="15.0" customHeight="1">
      <c r="A181" s="2234" t="n">
        <v>1933</v>
      </c>
      <c r="B181" s="2234" t="str">
        <v>CAD</v>
      </c>
      <c r="C181" s="2234" t="str">
        <v>加拿大元（CAD）</v>
      </c>
      <c r="D181" s="2234" t="str">
        <v>可用</v>
      </c>
      <c r="E181" s="2238" t="n">
        <v>1.087</v>
      </c>
      <c r="F181" s="2234" t="str">
        <v>年均</v>
      </c>
      <c r="G181" s="2234" t="str">
        <v>Lawrence H. Officer / MeasuringWorth：加拿大元</v>
      </c>
      <c r="H181" s="2234" t="str">
        <v>https://www.measuringworth.com/datasets/exchangeglobal/result.php?countryE%5B%5D=Canada&amp;year_result=2007&amp;year_source=1913</v>
      </c>
      <c r="I181" s="2234" t="str">
        <v>1933-01-01—1933-12-31</v>
      </c>
      <c r="J181" s="2234" t="str">
        <v>historical_exchange_rates_1920_2026.xlsx</v>
      </c>
      <c r="K181" s="2234" t="str">
        <v>纽约市场年度报价；1942—1945缺失。</v>
      </c>
      <c r="L181" s="2234" t="str">
        <v>原报价已按 1 美元兑换本币表示。</v>
      </c>
      <c r="M181" s="2234" t="str">
        <v>1933|加拿大元（CAD）</v>
      </c>
      <c r="N181" s="2234" t="str">
        <v>加拿大元（CAD）</v>
      </c>
      <c r="O181" s="2239" t="n">
        <v>1.087</v>
      </c>
      <c r="P181" s="2234" t="str">
        <v>LCU/USD</v>
      </c>
      <c r="Q181" s="2239" t="n">
        <v>1</v>
      </c>
      <c r="R181" s="2234" t="str">
        <v>B：学术历史汇编</v>
      </c>
      <c r="S181" s="2234" t="str">
        <v>年度汇率!D19；原始记录!A129:M129</v>
      </c>
      <c r="T181" s="2234" t="str"/>
      <c r="U181" t="n" s="2231">
        <v>1933</v>
      </c>
      <c r="V181" t="str" s="2231">
        <v>中国新银元（元）</v>
      </c>
    </row>
    <row r="182" ht="15.0" customHeight="1">
      <c r="A182" s="2234" t="n">
        <v>1933</v>
      </c>
      <c r="B182" s="2234" t="str">
        <v>FRF_OLD</v>
      </c>
      <c r="C182" s="2234" t="str">
        <v>法国旧法郎</v>
      </c>
      <c r="D182" s="2234" t="str">
        <v>可用</v>
      </c>
      <c r="E182" s="2238" t="n">
        <v>19.876</v>
      </c>
      <c r="F182" s="2234" t="str">
        <v>年均</v>
      </c>
      <c r="G182" s="2234" t="str">
        <v>MeasuringWorth：法国年均汇率</v>
      </c>
      <c r="H182" s="2234" t="str">
        <v>https://www.measuringworth.com/datasets/exchangeglobal/result.php?countryE%5B%5D=France&amp;year_result=1940&amp;year_source=1920</v>
      </c>
      <c r="I182" s="2234" t="str">
        <v>1933-01-01—1933-12-31</v>
      </c>
      <c r="J182" s="2234" t="str">
        <v>historical_exchange_rates_1920_2026.xlsx</v>
      </c>
      <c r="K182" s="2234" t="str">
        <v>纽约市场；1940仅至6月15日可用报价。</v>
      </c>
      <c r="L182" s="2234" t="str">
        <v>原报价已按 1 美元兑换本币表示。</v>
      </c>
      <c r="M182" s="2234" t="str">
        <v>1933|法国旧法郎</v>
      </c>
      <c r="N182" s="2234" t="str">
        <v>法国旧法郎</v>
      </c>
      <c r="O182" s="2239" t="n">
        <v>19.876</v>
      </c>
      <c r="P182" s="2234" t="str">
        <v>LCU/USD</v>
      </c>
      <c r="Q182" s="2239" t="n">
        <v>1</v>
      </c>
      <c r="R182" s="2234" t="str">
        <v>B：学术历史汇编</v>
      </c>
      <c r="S182" s="2234" t="str">
        <v>年度汇率!E19；原始记录!A130:M130</v>
      </c>
      <c r="T182" s="2234" t="str"/>
      <c r="U182" t="n" s="2231">
        <v>1934</v>
      </c>
      <c r="V182" t="str" s="2231">
        <v>美元（USD）</v>
      </c>
    </row>
    <row r="183" ht="24.0" customHeight="1">
      <c r="A183" s="2234" t="n">
        <v>1933</v>
      </c>
      <c r="B183" s="2234" t="str">
        <v>RM</v>
      </c>
      <c r="C183" s="2234" t="str">
        <v>帝国马克（Reichsmark）</v>
      </c>
      <c r="D183" s="2234" t="str">
        <v>可用</v>
      </c>
      <c r="E183" s="2238" t="n">
        <v>3.28</v>
      </c>
      <c r="F183" s="2234" t="str">
        <v>年均</v>
      </c>
      <c r="G183" s="2234" t="str">
        <v>Harold Marcuse / UCSB：德国，转载Officer年度表</v>
      </c>
      <c r="H183" s="2234" t="str">
        <v>https://marcuse.faculty.history.ucsb.edu/projects/currency.htm</v>
      </c>
      <c r="I183" s="2234" t="str">
        <v>1933-01-01—1933-12-31</v>
      </c>
      <c r="J183" s="2234" t="str">
        <v>historical_exchange_rates_1920_2026.xlsx</v>
      </c>
      <c r="K183" s="2234" t="str">
        <v>使用右侧annual avg.表，不使用左侧定点汇率；1923—1924数据有币改及倒数均值口径疑点，未采用。</v>
      </c>
      <c r="L183" s="2234" t="str">
        <v>原报价已按 1 美元兑换本币表示。</v>
      </c>
      <c r="M183" s="2234" t="str">
        <v>1933|帝国马克（Reichsmark）</v>
      </c>
      <c r="N183" s="2234" t="str">
        <v>帝国马克（Reichsmark）</v>
      </c>
      <c r="O183" s="2239" t="n">
        <v>3.28</v>
      </c>
      <c r="P183" s="2234" t="str">
        <v>LCU/USD</v>
      </c>
      <c r="Q183" s="2239" t="n">
        <v>1</v>
      </c>
      <c r="R183" s="2234" t="str">
        <v>B：大学页面转录</v>
      </c>
      <c r="S183" s="2234" t="str">
        <v>年度汇率!F19、年度汇率!M19；原始记录!A131:M131</v>
      </c>
      <c r="T183" s="2234" t="str"/>
      <c r="U183" t="n" s="2231">
        <v>1934</v>
      </c>
      <c r="V183" t="str" s="2231">
        <v>英镑（GBP）</v>
      </c>
    </row>
    <row r="184" ht="36.0" customHeight="1">
      <c r="A184" s="2234" t="n">
        <v>1933</v>
      </c>
      <c r="B184" s="2234" t="str">
        <v>ITL</v>
      </c>
      <c r="C184" s="2234" t="str">
        <v>意大利里拉（ITL）</v>
      </c>
      <c r="D184" s="2234" t="str">
        <v>可用</v>
      </c>
      <c r="E184" s="2238" t="n">
        <v>14.904462396041376</v>
      </c>
      <c r="F184" s="2234" t="str">
        <v>年均</v>
      </c>
      <c r="G184" s="2234" t="str">
        <v>美联储《Banking and Monetary Statistics 1914—1941》表173，意大利，印刷页673</v>
      </c>
      <c r="H184" s="2234" t="str">
        <v>https://fraser.stlouisfed.org/title/banking-monetary-statistics-1914-1941-38/part-i-6408/fulltext</v>
      </c>
      <c r="I184" s="2234" t="str">
        <v>1933-01-01—1933-12-31</v>
      </c>
      <c r="J184" s="2234" t="str">
        <v>historical_exchange_rates_1920_2026.xlsx</v>
      </c>
      <c r="K184" s="2234" t="str">
        <v>纽约报价；由美分／里拉的年均报价取倒数，非里拉／美元逐日均值。 反向值由原报价均值取倒数；不等于反向日度汇率的算术平均。
原表为日度报价的年平均，单位：美分／里拉；标准化为100÷原值。</v>
      </c>
      <c r="L184" s="2234" t="str">
        <v>原报价为每单位本币兑美元，取原报价均值的倒数；不等于反向日度汇率的算术平均。乘以 100，还原当年币制的计价单位。</v>
      </c>
      <c r="M184" s="2234" t="str">
        <v>1933|意大利里拉（ITL）</v>
      </c>
      <c r="N184" s="2234" t="str">
        <v>意大利里拉（ITL）</v>
      </c>
      <c r="O184" s="2239" t="n">
        <v>6.7094</v>
      </c>
      <c r="P184" s="2234" t="str">
        <v>US cents/LCU</v>
      </c>
      <c r="Q184" s="2239" t="n">
        <v>100</v>
      </c>
      <c r="R184" s="2234" t="str">
        <v>A：机构统计／原始统计表</v>
      </c>
      <c r="S184" s="2234" t="str">
        <v>年度汇率!G19；原始记录!A132:M132</v>
      </c>
      <c r="T184" s="2234" t="str"/>
      <c r="U184" t="n" s="2231">
        <v>1934</v>
      </c>
      <c r="V184" t="str" s="2231">
        <v>加拿大元（CAD）</v>
      </c>
    </row>
    <row r="185" ht="15.0" customHeight="1">
      <c r="A185" s="2234" t="n">
        <v>1933</v>
      </c>
      <c r="B185" s="2234" t="str">
        <v>JPY</v>
      </c>
      <c r="C185" s="2234" t="str">
        <v>日元（JPY）</v>
      </c>
      <c r="D185" s="2234" t="str">
        <v>可用</v>
      </c>
      <c r="E185" s="2238" t="n">
        <v>3.9</v>
      </c>
      <c r="F185" s="2234" t="str">
        <v>年均</v>
      </c>
      <c r="G185" s="2234" t="str">
        <v>MeasuringWorth：日本年均汇率</v>
      </c>
      <c r="H185" s="2234" t="str">
        <v>https://www.measuringworth.com/datasets/exchangeglobal/result.php?countryE%5B%5D=Japan&amp;year_result=2016&amp;year_source=1916</v>
      </c>
      <c r="I185" s="2234" t="str">
        <v>1933-01-01—1933-12-31</v>
      </c>
      <c r="J185" s="2234" t="str">
        <v>historical_exchange_rates_1920_2026.xlsx</v>
      </c>
      <c r="K185" s="2234" t="str">
        <v>以纽约市场年度平均报价为主；保留原表精度。</v>
      </c>
      <c r="L185" s="2234" t="str">
        <v>原报价已按 1 美元兑换本币表示。</v>
      </c>
      <c r="M185" s="2234" t="str">
        <v>1933|日元（JPY）</v>
      </c>
      <c r="N185" s="2234" t="str">
        <v>日元（JPY）</v>
      </c>
      <c r="O185" s="2239" t="n">
        <v>3.9</v>
      </c>
      <c r="P185" s="2234" t="str">
        <v>LCU/USD</v>
      </c>
      <c r="Q185" s="2239" t="n">
        <v>1</v>
      </c>
      <c r="R185" s="2234" t="str">
        <v>B：学术历史汇编</v>
      </c>
      <c r="S185" s="2234" t="str">
        <v>年度汇率!H19；原始记录!A133:M133</v>
      </c>
      <c r="T185" s="2234" t="str"/>
      <c r="U185" t="n" s="2231">
        <v>1934</v>
      </c>
      <c r="V185" t="str" s="2231">
        <v>法国旧法郎</v>
      </c>
    </row>
    <row r="186" ht="15.0" customHeight="1">
      <c r="A186" s="2234" t="n">
        <v>1933</v>
      </c>
      <c r="B186" s="2234" t="str">
        <v>CHF</v>
      </c>
      <c r="C186" s="2234" t="str">
        <v>瑞士法郎（CHF）</v>
      </c>
      <c r="D186" s="2234" t="str">
        <v>可用</v>
      </c>
      <c r="E186" s="2238" t="n">
        <v>4.0265</v>
      </c>
      <c r="F186" s="2234" t="str">
        <v>年均</v>
      </c>
      <c r="G186" s="2234" t="str">
        <v>MeasuringWorth：瑞士年均汇率</v>
      </c>
      <c r="H186" s="2234" t="str">
        <v>https://www.measuringworth.com/datasets/exchangeglobal/result.php?countryE%5B%5D=Switzerland&amp;year_result=1955&amp;year_source=1905</v>
      </c>
      <c r="I186" s="2234" t="str">
        <v>1933-01-01—1933-12-31</v>
      </c>
      <c r="J186" s="2234" t="str">
        <v>historical_exchange_rates_1920_2026.xlsx</v>
      </c>
      <c r="K186" s="2234" t="str">
        <v>纽约市场；1941仅上半年报价，1942–1945原表无值。</v>
      </c>
      <c r="L186" s="2234" t="str">
        <v>原报价已按 1 美元兑换本币表示。</v>
      </c>
      <c r="M186" s="2234" t="str">
        <v>1933|瑞士法郎（CHF）</v>
      </c>
      <c r="N186" s="2234" t="str">
        <v>瑞士法郎（CHF）</v>
      </c>
      <c r="O186" s="2239" t="n">
        <v>4.0265</v>
      </c>
      <c r="P186" s="2234" t="str">
        <v>LCU/USD</v>
      </c>
      <c r="Q186" s="2239" t="n">
        <v>1</v>
      </c>
      <c r="R186" s="2234" t="str">
        <v>B：学术历史汇编</v>
      </c>
      <c r="S186" s="2234" t="str">
        <v>年度汇率!I19；原始记录!A134:M134</v>
      </c>
      <c r="T186" s="2234" t="str"/>
      <c r="U186" t="n" s="2231">
        <v>1934</v>
      </c>
      <c r="V186" t="str" s="2231">
        <v>帝国马克（Reichsmark）</v>
      </c>
    </row>
    <row r="187" ht="15.0" customHeight="1">
      <c r="A187" s="2234" t="n">
        <v>1933</v>
      </c>
      <c r="B187" s="2234" t="str">
        <v>INR</v>
      </c>
      <c r="C187" s="2234" t="str">
        <v>英属印度卢比</v>
      </c>
      <c r="D187" s="2234" t="str">
        <v>可用</v>
      </c>
      <c r="E187" s="2238" t="n">
        <v>3.14</v>
      </c>
      <c r="F187" s="2234" t="str">
        <v>年均</v>
      </c>
      <c r="G187" s="2234" t="str">
        <v>MeasuringWorth：印度年均汇率</v>
      </c>
      <c r="H187" s="2234" t="str">
        <v>https://www.measuringworth.com/datasets/exchangeglobal/result.php?countryE%5B%5D=India&amp;year_result=1948&amp;year_source=1916</v>
      </c>
      <c r="I187" s="2234" t="str">
        <v>1933-01-01—1933-12-31</v>
      </c>
      <c r="J187" s="2234" t="str">
        <v>historical_exchange_rates_1920_2026.xlsx</v>
      </c>
      <c r="K187" s="2234" t="str">
        <v>英属印度／印度卢比；保留原表精度。</v>
      </c>
      <c r="L187" s="2234" t="str">
        <v>原报价已按 1 美元兑换本币表示。</v>
      </c>
      <c r="M187" s="2234" t="str">
        <v>1933|英属印度卢比</v>
      </c>
      <c r="N187" s="2234" t="str">
        <v>英属印度卢比</v>
      </c>
      <c r="O187" s="2239" t="n">
        <v>3.14</v>
      </c>
      <c r="P187" s="2234" t="str">
        <v>LCU/USD</v>
      </c>
      <c r="Q187" s="2239" t="n">
        <v>1</v>
      </c>
      <c r="R187" s="2234" t="str">
        <v>B：学术历史汇编</v>
      </c>
      <c r="S187" s="2234" t="str">
        <v>年度汇率!J19；原始记录!A135:M135</v>
      </c>
      <c r="T187" s="2234" t="str"/>
      <c r="U187" t="n" s="2231">
        <v>1934</v>
      </c>
      <c r="V187" t="str" s="2231">
        <v>意大利里拉（ITL）</v>
      </c>
    </row>
    <row r="188" ht="36.0" customHeight="1">
      <c r="A188" s="2234" t="n">
        <v>1933</v>
      </c>
      <c r="B188" s="2234" t="str">
        <v>SUR_1924</v>
      </c>
      <c r="C188" s="2234" t="str">
        <v>苏联卢布（1924币制）</v>
      </c>
      <c r="D188" s="2234" t="str">
        <v>可用</v>
      </c>
      <c r="E188" s="2238" t="n">
        <v>1.9434</v>
      </c>
      <c r="F188" s="2234" t="str">
        <v>定点官价参考（非年均）</v>
      </c>
      <c r="G188" s="2234" t="str">
        <v>苏联卢布历史官价表（Wikipedia转引俄央行历史档案）</v>
      </c>
      <c r="H188" s="2234" t="str">
        <v>https://en.wikipedia.org/wiki/Soviet_ruble#Exchange_rates</v>
      </c>
      <c r="I188" s="2234" t="str">
        <v>1933-04-01</v>
      </c>
      <c r="J188" s="2234" t="str">
        <v>historical_exchange_rates_1920_2026.xlsx</v>
      </c>
      <c r="K188"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188" s="2234" t="str">
        <v>原报价已按 1 美元兑换本币表示。</v>
      </c>
      <c r="M188" s="2234" t="str">
        <v>1933|苏联卢布（1924币制）</v>
      </c>
      <c r="N188" s="2234" t="str">
        <v>苏联卢布（1924币制）</v>
      </c>
      <c r="O188" s="2239" t="n">
        <v>1.9434</v>
      </c>
      <c r="P188" s="2234" t="str">
        <v>LCU/USD</v>
      </c>
      <c r="Q188" s="2239" t="n">
        <v>1</v>
      </c>
      <c r="R188" s="2234" t="str">
        <v>C：二手转引（原档未复核）</v>
      </c>
      <c r="S188" s="2234" t="str">
        <v>年度汇率!K19；原始记录!A136:M136</v>
      </c>
      <c r="T188" s="2234" t="str">
        <v>官价参考，并非市场年均汇率</v>
      </c>
      <c r="U188" t="n" s="2231">
        <v>1934</v>
      </c>
      <c r="V188" t="str" s="2231">
        <v>日元（JPY）</v>
      </c>
    </row>
    <row r="189" ht="48.0" customHeight="1">
      <c r="A189" s="2234" t="n">
        <v>1933</v>
      </c>
      <c r="B189" s="2234" t="str">
        <v>CN_SILVER</v>
      </c>
      <c r="C189" s="2234" t="str">
        <v>中国新银元（元）</v>
      </c>
      <c r="D189" s="2234" t="str">
        <v>可用</v>
      </c>
      <c r="E189" s="2238" t="n">
        <v>3.496760251626868</v>
      </c>
      <c r="F189" s="2234" t="str">
        <v>年内部分期间均值</v>
      </c>
      <c r="G189" s="2234" t="str">
        <v>美联储《Banking and Monetary Statistics 1914—1941》表173，中国，印刷页667</v>
      </c>
      <c r="H189" s="2234" t="str">
        <v>https://fraser.stlouisfed.org/title/banking-monetary-statistics-1914-1941-38/part-i-6408/fulltext</v>
      </c>
      <c r="I189" s="2234" t="str">
        <v>1933-04-10—1933-12-31</v>
      </c>
      <c r="J189" s="2234" t="str">
        <v>historical_exchange_rates_1920_2026.xlsx</v>
      </c>
      <c r="K189" s="2234" t="str">
        <v>只使用新元1933年4月10日起报价；旧元1月2日—4月8日均值20.2103美分，未拼接成全年。 反向值由原报价均值取倒数；不等于反向日度汇率的算术平均。
原表日度报价的年均值，单位：美分／中国货币单位。1920—21上海两；1922—32旧银元；1933年4月10日起新元；1935年币制过渡；1936—41法币。</v>
      </c>
      <c r="L189" s="2234" t="str">
        <v>原报价为每单位本币兑美元，取原报价均值的倒数；不等于反向日度汇率的算术平均。乘以 100，还原当年币制的计价单位。</v>
      </c>
      <c r="M189" s="2234" t="str">
        <v>1933|中国新银元（元）</v>
      </c>
      <c r="N189" s="2234" t="str">
        <v>中国新银元（元）</v>
      </c>
      <c r="O189" s="2239" t="n">
        <v>28.5979</v>
      </c>
      <c r="P189" s="2234" t="str">
        <v>US cents/LCU</v>
      </c>
      <c r="Q189" s="2239" t="n">
        <v>100</v>
      </c>
      <c r="R189" s="2234" t="str">
        <v>A：机构统计／原始统计表</v>
      </c>
      <c r="S189" s="2234" t="str">
        <v>年度汇率!L19；原始记录!A137:M137</v>
      </c>
      <c r="T189" s="2234" t="str">
        <v>仅覆盖部分期间</v>
      </c>
      <c r="U189" t="n" s="2231">
        <v>1934</v>
      </c>
      <c r="V189" t="str" s="2231">
        <v>瑞士法郎（CHF）</v>
      </c>
    </row>
    <row r="190" ht="15.0" customHeight="1">
      <c r="A190" s="2234" t="n">
        <v>1934</v>
      </c>
      <c r="B190" s="2234" t="str">
        <v>USD</v>
      </c>
      <c r="C190" s="2234" t="str">
        <v>美元（USD）</v>
      </c>
      <c r="D190" s="2234" t="str">
        <v>可用</v>
      </c>
      <c r="E190" s="2238" t="n">
        <v>1</v>
      </c>
      <c r="F190" s="2234" t="str">
        <v>基准恒等</v>
      </c>
      <c r="G190" s="2234" t="str">
        <v>用户提供的历史汇率表</v>
      </c>
      <c r="H190" s="2234" t="str"/>
      <c r="I190" s="2234" t="str">
        <v>1934</v>
      </c>
      <c r="J190" s="2234" t="str">
        <v>historical_exchange_rates_1920_2026.xlsx</v>
      </c>
      <c r="K190" s="2234" t="str">
        <v>1 美元等于 1 美元，无外部报价。</v>
      </c>
      <c r="L190" s="2234" t="str">
        <v>美元基准，汇率恒为 1。</v>
      </c>
      <c r="M190" s="2234" t="str">
        <v>1934|美元（USD）</v>
      </c>
      <c r="N190" s="2234" t="str">
        <v>美元（USD）</v>
      </c>
      <c r="O190" s="2239"/>
      <c r="P190" s="2234" t="str"/>
      <c r="Q190" s="2239"/>
      <c r="R190" s="2234" t="str"/>
      <c r="S190" s="2234" t="str">
        <v>年度汇率!B20</v>
      </c>
      <c r="T190" s="2234" t="str"/>
      <c r="U190" t="n" s="2231">
        <v>1934</v>
      </c>
      <c r="V190" t="str" s="2231">
        <v>英属印度卢比</v>
      </c>
    </row>
    <row r="191" ht="15.0" customHeight="1">
      <c r="A191" s="2234" t="n">
        <v>1934</v>
      </c>
      <c r="B191" s="2234" t="str">
        <v>GBP</v>
      </c>
      <c r="C191" s="2234" t="str">
        <v>英镑（GBP）</v>
      </c>
      <c r="D191" s="2234" t="str">
        <v>可用</v>
      </c>
      <c r="E191" s="2238" t="n">
        <v>0.1985</v>
      </c>
      <c r="F191" s="2234" t="str">
        <v>年均</v>
      </c>
      <c r="G191" s="2234" t="str">
        <v>MeasuringWorth：英镑／美元年度历史汇率</v>
      </c>
      <c r="H191" s="2234" t="str">
        <v>https://www.measuringworth.com/datasets/exchangeglobal/result.php?countryE%5B%5D=United+Kingdom&amp;year_result=2007&amp;year_source=1791</v>
      </c>
      <c r="I191" s="2234" t="str">
        <v>1934-01-01—1934-12-31</v>
      </c>
      <c r="J191" s="2234" t="str">
        <v>historical_exchange_rates_1920_2026.xlsx</v>
      </c>
      <c r="K191" s="2234" t="str">
        <v>年度汇率，本币／美元；1920—1949。</v>
      </c>
      <c r="L191" s="2234" t="str">
        <v>原报价已按 1 美元兑换本币表示。</v>
      </c>
      <c r="M191" s="2234" t="str">
        <v>1934|英镑（GBP）</v>
      </c>
      <c r="N191" s="2234" t="str">
        <v>英镑（GBP）</v>
      </c>
      <c r="O191" s="2239" t="n">
        <v>0.1985</v>
      </c>
      <c r="P191" s="2234" t="str">
        <v>LCU/USD</v>
      </c>
      <c r="Q191" s="2239" t="n">
        <v>1</v>
      </c>
      <c r="R191" s="2234" t="str">
        <v>B：学术历史汇编</v>
      </c>
      <c r="S191" s="2234" t="str">
        <v>年度汇率!C20；原始记录!A138:M138</v>
      </c>
      <c r="T191" s="2234" t="str"/>
      <c r="U191" t="n" s="2231">
        <v>1934</v>
      </c>
      <c r="V191" t="str" s="2231">
        <v>苏联卢布（1924币制）</v>
      </c>
    </row>
    <row r="192" ht="15.0" customHeight="1">
      <c r="A192" s="2234" t="n">
        <v>1934</v>
      </c>
      <c r="B192" s="2234" t="str">
        <v>CAD</v>
      </c>
      <c r="C192" s="2234" t="str">
        <v>加拿大元（CAD）</v>
      </c>
      <c r="D192" s="2234" t="str">
        <v>可用</v>
      </c>
      <c r="E192" s="2238" t="n">
        <v>0.99</v>
      </c>
      <c r="F192" s="2234" t="str">
        <v>年均</v>
      </c>
      <c r="G192" s="2234" t="str">
        <v>Lawrence H. Officer / MeasuringWorth：加拿大元</v>
      </c>
      <c r="H192" s="2234" t="str">
        <v>https://www.measuringworth.com/datasets/exchangeglobal/result.php?countryE%5B%5D=Canada&amp;year_result=2007&amp;year_source=1913</v>
      </c>
      <c r="I192" s="2234" t="str">
        <v>1934-01-01—1934-12-31</v>
      </c>
      <c r="J192" s="2234" t="str">
        <v>historical_exchange_rates_1920_2026.xlsx</v>
      </c>
      <c r="K192" s="2234" t="str">
        <v>纽约市场年度报价；1942—1945缺失。</v>
      </c>
      <c r="L192" s="2234" t="str">
        <v>原报价已按 1 美元兑换本币表示。</v>
      </c>
      <c r="M192" s="2234" t="str">
        <v>1934|加拿大元（CAD）</v>
      </c>
      <c r="N192" s="2234" t="str">
        <v>加拿大元（CAD）</v>
      </c>
      <c r="O192" s="2239" t="n">
        <v>0.99</v>
      </c>
      <c r="P192" s="2234" t="str">
        <v>LCU/USD</v>
      </c>
      <c r="Q192" s="2239" t="n">
        <v>1</v>
      </c>
      <c r="R192" s="2234" t="str">
        <v>B：学术历史汇编</v>
      </c>
      <c r="S192" s="2234" t="str">
        <v>年度汇率!D20；原始记录!A139:M139</v>
      </c>
      <c r="T192" s="2234" t="str"/>
      <c r="U192" t="n" s="2231">
        <v>1934</v>
      </c>
      <c r="V192" t="str" s="2231">
        <v>中国新银元（元）</v>
      </c>
    </row>
    <row r="193" ht="15.0" customHeight="1">
      <c r="A193" s="2234" t="n">
        <v>1934</v>
      </c>
      <c r="B193" s="2234" t="str">
        <v>FRF_OLD</v>
      </c>
      <c r="C193" s="2234" t="str">
        <v>法国旧法郎</v>
      </c>
      <c r="D193" s="2234" t="str">
        <v>可用</v>
      </c>
      <c r="E193" s="2238" t="n">
        <v>15.223</v>
      </c>
      <c r="F193" s="2234" t="str">
        <v>年均</v>
      </c>
      <c r="G193" s="2234" t="str">
        <v>MeasuringWorth：法国年均汇率</v>
      </c>
      <c r="H193" s="2234" t="str">
        <v>https://www.measuringworth.com/datasets/exchangeglobal/result.php?countryE%5B%5D=France&amp;year_result=1940&amp;year_source=1920</v>
      </c>
      <c r="I193" s="2234" t="str">
        <v>1934-01-01—1934-12-31</v>
      </c>
      <c r="J193" s="2234" t="str">
        <v>historical_exchange_rates_1920_2026.xlsx</v>
      </c>
      <c r="K193" s="2234" t="str">
        <v>纽约市场；1940仅至6月15日可用报价。</v>
      </c>
      <c r="L193" s="2234" t="str">
        <v>原报价已按 1 美元兑换本币表示。</v>
      </c>
      <c r="M193" s="2234" t="str">
        <v>1934|法国旧法郎</v>
      </c>
      <c r="N193" s="2234" t="str">
        <v>法国旧法郎</v>
      </c>
      <c r="O193" s="2239" t="n">
        <v>15.223</v>
      </c>
      <c r="P193" s="2234" t="str">
        <v>LCU/USD</v>
      </c>
      <c r="Q193" s="2239" t="n">
        <v>1</v>
      </c>
      <c r="R193" s="2234" t="str">
        <v>B：学术历史汇编</v>
      </c>
      <c r="S193" s="2234" t="str">
        <v>年度汇率!E20；原始记录!A140:M140</v>
      </c>
      <c r="T193" s="2234" t="str"/>
      <c r="U193" t="n" s="2231">
        <v>1935</v>
      </c>
      <c r="V193" t="str" s="2231">
        <v>美元（USD）</v>
      </c>
    </row>
    <row r="194" ht="24.0" customHeight="1">
      <c r="A194" s="2234" t="n">
        <v>1934</v>
      </c>
      <c r="B194" s="2234" t="str">
        <v>RM</v>
      </c>
      <c r="C194" s="2234" t="str">
        <v>帝国马克（Reichsmark）</v>
      </c>
      <c r="D194" s="2234" t="str">
        <v>可用</v>
      </c>
      <c r="E194" s="2238" t="n">
        <v>2.54</v>
      </c>
      <c r="F194" s="2234" t="str">
        <v>年均</v>
      </c>
      <c r="G194" s="2234" t="str">
        <v>Harold Marcuse / UCSB：德国，转载Officer年度表</v>
      </c>
      <c r="H194" s="2234" t="str">
        <v>https://marcuse.faculty.history.ucsb.edu/projects/currency.htm</v>
      </c>
      <c r="I194" s="2234" t="str">
        <v>1934-01-01—1934-12-31</v>
      </c>
      <c r="J194" s="2234" t="str">
        <v>historical_exchange_rates_1920_2026.xlsx</v>
      </c>
      <c r="K194" s="2234" t="str">
        <v>使用右侧annual avg.表，不使用左侧定点汇率；1923—1924数据有币改及倒数均值口径疑点，未采用。</v>
      </c>
      <c r="L194" s="2234" t="str">
        <v>原报价已按 1 美元兑换本币表示。</v>
      </c>
      <c r="M194" s="2234" t="str">
        <v>1934|帝国马克（Reichsmark）</v>
      </c>
      <c r="N194" s="2234" t="str">
        <v>帝国马克（Reichsmark）</v>
      </c>
      <c r="O194" s="2239" t="n">
        <v>2.54</v>
      </c>
      <c r="P194" s="2234" t="str">
        <v>LCU/USD</v>
      </c>
      <c r="Q194" s="2239" t="n">
        <v>1</v>
      </c>
      <c r="R194" s="2234" t="str">
        <v>B：大学页面转录</v>
      </c>
      <c r="S194" s="2234" t="str">
        <v>年度汇率!F20、年度汇率!M20；原始记录!A141:M141</v>
      </c>
      <c r="T194" s="2234" t="str"/>
      <c r="U194" t="n" s="2231">
        <v>1935</v>
      </c>
      <c r="V194" t="str" s="2231">
        <v>英镑（GBP）</v>
      </c>
    </row>
    <row r="195" ht="36.0" customHeight="1">
      <c r="A195" s="2234" t="n">
        <v>1934</v>
      </c>
      <c r="B195" s="2234" t="str">
        <v>ITL</v>
      </c>
      <c r="C195" s="2234" t="str">
        <v>意大利里拉（ITL）</v>
      </c>
      <c r="D195" s="2234" t="str">
        <v>可用</v>
      </c>
      <c r="E195" s="2238" t="n">
        <v>11.679923379702629</v>
      </c>
      <c r="F195" s="2234" t="str">
        <v>年均</v>
      </c>
      <c r="G195" s="2234" t="str">
        <v>美联储《Banking and Monetary Statistics 1914—1941》表173，意大利，印刷页673</v>
      </c>
      <c r="H195" s="2234" t="str">
        <v>https://fraser.stlouisfed.org/title/banking-monetary-statistics-1914-1941-38/part-i-6408/fulltext</v>
      </c>
      <c r="I195" s="2234" t="str">
        <v>1934-01-01—1934-12-31</v>
      </c>
      <c r="J195" s="2234" t="str">
        <v>historical_exchange_rates_1920_2026.xlsx</v>
      </c>
      <c r="K195" s="2234" t="str">
        <v>纽约报价；由美分／里拉的年均报价取倒数，非里拉／美元逐日均值。 反向值由原报价均值取倒数；不等于反向日度汇率的算术平均。
原表为日度报价的年平均，单位：美分／里拉；标准化为100÷原值。</v>
      </c>
      <c r="L195" s="2234" t="str">
        <v>原报价为每单位本币兑美元，取原报价均值的倒数；不等于反向日度汇率的算术平均。乘以 100，还原当年币制的计价单位。</v>
      </c>
      <c r="M195" s="2234" t="str">
        <v>1934|意大利里拉（ITL）</v>
      </c>
      <c r="N195" s="2234" t="str">
        <v>意大利里拉（ITL）</v>
      </c>
      <c r="O195" s="2239" t="n">
        <v>8.5617</v>
      </c>
      <c r="P195" s="2234" t="str">
        <v>US cents/LCU</v>
      </c>
      <c r="Q195" s="2239" t="n">
        <v>100</v>
      </c>
      <c r="R195" s="2234" t="str">
        <v>A：机构统计／原始统计表</v>
      </c>
      <c r="S195" s="2234" t="str">
        <v>年度汇率!G20；原始记录!A142:M142</v>
      </c>
      <c r="T195" s="2234" t="str"/>
      <c r="U195" t="n" s="2231">
        <v>1935</v>
      </c>
      <c r="V195" t="str" s="2231">
        <v>加拿大元（CAD）</v>
      </c>
    </row>
    <row r="196" ht="15.0" customHeight="1">
      <c r="A196" s="2234" t="n">
        <v>1934</v>
      </c>
      <c r="B196" s="2234" t="str">
        <v>JPY</v>
      </c>
      <c r="C196" s="2234" t="str">
        <v>日元（JPY）</v>
      </c>
      <c r="D196" s="2234" t="str">
        <v>可用</v>
      </c>
      <c r="E196" s="2238" t="n">
        <v>3.37</v>
      </c>
      <c r="F196" s="2234" t="str">
        <v>年均</v>
      </c>
      <c r="G196" s="2234" t="str">
        <v>MeasuringWorth：日本年均汇率</v>
      </c>
      <c r="H196" s="2234" t="str">
        <v>https://www.measuringworth.com/datasets/exchangeglobal/result.php?countryE%5B%5D=Japan&amp;year_result=2016&amp;year_source=1916</v>
      </c>
      <c r="I196" s="2234" t="str">
        <v>1934-01-01—1934-12-31</v>
      </c>
      <c r="J196" s="2234" t="str">
        <v>historical_exchange_rates_1920_2026.xlsx</v>
      </c>
      <c r="K196" s="2234" t="str">
        <v>以纽约市场年度平均报价为主；保留原表精度。</v>
      </c>
      <c r="L196" s="2234" t="str">
        <v>原报价已按 1 美元兑换本币表示。</v>
      </c>
      <c r="M196" s="2234" t="str">
        <v>1934|日元（JPY）</v>
      </c>
      <c r="N196" s="2234" t="str">
        <v>日元（JPY）</v>
      </c>
      <c r="O196" s="2239" t="n">
        <v>3.37</v>
      </c>
      <c r="P196" s="2234" t="str">
        <v>LCU/USD</v>
      </c>
      <c r="Q196" s="2239" t="n">
        <v>1</v>
      </c>
      <c r="R196" s="2234" t="str">
        <v>B：学术历史汇编</v>
      </c>
      <c r="S196" s="2234" t="str">
        <v>年度汇率!H20；原始记录!A143:M143</v>
      </c>
      <c r="T196" s="2234" t="str"/>
      <c r="U196" t="n" s="2231">
        <v>1935</v>
      </c>
      <c r="V196" t="str" s="2231">
        <v>法国旧法郎</v>
      </c>
    </row>
    <row r="197" ht="15.0" customHeight="1">
      <c r="A197" s="2234" t="n">
        <v>1934</v>
      </c>
      <c r="B197" s="2234" t="str">
        <v>CHF</v>
      </c>
      <c r="C197" s="2234" t="str">
        <v>瑞士法郎（CHF）</v>
      </c>
      <c r="D197" s="2234" t="str">
        <v>可用</v>
      </c>
      <c r="E197" s="2238" t="n">
        <v>3.0896</v>
      </c>
      <c r="F197" s="2234" t="str">
        <v>年均</v>
      </c>
      <c r="G197" s="2234" t="str">
        <v>MeasuringWorth：瑞士年均汇率</v>
      </c>
      <c r="H197" s="2234" t="str">
        <v>https://www.measuringworth.com/datasets/exchangeglobal/result.php?countryE%5B%5D=Switzerland&amp;year_result=1955&amp;year_source=1905</v>
      </c>
      <c r="I197" s="2234" t="str">
        <v>1934-01-01—1934-12-31</v>
      </c>
      <c r="J197" s="2234" t="str">
        <v>historical_exchange_rates_1920_2026.xlsx</v>
      </c>
      <c r="K197" s="2234" t="str">
        <v>纽约市场；1941仅上半年报价，1942–1945原表无值。</v>
      </c>
      <c r="L197" s="2234" t="str">
        <v>原报价已按 1 美元兑换本币表示。</v>
      </c>
      <c r="M197" s="2234" t="str">
        <v>1934|瑞士法郎（CHF）</v>
      </c>
      <c r="N197" s="2234" t="str">
        <v>瑞士法郎（CHF）</v>
      </c>
      <c r="O197" s="2239" t="n">
        <v>3.0896</v>
      </c>
      <c r="P197" s="2234" t="str">
        <v>LCU/USD</v>
      </c>
      <c r="Q197" s="2239" t="n">
        <v>1</v>
      </c>
      <c r="R197" s="2234" t="str">
        <v>B：学术历史汇编</v>
      </c>
      <c r="S197" s="2234" t="str">
        <v>年度汇率!I20；原始记录!A144:M144</v>
      </c>
      <c r="T197" s="2234" t="str"/>
      <c r="U197" t="n" s="2231">
        <v>1935</v>
      </c>
      <c r="V197" t="str" s="2231">
        <v>帝国马克（Reichsmark）</v>
      </c>
    </row>
    <row r="198" ht="15.0" customHeight="1">
      <c r="A198" s="2234" t="n">
        <v>1934</v>
      </c>
      <c r="B198" s="2234" t="str">
        <v>INR</v>
      </c>
      <c r="C198" s="2234" t="str">
        <v>英属印度卢比</v>
      </c>
      <c r="D198" s="2234" t="str">
        <v>可用</v>
      </c>
      <c r="E198" s="2238" t="n">
        <v>2.64</v>
      </c>
      <c r="F198" s="2234" t="str">
        <v>年均</v>
      </c>
      <c r="G198" s="2234" t="str">
        <v>MeasuringWorth：印度年均汇率</v>
      </c>
      <c r="H198" s="2234" t="str">
        <v>https://www.measuringworth.com/datasets/exchangeglobal/result.php?countryE%5B%5D=India&amp;year_result=1948&amp;year_source=1916</v>
      </c>
      <c r="I198" s="2234" t="str">
        <v>1934-01-01—1934-12-31</v>
      </c>
      <c r="J198" s="2234" t="str">
        <v>historical_exchange_rates_1920_2026.xlsx</v>
      </c>
      <c r="K198" s="2234" t="str">
        <v>英属印度／印度卢比；保留原表精度。</v>
      </c>
      <c r="L198" s="2234" t="str">
        <v>原报价已按 1 美元兑换本币表示。</v>
      </c>
      <c r="M198" s="2234" t="str">
        <v>1934|英属印度卢比</v>
      </c>
      <c r="N198" s="2234" t="str">
        <v>英属印度卢比</v>
      </c>
      <c r="O198" s="2239" t="n">
        <v>2.64</v>
      </c>
      <c r="P198" s="2234" t="str">
        <v>LCU/USD</v>
      </c>
      <c r="Q198" s="2239" t="n">
        <v>1</v>
      </c>
      <c r="R198" s="2234" t="str">
        <v>B：学术历史汇编</v>
      </c>
      <c r="S198" s="2234" t="str">
        <v>年度汇率!J20；原始记录!A145:M145</v>
      </c>
      <c r="T198" s="2234" t="str"/>
      <c r="U198" t="n" s="2231">
        <v>1935</v>
      </c>
      <c r="V198" t="str" s="2231">
        <v>意大利里拉（ITL）</v>
      </c>
    </row>
    <row r="199" ht="36.0" customHeight="1">
      <c r="A199" s="2234" t="n">
        <v>1934</v>
      </c>
      <c r="B199" s="2234" t="str">
        <v>SUR_1924</v>
      </c>
      <c r="C199" s="2234" t="str">
        <v>苏联卢布（1924币制）</v>
      </c>
      <c r="D199" s="2234" t="str">
        <v>可用</v>
      </c>
      <c r="E199" s="2238" t="n">
        <v>1.2434</v>
      </c>
      <c r="F199" s="2234" t="str">
        <v>定点官价参考（非年均）</v>
      </c>
      <c r="G199" s="2234" t="str">
        <v>苏联卢布历史官价表（Wikipedia转引俄央行历史档案）</v>
      </c>
      <c r="H199" s="2234" t="str">
        <v>https://en.wikipedia.org/wiki/Soviet_ruble#Exchange_rates</v>
      </c>
      <c r="I199" s="2234" t="str">
        <v>1934-01-01</v>
      </c>
      <c r="J199" s="2234" t="str">
        <v>historical_exchange_rates_1920_2026.xlsx</v>
      </c>
      <c r="K199"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199" s="2234" t="str">
        <v>原报价已按 1 美元兑换本币表示。</v>
      </c>
      <c r="M199" s="2234" t="str">
        <v>1934|苏联卢布（1924币制）</v>
      </c>
      <c r="N199" s="2234" t="str">
        <v>苏联卢布（1924币制）</v>
      </c>
      <c r="O199" s="2239" t="n">
        <v>1.2434</v>
      </c>
      <c r="P199" s="2234" t="str">
        <v>LCU/USD</v>
      </c>
      <c r="Q199" s="2239" t="n">
        <v>1</v>
      </c>
      <c r="R199" s="2234" t="str">
        <v>C：二手转引（原档未复核）</v>
      </c>
      <c r="S199" s="2234" t="str">
        <v>年度汇率!K20；原始记录!A146:M146</v>
      </c>
      <c r="T199" s="2234" t="str">
        <v>官价参考，并非市场年均汇率</v>
      </c>
      <c r="U199" t="n" s="2231">
        <v>1935</v>
      </c>
      <c r="V199" t="str" s="2231">
        <v>日元（JPY）</v>
      </c>
    </row>
    <row r="200" ht="48.0" customHeight="1">
      <c r="A200" s="2234" t="n">
        <v>1934</v>
      </c>
      <c r="B200" s="2234" t="str">
        <v>CN_SILVER</v>
      </c>
      <c r="C200" s="2234" t="str">
        <v>中国新银元（元）</v>
      </c>
      <c r="D200" s="2234" t="str">
        <v>可用</v>
      </c>
      <c r="E200" s="2238" t="n">
        <v>2.933093210769145</v>
      </c>
      <c r="F200" s="2234" t="str">
        <v>年均</v>
      </c>
      <c r="G200" s="2234" t="str">
        <v>美联储《Banking and Monetary Statistics 1914—1941》表173，中国，印刷页667</v>
      </c>
      <c r="H200" s="2234" t="str">
        <v>https://fraser.stlouisfed.org/title/banking-monetary-statistics-1914-1941-38/part-i-6408/fulltext</v>
      </c>
      <c r="I200" s="2234" t="str">
        <v>1934-01-01—1934-12-31</v>
      </c>
      <c r="J200" s="2234" t="str">
        <v>historical_exchange_rates_1920_2026.xlsx</v>
      </c>
      <c r="K200" s="2234" t="str">
        <v>纽约报价；100÷美分年均报价；不同币制年份单位见实际币名表，并非全国统一零售兑换价。 反向值由原报价均值取倒数；不等于反向日度汇率的算术平均。
原表日度报价的年均值，单位：美分／中国货币单位。1920—21上海两；1922—32旧银元；1933年4月10日起新元；1935年币制过渡；1936—41法币。</v>
      </c>
      <c r="L200" s="2234" t="str">
        <v>原报价为每单位本币兑美元，取原报价均值的倒数；不等于反向日度汇率的算术平均。乘以 100，还原当年币制的计价单位。</v>
      </c>
      <c r="M200" s="2234" t="str">
        <v>1934|中国新银元（元）</v>
      </c>
      <c r="N200" s="2234" t="str">
        <v>中国新银元（元）</v>
      </c>
      <c r="O200" s="2239" t="n">
        <v>34.0937</v>
      </c>
      <c r="P200" s="2234" t="str">
        <v>US cents/LCU</v>
      </c>
      <c r="Q200" s="2239" t="n">
        <v>100</v>
      </c>
      <c r="R200" s="2234" t="str">
        <v>A：机构统计／原始统计表</v>
      </c>
      <c r="S200" s="2234" t="str">
        <v>年度汇率!L20；原始记录!A147:M147</v>
      </c>
      <c r="T200" s="2234" t="str"/>
      <c r="U200" t="n" s="2231">
        <v>1935</v>
      </c>
      <c r="V200" t="str" s="2231">
        <v>瑞士法郎（CHF）</v>
      </c>
    </row>
    <row r="201" ht="15.0" customHeight="1">
      <c r="A201" s="2234" t="n">
        <v>1935</v>
      </c>
      <c r="B201" s="2234" t="str">
        <v>USD</v>
      </c>
      <c r="C201" s="2234" t="str">
        <v>美元（USD）</v>
      </c>
      <c r="D201" s="2234" t="str">
        <v>可用</v>
      </c>
      <c r="E201" s="2238" t="n">
        <v>1</v>
      </c>
      <c r="F201" s="2234" t="str">
        <v>基准恒等</v>
      </c>
      <c r="G201" s="2234" t="str">
        <v>用户提供的历史汇率表</v>
      </c>
      <c r="H201" s="2234" t="str"/>
      <c r="I201" s="2234" t="str">
        <v>1935</v>
      </c>
      <c r="J201" s="2234" t="str">
        <v>historical_exchange_rates_1920_2026.xlsx</v>
      </c>
      <c r="K201" s="2234" t="str">
        <v>1 美元等于 1 美元，无外部报价。</v>
      </c>
      <c r="L201" s="2234" t="str">
        <v>美元基准，汇率恒为 1。</v>
      </c>
      <c r="M201" s="2234" t="str">
        <v>1935|美元（USD）</v>
      </c>
      <c r="N201" s="2234" t="str">
        <v>美元（USD）</v>
      </c>
      <c r="O201" s="2239"/>
      <c r="P201" s="2234" t="str"/>
      <c r="Q201" s="2239"/>
      <c r="R201" s="2234" t="str"/>
      <c r="S201" s="2234" t="str">
        <v>年度汇率!B21</v>
      </c>
      <c r="T201" s="2234" t="str"/>
      <c r="U201" t="n" s="2231">
        <v>1935</v>
      </c>
      <c r="V201" t="str" s="2231">
        <v>英属印度卢比</v>
      </c>
    </row>
    <row r="202" ht="15.0" customHeight="1">
      <c r="A202" s="2234" t="n">
        <v>1935</v>
      </c>
      <c r="B202" s="2234" t="str">
        <v>GBP</v>
      </c>
      <c r="C202" s="2234" t="str">
        <v>英镑（GBP）</v>
      </c>
      <c r="D202" s="2234" t="str">
        <v>可用</v>
      </c>
      <c r="E202" s="2238" t="n">
        <v>0.204</v>
      </c>
      <c r="F202" s="2234" t="str">
        <v>年均</v>
      </c>
      <c r="G202" s="2234" t="str">
        <v>MeasuringWorth：英镑／美元年度历史汇率</v>
      </c>
      <c r="H202" s="2234" t="str">
        <v>https://www.measuringworth.com/datasets/exchangeglobal/result.php?countryE%5B%5D=United+Kingdom&amp;year_result=2007&amp;year_source=1791</v>
      </c>
      <c r="I202" s="2234" t="str">
        <v>1935-01-01—1935-12-31</v>
      </c>
      <c r="J202" s="2234" t="str">
        <v>historical_exchange_rates_1920_2026.xlsx</v>
      </c>
      <c r="K202" s="2234" t="str">
        <v>年度汇率，本币／美元；1920—1949。</v>
      </c>
      <c r="L202" s="2234" t="str">
        <v>原报价已按 1 美元兑换本币表示。</v>
      </c>
      <c r="M202" s="2234" t="str">
        <v>1935|英镑（GBP）</v>
      </c>
      <c r="N202" s="2234" t="str">
        <v>英镑（GBP）</v>
      </c>
      <c r="O202" s="2239" t="n">
        <v>0.204</v>
      </c>
      <c r="P202" s="2234" t="str">
        <v>LCU/USD</v>
      </c>
      <c r="Q202" s="2239" t="n">
        <v>1</v>
      </c>
      <c r="R202" s="2234" t="str">
        <v>B：学术历史汇编</v>
      </c>
      <c r="S202" s="2234" t="str">
        <v>年度汇率!C21；原始记录!A148:M148</v>
      </c>
      <c r="T202" s="2234" t="str"/>
      <c r="U202" t="n" s="2231">
        <v>1935</v>
      </c>
      <c r="V202" t="str" s="2231">
        <v>苏联卢布（1924币制）</v>
      </c>
    </row>
    <row r="203" ht="15.0" customHeight="1">
      <c r="A203" s="2234" t="n">
        <v>1935</v>
      </c>
      <c r="B203" s="2234" t="str">
        <v>CAD</v>
      </c>
      <c r="C203" s="2234" t="str">
        <v>加拿大元（CAD）</v>
      </c>
      <c r="D203" s="2234" t="str">
        <v>可用</v>
      </c>
      <c r="E203" s="2238" t="n">
        <v>1.005</v>
      </c>
      <c r="F203" s="2234" t="str">
        <v>年均</v>
      </c>
      <c r="G203" s="2234" t="str">
        <v>Lawrence H. Officer / MeasuringWorth：加拿大元</v>
      </c>
      <c r="H203" s="2234" t="str">
        <v>https://www.measuringworth.com/datasets/exchangeglobal/result.php?countryE%5B%5D=Canada&amp;year_result=2007&amp;year_source=1913</v>
      </c>
      <c r="I203" s="2234" t="str">
        <v>1935-01-01—1935-12-31</v>
      </c>
      <c r="J203" s="2234" t="str">
        <v>historical_exchange_rates_1920_2026.xlsx</v>
      </c>
      <c r="K203" s="2234" t="str">
        <v>纽约市场年度报价；1942—1945缺失。</v>
      </c>
      <c r="L203" s="2234" t="str">
        <v>原报价已按 1 美元兑换本币表示。</v>
      </c>
      <c r="M203" s="2234" t="str">
        <v>1935|加拿大元（CAD）</v>
      </c>
      <c r="N203" s="2234" t="str">
        <v>加拿大元（CAD）</v>
      </c>
      <c r="O203" s="2239" t="n">
        <v>1.005</v>
      </c>
      <c r="P203" s="2234" t="str">
        <v>LCU/USD</v>
      </c>
      <c r="Q203" s="2239" t="n">
        <v>1</v>
      </c>
      <c r="R203" s="2234" t="str">
        <v>B：学术历史汇编</v>
      </c>
      <c r="S203" s="2234" t="str">
        <v>年度汇率!D21；原始记录!A149:M149</v>
      </c>
      <c r="T203" s="2234" t="str"/>
      <c r="U203" t="n" s="2231">
        <v>1935</v>
      </c>
      <c r="V203" t="str" s="2231">
        <v>银元／法币（元，过渡年）</v>
      </c>
    </row>
    <row r="204" ht="15.0" customHeight="1">
      <c r="A204" s="2234" t="n">
        <v>1935</v>
      </c>
      <c r="B204" s="2234" t="str">
        <v>FRF_OLD</v>
      </c>
      <c r="C204" s="2234" t="str">
        <v>法国旧法郎</v>
      </c>
      <c r="D204" s="2234" t="str">
        <v>可用</v>
      </c>
      <c r="E204" s="2238" t="n">
        <v>15.149</v>
      </c>
      <c r="F204" s="2234" t="str">
        <v>年均</v>
      </c>
      <c r="G204" s="2234" t="str">
        <v>MeasuringWorth：法国年均汇率</v>
      </c>
      <c r="H204" s="2234" t="str">
        <v>https://www.measuringworth.com/datasets/exchangeglobal/result.php?countryE%5B%5D=France&amp;year_result=1940&amp;year_source=1920</v>
      </c>
      <c r="I204" s="2234" t="str">
        <v>1935-01-01—1935-12-31</v>
      </c>
      <c r="J204" s="2234" t="str">
        <v>historical_exchange_rates_1920_2026.xlsx</v>
      </c>
      <c r="K204" s="2234" t="str">
        <v>纽约市场；1940仅至6月15日可用报价。</v>
      </c>
      <c r="L204" s="2234" t="str">
        <v>原报价已按 1 美元兑换本币表示。</v>
      </c>
      <c r="M204" s="2234" t="str">
        <v>1935|法国旧法郎</v>
      </c>
      <c r="N204" s="2234" t="str">
        <v>法国旧法郎</v>
      </c>
      <c r="O204" s="2239" t="n">
        <v>15.149</v>
      </c>
      <c r="P204" s="2234" t="str">
        <v>LCU/USD</v>
      </c>
      <c r="Q204" s="2239" t="n">
        <v>1</v>
      </c>
      <c r="R204" s="2234" t="str">
        <v>B：学术历史汇编</v>
      </c>
      <c r="S204" s="2234" t="str">
        <v>年度汇率!E21；原始记录!A150:M150</v>
      </c>
      <c r="T204" s="2234" t="str"/>
      <c r="U204" t="n" s="2231">
        <v>1936</v>
      </c>
      <c r="V204" t="str" s="2231">
        <v>美元（USD）</v>
      </c>
    </row>
    <row r="205" ht="24.0" customHeight="1">
      <c r="A205" s="2234" t="n">
        <v>1935</v>
      </c>
      <c r="B205" s="2234" t="str">
        <v>RM</v>
      </c>
      <c r="C205" s="2234" t="str">
        <v>帝国马克（Reichsmark）</v>
      </c>
      <c r="D205" s="2234" t="str">
        <v>可用</v>
      </c>
      <c r="E205" s="2238" t="n">
        <v>2.48</v>
      </c>
      <c r="F205" s="2234" t="str">
        <v>年均</v>
      </c>
      <c r="G205" s="2234" t="str">
        <v>Harold Marcuse / UCSB：德国，转载Officer年度表</v>
      </c>
      <c r="H205" s="2234" t="str">
        <v>https://marcuse.faculty.history.ucsb.edu/projects/currency.htm</v>
      </c>
      <c r="I205" s="2234" t="str">
        <v>1935-01-01—1935-12-31</v>
      </c>
      <c r="J205" s="2234" t="str">
        <v>historical_exchange_rates_1920_2026.xlsx</v>
      </c>
      <c r="K205" s="2234" t="str">
        <v>使用右侧annual avg.表，不使用左侧定点汇率；1923—1924数据有币改及倒数均值口径疑点，未采用。</v>
      </c>
      <c r="L205" s="2234" t="str">
        <v>原报价已按 1 美元兑换本币表示。</v>
      </c>
      <c r="M205" s="2234" t="str">
        <v>1935|帝国马克（Reichsmark）</v>
      </c>
      <c r="N205" s="2234" t="str">
        <v>帝国马克（Reichsmark）</v>
      </c>
      <c r="O205" s="2239" t="n">
        <v>2.48</v>
      </c>
      <c r="P205" s="2234" t="str">
        <v>LCU/USD</v>
      </c>
      <c r="Q205" s="2239" t="n">
        <v>1</v>
      </c>
      <c r="R205" s="2234" t="str">
        <v>B：大学页面转录</v>
      </c>
      <c r="S205" s="2234" t="str">
        <v>年度汇率!F21、年度汇率!M21；原始记录!A151:M151</v>
      </c>
      <c r="T205" s="2234" t="str"/>
      <c r="U205" t="n" s="2231">
        <v>1936</v>
      </c>
      <c r="V205" t="str" s="2231">
        <v>英镑（GBP）</v>
      </c>
    </row>
    <row r="206" ht="36.0" customHeight="1">
      <c r="A206" s="2234" t="n">
        <v>1935</v>
      </c>
      <c r="B206" s="2234" t="str">
        <v>ITL</v>
      </c>
      <c r="C206" s="2234" t="str">
        <v>意大利里拉（ITL）</v>
      </c>
      <c r="D206" s="2234" t="str">
        <v>可用</v>
      </c>
      <c r="E206" s="2238" t="n">
        <v>12.12547440918626</v>
      </c>
      <c r="F206" s="2234" t="str">
        <v>年均</v>
      </c>
      <c r="G206" s="2234" t="str">
        <v>美联储《Banking and Monetary Statistics 1914—1941》表173，意大利，印刷页673</v>
      </c>
      <c r="H206" s="2234" t="str">
        <v>https://fraser.stlouisfed.org/title/banking-monetary-statistics-1914-1941-38/part-i-6408/fulltext</v>
      </c>
      <c r="I206" s="2234" t="str">
        <v>1935-01-01—1935-12-31</v>
      </c>
      <c r="J206" s="2234" t="str">
        <v>historical_exchange_rates_1920_2026.xlsx</v>
      </c>
      <c r="K206" s="2234" t="str">
        <v>纽约报价；由美分／里拉的年均报价取倒数，非里拉／美元逐日均值。 反向值由原报价均值取倒数；不等于反向日度汇率的算术平均。
原表为日度报价的年平均，单位：美分／里拉；标准化为100÷原值。</v>
      </c>
      <c r="L206" s="2234" t="str">
        <v>原报价为每单位本币兑美元，取原报价均值的倒数；不等于反向日度汇率的算术平均。乘以 100，还原当年币制的计价单位。</v>
      </c>
      <c r="M206" s="2234" t="str">
        <v>1935|意大利里拉（ITL）</v>
      </c>
      <c r="N206" s="2234" t="str">
        <v>意大利里拉（ITL）</v>
      </c>
      <c r="O206" s="2239" t="n">
        <v>8.2471</v>
      </c>
      <c r="P206" s="2234" t="str">
        <v>US cents/LCU</v>
      </c>
      <c r="Q206" s="2239" t="n">
        <v>100</v>
      </c>
      <c r="R206" s="2234" t="str">
        <v>A：机构统计／原始统计表</v>
      </c>
      <c r="S206" s="2234" t="str">
        <v>年度汇率!G21；原始记录!A152:M152</v>
      </c>
      <c r="T206" s="2234" t="str"/>
      <c r="U206" t="n" s="2231">
        <v>1936</v>
      </c>
      <c r="V206" t="str" s="2231">
        <v>加拿大元（CAD）</v>
      </c>
    </row>
    <row r="207" ht="15.0" customHeight="1">
      <c r="A207" s="2234" t="n">
        <v>1935</v>
      </c>
      <c r="B207" s="2234" t="str">
        <v>JPY</v>
      </c>
      <c r="C207" s="2234" t="str">
        <v>日元（JPY）</v>
      </c>
      <c r="D207" s="2234" t="str">
        <v>可用</v>
      </c>
      <c r="E207" s="2238" t="n">
        <v>3.48</v>
      </c>
      <c r="F207" s="2234" t="str">
        <v>年均</v>
      </c>
      <c r="G207" s="2234" t="str">
        <v>MeasuringWorth：日本年均汇率</v>
      </c>
      <c r="H207" s="2234" t="str">
        <v>https://www.measuringworth.com/datasets/exchangeglobal/result.php?countryE%5B%5D=Japan&amp;year_result=2016&amp;year_source=1916</v>
      </c>
      <c r="I207" s="2234" t="str">
        <v>1935-01-01—1935-12-31</v>
      </c>
      <c r="J207" s="2234" t="str">
        <v>historical_exchange_rates_1920_2026.xlsx</v>
      </c>
      <c r="K207" s="2234" t="str">
        <v>以纽约市场年度平均报价为主；保留原表精度。</v>
      </c>
      <c r="L207" s="2234" t="str">
        <v>原报价已按 1 美元兑换本币表示。</v>
      </c>
      <c r="M207" s="2234" t="str">
        <v>1935|日元（JPY）</v>
      </c>
      <c r="N207" s="2234" t="str">
        <v>日元（JPY）</v>
      </c>
      <c r="O207" s="2239" t="n">
        <v>3.48</v>
      </c>
      <c r="P207" s="2234" t="str">
        <v>LCU/USD</v>
      </c>
      <c r="Q207" s="2239" t="n">
        <v>1</v>
      </c>
      <c r="R207" s="2234" t="str">
        <v>B：学术历史汇编</v>
      </c>
      <c r="S207" s="2234" t="str">
        <v>年度汇率!H21；原始记录!A153:M153</v>
      </c>
      <c r="T207" s="2234" t="str"/>
      <c r="U207" t="n" s="2231">
        <v>1936</v>
      </c>
      <c r="V207" t="str" s="2231">
        <v>法国旧法郎</v>
      </c>
    </row>
    <row r="208" ht="15.0" customHeight="1">
      <c r="A208" s="2234" t="n">
        <v>1935</v>
      </c>
      <c r="B208" s="2234" t="str">
        <v>CHF</v>
      </c>
      <c r="C208" s="2234" t="str">
        <v>瑞士法郎（CHF）</v>
      </c>
      <c r="D208" s="2234" t="str">
        <v>可用</v>
      </c>
      <c r="E208" s="2238" t="n">
        <v>3.0772</v>
      </c>
      <c r="F208" s="2234" t="str">
        <v>年均</v>
      </c>
      <c r="G208" s="2234" t="str">
        <v>MeasuringWorth：瑞士年均汇率</v>
      </c>
      <c r="H208" s="2234" t="str">
        <v>https://www.measuringworth.com/datasets/exchangeglobal/result.php?countryE%5B%5D=Switzerland&amp;year_result=1955&amp;year_source=1905</v>
      </c>
      <c r="I208" s="2234" t="str">
        <v>1935-01-01—1935-12-31</v>
      </c>
      <c r="J208" s="2234" t="str">
        <v>historical_exchange_rates_1920_2026.xlsx</v>
      </c>
      <c r="K208" s="2234" t="str">
        <v>纽约市场；1941仅上半年报价，1942–1945原表无值。</v>
      </c>
      <c r="L208" s="2234" t="str">
        <v>原报价已按 1 美元兑换本币表示。</v>
      </c>
      <c r="M208" s="2234" t="str">
        <v>1935|瑞士法郎（CHF）</v>
      </c>
      <c r="N208" s="2234" t="str">
        <v>瑞士法郎（CHF）</v>
      </c>
      <c r="O208" s="2239" t="n">
        <v>3.0772</v>
      </c>
      <c r="P208" s="2234" t="str">
        <v>LCU/USD</v>
      </c>
      <c r="Q208" s="2239" t="n">
        <v>1</v>
      </c>
      <c r="R208" s="2234" t="str">
        <v>B：学术历史汇编</v>
      </c>
      <c r="S208" s="2234" t="str">
        <v>年度汇率!I21；原始记录!A154:M154</v>
      </c>
      <c r="T208" s="2234" t="str"/>
      <c r="U208" t="n" s="2231">
        <v>1936</v>
      </c>
      <c r="V208" t="str" s="2231">
        <v>帝国马克（Reichsmark）</v>
      </c>
    </row>
    <row r="209" ht="15.0" customHeight="1">
      <c r="A209" s="2234" t="n">
        <v>1935</v>
      </c>
      <c r="B209" s="2234" t="str">
        <v>INR</v>
      </c>
      <c r="C209" s="2234" t="str">
        <v>英属印度卢比</v>
      </c>
      <c r="D209" s="2234" t="str">
        <v>可用</v>
      </c>
      <c r="E209" s="2238" t="n">
        <v>2.71</v>
      </c>
      <c r="F209" s="2234" t="str">
        <v>年均</v>
      </c>
      <c r="G209" s="2234" t="str">
        <v>MeasuringWorth：印度年均汇率</v>
      </c>
      <c r="H209" s="2234" t="str">
        <v>https://www.measuringworth.com/datasets/exchangeglobal/result.php?countryE%5B%5D=India&amp;year_result=1948&amp;year_source=1916</v>
      </c>
      <c r="I209" s="2234" t="str">
        <v>1935-01-01—1935-12-31</v>
      </c>
      <c r="J209" s="2234" t="str">
        <v>historical_exchange_rates_1920_2026.xlsx</v>
      </c>
      <c r="K209" s="2234" t="str">
        <v>英属印度／印度卢比；保留原表精度。</v>
      </c>
      <c r="L209" s="2234" t="str">
        <v>原报价已按 1 美元兑换本币表示。</v>
      </c>
      <c r="M209" s="2234" t="str">
        <v>1935|英属印度卢比</v>
      </c>
      <c r="N209" s="2234" t="str">
        <v>英属印度卢比</v>
      </c>
      <c r="O209" s="2239" t="n">
        <v>2.71</v>
      </c>
      <c r="P209" s="2234" t="str">
        <v>LCU/USD</v>
      </c>
      <c r="Q209" s="2239" t="n">
        <v>1</v>
      </c>
      <c r="R209" s="2234" t="str">
        <v>B：学术历史汇编</v>
      </c>
      <c r="S209" s="2234" t="str">
        <v>年度汇率!J21；原始记录!A155:M155</v>
      </c>
      <c r="T209" s="2234" t="str"/>
      <c r="U209" t="n" s="2231">
        <v>1936</v>
      </c>
      <c r="V209" t="str" s="2231">
        <v>意大利里拉（ITL）</v>
      </c>
    </row>
    <row r="210" ht="36.0" customHeight="1">
      <c r="A210" s="2234" t="n">
        <v>1935</v>
      </c>
      <c r="B210" s="2234" t="str">
        <v>SUR_1924</v>
      </c>
      <c r="C210" s="2234" t="str">
        <v>苏联卢布（1924币制）</v>
      </c>
      <c r="D210" s="2234" t="str">
        <v>可用</v>
      </c>
      <c r="E210" s="2238" t="n">
        <v>1.1509</v>
      </c>
      <c r="F210" s="2234" t="str">
        <v>定点官价参考（非年均）</v>
      </c>
      <c r="G210" s="2234" t="str">
        <v>苏联卢布历史官价表（Wikipedia转引俄央行历史档案）</v>
      </c>
      <c r="H210" s="2234" t="str">
        <v>https://en.wikipedia.org/wiki/Soviet_ruble#Exchange_rates</v>
      </c>
      <c r="I210" s="2234" t="str">
        <v>1935-01-01</v>
      </c>
      <c r="J210" s="2234" t="str">
        <v>historical_exchange_rates_1920_2026.xlsx</v>
      </c>
      <c r="K210"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210" s="2234" t="str">
        <v>原报价已按 1 美元兑换本币表示。</v>
      </c>
      <c r="M210" s="2234" t="str">
        <v>1935|苏联卢布（1924币制）</v>
      </c>
      <c r="N210" s="2234" t="str">
        <v>苏联卢布（1924币制）</v>
      </c>
      <c r="O210" s="2239" t="n">
        <v>1.1509</v>
      </c>
      <c r="P210" s="2234" t="str">
        <v>LCU/USD</v>
      </c>
      <c r="Q210" s="2239" t="n">
        <v>1</v>
      </c>
      <c r="R210" s="2234" t="str">
        <v>C：二手转引（原档未复核）</v>
      </c>
      <c r="S210" s="2234" t="str">
        <v>年度汇率!K21；原始记录!A156:M156</v>
      </c>
      <c r="T210" s="2234" t="str">
        <v>官价参考，并非市场年均汇率</v>
      </c>
      <c r="U210" t="n" s="2231">
        <v>1936</v>
      </c>
      <c r="V210" t="str" s="2231">
        <v>日元（JPY）</v>
      </c>
    </row>
    <row r="211" ht="48.0" customHeight="1">
      <c r="A211" s="2234" t="n">
        <v>1935</v>
      </c>
      <c r="B211" s="2234" t="str">
        <v>CN_TRANSITION_1935</v>
      </c>
      <c r="C211" s="2234" t="str">
        <v>银元／法币（元，过渡年）</v>
      </c>
      <c r="D211" s="2234" t="str">
        <v>可用</v>
      </c>
      <c r="E211" s="2238" t="n">
        <v>2.7344294749621962</v>
      </c>
      <c r="F211" s="2234" t="str">
        <v>年均</v>
      </c>
      <c r="G211" s="2234" t="str">
        <v>美联储《Banking and Monetary Statistics 1914—1941》表173，中国，印刷页667</v>
      </c>
      <c r="H211" s="2234" t="str">
        <v>https://fraser.stlouisfed.org/title/banking-monetary-statistics-1914-1941-38/part-i-6408/fulltext</v>
      </c>
      <c r="I211" s="2234" t="str">
        <v>1935-01-01—1935-12-31</v>
      </c>
      <c r="J211" s="2234" t="str">
        <v>historical_exchange_rates_1920_2026.xlsx</v>
      </c>
      <c r="K211" s="2234" t="str">
        <v>纽约报价；100÷美分年均报价；不同币制年份单位见实际币名表，并非全国统一零售兑换价。 反向值由原报价均值取倒数；不等于反向日度汇率的算术平均。
原表日度报价的年均值，单位：美分／中国货币单位。1920—21上海两；1922—32旧银元；1933年4月10日起新元；1935年币制过渡；1936—41法币。</v>
      </c>
      <c r="L211" s="2234" t="str">
        <v>原报价为每单位本币兑美元，取原报价均值的倒数；不等于反向日度汇率的算术平均。乘以 100，还原当年币制的计价单位。</v>
      </c>
      <c r="M211" s="2234" t="str">
        <v>1935|银元／法币（元，过渡年）</v>
      </c>
      <c r="N211" s="2234" t="str">
        <v>银元／法币（元，过渡年）</v>
      </c>
      <c r="O211" s="2239" t="n">
        <v>36.5707</v>
      </c>
      <c r="P211" s="2234" t="str">
        <v>US cents/LCU</v>
      </c>
      <c r="Q211" s="2239" t="n">
        <v>100</v>
      </c>
      <c r="R211" s="2234" t="str">
        <v>A：机构统计／原始统计表</v>
      </c>
      <c r="S211" s="2234" t="str">
        <v>年度汇率!L21；原始记录!A157:M157</v>
      </c>
      <c r="T211" s="2234" t="str">
        <v>币制过渡期，请留意实际币名与观测日期</v>
      </c>
      <c r="U211" t="n" s="2231">
        <v>1936</v>
      </c>
      <c r="V211" t="str" s="2231">
        <v>瑞士法郎（CHF）</v>
      </c>
    </row>
    <row r="212" ht="15.0" customHeight="1">
      <c r="A212" s="2234" t="n">
        <v>1936</v>
      </c>
      <c r="B212" s="2234" t="str">
        <v>USD</v>
      </c>
      <c r="C212" s="2234" t="str">
        <v>美元（USD）</v>
      </c>
      <c r="D212" s="2234" t="str">
        <v>可用</v>
      </c>
      <c r="E212" s="2238" t="n">
        <v>1</v>
      </c>
      <c r="F212" s="2234" t="str">
        <v>基准恒等</v>
      </c>
      <c r="G212" s="2234" t="str">
        <v>用户提供的历史汇率表</v>
      </c>
      <c r="H212" s="2234" t="str"/>
      <c r="I212" s="2234" t="str">
        <v>1936</v>
      </c>
      <c r="J212" s="2234" t="str">
        <v>historical_exchange_rates_1920_2026.xlsx</v>
      </c>
      <c r="K212" s="2234" t="str">
        <v>1 美元等于 1 美元，无外部报价。</v>
      </c>
      <c r="L212" s="2234" t="str">
        <v>美元基准，汇率恒为 1。</v>
      </c>
      <c r="M212" s="2234" t="str">
        <v>1936|美元（USD）</v>
      </c>
      <c r="N212" s="2234" t="str">
        <v>美元（USD）</v>
      </c>
      <c r="O212" s="2239"/>
      <c r="P212" s="2234" t="str"/>
      <c r="Q212" s="2239"/>
      <c r="R212" s="2234" t="str"/>
      <c r="S212" s="2234" t="str">
        <v>年度汇率!B22</v>
      </c>
      <c r="T212" s="2234" t="str"/>
      <c r="U212" t="n" s="2231">
        <v>1936</v>
      </c>
      <c r="V212" t="str" s="2231">
        <v>英属印度卢比</v>
      </c>
    </row>
    <row r="213" ht="15.0" customHeight="1">
      <c r="A213" s="2234" t="n">
        <v>1936</v>
      </c>
      <c r="B213" s="2234" t="str">
        <v>GBP</v>
      </c>
      <c r="C213" s="2234" t="str">
        <v>英镑（GBP）</v>
      </c>
      <c r="D213" s="2234" t="str">
        <v>可用</v>
      </c>
      <c r="E213" s="2238" t="n">
        <v>0.2012</v>
      </c>
      <c r="F213" s="2234" t="str">
        <v>年均</v>
      </c>
      <c r="G213" s="2234" t="str">
        <v>MeasuringWorth：英镑／美元年度历史汇率</v>
      </c>
      <c r="H213" s="2234" t="str">
        <v>https://www.measuringworth.com/datasets/exchangeglobal/result.php?countryE%5B%5D=United+Kingdom&amp;year_result=2007&amp;year_source=1791</v>
      </c>
      <c r="I213" s="2234" t="str">
        <v>1936-01-01—1936-12-31</v>
      </c>
      <c r="J213" s="2234" t="str">
        <v>historical_exchange_rates_1920_2026.xlsx</v>
      </c>
      <c r="K213" s="2234" t="str">
        <v>年度汇率，本币／美元；1920—1949。</v>
      </c>
      <c r="L213" s="2234" t="str">
        <v>原报价已按 1 美元兑换本币表示。</v>
      </c>
      <c r="M213" s="2234" t="str">
        <v>1936|英镑（GBP）</v>
      </c>
      <c r="N213" s="2234" t="str">
        <v>英镑（GBP）</v>
      </c>
      <c r="O213" s="2239" t="n">
        <v>0.2012</v>
      </c>
      <c r="P213" s="2234" t="str">
        <v>LCU/USD</v>
      </c>
      <c r="Q213" s="2239" t="n">
        <v>1</v>
      </c>
      <c r="R213" s="2234" t="str">
        <v>B：学术历史汇编</v>
      </c>
      <c r="S213" s="2234" t="str">
        <v>年度汇率!C22；原始记录!A158:M158</v>
      </c>
      <c r="T213" s="2234" t="str"/>
      <c r="U213" t="n" s="2231">
        <v>1936</v>
      </c>
      <c r="V213" t="str" s="2231">
        <v>苏联卢布（1924币制）</v>
      </c>
    </row>
    <row r="214" ht="15.0" customHeight="1">
      <c r="A214" s="2234" t="n">
        <v>1936</v>
      </c>
      <c r="B214" s="2234" t="str">
        <v>CAD</v>
      </c>
      <c r="C214" s="2234" t="str">
        <v>加拿大元（CAD）</v>
      </c>
      <c r="D214" s="2234" t="str">
        <v>可用</v>
      </c>
      <c r="E214" s="2238" t="n">
        <v>1.001</v>
      </c>
      <c r="F214" s="2234" t="str">
        <v>年均</v>
      </c>
      <c r="G214" s="2234" t="str">
        <v>Lawrence H. Officer / MeasuringWorth：加拿大元</v>
      </c>
      <c r="H214" s="2234" t="str">
        <v>https://www.measuringworth.com/datasets/exchangeglobal/result.php?countryE%5B%5D=Canada&amp;year_result=2007&amp;year_source=1913</v>
      </c>
      <c r="I214" s="2234" t="str">
        <v>1936-01-01—1936-12-31</v>
      </c>
      <c r="J214" s="2234" t="str">
        <v>historical_exchange_rates_1920_2026.xlsx</v>
      </c>
      <c r="K214" s="2234" t="str">
        <v>纽约市场年度报价；1942—1945缺失。</v>
      </c>
      <c r="L214" s="2234" t="str">
        <v>原报价已按 1 美元兑换本币表示。</v>
      </c>
      <c r="M214" s="2234" t="str">
        <v>1936|加拿大元（CAD）</v>
      </c>
      <c r="N214" s="2234" t="str">
        <v>加拿大元（CAD）</v>
      </c>
      <c r="O214" s="2239" t="n">
        <v>1.001</v>
      </c>
      <c r="P214" s="2234" t="str">
        <v>LCU/USD</v>
      </c>
      <c r="Q214" s="2239" t="n">
        <v>1</v>
      </c>
      <c r="R214" s="2234" t="str">
        <v>B：学术历史汇编</v>
      </c>
      <c r="S214" s="2234" t="str">
        <v>年度汇率!D22；原始记录!A159:M159</v>
      </c>
      <c r="T214" s="2234" t="str"/>
      <c r="U214" t="n" s="2231">
        <v>1936</v>
      </c>
      <c r="V214" t="str" s="2231">
        <v>法币元</v>
      </c>
    </row>
    <row r="215" ht="15.0" customHeight="1">
      <c r="A215" s="2234" t="n">
        <v>1936</v>
      </c>
      <c r="B215" s="2234" t="str">
        <v>FRF_OLD</v>
      </c>
      <c r="C215" s="2234" t="str">
        <v>法国旧法郎</v>
      </c>
      <c r="D215" s="2234" t="str">
        <v>可用</v>
      </c>
      <c r="E215" s="2238" t="n">
        <v>16.356</v>
      </c>
      <c r="F215" s="2234" t="str">
        <v>年均</v>
      </c>
      <c r="G215" s="2234" t="str">
        <v>MeasuringWorth：法国年均汇率</v>
      </c>
      <c r="H215" s="2234" t="str">
        <v>https://www.measuringworth.com/datasets/exchangeglobal/result.php?countryE%5B%5D=France&amp;year_result=1940&amp;year_source=1920</v>
      </c>
      <c r="I215" s="2234" t="str">
        <v>1936-01-01—1936-12-31</v>
      </c>
      <c r="J215" s="2234" t="str">
        <v>historical_exchange_rates_1920_2026.xlsx</v>
      </c>
      <c r="K215" s="2234" t="str">
        <v>纽约市场；1940仅至6月15日可用报价。</v>
      </c>
      <c r="L215" s="2234" t="str">
        <v>原报价已按 1 美元兑换本币表示。</v>
      </c>
      <c r="M215" s="2234" t="str">
        <v>1936|法国旧法郎</v>
      </c>
      <c r="N215" s="2234" t="str">
        <v>法国旧法郎</v>
      </c>
      <c r="O215" s="2239" t="n">
        <v>16.356</v>
      </c>
      <c r="P215" s="2234" t="str">
        <v>LCU/USD</v>
      </c>
      <c r="Q215" s="2239" t="n">
        <v>1</v>
      </c>
      <c r="R215" s="2234" t="str">
        <v>B：学术历史汇编</v>
      </c>
      <c r="S215" s="2234" t="str">
        <v>年度汇率!E22；原始记录!A160:M160</v>
      </c>
      <c r="T215" s="2234" t="str"/>
      <c r="U215" t="n" s="2231">
        <v>1937</v>
      </c>
      <c r="V215" t="str" s="2231">
        <v>美元（USD）</v>
      </c>
    </row>
    <row r="216" ht="24.0" customHeight="1">
      <c r="A216" s="2234" t="n">
        <v>1936</v>
      </c>
      <c r="B216" s="2234" t="str">
        <v>RM</v>
      </c>
      <c r="C216" s="2234" t="str">
        <v>帝国马克（Reichsmark）</v>
      </c>
      <c r="D216" s="2234" t="str">
        <v>可用</v>
      </c>
      <c r="E216" s="2238" t="n">
        <v>2.48</v>
      </c>
      <c r="F216" s="2234" t="str">
        <v>年均</v>
      </c>
      <c r="G216" s="2234" t="str">
        <v>Harold Marcuse / UCSB：德国，转载Officer年度表</v>
      </c>
      <c r="H216" s="2234" t="str">
        <v>https://marcuse.faculty.history.ucsb.edu/projects/currency.htm</v>
      </c>
      <c r="I216" s="2234" t="str">
        <v>1936-01-01—1936-12-31</v>
      </c>
      <c r="J216" s="2234" t="str">
        <v>historical_exchange_rates_1920_2026.xlsx</v>
      </c>
      <c r="K216" s="2234" t="str">
        <v>使用右侧annual avg.表，不使用左侧定点汇率；1923—1924数据有币改及倒数均值口径疑点，未采用。</v>
      </c>
      <c r="L216" s="2234" t="str">
        <v>原报价已按 1 美元兑换本币表示。</v>
      </c>
      <c r="M216" s="2234" t="str">
        <v>1936|帝国马克（Reichsmark）</v>
      </c>
      <c r="N216" s="2234" t="str">
        <v>帝国马克（Reichsmark）</v>
      </c>
      <c r="O216" s="2239" t="n">
        <v>2.48</v>
      </c>
      <c r="P216" s="2234" t="str">
        <v>LCU/USD</v>
      </c>
      <c r="Q216" s="2239" t="n">
        <v>1</v>
      </c>
      <c r="R216" s="2234" t="str">
        <v>B：大学页面转录</v>
      </c>
      <c r="S216" s="2234" t="str">
        <v>年度汇率!F22、年度汇率!M22；原始记录!A161:M161</v>
      </c>
      <c r="T216" s="2234" t="str"/>
      <c r="U216" t="n" s="2231">
        <v>1937</v>
      </c>
      <c r="V216" t="str" s="2231">
        <v>英镑（GBP）</v>
      </c>
    </row>
    <row r="217" ht="36.0" customHeight="1">
      <c r="A217" s="2234" t="n">
        <v>1936</v>
      </c>
      <c r="B217" s="2234" t="str">
        <v>ITL</v>
      </c>
      <c r="C217" s="2234" t="str">
        <v>意大利里拉（ITL）</v>
      </c>
      <c r="D217" s="2234" t="str">
        <v>可用</v>
      </c>
      <c r="E217" s="2238" t="n">
        <v>13.71441110318723</v>
      </c>
      <c r="F217" s="2234" t="str">
        <v>年均</v>
      </c>
      <c r="G217" s="2234" t="str">
        <v>美联储《Banking and Monetary Statistics 1914—1941》表173，意大利，印刷页673</v>
      </c>
      <c r="H217" s="2234" t="str">
        <v>https://fraser.stlouisfed.org/title/banking-monetary-statistics-1914-1941-38/part-i-6408/fulltext</v>
      </c>
      <c r="I217" s="2234" t="str">
        <v>1936-01-01—1936-12-31</v>
      </c>
      <c r="J217" s="2234" t="str">
        <v>historical_exchange_rates_1920_2026.xlsx</v>
      </c>
      <c r="K217" s="2234" t="str">
        <v>纽约报价；由美分／里拉的年均报价取倒数，非里拉／美元逐日均值。 反向值由原报价均值取倒数；不等于反向日度汇率的算术平均。
原表为日度报价的年平均，单位：美分／里拉；标准化为100÷原值。</v>
      </c>
      <c r="L217" s="2234" t="str">
        <v>原报价为每单位本币兑美元，取原报价均值的倒数；不等于反向日度汇率的算术平均。乘以 100，还原当年币制的计价单位。</v>
      </c>
      <c r="M217" s="2234" t="str">
        <v>1936|意大利里拉（ITL）</v>
      </c>
      <c r="N217" s="2234" t="str">
        <v>意大利里拉（ITL）</v>
      </c>
      <c r="O217" s="2239" t="n">
        <v>7.2916</v>
      </c>
      <c r="P217" s="2234" t="str">
        <v>US cents/LCU</v>
      </c>
      <c r="Q217" s="2239" t="n">
        <v>100</v>
      </c>
      <c r="R217" s="2234" t="str">
        <v>A：机构统计／原始统计表</v>
      </c>
      <c r="S217" s="2234" t="str">
        <v>年度汇率!G22；原始记录!A162:M162</v>
      </c>
      <c r="T217" s="2234" t="str"/>
      <c r="U217" t="n" s="2231">
        <v>1937</v>
      </c>
      <c r="V217" t="str" s="2231">
        <v>加拿大元（CAD）</v>
      </c>
    </row>
    <row r="218" ht="15.0" customHeight="1">
      <c r="A218" s="2234" t="n">
        <v>1936</v>
      </c>
      <c r="B218" s="2234" t="str">
        <v>JPY</v>
      </c>
      <c r="C218" s="2234" t="str">
        <v>日元（JPY）</v>
      </c>
      <c r="D218" s="2234" t="str">
        <v>可用</v>
      </c>
      <c r="E218" s="2238" t="n">
        <v>3.45</v>
      </c>
      <c r="F218" s="2234" t="str">
        <v>年均</v>
      </c>
      <c r="G218" s="2234" t="str">
        <v>MeasuringWorth：日本年均汇率</v>
      </c>
      <c r="H218" s="2234" t="str">
        <v>https://www.measuringworth.com/datasets/exchangeglobal/result.php?countryE%5B%5D=Japan&amp;year_result=2016&amp;year_source=1916</v>
      </c>
      <c r="I218" s="2234" t="str">
        <v>1936-01-01—1936-12-31</v>
      </c>
      <c r="J218" s="2234" t="str">
        <v>historical_exchange_rates_1920_2026.xlsx</v>
      </c>
      <c r="K218" s="2234" t="str">
        <v>以纽约市场年度平均报价为主；保留原表精度。</v>
      </c>
      <c r="L218" s="2234" t="str">
        <v>原报价已按 1 美元兑换本币表示。</v>
      </c>
      <c r="M218" s="2234" t="str">
        <v>1936|日元（JPY）</v>
      </c>
      <c r="N218" s="2234" t="str">
        <v>日元（JPY）</v>
      </c>
      <c r="O218" s="2239" t="n">
        <v>3.45</v>
      </c>
      <c r="P218" s="2234" t="str">
        <v>LCU/USD</v>
      </c>
      <c r="Q218" s="2239" t="n">
        <v>1</v>
      </c>
      <c r="R218" s="2234" t="str">
        <v>B：学术历史汇编</v>
      </c>
      <c r="S218" s="2234" t="str">
        <v>年度汇率!H22；原始记录!A163:M163</v>
      </c>
      <c r="T218" s="2234" t="str"/>
      <c r="U218" t="n" s="2231">
        <v>1937</v>
      </c>
      <c r="V218" t="str" s="2231">
        <v>法国旧法郎</v>
      </c>
    </row>
    <row r="219" ht="15.0" customHeight="1">
      <c r="A219" s="2234" t="n">
        <v>1936</v>
      </c>
      <c r="B219" s="2234" t="str">
        <v>CHF</v>
      </c>
      <c r="C219" s="2234" t="str">
        <v>瑞士法郎（CHF）</v>
      </c>
      <c r="D219" s="2234" t="str">
        <v>可用</v>
      </c>
      <c r="E219" s="2238" t="n">
        <v>3.3125</v>
      </c>
      <c r="F219" s="2234" t="str">
        <v>年均</v>
      </c>
      <c r="G219" s="2234" t="str">
        <v>MeasuringWorth：瑞士年均汇率</v>
      </c>
      <c r="H219" s="2234" t="str">
        <v>https://www.measuringworth.com/datasets/exchangeglobal/result.php?countryE%5B%5D=Switzerland&amp;year_result=1955&amp;year_source=1905</v>
      </c>
      <c r="I219" s="2234" t="str">
        <v>1936-01-01—1936-12-31</v>
      </c>
      <c r="J219" s="2234" t="str">
        <v>historical_exchange_rates_1920_2026.xlsx</v>
      </c>
      <c r="K219" s="2234" t="str">
        <v>纽约市场；1941仅上半年报价，1942–1945原表无值。</v>
      </c>
      <c r="L219" s="2234" t="str">
        <v>原报价已按 1 美元兑换本币表示。</v>
      </c>
      <c r="M219" s="2234" t="str">
        <v>1936|瑞士法郎（CHF）</v>
      </c>
      <c r="N219" s="2234" t="str">
        <v>瑞士法郎（CHF）</v>
      </c>
      <c r="O219" s="2239" t="n">
        <v>3.3125</v>
      </c>
      <c r="P219" s="2234" t="str">
        <v>LCU/USD</v>
      </c>
      <c r="Q219" s="2239" t="n">
        <v>1</v>
      </c>
      <c r="R219" s="2234" t="str">
        <v>B：学术历史汇编</v>
      </c>
      <c r="S219" s="2234" t="str">
        <v>年度汇率!I22；原始记录!A164:M164</v>
      </c>
      <c r="T219" s="2234" t="str"/>
      <c r="U219" t="n" s="2231">
        <v>1937</v>
      </c>
      <c r="V219" t="str" s="2231">
        <v>帝国马克（Reichsmark）</v>
      </c>
    </row>
    <row r="220" ht="15.0" customHeight="1">
      <c r="A220" s="2234" t="n">
        <v>1936</v>
      </c>
      <c r="B220" s="2234" t="str">
        <v>INR</v>
      </c>
      <c r="C220" s="2234" t="str">
        <v>英属印度卢比</v>
      </c>
      <c r="D220" s="2234" t="str">
        <v>可用</v>
      </c>
      <c r="E220" s="2238" t="n">
        <v>2.67</v>
      </c>
      <c r="F220" s="2234" t="str">
        <v>年均</v>
      </c>
      <c r="G220" s="2234" t="str">
        <v>MeasuringWorth：印度年均汇率</v>
      </c>
      <c r="H220" s="2234" t="str">
        <v>https://www.measuringworth.com/datasets/exchangeglobal/result.php?countryE%5B%5D=India&amp;year_result=1948&amp;year_source=1916</v>
      </c>
      <c r="I220" s="2234" t="str">
        <v>1936-01-01—1936-12-31</v>
      </c>
      <c r="J220" s="2234" t="str">
        <v>historical_exchange_rates_1920_2026.xlsx</v>
      </c>
      <c r="K220" s="2234" t="str">
        <v>英属印度／印度卢比；保留原表精度。</v>
      </c>
      <c r="L220" s="2234" t="str">
        <v>原报价已按 1 美元兑换本币表示。</v>
      </c>
      <c r="M220" s="2234" t="str">
        <v>1936|英属印度卢比</v>
      </c>
      <c r="N220" s="2234" t="str">
        <v>英属印度卢比</v>
      </c>
      <c r="O220" s="2239" t="n">
        <v>2.67</v>
      </c>
      <c r="P220" s="2234" t="str">
        <v>LCU/USD</v>
      </c>
      <c r="Q220" s="2239" t="n">
        <v>1</v>
      </c>
      <c r="R220" s="2234" t="str">
        <v>B：学术历史汇编</v>
      </c>
      <c r="S220" s="2234" t="str">
        <v>年度汇率!J22；原始记录!A165:M165</v>
      </c>
      <c r="T220" s="2234" t="str"/>
      <c r="U220" t="n" s="2231">
        <v>1937</v>
      </c>
      <c r="V220" t="str" s="2231">
        <v>意大利里拉（ITL）</v>
      </c>
    </row>
    <row r="221" ht="36.0" customHeight="1">
      <c r="A221" s="2234" t="n">
        <v>1936</v>
      </c>
      <c r="B221" s="2234" t="str">
        <v>SUR_1924</v>
      </c>
      <c r="C221" s="2234" t="str">
        <v>苏联卢布（1924币制）</v>
      </c>
      <c r="D221" s="2234" t="str">
        <v>可用</v>
      </c>
      <c r="E221" s="2238" t="n">
        <v>1.1516</v>
      </c>
      <c r="F221" s="2234" t="str">
        <v>定点官价参考（非年均）</v>
      </c>
      <c r="G221" s="2234" t="str">
        <v>苏联卢布历史官价表（Wikipedia转引俄央行历史档案）</v>
      </c>
      <c r="H221" s="2234" t="str">
        <v>https://en.wikipedia.org/wiki/Soviet_ruble#Exchange_rates</v>
      </c>
      <c r="I221" s="2234" t="str">
        <v>1936-01-01</v>
      </c>
      <c r="J221" s="2234" t="str">
        <v>historical_exchange_rates_1920_2026.xlsx</v>
      </c>
      <c r="K221"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221" s="2234" t="str">
        <v>原报价已按 1 美元兑换本币表示。</v>
      </c>
      <c r="M221" s="2234" t="str">
        <v>1936|苏联卢布（1924币制）</v>
      </c>
      <c r="N221" s="2234" t="str">
        <v>苏联卢布（1924币制）</v>
      </c>
      <c r="O221" s="2239" t="n">
        <v>1.1516</v>
      </c>
      <c r="P221" s="2234" t="str">
        <v>LCU/USD</v>
      </c>
      <c r="Q221" s="2239" t="n">
        <v>1</v>
      </c>
      <c r="R221" s="2234" t="str">
        <v>C：二手转引（原档未复核）</v>
      </c>
      <c r="S221" s="2234" t="str">
        <v>年度汇率!K22；原始记录!A166:M166</v>
      </c>
      <c r="T221" s="2234" t="str">
        <v>官价参考，并非市场年均汇率</v>
      </c>
      <c r="U221" t="n" s="2231">
        <v>1937</v>
      </c>
      <c r="V221" t="str" s="2231">
        <v>日元（JPY）</v>
      </c>
    </row>
    <row r="222" ht="48.0" customHeight="1">
      <c r="A222" s="2234" t="n">
        <v>1936</v>
      </c>
      <c r="B222" s="2234" t="str">
        <v>FABI</v>
      </c>
      <c r="C222" s="2234" t="str">
        <v>法币元</v>
      </c>
      <c r="D222" s="2234" t="str">
        <v>可用</v>
      </c>
      <c r="E222" s="2238" t="n">
        <v>3.3612767473597174</v>
      </c>
      <c r="F222" s="2234" t="str">
        <v>年均</v>
      </c>
      <c r="G222" s="2234" t="str">
        <v>美联储《Banking and Monetary Statistics 1914—1941》表173，中国，印刷页667</v>
      </c>
      <c r="H222" s="2234" t="str">
        <v>https://fraser.stlouisfed.org/title/banking-monetary-statistics-1914-1941-38/part-i-6408/fulltext</v>
      </c>
      <c r="I222" s="2234" t="str">
        <v>1936-01-01—1936-12-31</v>
      </c>
      <c r="J222" s="2234" t="str">
        <v>historical_exchange_rates_1920_2026.xlsx</v>
      </c>
      <c r="K222" s="2234" t="str">
        <v>纽约报价；100÷美分年均报价；不同币制年份单位见实际币名表，并非全国统一零售兑换价。 反向值由原报价均值取倒数；不等于反向日度汇率的算术平均。
原表日度报价的年均值，单位：美分／中国货币单位。1920—21上海两；1922—32旧银元；1933年4月10日起新元；1935年币制过渡；1936—41法币。</v>
      </c>
      <c r="L222" s="2234" t="str">
        <v>原报价为每单位本币兑美元，取原报价均值的倒数；不等于反向日度汇率的算术平均。乘以 100，还原当年币制的计价单位。</v>
      </c>
      <c r="M222" s="2234" t="str">
        <v>1936|法币元</v>
      </c>
      <c r="N222" s="2234" t="str">
        <v>法币元</v>
      </c>
      <c r="O222" s="2239" t="n">
        <v>29.7506</v>
      </c>
      <c r="P222" s="2234" t="str">
        <v>US cents/LCU</v>
      </c>
      <c r="Q222" s="2239" t="n">
        <v>100</v>
      </c>
      <c r="R222" s="2234" t="str">
        <v>A：机构统计／原始统计表</v>
      </c>
      <c r="S222" s="2234" t="str">
        <v>年度汇率!L22；原始记录!A167:M167</v>
      </c>
      <c r="T222" s="2234" t="str"/>
      <c r="U222" t="n" s="2231">
        <v>1937</v>
      </c>
      <c r="V222" t="str" s="2231">
        <v>瑞士法郎（CHF）</v>
      </c>
    </row>
    <row r="223" ht="15.0" customHeight="1">
      <c r="A223" s="2234" t="n">
        <v>1937</v>
      </c>
      <c r="B223" s="2234" t="str">
        <v>USD</v>
      </c>
      <c r="C223" s="2234" t="str">
        <v>美元（USD）</v>
      </c>
      <c r="D223" s="2234" t="str">
        <v>可用</v>
      </c>
      <c r="E223" s="2238" t="n">
        <v>1</v>
      </c>
      <c r="F223" s="2234" t="str">
        <v>基准恒等</v>
      </c>
      <c r="G223" s="2234" t="str">
        <v>用户提供的历史汇率表</v>
      </c>
      <c r="H223" s="2234" t="str"/>
      <c r="I223" s="2234" t="str">
        <v>1937</v>
      </c>
      <c r="J223" s="2234" t="str">
        <v>historical_exchange_rates_1920_2026.xlsx</v>
      </c>
      <c r="K223" s="2234" t="str">
        <v>1 美元等于 1 美元，无外部报价。</v>
      </c>
      <c r="L223" s="2234" t="str">
        <v>美元基准，汇率恒为 1。</v>
      </c>
      <c r="M223" s="2234" t="str">
        <v>1937|美元（USD）</v>
      </c>
      <c r="N223" s="2234" t="str">
        <v>美元（USD）</v>
      </c>
      <c r="O223" s="2239"/>
      <c r="P223" s="2234" t="str"/>
      <c r="Q223" s="2239"/>
      <c r="R223" s="2234" t="str"/>
      <c r="S223" s="2234" t="str">
        <v>年度汇率!B23</v>
      </c>
      <c r="T223" s="2234" t="str"/>
      <c r="U223" t="n" s="2231">
        <v>1937</v>
      </c>
      <c r="V223" t="str" s="2231">
        <v>英属印度卢比</v>
      </c>
    </row>
    <row r="224" ht="15.0" customHeight="1">
      <c r="A224" s="2234" t="n">
        <v>1937</v>
      </c>
      <c r="B224" s="2234" t="str">
        <v>GBP</v>
      </c>
      <c r="C224" s="2234" t="str">
        <v>英镑（GBP）</v>
      </c>
      <c r="D224" s="2234" t="str">
        <v>可用</v>
      </c>
      <c r="E224" s="2238" t="n">
        <v>0.2023</v>
      </c>
      <c r="F224" s="2234" t="str">
        <v>年均</v>
      </c>
      <c r="G224" s="2234" t="str">
        <v>MeasuringWorth：英镑／美元年度历史汇率</v>
      </c>
      <c r="H224" s="2234" t="str">
        <v>https://www.measuringworth.com/datasets/exchangeglobal/result.php?countryE%5B%5D=United+Kingdom&amp;year_result=2007&amp;year_source=1791</v>
      </c>
      <c r="I224" s="2234" t="str">
        <v>1937-01-01—1937-12-31</v>
      </c>
      <c r="J224" s="2234" t="str">
        <v>historical_exchange_rates_1920_2026.xlsx</v>
      </c>
      <c r="K224" s="2234" t="str">
        <v>年度汇率，本币／美元；1920—1949。</v>
      </c>
      <c r="L224" s="2234" t="str">
        <v>原报价已按 1 美元兑换本币表示。</v>
      </c>
      <c r="M224" s="2234" t="str">
        <v>1937|英镑（GBP）</v>
      </c>
      <c r="N224" s="2234" t="str">
        <v>英镑（GBP）</v>
      </c>
      <c r="O224" s="2239" t="n">
        <v>0.2023</v>
      </c>
      <c r="P224" s="2234" t="str">
        <v>LCU/USD</v>
      </c>
      <c r="Q224" s="2239" t="n">
        <v>1</v>
      </c>
      <c r="R224" s="2234" t="str">
        <v>B：学术历史汇编</v>
      </c>
      <c r="S224" s="2234" t="str">
        <v>年度汇率!C23；原始记录!A168:M168</v>
      </c>
      <c r="T224" s="2234" t="str"/>
      <c r="U224" t="n" s="2231">
        <v>1937</v>
      </c>
      <c r="V224" t="str" s="2231">
        <v>苏联卢布（1924币制）</v>
      </c>
    </row>
    <row r="225" ht="15.0" customHeight="1">
      <c r="A225" s="2234" t="n">
        <v>1937</v>
      </c>
      <c r="B225" s="2234" t="str">
        <v>CAD</v>
      </c>
      <c r="C225" s="2234" t="str">
        <v>加拿大元（CAD）</v>
      </c>
      <c r="D225" s="2234" t="str">
        <v>可用</v>
      </c>
      <c r="E225" s="2238" t="n">
        <v>1</v>
      </c>
      <c r="F225" s="2234" t="str">
        <v>年均</v>
      </c>
      <c r="G225" s="2234" t="str">
        <v>Lawrence H. Officer / MeasuringWorth：加拿大元</v>
      </c>
      <c r="H225" s="2234" t="str">
        <v>https://www.measuringworth.com/datasets/exchangeglobal/result.php?countryE%5B%5D=Canada&amp;year_result=2007&amp;year_source=1913</v>
      </c>
      <c r="I225" s="2234" t="str">
        <v>1937-01-01—1937-12-31</v>
      </c>
      <c r="J225" s="2234" t="str">
        <v>historical_exchange_rates_1920_2026.xlsx</v>
      </c>
      <c r="K225" s="2234" t="str">
        <v>纽约市场年度报价；1942—1945缺失。</v>
      </c>
      <c r="L225" s="2234" t="str">
        <v>原报价已按 1 美元兑换本币表示。</v>
      </c>
      <c r="M225" s="2234" t="str">
        <v>1937|加拿大元（CAD）</v>
      </c>
      <c r="N225" s="2234" t="str">
        <v>加拿大元（CAD）</v>
      </c>
      <c r="O225" s="2239" t="n">
        <v>1</v>
      </c>
      <c r="P225" s="2234" t="str">
        <v>LCU/USD</v>
      </c>
      <c r="Q225" s="2239" t="n">
        <v>1</v>
      </c>
      <c r="R225" s="2234" t="str">
        <v>B：学术历史汇编</v>
      </c>
      <c r="S225" s="2234" t="str">
        <v>年度汇率!D23；原始记录!A169:M169</v>
      </c>
      <c r="T225" s="2234" t="str"/>
      <c r="U225" t="n" s="2231">
        <v>1937</v>
      </c>
      <c r="V225" t="str" s="2231">
        <v>法币元</v>
      </c>
    </row>
    <row r="226" ht="15.0" customHeight="1">
      <c r="A226" s="2234" t="n">
        <v>1937</v>
      </c>
      <c r="B226" s="2234" t="str">
        <v>FRF_OLD</v>
      </c>
      <c r="C226" s="2234" t="str">
        <v>法国旧法郎</v>
      </c>
      <c r="D226" s="2234" t="str">
        <v>可用</v>
      </c>
      <c r="E226" s="2238" t="n">
        <v>24.716</v>
      </c>
      <c r="F226" s="2234" t="str">
        <v>年均</v>
      </c>
      <c r="G226" s="2234" t="str">
        <v>MeasuringWorth：法国年均汇率</v>
      </c>
      <c r="H226" s="2234" t="str">
        <v>https://www.measuringworth.com/datasets/exchangeglobal/result.php?countryE%5B%5D=France&amp;year_result=1940&amp;year_source=1920</v>
      </c>
      <c r="I226" s="2234" t="str">
        <v>1937-01-01—1937-12-31</v>
      </c>
      <c r="J226" s="2234" t="str">
        <v>historical_exchange_rates_1920_2026.xlsx</v>
      </c>
      <c r="K226" s="2234" t="str">
        <v>纽约市场；1940仅至6月15日可用报价。</v>
      </c>
      <c r="L226" s="2234" t="str">
        <v>原报价已按 1 美元兑换本币表示。</v>
      </c>
      <c r="M226" s="2234" t="str">
        <v>1937|法国旧法郎</v>
      </c>
      <c r="N226" s="2234" t="str">
        <v>法国旧法郎</v>
      </c>
      <c r="O226" s="2239" t="n">
        <v>24.716</v>
      </c>
      <c r="P226" s="2234" t="str">
        <v>LCU/USD</v>
      </c>
      <c r="Q226" s="2239" t="n">
        <v>1</v>
      </c>
      <c r="R226" s="2234" t="str">
        <v>B：学术历史汇编</v>
      </c>
      <c r="S226" s="2234" t="str">
        <v>年度汇率!E23；原始记录!A170:M170</v>
      </c>
      <c r="T226" s="2234" t="str"/>
      <c r="U226" t="n" s="2231">
        <v>1938</v>
      </c>
      <c r="V226" t="str" s="2231">
        <v>美元（USD）</v>
      </c>
    </row>
    <row r="227" ht="24.0" customHeight="1">
      <c r="A227" s="2234" t="n">
        <v>1937</v>
      </c>
      <c r="B227" s="2234" t="str">
        <v>RM</v>
      </c>
      <c r="C227" s="2234" t="str">
        <v>帝国马克（Reichsmark）</v>
      </c>
      <c r="D227" s="2234" t="str">
        <v>可用</v>
      </c>
      <c r="E227" s="2238" t="n">
        <v>2.49</v>
      </c>
      <c r="F227" s="2234" t="str">
        <v>年均</v>
      </c>
      <c r="G227" s="2234" t="str">
        <v>Harold Marcuse / UCSB：德国，转载Officer年度表</v>
      </c>
      <c r="H227" s="2234" t="str">
        <v>https://marcuse.faculty.history.ucsb.edu/projects/currency.htm</v>
      </c>
      <c r="I227" s="2234" t="str">
        <v>1937-01-01—1937-12-31</v>
      </c>
      <c r="J227" s="2234" t="str">
        <v>historical_exchange_rates_1920_2026.xlsx</v>
      </c>
      <c r="K227" s="2234" t="str">
        <v>使用右侧annual avg.表，不使用左侧定点汇率；1923—1924数据有币改及倒数均值口径疑点，未采用。</v>
      </c>
      <c r="L227" s="2234" t="str">
        <v>原报价已按 1 美元兑换本币表示。</v>
      </c>
      <c r="M227" s="2234" t="str">
        <v>1937|帝国马克（Reichsmark）</v>
      </c>
      <c r="N227" s="2234" t="str">
        <v>帝国马克（Reichsmark）</v>
      </c>
      <c r="O227" s="2239" t="n">
        <v>2.49</v>
      </c>
      <c r="P227" s="2234" t="str">
        <v>LCU/USD</v>
      </c>
      <c r="Q227" s="2239" t="n">
        <v>1</v>
      </c>
      <c r="R227" s="2234" t="str">
        <v>B：大学页面转录</v>
      </c>
      <c r="S227" s="2234" t="str">
        <v>年度汇率!F23、年度汇率!M23；原始记录!A171:M171</v>
      </c>
      <c r="T227" s="2234" t="str"/>
      <c r="U227" t="n" s="2231">
        <v>1938</v>
      </c>
      <c r="V227" t="str" s="2231">
        <v>英镑（GBP）</v>
      </c>
    </row>
    <row r="228" ht="36.0" customHeight="1">
      <c r="A228" s="2234" t="n">
        <v>1937</v>
      </c>
      <c r="B228" s="2234" t="str">
        <v>ITL</v>
      </c>
      <c r="C228" s="2234" t="str">
        <v>意大利里拉（ITL）</v>
      </c>
      <c r="D228" s="2234" t="str">
        <v>可用</v>
      </c>
      <c r="E228" s="2238" t="n">
        <v>19.008877145627007</v>
      </c>
      <c r="F228" s="2234" t="str">
        <v>年均</v>
      </c>
      <c r="G228" s="2234" t="str">
        <v>美联储《Banking and Monetary Statistics 1914—1941》表173，意大利，印刷页673</v>
      </c>
      <c r="H228" s="2234" t="str">
        <v>https://fraser.stlouisfed.org/title/banking-monetary-statistics-1914-1941-38/part-i-6408/fulltext</v>
      </c>
      <c r="I228" s="2234" t="str">
        <v>1937-01-01—1937-12-31</v>
      </c>
      <c r="J228" s="2234" t="str">
        <v>historical_exchange_rates_1920_2026.xlsx</v>
      </c>
      <c r="K228" s="2234" t="str">
        <v>纽约报价；由美分／里拉的年均报价取倒数，非里拉／美元逐日均值。 反向值由原报价均值取倒数；不等于反向日度汇率的算术平均。
原表为日度报价的年平均，单位：美分／里拉；标准化为100÷原值。</v>
      </c>
      <c r="L228" s="2234" t="str">
        <v>原报价为每单位本币兑美元，取原报价均值的倒数；不等于反向日度汇率的算术平均。乘以 100，还原当年币制的计价单位。</v>
      </c>
      <c r="M228" s="2234" t="str">
        <v>1937|意大利里拉（ITL）</v>
      </c>
      <c r="N228" s="2234" t="str">
        <v>意大利里拉（ITL）</v>
      </c>
      <c r="O228" s="2239" t="n">
        <v>5.2607</v>
      </c>
      <c r="P228" s="2234" t="str">
        <v>US cents/LCU</v>
      </c>
      <c r="Q228" s="2239" t="n">
        <v>100</v>
      </c>
      <c r="R228" s="2234" t="str">
        <v>A：机构统计／原始统计表</v>
      </c>
      <c r="S228" s="2234" t="str">
        <v>年度汇率!G23；原始记录!A172:M172</v>
      </c>
      <c r="T228" s="2234" t="str"/>
      <c r="U228" t="n" s="2231">
        <v>1938</v>
      </c>
      <c r="V228" t="str" s="2231">
        <v>加拿大元（CAD）</v>
      </c>
    </row>
    <row r="229" ht="15.0" customHeight="1">
      <c r="A229" s="2234" t="n">
        <v>1937</v>
      </c>
      <c r="B229" s="2234" t="str">
        <v>JPY</v>
      </c>
      <c r="C229" s="2234" t="str">
        <v>日元（JPY）</v>
      </c>
      <c r="D229" s="2234" t="str">
        <v>可用</v>
      </c>
      <c r="E229" s="2238" t="n">
        <v>3.47</v>
      </c>
      <c r="F229" s="2234" t="str">
        <v>年均</v>
      </c>
      <c r="G229" s="2234" t="str">
        <v>MeasuringWorth：日本年均汇率</v>
      </c>
      <c r="H229" s="2234" t="str">
        <v>https://www.measuringworth.com/datasets/exchangeglobal/result.php?countryE%5B%5D=Japan&amp;year_result=2016&amp;year_source=1916</v>
      </c>
      <c r="I229" s="2234" t="str">
        <v>1937-01-01—1937-12-31</v>
      </c>
      <c r="J229" s="2234" t="str">
        <v>historical_exchange_rates_1920_2026.xlsx</v>
      </c>
      <c r="K229" s="2234" t="str">
        <v>以纽约市场年度平均报价为主；保留原表精度。</v>
      </c>
      <c r="L229" s="2234" t="str">
        <v>原报价已按 1 美元兑换本币表示。</v>
      </c>
      <c r="M229" s="2234" t="str">
        <v>1937|日元（JPY）</v>
      </c>
      <c r="N229" s="2234" t="str">
        <v>日元（JPY）</v>
      </c>
      <c r="O229" s="2239" t="n">
        <v>3.47</v>
      </c>
      <c r="P229" s="2234" t="str">
        <v>LCU/USD</v>
      </c>
      <c r="Q229" s="2239" t="n">
        <v>1</v>
      </c>
      <c r="R229" s="2234" t="str">
        <v>B：学术历史汇编</v>
      </c>
      <c r="S229" s="2234" t="str">
        <v>年度汇率!H23；原始记录!A173:M173</v>
      </c>
      <c r="T229" s="2234" t="str"/>
      <c r="U229" t="n" s="2231">
        <v>1938</v>
      </c>
      <c r="V229" t="str" s="2231">
        <v>法国旧法郎</v>
      </c>
    </row>
    <row r="230" ht="15.0" customHeight="1">
      <c r="A230" s="2234" t="n">
        <v>1937</v>
      </c>
      <c r="B230" s="2234" t="str">
        <v>CHF</v>
      </c>
      <c r="C230" s="2234" t="str">
        <v>瑞士法郎（CHF）</v>
      </c>
      <c r="D230" s="2234" t="str">
        <v>可用</v>
      </c>
      <c r="E230" s="2238" t="n">
        <v>4.3596</v>
      </c>
      <c r="F230" s="2234" t="str">
        <v>年均</v>
      </c>
      <c r="G230" s="2234" t="str">
        <v>MeasuringWorth：瑞士年均汇率</v>
      </c>
      <c r="H230" s="2234" t="str">
        <v>https://www.measuringworth.com/datasets/exchangeglobal/result.php?countryE%5B%5D=Switzerland&amp;year_result=1955&amp;year_source=1905</v>
      </c>
      <c r="I230" s="2234" t="str">
        <v>1937-01-01—1937-12-31</v>
      </c>
      <c r="J230" s="2234" t="str">
        <v>historical_exchange_rates_1920_2026.xlsx</v>
      </c>
      <c r="K230" s="2234" t="str">
        <v>纽约市场；1941仅上半年报价，1942–1945原表无值。</v>
      </c>
      <c r="L230" s="2234" t="str">
        <v>原报价已按 1 美元兑换本币表示。</v>
      </c>
      <c r="M230" s="2234" t="str">
        <v>1937|瑞士法郎（CHF）</v>
      </c>
      <c r="N230" s="2234" t="str">
        <v>瑞士法郎（CHF）</v>
      </c>
      <c r="O230" s="2239" t="n">
        <v>4.3596</v>
      </c>
      <c r="P230" s="2234" t="str">
        <v>LCU/USD</v>
      </c>
      <c r="Q230" s="2239" t="n">
        <v>1</v>
      </c>
      <c r="R230" s="2234" t="str">
        <v>B：学术历史汇编</v>
      </c>
      <c r="S230" s="2234" t="str">
        <v>年度汇率!I23；原始记录!A174:M174</v>
      </c>
      <c r="T230" s="2234" t="str"/>
      <c r="U230" t="n" s="2231">
        <v>1938</v>
      </c>
      <c r="V230" t="str" s="2231">
        <v>帝国马克（Reichsmark）</v>
      </c>
    </row>
    <row r="231" ht="15.0" customHeight="1">
      <c r="A231" s="2234" t="n">
        <v>1937</v>
      </c>
      <c r="B231" s="2234" t="str">
        <v>INR</v>
      </c>
      <c r="C231" s="2234" t="str">
        <v>英属印度卢比</v>
      </c>
      <c r="D231" s="2234" t="str">
        <v>可用</v>
      </c>
      <c r="E231" s="2238" t="n">
        <v>2.68</v>
      </c>
      <c r="F231" s="2234" t="str">
        <v>年均</v>
      </c>
      <c r="G231" s="2234" t="str">
        <v>MeasuringWorth：印度年均汇率</v>
      </c>
      <c r="H231" s="2234" t="str">
        <v>https://www.measuringworth.com/datasets/exchangeglobal/result.php?countryE%5B%5D=India&amp;year_result=1948&amp;year_source=1916</v>
      </c>
      <c r="I231" s="2234" t="str">
        <v>1937-01-01—1937-12-31</v>
      </c>
      <c r="J231" s="2234" t="str">
        <v>historical_exchange_rates_1920_2026.xlsx</v>
      </c>
      <c r="K231" s="2234" t="str">
        <v>英属印度／印度卢比；保留原表精度。</v>
      </c>
      <c r="L231" s="2234" t="str">
        <v>原报价已按 1 美元兑换本币表示。</v>
      </c>
      <c r="M231" s="2234" t="str">
        <v>1937|英属印度卢比</v>
      </c>
      <c r="N231" s="2234" t="str">
        <v>英属印度卢比</v>
      </c>
      <c r="O231" s="2239" t="n">
        <v>2.68</v>
      </c>
      <c r="P231" s="2234" t="str">
        <v>LCU/USD</v>
      </c>
      <c r="Q231" s="2239" t="n">
        <v>1</v>
      </c>
      <c r="R231" s="2234" t="str">
        <v>B：学术历史汇编</v>
      </c>
      <c r="S231" s="2234" t="str">
        <v>年度汇率!J23；原始记录!A175:M175</v>
      </c>
      <c r="T231" s="2234" t="str"/>
      <c r="U231" t="n" s="2231">
        <v>1938</v>
      </c>
      <c r="V231" t="str" s="2231">
        <v>意大利里拉（ITL）</v>
      </c>
    </row>
    <row r="232" ht="36.0" customHeight="1">
      <c r="A232" s="2234" t="n">
        <v>1937</v>
      </c>
      <c r="B232" s="2234" t="str">
        <v>SUR_1924</v>
      </c>
      <c r="C232" s="2234" t="str">
        <v>苏联卢布（1924币制）</v>
      </c>
      <c r="D232" s="2234" t="str">
        <v>可用</v>
      </c>
      <c r="E232" s="2238" t="n">
        <v>5.04</v>
      </c>
      <c r="F232" s="2234" t="str">
        <v>定点官价参考（非年均）</v>
      </c>
      <c r="G232" s="2234" t="str">
        <v>苏联卢布历史官价表（Wikipedia转引俄央行历史档案）</v>
      </c>
      <c r="H232" s="2234" t="str">
        <v>https://en.wikipedia.org/wiki/Soviet_ruble#Exchange_rates</v>
      </c>
      <c r="I232" s="2234" t="str">
        <v>1937-01-01</v>
      </c>
      <c r="J232" s="2234" t="str">
        <v>historical_exchange_rates_1920_2026.xlsx</v>
      </c>
      <c r="K232"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232" s="2234" t="str">
        <v>原报价已按 1 美元兑换本币表示。</v>
      </c>
      <c r="M232" s="2234" t="str">
        <v>1937|苏联卢布（1924币制）</v>
      </c>
      <c r="N232" s="2234" t="str">
        <v>苏联卢布（1924币制）</v>
      </c>
      <c r="O232" s="2239" t="n">
        <v>5.04</v>
      </c>
      <c r="P232" s="2234" t="str">
        <v>LCU/USD</v>
      </c>
      <c r="Q232" s="2239" t="n">
        <v>1</v>
      </c>
      <c r="R232" s="2234" t="str">
        <v>C：二手转引（原档未复核）</v>
      </c>
      <c r="S232" s="2234" t="str">
        <v>年度汇率!K23；原始记录!A176:M176</v>
      </c>
      <c r="T232" s="2234" t="str">
        <v>官价参考，并非市场年均汇率</v>
      </c>
      <c r="U232" t="n" s="2231">
        <v>1938</v>
      </c>
      <c r="V232" t="str" s="2231">
        <v>日元（JPY）</v>
      </c>
    </row>
    <row r="233" ht="48.0" customHeight="1">
      <c r="A233" s="2234" t="n">
        <v>1937</v>
      </c>
      <c r="B233" s="2234" t="str">
        <v>FABI</v>
      </c>
      <c r="C233" s="2234" t="str">
        <v>法币元</v>
      </c>
      <c r="D233" s="2234" t="str">
        <v>可用</v>
      </c>
      <c r="E233" s="2238" t="n">
        <v>3.377648076091656</v>
      </c>
      <c r="F233" s="2234" t="str">
        <v>年均</v>
      </c>
      <c r="G233" s="2234" t="str">
        <v>美联储《Banking and Monetary Statistics 1914—1941》表173，中国，印刷页667</v>
      </c>
      <c r="H233" s="2234" t="str">
        <v>https://fraser.stlouisfed.org/title/banking-monetary-statistics-1914-1941-38/part-i-6408/fulltext</v>
      </c>
      <c r="I233" s="2234" t="str">
        <v>1937-01-01—1937-12-31</v>
      </c>
      <c r="J233" s="2234" t="str">
        <v>historical_exchange_rates_1920_2026.xlsx</v>
      </c>
      <c r="K233" s="2234" t="str">
        <v>纽约报价；100÷美分年均报价；不同币制年份单位见实际币名表，并非全国统一零售兑换价。 反向值由原报价均值取倒数；不等于反向日度汇率的算术平均。
原表日度报价的年均值，单位：美分／中国货币单位。1920—21上海两；1922—32旧银元；1933年4月10日起新元；1935年币制过渡；1936—41法币。</v>
      </c>
      <c r="L233" s="2234" t="str">
        <v>原报价为每单位本币兑美元，取原报价均值的倒数；不等于反向日度汇率的算术平均。乘以 100，还原当年币制的计价单位。</v>
      </c>
      <c r="M233" s="2234" t="str">
        <v>1937|法币元</v>
      </c>
      <c r="N233" s="2234" t="str">
        <v>法币元</v>
      </c>
      <c r="O233" s="2239" t="n">
        <v>29.6064</v>
      </c>
      <c r="P233" s="2234" t="str">
        <v>US cents/LCU</v>
      </c>
      <c r="Q233" s="2239" t="n">
        <v>100</v>
      </c>
      <c r="R233" s="2234" t="str">
        <v>A：机构统计／原始统计表</v>
      </c>
      <c r="S233" s="2234" t="str">
        <v>年度汇率!L23；原始记录!A177:M177</v>
      </c>
      <c r="T233" s="2234" t="str"/>
      <c r="U233" t="n" s="2231">
        <v>1938</v>
      </c>
      <c r="V233" t="str" s="2231">
        <v>瑞士法郎（CHF）</v>
      </c>
    </row>
    <row r="234" ht="15.0" customHeight="1">
      <c r="A234" s="2234" t="n">
        <v>1938</v>
      </c>
      <c r="B234" s="2234" t="str">
        <v>USD</v>
      </c>
      <c r="C234" s="2234" t="str">
        <v>美元（USD）</v>
      </c>
      <c r="D234" s="2234" t="str">
        <v>可用</v>
      </c>
      <c r="E234" s="2238" t="n">
        <v>1</v>
      </c>
      <c r="F234" s="2234" t="str">
        <v>基准恒等</v>
      </c>
      <c r="G234" s="2234" t="str">
        <v>用户提供的历史汇率表</v>
      </c>
      <c r="H234" s="2234" t="str"/>
      <c r="I234" s="2234" t="str">
        <v>1938</v>
      </c>
      <c r="J234" s="2234" t="str">
        <v>historical_exchange_rates_1920_2026.xlsx</v>
      </c>
      <c r="K234" s="2234" t="str">
        <v>1 美元等于 1 美元，无外部报价。</v>
      </c>
      <c r="L234" s="2234" t="str">
        <v>美元基准，汇率恒为 1。</v>
      </c>
      <c r="M234" s="2234" t="str">
        <v>1938|美元（USD）</v>
      </c>
      <c r="N234" s="2234" t="str">
        <v>美元（USD）</v>
      </c>
      <c r="O234" s="2239"/>
      <c r="P234" s="2234" t="str"/>
      <c r="Q234" s="2239"/>
      <c r="R234" s="2234" t="str"/>
      <c r="S234" s="2234" t="str">
        <v>年度汇率!B24</v>
      </c>
      <c r="T234" s="2234" t="str"/>
      <c r="U234" t="n" s="2231">
        <v>1938</v>
      </c>
      <c r="V234" t="str" s="2231">
        <v>英属印度卢比</v>
      </c>
    </row>
    <row r="235" ht="15.0" customHeight="1">
      <c r="A235" s="2234" t="n">
        <v>1938</v>
      </c>
      <c r="B235" s="2234" t="str">
        <v>GBP</v>
      </c>
      <c r="C235" s="2234" t="str">
        <v>英镑（GBP）</v>
      </c>
      <c r="D235" s="2234" t="str">
        <v>可用</v>
      </c>
      <c r="E235" s="2238" t="n">
        <v>0.2045</v>
      </c>
      <c r="F235" s="2234" t="str">
        <v>年均</v>
      </c>
      <c r="G235" s="2234" t="str">
        <v>MeasuringWorth：英镑／美元年度历史汇率</v>
      </c>
      <c r="H235" s="2234" t="str">
        <v>https://www.measuringworth.com/datasets/exchangeglobal/result.php?countryE%5B%5D=United+Kingdom&amp;year_result=2007&amp;year_source=1791</v>
      </c>
      <c r="I235" s="2234" t="str">
        <v>1938-01-01—1938-12-31</v>
      </c>
      <c r="J235" s="2234" t="str">
        <v>historical_exchange_rates_1920_2026.xlsx</v>
      </c>
      <c r="K235" s="2234" t="str">
        <v>年度汇率，本币／美元；1920—1949。</v>
      </c>
      <c r="L235" s="2234" t="str">
        <v>原报价已按 1 美元兑换本币表示。</v>
      </c>
      <c r="M235" s="2234" t="str">
        <v>1938|英镑（GBP）</v>
      </c>
      <c r="N235" s="2234" t="str">
        <v>英镑（GBP）</v>
      </c>
      <c r="O235" s="2239" t="n">
        <v>0.2045</v>
      </c>
      <c r="P235" s="2234" t="str">
        <v>LCU/USD</v>
      </c>
      <c r="Q235" s="2239" t="n">
        <v>1</v>
      </c>
      <c r="R235" s="2234" t="str">
        <v>B：学术历史汇编</v>
      </c>
      <c r="S235" s="2234" t="str">
        <v>年度汇率!C24；原始记录!A178:M178</v>
      </c>
      <c r="T235" s="2234" t="str"/>
      <c r="U235" t="n" s="2231">
        <v>1938</v>
      </c>
      <c r="V235" t="str" s="2231">
        <v>苏联卢布（1924币制）</v>
      </c>
    </row>
    <row r="236" ht="15.0" customHeight="1">
      <c r="A236" s="2234" t="n">
        <v>1938</v>
      </c>
      <c r="B236" s="2234" t="str">
        <v>CAD</v>
      </c>
      <c r="C236" s="2234" t="str">
        <v>加拿大元（CAD）</v>
      </c>
      <c r="D236" s="2234" t="str">
        <v>可用</v>
      </c>
      <c r="E236" s="2238" t="n">
        <v>1.006</v>
      </c>
      <c r="F236" s="2234" t="str">
        <v>年均</v>
      </c>
      <c r="G236" s="2234" t="str">
        <v>Lawrence H. Officer / MeasuringWorth：加拿大元</v>
      </c>
      <c r="H236" s="2234" t="str">
        <v>https://www.measuringworth.com/datasets/exchangeglobal/result.php?countryE%5B%5D=Canada&amp;year_result=2007&amp;year_source=1913</v>
      </c>
      <c r="I236" s="2234" t="str">
        <v>1938-01-01—1938-12-31</v>
      </c>
      <c r="J236" s="2234" t="str">
        <v>historical_exchange_rates_1920_2026.xlsx</v>
      </c>
      <c r="K236" s="2234" t="str">
        <v>纽约市场年度报价；1942—1945缺失。</v>
      </c>
      <c r="L236" s="2234" t="str">
        <v>原报价已按 1 美元兑换本币表示。</v>
      </c>
      <c r="M236" s="2234" t="str">
        <v>1938|加拿大元（CAD）</v>
      </c>
      <c r="N236" s="2234" t="str">
        <v>加拿大元（CAD）</v>
      </c>
      <c r="O236" s="2239" t="n">
        <v>1.006</v>
      </c>
      <c r="P236" s="2234" t="str">
        <v>LCU/USD</v>
      </c>
      <c r="Q236" s="2239" t="n">
        <v>1</v>
      </c>
      <c r="R236" s="2234" t="str">
        <v>B：学术历史汇编</v>
      </c>
      <c r="S236" s="2234" t="str">
        <v>年度汇率!D24；原始记录!A179:M179</v>
      </c>
      <c r="T236" s="2234" t="str"/>
      <c r="U236" t="n" s="2231">
        <v>1938</v>
      </c>
      <c r="V236" t="str" s="2231">
        <v>法币元</v>
      </c>
    </row>
    <row r="237" ht="15.0" customHeight="1">
      <c r="A237" s="2234" t="n">
        <v>1938</v>
      </c>
      <c r="B237" s="2234" t="str">
        <v>FRF_OLD</v>
      </c>
      <c r="C237" s="2234" t="str">
        <v>法国旧法郎</v>
      </c>
      <c r="D237" s="2234" t="str">
        <v>可用</v>
      </c>
      <c r="E237" s="2238" t="n">
        <v>34.745</v>
      </c>
      <c r="F237" s="2234" t="str">
        <v>年均</v>
      </c>
      <c r="G237" s="2234" t="str">
        <v>MeasuringWorth：法国年均汇率</v>
      </c>
      <c r="H237" s="2234" t="str">
        <v>https://www.measuringworth.com/datasets/exchangeglobal/result.php?countryE%5B%5D=France&amp;year_result=1940&amp;year_source=1920</v>
      </c>
      <c r="I237" s="2234" t="str">
        <v>1938-01-01—1938-12-31</v>
      </c>
      <c r="J237" s="2234" t="str">
        <v>historical_exchange_rates_1920_2026.xlsx</v>
      </c>
      <c r="K237" s="2234" t="str">
        <v>纽约市场；1940仅至6月15日可用报价。</v>
      </c>
      <c r="L237" s="2234" t="str">
        <v>原报价已按 1 美元兑换本币表示。</v>
      </c>
      <c r="M237" s="2234" t="str">
        <v>1938|法国旧法郎</v>
      </c>
      <c r="N237" s="2234" t="str">
        <v>法国旧法郎</v>
      </c>
      <c r="O237" s="2239" t="n">
        <v>34.745</v>
      </c>
      <c r="P237" s="2234" t="str">
        <v>LCU/USD</v>
      </c>
      <c r="Q237" s="2239" t="n">
        <v>1</v>
      </c>
      <c r="R237" s="2234" t="str">
        <v>B：学术历史汇编</v>
      </c>
      <c r="S237" s="2234" t="str">
        <v>年度汇率!E24；原始记录!A180:M180</v>
      </c>
      <c r="T237" s="2234" t="str"/>
      <c r="U237" t="n" s="2231">
        <v>1939</v>
      </c>
      <c r="V237" t="str" s="2231">
        <v>美元（USD）</v>
      </c>
    </row>
    <row r="238" ht="24.0" customHeight="1">
      <c r="A238" s="2234" t="n">
        <v>1938</v>
      </c>
      <c r="B238" s="2234" t="str">
        <v>RM</v>
      </c>
      <c r="C238" s="2234" t="str">
        <v>帝国马克（Reichsmark）</v>
      </c>
      <c r="D238" s="2234" t="str">
        <v>可用</v>
      </c>
      <c r="E238" s="2238" t="n">
        <v>2.49</v>
      </c>
      <c r="F238" s="2234" t="str">
        <v>年均</v>
      </c>
      <c r="G238" s="2234" t="str">
        <v>Harold Marcuse / UCSB：德国，转载Officer年度表</v>
      </c>
      <c r="H238" s="2234" t="str">
        <v>https://marcuse.faculty.history.ucsb.edu/projects/currency.htm</v>
      </c>
      <c r="I238" s="2234" t="str">
        <v>1938-01-01—1938-12-31</v>
      </c>
      <c r="J238" s="2234" t="str">
        <v>historical_exchange_rates_1920_2026.xlsx</v>
      </c>
      <c r="K238" s="2234" t="str">
        <v>使用右侧annual avg.表，不使用左侧定点汇率；1923—1924数据有币改及倒数均值口径疑点，未采用。</v>
      </c>
      <c r="L238" s="2234" t="str">
        <v>原报价已按 1 美元兑换本币表示。</v>
      </c>
      <c r="M238" s="2234" t="str">
        <v>1938|帝国马克（Reichsmark）</v>
      </c>
      <c r="N238" s="2234" t="str">
        <v>帝国马克（Reichsmark）</v>
      </c>
      <c r="O238" s="2239" t="n">
        <v>2.49</v>
      </c>
      <c r="P238" s="2234" t="str">
        <v>LCU/USD</v>
      </c>
      <c r="Q238" s="2239" t="n">
        <v>1</v>
      </c>
      <c r="R238" s="2234" t="str">
        <v>B：大学页面转录</v>
      </c>
      <c r="S238" s="2234" t="str">
        <v>年度汇率!F24、年度汇率!M24；原始记录!A181:M181</v>
      </c>
      <c r="T238" s="2234" t="str"/>
      <c r="U238" t="n" s="2231">
        <v>1939</v>
      </c>
      <c r="V238" t="str" s="2231">
        <v>英镑（GBP）</v>
      </c>
    </row>
    <row r="239" ht="36.0" customHeight="1">
      <c r="A239" s="2234" t="n">
        <v>1938</v>
      </c>
      <c r="B239" s="2234" t="str">
        <v>ITL</v>
      </c>
      <c r="C239" s="2234" t="str">
        <v>意大利里拉（ITL）</v>
      </c>
      <c r="D239" s="2234" t="str">
        <v>可用</v>
      </c>
      <c r="E239" s="2238" t="n">
        <v>19.009599847923198</v>
      </c>
      <c r="F239" s="2234" t="str">
        <v>年均</v>
      </c>
      <c r="G239" s="2234" t="str">
        <v>美联储《Banking and Monetary Statistics 1914—1941》表173，意大利，印刷页673</v>
      </c>
      <c r="H239" s="2234" t="str">
        <v>https://fraser.stlouisfed.org/title/banking-monetary-statistics-1914-1941-38/part-i-6408/fulltext</v>
      </c>
      <c r="I239" s="2234" t="str">
        <v>1938-01-01—1938-12-31</v>
      </c>
      <c r="J239" s="2234" t="str">
        <v>historical_exchange_rates_1920_2026.xlsx</v>
      </c>
      <c r="K239" s="2234" t="str">
        <v>纽约报价；由美分／里拉的年均报价取倒数，非里拉／美元逐日均值。 反向值由原报价均值取倒数；不等于反向日度汇率的算术平均。
原表为日度报价的年平均，单位：美分／里拉；标准化为100÷原值。</v>
      </c>
      <c r="L239" s="2234" t="str">
        <v>原报价为每单位本币兑美元，取原报价均值的倒数；不等于反向日度汇率的算术平均。乘以 100，还原当年币制的计价单位。</v>
      </c>
      <c r="M239" s="2234" t="str">
        <v>1938|意大利里拉（ITL）</v>
      </c>
      <c r="N239" s="2234" t="str">
        <v>意大利里拉（ITL）</v>
      </c>
      <c r="O239" s="2239" t="n">
        <v>5.2605</v>
      </c>
      <c r="P239" s="2234" t="str">
        <v>US cents/LCU</v>
      </c>
      <c r="Q239" s="2239" t="n">
        <v>100</v>
      </c>
      <c r="R239" s="2234" t="str">
        <v>A：机构统计／原始统计表</v>
      </c>
      <c r="S239" s="2234" t="str">
        <v>年度汇率!G24；原始记录!A182:M182</v>
      </c>
      <c r="T239" s="2234" t="str"/>
      <c r="U239" t="n" s="2231">
        <v>1939</v>
      </c>
      <c r="V239" t="str" s="2231">
        <v>加拿大元（CAD）</v>
      </c>
    </row>
    <row r="240" ht="15.0" customHeight="1">
      <c r="A240" s="2234" t="n">
        <v>1938</v>
      </c>
      <c r="B240" s="2234" t="str">
        <v>JPY</v>
      </c>
      <c r="C240" s="2234" t="str">
        <v>日元（JPY）</v>
      </c>
      <c r="D240" s="2234" t="str">
        <v>可用</v>
      </c>
      <c r="E240" s="2238" t="n">
        <v>3.52</v>
      </c>
      <c r="F240" s="2234" t="str">
        <v>年均</v>
      </c>
      <c r="G240" s="2234" t="str">
        <v>MeasuringWorth：日本年均汇率</v>
      </c>
      <c r="H240" s="2234" t="str">
        <v>https://www.measuringworth.com/datasets/exchangeglobal/result.php?countryE%5B%5D=Japan&amp;year_result=2016&amp;year_source=1916</v>
      </c>
      <c r="I240" s="2234" t="str">
        <v>1938-01-01—1938-12-31</v>
      </c>
      <c r="J240" s="2234" t="str">
        <v>historical_exchange_rates_1920_2026.xlsx</v>
      </c>
      <c r="K240" s="2234" t="str">
        <v>以纽约市场年度平均报价为主；保留原表精度。</v>
      </c>
      <c r="L240" s="2234" t="str">
        <v>原报价已按 1 美元兑换本币表示。</v>
      </c>
      <c r="M240" s="2234" t="str">
        <v>1938|日元（JPY）</v>
      </c>
      <c r="N240" s="2234" t="str">
        <v>日元（JPY）</v>
      </c>
      <c r="O240" s="2239" t="n">
        <v>3.52</v>
      </c>
      <c r="P240" s="2234" t="str">
        <v>LCU/USD</v>
      </c>
      <c r="Q240" s="2239" t="n">
        <v>1</v>
      </c>
      <c r="R240" s="2234" t="str">
        <v>B：学术历史汇编</v>
      </c>
      <c r="S240" s="2234" t="str">
        <v>年度汇率!H24；原始记录!A183:M183</v>
      </c>
      <c r="T240" s="2234" t="str"/>
      <c r="U240" t="n" s="2231">
        <v>1939</v>
      </c>
      <c r="V240" t="str" s="2231">
        <v>法国旧法郎</v>
      </c>
    </row>
    <row r="241" ht="15.0" customHeight="1">
      <c r="A241" s="2234" t="n">
        <v>1938</v>
      </c>
      <c r="B241" s="2234" t="str">
        <v>CHF</v>
      </c>
      <c r="C241" s="2234" t="str">
        <v>瑞士法郎（CHF）</v>
      </c>
      <c r="D241" s="2234" t="str">
        <v>可用</v>
      </c>
      <c r="E241" s="2238" t="n">
        <v>4.3723</v>
      </c>
      <c r="F241" s="2234" t="str">
        <v>年均</v>
      </c>
      <c r="G241" s="2234" t="str">
        <v>MeasuringWorth：瑞士年均汇率</v>
      </c>
      <c r="H241" s="2234" t="str">
        <v>https://www.measuringworth.com/datasets/exchangeglobal/result.php?countryE%5B%5D=Switzerland&amp;year_result=1955&amp;year_source=1905</v>
      </c>
      <c r="I241" s="2234" t="str">
        <v>1938-01-01—1938-12-31</v>
      </c>
      <c r="J241" s="2234" t="str">
        <v>historical_exchange_rates_1920_2026.xlsx</v>
      </c>
      <c r="K241" s="2234" t="str">
        <v>纽约市场；1941仅上半年报价，1942–1945原表无值。</v>
      </c>
      <c r="L241" s="2234" t="str">
        <v>原报价已按 1 美元兑换本币表示。</v>
      </c>
      <c r="M241" s="2234" t="str">
        <v>1938|瑞士法郎（CHF）</v>
      </c>
      <c r="N241" s="2234" t="str">
        <v>瑞士法郎（CHF）</v>
      </c>
      <c r="O241" s="2239" t="n">
        <v>4.3723</v>
      </c>
      <c r="P241" s="2234" t="str">
        <v>LCU/USD</v>
      </c>
      <c r="Q241" s="2239" t="n">
        <v>1</v>
      </c>
      <c r="R241" s="2234" t="str">
        <v>B：学术历史汇编</v>
      </c>
      <c r="S241" s="2234" t="str">
        <v>年度汇率!I24；原始记录!A184:M184</v>
      </c>
      <c r="T241" s="2234" t="str"/>
      <c r="U241" t="n" s="2231">
        <v>1939</v>
      </c>
      <c r="V241" t="str" s="2231">
        <v>帝国马克（Reichsmark）</v>
      </c>
    </row>
    <row r="242" ht="15.0" customHeight="1">
      <c r="A242" s="2234" t="n">
        <v>1938</v>
      </c>
      <c r="B242" s="2234" t="str">
        <v>INR</v>
      </c>
      <c r="C242" s="2234" t="str">
        <v>英属印度卢比</v>
      </c>
      <c r="D242" s="2234" t="str">
        <v>可用</v>
      </c>
      <c r="E242" s="2238" t="n">
        <v>2.73</v>
      </c>
      <c r="F242" s="2234" t="str">
        <v>年均</v>
      </c>
      <c r="G242" s="2234" t="str">
        <v>MeasuringWorth：印度年均汇率</v>
      </c>
      <c r="H242" s="2234" t="str">
        <v>https://www.measuringworth.com/datasets/exchangeglobal/result.php?countryE%5B%5D=India&amp;year_result=1948&amp;year_source=1916</v>
      </c>
      <c r="I242" s="2234" t="str">
        <v>1938-01-01—1938-12-31</v>
      </c>
      <c r="J242" s="2234" t="str">
        <v>historical_exchange_rates_1920_2026.xlsx</v>
      </c>
      <c r="K242" s="2234" t="str">
        <v>英属印度／印度卢比；保留原表精度。</v>
      </c>
      <c r="L242" s="2234" t="str">
        <v>原报价已按 1 美元兑换本币表示。</v>
      </c>
      <c r="M242" s="2234" t="str">
        <v>1938|英属印度卢比</v>
      </c>
      <c r="N242" s="2234" t="str">
        <v>英属印度卢比</v>
      </c>
      <c r="O242" s="2239" t="n">
        <v>2.73</v>
      </c>
      <c r="P242" s="2234" t="str">
        <v>LCU/USD</v>
      </c>
      <c r="Q242" s="2239" t="n">
        <v>1</v>
      </c>
      <c r="R242" s="2234" t="str">
        <v>B：学术历史汇编</v>
      </c>
      <c r="S242" s="2234" t="str">
        <v>年度汇率!J24；原始记录!A185:M185</v>
      </c>
      <c r="T242" s="2234" t="str"/>
      <c r="U242" t="n" s="2231">
        <v>1939</v>
      </c>
      <c r="V242" t="str" s="2231">
        <v>意大利里拉（ITL）</v>
      </c>
    </row>
    <row r="243" ht="48.0" customHeight="1">
      <c r="A243" s="2234" t="n">
        <v>1938</v>
      </c>
      <c r="B243" s="2234" t="str">
        <v>SUR_1924</v>
      </c>
      <c r="C243" s="2234" t="str">
        <v>苏联卢布（1924币制）</v>
      </c>
      <c r="D243" s="2234" t="str">
        <v>可用</v>
      </c>
      <c r="E243" s="2238" t="n">
        <v>5.3</v>
      </c>
      <c r="F243" s="2234" t="str">
        <v>官价区间参考（非年均）</v>
      </c>
      <c r="G243" s="2234" t="str">
        <v>苏联卢布历史官价表（Wikipedia转引俄央行历史档案）</v>
      </c>
      <c r="H243" s="2234" t="str">
        <v>https://en.wikipedia.org/wiki/Soviet_ruble#Exchange_rates</v>
      </c>
      <c r="I243" s="2234" t="str">
        <v>1937-07-19—1950-02-01</v>
      </c>
      <c r="J243" s="2234" t="str">
        <v>historical_exchange_rates_1920_2026.xlsx</v>
      </c>
      <c r="K243"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243" s="2234" t="str">
        <v>原报价已按 1 美元兑换本币表示。</v>
      </c>
      <c r="M243" s="2234" t="str">
        <v>1938|苏联卢布（1924币制）</v>
      </c>
      <c r="N243" s="2234" t="str">
        <v>苏联卢布（1924币制）</v>
      </c>
      <c r="O243" s="2239" t="n">
        <v>5.3</v>
      </c>
      <c r="P243" s="2234" t="str">
        <v>LCU/USD</v>
      </c>
      <c r="Q243" s="2239" t="n">
        <v>1</v>
      </c>
      <c r="R243" s="2234" t="str">
        <v>C：二手转引（原档未复核）</v>
      </c>
      <c r="S243" s="2234" t="str">
        <v>年度汇率!K24；原始记录!A186:M186</v>
      </c>
      <c r="T243" s="2234" t="str">
        <v>官价参考，并非市场年均汇率</v>
      </c>
      <c r="U243" t="n" s="2231">
        <v>1939</v>
      </c>
      <c r="V243" t="str" s="2231">
        <v>日元（JPY）</v>
      </c>
    </row>
    <row r="244" ht="60.0" customHeight="1">
      <c r="A244" s="2234" t="n">
        <v>1938</v>
      </c>
      <c r="B244" s="2234" t="str">
        <v>FABI</v>
      </c>
      <c r="C244" s="2234" t="str">
        <v>法币元</v>
      </c>
      <c r="D244" s="2234" t="str">
        <v>可用</v>
      </c>
      <c r="E244" s="2238" t="n">
        <v>4.681735613026461</v>
      </c>
      <c r="F244" s="2234" t="str">
        <v>年均</v>
      </c>
      <c r="G244" s="2234" t="str">
        <v>美联储《Banking and Monetary Statistics 1914—1941》表173，中国，印刷页667</v>
      </c>
      <c r="H244" s="2234" t="str">
        <v>https://fraser.stlouisfed.org/title/banking-monetary-statistics-1914-1941-38/part-i-6408/fulltext</v>
      </c>
      <c r="I244" s="2234" t="str">
        <v>1938-01-01—1938-12-31</v>
      </c>
      <c r="J244" s="2234" t="str">
        <v>historical_exchange_rates_1920_2026.xlsx</v>
      </c>
      <c r="K244" s="2234" t="str">
        <v>纽约报价；100÷美分年均报价；不同币制年份单位见实际币名表，并非全国统一零售兑换价。 原表带名义报价标记；不可当作自由市场可成交价。 反向值由原报价均值取倒数；不等于反向日度汇率的算术平均。
原表日度报价的年均值，单位：美分／中国货币单位。1920—21上海两；1922—32旧银元；1933年4月10日起新元；1935年币制过渡；1936—41法币。</v>
      </c>
      <c r="L244" s="2234" t="str">
        <v>原报价为每单位本币兑美元，取原报价均值的倒数；不等于反向日度汇率的算术平均。乘以 100，还原当年币制的计价单位。</v>
      </c>
      <c r="M244" s="2234" t="str">
        <v>1938|法币元</v>
      </c>
      <c r="N244" s="2234" t="str">
        <v>法币元</v>
      </c>
      <c r="O244" s="2239" t="n">
        <v>21.3596</v>
      </c>
      <c r="P244" s="2234" t="str">
        <v>US cents/LCU</v>
      </c>
      <c r="Q244" s="2239" t="n">
        <v>100</v>
      </c>
      <c r="R244" s="2234" t="str">
        <v>A：机构统计／原始统计表</v>
      </c>
      <c r="S244" s="2234" t="str">
        <v>年度汇率!L24；原始记录!A187:M187</v>
      </c>
      <c r="T244" s="2234" t="str"/>
      <c r="U244" t="n" s="2231">
        <v>1939</v>
      </c>
      <c r="V244" t="str" s="2231">
        <v>瑞士法郎（CHF）</v>
      </c>
    </row>
    <row r="245" ht="15.0" customHeight="1">
      <c r="A245" s="2234" t="n">
        <v>1939</v>
      </c>
      <c r="B245" s="2234" t="str">
        <v>USD</v>
      </c>
      <c r="C245" s="2234" t="str">
        <v>美元（USD）</v>
      </c>
      <c r="D245" s="2234" t="str">
        <v>可用</v>
      </c>
      <c r="E245" s="2238" t="n">
        <v>1</v>
      </c>
      <c r="F245" s="2234" t="str">
        <v>基准恒等</v>
      </c>
      <c r="G245" s="2234" t="str">
        <v>用户提供的历史汇率表</v>
      </c>
      <c r="H245" s="2234" t="str"/>
      <c r="I245" s="2234" t="str">
        <v>1939</v>
      </c>
      <c r="J245" s="2234" t="str">
        <v>historical_exchange_rates_1920_2026.xlsx</v>
      </c>
      <c r="K245" s="2234" t="str">
        <v>1 美元等于 1 美元，无外部报价。</v>
      </c>
      <c r="L245" s="2234" t="str">
        <v>美元基准，汇率恒为 1。</v>
      </c>
      <c r="M245" s="2234" t="str">
        <v>1939|美元（USD）</v>
      </c>
      <c r="N245" s="2234" t="str">
        <v>美元（USD）</v>
      </c>
      <c r="O245" s="2239"/>
      <c r="P245" s="2234" t="str"/>
      <c r="Q245" s="2239"/>
      <c r="R245" s="2234" t="str"/>
      <c r="S245" s="2234" t="str">
        <v>年度汇率!B25</v>
      </c>
      <c r="T245" s="2234" t="str"/>
      <c r="U245" t="n" s="2231">
        <v>1939</v>
      </c>
      <c r="V245" t="str" s="2231">
        <v>英属印度卢比</v>
      </c>
    </row>
    <row r="246" ht="15.0" customHeight="1">
      <c r="A246" s="2234" t="n">
        <v>1939</v>
      </c>
      <c r="B246" s="2234" t="str">
        <v>GBP</v>
      </c>
      <c r="C246" s="2234" t="str">
        <v>英镑（GBP）</v>
      </c>
      <c r="D246" s="2234" t="str">
        <v>可用</v>
      </c>
      <c r="E246" s="2238" t="n">
        <v>0.2255</v>
      </c>
      <c r="F246" s="2234" t="str">
        <v>年均</v>
      </c>
      <c r="G246" s="2234" t="str">
        <v>MeasuringWorth：英镑／美元年度历史汇率</v>
      </c>
      <c r="H246" s="2234" t="str">
        <v>https://www.measuringworth.com/datasets/exchangeglobal/result.php?countryE%5B%5D=United+Kingdom&amp;year_result=2007&amp;year_source=1791</v>
      </c>
      <c r="I246" s="2234" t="str">
        <v>1939-01-01—1939-12-31</v>
      </c>
      <c r="J246" s="2234" t="str">
        <v>historical_exchange_rates_1920_2026.xlsx</v>
      </c>
      <c r="K246" s="2234" t="str">
        <v>年度汇率，本币／美元；1920—1949。</v>
      </c>
      <c r="L246" s="2234" t="str">
        <v>原报价已按 1 美元兑换本币表示。</v>
      </c>
      <c r="M246" s="2234" t="str">
        <v>1939|英镑（GBP）</v>
      </c>
      <c r="N246" s="2234" t="str">
        <v>英镑（GBP）</v>
      </c>
      <c r="O246" s="2239" t="n">
        <v>0.2255</v>
      </c>
      <c r="P246" s="2234" t="str">
        <v>LCU/USD</v>
      </c>
      <c r="Q246" s="2239" t="n">
        <v>1</v>
      </c>
      <c r="R246" s="2234" t="str">
        <v>B：学术历史汇编</v>
      </c>
      <c r="S246" s="2234" t="str">
        <v>年度汇率!C25；原始记录!A188:M188</v>
      </c>
      <c r="T246" s="2234" t="str"/>
      <c r="U246" t="n" s="2231">
        <v>1939</v>
      </c>
      <c r="V246" t="str" s="2231">
        <v>苏联卢布（1924币制）</v>
      </c>
    </row>
    <row r="247" ht="15.0" customHeight="1">
      <c r="A247" s="2234" t="n">
        <v>1939</v>
      </c>
      <c r="B247" s="2234" t="str">
        <v>CAD</v>
      </c>
      <c r="C247" s="2234" t="str">
        <v>加拿大元（CAD）</v>
      </c>
      <c r="D247" s="2234" t="str">
        <v>可用</v>
      </c>
      <c r="E247" s="2238" t="n">
        <v>1.041</v>
      </c>
      <c r="F247" s="2234" t="str">
        <v>年均</v>
      </c>
      <c r="G247" s="2234" t="str">
        <v>Lawrence H. Officer / MeasuringWorth：加拿大元</v>
      </c>
      <c r="H247" s="2234" t="str">
        <v>https://www.measuringworth.com/datasets/exchangeglobal/result.php?countryE%5B%5D=Canada&amp;year_result=2007&amp;year_source=1913</v>
      </c>
      <c r="I247" s="2234" t="str">
        <v>1939-01-01—1939-12-31</v>
      </c>
      <c r="J247" s="2234" t="str">
        <v>historical_exchange_rates_1920_2026.xlsx</v>
      </c>
      <c r="K247" s="2234" t="str">
        <v>纽约市场年度报价；1942—1945缺失。</v>
      </c>
      <c r="L247" s="2234" t="str">
        <v>原报价已按 1 美元兑换本币表示。</v>
      </c>
      <c r="M247" s="2234" t="str">
        <v>1939|加拿大元（CAD）</v>
      </c>
      <c r="N247" s="2234" t="str">
        <v>加拿大元（CAD）</v>
      </c>
      <c r="O247" s="2239" t="n">
        <v>1.041</v>
      </c>
      <c r="P247" s="2234" t="str">
        <v>LCU/USD</v>
      </c>
      <c r="Q247" s="2239" t="n">
        <v>1</v>
      </c>
      <c r="R247" s="2234" t="str">
        <v>B：学术历史汇编</v>
      </c>
      <c r="S247" s="2234" t="str">
        <v>年度汇率!D25；原始记录!A189:M189</v>
      </c>
      <c r="T247" s="2234" t="str"/>
      <c r="U247" t="n" s="2231">
        <v>1939</v>
      </c>
      <c r="V247" t="str" s="2231">
        <v>法币元</v>
      </c>
    </row>
    <row r="248" ht="15.0" customHeight="1">
      <c r="A248" s="2234" t="n">
        <v>1939</v>
      </c>
      <c r="B248" s="2234" t="str">
        <v>FRF_OLD</v>
      </c>
      <c r="C248" s="2234" t="str">
        <v>法国旧法郎</v>
      </c>
      <c r="D248" s="2234" t="str">
        <v>可用</v>
      </c>
      <c r="E248" s="2238" t="n">
        <v>39.836</v>
      </c>
      <c r="F248" s="2234" t="str">
        <v>年均</v>
      </c>
      <c r="G248" s="2234" t="str">
        <v>MeasuringWorth：法国年均汇率</v>
      </c>
      <c r="H248" s="2234" t="str">
        <v>https://www.measuringworth.com/datasets/exchangeglobal/result.php?countryE%5B%5D=France&amp;year_result=1940&amp;year_source=1920</v>
      </c>
      <c r="I248" s="2234" t="str">
        <v>1939-01-01—1939-12-31</v>
      </c>
      <c r="J248" s="2234" t="str">
        <v>historical_exchange_rates_1920_2026.xlsx</v>
      </c>
      <c r="K248" s="2234" t="str">
        <v>纽约市场；1940仅至6月15日可用报价。</v>
      </c>
      <c r="L248" s="2234" t="str">
        <v>原报价已按 1 美元兑换本币表示。</v>
      </c>
      <c r="M248" s="2234" t="str">
        <v>1939|法国旧法郎</v>
      </c>
      <c r="N248" s="2234" t="str">
        <v>法国旧法郎</v>
      </c>
      <c r="O248" s="2239" t="n">
        <v>39.836</v>
      </c>
      <c r="P248" s="2234" t="str">
        <v>LCU/USD</v>
      </c>
      <c r="Q248" s="2239" t="n">
        <v>1</v>
      </c>
      <c r="R248" s="2234" t="str">
        <v>B：学术历史汇编</v>
      </c>
      <c r="S248" s="2234" t="str">
        <v>年度汇率!E25；原始记录!A190:M190</v>
      </c>
      <c r="T248" s="2234" t="str"/>
      <c r="U248" t="n" s="2231">
        <v>1940</v>
      </c>
      <c r="V248" t="str" s="2231">
        <v>美元（USD）</v>
      </c>
    </row>
    <row r="249" ht="24.0" customHeight="1">
      <c r="A249" s="2234" t="n">
        <v>1939</v>
      </c>
      <c r="B249" s="2234" t="str">
        <v>RM</v>
      </c>
      <c r="C249" s="2234" t="str">
        <v>帝国马克（Reichsmark）</v>
      </c>
      <c r="D249" s="2234" t="str">
        <v>可用</v>
      </c>
      <c r="E249" s="2238" t="n">
        <v>2.5</v>
      </c>
      <c r="F249" s="2234" t="str">
        <v>年均</v>
      </c>
      <c r="G249" s="2234" t="str">
        <v>Harold Marcuse / UCSB：德国，转载Officer年度表</v>
      </c>
      <c r="H249" s="2234" t="str">
        <v>https://marcuse.faculty.history.ucsb.edu/projects/currency.htm</v>
      </c>
      <c r="I249" s="2234" t="str">
        <v>1939-01-01—1939-12-31</v>
      </c>
      <c r="J249" s="2234" t="str">
        <v>historical_exchange_rates_1920_2026.xlsx</v>
      </c>
      <c r="K249" s="2234" t="str">
        <v>使用右侧annual avg.表，不使用左侧定点汇率；1923—1924数据有币改及倒数均值口径疑点，未采用。</v>
      </c>
      <c r="L249" s="2234" t="str">
        <v>原报价已按 1 美元兑换本币表示。</v>
      </c>
      <c r="M249" s="2234" t="str">
        <v>1939|帝国马克（Reichsmark）</v>
      </c>
      <c r="N249" s="2234" t="str">
        <v>帝国马克（Reichsmark）</v>
      </c>
      <c r="O249" s="2239" t="n">
        <v>2.5</v>
      </c>
      <c r="P249" s="2234" t="str">
        <v>LCU/USD</v>
      </c>
      <c r="Q249" s="2239" t="n">
        <v>1</v>
      </c>
      <c r="R249" s="2234" t="str">
        <v>B：大学页面转录</v>
      </c>
      <c r="S249" s="2234" t="str">
        <v>年度汇率!F25、年度汇率!M25；原始记录!A191:M191</v>
      </c>
      <c r="T249" s="2234" t="str"/>
      <c r="U249" t="n" s="2231">
        <v>1940</v>
      </c>
      <c r="V249" t="str" s="2231">
        <v>英镑（GBP）</v>
      </c>
    </row>
    <row r="250" ht="36.0" customHeight="1">
      <c r="A250" s="2234" t="n">
        <v>1939</v>
      </c>
      <c r="B250" s="2234" t="str">
        <v>ITL</v>
      </c>
      <c r="C250" s="2234" t="str">
        <v>意大利里拉（ITL）</v>
      </c>
      <c r="D250" s="2234" t="str">
        <v>可用</v>
      </c>
      <c r="E250" s="2238" t="n">
        <v>19.245943917319426</v>
      </c>
      <c r="F250" s="2234" t="str">
        <v>年均</v>
      </c>
      <c r="G250" s="2234" t="str">
        <v>美联储《Banking and Monetary Statistics 1914—1941》表173，意大利，印刷页673</v>
      </c>
      <c r="H250" s="2234" t="str">
        <v>https://fraser.stlouisfed.org/title/banking-monetary-statistics-1914-1941-38/part-i-6408/fulltext</v>
      </c>
      <c r="I250" s="2234" t="str">
        <v>1939-01-01—1939-12-31</v>
      </c>
      <c r="J250" s="2234" t="str">
        <v>historical_exchange_rates_1920_2026.xlsx</v>
      </c>
      <c r="K250" s="2234" t="str">
        <v>纽约报价；由美分／里拉的年均报价取倒数，非里拉／美元逐日均值。 反向值由原报价均值取倒数；不等于反向日度汇率的算术平均。
原表为日度报价的年平均，单位：美分／里拉；标准化为100÷原值。</v>
      </c>
      <c r="L250" s="2234" t="str">
        <v>原报价为每单位本币兑美元，取原报价均值的倒数；不等于反向日度汇率的算术平均。乘以 100，还原当年币制的计价单位。</v>
      </c>
      <c r="M250" s="2234" t="str">
        <v>1939|意大利里拉（ITL）</v>
      </c>
      <c r="N250" s="2234" t="str">
        <v>意大利里拉（ITL）</v>
      </c>
      <c r="O250" s="2239" t="n">
        <v>5.1959</v>
      </c>
      <c r="P250" s="2234" t="str">
        <v>US cents/LCU</v>
      </c>
      <c r="Q250" s="2239" t="n">
        <v>100</v>
      </c>
      <c r="R250" s="2234" t="str">
        <v>A：机构统计／原始统计表</v>
      </c>
      <c r="S250" s="2234" t="str">
        <v>年度汇率!G25；原始记录!A192:M192</v>
      </c>
      <c r="T250" s="2234" t="str"/>
      <c r="U250" t="n" s="2231">
        <v>1940</v>
      </c>
      <c r="V250" t="str" s="2231">
        <v>加拿大元（CAD）</v>
      </c>
    </row>
    <row r="251" ht="15.0" customHeight="1">
      <c r="A251" s="2234" t="n">
        <v>1939</v>
      </c>
      <c r="B251" s="2234" t="str">
        <v>JPY</v>
      </c>
      <c r="C251" s="2234" t="str">
        <v>日元（JPY）</v>
      </c>
      <c r="D251" s="2234" t="str">
        <v>可用</v>
      </c>
      <c r="E251" s="2238" t="n">
        <v>3.85</v>
      </c>
      <c r="F251" s="2234" t="str">
        <v>年均</v>
      </c>
      <c r="G251" s="2234" t="str">
        <v>MeasuringWorth：日本年均汇率</v>
      </c>
      <c r="H251" s="2234" t="str">
        <v>https://www.measuringworth.com/datasets/exchangeglobal/result.php?countryE%5B%5D=Japan&amp;year_result=2016&amp;year_source=1916</v>
      </c>
      <c r="I251" s="2234" t="str">
        <v>1939-01-01—1939-12-31</v>
      </c>
      <c r="J251" s="2234" t="str">
        <v>historical_exchange_rates_1920_2026.xlsx</v>
      </c>
      <c r="K251" s="2234" t="str">
        <v>以纽约市场年度平均报价为主；保留原表精度。</v>
      </c>
      <c r="L251" s="2234" t="str">
        <v>原报价已按 1 美元兑换本币表示。</v>
      </c>
      <c r="M251" s="2234" t="str">
        <v>1939|日元（JPY）</v>
      </c>
      <c r="N251" s="2234" t="str">
        <v>日元（JPY）</v>
      </c>
      <c r="O251" s="2239" t="n">
        <v>3.85</v>
      </c>
      <c r="P251" s="2234" t="str">
        <v>LCU/USD</v>
      </c>
      <c r="Q251" s="2239" t="n">
        <v>1</v>
      </c>
      <c r="R251" s="2234" t="str">
        <v>B：学术历史汇编</v>
      </c>
      <c r="S251" s="2234" t="str">
        <v>年度汇率!H25；原始记录!A193:M193</v>
      </c>
      <c r="T251" s="2234" t="str"/>
      <c r="U251" t="n" s="2231">
        <v>1940</v>
      </c>
      <c r="V251" t="str" s="2231">
        <v>法国旧法郎</v>
      </c>
    </row>
    <row r="252" ht="15.0" customHeight="1">
      <c r="A252" s="2234" t="n">
        <v>1939</v>
      </c>
      <c r="B252" s="2234" t="str">
        <v>CHF</v>
      </c>
      <c r="C252" s="2234" t="str">
        <v>瑞士法郎（CHF）</v>
      </c>
      <c r="D252" s="2234" t="str">
        <v>可用</v>
      </c>
      <c r="E252" s="2238" t="n">
        <v>4.4396</v>
      </c>
      <c r="F252" s="2234" t="str">
        <v>年均</v>
      </c>
      <c r="G252" s="2234" t="str">
        <v>MeasuringWorth：瑞士年均汇率</v>
      </c>
      <c r="H252" s="2234" t="str">
        <v>https://www.measuringworth.com/datasets/exchangeglobal/result.php?countryE%5B%5D=Switzerland&amp;year_result=1955&amp;year_source=1905</v>
      </c>
      <c r="I252" s="2234" t="str">
        <v>1939-01-01—1939-12-31</v>
      </c>
      <c r="J252" s="2234" t="str">
        <v>historical_exchange_rates_1920_2026.xlsx</v>
      </c>
      <c r="K252" s="2234" t="str">
        <v>纽约市场；1941仅上半年报价，1942–1945原表无值。</v>
      </c>
      <c r="L252" s="2234" t="str">
        <v>原报价已按 1 美元兑换本币表示。</v>
      </c>
      <c r="M252" s="2234" t="str">
        <v>1939|瑞士法郎（CHF）</v>
      </c>
      <c r="N252" s="2234" t="str">
        <v>瑞士法郎（CHF）</v>
      </c>
      <c r="O252" s="2239" t="n">
        <v>4.4396</v>
      </c>
      <c r="P252" s="2234" t="str">
        <v>LCU/USD</v>
      </c>
      <c r="Q252" s="2239" t="n">
        <v>1</v>
      </c>
      <c r="R252" s="2234" t="str">
        <v>B：学术历史汇编</v>
      </c>
      <c r="S252" s="2234" t="str">
        <v>年度汇率!I25；原始记录!A194:M194</v>
      </c>
      <c r="T252" s="2234" t="str"/>
      <c r="U252" t="n" s="2231">
        <v>1940</v>
      </c>
      <c r="V252" t="str" s="2231">
        <v>帝国马克（Reichsmark）</v>
      </c>
    </row>
    <row r="253" ht="15.0" customHeight="1">
      <c r="A253" s="2234" t="n">
        <v>1939</v>
      </c>
      <c r="B253" s="2234" t="str">
        <v>INR</v>
      </c>
      <c r="C253" s="2234" t="str">
        <v>英属印度卢比</v>
      </c>
      <c r="D253" s="2234" t="str">
        <v>可用</v>
      </c>
      <c r="E253" s="2238" t="n">
        <v>3</v>
      </c>
      <c r="F253" s="2234" t="str">
        <v>年均</v>
      </c>
      <c r="G253" s="2234" t="str">
        <v>MeasuringWorth：印度年均汇率</v>
      </c>
      <c r="H253" s="2234" t="str">
        <v>https://www.measuringworth.com/datasets/exchangeglobal/result.php?countryE%5B%5D=India&amp;year_result=1948&amp;year_source=1916</v>
      </c>
      <c r="I253" s="2234" t="str">
        <v>1939-01-01—1939-12-31</v>
      </c>
      <c r="J253" s="2234" t="str">
        <v>historical_exchange_rates_1920_2026.xlsx</v>
      </c>
      <c r="K253" s="2234" t="str">
        <v>英属印度／印度卢比；保留原表精度。</v>
      </c>
      <c r="L253" s="2234" t="str">
        <v>原报价已按 1 美元兑换本币表示。</v>
      </c>
      <c r="M253" s="2234" t="str">
        <v>1939|英属印度卢比</v>
      </c>
      <c r="N253" s="2234" t="str">
        <v>英属印度卢比</v>
      </c>
      <c r="O253" s="2239" t="n">
        <v>3</v>
      </c>
      <c r="P253" s="2234" t="str">
        <v>LCU/USD</v>
      </c>
      <c r="Q253" s="2239" t="n">
        <v>1</v>
      </c>
      <c r="R253" s="2234" t="str">
        <v>B：学术历史汇编</v>
      </c>
      <c r="S253" s="2234" t="str">
        <v>年度汇率!J25；原始记录!A195:M195</v>
      </c>
      <c r="T253" s="2234" t="str"/>
      <c r="U253" t="n" s="2231">
        <v>1940</v>
      </c>
      <c r="V253" t="str" s="2231">
        <v>意大利里拉（ITL）</v>
      </c>
    </row>
    <row r="254" ht="48.0" customHeight="1">
      <c r="A254" s="2234" t="n">
        <v>1939</v>
      </c>
      <c r="B254" s="2234" t="str">
        <v>SUR_1924</v>
      </c>
      <c r="C254" s="2234" t="str">
        <v>苏联卢布（1924币制）</v>
      </c>
      <c r="D254" s="2234" t="str">
        <v>可用</v>
      </c>
      <c r="E254" s="2238" t="n">
        <v>5.3</v>
      </c>
      <c r="F254" s="2234" t="str">
        <v>官价区间参考（非年均）</v>
      </c>
      <c r="G254" s="2234" t="str">
        <v>苏联卢布历史官价表（Wikipedia转引俄央行历史档案）</v>
      </c>
      <c r="H254" s="2234" t="str">
        <v>https://en.wikipedia.org/wiki/Soviet_ruble#Exchange_rates</v>
      </c>
      <c r="I254" s="2234" t="str">
        <v>1937-07-19—1950-02-01</v>
      </c>
      <c r="J254" s="2234" t="str">
        <v>historical_exchange_rates_1920_2026.xlsx</v>
      </c>
      <c r="K254"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254" s="2234" t="str">
        <v>原报价已按 1 美元兑换本币表示。</v>
      </c>
      <c r="M254" s="2234" t="str">
        <v>1939|苏联卢布（1924币制）</v>
      </c>
      <c r="N254" s="2234" t="str">
        <v>苏联卢布（1924币制）</v>
      </c>
      <c r="O254" s="2239" t="n">
        <v>5.3</v>
      </c>
      <c r="P254" s="2234" t="str">
        <v>LCU/USD</v>
      </c>
      <c r="Q254" s="2239" t="n">
        <v>1</v>
      </c>
      <c r="R254" s="2234" t="str">
        <v>C：二手转引（原档未复核）</v>
      </c>
      <c r="S254" s="2234" t="str">
        <v>年度汇率!K25；原始记录!A196:M196</v>
      </c>
      <c r="T254" s="2234" t="str">
        <v>官价参考，并非市场年均汇率</v>
      </c>
      <c r="U254" t="n" s="2231">
        <v>1940</v>
      </c>
      <c r="V254" t="str" s="2231">
        <v>日元（JPY）</v>
      </c>
    </row>
    <row r="255" ht="60.0" customHeight="1">
      <c r="A255" s="2234" t="n">
        <v>1939</v>
      </c>
      <c r="B255" s="2234" t="str">
        <v>FABI</v>
      </c>
      <c r="C255" s="2234" t="str">
        <v>法币元</v>
      </c>
      <c r="D255" s="2234" t="str">
        <v>可用</v>
      </c>
      <c r="E255" s="2238" t="n">
        <v>8.41800442787033</v>
      </c>
      <c r="F255" s="2234" t="str">
        <v>年均</v>
      </c>
      <c r="G255" s="2234" t="str">
        <v>美联储《Banking and Monetary Statistics 1914—1941》表173，中国，印刷页667</v>
      </c>
      <c r="H255" s="2234" t="str">
        <v>https://fraser.stlouisfed.org/title/banking-monetary-statistics-1914-1941-38/part-i-6408/fulltext</v>
      </c>
      <c r="I255" s="2234" t="str">
        <v>1939-01-01—1939-12-31</v>
      </c>
      <c r="J255" s="2234" t="str">
        <v>historical_exchange_rates_1920_2026.xlsx</v>
      </c>
      <c r="K255" s="2234" t="str">
        <v>纽约报价；100÷美分年均报价；不同币制年份单位见实际币名表，并非全国统一零售兑换价。 原表带名义报价标记；不可当作自由市场可成交价。 反向值由原报价均值取倒数；不等于反向日度汇率的算术平均。
原表日度报价的年均值，单位：美分／中国货币单位。1920—21上海两；1922—32旧银元；1933年4月10日起新元；1935年币制过渡；1936—41法币。</v>
      </c>
      <c r="L255" s="2234" t="str">
        <v>原报价为每单位本币兑美元，取原报价均值的倒数；不等于反向日度汇率的算术平均。乘以 100，还原当年币制的计价单位。</v>
      </c>
      <c r="M255" s="2234" t="str">
        <v>1939|法币元</v>
      </c>
      <c r="N255" s="2234" t="str">
        <v>法币元</v>
      </c>
      <c r="O255" s="2239" t="n">
        <v>11.8793</v>
      </c>
      <c r="P255" s="2234" t="str">
        <v>US cents/LCU</v>
      </c>
      <c r="Q255" s="2239" t="n">
        <v>100</v>
      </c>
      <c r="R255" s="2234" t="str">
        <v>A：机构统计／原始统计表</v>
      </c>
      <c r="S255" s="2234" t="str">
        <v>年度汇率!L25；原始记录!A197:M197</v>
      </c>
      <c r="T255" s="2234" t="str"/>
      <c r="U255" t="n" s="2231">
        <v>1940</v>
      </c>
      <c r="V255" t="str" s="2231">
        <v>瑞士法郎（CHF）</v>
      </c>
    </row>
    <row r="256" ht="15.0" customHeight="1">
      <c r="A256" s="2234" t="n">
        <v>1940</v>
      </c>
      <c r="B256" s="2234" t="str">
        <v>USD</v>
      </c>
      <c r="C256" s="2234" t="str">
        <v>美元（USD）</v>
      </c>
      <c r="D256" s="2234" t="str">
        <v>可用</v>
      </c>
      <c r="E256" s="2238" t="n">
        <v>1</v>
      </c>
      <c r="F256" s="2234" t="str">
        <v>基准恒等</v>
      </c>
      <c r="G256" s="2234" t="str">
        <v>用户提供的历史汇率表</v>
      </c>
      <c r="H256" s="2234" t="str"/>
      <c r="I256" s="2234" t="str">
        <v>1940</v>
      </c>
      <c r="J256" s="2234" t="str">
        <v>historical_exchange_rates_1920_2026.xlsx</v>
      </c>
      <c r="K256" s="2234" t="str">
        <v>1 美元等于 1 美元，无外部报价。</v>
      </c>
      <c r="L256" s="2234" t="str">
        <v>美元基准，汇率恒为 1。</v>
      </c>
      <c r="M256" s="2234" t="str">
        <v>1940|美元（USD）</v>
      </c>
      <c r="N256" s="2234" t="str">
        <v>美元（USD）</v>
      </c>
      <c r="O256" s="2239"/>
      <c r="P256" s="2234" t="str"/>
      <c r="Q256" s="2239"/>
      <c r="R256" s="2234" t="str"/>
      <c r="S256" s="2234" t="str">
        <v>年度汇率!B26</v>
      </c>
      <c r="T256" s="2234" t="str"/>
      <c r="U256" t="n" s="2231">
        <v>1940</v>
      </c>
      <c r="V256" t="str" s="2231">
        <v>英属印度卢比</v>
      </c>
    </row>
    <row r="257" ht="15.0" customHeight="1">
      <c r="A257" s="2234" t="n">
        <v>1940</v>
      </c>
      <c r="B257" s="2234" t="str">
        <v>GBP</v>
      </c>
      <c r="C257" s="2234" t="str">
        <v>英镑（GBP）</v>
      </c>
      <c r="D257" s="2234" t="str">
        <v>可用</v>
      </c>
      <c r="E257" s="2238" t="n">
        <v>0.2611</v>
      </c>
      <c r="F257" s="2234" t="str">
        <v>年均</v>
      </c>
      <c r="G257" s="2234" t="str">
        <v>MeasuringWorth：英镑／美元年度历史汇率</v>
      </c>
      <c r="H257" s="2234" t="str">
        <v>https://www.measuringworth.com/datasets/exchangeglobal/result.php?countryE%5B%5D=United+Kingdom&amp;year_result=2007&amp;year_source=1791</v>
      </c>
      <c r="I257" s="2234" t="str">
        <v>1940-01-01—1940-12-31</v>
      </c>
      <c r="J257" s="2234" t="str">
        <v>historical_exchange_rates_1920_2026.xlsx</v>
      </c>
      <c r="K257" s="2234" t="str">
        <v>年度汇率，本币／美元；1920—1949。</v>
      </c>
      <c r="L257" s="2234" t="str">
        <v>原报价已按 1 美元兑换本币表示。</v>
      </c>
      <c r="M257" s="2234" t="str">
        <v>1940|英镑（GBP）</v>
      </c>
      <c r="N257" s="2234" t="str">
        <v>英镑（GBP）</v>
      </c>
      <c r="O257" s="2239" t="n">
        <v>0.2611</v>
      </c>
      <c r="P257" s="2234" t="str">
        <v>LCU/USD</v>
      </c>
      <c r="Q257" s="2239" t="n">
        <v>1</v>
      </c>
      <c r="R257" s="2234" t="str">
        <v>B：学术历史汇编</v>
      </c>
      <c r="S257" s="2234" t="str">
        <v>年度汇率!C26；原始记录!A198:M198</v>
      </c>
      <c r="T257" s="2234" t="str"/>
      <c r="U257" t="n" s="2231">
        <v>1940</v>
      </c>
      <c r="V257" t="str" s="2231">
        <v>苏联卢布（1924币制）</v>
      </c>
    </row>
    <row r="258" ht="15.0" customHeight="1">
      <c r="A258" s="2234" t="n">
        <v>1940</v>
      </c>
      <c r="B258" s="2234" t="str">
        <v>CAD</v>
      </c>
      <c r="C258" s="2234" t="str">
        <v>加拿大元（CAD）</v>
      </c>
      <c r="D258" s="2234" t="str">
        <v>可用</v>
      </c>
      <c r="E258" s="2238" t="n">
        <v>1.175</v>
      </c>
      <c r="F258" s="2234" t="str">
        <v>年均</v>
      </c>
      <c r="G258" s="2234" t="str">
        <v>Lawrence H. Officer / MeasuringWorth：加拿大元</v>
      </c>
      <c r="H258" s="2234" t="str">
        <v>https://www.measuringworth.com/datasets/exchangeglobal/result.php?countryE%5B%5D=Canada&amp;year_result=2007&amp;year_source=1913</v>
      </c>
      <c r="I258" s="2234" t="str">
        <v>1940-01-01—1940-12-31</v>
      </c>
      <c r="J258" s="2234" t="str">
        <v>historical_exchange_rates_1920_2026.xlsx</v>
      </c>
      <c r="K258" s="2234" t="str">
        <v>纽约市场年度报价；1942—1945缺失。</v>
      </c>
      <c r="L258" s="2234" t="str">
        <v>原报价已按 1 美元兑换本币表示。</v>
      </c>
      <c r="M258" s="2234" t="str">
        <v>1940|加拿大元（CAD）</v>
      </c>
      <c r="N258" s="2234" t="str">
        <v>加拿大元（CAD）</v>
      </c>
      <c r="O258" s="2239" t="n">
        <v>1.175</v>
      </c>
      <c r="P258" s="2234" t="str">
        <v>LCU/USD</v>
      </c>
      <c r="Q258" s="2239" t="n">
        <v>1</v>
      </c>
      <c r="R258" s="2234" t="str">
        <v>B：学术历史汇编</v>
      </c>
      <c r="S258" s="2234" t="str">
        <v>年度汇率!D26；原始记录!A199:M199</v>
      </c>
      <c r="T258" s="2234" t="str"/>
      <c r="U258" t="n" s="2231">
        <v>1940</v>
      </c>
      <c r="V258" t="str" s="2231">
        <v>法币元</v>
      </c>
    </row>
    <row r="259" ht="24.0" customHeight="1">
      <c r="A259" s="2234" t="n">
        <v>1940</v>
      </c>
      <c r="B259" s="2234" t="str">
        <v>FRF_OLD</v>
      </c>
      <c r="C259" s="2234" t="str">
        <v>法国旧法郎</v>
      </c>
      <c r="D259" s="2234" t="str">
        <v>可用</v>
      </c>
      <c r="E259" s="2238" t="n">
        <v>48.015</v>
      </c>
      <c r="F259" s="2234" t="str">
        <v>部分年度均值</v>
      </c>
      <c r="G259" s="2234" t="str">
        <v>MeasuringWorth：法国年均汇率</v>
      </c>
      <c r="H259" s="2234" t="str">
        <v>https://www.measuringworth.com/datasets/exchangeglobal/result.php?countryE%5B%5D=France&amp;year_result=1940&amp;year_source=1920</v>
      </c>
      <c r="I259" s="2234" t="str">
        <v>1940-01-01—1940-06-15</v>
      </c>
      <c r="J259" s="2234" t="str">
        <v>historical_exchange_rates_1920_2026.xlsx</v>
      </c>
      <c r="K259" s="2234" t="str">
        <v>纽约报价在该年06-15后中断；不是完整全年均值。
纽约市场；1940仅至6月15日可用报价。</v>
      </c>
      <c r="L259" s="2234" t="str">
        <v>原报价已按 1 美元兑换本币表示。</v>
      </c>
      <c r="M259" s="2234" t="str">
        <v>1940|法国旧法郎</v>
      </c>
      <c r="N259" s="2234" t="str">
        <v>法国旧法郎</v>
      </c>
      <c r="O259" s="2239" t="n">
        <v>48.015</v>
      </c>
      <c r="P259" s="2234" t="str">
        <v>LCU/USD</v>
      </c>
      <c r="Q259" s="2239" t="n">
        <v>1</v>
      </c>
      <c r="R259" s="2234" t="str">
        <v>B：学术历史汇编</v>
      </c>
      <c r="S259" s="2234" t="str">
        <v>年度汇率!E26；原始记录!A200:M200</v>
      </c>
      <c r="T259" s="2234" t="str">
        <v>仅覆盖部分期间</v>
      </c>
      <c r="U259" t="n" s="2231">
        <v>1941</v>
      </c>
      <c r="V259" t="str" s="2231">
        <v>美元（USD）</v>
      </c>
    </row>
    <row r="260" ht="24.0" customHeight="1">
      <c r="A260" s="2234" t="n">
        <v>1940</v>
      </c>
      <c r="B260" s="2234" t="str">
        <v>RM</v>
      </c>
      <c r="C260" s="2234" t="str">
        <v>帝国马克（Reichsmark）</v>
      </c>
      <c r="D260" s="2234" t="str">
        <v>可用</v>
      </c>
      <c r="E260" s="2238" t="n">
        <v>2.5</v>
      </c>
      <c r="F260" s="2234" t="str">
        <v>年均</v>
      </c>
      <c r="G260" s="2234" t="str">
        <v>Harold Marcuse / UCSB：德国，转载Officer年度表</v>
      </c>
      <c r="H260" s="2234" t="str">
        <v>https://marcuse.faculty.history.ucsb.edu/projects/currency.htm</v>
      </c>
      <c r="I260" s="2234" t="str">
        <v>1940-01-01—1940-12-31</v>
      </c>
      <c r="J260" s="2234" t="str">
        <v>historical_exchange_rates_1920_2026.xlsx</v>
      </c>
      <c r="K260" s="2234" t="str">
        <v>使用右侧annual avg.表，不使用左侧定点汇率；1923—1924数据有币改及倒数均值口径疑点，未采用。</v>
      </c>
      <c r="L260" s="2234" t="str">
        <v>原报价已按 1 美元兑换本币表示。</v>
      </c>
      <c r="M260" s="2234" t="str">
        <v>1940|帝国马克（Reichsmark）</v>
      </c>
      <c r="N260" s="2234" t="str">
        <v>帝国马克（Reichsmark）</v>
      </c>
      <c r="O260" s="2239" t="n">
        <v>2.5</v>
      </c>
      <c r="P260" s="2234" t="str">
        <v>LCU/USD</v>
      </c>
      <c r="Q260" s="2239" t="n">
        <v>1</v>
      </c>
      <c r="R260" s="2234" t="str">
        <v>B：大学页面转录</v>
      </c>
      <c r="S260" s="2234" t="str">
        <v>年度汇率!F26、年度汇率!M26；原始记录!A201:M201</v>
      </c>
      <c r="T260" s="2234" t="str"/>
      <c r="U260" t="n" s="2231">
        <v>1941</v>
      </c>
      <c r="V260" t="str" s="2231">
        <v>英镑（GBP）</v>
      </c>
    </row>
    <row r="261" ht="36.0" customHeight="1">
      <c r="A261" s="2234" t="n">
        <v>1940</v>
      </c>
      <c r="B261" s="2234" t="str">
        <v>ITL</v>
      </c>
      <c r="C261" s="2234" t="str">
        <v>意大利里拉（ITL）</v>
      </c>
      <c r="D261" s="2234" t="str">
        <v>可用</v>
      </c>
      <c r="E261" s="2238" t="n">
        <v>19.838514492034836</v>
      </c>
      <c r="F261" s="2234" t="str">
        <v>年均</v>
      </c>
      <c r="G261" s="2234" t="str">
        <v>美联储《Banking and Monetary Statistics 1914—1941》表173，意大利，印刷页673</v>
      </c>
      <c r="H261" s="2234" t="str">
        <v>https://fraser.stlouisfed.org/title/banking-monetary-statistics-1914-1941-38/part-i-6408/fulltext</v>
      </c>
      <c r="I261" s="2234" t="str">
        <v>1940-01-01—1940-12-31</v>
      </c>
      <c r="J261" s="2234" t="str">
        <v>historical_exchange_rates_1920_2026.xlsx</v>
      </c>
      <c r="K261" s="2234" t="str">
        <v>纽约报价；由美分／里拉的年均报价取倒数，非里拉／美元逐日均值。 反向值由原报价均值取倒数；不等于反向日度汇率的算术平均。
原表为日度报价的年平均，单位：美分／里拉；标准化为100÷原值。</v>
      </c>
      <c r="L261" s="2234" t="str">
        <v>原报价为每单位本币兑美元，取原报价均值的倒数；不等于反向日度汇率的算术平均。乘以 100，还原当年币制的计价单位。</v>
      </c>
      <c r="M261" s="2234" t="str">
        <v>1940|意大利里拉（ITL）</v>
      </c>
      <c r="N261" s="2234" t="str">
        <v>意大利里拉（ITL）</v>
      </c>
      <c r="O261" s="2239" t="n">
        <v>5.0407</v>
      </c>
      <c r="P261" s="2234" t="str">
        <v>US cents/LCU</v>
      </c>
      <c r="Q261" s="2239" t="n">
        <v>100</v>
      </c>
      <c r="R261" s="2234" t="str">
        <v>A：机构统计／原始统计表</v>
      </c>
      <c r="S261" s="2234" t="str">
        <v>年度汇率!G26；原始记录!A202:M202</v>
      </c>
      <c r="T261" s="2234" t="str"/>
      <c r="U261" t="n" s="2231">
        <v>1941</v>
      </c>
      <c r="V261" t="str" s="2231">
        <v>加拿大元（CAD）</v>
      </c>
    </row>
    <row r="262" ht="15.0" customHeight="1">
      <c r="A262" s="2234" t="n">
        <v>1940</v>
      </c>
      <c r="B262" s="2234" t="str">
        <v>JPY</v>
      </c>
      <c r="C262" s="2234" t="str">
        <v>日元（JPY）</v>
      </c>
      <c r="D262" s="2234" t="str">
        <v>可用</v>
      </c>
      <c r="E262" s="2238" t="n">
        <v>4.27</v>
      </c>
      <c r="F262" s="2234" t="str">
        <v>年均</v>
      </c>
      <c r="G262" s="2234" t="str">
        <v>MeasuringWorth：日本年均汇率</v>
      </c>
      <c r="H262" s="2234" t="str">
        <v>https://www.measuringworth.com/datasets/exchangeglobal/result.php?countryE%5B%5D=Japan&amp;year_result=2016&amp;year_source=1916</v>
      </c>
      <c r="I262" s="2234" t="str">
        <v>1940-01-01—1940-12-31</v>
      </c>
      <c r="J262" s="2234" t="str">
        <v>historical_exchange_rates_1920_2026.xlsx</v>
      </c>
      <c r="K262" s="2234" t="str">
        <v>以纽约市场年度平均报价为主；保留原表精度。</v>
      </c>
      <c r="L262" s="2234" t="str">
        <v>原报价已按 1 美元兑换本币表示。</v>
      </c>
      <c r="M262" s="2234" t="str">
        <v>1940|日元（JPY）</v>
      </c>
      <c r="N262" s="2234" t="str">
        <v>日元（JPY）</v>
      </c>
      <c r="O262" s="2239" t="n">
        <v>4.27</v>
      </c>
      <c r="P262" s="2234" t="str">
        <v>LCU/USD</v>
      </c>
      <c r="Q262" s="2239" t="n">
        <v>1</v>
      </c>
      <c r="R262" s="2234" t="str">
        <v>B：学术历史汇编</v>
      </c>
      <c r="S262" s="2234" t="str">
        <v>年度汇率!H26；原始记录!A203:M203</v>
      </c>
      <c r="T262" s="2234" t="str"/>
      <c r="U262" t="n" s="2231">
        <v>1941</v>
      </c>
      <c r="V262" t="str" s="2231">
        <v>帝国马克（Reichsmark）</v>
      </c>
    </row>
    <row r="263" ht="15.0" customHeight="1">
      <c r="A263" s="2234" t="n">
        <v>1940</v>
      </c>
      <c r="B263" s="2234" t="str">
        <v>CHF</v>
      </c>
      <c r="C263" s="2234" t="str">
        <v>瑞士法郎（CHF）</v>
      </c>
      <c r="D263" s="2234" t="str">
        <v>可用</v>
      </c>
      <c r="E263" s="2238" t="n">
        <v>4.41</v>
      </c>
      <c r="F263" s="2234" t="str">
        <v>年均</v>
      </c>
      <c r="G263" s="2234" t="str">
        <v>MeasuringWorth：瑞士年均汇率</v>
      </c>
      <c r="H263" s="2234" t="str">
        <v>https://www.measuringworth.com/datasets/exchangeglobal/result.php?countryE%5B%5D=Switzerland&amp;year_result=1955&amp;year_source=1905</v>
      </c>
      <c r="I263" s="2234" t="str">
        <v>1940-01-01—1940-12-31</v>
      </c>
      <c r="J263" s="2234" t="str">
        <v>historical_exchange_rates_1920_2026.xlsx</v>
      </c>
      <c r="K263" s="2234" t="str">
        <v>纽约市场；1941仅上半年报价，1942–1945原表无值。</v>
      </c>
      <c r="L263" s="2234" t="str">
        <v>原报价已按 1 美元兑换本币表示。</v>
      </c>
      <c r="M263" s="2234" t="str">
        <v>1940|瑞士法郎（CHF）</v>
      </c>
      <c r="N263" s="2234" t="str">
        <v>瑞士法郎（CHF）</v>
      </c>
      <c r="O263" s="2239" t="n">
        <v>4.41</v>
      </c>
      <c r="P263" s="2234" t="str">
        <v>LCU/USD</v>
      </c>
      <c r="Q263" s="2239" t="n">
        <v>1</v>
      </c>
      <c r="R263" s="2234" t="str">
        <v>B：学术历史汇编</v>
      </c>
      <c r="S263" s="2234" t="str">
        <v>年度汇率!I26；原始记录!A204:M204</v>
      </c>
      <c r="T263" s="2234" t="str"/>
      <c r="U263" t="n" s="2231">
        <v>1941</v>
      </c>
      <c r="V263" t="str" s="2231">
        <v>意大利里拉（ITL）</v>
      </c>
    </row>
    <row r="264" ht="15.0" customHeight="1">
      <c r="A264" s="2234" t="n">
        <v>1940</v>
      </c>
      <c r="B264" s="2234" t="str">
        <v>INR</v>
      </c>
      <c r="C264" s="2234" t="str">
        <v>英属印度卢比</v>
      </c>
      <c r="D264" s="2234" t="str">
        <v>可用</v>
      </c>
      <c r="E264" s="2238" t="n">
        <v>3.32</v>
      </c>
      <c r="F264" s="2234" t="str">
        <v>年均</v>
      </c>
      <c r="G264" s="2234" t="str">
        <v>MeasuringWorth：印度年均汇率</v>
      </c>
      <c r="H264" s="2234" t="str">
        <v>https://www.measuringworth.com/datasets/exchangeglobal/result.php?countryE%5B%5D=India&amp;year_result=1948&amp;year_source=1916</v>
      </c>
      <c r="I264" s="2234" t="str">
        <v>1940-01-01—1940-12-31</v>
      </c>
      <c r="J264" s="2234" t="str">
        <v>historical_exchange_rates_1920_2026.xlsx</v>
      </c>
      <c r="K264" s="2234" t="str">
        <v>英属印度／印度卢比；保留原表精度。</v>
      </c>
      <c r="L264" s="2234" t="str">
        <v>原报价已按 1 美元兑换本币表示。</v>
      </c>
      <c r="M264" s="2234" t="str">
        <v>1940|英属印度卢比</v>
      </c>
      <c r="N264" s="2234" t="str">
        <v>英属印度卢比</v>
      </c>
      <c r="O264" s="2239" t="n">
        <v>3.32</v>
      </c>
      <c r="P264" s="2234" t="str">
        <v>LCU/USD</v>
      </c>
      <c r="Q264" s="2239" t="n">
        <v>1</v>
      </c>
      <c r="R264" s="2234" t="str">
        <v>B：学术历史汇编</v>
      </c>
      <c r="S264" s="2234" t="str">
        <v>年度汇率!J26；原始记录!A205:M205</v>
      </c>
      <c r="T264" s="2234" t="str"/>
      <c r="U264" t="n" s="2231">
        <v>1941</v>
      </c>
      <c r="V264" t="str" s="2231">
        <v>日元（JPY）</v>
      </c>
    </row>
    <row r="265" ht="48.0" customHeight="1">
      <c r="A265" s="2234" t="n">
        <v>1940</v>
      </c>
      <c r="B265" s="2234" t="str">
        <v>SUR_1924</v>
      </c>
      <c r="C265" s="2234" t="str">
        <v>苏联卢布（1924币制）</v>
      </c>
      <c r="D265" s="2234" t="str">
        <v>可用</v>
      </c>
      <c r="E265" s="2238" t="n">
        <v>5.3</v>
      </c>
      <c r="F265" s="2234" t="str">
        <v>官价区间参考（非年均）</v>
      </c>
      <c r="G265" s="2234" t="str">
        <v>苏联卢布历史官价表（Wikipedia转引俄央行历史档案）</v>
      </c>
      <c r="H265" s="2234" t="str">
        <v>https://en.wikipedia.org/wiki/Soviet_ruble#Exchange_rates</v>
      </c>
      <c r="I265" s="2234" t="str">
        <v>1937-07-19—1950-02-01</v>
      </c>
      <c r="J265" s="2234" t="str">
        <v>historical_exchange_rates_1920_2026.xlsx</v>
      </c>
      <c r="K265"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265" s="2234" t="str">
        <v>原报价已按 1 美元兑换本币表示。</v>
      </c>
      <c r="M265" s="2234" t="str">
        <v>1940|苏联卢布（1924币制）</v>
      </c>
      <c r="N265" s="2234" t="str">
        <v>苏联卢布（1924币制）</v>
      </c>
      <c r="O265" s="2239" t="n">
        <v>5.3</v>
      </c>
      <c r="P265" s="2234" t="str">
        <v>LCU/USD</v>
      </c>
      <c r="Q265" s="2239" t="n">
        <v>1</v>
      </c>
      <c r="R265" s="2234" t="str">
        <v>C：二手转引（原档未复核）</v>
      </c>
      <c r="S265" s="2234" t="str">
        <v>年度汇率!K26；原始记录!A206:M206</v>
      </c>
      <c r="T265" s="2234" t="str">
        <v>官价参考，并非市场年均汇率</v>
      </c>
      <c r="U265" t="n" s="2231">
        <v>1941</v>
      </c>
      <c r="V265" t="str" s="2231">
        <v>瑞士法郎（CHF）</v>
      </c>
    </row>
    <row r="266" ht="60.0" customHeight="1">
      <c r="A266" s="2234" t="n">
        <v>1940</v>
      </c>
      <c r="B266" s="2234" t="str">
        <v>FABI</v>
      </c>
      <c r="C266" s="2234" t="str">
        <v>法币元</v>
      </c>
      <c r="D266" s="2234" t="str">
        <v>可用</v>
      </c>
      <c r="E266" s="2238" t="n">
        <v>16.66722224074136</v>
      </c>
      <c r="F266" s="2234" t="str">
        <v>年均</v>
      </c>
      <c r="G266" s="2234" t="str">
        <v>美联储《Banking and Monetary Statistics 1914—1941》表173，中国，印刷页667</v>
      </c>
      <c r="H266" s="2234" t="str">
        <v>https://fraser.stlouisfed.org/title/banking-monetary-statistics-1914-1941-38/part-i-6408/fulltext</v>
      </c>
      <c r="I266" s="2234" t="str">
        <v>1940-01-01—1940-12-31</v>
      </c>
      <c r="J266" s="2234" t="str">
        <v>historical_exchange_rates_1920_2026.xlsx</v>
      </c>
      <c r="K266" s="2234" t="str">
        <v>纽约报价；100÷美分年均报价；不同币制年份单位见实际币名表，并非全国统一零售兑换价。 原表带名义报价标记；不可当作自由市场可成交价。 反向值由原报价均值取倒数；不等于反向日度汇率的算术平均。
原表日度报价的年均值，单位：美分／中国货币单位。1920—21上海两；1922—32旧银元；1933年4月10日起新元；1935年币制过渡；1936—41法币。</v>
      </c>
      <c r="L266" s="2234" t="str">
        <v>原报价为每单位本币兑美元，取原报价均值的倒数；不等于反向日度汇率的算术平均。乘以 100，还原当年币制的计价单位。</v>
      </c>
      <c r="M266" s="2234" t="str">
        <v>1940|法币元</v>
      </c>
      <c r="N266" s="2234" t="str">
        <v>法币元</v>
      </c>
      <c r="O266" s="2239" t="n">
        <v>5.9998</v>
      </c>
      <c r="P266" s="2234" t="str">
        <v>US cents/LCU</v>
      </c>
      <c r="Q266" s="2239" t="n">
        <v>100</v>
      </c>
      <c r="R266" s="2234" t="str">
        <v>A：机构统计／原始统计表</v>
      </c>
      <c r="S266" s="2234" t="str">
        <v>年度汇率!L26；原始记录!A207:M207</v>
      </c>
      <c r="T266" s="2234" t="str"/>
      <c r="U266" t="n" s="2231">
        <v>1941</v>
      </c>
      <c r="V266" t="str" s="2231">
        <v>英属印度卢比</v>
      </c>
    </row>
    <row r="267" ht="15.0" customHeight="1">
      <c r="A267" s="2234" t="n">
        <v>1941</v>
      </c>
      <c r="B267" s="2234" t="str">
        <v>USD</v>
      </c>
      <c r="C267" s="2234" t="str">
        <v>美元（USD）</v>
      </c>
      <c r="D267" s="2234" t="str">
        <v>可用</v>
      </c>
      <c r="E267" s="2238" t="n">
        <v>1</v>
      </c>
      <c r="F267" s="2234" t="str">
        <v>基准恒等</v>
      </c>
      <c r="G267" s="2234" t="str">
        <v>用户提供的历史汇率表</v>
      </c>
      <c r="H267" s="2234" t="str"/>
      <c r="I267" s="2234" t="str">
        <v>1941</v>
      </c>
      <c r="J267" s="2234" t="str">
        <v>historical_exchange_rates_1920_2026.xlsx</v>
      </c>
      <c r="K267" s="2234" t="str">
        <v>1 美元等于 1 美元，无外部报价。</v>
      </c>
      <c r="L267" s="2234" t="str">
        <v>美元基准，汇率恒为 1。</v>
      </c>
      <c r="M267" s="2234" t="str">
        <v>1941|美元（USD）</v>
      </c>
      <c r="N267" s="2234" t="str">
        <v>美元（USD）</v>
      </c>
      <c r="O267" s="2239"/>
      <c r="P267" s="2234" t="str"/>
      <c r="Q267" s="2239"/>
      <c r="R267" s="2234" t="str"/>
      <c r="S267" s="2234" t="str">
        <v>年度汇率!B27</v>
      </c>
      <c r="T267" s="2234" t="str"/>
      <c r="U267" t="n" s="2231">
        <v>1941</v>
      </c>
      <c r="V267" t="str" s="2231">
        <v>苏联卢布（1924币制）</v>
      </c>
    </row>
    <row r="268" ht="15.0" customHeight="1">
      <c r="A268" s="2234" t="n">
        <v>1941</v>
      </c>
      <c r="B268" s="2234" t="str">
        <v>GBP</v>
      </c>
      <c r="C268" s="2234" t="str">
        <v>英镑（GBP）</v>
      </c>
      <c r="D268" s="2234" t="str">
        <v>可用</v>
      </c>
      <c r="E268" s="2238" t="n">
        <v>0.248</v>
      </c>
      <c r="F268" s="2234" t="str">
        <v>年均</v>
      </c>
      <c r="G268" s="2234" t="str">
        <v>MeasuringWorth：英镑／美元年度历史汇率</v>
      </c>
      <c r="H268" s="2234" t="str">
        <v>https://www.measuringworth.com/datasets/exchangeglobal/result.php?countryE%5B%5D=United+Kingdom&amp;year_result=2007&amp;year_source=1791</v>
      </c>
      <c r="I268" s="2234" t="str">
        <v>1941-01-01—1941-12-31</v>
      </c>
      <c r="J268" s="2234" t="str">
        <v>historical_exchange_rates_1920_2026.xlsx</v>
      </c>
      <c r="K268" s="2234" t="str">
        <v>年度汇率，本币／美元；1920—1949。</v>
      </c>
      <c r="L268" s="2234" t="str">
        <v>原报价已按 1 美元兑换本币表示。</v>
      </c>
      <c r="M268" s="2234" t="str">
        <v>1941|英镑（GBP）</v>
      </c>
      <c r="N268" s="2234" t="str">
        <v>英镑（GBP）</v>
      </c>
      <c r="O268" s="2239" t="n">
        <v>0.248</v>
      </c>
      <c r="P268" s="2234" t="str">
        <v>LCU/USD</v>
      </c>
      <c r="Q268" s="2239" t="n">
        <v>1</v>
      </c>
      <c r="R268" s="2234" t="str">
        <v>B：学术历史汇编</v>
      </c>
      <c r="S268" s="2234" t="str">
        <v>年度汇率!C27；原始记录!A208:M208</v>
      </c>
      <c r="T268" s="2234" t="str"/>
      <c r="U268" t="n" s="2231">
        <v>1941</v>
      </c>
      <c r="V268" t="str" s="2231">
        <v>法币元</v>
      </c>
    </row>
    <row r="269" ht="15.0" customHeight="1">
      <c r="A269" s="2234" t="n">
        <v>1941</v>
      </c>
      <c r="B269" s="2234" t="str">
        <v>CAD</v>
      </c>
      <c r="C269" s="2234" t="str">
        <v>加拿大元（CAD）</v>
      </c>
      <c r="D269" s="2234" t="str">
        <v>可用</v>
      </c>
      <c r="E269" s="2238" t="n">
        <v>1.1449</v>
      </c>
      <c r="F269" s="2234" t="str">
        <v>年均</v>
      </c>
      <c r="G269" s="2234" t="str">
        <v>Lawrence H. Officer / MeasuringWorth：加拿大元</v>
      </c>
      <c r="H269" s="2234" t="str">
        <v>https://www.measuringworth.com/datasets/exchangeglobal/result.php?countryE%5B%5D=Canada&amp;year_result=2007&amp;year_source=1913</v>
      </c>
      <c r="I269" s="2234" t="str">
        <v>1941-01-01—1941-12-31</v>
      </c>
      <c r="J269" s="2234" t="str">
        <v>historical_exchange_rates_1920_2026.xlsx</v>
      </c>
      <c r="K269" s="2234" t="str">
        <v>纽约市场年度报价；1942—1945缺失。</v>
      </c>
      <c r="L269" s="2234" t="str">
        <v>原报价已按 1 美元兑换本币表示。</v>
      </c>
      <c r="M269" s="2234" t="str">
        <v>1941|加拿大元（CAD）</v>
      </c>
      <c r="N269" s="2234" t="str">
        <v>加拿大元（CAD）</v>
      </c>
      <c r="O269" s="2239" t="n">
        <v>1.1449</v>
      </c>
      <c r="P269" s="2234" t="str">
        <v>LCU/USD</v>
      </c>
      <c r="Q269" s="2239" t="n">
        <v>1</v>
      </c>
      <c r="R269" s="2234" t="str">
        <v>B：学术历史汇编</v>
      </c>
      <c r="S269" s="2234" t="str">
        <v>年度汇率!D27；原始记录!A209:M209</v>
      </c>
      <c r="T269" s="2234" t="str"/>
      <c r="U269" t="n" s="2231">
        <v>1942</v>
      </c>
      <c r="V269" t="str" s="2231">
        <v>美元（USD）</v>
      </c>
    </row>
    <row r="270" ht="15.0" customHeight="1">
      <c r="A270" s="2234" t="n">
        <v>1941</v>
      </c>
      <c r="B270" s="2234" t="str">
        <v>FRF_OLD</v>
      </c>
      <c r="C270" s="2234" t="str">
        <v>法国旧法郎</v>
      </c>
      <c r="D270" s="2234" t="str">
        <v>缺失</v>
      </c>
      <c r="E270" s="2238"/>
      <c r="F270" s="2234" t="str">
        <v>缺失／未核实</v>
      </c>
      <c r="G270" s="2234" t="str">
        <v>用户提供的历史汇率表</v>
      </c>
      <c r="H270" s="2234" t="str"/>
      <c r="I270" s="2234" t="str">
        <v>1941</v>
      </c>
      <c r="J270" s="2234" t="str">
        <v>historical_exchange_rates_1920_2026.xlsx</v>
      </c>
      <c r="K270" s="2234" t="str">
        <v>本次采用的可访问来源未取得经核验的该年度值；不表示历史上不存在汇率。</v>
      </c>
      <c r="L270" s="2234" t="str"/>
      <c r="M270" s="2234" t="str">
        <v>1941|法国旧法郎</v>
      </c>
      <c r="N270" s="2234" t="str">
        <v>法国旧法郎</v>
      </c>
      <c r="O270" s="2239"/>
      <c r="P270" s="2234" t="str"/>
      <c r="Q270" s="2239"/>
      <c r="R270" s="2234" t="str"/>
      <c r="S270" s="2234" t="str">
        <v>年度汇率!E27</v>
      </c>
      <c r="T270" s="2234" t="str">
        <v>本次采用的可访问来源未取得经核验的该年度值；不表示历史上不存在汇率。</v>
      </c>
      <c r="U270" t="n" s="2231">
        <v>1942</v>
      </c>
      <c r="V270" t="str" s="2231">
        <v>英镑（GBP）</v>
      </c>
    </row>
    <row r="271" ht="36.0" customHeight="1">
      <c r="A271" s="2234" t="n">
        <v>1941</v>
      </c>
      <c r="B271" s="2234" t="str">
        <v>RM</v>
      </c>
      <c r="C271" s="2234" t="str">
        <v>帝国马克（Reichsmark）</v>
      </c>
      <c r="D271" s="2234" t="str">
        <v>可用</v>
      </c>
      <c r="E271" s="2238" t="n">
        <v>2.5</v>
      </c>
      <c r="F271" s="2234" t="str">
        <v>部分年度均值</v>
      </c>
      <c r="G271" s="2234" t="str">
        <v>Harold Marcuse / UCSB：德国，转载Officer年度表</v>
      </c>
      <c r="H271" s="2234" t="str">
        <v>https://marcuse.faculty.history.ucsb.edu/projects/currency.htm</v>
      </c>
      <c r="I271" s="2234" t="str">
        <v>1941-01-01—1941-06-14</v>
      </c>
      <c r="J271" s="2234" t="str">
        <v>historical_exchange_rates_1920_2026.xlsx</v>
      </c>
      <c r="K271" s="2234" t="str">
        <v>纽约报价至1941-06-14，非完整全年；管制官价不代表自由可兑换。
使用右侧annual avg.表，不使用左侧定点汇率；1923—1924数据有币改及倒数均值口径疑点，未采用。</v>
      </c>
      <c r="L271" s="2234" t="str">
        <v>原报价已按 1 美元兑换本币表示。</v>
      </c>
      <c r="M271" s="2234" t="str">
        <v>1941|帝国马克（Reichsmark）</v>
      </c>
      <c r="N271" s="2234" t="str">
        <v>帝国马克（Reichsmark）</v>
      </c>
      <c r="O271" s="2239" t="n">
        <v>2.5</v>
      </c>
      <c r="P271" s="2234" t="str">
        <v>LCU/USD</v>
      </c>
      <c r="Q271" s="2239" t="n">
        <v>1</v>
      </c>
      <c r="R271" s="2234" t="str">
        <v>B：大学页面转录</v>
      </c>
      <c r="S271" s="2234" t="str">
        <v>年度汇率!F27、年度汇率!M27；原始记录!A210:M210</v>
      </c>
      <c r="T271" s="2234" t="str">
        <v>仅覆盖部分期间</v>
      </c>
      <c r="U271" t="n" s="2231">
        <v>1942</v>
      </c>
      <c r="V271" t="str" s="2231">
        <v>英属印度卢比</v>
      </c>
    </row>
    <row r="272" ht="36.0" customHeight="1">
      <c r="A272" s="2234" t="n">
        <v>1941</v>
      </c>
      <c r="B272" s="2234" t="str">
        <v>ITL</v>
      </c>
      <c r="C272" s="2234" t="str">
        <v>意大利里拉（ITL）</v>
      </c>
      <c r="D272" s="2234" t="str">
        <v>可用</v>
      </c>
      <c r="E272" s="2238" t="n">
        <v>19.722698854111197</v>
      </c>
      <c r="F272" s="2234" t="str">
        <v>年内部分期间均值</v>
      </c>
      <c r="G272" s="2234" t="str">
        <v>美联储《Banking and Monetary Statistics 1914—1941》表173，意大利，印刷页673</v>
      </c>
      <c r="H272" s="2234" t="str">
        <v>https://fraser.stlouisfed.org/title/banking-monetary-statistics-1914-1941-38/part-i-6408/fulltext</v>
      </c>
      <c r="I272" s="2234" t="str">
        <v>1941-01-01—1941-06-14</v>
      </c>
      <c r="J272" s="2234" t="str">
        <v>historical_exchange_rates_1920_2026.xlsx</v>
      </c>
      <c r="K272" s="2234" t="str">
        <v>纽约报价；由美分／里拉的年均报价取倒数，非里拉／美元逐日均值。 原表1941年截至6月14日。 反向值由原报价均值取倒数；不等于反向日度汇率的算术平均。
原表为日度报价的年平均，单位：美分／里拉；标准化为100÷原值。</v>
      </c>
      <c r="L272" s="2234" t="str">
        <v>原报价为每单位本币兑美元，取原报价均值的倒数；不等于反向日度汇率的算术平均。乘以 100，还原当年币制的计价单位。</v>
      </c>
      <c r="M272" s="2234" t="str">
        <v>1941|意大利里拉（ITL）</v>
      </c>
      <c r="N272" s="2234" t="str">
        <v>意大利里拉（ITL）</v>
      </c>
      <c r="O272" s="2239" t="n">
        <v>5.0703</v>
      </c>
      <c r="P272" s="2234" t="str">
        <v>US cents/LCU</v>
      </c>
      <c r="Q272" s="2239" t="n">
        <v>100</v>
      </c>
      <c r="R272" s="2234" t="str">
        <v>A：机构统计／原始统计表</v>
      </c>
      <c r="S272" s="2234" t="str">
        <v>年度汇率!G27；原始记录!A211:M211</v>
      </c>
      <c r="T272" s="2234" t="str">
        <v>仅覆盖部分期间</v>
      </c>
      <c r="U272" t="n" s="2231">
        <v>1942</v>
      </c>
      <c r="V272" t="str" s="2231">
        <v>苏联卢布（1924币制）</v>
      </c>
    </row>
    <row r="273" ht="24.0" customHeight="1">
      <c r="A273" s="2234" t="n">
        <v>1941</v>
      </c>
      <c r="B273" s="2234" t="str">
        <v>JPY</v>
      </c>
      <c r="C273" s="2234" t="str">
        <v>日元（JPY）</v>
      </c>
      <c r="D273" s="2234" t="str">
        <v>可用</v>
      </c>
      <c r="E273" s="2238" t="n">
        <v>4.27</v>
      </c>
      <c r="F273" s="2234" t="str">
        <v>部分年度均值</v>
      </c>
      <c r="G273" s="2234" t="str">
        <v>MeasuringWorth：日本年均汇率</v>
      </c>
      <c r="H273" s="2234" t="str">
        <v>https://www.measuringworth.com/datasets/exchangeglobal/result.php?countryE%5B%5D=Japan&amp;year_result=2016&amp;year_source=1916</v>
      </c>
      <c r="I273" s="2234" t="str">
        <v>1941-01-01—1941-07-26</v>
      </c>
      <c r="J273" s="2234" t="str">
        <v>historical_exchange_rates_1920_2026.xlsx</v>
      </c>
      <c r="K273" s="2234" t="str">
        <v>纽约报价在该年07-26后中断；不是完整全年均值。
以纽约市场年度平均报价为主；保留原表精度。</v>
      </c>
      <c r="L273" s="2234" t="str">
        <v>原报价已按 1 美元兑换本币表示。</v>
      </c>
      <c r="M273" s="2234" t="str">
        <v>1941|日元（JPY）</v>
      </c>
      <c r="N273" s="2234" t="str">
        <v>日元（JPY）</v>
      </c>
      <c r="O273" s="2239" t="n">
        <v>4.27</v>
      </c>
      <c r="P273" s="2234" t="str">
        <v>LCU/USD</v>
      </c>
      <c r="Q273" s="2239" t="n">
        <v>1</v>
      </c>
      <c r="R273" s="2234" t="str">
        <v>B：学术历史汇编</v>
      </c>
      <c r="S273" s="2234" t="str">
        <v>年度汇率!H27；原始记录!A212:M212</v>
      </c>
      <c r="T273" s="2234" t="str">
        <v>仅覆盖部分期间</v>
      </c>
      <c r="U273" t="n" s="2231">
        <v>1943</v>
      </c>
      <c r="V273" t="str" s="2231">
        <v>美元（USD）</v>
      </c>
    </row>
    <row r="274" ht="24.0" customHeight="1">
      <c r="A274" s="2234" t="n">
        <v>1941</v>
      </c>
      <c r="B274" s="2234" t="str">
        <v>CHF</v>
      </c>
      <c r="C274" s="2234" t="str">
        <v>瑞士法郎（CHF）</v>
      </c>
      <c r="D274" s="2234" t="str">
        <v>可用</v>
      </c>
      <c r="E274" s="2238" t="n">
        <v>4.3086</v>
      </c>
      <c r="F274" s="2234" t="str">
        <v>部分年度均值</v>
      </c>
      <c r="G274" s="2234" t="str">
        <v>MeasuringWorth：瑞士年均汇率</v>
      </c>
      <c r="H274" s="2234" t="str">
        <v>https://www.measuringworth.com/datasets/exchangeglobal/result.php?countryE%5B%5D=Switzerland&amp;year_result=1955&amp;year_source=1905</v>
      </c>
      <c r="I274" s="2234" t="str">
        <v>1941-01-01—1941-06-14</v>
      </c>
      <c r="J274" s="2234" t="str">
        <v>historical_exchange_rates_1920_2026.xlsx</v>
      </c>
      <c r="K274" s="2234" t="str">
        <v>纽约报价在该年06-14后中断；不是完整全年均值。
纽约市场；1941仅上半年报价，1942–1945原表无值。</v>
      </c>
      <c r="L274" s="2234" t="str">
        <v>原报价已按 1 美元兑换本币表示。</v>
      </c>
      <c r="M274" s="2234" t="str">
        <v>1941|瑞士法郎（CHF）</v>
      </c>
      <c r="N274" s="2234" t="str">
        <v>瑞士法郎（CHF）</v>
      </c>
      <c r="O274" s="2239" t="n">
        <v>4.3086</v>
      </c>
      <c r="P274" s="2234" t="str">
        <v>LCU/USD</v>
      </c>
      <c r="Q274" s="2239" t="n">
        <v>1</v>
      </c>
      <c r="R274" s="2234" t="str">
        <v>B：学术历史汇编</v>
      </c>
      <c r="S274" s="2234" t="str">
        <v>年度汇率!I27；原始记录!A213:M213</v>
      </c>
      <c r="T274" s="2234" t="str">
        <v>仅覆盖部分期间</v>
      </c>
      <c r="U274" t="n" s="2231">
        <v>1943</v>
      </c>
      <c r="V274" t="str" s="2231">
        <v>英镑（GBP）</v>
      </c>
    </row>
    <row r="275" ht="15.0" customHeight="1">
      <c r="A275" s="2234" t="n">
        <v>1941</v>
      </c>
      <c r="B275" s="2234" t="str">
        <v>INR</v>
      </c>
      <c r="C275" s="2234" t="str">
        <v>英属印度卢比</v>
      </c>
      <c r="D275" s="2234" t="str">
        <v>可用</v>
      </c>
      <c r="E275" s="2238" t="n">
        <v>3.32</v>
      </c>
      <c r="F275" s="2234" t="str">
        <v>年均</v>
      </c>
      <c r="G275" s="2234" t="str">
        <v>MeasuringWorth：印度年均汇率</v>
      </c>
      <c r="H275" s="2234" t="str">
        <v>https://www.measuringworth.com/datasets/exchangeglobal/result.php?countryE%5B%5D=India&amp;year_result=1948&amp;year_source=1916</v>
      </c>
      <c r="I275" s="2234" t="str">
        <v>1941-01-01—1941-12-31</v>
      </c>
      <c r="J275" s="2234" t="str">
        <v>historical_exchange_rates_1920_2026.xlsx</v>
      </c>
      <c r="K275" s="2234" t="str">
        <v>英属印度／印度卢比；保留原表精度。</v>
      </c>
      <c r="L275" s="2234" t="str">
        <v>原报价已按 1 美元兑换本币表示。</v>
      </c>
      <c r="M275" s="2234" t="str">
        <v>1941|英属印度卢比</v>
      </c>
      <c r="N275" s="2234" t="str">
        <v>英属印度卢比</v>
      </c>
      <c r="O275" s="2239" t="n">
        <v>3.32</v>
      </c>
      <c r="P275" s="2234" t="str">
        <v>LCU/USD</v>
      </c>
      <c r="Q275" s="2239" t="n">
        <v>1</v>
      </c>
      <c r="R275" s="2234" t="str">
        <v>B：学术历史汇编</v>
      </c>
      <c r="S275" s="2234" t="str">
        <v>年度汇率!J27；原始记录!A214:M214</v>
      </c>
      <c r="T275" s="2234" t="str"/>
      <c r="U275" t="n" s="2231">
        <v>1943</v>
      </c>
      <c r="V275" t="str" s="2231">
        <v>英属印度卢比</v>
      </c>
    </row>
    <row r="276" ht="48.0" customHeight="1">
      <c r="A276" s="2234" t="n">
        <v>1941</v>
      </c>
      <c r="B276" s="2234" t="str">
        <v>SUR_1924</v>
      </c>
      <c r="C276" s="2234" t="str">
        <v>苏联卢布（1924币制）</v>
      </c>
      <c r="D276" s="2234" t="str">
        <v>可用</v>
      </c>
      <c r="E276" s="2238" t="n">
        <v>5.3</v>
      </c>
      <c r="F276" s="2234" t="str">
        <v>官价区间参考（非年均）</v>
      </c>
      <c r="G276" s="2234" t="str">
        <v>苏联卢布历史官价表（Wikipedia转引俄央行历史档案）</v>
      </c>
      <c r="H276" s="2234" t="str">
        <v>https://en.wikipedia.org/wiki/Soviet_ruble#Exchange_rates</v>
      </c>
      <c r="I276" s="2234" t="str">
        <v>1937-07-19—1950-02-01</v>
      </c>
      <c r="J276" s="2234" t="str">
        <v>historical_exchange_rates_1920_2026.xlsx</v>
      </c>
      <c r="K276"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276" s="2234" t="str">
        <v>原报价已按 1 美元兑换本币表示。</v>
      </c>
      <c r="M276" s="2234" t="str">
        <v>1941|苏联卢布（1924币制）</v>
      </c>
      <c r="N276" s="2234" t="str">
        <v>苏联卢布（1924币制）</v>
      </c>
      <c r="O276" s="2239" t="n">
        <v>5.3</v>
      </c>
      <c r="P276" s="2234" t="str">
        <v>LCU/USD</v>
      </c>
      <c r="Q276" s="2239" t="n">
        <v>1</v>
      </c>
      <c r="R276" s="2234" t="str">
        <v>C：二手转引（原档未复核）</v>
      </c>
      <c r="S276" s="2234" t="str">
        <v>年度汇率!K27；原始记录!A215:M215</v>
      </c>
      <c r="T276" s="2234" t="str">
        <v>官价参考，并非市场年均汇率</v>
      </c>
      <c r="U276" t="n" s="2231">
        <v>1943</v>
      </c>
      <c r="V276" t="str" s="2231">
        <v>苏联卢布（1924币制）</v>
      </c>
    </row>
    <row r="277" ht="48.0" customHeight="1">
      <c r="A277" s="2234" t="n">
        <v>1941</v>
      </c>
      <c r="B277" s="2234" t="str">
        <v>FABI</v>
      </c>
      <c r="C277" s="2234" t="str">
        <v>法币元</v>
      </c>
      <c r="D277" s="2234" t="str">
        <v>可用</v>
      </c>
      <c r="E277" s="2238" t="n">
        <v>18.820695236482035</v>
      </c>
      <c r="F277" s="2234" t="str">
        <v>年内部分期间均值</v>
      </c>
      <c r="G277" s="2234" t="str">
        <v>美联储《Banking and Monetary Statistics 1914—1941》表173，中国，印刷页667</v>
      </c>
      <c r="H277" s="2234" t="str">
        <v>https://fraser.stlouisfed.org/title/banking-monetary-statistics-1914-1941-38/part-i-6408/fulltext</v>
      </c>
      <c r="I277" s="2234" t="str">
        <v>1941-01-01—1941-07-25</v>
      </c>
      <c r="J277" s="2234" t="str">
        <v>historical_exchange_rates_1920_2026.xlsx</v>
      </c>
      <c r="K277" s="2234" t="str">
        <v>原表注释：纽约报价只到7月25日；含至少部分日期为名义报价。 反向值由原报价均值取倒数；不等于反向日度汇率的算术平均。
原表日度报价的年均值，单位：美分／中国货币单位。1920—21上海两；1922—32旧银元；1933年4月10日起新元；1935年币制过渡；1936—41法币。</v>
      </c>
      <c r="L277" s="2234" t="str">
        <v>原报价为每单位本币兑美元，取原报价均值的倒数；不等于反向日度汇率的算术平均。乘以 100，还原当年币制的计价单位。</v>
      </c>
      <c r="M277" s="2234" t="str">
        <v>1941|法币元</v>
      </c>
      <c r="N277" s="2234" t="str">
        <v>法币元</v>
      </c>
      <c r="O277" s="2239" t="n">
        <v>5.3133</v>
      </c>
      <c r="P277" s="2234" t="str">
        <v>US cents/LCU</v>
      </c>
      <c r="Q277" s="2239" t="n">
        <v>100</v>
      </c>
      <c r="R277" s="2234" t="str">
        <v>A：机构统计／原始统计表</v>
      </c>
      <c r="S277" s="2234" t="str">
        <v>年度汇率!L27；原始记录!A216:M216</v>
      </c>
      <c r="T277" s="2234" t="str">
        <v>仅覆盖部分期间</v>
      </c>
      <c r="U277" t="n" s="2231">
        <v>1944</v>
      </c>
      <c r="V277" t="str" s="2231">
        <v>美元（USD）</v>
      </c>
    </row>
    <row r="278" ht="15.0" customHeight="1">
      <c r="A278" s="2234" t="n">
        <v>1942</v>
      </c>
      <c r="B278" s="2234" t="str">
        <v>USD</v>
      </c>
      <c r="C278" s="2234" t="str">
        <v>美元（USD）</v>
      </c>
      <c r="D278" s="2234" t="str">
        <v>可用</v>
      </c>
      <c r="E278" s="2238" t="n">
        <v>1</v>
      </c>
      <c r="F278" s="2234" t="str">
        <v>基准恒等</v>
      </c>
      <c r="G278" s="2234" t="str">
        <v>用户提供的历史汇率表</v>
      </c>
      <c r="H278" s="2234" t="str"/>
      <c r="I278" s="2234" t="str">
        <v>1942</v>
      </c>
      <c r="J278" s="2234" t="str">
        <v>historical_exchange_rates_1920_2026.xlsx</v>
      </c>
      <c r="K278" s="2234" t="str">
        <v>1 美元等于 1 美元，无外部报价。</v>
      </c>
      <c r="L278" s="2234" t="str">
        <v>美元基准，汇率恒为 1。</v>
      </c>
      <c r="M278" s="2234" t="str">
        <v>1942|美元（USD）</v>
      </c>
      <c r="N278" s="2234" t="str">
        <v>美元（USD）</v>
      </c>
      <c r="O278" s="2239"/>
      <c r="P278" s="2234" t="str"/>
      <c r="Q278" s="2239"/>
      <c r="R278" s="2234" t="str"/>
      <c r="S278" s="2234" t="str">
        <v>年度汇率!B28</v>
      </c>
      <c r="T278" s="2234" t="str"/>
      <c r="U278" t="n" s="2231">
        <v>1944</v>
      </c>
      <c r="V278" t="str" s="2231">
        <v>英镑（GBP）</v>
      </c>
    </row>
    <row r="279" ht="15.0" customHeight="1">
      <c r="A279" s="2234" t="n">
        <v>1942</v>
      </c>
      <c r="B279" s="2234" t="str">
        <v>GBP</v>
      </c>
      <c r="C279" s="2234" t="str">
        <v>英镑（GBP）</v>
      </c>
      <c r="D279" s="2234" t="str">
        <v>可用</v>
      </c>
      <c r="E279" s="2238" t="n">
        <v>0.2478</v>
      </c>
      <c r="F279" s="2234" t="str">
        <v>年均</v>
      </c>
      <c r="G279" s="2234" t="str">
        <v>MeasuringWorth：英镑／美元年度历史汇率</v>
      </c>
      <c r="H279" s="2234" t="str">
        <v>https://www.measuringworth.com/datasets/exchangeglobal/result.php?countryE%5B%5D=United+Kingdom&amp;year_result=2007&amp;year_source=1791</v>
      </c>
      <c r="I279" s="2234" t="str">
        <v>1942-01-01—1942-12-31</v>
      </c>
      <c r="J279" s="2234" t="str">
        <v>historical_exchange_rates_1920_2026.xlsx</v>
      </c>
      <c r="K279" s="2234" t="str">
        <v>年度汇率，本币／美元；1920—1949。</v>
      </c>
      <c r="L279" s="2234" t="str">
        <v>原报价已按 1 美元兑换本币表示。</v>
      </c>
      <c r="M279" s="2234" t="str">
        <v>1942|英镑（GBP）</v>
      </c>
      <c r="N279" s="2234" t="str">
        <v>英镑（GBP）</v>
      </c>
      <c r="O279" s="2239" t="n">
        <v>0.2478</v>
      </c>
      <c r="P279" s="2234" t="str">
        <v>LCU/USD</v>
      </c>
      <c r="Q279" s="2239" t="n">
        <v>1</v>
      </c>
      <c r="R279" s="2234" t="str">
        <v>B：学术历史汇编</v>
      </c>
      <c r="S279" s="2234" t="str">
        <v>年度汇率!C28；原始记录!A217:M217</v>
      </c>
      <c r="T279" s="2234" t="str"/>
      <c r="U279" t="n" s="2231">
        <v>1944</v>
      </c>
      <c r="V279" t="str" s="2231">
        <v>英属印度卢比</v>
      </c>
    </row>
    <row r="280" ht="15.0" customHeight="1">
      <c r="A280" s="2234" t="n">
        <v>1942</v>
      </c>
      <c r="B280" s="2234" t="str">
        <v>CAD</v>
      </c>
      <c r="C280" s="2234" t="str">
        <v>加拿大元（CAD）</v>
      </c>
      <c r="D280" s="2234" t="str">
        <v>缺失</v>
      </c>
      <c r="E280" s="2238"/>
      <c r="F280" s="2234" t="str">
        <v>缺失／未核实</v>
      </c>
      <c r="G280" s="2234" t="str">
        <v>用户提供的历史汇率表</v>
      </c>
      <c r="H280" s="2234" t="str"/>
      <c r="I280" s="2234" t="str">
        <v>1942</v>
      </c>
      <c r="J280" s="2234" t="str">
        <v>historical_exchange_rates_1920_2026.xlsx</v>
      </c>
      <c r="K280" s="2234" t="str">
        <v>本次采用的可访问来源未取得经核验的该年度值；不表示历史上不存在汇率。</v>
      </c>
      <c r="L280" s="2234" t="str"/>
      <c r="M280" s="2234" t="str">
        <v>1942|加拿大元（CAD）</v>
      </c>
      <c r="N280" s="2234" t="str">
        <v>加拿大元（CAD）</v>
      </c>
      <c r="O280" s="2239"/>
      <c r="P280" s="2234" t="str"/>
      <c r="Q280" s="2239"/>
      <c r="R280" s="2234" t="str"/>
      <c r="S280" s="2234" t="str">
        <v>年度汇率!D28</v>
      </c>
      <c r="T280" s="2234" t="str">
        <v>本次采用的可访问来源未取得经核验的该年度值；不表示历史上不存在汇率。</v>
      </c>
      <c r="U280" t="n" s="2231">
        <v>1944</v>
      </c>
      <c r="V280" t="str" s="2231">
        <v>苏联卢布（1924币制）</v>
      </c>
    </row>
    <row r="281" ht="15.0" customHeight="1">
      <c r="A281" s="2234" t="n">
        <v>1942</v>
      </c>
      <c r="B281" s="2234" t="str">
        <v>FRF_OLD</v>
      </c>
      <c r="C281" s="2234" t="str">
        <v>法国旧法郎</v>
      </c>
      <c r="D281" s="2234" t="str">
        <v>缺失</v>
      </c>
      <c r="E281" s="2238"/>
      <c r="F281" s="2234" t="str">
        <v>缺失／未核实</v>
      </c>
      <c r="G281" s="2234" t="str">
        <v>用户提供的历史汇率表</v>
      </c>
      <c r="H281" s="2234" t="str"/>
      <c r="I281" s="2234" t="str">
        <v>1942</v>
      </c>
      <c r="J281" s="2234" t="str">
        <v>historical_exchange_rates_1920_2026.xlsx</v>
      </c>
      <c r="K281" s="2234" t="str">
        <v>本次采用的可访问来源未取得经核验的该年度值；不表示历史上不存在汇率。</v>
      </c>
      <c r="L281" s="2234" t="str"/>
      <c r="M281" s="2234" t="str">
        <v>1942|法国旧法郎</v>
      </c>
      <c r="N281" s="2234" t="str">
        <v>法国旧法郎</v>
      </c>
      <c r="O281" s="2239"/>
      <c r="P281" s="2234" t="str"/>
      <c r="Q281" s="2239"/>
      <c r="R281" s="2234" t="str"/>
      <c r="S281" s="2234" t="str">
        <v>年度汇率!E28</v>
      </c>
      <c r="T281" s="2234" t="str">
        <v>本次采用的可访问来源未取得经核验的该年度值；不表示历史上不存在汇率。</v>
      </c>
      <c r="U281" t="n" s="2231">
        <v>1945</v>
      </c>
      <c r="V281" t="str" s="2231">
        <v>美元（USD）</v>
      </c>
    </row>
    <row r="282" ht="15.0" customHeight="1">
      <c r="A282" s="2234" t="n">
        <v>1942</v>
      </c>
      <c r="B282" s="2234" t="str">
        <v>RM</v>
      </c>
      <c r="C282" s="2234" t="str">
        <v>帝国马克（Reichsmark）</v>
      </c>
      <c r="D282" s="2234" t="str">
        <v>缺失</v>
      </c>
      <c r="E282" s="2238"/>
      <c r="F282" s="2234" t="str">
        <v>缺失／未核实</v>
      </c>
      <c r="G282" s="2234" t="str">
        <v>用户提供的历史汇率表</v>
      </c>
      <c r="H282" s="2234" t="str"/>
      <c r="I282" s="2234" t="str">
        <v>1942</v>
      </c>
      <c r="J282" s="2234" t="str">
        <v>historical_exchange_rates_1920_2026.xlsx</v>
      </c>
      <c r="K282" s="2234" t="str">
        <v>本次采用的可访问来源未取得经核验的该年度值；不表示历史上不存在汇率。</v>
      </c>
      <c r="L282" s="2234" t="str"/>
      <c r="M282" s="2234" t="str">
        <v>1942|帝国马克（Reichsmark）</v>
      </c>
      <c r="N282" s="2234" t="str">
        <v>帝国马克（Reichsmark）</v>
      </c>
      <c r="O282" s="2239"/>
      <c r="P282" s="2234" t="str"/>
      <c r="Q282" s="2239"/>
      <c r="R282" s="2234" t="str"/>
      <c r="S282" s="2234" t="str">
        <v>年度汇率!F28、年度汇率!M28</v>
      </c>
      <c r="T282" s="2234" t="str">
        <v>本次采用的可访问来源未取得经核验的该年度值；不表示历史上不存在汇率。</v>
      </c>
      <c r="U282" t="n" s="2231">
        <v>1945</v>
      </c>
      <c r="V282" t="str" s="2231">
        <v>英镑（GBP）</v>
      </c>
    </row>
    <row r="283" ht="15.0" customHeight="1">
      <c r="A283" s="2234" t="n">
        <v>1942</v>
      </c>
      <c r="B283" s="2234" t="str">
        <v>ITL</v>
      </c>
      <c r="C283" s="2234" t="str">
        <v>意大利里拉（ITL）</v>
      </c>
      <c r="D283" s="2234" t="str">
        <v>缺失</v>
      </c>
      <c r="E283" s="2238"/>
      <c r="F283" s="2234" t="str">
        <v>缺失／未核实</v>
      </c>
      <c r="G283" s="2234" t="str">
        <v>用户提供的历史汇率表</v>
      </c>
      <c r="H283" s="2234" t="str"/>
      <c r="I283" s="2234" t="str">
        <v>1942</v>
      </c>
      <c r="J283" s="2234" t="str">
        <v>historical_exchange_rates_1920_2026.xlsx</v>
      </c>
      <c r="K283" s="2234" t="str">
        <v>本次采用的可访问来源未取得经核验的该年度值；不表示历史上不存在汇率。</v>
      </c>
      <c r="L283" s="2234" t="str"/>
      <c r="M283" s="2234" t="str">
        <v>1942|意大利里拉（ITL）</v>
      </c>
      <c r="N283" s="2234" t="str">
        <v>意大利里拉（ITL）</v>
      </c>
      <c r="O283" s="2239"/>
      <c r="P283" s="2234" t="str"/>
      <c r="Q283" s="2239"/>
      <c r="R283" s="2234" t="str"/>
      <c r="S283" s="2234" t="str">
        <v>年度汇率!G28</v>
      </c>
      <c r="T283" s="2234" t="str">
        <v>本次采用的可访问来源未取得经核验的该年度值；不表示历史上不存在汇率。</v>
      </c>
      <c r="U283" t="n" s="2231">
        <v>1945</v>
      </c>
      <c r="V283" t="str" s="2231">
        <v>英属印度卢比</v>
      </c>
    </row>
    <row r="284" ht="15.0" customHeight="1">
      <c r="A284" s="2234" t="n">
        <v>1942</v>
      </c>
      <c r="B284" s="2234" t="str">
        <v>JPY</v>
      </c>
      <c r="C284" s="2234" t="str">
        <v>日元（JPY）</v>
      </c>
      <c r="D284" s="2234" t="str">
        <v>缺失</v>
      </c>
      <c r="E284" s="2238"/>
      <c r="F284" s="2234" t="str">
        <v>缺失／未核实</v>
      </c>
      <c r="G284" s="2234" t="str">
        <v>用户提供的历史汇率表</v>
      </c>
      <c r="H284" s="2234" t="str"/>
      <c r="I284" s="2234" t="str">
        <v>1942</v>
      </c>
      <c r="J284" s="2234" t="str">
        <v>historical_exchange_rates_1920_2026.xlsx</v>
      </c>
      <c r="K284" s="2234" t="str">
        <v>本次采用的可访问来源未取得经核验的该年度值；不表示历史上不存在汇率。</v>
      </c>
      <c r="L284" s="2234" t="str"/>
      <c r="M284" s="2234" t="str">
        <v>1942|日元（JPY）</v>
      </c>
      <c r="N284" s="2234" t="str">
        <v>日元（JPY）</v>
      </c>
      <c r="O284" s="2239"/>
      <c r="P284" s="2234" t="str"/>
      <c r="Q284" s="2239"/>
      <c r="R284" s="2234" t="str"/>
      <c r="S284" s="2234" t="str">
        <v>年度汇率!H28</v>
      </c>
      <c r="T284" s="2234" t="str">
        <v>本次采用的可访问来源未取得经核验的该年度值；不表示历史上不存在汇率。</v>
      </c>
      <c r="U284" t="n" s="2231">
        <v>1945</v>
      </c>
      <c r="V284" t="str" s="2231">
        <v>苏联卢布（1924币制）</v>
      </c>
    </row>
    <row r="285" ht="15.0" customHeight="1">
      <c r="A285" s="2234" t="n">
        <v>1942</v>
      </c>
      <c r="B285" s="2234" t="str">
        <v>CHF</v>
      </c>
      <c r="C285" s="2234" t="str">
        <v>瑞士法郎（CHF）</v>
      </c>
      <c r="D285" s="2234" t="str">
        <v>缺失</v>
      </c>
      <c r="E285" s="2238"/>
      <c r="F285" s="2234" t="str">
        <v>缺失／未核实</v>
      </c>
      <c r="G285" s="2234" t="str">
        <v>用户提供的历史汇率表</v>
      </c>
      <c r="H285" s="2234" t="str"/>
      <c r="I285" s="2234" t="str">
        <v>1942</v>
      </c>
      <c r="J285" s="2234" t="str">
        <v>historical_exchange_rates_1920_2026.xlsx</v>
      </c>
      <c r="K285" s="2234" t="str">
        <v>本次采用的可访问来源未取得经核验的该年度值；不表示历史上不存在汇率。</v>
      </c>
      <c r="L285" s="2234" t="str"/>
      <c r="M285" s="2234" t="str">
        <v>1942|瑞士法郎（CHF）</v>
      </c>
      <c r="N285" s="2234" t="str">
        <v>瑞士法郎（CHF）</v>
      </c>
      <c r="O285" s="2239"/>
      <c r="P285" s="2234" t="str"/>
      <c r="Q285" s="2239"/>
      <c r="R285" s="2234" t="str"/>
      <c r="S285" s="2234" t="str">
        <v>年度汇率!I28</v>
      </c>
      <c r="T285" s="2234" t="str">
        <v>本次采用的可访问来源未取得经核验的该年度值；不表示历史上不存在汇率。</v>
      </c>
      <c r="U285" t="n" s="2231">
        <v>1946</v>
      </c>
      <c r="V285" t="str" s="2231">
        <v>美元（USD）</v>
      </c>
    </row>
    <row r="286" ht="15.0" customHeight="1">
      <c r="A286" s="2234" t="n">
        <v>1942</v>
      </c>
      <c r="B286" s="2234" t="str">
        <v>INR</v>
      </c>
      <c r="C286" s="2234" t="str">
        <v>英属印度卢比</v>
      </c>
      <c r="D286" s="2234" t="str">
        <v>可用</v>
      </c>
      <c r="E286" s="2238" t="n">
        <v>3.32</v>
      </c>
      <c r="F286" s="2234" t="str">
        <v>年均</v>
      </c>
      <c r="G286" s="2234" t="str">
        <v>MeasuringWorth：印度年均汇率</v>
      </c>
      <c r="H286" s="2234" t="str">
        <v>https://www.measuringworth.com/datasets/exchangeglobal/result.php?countryE%5B%5D=India&amp;year_result=1948&amp;year_source=1916</v>
      </c>
      <c r="I286" s="2234" t="str">
        <v>1942-01-01—1942-12-31</v>
      </c>
      <c r="J286" s="2234" t="str">
        <v>historical_exchange_rates_1920_2026.xlsx</v>
      </c>
      <c r="K286" s="2234" t="str">
        <v>英属印度／印度卢比；保留原表精度。</v>
      </c>
      <c r="L286" s="2234" t="str">
        <v>原报价已按 1 美元兑换本币表示。</v>
      </c>
      <c r="M286" s="2234" t="str">
        <v>1942|英属印度卢比</v>
      </c>
      <c r="N286" s="2234" t="str">
        <v>英属印度卢比</v>
      </c>
      <c r="O286" s="2239" t="n">
        <v>3.32</v>
      </c>
      <c r="P286" s="2234" t="str">
        <v>LCU/USD</v>
      </c>
      <c r="Q286" s="2239" t="n">
        <v>1</v>
      </c>
      <c r="R286" s="2234" t="str">
        <v>B：学术历史汇编</v>
      </c>
      <c r="S286" s="2234" t="str">
        <v>年度汇率!J28；原始记录!A218:M218</v>
      </c>
      <c r="T286" s="2234" t="str"/>
      <c r="U286" t="n" s="2231">
        <v>1946</v>
      </c>
      <c r="V286" t="str" s="2231">
        <v>英镑（GBP）</v>
      </c>
    </row>
    <row r="287" ht="48.0" customHeight="1">
      <c r="A287" s="2234" t="n">
        <v>1942</v>
      </c>
      <c r="B287" s="2234" t="str">
        <v>SUR_1924</v>
      </c>
      <c r="C287" s="2234" t="str">
        <v>苏联卢布（1924币制）</v>
      </c>
      <c r="D287" s="2234" t="str">
        <v>可用</v>
      </c>
      <c r="E287" s="2238" t="n">
        <v>5.3</v>
      </c>
      <c r="F287" s="2234" t="str">
        <v>官价区间参考（非年均）</v>
      </c>
      <c r="G287" s="2234" t="str">
        <v>苏联卢布历史官价表（Wikipedia转引俄央行历史档案）</v>
      </c>
      <c r="H287" s="2234" t="str">
        <v>https://en.wikipedia.org/wiki/Soviet_ruble#Exchange_rates</v>
      </c>
      <c r="I287" s="2234" t="str">
        <v>1937-07-19—1950-02-01</v>
      </c>
      <c r="J287" s="2234" t="str">
        <v>historical_exchange_rates_1920_2026.xlsx</v>
      </c>
      <c r="K287"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287" s="2234" t="str">
        <v>原报价已按 1 美元兑换本币表示。</v>
      </c>
      <c r="M287" s="2234" t="str">
        <v>1942|苏联卢布（1924币制）</v>
      </c>
      <c r="N287" s="2234" t="str">
        <v>苏联卢布（1924币制）</v>
      </c>
      <c r="O287" s="2239" t="n">
        <v>5.3</v>
      </c>
      <c r="P287" s="2234" t="str">
        <v>LCU/USD</v>
      </c>
      <c r="Q287" s="2239" t="n">
        <v>1</v>
      </c>
      <c r="R287" s="2234" t="str">
        <v>C：二手转引（原档未复核）</v>
      </c>
      <c r="S287" s="2234" t="str">
        <v>年度汇率!K28；原始记录!A219:M219</v>
      </c>
      <c r="T287" s="2234" t="str">
        <v>官价参考，并非市场年均汇率</v>
      </c>
      <c r="U287" t="n" s="2231">
        <v>1946</v>
      </c>
      <c r="V287" t="str" s="2231">
        <v>加拿大元（CAD）</v>
      </c>
    </row>
    <row r="288" ht="24.0" customHeight="1">
      <c r="A288" s="2234" t="n">
        <v>1942</v>
      </c>
      <c r="B288" s="2234" t="str">
        <v>FABI</v>
      </c>
      <c r="C288" s="2234" t="str">
        <v>法币元</v>
      </c>
      <c r="D288" s="2234" t="str">
        <v>缺失</v>
      </c>
      <c r="E288" s="2238"/>
      <c r="F288" s="2234" t="str">
        <v>缺失／未核实</v>
      </c>
      <c r="G288" s="2234" t="str">
        <v>用户提供的历史汇率表</v>
      </c>
      <c r="H288" s="2234" t="str"/>
      <c r="I288" s="2234" t="str">
        <v>1942</v>
      </c>
      <c r="J288" s="2234" t="str">
        <v>historical_exchange_rates_1920_2026.xlsx</v>
      </c>
      <c r="K288" s="2234" t="str">
        <v>本次未取得可核验的对应年度值；法币、金圆券、旧人民币过渡及多种市场报价，未插值或倒推。</v>
      </c>
      <c r="L288" s="2234" t="str"/>
      <c r="M288" s="2234" t="str">
        <v>1942|法币元</v>
      </c>
      <c r="N288" s="2234" t="str">
        <v>法币元</v>
      </c>
      <c r="O288" s="2239"/>
      <c r="P288" s="2234" t="str"/>
      <c r="Q288" s="2239"/>
      <c r="R288" s="2234" t="str"/>
      <c r="S288" s="2234" t="str">
        <v>年度汇率!L28</v>
      </c>
      <c r="T288" s="2234" t="str">
        <v>本次未取得可核验的对应年度值；法币、金圆券、旧人民币过渡及多种市场报价，未插值或倒推。</v>
      </c>
      <c r="U288" t="n" s="2231">
        <v>1946</v>
      </c>
      <c r="V288" t="str" s="2231">
        <v>瑞士法郎（CHF）</v>
      </c>
    </row>
    <row r="289" ht="15.0" customHeight="1">
      <c r="A289" s="2234" t="n">
        <v>1943</v>
      </c>
      <c r="B289" s="2234" t="str">
        <v>USD</v>
      </c>
      <c r="C289" s="2234" t="str">
        <v>美元（USD）</v>
      </c>
      <c r="D289" s="2234" t="str">
        <v>可用</v>
      </c>
      <c r="E289" s="2238" t="n">
        <v>1</v>
      </c>
      <c r="F289" s="2234" t="str">
        <v>基准恒等</v>
      </c>
      <c r="G289" s="2234" t="str">
        <v>用户提供的历史汇率表</v>
      </c>
      <c r="H289" s="2234" t="str"/>
      <c r="I289" s="2234" t="str">
        <v>1943</v>
      </c>
      <c r="J289" s="2234" t="str">
        <v>historical_exchange_rates_1920_2026.xlsx</v>
      </c>
      <c r="K289" s="2234" t="str">
        <v>1 美元等于 1 美元，无外部报价。</v>
      </c>
      <c r="L289" s="2234" t="str">
        <v>美元基准，汇率恒为 1。</v>
      </c>
      <c r="M289" s="2234" t="str">
        <v>1943|美元（USD）</v>
      </c>
      <c r="N289" s="2234" t="str">
        <v>美元（USD）</v>
      </c>
      <c r="O289" s="2239"/>
      <c r="P289" s="2234" t="str"/>
      <c r="Q289" s="2239"/>
      <c r="R289" s="2234" t="str"/>
      <c r="S289" s="2234" t="str">
        <v>年度汇率!B29</v>
      </c>
      <c r="T289" s="2234" t="str"/>
      <c r="U289" t="n" s="2231">
        <v>1946</v>
      </c>
      <c r="V289" t="str" s="2231">
        <v>英属印度卢比</v>
      </c>
    </row>
    <row r="290" ht="15.0" customHeight="1">
      <c r="A290" s="2234" t="n">
        <v>1943</v>
      </c>
      <c r="B290" s="2234" t="str">
        <v>GBP</v>
      </c>
      <c r="C290" s="2234" t="str">
        <v>英镑（GBP）</v>
      </c>
      <c r="D290" s="2234" t="str">
        <v>可用</v>
      </c>
      <c r="E290" s="2238" t="n">
        <v>0.2478</v>
      </c>
      <c r="F290" s="2234" t="str">
        <v>年均</v>
      </c>
      <c r="G290" s="2234" t="str">
        <v>MeasuringWorth：英镑／美元年度历史汇率</v>
      </c>
      <c r="H290" s="2234" t="str">
        <v>https://www.measuringworth.com/datasets/exchangeglobal/result.php?countryE%5B%5D=United+Kingdom&amp;year_result=2007&amp;year_source=1791</v>
      </c>
      <c r="I290" s="2234" t="str">
        <v>1943-01-01—1943-12-31</v>
      </c>
      <c r="J290" s="2234" t="str">
        <v>historical_exchange_rates_1920_2026.xlsx</v>
      </c>
      <c r="K290" s="2234" t="str">
        <v>年度汇率，本币／美元；1920—1949。</v>
      </c>
      <c r="L290" s="2234" t="str">
        <v>原报价已按 1 美元兑换本币表示。</v>
      </c>
      <c r="M290" s="2234" t="str">
        <v>1943|英镑（GBP）</v>
      </c>
      <c r="N290" s="2234" t="str">
        <v>英镑（GBP）</v>
      </c>
      <c r="O290" s="2239" t="n">
        <v>0.2478</v>
      </c>
      <c r="P290" s="2234" t="str">
        <v>LCU/USD</v>
      </c>
      <c r="Q290" s="2239" t="n">
        <v>1</v>
      </c>
      <c r="R290" s="2234" t="str">
        <v>B：学术历史汇编</v>
      </c>
      <c r="S290" s="2234" t="str">
        <v>年度汇率!C29；原始记录!A220:M220</v>
      </c>
      <c r="T290" s="2234" t="str"/>
      <c r="U290" t="n" s="2231">
        <v>1946</v>
      </c>
      <c r="V290" t="str" s="2231">
        <v>苏联卢布（1924币制）</v>
      </c>
    </row>
    <row r="291" ht="15.0" customHeight="1">
      <c r="A291" s="2234" t="n">
        <v>1943</v>
      </c>
      <c r="B291" s="2234" t="str">
        <v>CAD</v>
      </c>
      <c r="C291" s="2234" t="str">
        <v>加拿大元（CAD）</v>
      </c>
      <c r="D291" s="2234" t="str">
        <v>缺失</v>
      </c>
      <c r="E291" s="2238"/>
      <c r="F291" s="2234" t="str">
        <v>缺失／未核实</v>
      </c>
      <c r="G291" s="2234" t="str">
        <v>用户提供的历史汇率表</v>
      </c>
      <c r="H291" s="2234" t="str"/>
      <c r="I291" s="2234" t="str">
        <v>1943</v>
      </c>
      <c r="J291" s="2234" t="str">
        <v>historical_exchange_rates_1920_2026.xlsx</v>
      </c>
      <c r="K291" s="2234" t="str">
        <v>本次采用的可访问来源未取得经核验的该年度值；不表示历史上不存在汇率。</v>
      </c>
      <c r="L291" s="2234" t="str"/>
      <c r="M291" s="2234" t="str">
        <v>1943|加拿大元（CAD）</v>
      </c>
      <c r="N291" s="2234" t="str">
        <v>加拿大元（CAD）</v>
      </c>
      <c r="O291" s="2239"/>
      <c r="P291" s="2234" t="str"/>
      <c r="Q291" s="2239"/>
      <c r="R291" s="2234" t="str"/>
      <c r="S291" s="2234" t="str">
        <v>年度汇率!D29</v>
      </c>
      <c r="T291" s="2234" t="str">
        <v>本次采用的可访问来源未取得经核验的该年度值；不表示历史上不存在汇率。</v>
      </c>
      <c r="U291" t="n" s="2231">
        <v>1947</v>
      </c>
      <c r="V291" t="str" s="2231">
        <v>美元（USD）</v>
      </c>
    </row>
    <row r="292" ht="15.0" customHeight="1">
      <c r="A292" s="2234" t="n">
        <v>1943</v>
      </c>
      <c r="B292" s="2234" t="str">
        <v>FRF_OLD</v>
      </c>
      <c r="C292" s="2234" t="str">
        <v>法国旧法郎</v>
      </c>
      <c r="D292" s="2234" t="str">
        <v>缺失</v>
      </c>
      <c r="E292" s="2238"/>
      <c r="F292" s="2234" t="str">
        <v>缺失／未核实</v>
      </c>
      <c r="G292" s="2234" t="str">
        <v>用户提供的历史汇率表</v>
      </c>
      <c r="H292" s="2234" t="str"/>
      <c r="I292" s="2234" t="str">
        <v>1943</v>
      </c>
      <c r="J292" s="2234" t="str">
        <v>historical_exchange_rates_1920_2026.xlsx</v>
      </c>
      <c r="K292" s="2234" t="str">
        <v>本次采用的可访问来源未取得经核验的该年度值；不表示历史上不存在汇率。</v>
      </c>
      <c r="L292" s="2234" t="str"/>
      <c r="M292" s="2234" t="str">
        <v>1943|法国旧法郎</v>
      </c>
      <c r="N292" s="2234" t="str">
        <v>法国旧法郎</v>
      </c>
      <c r="O292" s="2239"/>
      <c r="P292" s="2234" t="str"/>
      <c r="Q292" s="2239"/>
      <c r="R292" s="2234" t="str"/>
      <c r="S292" s="2234" t="str">
        <v>年度汇率!E29</v>
      </c>
      <c r="T292" s="2234" t="str">
        <v>本次采用的可访问来源未取得经核验的该年度值；不表示历史上不存在汇率。</v>
      </c>
      <c r="U292" t="n" s="2231">
        <v>1947</v>
      </c>
      <c r="V292" t="str" s="2231">
        <v>英镑（GBP）</v>
      </c>
    </row>
    <row r="293" ht="15.0" customHeight="1">
      <c r="A293" s="2234" t="n">
        <v>1943</v>
      </c>
      <c r="B293" s="2234" t="str">
        <v>RM</v>
      </c>
      <c r="C293" s="2234" t="str">
        <v>帝国马克（Reichsmark）</v>
      </c>
      <c r="D293" s="2234" t="str">
        <v>缺失</v>
      </c>
      <c r="E293" s="2238"/>
      <c r="F293" s="2234" t="str">
        <v>缺失／未核实</v>
      </c>
      <c r="G293" s="2234" t="str">
        <v>用户提供的历史汇率表</v>
      </c>
      <c r="H293" s="2234" t="str"/>
      <c r="I293" s="2234" t="str">
        <v>1943</v>
      </c>
      <c r="J293" s="2234" t="str">
        <v>historical_exchange_rates_1920_2026.xlsx</v>
      </c>
      <c r="K293" s="2234" t="str">
        <v>本次采用的可访问来源未取得经核验的该年度值；不表示历史上不存在汇率。</v>
      </c>
      <c r="L293" s="2234" t="str"/>
      <c r="M293" s="2234" t="str">
        <v>1943|帝国马克（Reichsmark）</v>
      </c>
      <c r="N293" s="2234" t="str">
        <v>帝国马克（Reichsmark）</v>
      </c>
      <c r="O293" s="2239"/>
      <c r="P293" s="2234" t="str"/>
      <c r="Q293" s="2239"/>
      <c r="R293" s="2234" t="str"/>
      <c r="S293" s="2234" t="str">
        <v>年度汇率!F29、年度汇率!M29</v>
      </c>
      <c r="T293" s="2234" t="str">
        <v>本次采用的可访问来源未取得经核验的该年度值；不表示历史上不存在汇率。</v>
      </c>
      <c r="U293" t="n" s="2231">
        <v>1947</v>
      </c>
      <c r="V293" t="str" s="2231">
        <v>加拿大元（CAD）</v>
      </c>
    </row>
    <row r="294" ht="15.0" customHeight="1">
      <c r="A294" s="2234" t="n">
        <v>1943</v>
      </c>
      <c r="B294" s="2234" t="str">
        <v>ITL</v>
      </c>
      <c r="C294" s="2234" t="str">
        <v>意大利里拉（ITL）</v>
      </c>
      <c r="D294" s="2234" t="str">
        <v>缺失</v>
      </c>
      <c r="E294" s="2238"/>
      <c r="F294" s="2234" t="str">
        <v>缺失／未核实</v>
      </c>
      <c r="G294" s="2234" t="str">
        <v>用户提供的历史汇率表</v>
      </c>
      <c r="H294" s="2234" t="str"/>
      <c r="I294" s="2234" t="str">
        <v>1943</v>
      </c>
      <c r="J294" s="2234" t="str">
        <v>historical_exchange_rates_1920_2026.xlsx</v>
      </c>
      <c r="K294" s="2234" t="str">
        <v>本次采用的可访问来源未取得经核验的该年度值；不表示历史上不存在汇率。</v>
      </c>
      <c r="L294" s="2234" t="str"/>
      <c r="M294" s="2234" t="str">
        <v>1943|意大利里拉（ITL）</v>
      </c>
      <c r="N294" s="2234" t="str">
        <v>意大利里拉（ITL）</v>
      </c>
      <c r="O294" s="2239"/>
      <c r="P294" s="2234" t="str"/>
      <c r="Q294" s="2239"/>
      <c r="R294" s="2234" t="str"/>
      <c r="S294" s="2234" t="str">
        <v>年度汇率!G29</v>
      </c>
      <c r="T294" s="2234" t="str">
        <v>本次采用的可访问来源未取得经核验的该年度值；不表示历史上不存在汇率。</v>
      </c>
      <c r="U294" t="n" s="2231">
        <v>1947</v>
      </c>
      <c r="V294" t="str" s="2231">
        <v>瑞士法郎（CHF）</v>
      </c>
    </row>
    <row r="295" ht="15.0" customHeight="1">
      <c r="A295" s="2234" t="n">
        <v>1943</v>
      </c>
      <c r="B295" s="2234" t="str">
        <v>JPY</v>
      </c>
      <c r="C295" s="2234" t="str">
        <v>日元（JPY）</v>
      </c>
      <c r="D295" s="2234" t="str">
        <v>缺失</v>
      </c>
      <c r="E295" s="2238"/>
      <c r="F295" s="2234" t="str">
        <v>缺失／未核实</v>
      </c>
      <c r="G295" s="2234" t="str">
        <v>用户提供的历史汇率表</v>
      </c>
      <c r="H295" s="2234" t="str"/>
      <c r="I295" s="2234" t="str">
        <v>1943</v>
      </c>
      <c r="J295" s="2234" t="str">
        <v>historical_exchange_rates_1920_2026.xlsx</v>
      </c>
      <c r="K295" s="2234" t="str">
        <v>本次采用的可访问来源未取得经核验的该年度值；不表示历史上不存在汇率。</v>
      </c>
      <c r="L295" s="2234" t="str"/>
      <c r="M295" s="2234" t="str">
        <v>1943|日元（JPY）</v>
      </c>
      <c r="N295" s="2234" t="str">
        <v>日元（JPY）</v>
      </c>
      <c r="O295" s="2239"/>
      <c r="P295" s="2234" t="str"/>
      <c r="Q295" s="2239"/>
      <c r="R295" s="2234" t="str"/>
      <c r="S295" s="2234" t="str">
        <v>年度汇率!H29</v>
      </c>
      <c r="T295" s="2234" t="str">
        <v>本次采用的可访问来源未取得经核验的该年度值；不表示历史上不存在汇率。</v>
      </c>
      <c r="U295" t="n" s="2231">
        <v>1947</v>
      </c>
      <c r="V295" t="str" s="2231">
        <v>印度卢比（独立过渡年）</v>
      </c>
    </row>
    <row r="296" ht="15.0" customHeight="1">
      <c r="A296" s="2234" t="n">
        <v>1943</v>
      </c>
      <c r="B296" s="2234" t="str">
        <v>CHF</v>
      </c>
      <c r="C296" s="2234" t="str">
        <v>瑞士法郎（CHF）</v>
      </c>
      <c r="D296" s="2234" t="str">
        <v>缺失</v>
      </c>
      <c r="E296" s="2238"/>
      <c r="F296" s="2234" t="str">
        <v>缺失／未核实</v>
      </c>
      <c r="G296" s="2234" t="str">
        <v>用户提供的历史汇率表</v>
      </c>
      <c r="H296" s="2234" t="str"/>
      <c r="I296" s="2234" t="str">
        <v>1943</v>
      </c>
      <c r="J296" s="2234" t="str">
        <v>historical_exchange_rates_1920_2026.xlsx</v>
      </c>
      <c r="K296" s="2234" t="str">
        <v>本次采用的可访问来源未取得经核验的该年度值；不表示历史上不存在汇率。</v>
      </c>
      <c r="L296" s="2234" t="str"/>
      <c r="M296" s="2234" t="str">
        <v>1943|瑞士法郎（CHF）</v>
      </c>
      <c r="N296" s="2234" t="str">
        <v>瑞士法郎（CHF）</v>
      </c>
      <c r="O296" s="2239"/>
      <c r="P296" s="2234" t="str"/>
      <c r="Q296" s="2239"/>
      <c r="R296" s="2234" t="str"/>
      <c r="S296" s="2234" t="str">
        <v>年度汇率!I29</v>
      </c>
      <c r="T296" s="2234" t="str">
        <v>本次采用的可访问来源未取得经核验的该年度值；不表示历史上不存在汇率。</v>
      </c>
      <c r="U296" t="n" s="2231">
        <v>1947</v>
      </c>
      <c r="V296" t="str" s="2231">
        <v>苏联卢布（1947改制过渡）</v>
      </c>
    </row>
    <row r="297" ht="15.0" customHeight="1">
      <c r="A297" s="2234" t="n">
        <v>1943</v>
      </c>
      <c r="B297" s="2234" t="str">
        <v>INR</v>
      </c>
      <c r="C297" s="2234" t="str">
        <v>英属印度卢比</v>
      </c>
      <c r="D297" s="2234" t="str">
        <v>可用</v>
      </c>
      <c r="E297" s="2238" t="n">
        <v>3.32</v>
      </c>
      <c r="F297" s="2234" t="str">
        <v>年均</v>
      </c>
      <c r="G297" s="2234" t="str">
        <v>MeasuringWorth：印度年均汇率</v>
      </c>
      <c r="H297" s="2234" t="str">
        <v>https://www.measuringworth.com/datasets/exchangeglobal/result.php?countryE%5B%5D=India&amp;year_result=1948&amp;year_source=1916</v>
      </c>
      <c r="I297" s="2234" t="str">
        <v>1943-01-01—1943-12-31</v>
      </c>
      <c r="J297" s="2234" t="str">
        <v>historical_exchange_rates_1920_2026.xlsx</v>
      </c>
      <c r="K297" s="2234" t="str">
        <v>英属印度／印度卢比；保留原表精度。</v>
      </c>
      <c r="L297" s="2234" t="str">
        <v>原报价已按 1 美元兑换本币表示。</v>
      </c>
      <c r="M297" s="2234" t="str">
        <v>1943|英属印度卢比</v>
      </c>
      <c r="N297" s="2234" t="str">
        <v>英属印度卢比</v>
      </c>
      <c r="O297" s="2239" t="n">
        <v>3.32</v>
      </c>
      <c r="P297" s="2234" t="str">
        <v>LCU/USD</v>
      </c>
      <c r="Q297" s="2239" t="n">
        <v>1</v>
      </c>
      <c r="R297" s="2234" t="str">
        <v>B：学术历史汇编</v>
      </c>
      <c r="S297" s="2234" t="str">
        <v>年度汇率!J29；原始记录!A221:M221</v>
      </c>
      <c r="T297" s="2234" t="str"/>
      <c r="U297" t="n" s="2231">
        <v>1948</v>
      </c>
      <c r="V297" t="str" s="2231">
        <v>美元（USD）</v>
      </c>
    </row>
    <row r="298" ht="48.0" customHeight="1">
      <c r="A298" s="2234" t="n">
        <v>1943</v>
      </c>
      <c r="B298" s="2234" t="str">
        <v>SUR_1924</v>
      </c>
      <c r="C298" s="2234" t="str">
        <v>苏联卢布（1924币制）</v>
      </c>
      <c r="D298" s="2234" t="str">
        <v>可用</v>
      </c>
      <c r="E298" s="2238" t="n">
        <v>5.3</v>
      </c>
      <c r="F298" s="2234" t="str">
        <v>官价区间参考（非年均）</v>
      </c>
      <c r="G298" s="2234" t="str">
        <v>苏联卢布历史官价表（Wikipedia转引俄央行历史档案）</v>
      </c>
      <c r="H298" s="2234" t="str">
        <v>https://en.wikipedia.org/wiki/Soviet_ruble#Exchange_rates</v>
      </c>
      <c r="I298" s="2234" t="str">
        <v>1937-07-19—1950-02-01</v>
      </c>
      <c r="J298" s="2234" t="str">
        <v>historical_exchange_rates_1920_2026.xlsx</v>
      </c>
      <c r="K298"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298" s="2234" t="str">
        <v>原报价已按 1 美元兑换本币表示。</v>
      </c>
      <c r="M298" s="2234" t="str">
        <v>1943|苏联卢布（1924币制）</v>
      </c>
      <c r="N298" s="2234" t="str">
        <v>苏联卢布（1924币制）</v>
      </c>
      <c r="O298" s="2239" t="n">
        <v>5.3</v>
      </c>
      <c r="P298" s="2234" t="str">
        <v>LCU/USD</v>
      </c>
      <c r="Q298" s="2239" t="n">
        <v>1</v>
      </c>
      <c r="R298" s="2234" t="str">
        <v>C：二手转引（原档未复核）</v>
      </c>
      <c r="S298" s="2234" t="str">
        <v>年度汇率!K29；原始记录!A222:M222</v>
      </c>
      <c r="T298" s="2234" t="str">
        <v>官价参考，并非市场年均汇率</v>
      </c>
      <c r="U298" t="n" s="2231">
        <v>1948</v>
      </c>
      <c r="V298" t="str" s="2231">
        <v>英镑（GBP）</v>
      </c>
    </row>
    <row r="299" ht="24.0" customHeight="1">
      <c r="A299" s="2234" t="n">
        <v>1943</v>
      </c>
      <c r="B299" s="2234" t="str">
        <v>FABI</v>
      </c>
      <c r="C299" s="2234" t="str">
        <v>法币元</v>
      </c>
      <c r="D299" s="2234" t="str">
        <v>缺失</v>
      </c>
      <c r="E299" s="2238"/>
      <c r="F299" s="2234" t="str">
        <v>缺失／未核实</v>
      </c>
      <c r="G299" s="2234" t="str">
        <v>用户提供的历史汇率表</v>
      </c>
      <c r="H299" s="2234" t="str"/>
      <c r="I299" s="2234" t="str">
        <v>1943</v>
      </c>
      <c r="J299" s="2234" t="str">
        <v>historical_exchange_rates_1920_2026.xlsx</v>
      </c>
      <c r="K299" s="2234" t="str">
        <v>本次未取得可核验的对应年度值；法币、金圆券、旧人民币过渡及多种市场报价，未插值或倒推。</v>
      </c>
      <c r="L299" s="2234" t="str"/>
      <c r="M299" s="2234" t="str">
        <v>1943|法币元</v>
      </c>
      <c r="N299" s="2234" t="str">
        <v>法币元</v>
      </c>
      <c r="O299" s="2239"/>
      <c r="P299" s="2234" t="str"/>
      <c r="Q299" s="2239"/>
      <c r="R299" s="2234" t="str"/>
      <c r="S299" s="2234" t="str">
        <v>年度汇率!L29</v>
      </c>
      <c r="T299" s="2234" t="str">
        <v>本次未取得可核验的对应年度值；法币、金圆券、旧人民币过渡及多种市场报价，未插值或倒推。</v>
      </c>
      <c r="U299" t="n" s="2231">
        <v>1948</v>
      </c>
      <c r="V299" t="str" s="2231">
        <v>加拿大元（CAD）</v>
      </c>
    </row>
    <row r="300" ht="15.0" customHeight="1">
      <c r="A300" s="2234" t="n">
        <v>1944</v>
      </c>
      <c r="B300" s="2234" t="str">
        <v>USD</v>
      </c>
      <c r="C300" s="2234" t="str">
        <v>美元（USD）</v>
      </c>
      <c r="D300" s="2234" t="str">
        <v>可用</v>
      </c>
      <c r="E300" s="2238" t="n">
        <v>1</v>
      </c>
      <c r="F300" s="2234" t="str">
        <v>基准恒等</v>
      </c>
      <c r="G300" s="2234" t="str">
        <v>用户提供的历史汇率表</v>
      </c>
      <c r="H300" s="2234" t="str"/>
      <c r="I300" s="2234" t="str">
        <v>1944</v>
      </c>
      <c r="J300" s="2234" t="str">
        <v>historical_exchange_rates_1920_2026.xlsx</v>
      </c>
      <c r="K300" s="2234" t="str">
        <v>1 美元等于 1 美元，无外部报价。</v>
      </c>
      <c r="L300" s="2234" t="str">
        <v>美元基准，汇率恒为 1。</v>
      </c>
      <c r="M300" s="2234" t="str">
        <v>1944|美元（USD）</v>
      </c>
      <c r="N300" s="2234" t="str">
        <v>美元（USD）</v>
      </c>
      <c r="O300" s="2239"/>
      <c r="P300" s="2234" t="str"/>
      <c r="Q300" s="2239"/>
      <c r="R300" s="2234" t="str"/>
      <c r="S300" s="2234" t="str">
        <v>年度汇率!B30</v>
      </c>
      <c r="T300" s="2234" t="str"/>
      <c r="U300" t="n" s="2231">
        <v>1948</v>
      </c>
      <c r="V300" t="str" s="2231">
        <v>瑞士法郎（CHF）</v>
      </c>
    </row>
    <row r="301" ht="15.0" customHeight="1">
      <c r="A301" s="2234" t="n">
        <v>1944</v>
      </c>
      <c r="B301" s="2234" t="str">
        <v>GBP</v>
      </c>
      <c r="C301" s="2234" t="str">
        <v>英镑（GBP）</v>
      </c>
      <c r="D301" s="2234" t="str">
        <v>可用</v>
      </c>
      <c r="E301" s="2238" t="n">
        <v>0.2478</v>
      </c>
      <c r="F301" s="2234" t="str">
        <v>年均</v>
      </c>
      <c r="G301" s="2234" t="str">
        <v>MeasuringWorth：英镑／美元年度历史汇率</v>
      </c>
      <c r="H301" s="2234" t="str">
        <v>https://www.measuringworth.com/datasets/exchangeglobal/result.php?countryE%5B%5D=United+Kingdom&amp;year_result=2007&amp;year_source=1791</v>
      </c>
      <c r="I301" s="2234" t="str">
        <v>1944-01-01—1944-12-31</v>
      </c>
      <c r="J301" s="2234" t="str">
        <v>historical_exchange_rates_1920_2026.xlsx</v>
      </c>
      <c r="K301" s="2234" t="str">
        <v>年度汇率，本币／美元；1920—1949。</v>
      </c>
      <c r="L301" s="2234" t="str">
        <v>原报价已按 1 美元兑换本币表示。</v>
      </c>
      <c r="M301" s="2234" t="str">
        <v>1944|英镑（GBP）</v>
      </c>
      <c r="N301" s="2234" t="str">
        <v>英镑（GBP）</v>
      </c>
      <c r="O301" s="2239" t="n">
        <v>0.2478</v>
      </c>
      <c r="P301" s="2234" t="str">
        <v>LCU/USD</v>
      </c>
      <c r="Q301" s="2239" t="n">
        <v>1</v>
      </c>
      <c r="R301" s="2234" t="str">
        <v>B：学术历史汇编</v>
      </c>
      <c r="S301" s="2234" t="str">
        <v>年度汇率!C30；原始记录!A223:M223</v>
      </c>
      <c r="T301" s="2234" t="str"/>
      <c r="U301" t="n" s="2231">
        <v>1948</v>
      </c>
      <c r="V301" t="str" s="2231">
        <v>印度卢比（INR）</v>
      </c>
    </row>
    <row r="302" ht="15.0" customHeight="1">
      <c r="A302" s="2234" t="n">
        <v>1944</v>
      </c>
      <c r="B302" s="2234" t="str">
        <v>CAD</v>
      </c>
      <c r="C302" s="2234" t="str">
        <v>加拿大元（CAD）</v>
      </c>
      <c r="D302" s="2234" t="str">
        <v>缺失</v>
      </c>
      <c r="E302" s="2238"/>
      <c r="F302" s="2234" t="str">
        <v>缺失／未核实</v>
      </c>
      <c r="G302" s="2234" t="str">
        <v>用户提供的历史汇率表</v>
      </c>
      <c r="H302" s="2234" t="str"/>
      <c r="I302" s="2234" t="str">
        <v>1944</v>
      </c>
      <c r="J302" s="2234" t="str">
        <v>historical_exchange_rates_1920_2026.xlsx</v>
      </c>
      <c r="K302" s="2234" t="str">
        <v>本次采用的可访问来源未取得经核验的该年度值；不表示历史上不存在汇率。</v>
      </c>
      <c r="L302" s="2234" t="str"/>
      <c r="M302" s="2234" t="str">
        <v>1944|加拿大元（CAD）</v>
      </c>
      <c r="N302" s="2234" t="str">
        <v>加拿大元（CAD）</v>
      </c>
      <c r="O302" s="2239"/>
      <c r="P302" s="2234" t="str"/>
      <c r="Q302" s="2239"/>
      <c r="R302" s="2234" t="str"/>
      <c r="S302" s="2234" t="str">
        <v>年度汇率!D30</v>
      </c>
      <c r="T302" s="2234" t="str">
        <v>本次采用的可访问来源未取得经核验的该年度值；不表示历史上不存在汇率。</v>
      </c>
      <c r="U302" t="n" s="2231">
        <v>1948</v>
      </c>
      <c r="V302" t="str" s="2231">
        <v>苏联卢布（1947币制）</v>
      </c>
    </row>
    <row r="303" ht="15.0" customHeight="1">
      <c r="A303" s="2234" t="n">
        <v>1944</v>
      </c>
      <c r="B303" s="2234" t="str">
        <v>FRF_OLD</v>
      </c>
      <c r="C303" s="2234" t="str">
        <v>法国旧法郎</v>
      </c>
      <c r="D303" s="2234" t="str">
        <v>缺失</v>
      </c>
      <c r="E303" s="2238"/>
      <c r="F303" s="2234" t="str">
        <v>缺失／未核实</v>
      </c>
      <c r="G303" s="2234" t="str">
        <v>用户提供的历史汇率表</v>
      </c>
      <c r="H303" s="2234" t="str"/>
      <c r="I303" s="2234" t="str">
        <v>1944</v>
      </c>
      <c r="J303" s="2234" t="str">
        <v>historical_exchange_rates_1920_2026.xlsx</v>
      </c>
      <c r="K303" s="2234" t="str">
        <v>本次采用的可访问来源未取得经核验的该年度值；不表示历史上不存在汇率。</v>
      </c>
      <c r="L303" s="2234" t="str"/>
      <c r="M303" s="2234" t="str">
        <v>1944|法国旧法郎</v>
      </c>
      <c r="N303" s="2234" t="str">
        <v>法国旧法郎</v>
      </c>
      <c r="O303" s="2239"/>
      <c r="P303" s="2234" t="str"/>
      <c r="Q303" s="2239"/>
      <c r="R303" s="2234" t="str"/>
      <c r="S303" s="2234" t="str">
        <v>年度汇率!E30</v>
      </c>
      <c r="T303" s="2234" t="str">
        <v>本次采用的可访问来源未取得经核验的该年度值；不表示历史上不存在汇率。</v>
      </c>
      <c r="U303" t="n" s="2231">
        <v>1949</v>
      </c>
      <c r="V303" t="str" s="2231">
        <v>美元（USD）</v>
      </c>
    </row>
    <row r="304" ht="15.0" customHeight="1">
      <c r="A304" s="2234" t="n">
        <v>1944</v>
      </c>
      <c r="B304" s="2234" t="str">
        <v>RM</v>
      </c>
      <c r="C304" s="2234" t="str">
        <v>帝国马克（Reichsmark）</v>
      </c>
      <c r="D304" s="2234" t="str">
        <v>缺失</v>
      </c>
      <c r="E304" s="2238"/>
      <c r="F304" s="2234" t="str">
        <v>缺失／未核实</v>
      </c>
      <c r="G304" s="2234" t="str">
        <v>用户提供的历史汇率表</v>
      </c>
      <c r="H304" s="2234" t="str"/>
      <c r="I304" s="2234" t="str">
        <v>1944</v>
      </c>
      <c r="J304" s="2234" t="str">
        <v>historical_exchange_rates_1920_2026.xlsx</v>
      </c>
      <c r="K304" s="2234" t="str">
        <v>本次采用的可访问来源未取得经核验的该年度值；不表示历史上不存在汇率。</v>
      </c>
      <c r="L304" s="2234" t="str"/>
      <c r="M304" s="2234" t="str">
        <v>1944|帝国马克（Reichsmark）</v>
      </c>
      <c r="N304" s="2234" t="str">
        <v>帝国马克（Reichsmark）</v>
      </c>
      <c r="O304" s="2239"/>
      <c r="P304" s="2234" t="str"/>
      <c r="Q304" s="2239"/>
      <c r="R304" s="2234" t="str"/>
      <c r="S304" s="2234" t="str">
        <v>年度汇率!F30、年度汇率!M30</v>
      </c>
      <c r="T304" s="2234" t="str">
        <v>本次采用的可访问来源未取得经核验的该年度值；不表示历史上不存在汇率。</v>
      </c>
      <c r="U304" t="n" s="2231">
        <v>1949</v>
      </c>
      <c r="V304" t="str" s="2231">
        <v>英镑（GBP）</v>
      </c>
    </row>
    <row r="305" ht="15.0" customHeight="1">
      <c r="A305" s="2234" t="n">
        <v>1944</v>
      </c>
      <c r="B305" s="2234" t="str">
        <v>ITL</v>
      </c>
      <c r="C305" s="2234" t="str">
        <v>意大利里拉（ITL）</v>
      </c>
      <c r="D305" s="2234" t="str">
        <v>缺失</v>
      </c>
      <c r="E305" s="2238"/>
      <c r="F305" s="2234" t="str">
        <v>缺失／未核实</v>
      </c>
      <c r="G305" s="2234" t="str">
        <v>用户提供的历史汇率表</v>
      </c>
      <c r="H305" s="2234" t="str"/>
      <c r="I305" s="2234" t="str">
        <v>1944</v>
      </c>
      <c r="J305" s="2234" t="str">
        <v>historical_exchange_rates_1920_2026.xlsx</v>
      </c>
      <c r="K305" s="2234" t="str">
        <v>本次采用的可访问来源未取得经核验的该年度值；不表示历史上不存在汇率。</v>
      </c>
      <c r="L305" s="2234" t="str"/>
      <c r="M305" s="2234" t="str">
        <v>1944|意大利里拉（ITL）</v>
      </c>
      <c r="N305" s="2234" t="str">
        <v>意大利里拉（ITL）</v>
      </c>
      <c r="O305" s="2239"/>
      <c r="P305" s="2234" t="str"/>
      <c r="Q305" s="2239"/>
      <c r="R305" s="2234" t="str"/>
      <c r="S305" s="2234" t="str">
        <v>年度汇率!G30</v>
      </c>
      <c r="T305" s="2234" t="str">
        <v>本次采用的可访问来源未取得经核验的该年度值；不表示历史上不存在汇率。</v>
      </c>
      <c r="U305" t="n" s="2231">
        <v>1949</v>
      </c>
      <c r="V305" t="str" s="2231">
        <v>加拿大元（CAD）</v>
      </c>
    </row>
    <row r="306" ht="15.0" customHeight="1">
      <c r="A306" s="2234" t="n">
        <v>1944</v>
      </c>
      <c r="B306" s="2234" t="str">
        <v>JPY</v>
      </c>
      <c r="C306" s="2234" t="str">
        <v>日元（JPY）</v>
      </c>
      <c r="D306" s="2234" t="str">
        <v>缺失</v>
      </c>
      <c r="E306" s="2238"/>
      <c r="F306" s="2234" t="str">
        <v>缺失／未核实</v>
      </c>
      <c r="G306" s="2234" t="str">
        <v>用户提供的历史汇率表</v>
      </c>
      <c r="H306" s="2234" t="str"/>
      <c r="I306" s="2234" t="str">
        <v>1944</v>
      </c>
      <c r="J306" s="2234" t="str">
        <v>historical_exchange_rates_1920_2026.xlsx</v>
      </c>
      <c r="K306" s="2234" t="str">
        <v>本次采用的可访问来源未取得经核验的该年度值；不表示历史上不存在汇率。</v>
      </c>
      <c r="L306" s="2234" t="str"/>
      <c r="M306" s="2234" t="str">
        <v>1944|日元（JPY）</v>
      </c>
      <c r="N306" s="2234" t="str">
        <v>日元（JPY）</v>
      </c>
      <c r="O306" s="2239"/>
      <c r="P306" s="2234" t="str"/>
      <c r="Q306" s="2239"/>
      <c r="R306" s="2234" t="str"/>
      <c r="S306" s="2234" t="str">
        <v>年度汇率!H30</v>
      </c>
      <c r="T306" s="2234" t="str">
        <v>本次采用的可访问来源未取得经核验的该年度值；不表示历史上不存在汇率。</v>
      </c>
      <c r="U306" t="n" s="2231">
        <v>1949</v>
      </c>
      <c r="V306" t="str" s="2231">
        <v>瑞士法郎（CHF）</v>
      </c>
    </row>
    <row r="307" ht="15.0" customHeight="1">
      <c r="A307" s="2234" t="n">
        <v>1944</v>
      </c>
      <c r="B307" s="2234" t="str">
        <v>CHF</v>
      </c>
      <c r="C307" s="2234" t="str">
        <v>瑞士法郎（CHF）</v>
      </c>
      <c r="D307" s="2234" t="str">
        <v>缺失</v>
      </c>
      <c r="E307" s="2238"/>
      <c r="F307" s="2234" t="str">
        <v>缺失／未核实</v>
      </c>
      <c r="G307" s="2234" t="str">
        <v>用户提供的历史汇率表</v>
      </c>
      <c r="H307" s="2234" t="str"/>
      <c r="I307" s="2234" t="str">
        <v>1944</v>
      </c>
      <c r="J307" s="2234" t="str">
        <v>historical_exchange_rates_1920_2026.xlsx</v>
      </c>
      <c r="K307" s="2234" t="str">
        <v>本次采用的可访问来源未取得经核验的该年度值；不表示历史上不存在汇率。</v>
      </c>
      <c r="L307" s="2234" t="str"/>
      <c r="M307" s="2234" t="str">
        <v>1944|瑞士法郎（CHF）</v>
      </c>
      <c r="N307" s="2234" t="str">
        <v>瑞士法郎（CHF）</v>
      </c>
      <c r="O307" s="2239"/>
      <c r="P307" s="2234" t="str"/>
      <c r="Q307" s="2239"/>
      <c r="R307" s="2234" t="str"/>
      <c r="S307" s="2234" t="str">
        <v>年度汇率!I30</v>
      </c>
      <c r="T307" s="2234" t="str">
        <v>本次采用的可访问来源未取得经核验的该年度值；不表示历史上不存在汇率。</v>
      </c>
      <c r="U307" t="n" s="2231">
        <v>1949</v>
      </c>
      <c r="V307" t="str" s="2231">
        <v>苏联卢布（1947币制）</v>
      </c>
    </row>
    <row r="308" ht="15.0" customHeight="1">
      <c r="A308" s="2234" t="n">
        <v>1944</v>
      </c>
      <c r="B308" s="2234" t="str">
        <v>INR</v>
      </c>
      <c r="C308" s="2234" t="str">
        <v>英属印度卢比</v>
      </c>
      <c r="D308" s="2234" t="str">
        <v>可用</v>
      </c>
      <c r="E308" s="2238" t="n">
        <v>3.32</v>
      </c>
      <c r="F308" s="2234" t="str">
        <v>年均</v>
      </c>
      <c r="G308" s="2234" t="str">
        <v>MeasuringWorth：印度年均汇率</v>
      </c>
      <c r="H308" s="2234" t="str">
        <v>https://www.measuringworth.com/datasets/exchangeglobal/result.php?countryE%5B%5D=India&amp;year_result=1948&amp;year_source=1916</v>
      </c>
      <c r="I308" s="2234" t="str">
        <v>1944-01-01—1944-12-31</v>
      </c>
      <c r="J308" s="2234" t="str">
        <v>historical_exchange_rates_1920_2026.xlsx</v>
      </c>
      <c r="K308" s="2234" t="str">
        <v>英属印度／印度卢比；保留原表精度。</v>
      </c>
      <c r="L308" s="2234" t="str">
        <v>原报价已按 1 美元兑换本币表示。</v>
      </c>
      <c r="M308" s="2234" t="str">
        <v>1944|英属印度卢比</v>
      </c>
      <c r="N308" s="2234" t="str">
        <v>英属印度卢比</v>
      </c>
      <c r="O308" s="2239" t="n">
        <v>3.32</v>
      </c>
      <c r="P308" s="2234" t="str">
        <v>LCU/USD</v>
      </c>
      <c r="Q308" s="2239" t="n">
        <v>1</v>
      </c>
      <c r="R308" s="2234" t="str">
        <v>B：学术历史汇编</v>
      </c>
      <c r="S308" s="2234" t="str">
        <v>年度汇率!J30；原始记录!A224:M224</v>
      </c>
      <c r="T308" s="2234" t="str"/>
      <c r="U308" t="n" s="2231">
        <v>1950</v>
      </c>
      <c r="V308" t="str" s="2231">
        <v>美元（USD）</v>
      </c>
    </row>
    <row r="309" ht="48.0" customHeight="1">
      <c r="A309" s="2234" t="n">
        <v>1944</v>
      </c>
      <c r="B309" s="2234" t="str">
        <v>SUR_1924</v>
      </c>
      <c r="C309" s="2234" t="str">
        <v>苏联卢布（1924币制）</v>
      </c>
      <c r="D309" s="2234" t="str">
        <v>可用</v>
      </c>
      <c r="E309" s="2238" t="n">
        <v>5.3</v>
      </c>
      <c r="F309" s="2234" t="str">
        <v>官价区间参考（非年均）</v>
      </c>
      <c r="G309" s="2234" t="str">
        <v>苏联卢布历史官价表（Wikipedia转引俄央行历史档案）</v>
      </c>
      <c r="H309" s="2234" t="str">
        <v>https://en.wikipedia.org/wiki/Soviet_ruble#Exchange_rates</v>
      </c>
      <c r="I309" s="2234" t="str">
        <v>1937-07-19—1950-02-01</v>
      </c>
      <c r="J309" s="2234" t="str">
        <v>historical_exchange_rates_1920_2026.xlsx</v>
      </c>
      <c r="K309"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309" s="2234" t="str">
        <v>原报价已按 1 美元兑换本币表示。</v>
      </c>
      <c r="M309" s="2234" t="str">
        <v>1944|苏联卢布（1924币制）</v>
      </c>
      <c r="N309" s="2234" t="str">
        <v>苏联卢布（1924币制）</v>
      </c>
      <c r="O309" s="2239" t="n">
        <v>5.3</v>
      </c>
      <c r="P309" s="2234" t="str">
        <v>LCU/USD</v>
      </c>
      <c r="Q309" s="2239" t="n">
        <v>1</v>
      </c>
      <c r="R309" s="2234" t="str">
        <v>C：二手转引（原档未复核）</v>
      </c>
      <c r="S309" s="2234" t="str">
        <v>年度汇率!K30；原始记录!A225:M225</v>
      </c>
      <c r="T309" s="2234" t="str">
        <v>官价参考，并非市场年均汇率</v>
      </c>
      <c r="U309" t="n" s="2231">
        <v>1950</v>
      </c>
      <c r="V309" t="str" s="2231">
        <v>英镑（GBP）</v>
      </c>
    </row>
    <row r="310" ht="24.0" customHeight="1">
      <c r="A310" s="2234" t="n">
        <v>1944</v>
      </c>
      <c r="B310" s="2234" t="str">
        <v>FABI</v>
      </c>
      <c r="C310" s="2234" t="str">
        <v>法币元</v>
      </c>
      <c r="D310" s="2234" t="str">
        <v>缺失</v>
      </c>
      <c r="E310" s="2238"/>
      <c r="F310" s="2234" t="str">
        <v>缺失／未核实</v>
      </c>
      <c r="G310" s="2234" t="str">
        <v>用户提供的历史汇率表</v>
      </c>
      <c r="H310" s="2234" t="str"/>
      <c r="I310" s="2234" t="str">
        <v>1944</v>
      </c>
      <c r="J310" s="2234" t="str">
        <v>historical_exchange_rates_1920_2026.xlsx</v>
      </c>
      <c r="K310" s="2234" t="str">
        <v>本次未取得可核验的对应年度值；法币、金圆券、旧人民币过渡及多种市场报价，未插值或倒推。</v>
      </c>
      <c r="L310" s="2234" t="str"/>
      <c r="M310" s="2234" t="str">
        <v>1944|法币元</v>
      </c>
      <c r="N310" s="2234" t="str">
        <v>法币元</v>
      </c>
      <c r="O310" s="2239"/>
      <c r="P310" s="2234" t="str"/>
      <c r="Q310" s="2239"/>
      <c r="R310" s="2234" t="str"/>
      <c r="S310" s="2234" t="str">
        <v>年度汇率!L30</v>
      </c>
      <c r="T310" s="2234" t="str">
        <v>本次未取得可核验的对应年度值；法币、金圆券、旧人民币过渡及多种市场报价，未插值或倒推。</v>
      </c>
      <c r="U310" t="n" s="2231">
        <v>1950</v>
      </c>
      <c r="V310" t="str" s="2231">
        <v>加拿大元（CAD）</v>
      </c>
    </row>
    <row r="311" ht="15.0" customHeight="1">
      <c r="A311" s="2234" t="n">
        <v>1945</v>
      </c>
      <c r="B311" s="2234" t="str">
        <v>USD</v>
      </c>
      <c r="C311" s="2234" t="str">
        <v>美元（USD）</v>
      </c>
      <c r="D311" s="2234" t="str">
        <v>可用</v>
      </c>
      <c r="E311" s="2238" t="n">
        <v>1</v>
      </c>
      <c r="F311" s="2234" t="str">
        <v>基准恒等</v>
      </c>
      <c r="G311" s="2234" t="str">
        <v>用户提供的历史汇率表</v>
      </c>
      <c r="H311" s="2234" t="str"/>
      <c r="I311" s="2234" t="str">
        <v>1945</v>
      </c>
      <c r="J311" s="2234" t="str">
        <v>historical_exchange_rates_1920_2026.xlsx</v>
      </c>
      <c r="K311" s="2234" t="str">
        <v>1 美元等于 1 美元，无外部报价。</v>
      </c>
      <c r="L311" s="2234" t="str">
        <v>美元基准，汇率恒为 1。</v>
      </c>
      <c r="M311" s="2234" t="str">
        <v>1945|美元（USD）</v>
      </c>
      <c r="N311" s="2234" t="str">
        <v>美元（USD）</v>
      </c>
      <c r="O311" s="2239"/>
      <c r="P311" s="2234" t="str"/>
      <c r="Q311" s="2239"/>
      <c r="R311" s="2234" t="str"/>
      <c r="S311" s="2234" t="str">
        <v>年度汇率!B31</v>
      </c>
      <c r="T311" s="2234" t="str"/>
      <c r="U311" t="n" s="2231">
        <v>1950</v>
      </c>
      <c r="V311" t="str" s="2231">
        <v>法国旧法郎</v>
      </c>
    </row>
    <row r="312" ht="15.0" customHeight="1">
      <c r="A312" s="2234" t="n">
        <v>1945</v>
      </c>
      <c r="B312" s="2234" t="str">
        <v>GBP</v>
      </c>
      <c r="C312" s="2234" t="str">
        <v>英镑（GBP）</v>
      </c>
      <c r="D312" s="2234" t="str">
        <v>可用</v>
      </c>
      <c r="E312" s="2238" t="n">
        <v>0.2481</v>
      </c>
      <c r="F312" s="2234" t="str">
        <v>年均</v>
      </c>
      <c r="G312" s="2234" t="str">
        <v>MeasuringWorth：英镑／美元年度历史汇率</v>
      </c>
      <c r="H312" s="2234" t="str">
        <v>https://www.measuringworth.com/datasets/exchangeglobal/result.php?countryE%5B%5D=United+Kingdom&amp;year_result=2007&amp;year_source=1791</v>
      </c>
      <c r="I312" s="2234" t="str">
        <v>1945-01-01—1945-12-31</v>
      </c>
      <c r="J312" s="2234" t="str">
        <v>historical_exchange_rates_1920_2026.xlsx</v>
      </c>
      <c r="K312" s="2234" t="str">
        <v>年度汇率，本币／美元；1920—1949。</v>
      </c>
      <c r="L312" s="2234" t="str">
        <v>原报价已按 1 美元兑换本币表示。</v>
      </c>
      <c r="M312" s="2234" t="str">
        <v>1945|英镑（GBP）</v>
      </c>
      <c r="N312" s="2234" t="str">
        <v>英镑（GBP）</v>
      </c>
      <c r="O312" s="2239" t="n">
        <v>0.2481</v>
      </c>
      <c r="P312" s="2234" t="str">
        <v>LCU/USD</v>
      </c>
      <c r="Q312" s="2239" t="n">
        <v>1</v>
      </c>
      <c r="R312" s="2234" t="str">
        <v>B：学术历史汇编</v>
      </c>
      <c r="S312" s="2234" t="str">
        <v>年度汇率!C31；原始记录!A226:M226</v>
      </c>
      <c r="T312" s="2234" t="str"/>
      <c r="U312" t="n" s="2231">
        <v>1950</v>
      </c>
      <c r="V312" t="str" s="2231">
        <v>西德德国马克（DEM）</v>
      </c>
    </row>
    <row r="313" ht="15.0" customHeight="1">
      <c r="A313" s="2234" t="n">
        <v>1945</v>
      </c>
      <c r="B313" s="2234" t="str">
        <v>CAD</v>
      </c>
      <c r="C313" s="2234" t="str">
        <v>加拿大元（CAD）</v>
      </c>
      <c r="D313" s="2234" t="str">
        <v>缺失</v>
      </c>
      <c r="E313" s="2238"/>
      <c r="F313" s="2234" t="str">
        <v>缺失／未核实</v>
      </c>
      <c r="G313" s="2234" t="str">
        <v>用户提供的历史汇率表</v>
      </c>
      <c r="H313" s="2234" t="str"/>
      <c r="I313" s="2234" t="str">
        <v>1945</v>
      </c>
      <c r="J313" s="2234" t="str">
        <v>historical_exchange_rates_1920_2026.xlsx</v>
      </c>
      <c r="K313" s="2234" t="str">
        <v>本次采用的可访问来源未取得经核验的该年度值；不表示历史上不存在汇率。</v>
      </c>
      <c r="L313" s="2234" t="str"/>
      <c r="M313" s="2234" t="str">
        <v>1945|加拿大元（CAD）</v>
      </c>
      <c r="N313" s="2234" t="str">
        <v>加拿大元（CAD）</v>
      </c>
      <c r="O313" s="2239"/>
      <c r="P313" s="2234" t="str"/>
      <c r="Q313" s="2239"/>
      <c r="R313" s="2234" t="str"/>
      <c r="S313" s="2234" t="str">
        <v>年度汇率!D31</v>
      </c>
      <c r="T313" s="2234" t="str">
        <v>本次采用的可访问来源未取得经核验的该年度值；不表示历史上不存在汇率。</v>
      </c>
      <c r="U313" t="n" s="2231">
        <v>1950</v>
      </c>
      <c r="V313" t="str" s="2231">
        <v>意大利里拉（ITL）</v>
      </c>
    </row>
    <row r="314" ht="15.0" customHeight="1">
      <c r="A314" s="2234" t="n">
        <v>1945</v>
      </c>
      <c r="B314" s="2234" t="str">
        <v>FRF_OLD</v>
      </c>
      <c r="C314" s="2234" t="str">
        <v>法国旧法郎</v>
      </c>
      <c r="D314" s="2234" t="str">
        <v>缺失</v>
      </c>
      <c r="E314" s="2238"/>
      <c r="F314" s="2234" t="str">
        <v>缺失／未核实</v>
      </c>
      <c r="G314" s="2234" t="str">
        <v>用户提供的历史汇率表</v>
      </c>
      <c r="H314" s="2234" t="str"/>
      <c r="I314" s="2234" t="str">
        <v>1945</v>
      </c>
      <c r="J314" s="2234" t="str">
        <v>historical_exchange_rates_1920_2026.xlsx</v>
      </c>
      <c r="K314" s="2234" t="str">
        <v>本次采用的可访问来源未取得经核验的该年度值；不表示历史上不存在汇率。</v>
      </c>
      <c r="L314" s="2234" t="str"/>
      <c r="M314" s="2234" t="str">
        <v>1945|法国旧法郎</v>
      </c>
      <c r="N314" s="2234" t="str">
        <v>法国旧法郎</v>
      </c>
      <c r="O314" s="2239"/>
      <c r="P314" s="2234" t="str"/>
      <c r="Q314" s="2239"/>
      <c r="R314" s="2234" t="str"/>
      <c r="S314" s="2234" t="str">
        <v>年度汇率!E31</v>
      </c>
      <c r="T314" s="2234" t="str">
        <v>本次采用的可访问来源未取得经核验的该年度值；不表示历史上不存在汇率。</v>
      </c>
      <c r="U314" t="n" s="2231">
        <v>1950</v>
      </c>
      <c r="V314" t="str" s="2231">
        <v>日元（JPY）</v>
      </c>
    </row>
    <row r="315" ht="15.0" customHeight="1">
      <c r="A315" s="2234" t="n">
        <v>1945</v>
      </c>
      <c r="B315" s="2234" t="str">
        <v>RM</v>
      </c>
      <c r="C315" s="2234" t="str">
        <v>帝国马克（Reichsmark）</v>
      </c>
      <c r="D315" s="2234" t="str">
        <v>缺失</v>
      </c>
      <c r="E315" s="2238"/>
      <c r="F315" s="2234" t="str">
        <v>缺失／未核实</v>
      </c>
      <c r="G315" s="2234" t="str">
        <v>用户提供的历史汇率表</v>
      </c>
      <c r="H315" s="2234" t="str"/>
      <c r="I315" s="2234" t="str">
        <v>1945</v>
      </c>
      <c r="J315" s="2234" t="str">
        <v>historical_exchange_rates_1920_2026.xlsx</v>
      </c>
      <c r="K315" s="2234" t="str">
        <v>本次采用的可访问来源未取得经核验的该年度值；不表示历史上不存在汇率。</v>
      </c>
      <c r="L315" s="2234" t="str"/>
      <c r="M315" s="2234" t="str">
        <v>1945|帝国马克（Reichsmark）</v>
      </c>
      <c r="N315" s="2234" t="str">
        <v>帝国马克（Reichsmark）</v>
      </c>
      <c r="O315" s="2239"/>
      <c r="P315" s="2234" t="str"/>
      <c r="Q315" s="2239"/>
      <c r="R315" s="2234" t="str"/>
      <c r="S315" s="2234" t="str">
        <v>年度汇率!F31、年度汇率!M31</v>
      </c>
      <c r="T315" s="2234" t="str">
        <v>本次采用的可访问来源未取得经核验的该年度值；不表示历史上不存在汇率。</v>
      </c>
      <c r="U315" t="n" s="2231">
        <v>1950</v>
      </c>
      <c r="V315" t="str" s="2231">
        <v>瑞士法郎（CHF）</v>
      </c>
    </row>
    <row r="316" ht="15.0" customHeight="1">
      <c r="A316" s="2234" t="n">
        <v>1945</v>
      </c>
      <c r="B316" s="2234" t="str">
        <v>ITL</v>
      </c>
      <c r="C316" s="2234" t="str">
        <v>意大利里拉（ITL）</v>
      </c>
      <c r="D316" s="2234" t="str">
        <v>缺失</v>
      </c>
      <c r="E316" s="2238"/>
      <c r="F316" s="2234" t="str">
        <v>缺失／未核实</v>
      </c>
      <c r="G316" s="2234" t="str">
        <v>用户提供的历史汇率表</v>
      </c>
      <c r="H316" s="2234" t="str"/>
      <c r="I316" s="2234" t="str">
        <v>1945</v>
      </c>
      <c r="J316" s="2234" t="str">
        <v>historical_exchange_rates_1920_2026.xlsx</v>
      </c>
      <c r="K316" s="2234" t="str">
        <v>本次采用的可访问来源未取得经核验的该年度值；不表示历史上不存在汇率。</v>
      </c>
      <c r="L316" s="2234" t="str"/>
      <c r="M316" s="2234" t="str">
        <v>1945|意大利里拉（ITL）</v>
      </c>
      <c r="N316" s="2234" t="str">
        <v>意大利里拉（ITL）</v>
      </c>
      <c r="O316" s="2239"/>
      <c r="P316" s="2234" t="str"/>
      <c r="Q316" s="2239"/>
      <c r="R316" s="2234" t="str"/>
      <c r="S316" s="2234" t="str">
        <v>年度汇率!G31</v>
      </c>
      <c r="T316" s="2234" t="str">
        <v>本次采用的可访问来源未取得经核验的该年度值；不表示历史上不存在汇率。</v>
      </c>
      <c r="U316" t="n" s="2231">
        <v>1950</v>
      </c>
      <c r="V316" t="str" s="2231">
        <v>印度卢比（INR）</v>
      </c>
    </row>
    <row r="317" ht="15.0" customHeight="1">
      <c r="A317" s="2234" t="n">
        <v>1945</v>
      </c>
      <c r="B317" s="2234" t="str">
        <v>JPY</v>
      </c>
      <c r="C317" s="2234" t="str">
        <v>日元（JPY）</v>
      </c>
      <c r="D317" s="2234" t="str">
        <v>缺失</v>
      </c>
      <c r="E317" s="2238"/>
      <c r="F317" s="2234" t="str">
        <v>缺失／未核实</v>
      </c>
      <c r="G317" s="2234" t="str">
        <v>用户提供的历史汇率表</v>
      </c>
      <c r="H317" s="2234" t="str"/>
      <c r="I317" s="2234" t="str">
        <v>1945</v>
      </c>
      <c r="J317" s="2234" t="str">
        <v>historical_exchange_rates_1920_2026.xlsx</v>
      </c>
      <c r="K317" s="2234" t="str">
        <v>本次采用的可访问来源未取得经核验的该年度值；不表示历史上不存在汇率。</v>
      </c>
      <c r="L317" s="2234" t="str"/>
      <c r="M317" s="2234" t="str">
        <v>1945|日元（JPY）</v>
      </c>
      <c r="N317" s="2234" t="str">
        <v>日元（JPY）</v>
      </c>
      <c r="O317" s="2239"/>
      <c r="P317" s="2234" t="str"/>
      <c r="Q317" s="2239"/>
      <c r="R317" s="2234" t="str"/>
      <c r="S317" s="2234" t="str">
        <v>年度汇率!H31</v>
      </c>
      <c r="T317" s="2234" t="str">
        <v>本次采用的可访问来源未取得经核验的该年度值；不表示历史上不存在汇率。</v>
      </c>
      <c r="U317" t="n" s="2231">
        <v>1950</v>
      </c>
      <c r="V317" t="str" s="2231">
        <v>苏联卢布（1947币制）</v>
      </c>
    </row>
    <row r="318" ht="15.0" customHeight="1">
      <c r="A318" s="2234" t="n">
        <v>1945</v>
      </c>
      <c r="B318" s="2234" t="str">
        <v>CHF</v>
      </c>
      <c r="C318" s="2234" t="str">
        <v>瑞士法郎（CHF）</v>
      </c>
      <c r="D318" s="2234" t="str">
        <v>缺失</v>
      </c>
      <c r="E318" s="2238"/>
      <c r="F318" s="2234" t="str">
        <v>缺失／未核实</v>
      </c>
      <c r="G318" s="2234" t="str">
        <v>用户提供的历史汇率表</v>
      </c>
      <c r="H318" s="2234" t="str"/>
      <c r="I318" s="2234" t="str">
        <v>1945</v>
      </c>
      <c r="J318" s="2234" t="str">
        <v>historical_exchange_rates_1920_2026.xlsx</v>
      </c>
      <c r="K318" s="2234" t="str">
        <v>本次采用的可访问来源未取得经核验的该年度值；不表示历史上不存在汇率。</v>
      </c>
      <c r="L318" s="2234" t="str"/>
      <c r="M318" s="2234" t="str">
        <v>1945|瑞士法郎（CHF）</v>
      </c>
      <c r="N318" s="2234" t="str">
        <v>瑞士法郎（CHF）</v>
      </c>
      <c r="O318" s="2239"/>
      <c r="P318" s="2234" t="str"/>
      <c r="Q318" s="2239"/>
      <c r="R318" s="2234" t="str"/>
      <c r="S318" s="2234" t="str">
        <v>年度汇率!I31</v>
      </c>
      <c r="T318" s="2234" t="str">
        <v>本次采用的可访问来源未取得经核验的该年度值；不表示历史上不存在汇率。</v>
      </c>
      <c r="U318" t="n" s="2231">
        <v>1951</v>
      </c>
      <c r="V318" t="str" s="2231">
        <v>美元（USD）</v>
      </c>
    </row>
    <row r="319" ht="15.0" customHeight="1">
      <c r="A319" s="2234" t="n">
        <v>1945</v>
      </c>
      <c r="B319" s="2234" t="str">
        <v>INR</v>
      </c>
      <c r="C319" s="2234" t="str">
        <v>英属印度卢比</v>
      </c>
      <c r="D319" s="2234" t="str">
        <v>可用</v>
      </c>
      <c r="E319" s="2238" t="n">
        <v>3.32</v>
      </c>
      <c r="F319" s="2234" t="str">
        <v>年均</v>
      </c>
      <c r="G319" s="2234" t="str">
        <v>MeasuringWorth：印度年均汇率</v>
      </c>
      <c r="H319" s="2234" t="str">
        <v>https://www.measuringworth.com/datasets/exchangeglobal/result.php?countryE%5B%5D=India&amp;year_result=1948&amp;year_source=1916</v>
      </c>
      <c r="I319" s="2234" t="str">
        <v>1945-01-01—1945-12-31</v>
      </c>
      <c r="J319" s="2234" t="str">
        <v>historical_exchange_rates_1920_2026.xlsx</v>
      </c>
      <c r="K319" s="2234" t="str">
        <v>英属印度／印度卢比；保留原表精度。</v>
      </c>
      <c r="L319" s="2234" t="str">
        <v>原报价已按 1 美元兑换本币表示。</v>
      </c>
      <c r="M319" s="2234" t="str">
        <v>1945|英属印度卢比</v>
      </c>
      <c r="N319" s="2234" t="str">
        <v>英属印度卢比</v>
      </c>
      <c r="O319" s="2239" t="n">
        <v>3.32</v>
      </c>
      <c r="P319" s="2234" t="str">
        <v>LCU/USD</v>
      </c>
      <c r="Q319" s="2239" t="n">
        <v>1</v>
      </c>
      <c r="R319" s="2234" t="str">
        <v>B：学术历史汇编</v>
      </c>
      <c r="S319" s="2234" t="str">
        <v>年度汇率!J31；原始记录!A227:M227</v>
      </c>
      <c r="T319" s="2234" t="str"/>
      <c r="U319" t="n" s="2231">
        <v>1951</v>
      </c>
      <c r="V319" t="str" s="2231">
        <v>英镑（GBP）</v>
      </c>
    </row>
    <row r="320" ht="48.0" customHeight="1">
      <c r="A320" s="2234" t="n">
        <v>1945</v>
      </c>
      <c r="B320" s="2234" t="str">
        <v>SUR_1924</v>
      </c>
      <c r="C320" s="2234" t="str">
        <v>苏联卢布（1924币制）</v>
      </c>
      <c r="D320" s="2234" t="str">
        <v>可用</v>
      </c>
      <c r="E320" s="2238" t="n">
        <v>5.3</v>
      </c>
      <c r="F320" s="2234" t="str">
        <v>官价区间参考（非年均）</v>
      </c>
      <c r="G320" s="2234" t="str">
        <v>苏联卢布历史官价表（Wikipedia转引俄央行历史档案）</v>
      </c>
      <c r="H320" s="2234" t="str">
        <v>https://en.wikipedia.org/wiki/Soviet_ruble#Exchange_rates</v>
      </c>
      <c r="I320" s="2234" t="str">
        <v>1937-07-19—1950-02-01</v>
      </c>
      <c r="J320" s="2234" t="str">
        <v>historical_exchange_rates_1920_2026.xlsx</v>
      </c>
      <c r="K320"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320" s="2234" t="str">
        <v>原报价已按 1 美元兑换本币表示。</v>
      </c>
      <c r="M320" s="2234" t="str">
        <v>1945|苏联卢布（1924币制）</v>
      </c>
      <c r="N320" s="2234" t="str">
        <v>苏联卢布（1924币制）</v>
      </c>
      <c r="O320" s="2239" t="n">
        <v>5.3</v>
      </c>
      <c r="P320" s="2234" t="str">
        <v>LCU/USD</v>
      </c>
      <c r="Q320" s="2239" t="n">
        <v>1</v>
      </c>
      <c r="R320" s="2234" t="str">
        <v>C：二手转引（原档未复核）</v>
      </c>
      <c r="S320" s="2234" t="str">
        <v>年度汇率!K31；原始记录!A228:M228</v>
      </c>
      <c r="T320" s="2234" t="str">
        <v>官价参考，并非市场年均汇率</v>
      </c>
      <c r="U320" t="n" s="2231">
        <v>1951</v>
      </c>
      <c r="V320" t="str" s="2231">
        <v>加拿大元（CAD）</v>
      </c>
    </row>
    <row r="321" ht="24.0" customHeight="1">
      <c r="A321" s="2234" t="n">
        <v>1945</v>
      </c>
      <c r="B321" s="2234" t="str">
        <v>FABI</v>
      </c>
      <c r="C321" s="2234" t="str">
        <v>法币元</v>
      </c>
      <c r="D321" s="2234" t="str">
        <v>缺失</v>
      </c>
      <c r="E321" s="2238"/>
      <c r="F321" s="2234" t="str">
        <v>缺失／未核实</v>
      </c>
      <c r="G321" s="2234" t="str">
        <v>用户提供的历史汇率表</v>
      </c>
      <c r="H321" s="2234" t="str"/>
      <c r="I321" s="2234" t="str">
        <v>1945</v>
      </c>
      <c r="J321" s="2234" t="str">
        <v>historical_exchange_rates_1920_2026.xlsx</v>
      </c>
      <c r="K321" s="2234" t="str">
        <v>本次未取得可核验的对应年度值；法币、金圆券、旧人民币过渡及多种市场报价，未插值或倒推。</v>
      </c>
      <c r="L321" s="2234" t="str"/>
      <c r="M321" s="2234" t="str">
        <v>1945|法币元</v>
      </c>
      <c r="N321" s="2234" t="str">
        <v>法币元</v>
      </c>
      <c r="O321" s="2239"/>
      <c r="P321" s="2234" t="str"/>
      <c r="Q321" s="2239"/>
      <c r="R321" s="2234" t="str"/>
      <c r="S321" s="2234" t="str">
        <v>年度汇率!L31</v>
      </c>
      <c r="T321" s="2234" t="str">
        <v>本次未取得可核验的对应年度值；法币、金圆券、旧人民币过渡及多种市场报价，未插值或倒推。</v>
      </c>
      <c r="U321" t="n" s="2231">
        <v>1951</v>
      </c>
      <c r="V321" t="str" s="2231">
        <v>法国旧法郎</v>
      </c>
    </row>
    <row r="322" ht="15.0" customHeight="1">
      <c r="A322" s="2234" t="n">
        <v>1946</v>
      </c>
      <c r="B322" s="2234" t="str">
        <v>USD</v>
      </c>
      <c r="C322" s="2234" t="str">
        <v>美元（USD）</v>
      </c>
      <c r="D322" s="2234" t="str">
        <v>可用</v>
      </c>
      <c r="E322" s="2238" t="n">
        <v>1</v>
      </c>
      <c r="F322" s="2234" t="str">
        <v>基准恒等</v>
      </c>
      <c r="G322" s="2234" t="str">
        <v>用户提供的历史汇率表</v>
      </c>
      <c r="H322" s="2234" t="str"/>
      <c r="I322" s="2234" t="str">
        <v>1946</v>
      </c>
      <c r="J322" s="2234" t="str">
        <v>historical_exchange_rates_1920_2026.xlsx</v>
      </c>
      <c r="K322" s="2234" t="str">
        <v>1 美元等于 1 美元，无外部报价。</v>
      </c>
      <c r="L322" s="2234" t="str">
        <v>美元基准，汇率恒为 1。</v>
      </c>
      <c r="M322" s="2234" t="str">
        <v>1946|美元（USD）</v>
      </c>
      <c r="N322" s="2234" t="str">
        <v>美元（USD）</v>
      </c>
      <c r="O322" s="2239"/>
      <c r="P322" s="2234" t="str"/>
      <c r="Q322" s="2239"/>
      <c r="R322" s="2234" t="str"/>
      <c r="S322" s="2234" t="str">
        <v>年度汇率!B32</v>
      </c>
      <c r="T322" s="2234" t="str"/>
      <c r="U322" t="n" s="2231">
        <v>1951</v>
      </c>
      <c r="V322" t="str" s="2231">
        <v>西德德国马克（DEM）</v>
      </c>
    </row>
    <row r="323" ht="15.0" customHeight="1">
      <c r="A323" s="2234" t="n">
        <v>1946</v>
      </c>
      <c r="B323" s="2234" t="str">
        <v>GBP</v>
      </c>
      <c r="C323" s="2234" t="str">
        <v>英镑（GBP）</v>
      </c>
      <c r="D323" s="2234" t="str">
        <v>可用</v>
      </c>
      <c r="E323" s="2238" t="n">
        <v>0.248</v>
      </c>
      <c r="F323" s="2234" t="str">
        <v>年均</v>
      </c>
      <c r="G323" s="2234" t="str">
        <v>MeasuringWorth：英镑／美元年度历史汇率</v>
      </c>
      <c r="H323" s="2234" t="str">
        <v>https://www.measuringworth.com/datasets/exchangeglobal/result.php?countryE%5B%5D=United+Kingdom&amp;year_result=2007&amp;year_source=1791</v>
      </c>
      <c r="I323" s="2234" t="str">
        <v>1946-01-01—1946-12-31</v>
      </c>
      <c r="J323" s="2234" t="str">
        <v>historical_exchange_rates_1920_2026.xlsx</v>
      </c>
      <c r="K323" s="2234" t="str">
        <v>年度汇率，本币／美元；1920—1949。</v>
      </c>
      <c r="L323" s="2234" t="str">
        <v>原报价已按 1 美元兑换本币表示。</v>
      </c>
      <c r="M323" s="2234" t="str">
        <v>1946|英镑（GBP）</v>
      </c>
      <c r="N323" s="2234" t="str">
        <v>英镑（GBP）</v>
      </c>
      <c r="O323" s="2239" t="n">
        <v>0.248</v>
      </c>
      <c r="P323" s="2234" t="str">
        <v>LCU/USD</v>
      </c>
      <c r="Q323" s="2239" t="n">
        <v>1</v>
      </c>
      <c r="R323" s="2234" t="str">
        <v>B：学术历史汇编</v>
      </c>
      <c r="S323" s="2234" t="str">
        <v>年度汇率!C32；原始记录!A229:M229</v>
      </c>
      <c r="T323" s="2234" t="str"/>
      <c r="U323" t="n" s="2231">
        <v>1951</v>
      </c>
      <c r="V323" t="str" s="2231">
        <v>意大利里拉（ITL）</v>
      </c>
    </row>
    <row r="324" ht="15.0" customHeight="1">
      <c r="A324" s="2234" t="n">
        <v>1946</v>
      </c>
      <c r="B324" s="2234" t="str">
        <v>CAD</v>
      </c>
      <c r="C324" s="2234" t="str">
        <v>加拿大元（CAD）</v>
      </c>
      <c r="D324" s="2234" t="str">
        <v>可用</v>
      </c>
      <c r="E324" s="2238" t="n">
        <v>1.072</v>
      </c>
      <c r="F324" s="2234" t="str">
        <v>年均</v>
      </c>
      <c r="G324" s="2234" t="str">
        <v>Lawrence H. Officer / MeasuringWorth：加拿大元</v>
      </c>
      <c r="H324" s="2234" t="str">
        <v>https://www.measuringworth.com/datasets/exchangeglobal/result.php?countryE%5B%5D=Canada&amp;year_result=2007&amp;year_source=1913</v>
      </c>
      <c r="I324" s="2234" t="str">
        <v>1946-01-01—1946-12-31</v>
      </c>
      <c r="J324" s="2234" t="str">
        <v>historical_exchange_rates_1920_2026.xlsx</v>
      </c>
      <c r="K324" s="2234" t="str">
        <v>纽约市场年度报价；1942—1945缺失。</v>
      </c>
      <c r="L324" s="2234" t="str">
        <v>原报价已按 1 美元兑换本币表示。</v>
      </c>
      <c r="M324" s="2234" t="str">
        <v>1946|加拿大元（CAD）</v>
      </c>
      <c r="N324" s="2234" t="str">
        <v>加拿大元（CAD）</v>
      </c>
      <c r="O324" s="2239" t="n">
        <v>1.072</v>
      </c>
      <c r="P324" s="2234" t="str">
        <v>LCU/USD</v>
      </c>
      <c r="Q324" s="2239" t="n">
        <v>1</v>
      </c>
      <c r="R324" s="2234" t="str">
        <v>B：学术历史汇编</v>
      </c>
      <c r="S324" s="2234" t="str">
        <v>年度汇率!D32；原始记录!A230:M230</v>
      </c>
      <c r="T324" s="2234" t="str"/>
      <c r="U324" t="n" s="2231">
        <v>1951</v>
      </c>
      <c r="V324" t="str" s="2231">
        <v>日元（JPY）</v>
      </c>
    </row>
    <row r="325" ht="15.0" customHeight="1">
      <c r="A325" s="2234" t="n">
        <v>1946</v>
      </c>
      <c r="B325" s="2234" t="str">
        <v>FRF_OLD</v>
      </c>
      <c r="C325" s="2234" t="str">
        <v>法国旧法郎</v>
      </c>
      <c r="D325" s="2234" t="str">
        <v>缺失</v>
      </c>
      <c r="E325" s="2238"/>
      <c r="F325" s="2234" t="str">
        <v>缺失／未核实</v>
      </c>
      <c r="G325" s="2234" t="str">
        <v>用户提供的历史汇率表</v>
      </c>
      <c r="H325" s="2234" t="str"/>
      <c r="I325" s="2234" t="str">
        <v>1946</v>
      </c>
      <c r="J325" s="2234" t="str">
        <v>historical_exchange_rates_1920_2026.xlsx</v>
      </c>
      <c r="K325" s="2234" t="str">
        <v>本次采用的可访问来源未取得经核验的该年度值；不表示历史上不存在汇率。</v>
      </c>
      <c r="L325" s="2234" t="str"/>
      <c r="M325" s="2234" t="str">
        <v>1946|法国旧法郎</v>
      </c>
      <c r="N325" s="2234" t="str">
        <v>法国旧法郎</v>
      </c>
      <c r="O325" s="2239"/>
      <c r="P325" s="2234" t="str"/>
      <c r="Q325" s="2239"/>
      <c r="R325" s="2234" t="str"/>
      <c r="S325" s="2234" t="str">
        <v>年度汇率!E32</v>
      </c>
      <c r="T325" s="2234" t="str">
        <v>本次采用的可访问来源未取得经核验的该年度值；不表示历史上不存在汇率。</v>
      </c>
      <c r="U325" t="n" s="2231">
        <v>1951</v>
      </c>
      <c r="V325" t="str" s="2231">
        <v>瑞士法郎（CHF）</v>
      </c>
    </row>
    <row r="326" ht="15.0" customHeight="1">
      <c r="A326" s="2234" t="n">
        <v>1946</v>
      </c>
      <c r="B326" s="2234" t="str">
        <v>RM</v>
      </c>
      <c r="C326" s="2234" t="str">
        <v>帝国马克（Reichsmark）</v>
      </c>
      <c r="D326" s="2234" t="str">
        <v>缺失</v>
      </c>
      <c r="E326" s="2238"/>
      <c r="F326" s="2234" t="str">
        <v>缺失／未核实</v>
      </c>
      <c r="G326" s="2234" t="str">
        <v>用户提供的历史汇率表</v>
      </c>
      <c r="H326" s="2234" t="str"/>
      <c r="I326" s="2234" t="str">
        <v>1946</v>
      </c>
      <c r="J326" s="2234" t="str">
        <v>historical_exchange_rates_1920_2026.xlsx</v>
      </c>
      <c r="K326" s="2234" t="str">
        <v>本次采用的可访问来源未取得经核验的该年度值；不表示历史上不存在汇率。</v>
      </c>
      <c r="L326" s="2234" t="str"/>
      <c r="M326" s="2234" t="str">
        <v>1946|帝国马克（Reichsmark）</v>
      </c>
      <c r="N326" s="2234" t="str">
        <v>帝国马克（Reichsmark）</v>
      </c>
      <c r="O326" s="2239"/>
      <c r="P326" s="2234" t="str"/>
      <c r="Q326" s="2239"/>
      <c r="R326" s="2234" t="str"/>
      <c r="S326" s="2234" t="str">
        <v>年度汇率!F32、年度汇率!M32</v>
      </c>
      <c r="T326" s="2234" t="str">
        <v>本次采用的可访问来源未取得经核验的该年度值；不表示历史上不存在汇率。</v>
      </c>
      <c r="U326" t="n" s="2231">
        <v>1951</v>
      </c>
      <c r="V326" t="str" s="2231">
        <v>印度卢比（INR）</v>
      </c>
    </row>
    <row r="327" ht="15.0" customHeight="1">
      <c r="A327" s="2234" t="n">
        <v>1946</v>
      </c>
      <c r="B327" s="2234" t="str">
        <v>ITL</v>
      </c>
      <c r="C327" s="2234" t="str">
        <v>意大利里拉（ITL）</v>
      </c>
      <c r="D327" s="2234" t="str">
        <v>缺失</v>
      </c>
      <c r="E327" s="2238"/>
      <c r="F327" s="2234" t="str">
        <v>缺失／未核实</v>
      </c>
      <c r="G327" s="2234" t="str">
        <v>用户提供的历史汇率表</v>
      </c>
      <c r="H327" s="2234" t="str"/>
      <c r="I327" s="2234" t="str">
        <v>1946</v>
      </c>
      <c r="J327" s="2234" t="str">
        <v>historical_exchange_rates_1920_2026.xlsx</v>
      </c>
      <c r="K327" s="2234" t="str">
        <v>本次采用的可访问来源未取得经核验的该年度值；不表示历史上不存在汇率。</v>
      </c>
      <c r="L327" s="2234" t="str"/>
      <c r="M327" s="2234" t="str">
        <v>1946|意大利里拉（ITL）</v>
      </c>
      <c r="N327" s="2234" t="str">
        <v>意大利里拉（ITL）</v>
      </c>
      <c r="O327" s="2239"/>
      <c r="P327" s="2234" t="str"/>
      <c r="Q327" s="2239"/>
      <c r="R327" s="2234" t="str"/>
      <c r="S327" s="2234" t="str">
        <v>年度汇率!G32</v>
      </c>
      <c r="T327" s="2234" t="str">
        <v>本次采用的可访问来源未取得经核验的该年度值；不表示历史上不存在汇率。</v>
      </c>
      <c r="U327" t="n" s="2231">
        <v>1951</v>
      </c>
      <c r="V327" t="str" s="2231">
        <v>苏联卢布（1947币制）</v>
      </c>
    </row>
    <row r="328" ht="15.0" customHeight="1">
      <c r="A328" s="2234" t="n">
        <v>1946</v>
      </c>
      <c r="B328" s="2234" t="str">
        <v>JPY</v>
      </c>
      <c r="C328" s="2234" t="str">
        <v>日元（JPY）</v>
      </c>
      <c r="D328" s="2234" t="str">
        <v>缺失</v>
      </c>
      <c r="E328" s="2238"/>
      <c r="F328" s="2234" t="str">
        <v>缺失／未核实</v>
      </c>
      <c r="G328" s="2234" t="str">
        <v>用户提供的历史汇率表</v>
      </c>
      <c r="H328" s="2234" t="str"/>
      <c r="I328" s="2234" t="str">
        <v>1946</v>
      </c>
      <c r="J328" s="2234" t="str">
        <v>historical_exchange_rates_1920_2026.xlsx</v>
      </c>
      <c r="K328" s="2234" t="str">
        <v>本次采用的可访问来源未取得经核验的该年度值；不表示历史上不存在汇率。</v>
      </c>
      <c r="L328" s="2234" t="str"/>
      <c r="M328" s="2234" t="str">
        <v>1946|日元（JPY）</v>
      </c>
      <c r="N328" s="2234" t="str">
        <v>日元（JPY）</v>
      </c>
      <c r="O328" s="2239"/>
      <c r="P328" s="2234" t="str"/>
      <c r="Q328" s="2239"/>
      <c r="R328" s="2234" t="str"/>
      <c r="S328" s="2234" t="str">
        <v>年度汇率!H32</v>
      </c>
      <c r="T328" s="2234" t="str">
        <v>本次采用的可访问来源未取得经核验的该年度值；不表示历史上不存在汇率。</v>
      </c>
      <c r="U328" t="n" s="2231">
        <v>1952</v>
      </c>
      <c r="V328" t="str" s="2231">
        <v>美元（USD）</v>
      </c>
    </row>
    <row r="329" ht="15.0" customHeight="1">
      <c r="A329" s="2234" t="n">
        <v>1946</v>
      </c>
      <c r="B329" s="2234" t="str">
        <v>CHF</v>
      </c>
      <c r="C329" s="2234" t="str">
        <v>瑞士法郎（CHF）</v>
      </c>
      <c r="D329" s="2234" t="str">
        <v>可用</v>
      </c>
      <c r="E329" s="2238" t="n">
        <v>4.2803</v>
      </c>
      <c r="F329" s="2234" t="str">
        <v>年均</v>
      </c>
      <c r="G329" s="2234" t="str">
        <v>MeasuringWorth：瑞士年均汇率</v>
      </c>
      <c r="H329" s="2234" t="str">
        <v>https://www.measuringworth.com/datasets/exchangeglobal/result.php?countryE%5B%5D=Switzerland&amp;year_result=1955&amp;year_source=1905</v>
      </c>
      <c r="I329" s="2234" t="str">
        <v>1946-01-01—1946-12-31</v>
      </c>
      <c r="J329" s="2234" t="str">
        <v>historical_exchange_rates_1920_2026.xlsx</v>
      </c>
      <c r="K329" s="2234" t="str">
        <v>纽约市场；1941仅上半年报价，1942–1945原表无值。</v>
      </c>
      <c r="L329" s="2234" t="str">
        <v>原报价已按 1 美元兑换本币表示。</v>
      </c>
      <c r="M329" s="2234" t="str">
        <v>1946|瑞士法郎（CHF）</v>
      </c>
      <c r="N329" s="2234" t="str">
        <v>瑞士法郎（CHF）</v>
      </c>
      <c r="O329" s="2239" t="n">
        <v>4.2803</v>
      </c>
      <c r="P329" s="2234" t="str">
        <v>LCU/USD</v>
      </c>
      <c r="Q329" s="2239" t="n">
        <v>1</v>
      </c>
      <c r="R329" s="2234" t="str">
        <v>B：学术历史汇编</v>
      </c>
      <c r="S329" s="2234" t="str">
        <v>年度汇率!I32；原始记录!A231:M231</v>
      </c>
      <c r="T329" s="2234" t="str"/>
      <c r="U329" t="n" s="2231">
        <v>1952</v>
      </c>
      <c r="V329" t="str" s="2231">
        <v>英镑（GBP）</v>
      </c>
    </row>
    <row r="330" ht="15.0" customHeight="1">
      <c r="A330" s="2234" t="n">
        <v>1946</v>
      </c>
      <c r="B330" s="2234" t="str">
        <v>INR</v>
      </c>
      <c r="C330" s="2234" t="str">
        <v>英属印度卢比</v>
      </c>
      <c r="D330" s="2234" t="str">
        <v>可用</v>
      </c>
      <c r="E330" s="2238" t="n">
        <v>3.32</v>
      </c>
      <c r="F330" s="2234" t="str">
        <v>年均</v>
      </c>
      <c r="G330" s="2234" t="str">
        <v>MeasuringWorth：印度年均汇率</v>
      </c>
      <c r="H330" s="2234" t="str">
        <v>https://www.measuringworth.com/datasets/exchangeglobal/result.php?countryE%5B%5D=India&amp;year_result=1948&amp;year_source=1916</v>
      </c>
      <c r="I330" s="2234" t="str">
        <v>1946-01-01—1946-12-31</v>
      </c>
      <c r="J330" s="2234" t="str">
        <v>historical_exchange_rates_1920_2026.xlsx</v>
      </c>
      <c r="K330" s="2234" t="str">
        <v>英属印度／印度卢比；保留原表精度。</v>
      </c>
      <c r="L330" s="2234" t="str">
        <v>原报价已按 1 美元兑换本币表示。</v>
      </c>
      <c r="M330" s="2234" t="str">
        <v>1946|英属印度卢比</v>
      </c>
      <c r="N330" s="2234" t="str">
        <v>英属印度卢比</v>
      </c>
      <c r="O330" s="2239" t="n">
        <v>3.32</v>
      </c>
      <c r="P330" s="2234" t="str">
        <v>LCU/USD</v>
      </c>
      <c r="Q330" s="2239" t="n">
        <v>1</v>
      </c>
      <c r="R330" s="2234" t="str">
        <v>B：学术历史汇编</v>
      </c>
      <c r="S330" s="2234" t="str">
        <v>年度汇率!J32；原始记录!A232:M232</v>
      </c>
      <c r="T330" s="2234" t="str"/>
      <c r="U330" t="n" s="2231">
        <v>1952</v>
      </c>
      <c r="V330" t="str" s="2231">
        <v>加拿大元（CAD）</v>
      </c>
    </row>
    <row r="331" ht="48.0" customHeight="1">
      <c r="A331" s="2234" t="n">
        <v>1946</v>
      </c>
      <c r="B331" s="2234" t="str">
        <v>SUR_1924</v>
      </c>
      <c r="C331" s="2234" t="str">
        <v>苏联卢布（1924币制）</v>
      </c>
      <c r="D331" s="2234" t="str">
        <v>可用</v>
      </c>
      <c r="E331" s="2238" t="n">
        <v>5.3</v>
      </c>
      <c r="F331" s="2234" t="str">
        <v>官价区间参考（非年均）</v>
      </c>
      <c r="G331" s="2234" t="str">
        <v>苏联卢布历史官价表（Wikipedia转引俄央行历史档案）</v>
      </c>
      <c r="H331" s="2234" t="str">
        <v>https://en.wikipedia.org/wiki/Soviet_ruble#Exchange_rates</v>
      </c>
      <c r="I331" s="2234" t="str">
        <v>1937-07-19—1950-02-01</v>
      </c>
      <c r="J331" s="2234" t="str">
        <v>historical_exchange_rates_1920_2026.xlsx</v>
      </c>
      <c r="K331"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331" s="2234" t="str">
        <v>原报价已按 1 美元兑换本币表示。</v>
      </c>
      <c r="M331" s="2234" t="str">
        <v>1946|苏联卢布（1924币制）</v>
      </c>
      <c r="N331" s="2234" t="str">
        <v>苏联卢布（1924币制）</v>
      </c>
      <c r="O331" s="2239" t="n">
        <v>5.3</v>
      </c>
      <c r="P331" s="2234" t="str">
        <v>LCU/USD</v>
      </c>
      <c r="Q331" s="2239" t="n">
        <v>1</v>
      </c>
      <c r="R331" s="2234" t="str">
        <v>C：二手转引（原档未复核）</v>
      </c>
      <c r="S331" s="2234" t="str">
        <v>年度汇率!K32；原始记录!A233:M233</v>
      </c>
      <c r="T331" s="2234" t="str">
        <v>官价参考，并非市场年均汇率</v>
      </c>
      <c r="U331" t="n" s="2231">
        <v>1952</v>
      </c>
      <c r="V331" t="str" s="2231">
        <v>法国旧法郎</v>
      </c>
    </row>
    <row r="332" ht="24.0" customHeight="1">
      <c r="A332" s="2234" t="n">
        <v>1946</v>
      </c>
      <c r="B332" s="2234" t="str">
        <v>FABI</v>
      </c>
      <c r="C332" s="2234" t="str">
        <v>法币元</v>
      </c>
      <c r="D332" s="2234" t="str">
        <v>缺失</v>
      </c>
      <c r="E332" s="2238"/>
      <c r="F332" s="2234" t="str">
        <v>缺失／未核实</v>
      </c>
      <c r="G332" s="2234" t="str">
        <v>用户提供的历史汇率表</v>
      </c>
      <c r="H332" s="2234" t="str"/>
      <c r="I332" s="2234" t="str">
        <v>1946</v>
      </c>
      <c r="J332" s="2234" t="str">
        <v>historical_exchange_rates_1920_2026.xlsx</v>
      </c>
      <c r="K332" s="2234" t="str">
        <v>本次未取得可核验的对应年度值；法币、金圆券、旧人民币过渡及多种市场报价，未插值或倒推。</v>
      </c>
      <c r="L332" s="2234" t="str"/>
      <c r="M332" s="2234" t="str">
        <v>1946|法币元</v>
      </c>
      <c r="N332" s="2234" t="str">
        <v>法币元</v>
      </c>
      <c r="O332" s="2239"/>
      <c r="P332" s="2234" t="str"/>
      <c r="Q332" s="2239"/>
      <c r="R332" s="2234" t="str"/>
      <c r="S332" s="2234" t="str">
        <v>年度汇率!L32</v>
      </c>
      <c r="T332" s="2234" t="str">
        <v>本次未取得可核验的对应年度值；法币、金圆券、旧人民币过渡及多种市场报价，未插值或倒推。</v>
      </c>
      <c r="U332" t="n" s="2231">
        <v>1952</v>
      </c>
      <c r="V332" t="str" s="2231">
        <v>西德德国马克（DEM）</v>
      </c>
    </row>
    <row r="333" ht="15.0" customHeight="1">
      <c r="A333" s="2234" t="n">
        <v>1947</v>
      </c>
      <c r="B333" s="2234" t="str">
        <v>USD</v>
      </c>
      <c r="C333" s="2234" t="str">
        <v>美元（USD）</v>
      </c>
      <c r="D333" s="2234" t="str">
        <v>可用</v>
      </c>
      <c r="E333" s="2238" t="n">
        <v>1</v>
      </c>
      <c r="F333" s="2234" t="str">
        <v>基准恒等</v>
      </c>
      <c r="G333" s="2234" t="str">
        <v>用户提供的历史汇率表</v>
      </c>
      <c r="H333" s="2234" t="str"/>
      <c r="I333" s="2234" t="str">
        <v>1947</v>
      </c>
      <c r="J333" s="2234" t="str">
        <v>historical_exchange_rates_1920_2026.xlsx</v>
      </c>
      <c r="K333" s="2234" t="str">
        <v>1 美元等于 1 美元，无外部报价。</v>
      </c>
      <c r="L333" s="2234" t="str">
        <v>美元基准，汇率恒为 1。</v>
      </c>
      <c r="M333" s="2234" t="str">
        <v>1947|美元（USD）</v>
      </c>
      <c r="N333" s="2234" t="str">
        <v>美元（USD）</v>
      </c>
      <c r="O333" s="2239"/>
      <c r="P333" s="2234" t="str"/>
      <c r="Q333" s="2239"/>
      <c r="R333" s="2234" t="str"/>
      <c r="S333" s="2234" t="str">
        <v>年度汇率!B33</v>
      </c>
      <c r="T333" s="2234" t="str"/>
      <c r="U333" t="n" s="2231">
        <v>1952</v>
      </c>
      <c r="V333" t="str" s="2231">
        <v>意大利里拉（ITL）</v>
      </c>
    </row>
    <row r="334" ht="15.0" customHeight="1">
      <c r="A334" s="2234" t="n">
        <v>1947</v>
      </c>
      <c r="B334" s="2234" t="str">
        <v>GBP</v>
      </c>
      <c r="C334" s="2234" t="str">
        <v>英镑（GBP）</v>
      </c>
      <c r="D334" s="2234" t="str">
        <v>可用</v>
      </c>
      <c r="E334" s="2238" t="n">
        <v>0.2482</v>
      </c>
      <c r="F334" s="2234" t="str">
        <v>年均</v>
      </c>
      <c r="G334" s="2234" t="str">
        <v>MeasuringWorth：英镑／美元年度历史汇率</v>
      </c>
      <c r="H334" s="2234" t="str">
        <v>https://www.measuringworth.com/datasets/exchangeglobal/result.php?countryE%5B%5D=United+Kingdom&amp;year_result=2007&amp;year_source=1791</v>
      </c>
      <c r="I334" s="2234" t="str">
        <v>1947-01-01—1947-12-31</v>
      </c>
      <c r="J334" s="2234" t="str">
        <v>historical_exchange_rates_1920_2026.xlsx</v>
      </c>
      <c r="K334" s="2234" t="str">
        <v>年度汇率，本币／美元；1920—1949。</v>
      </c>
      <c r="L334" s="2234" t="str">
        <v>原报价已按 1 美元兑换本币表示。</v>
      </c>
      <c r="M334" s="2234" t="str">
        <v>1947|英镑（GBP）</v>
      </c>
      <c r="N334" s="2234" t="str">
        <v>英镑（GBP）</v>
      </c>
      <c r="O334" s="2239" t="n">
        <v>0.2482</v>
      </c>
      <c r="P334" s="2234" t="str">
        <v>LCU/USD</v>
      </c>
      <c r="Q334" s="2239" t="n">
        <v>1</v>
      </c>
      <c r="R334" s="2234" t="str">
        <v>B：学术历史汇编</v>
      </c>
      <c r="S334" s="2234" t="str">
        <v>年度汇率!C33；原始记录!A234:M234</v>
      </c>
      <c r="T334" s="2234" t="str"/>
      <c r="U334" t="n" s="2231">
        <v>1952</v>
      </c>
      <c r="V334" t="str" s="2231">
        <v>日元（JPY）</v>
      </c>
    </row>
    <row r="335" ht="15.0" customHeight="1">
      <c r="A335" s="2234" t="n">
        <v>1947</v>
      </c>
      <c r="B335" s="2234" t="str">
        <v>CAD</v>
      </c>
      <c r="C335" s="2234" t="str">
        <v>加拿大元（CAD）</v>
      </c>
      <c r="D335" s="2234" t="str">
        <v>可用</v>
      </c>
      <c r="E335" s="2238" t="n">
        <v>1.087</v>
      </c>
      <c r="F335" s="2234" t="str">
        <v>年均</v>
      </c>
      <c r="G335" s="2234" t="str">
        <v>Lawrence H. Officer / MeasuringWorth：加拿大元</v>
      </c>
      <c r="H335" s="2234" t="str">
        <v>https://www.measuringworth.com/datasets/exchangeglobal/result.php?countryE%5B%5D=Canada&amp;year_result=2007&amp;year_source=1913</v>
      </c>
      <c r="I335" s="2234" t="str">
        <v>1947-01-01—1947-12-31</v>
      </c>
      <c r="J335" s="2234" t="str">
        <v>historical_exchange_rates_1920_2026.xlsx</v>
      </c>
      <c r="K335" s="2234" t="str">
        <v>纽约市场年度报价；1942—1945缺失。</v>
      </c>
      <c r="L335" s="2234" t="str">
        <v>原报价已按 1 美元兑换本币表示。</v>
      </c>
      <c r="M335" s="2234" t="str">
        <v>1947|加拿大元（CAD）</v>
      </c>
      <c r="N335" s="2234" t="str">
        <v>加拿大元（CAD）</v>
      </c>
      <c r="O335" s="2239" t="n">
        <v>1.087</v>
      </c>
      <c r="P335" s="2234" t="str">
        <v>LCU/USD</v>
      </c>
      <c r="Q335" s="2239" t="n">
        <v>1</v>
      </c>
      <c r="R335" s="2234" t="str">
        <v>B：学术历史汇编</v>
      </c>
      <c r="S335" s="2234" t="str">
        <v>年度汇率!D33；原始记录!A235:M235</v>
      </c>
      <c r="T335" s="2234" t="str"/>
      <c r="U335" t="n" s="2231">
        <v>1952</v>
      </c>
      <c r="V335" t="str" s="2231">
        <v>瑞士法郎（CHF）</v>
      </c>
    </row>
    <row r="336" ht="15.0" customHeight="1">
      <c r="A336" s="2234" t="n">
        <v>1947</v>
      </c>
      <c r="B336" s="2234" t="str">
        <v>FRF_OLD</v>
      </c>
      <c r="C336" s="2234" t="str">
        <v>法国旧法郎</v>
      </c>
      <c r="D336" s="2234" t="str">
        <v>缺失</v>
      </c>
      <c r="E336" s="2238"/>
      <c r="F336" s="2234" t="str">
        <v>缺失／未核实</v>
      </c>
      <c r="G336" s="2234" t="str">
        <v>用户提供的历史汇率表</v>
      </c>
      <c r="H336" s="2234" t="str"/>
      <c r="I336" s="2234" t="str">
        <v>1947</v>
      </c>
      <c r="J336" s="2234" t="str">
        <v>historical_exchange_rates_1920_2026.xlsx</v>
      </c>
      <c r="K336" s="2234" t="str">
        <v>本次采用的可访问来源未取得经核验的该年度值；不表示历史上不存在汇率。</v>
      </c>
      <c r="L336" s="2234" t="str"/>
      <c r="M336" s="2234" t="str">
        <v>1947|法国旧法郎</v>
      </c>
      <c r="N336" s="2234" t="str">
        <v>法国旧法郎</v>
      </c>
      <c r="O336" s="2239"/>
      <c r="P336" s="2234" t="str"/>
      <c r="Q336" s="2239"/>
      <c r="R336" s="2234" t="str"/>
      <c r="S336" s="2234" t="str">
        <v>年度汇率!E33</v>
      </c>
      <c r="T336" s="2234" t="str">
        <v>本次采用的可访问来源未取得经核验的该年度值；不表示历史上不存在汇率。</v>
      </c>
      <c r="U336" t="n" s="2231">
        <v>1952</v>
      </c>
      <c r="V336" t="str" s="2231">
        <v>印度卢比（INR）</v>
      </c>
    </row>
    <row r="337" ht="15.0" customHeight="1">
      <c r="A337" s="2234" t="n">
        <v>1947</v>
      </c>
      <c r="B337" s="2234" t="str">
        <v>RM</v>
      </c>
      <c r="C337" s="2234" t="str">
        <v>帝国马克（Reichsmark）</v>
      </c>
      <c r="D337" s="2234" t="str">
        <v>缺失</v>
      </c>
      <c r="E337" s="2238"/>
      <c r="F337" s="2234" t="str">
        <v>缺失／未核实</v>
      </c>
      <c r="G337" s="2234" t="str">
        <v>用户提供的历史汇率表</v>
      </c>
      <c r="H337" s="2234" t="str"/>
      <c r="I337" s="2234" t="str">
        <v>1947</v>
      </c>
      <c r="J337" s="2234" t="str">
        <v>historical_exchange_rates_1920_2026.xlsx</v>
      </c>
      <c r="K337" s="2234" t="str">
        <v>本次采用的可访问来源未取得经核验的该年度值；不表示历史上不存在汇率。</v>
      </c>
      <c r="L337" s="2234" t="str"/>
      <c r="M337" s="2234" t="str">
        <v>1947|帝国马克（Reichsmark）</v>
      </c>
      <c r="N337" s="2234" t="str">
        <v>帝国马克（Reichsmark）</v>
      </c>
      <c r="O337" s="2239"/>
      <c r="P337" s="2234" t="str"/>
      <c r="Q337" s="2239"/>
      <c r="R337" s="2234" t="str"/>
      <c r="S337" s="2234" t="str">
        <v>年度汇率!F33、年度汇率!M33</v>
      </c>
      <c r="T337" s="2234" t="str">
        <v>本次采用的可访问来源未取得经核验的该年度值；不表示历史上不存在汇率。</v>
      </c>
      <c r="U337" t="n" s="2231">
        <v>1952</v>
      </c>
      <c r="V337" t="str" s="2231">
        <v>苏联卢布（1947币制）</v>
      </c>
    </row>
    <row r="338" ht="15.0" customHeight="1">
      <c r="A338" s="2234" t="n">
        <v>1947</v>
      </c>
      <c r="B338" s="2234" t="str">
        <v>ITL</v>
      </c>
      <c r="C338" s="2234" t="str">
        <v>意大利里拉（ITL）</v>
      </c>
      <c r="D338" s="2234" t="str">
        <v>缺失</v>
      </c>
      <c r="E338" s="2238"/>
      <c r="F338" s="2234" t="str">
        <v>缺失／未核实</v>
      </c>
      <c r="G338" s="2234" t="str">
        <v>用户提供的历史汇率表</v>
      </c>
      <c r="H338" s="2234" t="str"/>
      <c r="I338" s="2234" t="str">
        <v>1947</v>
      </c>
      <c r="J338" s="2234" t="str">
        <v>historical_exchange_rates_1920_2026.xlsx</v>
      </c>
      <c r="K338" s="2234" t="str">
        <v>本次采用的可访问来源未取得经核验的该年度值；不表示历史上不存在汇率。</v>
      </c>
      <c r="L338" s="2234" t="str"/>
      <c r="M338" s="2234" t="str">
        <v>1947|意大利里拉（ITL）</v>
      </c>
      <c r="N338" s="2234" t="str">
        <v>意大利里拉（ITL）</v>
      </c>
      <c r="O338" s="2239"/>
      <c r="P338" s="2234" t="str"/>
      <c r="Q338" s="2239"/>
      <c r="R338" s="2234" t="str"/>
      <c r="S338" s="2234" t="str">
        <v>年度汇率!G33</v>
      </c>
      <c r="T338" s="2234" t="str">
        <v>本次采用的可访问来源未取得经核验的该年度值；不表示历史上不存在汇率。</v>
      </c>
      <c r="U338" t="n" s="2231">
        <v>1952</v>
      </c>
      <c r="V338" t="str" s="2231">
        <v>第一套人民币元（旧币）</v>
      </c>
    </row>
    <row r="339" ht="15.0" customHeight="1">
      <c r="A339" s="2234" t="n">
        <v>1947</v>
      </c>
      <c r="B339" s="2234" t="str">
        <v>JPY</v>
      </c>
      <c r="C339" s="2234" t="str">
        <v>日元（JPY）</v>
      </c>
      <c r="D339" s="2234" t="str">
        <v>缺失</v>
      </c>
      <c r="E339" s="2238"/>
      <c r="F339" s="2234" t="str">
        <v>缺失／未核实</v>
      </c>
      <c r="G339" s="2234" t="str">
        <v>用户提供的历史汇率表</v>
      </c>
      <c r="H339" s="2234" t="str"/>
      <c r="I339" s="2234" t="str">
        <v>1947</v>
      </c>
      <c r="J339" s="2234" t="str">
        <v>historical_exchange_rates_1920_2026.xlsx</v>
      </c>
      <c r="K339" s="2234" t="str">
        <v>本次采用的可访问来源未取得经核验的该年度值；不表示历史上不存在汇率。</v>
      </c>
      <c r="L339" s="2234" t="str"/>
      <c r="M339" s="2234" t="str">
        <v>1947|日元（JPY）</v>
      </c>
      <c r="N339" s="2234" t="str">
        <v>日元（JPY）</v>
      </c>
      <c r="O339" s="2239"/>
      <c r="P339" s="2234" t="str"/>
      <c r="Q339" s="2239"/>
      <c r="R339" s="2234" t="str"/>
      <c r="S339" s="2234" t="str">
        <v>年度汇率!H33</v>
      </c>
      <c r="T339" s="2234" t="str">
        <v>本次采用的可访问来源未取得经核验的该年度值；不表示历史上不存在汇率。</v>
      </c>
      <c r="U339" t="n" s="2231">
        <v>1953</v>
      </c>
      <c r="V339" t="str" s="2231">
        <v>美元（USD）</v>
      </c>
    </row>
    <row r="340" ht="15.0" customHeight="1">
      <c r="A340" s="2234" t="n">
        <v>1947</v>
      </c>
      <c r="B340" s="2234" t="str">
        <v>CHF</v>
      </c>
      <c r="C340" s="2234" t="str">
        <v>瑞士法郎（CHF）</v>
      </c>
      <c r="D340" s="2234" t="str">
        <v>可用</v>
      </c>
      <c r="E340" s="2238" t="n">
        <v>4.2803</v>
      </c>
      <c r="F340" s="2234" t="str">
        <v>年均</v>
      </c>
      <c r="G340" s="2234" t="str">
        <v>MeasuringWorth：瑞士年均汇率</v>
      </c>
      <c r="H340" s="2234" t="str">
        <v>https://www.measuringworth.com/datasets/exchangeglobal/result.php?countryE%5B%5D=Switzerland&amp;year_result=1955&amp;year_source=1905</v>
      </c>
      <c r="I340" s="2234" t="str">
        <v>1947-01-01—1947-12-31</v>
      </c>
      <c r="J340" s="2234" t="str">
        <v>historical_exchange_rates_1920_2026.xlsx</v>
      </c>
      <c r="K340" s="2234" t="str">
        <v>纽约市场；1941仅上半年报价，1942–1945原表无值。</v>
      </c>
      <c r="L340" s="2234" t="str">
        <v>原报价已按 1 美元兑换本币表示。</v>
      </c>
      <c r="M340" s="2234" t="str">
        <v>1947|瑞士法郎（CHF）</v>
      </c>
      <c r="N340" s="2234" t="str">
        <v>瑞士法郎（CHF）</v>
      </c>
      <c r="O340" s="2239" t="n">
        <v>4.2803</v>
      </c>
      <c r="P340" s="2234" t="str">
        <v>LCU/USD</v>
      </c>
      <c r="Q340" s="2239" t="n">
        <v>1</v>
      </c>
      <c r="R340" s="2234" t="str">
        <v>B：学术历史汇编</v>
      </c>
      <c r="S340" s="2234" t="str">
        <v>年度汇率!I33；原始记录!A236:M236</v>
      </c>
      <c r="T340" s="2234" t="str"/>
      <c r="U340" t="n" s="2231">
        <v>1953</v>
      </c>
      <c r="V340" t="str" s="2231">
        <v>英镑（GBP）</v>
      </c>
    </row>
    <row r="341" ht="15.0" customHeight="1">
      <c r="A341" s="2234" t="n">
        <v>1947</v>
      </c>
      <c r="B341" s="2234" t="str">
        <v>INR</v>
      </c>
      <c r="C341" s="2234" t="str">
        <v>印度卢比（独立过渡年）</v>
      </c>
      <c r="D341" s="2234" t="str">
        <v>可用</v>
      </c>
      <c r="E341" s="2238" t="n">
        <v>3.32</v>
      </c>
      <c r="F341" s="2234" t="str">
        <v>年均</v>
      </c>
      <c r="G341" s="2234" t="str">
        <v>MeasuringWorth：印度年均汇率</v>
      </c>
      <c r="H341" s="2234" t="str">
        <v>https://www.measuringworth.com/datasets/exchangeglobal/result.php?countryE%5B%5D=India&amp;year_result=1948&amp;year_source=1916</v>
      </c>
      <c r="I341" s="2234" t="str">
        <v>1947-01-01—1947-12-31</v>
      </c>
      <c r="J341" s="2234" t="str">
        <v>historical_exchange_rates_1920_2026.xlsx</v>
      </c>
      <c r="K341" s="2234" t="str">
        <v>英属印度／印度卢比；保留原表精度。</v>
      </c>
      <c r="L341" s="2234" t="str">
        <v>原报价已按 1 美元兑换本币表示。</v>
      </c>
      <c r="M341" s="2234" t="str">
        <v>1947|印度卢比（独立过渡年）</v>
      </c>
      <c r="N341" s="2234" t="str">
        <v>印度卢比（独立过渡年）</v>
      </c>
      <c r="O341" s="2239" t="n">
        <v>3.32</v>
      </c>
      <c r="P341" s="2234" t="str">
        <v>LCU/USD</v>
      </c>
      <c r="Q341" s="2239" t="n">
        <v>1</v>
      </c>
      <c r="R341" s="2234" t="str">
        <v>B：学术历史汇编</v>
      </c>
      <c r="S341" s="2234" t="str">
        <v>年度汇率!J33；原始记录!A237:M237</v>
      </c>
      <c r="T341" s="2234" t="str">
        <v>币制过渡期，请留意实际币名与观测日期</v>
      </c>
      <c r="U341" t="n" s="2231">
        <v>1953</v>
      </c>
      <c r="V341" t="str" s="2231">
        <v>加拿大元（CAD）</v>
      </c>
    </row>
    <row r="342" ht="48.0" customHeight="1">
      <c r="A342" s="2234" t="n">
        <v>1947</v>
      </c>
      <c r="B342" s="2234" t="str">
        <v>SUR_TRANSITION_1947</v>
      </c>
      <c r="C342" s="2234" t="str">
        <v>苏联卢布（1947改制过渡）</v>
      </c>
      <c r="D342" s="2234" t="str">
        <v>可用</v>
      </c>
      <c r="E342" s="2238" t="n">
        <v>5.3</v>
      </c>
      <c r="F342" s="2234" t="str">
        <v>官价区间参考（非年均）</v>
      </c>
      <c r="G342" s="2234" t="str">
        <v>苏联卢布历史官价表（Wikipedia转引俄央行历史档案）</v>
      </c>
      <c r="H342" s="2234" t="str">
        <v>https://en.wikipedia.org/wiki/Soviet_ruble#Exchange_rates</v>
      </c>
      <c r="I342" s="2234" t="str">
        <v>1937-07-19—1950-02-01</v>
      </c>
      <c r="J342" s="2234" t="str">
        <v>historical_exchange_rates_1920_2026.xlsx</v>
      </c>
      <c r="K342"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342" s="2234" t="str">
        <v>原报价已按 1 美元兑换本币表示。</v>
      </c>
      <c r="M342" s="2234" t="str">
        <v>1947|苏联卢布（1947改制过渡）</v>
      </c>
      <c r="N342" s="2234" t="str">
        <v>苏联卢布（1947改制过渡）</v>
      </c>
      <c r="O342" s="2239" t="n">
        <v>5.3</v>
      </c>
      <c r="P342" s="2234" t="str">
        <v>LCU/USD</v>
      </c>
      <c r="Q342" s="2239" t="n">
        <v>1</v>
      </c>
      <c r="R342" s="2234" t="str">
        <v>C：二手转引（原档未复核）</v>
      </c>
      <c r="S342" s="2234" t="str">
        <v>年度汇率!K33；原始记录!A238:M238</v>
      </c>
      <c r="T342" s="2234" t="str">
        <v>官价参考，并非市场年均汇率；币制过渡期，请留意实际币名与观测日期</v>
      </c>
      <c r="U342" t="n" s="2231">
        <v>1953</v>
      </c>
      <c r="V342" t="str" s="2231">
        <v>法国旧法郎</v>
      </c>
    </row>
    <row r="343" ht="24.0" customHeight="1">
      <c r="A343" s="2234" t="n">
        <v>1947</v>
      </c>
      <c r="B343" s="2234" t="str">
        <v>FABI</v>
      </c>
      <c r="C343" s="2234" t="str">
        <v>法币元</v>
      </c>
      <c r="D343" s="2234" t="str">
        <v>缺失</v>
      </c>
      <c r="E343" s="2238"/>
      <c r="F343" s="2234" t="str">
        <v>缺失／未核实</v>
      </c>
      <c r="G343" s="2234" t="str">
        <v>用户提供的历史汇率表</v>
      </c>
      <c r="H343" s="2234" t="str"/>
      <c r="I343" s="2234" t="str">
        <v>1947</v>
      </c>
      <c r="J343" s="2234" t="str">
        <v>historical_exchange_rates_1920_2026.xlsx</v>
      </c>
      <c r="K343" s="2234" t="str">
        <v>本次未取得可核验的对应年度值；法币、金圆券、旧人民币过渡及多种市场报价，未插值或倒推。</v>
      </c>
      <c r="L343" s="2234" t="str"/>
      <c r="M343" s="2234" t="str">
        <v>1947|法币元</v>
      </c>
      <c r="N343" s="2234" t="str">
        <v>法币元</v>
      </c>
      <c r="O343" s="2239"/>
      <c r="P343" s="2234" t="str"/>
      <c r="Q343" s="2239"/>
      <c r="R343" s="2234" t="str"/>
      <c r="S343" s="2234" t="str">
        <v>年度汇率!L33</v>
      </c>
      <c r="T343" s="2234" t="str">
        <v>本次未取得可核验的对应年度值；法币、金圆券、旧人民币过渡及多种市场报价，未插值或倒推。</v>
      </c>
      <c r="U343" t="n" s="2231">
        <v>1953</v>
      </c>
      <c r="V343" t="str" s="2231">
        <v>西德德国马克（DEM）</v>
      </c>
    </row>
    <row r="344" ht="15.0" customHeight="1">
      <c r="A344" s="2234" t="n">
        <v>1948</v>
      </c>
      <c r="B344" s="2234" t="str">
        <v>USD</v>
      </c>
      <c r="C344" s="2234" t="str">
        <v>美元（USD）</v>
      </c>
      <c r="D344" s="2234" t="str">
        <v>可用</v>
      </c>
      <c r="E344" s="2238" t="n">
        <v>1</v>
      </c>
      <c r="F344" s="2234" t="str">
        <v>基准恒等</v>
      </c>
      <c r="G344" s="2234" t="str">
        <v>用户提供的历史汇率表</v>
      </c>
      <c r="H344" s="2234" t="str"/>
      <c r="I344" s="2234" t="str">
        <v>1948</v>
      </c>
      <c r="J344" s="2234" t="str">
        <v>historical_exchange_rates_1920_2026.xlsx</v>
      </c>
      <c r="K344" s="2234" t="str">
        <v>1 美元等于 1 美元，无外部报价。</v>
      </c>
      <c r="L344" s="2234" t="str">
        <v>美元基准，汇率恒为 1。</v>
      </c>
      <c r="M344" s="2234" t="str">
        <v>1948|美元（USD）</v>
      </c>
      <c r="N344" s="2234" t="str">
        <v>美元（USD）</v>
      </c>
      <c r="O344" s="2239"/>
      <c r="P344" s="2234" t="str"/>
      <c r="Q344" s="2239"/>
      <c r="R344" s="2234" t="str"/>
      <c r="S344" s="2234" t="str">
        <v>年度汇率!B34</v>
      </c>
      <c r="T344" s="2234" t="str"/>
      <c r="U344" t="n" s="2231">
        <v>1953</v>
      </c>
      <c r="V344" t="str" s="2231">
        <v>意大利里拉（ITL）</v>
      </c>
    </row>
    <row r="345" ht="15.0" customHeight="1">
      <c r="A345" s="2234" t="n">
        <v>1948</v>
      </c>
      <c r="B345" s="2234" t="str">
        <v>GBP</v>
      </c>
      <c r="C345" s="2234" t="str">
        <v>英镑（GBP）</v>
      </c>
      <c r="D345" s="2234" t="str">
        <v>可用</v>
      </c>
      <c r="E345" s="2238" t="n">
        <v>0.2481</v>
      </c>
      <c r="F345" s="2234" t="str">
        <v>年均</v>
      </c>
      <c r="G345" s="2234" t="str">
        <v>MeasuringWorth：英镑／美元年度历史汇率</v>
      </c>
      <c r="H345" s="2234" t="str">
        <v>https://www.measuringworth.com/datasets/exchangeglobal/result.php?countryE%5B%5D=United+Kingdom&amp;year_result=2007&amp;year_source=1791</v>
      </c>
      <c r="I345" s="2234" t="str">
        <v>1948-01-01—1948-12-31</v>
      </c>
      <c r="J345" s="2234" t="str">
        <v>historical_exchange_rates_1920_2026.xlsx</v>
      </c>
      <c r="K345" s="2234" t="str">
        <v>年度汇率，本币／美元；1920—1949。</v>
      </c>
      <c r="L345" s="2234" t="str">
        <v>原报价已按 1 美元兑换本币表示。</v>
      </c>
      <c r="M345" s="2234" t="str">
        <v>1948|英镑（GBP）</v>
      </c>
      <c r="N345" s="2234" t="str">
        <v>英镑（GBP）</v>
      </c>
      <c r="O345" s="2239" t="n">
        <v>0.2481</v>
      </c>
      <c r="P345" s="2234" t="str">
        <v>LCU/USD</v>
      </c>
      <c r="Q345" s="2239" t="n">
        <v>1</v>
      </c>
      <c r="R345" s="2234" t="str">
        <v>B：学术历史汇编</v>
      </c>
      <c r="S345" s="2234" t="str">
        <v>年度汇率!C34；原始记录!A239:M239</v>
      </c>
      <c r="T345" s="2234" t="str"/>
      <c r="U345" t="n" s="2231">
        <v>1953</v>
      </c>
      <c r="V345" t="str" s="2231">
        <v>日元（JPY）</v>
      </c>
    </row>
    <row r="346" ht="15.0" customHeight="1">
      <c r="A346" s="2234" t="n">
        <v>1948</v>
      </c>
      <c r="B346" s="2234" t="str">
        <v>CAD</v>
      </c>
      <c r="C346" s="2234" t="str">
        <v>加拿大元（CAD）</v>
      </c>
      <c r="D346" s="2234" t="str">
        <v>可用</v>
      </c>
      <c r="E346" s="2238" t="n">
        <v>1.0906</v>
      </c>
      <c r="F346" s="2234" t="str">
        <v>年均</v>
      </c>
      <c r="G346" s="2234" t="str">
        <v>Lawrence H. Officer / MeasuringWorth：加拿大元</v>
      </c>
      <c r="H346" s="2234" t="str">
        <v>https://www.measuringworth.com/datasets/exchangeglobal/result.php?countryE%5B%5D=Canada&amp;year_result=2007&amp;year_source=1913</v>
      </c>
      <c r="I346" s="2234" t="str">
        <v>1948-01-01—1948-12-31</v>
      </c>
      <c r="J346" s="2234" t="str">
        <v>historical_exchange_rates_1920_2026.xlsx</v>
      </c>
      <c r="K346" s="2234" t="str">
        <v>纽约市场年度报价；1942—1945缺失。</v>
      </c>
      <c r="L346" s="2234" t="str">
        <v>原报价已按 1 美元兑换本币表示。</v>
      </c>
      <c r="M346" s="2234" t="str">
        <v>1948|加拿大元（CAD）</v>
      </c>
      <c r="N346" s="2234" t="str">
        <v>加拿大元（CAD）</v>
      </c>
      <c r="O346" s="2239" t="n">
        <v>1.0906</v>
      </c>
      <c r="P346" s="2234" t="str">
        <v>LCU/USD</v>
      </c>
      <c r="Q346" s="2239" t="n">
        <v>1</v>
      </c>
      <c r="R346" s="2234" t="str">
        <v>B：学术历史汇编</v>
      </c>
      <c r="S346" s="2234" t="str">
        <v>年度汇率!D34；原始记录!A240:M240</v>
      </c>
      <c r="T346" s="2234" t="str"/>
      <c r="U346" t="n" s="2231">
        <v>1953</v>
      </c>
      <c r="V346" t="str" s="2231">
        <v>瑞士法郎（CHF）</v>
      </c>
    </row>
    <row r="347" ht="15.0" customHeight="1">
      <c r="A347" s="2234" t="n">
        <v>1948</v>
      </c>
      <c r="B347" s="2234" t="str">
        <v>FRF_OLD</v>
      </c>
      <c r="C347" s="2234" t="str">
        <v>法国旧法郎</v>
      </c>
      <c r="D347" s="2234" t="str">
        <v>缺失</v>
      </c>
      <c r="E347" s="2238"/>
      <c r="F347" s="2234" t="str">
        <v>缺失／未核实</v>
      </c>
      <c r="G347" s="2234" t="str">
        <v>用户提供的历史汇率表</v>
      </c>
      <c r="H347" s="2234" t="str"/>
      <c r="I347" s="2234" t="str">
        <v>1948</v>
      </c>
      <c r="J347" s="2234" t="str">
        <v>historical_exchange_rates_1920_2026.xlsx</v>
      </c>
      <c r="K347" s="2234" t="str">
        <v>本次采用的可访问来源未取得经核验的该年度值；不表示历史上不存在汇率。</v>
      </c>
      <c r="L347" s="2234" t="str"/>
      <c r="M347" s="2234" t="str">
        <v>1948|法国旧法郎</v>
      </c>
      <c r="N347" s="2234" t="str">
        <v>法国旧法郎</v>
      </c>
      <c r="O347" s="2239"/>
      <c r="P347" s="2234" t="str"/>
      <c r="Q347" s="2239"/>
      <c r="R347" s="2234" t="str"/>
      <c r="S347" s="2234" t="str">
        <v>年度汇率!E34</v>
      </c>
      <c r="T347" s="2234" t="str">
        <v>本次采用的可访问来源未取得经核验的该年度值；不表示历史上不存在汇率。</v>
      </c>
      <c r="U347" t="n" s="2231">
        <v>1953</v>
      </c>
      <c r="V347" t="str" s="2231">
        <v>印度卢比（INR）</v>
      </c>
    </row>
    <row r="348" ht="24.0" customHeight="1">
      <c r="A348" s="2234" t="n">
        <v>1948</v>
      </c>
      <c r="B348" s="2234" t="str">
        <v>DE_TRANSITION_1948</v>
      </c>
      <c r="C348" s="2234" t="str">
        <v>帝国马克／德国马克（西部过渡）</v>
      </c>
      <c r="D348" s="2234" t="str">
        <v>缺失</v>
      </c>
      <c r="E348" s="2238"/>
      <c r="F348" s="2234" t="str">
        <v>缺失／未核实</v>
      </c>
      <c r="G348" s="2234" t="str">
        <v>用户提供的历史汇率表</v>
      </c>
      <c r="H348" s="2234" t="str"/>
      <c r="I348" s="2234" t="str">
        <v>1948</v>
      </c>
      <c r="J348" s="2234" t="str">
        <v>historical_exchange_rates_1920_2026.xlsx</v>
      </c>
      <c r="K348" s="2234" t="str">
        <v>本次采用的可访问来源未取得经核验的该年度值；不表示历史上不存在汇率。</v>
      </c>
      <c r="L348" s="2234" t="str"/>
      <c r="M348" s="2234" t="str">
        <v>1948|帝国马克／德国马克（西部过渡）</v>
      </c>
      <c r="N348" s="2234" t="str">
        <v>帝国马克／德国马克（西部过渡）</v>
      </c>
      <c r="O348" s="2239"/>
      <c r="P348" s="2234" t="str"/>
      <c r="Q348" s="2239"/>
      <c r="R348" s="2234" t="str"/>
      <c r="S348" s="2234" t="str">
        <v>年度汇率!F34、年度汇率!M34</v>
      </c>
      <c r="T348" s="2234" t="str">
        <v>本次采用的可访问来源未取得经核验的该年度值；不表示历史上不存在汇率。</v>
      </c>
      <c r="U348" t="n" s="2231">
        <v>1953</v>
      </c>
      <c r="V348" t="str" s="2231">
        <v>苏联卢布（1947币制）</v>
      </c>
    </row>
    <row r="349" ht="15.0" customHeight="1">
      <c r="A349" s="2234" t="n">
        <v>1948</v>
      </c>
      <c r="B349" s="2234" t="str">
        <v>ITL</v>
      </c>
      <c r="C349" s="2234" t="str">
        <v>意大利里拉（ITL）</v>
      </c>
      <c r="D349" s="2234" t="str">
        <v>缺失</v>
      </c>
      <c r="E349" s="2238"/>
      <c r="F349" s="2234" t="str">
        <v>缺失／未核实</v>
      </c>
      <c r="G349" s="2234" t="str">
        <v>用户提供的历史汇率表</v>
      </c>
      <c r="H349" s="2234" t="str"/>
      <c r="I349" s="2234" t="str">
        <v>1948</v>
      </c>
      <c r="J349" s="2234" t="str">
        <v>historical_exchange_rates_1920_2026.xlsx</v>
      </c>
      <c r="K349" s="2234" t="str">
        <v>本次采用的可访问来源未取得经核验的该年度值；不表示历史上不存在汇率。</v>
      </c>
      <c r="L349" s="2234" t="str"/>
      <c r="M349" s="2234" t="str">
        <v>1948|意大利里拉（ITL）</v>
      </c>
      <c r="N349" s="2234" t="str">
        <v>意大利里拉（ITL）</v>
      </c>
      <c r="O349" s="2239"/>
      <c r="P349" s="2234" t="str"/>
      <c r="Q349" s="2239"/>
      <c r="R349" s="2234" t="str"/>
      <c r="S349" s="2234" t="str">
        <v>年度汇率!G34</v>
      </c>
      <c r="T349" s="2234" t="str">
        <v>本次采用的可访问来源未取得经核验的该年度值；不表示历史上不存在汇率。</v>
      </c>
      <c r="U349" t="n" s="2231">
        <v>1953</v>
      </c>
      <c r="V349" t="str" s="2231">
        <v>第一套人民币元（旧币）</v>
      </c>
    </row>
    <row r="350" ht="15.0" customHeight="1">
      <c r="A350" s="2234" t="n">
        <v>1948</v>
      </c>
      <c r="B350" s="2234" t="str">
        <v>JPY</v>
      </c>
      <c r="C350" s="2234" t="str">
        <v>日元（JPY）</v>
      </c>
      <c r="D350" s="2234" t="str">
        <v>缺失</v>
      </c>
      <c r="E350" s="2238"/>
      <c r="F350" s="2234" t="str">
        <v>缺失／未核实</v>
      </c>
      <c r="G350" s="2234" t="str">
        <v>用户提供的历史汇率表</v>
      </c>
      <c r="H350" s="2234" t="str"/>
      <c r="I350" s="2234" t="str">
        <v>1948</v>
      </c>
      <c r="J350" s="2234" t="str">
        <v>historical_exchange_rates_1920_2026.xlsx</v>
      </c>
      <c r="K350" s="2234" t="str">
        <v>本次采用的可访问来源未取得经核验的该年度值；不表示历史上不存在汇率。</v>
      </c>
      <c r="L350" s="2234" t="str"/>
      <c r="M350" s="2234" t="str">
        <v>1948|日元（JPY）</v>
      </c>
      <c r="N350" s="2234" t="str">
        <v>日元（JPY）</v>
      </c>
      <c r="O350" s="2239"/>
      <c r="P350" s="2234" t="str"/>
      <c r="Q350" s="2239"/>
      <c r="R350" s="2234" t="str"/>
      <c r="S350" s="2234" t="str">
        <v>年度汇率!H34</v>
      </c>
      <c r="T350" s="2234" t="str">
        <v>本次采用的可访问来源未取得经核验的该年度值；不表示历史上不存在汇率。</v>
      </c>
      <c r="U350" t="n" s="2231">
        <v>1954</v>
      </c>
      <c r="V350" t="str" s="2231">
        <v>美元（USD）</v>
      </c>
    </row>
    <row r="351" ht="15.0" customHeight="1">
      <c r="A351" s="2234" t="n">
        <v>1948</v>
      </c>
      <c r="B351" s="2234" t="str">
        <v>CHF</v>
      </c>
      <c r="C351" s="2234" t="str">
        <v>瑞士法郎（CHF）</v>
      </c>
      <c r="D351" s="2234" t="str">
        <v>可用</v>
      </c>
      <c r="E351" s="2238" t="n">
        <v>4.2803</v>
      </c>
      <c r="F351" s="2234" t="str">
        <v>年均</v>
      </c>
      <c r="G351" s="2234" t="str">
        <v>MeasuringWorth：瑞士年均汇率</v>
      </c>
      <c r="H351" s="2234" t="str">
        <v>https://www.measuringworth.com/datasets/exchangeglobal/result.php?countryE%5B%5D=Switzerland&amp;year_result=1955&amp;year_source=1905</v>
      </c>
      <c r="I351" s="2234" t="str">
        <v>1948-01-01—1948-12-31</v>
      </c>
      <c r="J351" s="2234" t="str">
        <v>historical_exchange_rates_1920_2026.xlsx</v>
      </c>
      <c r="K351" s="2234" t="str">
        <v>纽约市场；1941仅上半年报价，1942–1945原表无值。</v>
      </c>
      <c r="L351" s="2234" t="str">
        <v>原报价已按 1 美元兑换本币表示。</v>
      </c>
      <c r="M351" s="2234" t="str">
        <v>1948|瑞士法郎（CHF）</v>
      </c>
      <c r="N351" s="2234" t="str">
        <v>瑞士法郎（CHF）</v>
      </c>
      <c r="O351" s="2239" t="n">
        <v>4.2803</v>
      </c>
      <c r="P351" s="2234" t="str">
        <v>LCU/USD</v>
      </c>
      <c r="Q351" s="2239" t="n">
        <v>1</v>
      </c>
      <c r="R351" s="2234" t="str">
        <v>B：学术历史汇编</v>
      </c>
      <c r="S351" s="2234" t="str">
        <v>年度汇率!I34；原始记录!A241:M241</v>
      </c>
      <c r="T351" s="2234" t="str"/>
      <c r="U351" t="n" s="2231">
        <v>1954</v>
      </c>
      <c r="V351" t="str" s="2231">
        <v>英镑（GBP）</v>
      </c>
    </row>
    <row r="352" ht="15.0" customHeight="1">
      <c r="A352" s="2234" t="n">
        <v>1948</v>
      </c>
      <c r="B352" s="2234" t="str">
        <v>INR</v>
      </c>
      <c r="C352" s="2234" t="str">
        <v>印度卢比（INR）</v>
      </c>
      <c r="D352" s="2234" t="str">
        <v>可用</v>
      </c>
      <c r="E352" s="2238" t="n">
        <v>3.31</v>
      </c>
      <c r="F352" s="2234" t="str">
        <v>年均</v>
      </c>
      <c r="G352" s="2234" t="str">
        <v>MeasuringWorth：印度年均汇率</v>
      </c>
      <c r="H352" s="2234" t="str">
        <v>https://www.measuringworth.com/datasets/exchangeglobal/result.php?countryE%5B%5D=India&amp;year_result=1948&amp;year_source=1916</v>
      </c>
      <c r="I352" s="2234" t="str">
        <v>1948-01-01—1948-12-31</v>
      </c>
      <c r="J352" s="2234" t="str">
        <v>historical_exchange_rates_1920_2026.xlsx</v>
      </c>
      <c r="K352" s="2234" t="str">
        <v>英属印度／印度卢比；保留原表精度。</v>
      </c>
      <c r="L352" s="2234" t="str">
        <v>原报价已按 1 美元兑换本币表示。</v>
      </c>
      <c r="M352" s="2234" t="str">
        <v>1948|印度卢比（INR）</v>
      </c>
      <c r="N352" s="2234" t="str">
        <v>印度卢比（INR）</v>
      </c>
      <c r="O352" s="2239" t="n">
        <v>3.31</v>
      </c>
      <c r="P352" s="2234" t="str">
        <v>LCU/USD</v>
      </c>
      <c r="Q352" s="2239" t="n">
        <v>1</v>
      </c>
      <c r="R352" s="2234" t="str">
        <v>B：学术历史汇编</v>
      </c>
      <c r="S352" s="2234" t="str">
        <v>年度汇率!J34；原始记录!A242:M242</v>
      </c>
      <c r="T352" s="2234" t="str"/>
      <c r="U352" t="n" s="2231">
        <v>1954</v>
      </c>
      <c r="V352" t="str" s="2231">
        <v>加拿大元（CAD）</v>
      </c>
    </row>
    <row r="353" ht="48.0" customHeight="1">
      <c r="A353" s="2234" t="n">
        <v>1948</v>
      </c>
      <c r="B353" s="2234" t="str">
        <v>SUR_1947</v>
      </c>
      <c r="C353" s="2234" t="str">
        <v>苏联卢布（1947币制）</v>
      </c>
      <c r="D353" s="2234" t="str">
        <v>可用</v>
      </c>
      <c r="E353" s="2238" t="n">
        <v>5.3</v>
      </c>
      <c r="F353" s="2234" t="str">
        <v>官价区间参考（非年均）</v>
      </c>
      <c r="G353" s="2234" t="str">
        <v>苏联卢布历史官价表（Wikipedia转引俄央行历史档案）</v>
      </c>
      <c r="H353" s="2234" t="str">
        <v>https://en.wikipedia.org/wiki/Soviet_ruble#Exchange_rates</v>
      </c>
      <c r="I353" s="2234" t="str">
        <v>1937-07-19—1950-02-01</v>
      </c>
      <c r="J353" s="2234" t="str">
        <v>historical_exchange_rates_1920_2026.xlsx</v>
      </c>
      <c r="K353"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353" s="2234" t="str">
        <v>原报价已按 1 美元兑换本币表示。</v>
      </c>
      <c r="M353" s="2234" t="str">
        <v>1948|苏联卢布（1947币制）</v>
      </c>
      <c r="N353" s="2234" t="str">
        <v>苏联卢布（1947币制）</v>
      </c>
      <c r="O353" s="2239" t="n">
        <v>5.3</v>
      </c>
      <c r="P353" s="2234" t="str">
        <v>LCU/USD</v>
      </c>
      <c r="Q353" s="2239" t="n">
        <v>1</v>
      </c>
      <c r="R353" s="2234" t="str">
        <v>C：二手转引（原档未复核）</v>
      </c>
      <c r="S353" s="2234" t="str">
        <v>年度汇率!K34；原始记录!A243:M243</v>
      </c>
      <c r="T353" s="2234" t="str">
        <v>官价参考，并非市场年均汇率</v>
      </c>
      <c r="U353" t="n" s="2231">
        <v>1954</v>
      </c>
      <c r="V353" t="str" s="2231">
        <v>法国旧法郎</v>
      </c>
    </row>
    <row r="354" ht="24.0" customHeight="1">
      <c r="A354" s="2234" t="n">
        <v>1948</v>
      </c>
      <c r="B354" s="2234" t="str">
        <v>CN_TRANSITION_1948</v>
      </c>
      <c r="C354" s="2234" t="str">
        <v>法币／金圆券；人民币局部始发</v>
      </c>
      <c r="D354" s="2234" t="str">
        <v>缺失</v>
      </c>
      <c r="E354" s="2238"/>
      <c r="F354" s="2234" t="str">
        <v>缺失／未核实</v>
      </c>
      <c r="G354" s="2234" t="str">
        <v>用户提供的历史汇率表</v>
      </c>
      <c r="H354" s="2234" t="str"/>
      <c r="I354" s="2234" t="str">
        <v>1948</v>
      </c>
      <c r="J354" s="2234" t="str">
        <v>historical_exchange_rates_1920_2026.xlsx</v>
      </c>
      <c r="K354" s="2234" t="str">
        <v>本次未取得可核验的对应年度值；法币、金圆券、旧人民币过渡及多种市场报价，未插值或倒推。</v>
      </c>
      <c r="L354" s="2234" t="str"/>
      <c r="M354" s="2234" t="str">
        <v>1948|法币／金圆券；人民币局部始发</v>
      </c>
      <c r="N354" s="2234" t="str">
        <v>法币／金圆券；人民币局部始发</v>
      </c>
      <c r="O354" s="2239"/>
      <c r="P354" s="2234" t="str"/>
      <c r="Q354" s="2239"/>
      <c r="R354" s="2234" t="str"/>
      <c r="S354" s="2234" t="str">
        <v>年度汇率!L34</v>
      </c>
      <c r="T354" s="2234" t="str">
        <v>本次未取得可核验的对应年度值；法币、金圆券、旧人民币过渡及多种市场报价，未插值或倒推。</v>
      </c>
      <c r="U354" t="n" s="2231">
        <v>1954</v>
      </c>
      <c r="V354" t="str" s="2231">
        <v>西德德国马克（DEM）</v>
      </c>
    </row>
    <row r="355" ht="15.0" customHeight="1">
      <c r="A355" s="2234" t="n">
        <v>1949</v>
      </c>
      <c r="B355" s="2234" t="str">
        <v>USD</v>
      </c>
      <c r="C355" s="2234" t="str">
        <v>美元（USD）</v>
      </c>
      <c r="D355" s="2234" t="str">
        <v>可用</v>
      </c>
      <c r="E355" s="2238" t="n">
        <v>1</v>
      </c>
      <c r="F355" s="2234" t="str">
        <v>基准恒等</v>
      </c>
      <c r="G355" s="2234" t="str">
        <v>用户提供的历史汇率表</v>
      </c>
      <c r="H355" s="2234" t="str"/>
      <c r="I355" s="2234" t="str">
        <v>1949</v>
      </c>
      <c r="J355" s="2234" t="str">
        <v>historical_exchange_rates_1920_2026.xlsx</v>
      </c>
      <c r="K355" s="2234" t="str">
        <v>1 美元等于 1 美元，无外部报价。</v>
      </c>
      <c r="L355" s="2234" t="str">
        <v>美元基准，汇率恒为 1。</v>
      </c>
      <c r="M355" s="2234" t="str">
        <v>1949|美元（USD）</v>
      </c>
      <c r="N355" s="2234" t="str">
        <v>美元（USD）</v>
      </c>
      <c r="O355" s="2239"/>
      <c r="P355" s="2234" t="str"/>
      <c r="Q355" s="2239"/>
      <c r="R355" s="2234" t="str"/>
      <c r="S355" s="2234" t="str">
        <v>年度汇率!B35</v>
      </c>
      <c r="T355" s="2234" t="str"/>
      <c r="U355" t="n" s="2231">
        <v>1954</v>
      </c>
      <c r="V355" t="str" s="2231">
        <v>意大利里拉（ITL）</v>
      </c>
    </row>
    <row r="356" ht="15.0" customHeight="1">
      <c r="A356" s="2234" t="n">
        <v>1949</v>
      </c>
      <c r="B356" s="2234" t="str">
        <v>GBP</v>
      </c>
      <c r="C356" s="2234" t="str">
        <v>英镑（GBP）</v>
      </c>
      <c r="D356" s="2234" t="str">
        <v>可用</v>
      </c>
      <c r="E356" s="2238" t="n">
        <v>0.2712</v>
      </c>
      <c r="F356" s="2234" t="str">
        <v>年均</v>
      </c>
      <c r="G356" s="2234" t="str">
        <v>MeasuringWorth：英镑／美元年度历史汇率</v>
      </c>
      <c r="H356" s="2234" t="str">
        <v>https://www.measuringworth.com/datasets/exchangeglobal/result.php?countryE%5B%5D=United+Kingdom&amp;year_result=2007&amp;year_source=1791</v>
      </c>
      <c r="I356" s="2234" t="str">
        <v>1949-01-01—1949-12-31</v>
      </c>
      <c r="J356" s="2234" t="str">
        <v>historical_exchange_rates_1920_2026.xlsx</v>
      </c>
      <c r="K356" s="2234" t="str">
        <v>年度汇率，本币／美元；1920—1949。</v>
      </c>
      <c r="L356" s="2234" t="str">
        <v>原报价已按 1 美元兑换本币表示。</v>
      </c>
      <c r="M356" s="2234" t="str">
        <v>1949|英镑（GBP）</v>
      </c>
      <c r="N356" s="2234" t="str">
        <v>英镑（GBP）</v>
      </c>
      <c r="O356" s="2239" t="n">
        <v>0.2712</v>
      </c>
      <c r="P356" s="2234" t="str">
        <v>LCU/USD</v>
      </c>
      <c r="Q356" s="2239" t="n">
        <v>1</v>
      </c>
      <c r="R356" s="2234" t="str">
        <v>B：学术历史汇编</v>
      </c>
      <c r="S356" s="2234" t="str">
        <v>年度汇率!C35；原始记录!A244:M244</v>
      </c>
      <c r="T356" s="2234" t="str"/>
      <c r="U356" t="n" s="2231">
        <v>1954</v>
      </c>
      <c r="V356" t="str" s="2231">
        <v>日元（JPY）</v>
      </c>
    </row>
    <row r="357" ht="15.0" customHeight="1">
      <c r="A357" s="2234" t="n">
        <v>1949</v>
      </c>
      <c r="B357" s="2234" t="str">
        <v>CAD</v>
      </c>
      <c r="C357" s="2234" t="str">
        <v>加拿大元（CAD）</v>
      </c>
      <c r="D357" s="2234" t="str">
        <v>可用</v>
      </c>
      <c r="E357" s="2238" t="n">
        <v>1.0767</v>
      </c>
      <c r="F357" s="2234" t="str">
        <v>年均</v>
      </c>
      <c r="G357" s="2234" t="str">
        <v>Lawrence H. Officer / MeasuringWorth：加拿大元</v>
      </c>
      <c r="H357" s="2234" t="str">
        <v>https://www.measuringworth.com/datasets/exchangeglobal/result.php?countryE%5B%5D=Canada&amp;year_result=2007&amp;year_source=1913</v>
      </c>
      <c r="I357" s="2234" t="str">
        <v>1949-01-01—1949-12-31</v>
      </c>
      <c r="J357" s="2234" t="str">
        <v>historical_exchange_rates_1920_2026.xlsx</v>
      </c>
      <c r="K357" s="2234" t="str">
        <v>纽约市场年度报价；1942—1945缺失。</v>
      </c>
      <c r="L357" s="2234" t="str">
        <v>原报价已按 1 美元兑换本币表示。</v>
      </c>
      <c r="M357" s="2234" t="str">
        <v>1949|加拿大元（CAD）</v>
      </c>
      <c r="N357" s="2234" t="str">
        <v>加拿大元（CAD）</v>
      </c>
      <c r="O357" s="2239" t="n">
        <v>1.0767</v>
      </c>
      <c r="P357" s="2234" t="str">
        <v>LCU/USD</v>
      </c>
      <c r="Q357" s="2239" t="n">
        <v>1</v>
      </c>
      <c r="R357" s="2234" t="str">
        <v>B：学术历史汇编</v>
      </c>
      <c r="S357" s="2234" t="str">
        <v>年度汇率!D35；原始记录!A245:M245</v>
      </c>
      <c r="T357" s="2234" t="str"/>
      <c r="U357" t="n" s="2231">
        <v>1954</v>
      </c>
      <c r="V357" t="str" s="2231">
        <v>瑞士法郎（CHF）</v>
      </c>
    </row>
    <row r="358" ht="15.0" customHeight="1">
      <c r="A358" s="2234" t="n">
        <v>1949</v>
      </c>
      <c r="B358" s="2234" t="str">
        <v>FRF_OLD</v>
      </c>
      <c r="C358" s="2234" t="str">
        <v>法国旧法郎</v>
      </c>
      <c r="D358" s="2234" t="str">
        <v>缺失</v>
      </c>
      <c r="E358" s="2238"/>
      <c r="F358" s="2234" t="str">
        <v>缺失／未核实</v>
      </c>
      <c r="G358" s="2234" t="str">
        <v>用户提供的历史汇率表</v>
      </c>
      <c r="H358" s="2234" t="str"/>
      <c r="I358" s="2234" t="str">
        <v>1949</v>
      </c>
      <c r="J358" s="2234" t="str">
        <v>historical_exchange_rates_1920_2026.xlsx</v>
      </c>
      <c r="K358" s="2234" t="str">
        <v>本次采用的可访问来源未取得经核验的该年度值；不表示历史上不存在汇率。</v>
      </c>
      <c r="L358" s="2234" t="str"/>
      <c r="M358" s="2234" t="str">
        <v>1949|法国旧法郎</v>
      </c>
      <c r="N358" s="2234" t="str">
        <v>法国旧法郎</v>
      </c>
      <c r="O358" s="2239"/>
      <c r="P358" s="2234" t="str"/>
      <c r="Q358" s="2239"/>
      <c r="R358" s="2234" t="str"/>
      <c r="S358" s="2234" t="str">
        <v>年度汇率!E35</v>
      </c>
      <c r="T358" s="2234" t="str">
        <v>本次采用的可访问来源未取得经核验的该年度值；不表示历史上不存在汇率。</v>
      </c>
      <c r="U358" t="n" s="2231">
        <v>1954</v>
      </c>
      <c r="V358" t="str" s="2231">
        <v>印度卢比（INR）</v>
      </c>
    </row>
    <row r="359" ht="15.0" customHeight="1">
      <c r="A359" s="2234" t="n">
        <v>1949</v>
      </c>
      <c r="B359" s="2234" t="str">
        <v>DEM</v>
      </c>
      <c r="C359" s="2234" t="str">
        <v>西德德国马克（DEM）</v>
      </c>
      <c r="D359" s="2234" t="str">
        <v>缺失</v>
      </c>
      <c r="E359" s="2238"/>
      <c r="F359" s="2234" t="str">
        <v>缺失／未核实</v>
      </c>
      <c r="G359" s="2234" t="str">
        <v>用户提供的历史汇率表</v>
      </c>
      <c r="H359" s="2234" t="str"/>
      <c r="I359" s="2234" t="str">
        <v>1949</v>
      </c>
      <c r="J359" s="2234" t="str">
        <v>historical_exchange_rates_1920_2026.xlsx</v>
      </c>
      <c r="K359" s="2234" t="str">
        <v>本次采用的可访问来源未取得经核验的该年度值；不表示历史上不存在汇率。</v>
      </c>
      <c r="L359" s="2234" t="str"/>
      <c r="M359" s="2234" t="str">
        <v>1949|西德德国马克（DEM）</v>
      </c>
      <c r="N359" s="2234" t="str">
        <v>西德德国马克（DEM）</v>
      </c>
      <c r="O359" s="2239"/>
      <c r="P359" s="2234" t="str"/>
      <c r="Q359" s="2239"/>
      <c r="R359" s="2234" t="str"/>
      <c r="S359" s="2234" t="str">
        <v>年度汇率!F35、年度汇率!M35</v>
      </c>
      <c r="T359" s="2234" t="str">
        <v>本次采用的可访问来源未取得经核验的该年度值；不表示历史上不存在汇率。</v>
      </c>
      <c r="U359" t="n" s="2231">
        <v>1954</v>
      </c>
      <c r="V359" t="str" s="2231">
        <v>苏联卢布（1947币制）</v>
      </c>
    </row>
    <row r="360" ht="15.0" customHeight="1">
      <c r="A360" s="2234" t="n">
        <v>1949</v>
      </c>
      <c r="B360" s="2234" t="str">
        <v>ITL</v>
      </c>
      <c r="C360" s="2234" t="str">
        <v>意大利里拉（ITL）</v>
      </c>
      <c r="D360" s="2234" t="str">
        <v>缺失</v>
      </c>
      <c r="E360" s="2238"/>
      <c r="F360" s="2234" t="str">
        <v>缺失／未核实</v>
      </c>
      <c r="G360" s="2234" t="str">
        <v>用户提供的历史汇率表</v>
      </c>
      <c r="H360" s="2234" t="str"/>
      <c r="I360" s="2234" t="str">
        <v>1949</v>
      </c>
      <c r="J360" s="2234" t="str">
        <v>historical_exchange_rates_1920_2026.xlsx</v>
      </c>
      <c r="K360" s="2234" t="str">
        <v>本次采用的可访问来源未取得经核验的该年度值；不表示历史上不存在汇率。</v>
      </c>
      <c r="L360" s="2234" t="str"/>
      <c r="M360" s="2234" t="str">
        <v>1949|意大利里拉（ITL）</v>
      </c>
      <c r="N360" s="2234" t="str">
        <v>意大利里拉（ITL）</v>
      </c>
      <c r="O360" s="2239"/>
      <c r="P360" s="2234" t="str"/>
      <c r="Q360" s="2239"/>
      <c r="R360" s="2234" t="str"/>
      <c r="S360" s="2234" t="str">
        <v>年度汇率!G35</v>
      </c>
      <c r="T360" s="2234" t="str">
        <v>本次采用的可访问来源未取得经核验的该年度值；不表示历史上不存在汇率。</v>
      </c>
      <c r="U360" t="n" s="2231">
        <v>1954</v>
      </c>
      <c r="V360" t="str" s="2231">
        <v>第一套人民币元（旧币）</v>
      </c>
    </row>
    <row r="361" ht="15.0" customHeight="1">
      <c r="A361" s="2234" t="n">
        <v>1949</v>
      </c>
      <c r="B361" s="2234" t="str">
        <v>JPY</v>
      </c>
      <c r="C361" s="2234" t="str">
        <v>日元（JPY）</v>
      </c>
      <c r="D361" s="2234" t="str">
        <v>缺失</v>
      </c>
      <c r="E361" s="2238"/>
      <c r="F361" s="2234" t="str">
        <v>缺失／未核实</v>
      </c>
      <c r="G361" s="2234" t="str">
        <v>用户提供的历史汇率表</v>
      </c>
      <c r="H361" s="2234" t="str"/>
      <c r="I361" s="2234" t="str">
        <v>1949</v>
      </c>
      <c r="J361" s="2234" t="str">
        <v>historical_exchange_rates_1920_2026.xlsx</v>
      </c>
      <c r="K361" s="2234" t="str">
        <v>本次采用的可访问来源未取得经核验的该年度值；不表示历史上不存在汇率。</v>
      </c>
      <c r="L361" s="2234" t="str"/>
      <c r="M361" s="2234" t="str">
        <v>1949|日元（JPY）</v>
      </c>
      <c r="N361" s="2234" t="str">
        <v>日元（JPY）</v>
      </c>
      <c r="O361" s="2239"/>
      <c r="P361" s="2234" t="str"/>
      <c r="Q361" s="2239"/>
      <c r="R361" s="2234" t="str"/>
      <c r="S361" s="2234" t="str">
        <v>年度汇率!H35</v>
      </c>
      <c r="T361" s="2234" t="str">
        <v>本次采用的可访问来源未取得经核验的该年度值；不表示历史上不存在汇率。</v>
      </c>
      <c r="U361" t="n" s="2231">
        <v>1955</v>
      </c>
      <c r="V361" t="str" s="2231">
        <v>美元（USD）</v>
      </c>
    </row>
    <row r="362" ht="15.0" customHeight="1">
      <c r="A362" s="2234" t="n">
        <v>1949</v>
      </c>
      <c r="B362" s="2234" t="str">
        <v>CHF</v>
      </c>
      <c r="C362" s="2234" t="str">
        <v>瑞士法郎（CHF）</v>
      </c>
      <c r="D362" s="2234" t="str">
        <v>可用</v>
      </c>
      <c r="E362" s="2238" t="n">
        <v>4.2893</v>
      </c>
      <c r="F362" s="2234" t="str">
        <v>年均</v>
      </c>
      <c r="G362" s="2234" t="str">
        <v>MeasuringWorth：瑞士年均汇率</v>
      </c>
      <c r="H362" s="2234" t="str">
        <v>https://www.measuringworth.com/datasets/exchangeglobal/result.php?countryE%5B%5D=Switzerland&amp;year_result=1955&amp;year_source=1905</v>
      </c>
      <c r="I362" s="2234" t="str">
        <v>1949-01-01—1949-12-31</v>
      </c>
      <c r="J362" s="2234" t="str">
        <v>historical_exchange_rates_1920_2026.xlsx</v>
      </c>
      <c r="K362" s="2234" t="str">
        <v>纽约市场；1941仅上半年报价，1942–1945原表无值。</v>
      </c>
      <c r="L362" s="2234" t="str">
        <v>原报价已按 1 美元兑换本币表示。</v>
      </c>
      <c r="M362" s="2234" t="str">
        <v>1949|瑞士法郎（CHF）</v>
      </c>
      <c r="N362" s="2234" t="str">
        <v>瑞士法郎（CHF）</v>
      </c>
      <c r="O362" s="2239" t="n">
        <v>4.2893</v>
      </c>
      <c r="P362" s="2234" t="str">
        <v>LCU/USD</v>
      </c>
      <c r="Q362" s="2239" t="n">
        <v>1</v>
      </c>
      <c r="R362" s="2234" t="str">
        <v>B：学术历史汇编</v>
      </c>
      <c r="S362" s="2234" t="str">
        <v>年度汇率!I35；原始记录!A246:M246</v>
      </c>
      <c r="T362" s="2234" t="str"/>
      <c r="U362" t="n" s="2231">
        <v>1955</v>
      </c>
      <c r="V362" t="str" s="2231">
        <v>英镑（GBP）</v>
      </c>
    </row>
    <row r="363" ht="15.0" customHeight="1">
      <c r="A363" s="2234" t="n">
        <v>1949</v>
      </c>
      <c r="B363" s="2234" t="str">
        <v>INR</v>
      </c>
      <c r="C363" s="2234" t="str">
        <v>印度卢比（INR）</v>
      </c>
      <c r="D363" s="2234" t="str">
        <v>缺失</v>
      </c>
      <c r="E363" s="2238"/>
      <c r="F363" s="2234" t="str">
        <v>缺失／未核实</v>
      </c>
      <c r="G363" s="2234" t="str">
        <v>用户提供的历史汇率表</v>
      </c>
      <c r="H363" s="2234" t="str"/>
      <c r="I363" s="2234" t="str">
        <v>1949</v>
      </c>
      <c r="J363" s="2234" t="str">
        <v>historical_exchange_rates_1920_2026.xlsx</v>
      </c>
      <c r="K363" s="2234" t="str">
        <v>本次采用的可访问来源未取得经核验的该年度值；不表示历史上不存在汇率。</v>
      </c>
      <c r="L363" s="2234" t="str"/>
      <c r="M363" s="2234" t="str">
        <v>1949|印度卢比（INR）</v>
      </c>
      <c r="N363" s="2234" t="str">
        <v>印度卢比（INR）</v>
      </c>
      <c r="O363" s="2239"/>
      <c r="P363" s="2234" t="str"/>
      <c r="Q363" s="2239"/>
      <c r="R363" s="2234" t="str"/>
      <c r="S363" s="2234" t="str">
        <v>年度汇率!J35</v>
      </c>
      <c r="T363" s="2234" t="str">
        <v>本次采用的可访问来源未取得经核验的该年度值；不表示历史上不存在汇率。</v>
      </c>
      <c r="U363" t="n" s="2231">
        <v>1955</v>
      </c>
      <c r="V363" t="str" s="2231">
        <v>加拿大元（CAD）</v>
      </c>
    </row>
    <row r="364" ht="48.0" customHeight="1">
      <c r="A364" s="2234" t="n">
        <v>1949</v>
      </c>
      <c r="B364" s="2234" t="str">
        <v>SUR_1947</v>
      </c>
      <c r="C364" s="2234" t="str">
        <v>苏联卢布（1947币制）</v>
      </c>
      <c r="D364" s="2234" t="str">
        <v>可用</v>
      </c>
      <c r="E364" s="2238" t="n">
        <v>5.3</v>
      </c>
      <c r="F364" s="2234" t="str">
        <v>官价区间参考（非年均）</v>
      </c>
      <c r="G364" s="2234" t="str">
        <v>苏联卢布历史官价表（Wikipedia转引俄央行历史档案）</v>
      </c>
      <c r="H364" s="2234" t="str">
        <v>https://en.wikipedia.org/wiki/Soviet_ruble#Exchange_rates</v>
      </c>
      <c r="I364" s="2234" t="str">
        <v>1937-07-19—1950-02-01</v>
      </c>
      <c r="J364" s="2234" t="str">
        <v>historical_exchange_rates_1920_2026.xlsx</v>
      </c>
      <c r="K364"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364" s="2234" t="str">
        <v>原报价已按 1 美元兑换本币表示。</v>
      </c>
      <c r="M364" s="2234" t="str">
        <v>1949|苏联卢布（1947币制）</v>
      </c>
      <c r="N364" s="2234" t="str">
        <v>苏联卢布（1947币制）</v>
      </c>
      <c r="O364" s="2239" t="n">
        <v>5.3</v>
      </c>
      <c r="P364" s="2234" t="str">
        <v>LCU/USD</v>
      </c>
      <c r="Q364" s="2239" t="n">
        <v>1</v>
      </c>
      <c r="R364" s="2234" t="str">
        <v>C：二手转引（原档未复核）</v>
      </c>
      <c r="S364" s="2234" t="str">
        <v>年度汇率!K35；原始记录!A247:M247</v>
      </c>
      <c r="T364" s="2234" t="str">
        <v>官价参考，并非市场年均汇率</v>
      </c>
      <c r="U364" t="n" s="2231">
        <v>1955</v>
      </c>
      <c r="V364" t="str" s="2231">
        <v>法国旧法郎</v>
      </c>
    </row>
    <row r="365" ht="24.0" customHeight="1">
      <c r="A365" s="2234" t="n">
        <v>1949</v>
      </c>
      <c r="B365" s="2234" t="str">
        <v>CNY_OLD</v>
      </c>
      <c r="C365" s="2234" t="str">
        <v>第一套人民币元（旧币）</v>
      </c>
      <c r="D365" s="2234" t="str">
        <v>缺失</v>
      </c>
      <c r="E365" s="2238"/>
      <c r="F365" s="2234" t="str">
        <v>缺失／未核实</v>
      </c>
      <c r="G365" s="2234" t="str">
        <v>用户提供的历史汇率表</v>
      </c>
      <c r="H365" s="2234" t="str"/>
      <c r="I365" s="2234" t="str">
        <v>1949</v>
      </c>
      <c r="J365" s="2234" t="str">
        <v>historical_exchange_rates_1920_2026.xlsx</v>
      </c>
      <c r="K365" s="2234" t="str">
        <v>本次未取得可核验的对应年度值；法币、金圆券、旧人民币过渡及多种市场报价，未插值或倒推。</v>
      </c>
      <c r="L365" s="2234" t="str"/>
      <c r="M365" s="2234" t="str">
        <v>1949|第一套人民币元（旧币）</v>
      </c>
      <c r="N365" s="2234" t="str">
        <v>第一套人民币元（旧币）</v>
      </c>
      <c r="O365" s="2239"/>
      <c r="P365" s="2234" t="str"/>
      <c r="Q365" s="2239"/>
      <c r="R365" s="2234" t="str"/>
      <c r="S365" s="2234" t="str">
        <v>年度汇率!L35</v>
      </c>
      <c r="T365" s="2234" t="str">
        <v>本次未取得可核验的对应年度值；法币、金圆券、旧人民币过渡及多种市场报价，未插值或倒推。</v>
      </c>
      <c r="U365" t="n" s="2231">
        <v>1955</v>
      </c>
      <c r="V365" t="str" s="2231">
        <v>西德德国马克（DEM）</v>
      </c>
    </row>
    <row r="366" ht="15.0" customHeight="1">
      <c r="A366" s="2234" t="n">
        <v>1950</v>
      </c>
      <c r="B366" s="2234" t="str">
        <v>USD</v>
      </c>
      <c r="C366" s="2234" t="str">
        <v>美元（USD）</v>
      </c>
      <c r="D366" s="2234" t="str">
        <v>可用</v>
      </c>
      <c r="E366" s="2238" t="n">
        <v>1</v>
      </c>
      <c r="F366" s="2234" t="str">
        <v>基准恒等</v>
      </c>
      <c r="G366" s="2234" t="str">
        <v>用户提供的历史汇率表</v>
      </c>
      <c r="H366" s="2234" t="str"/>
      <c r="I366" s="2234" t="str">
        <v>1950</v>
      </c>
      <c r="J366" s="2234" t="str">
        <v>historical_exchange_rates_1920_2026.xlsx</v>
      </c>
      <c r="K366" s="2234" t="str">
        <v>1 美元等于 1 美元，无外部报价。</v>
      </c>
      <c r="L366" s="2234" t="str">
        <v>美元基准，汇率恒为 1。</v>
      </c>
      <c r="M366" s="2234" t="str">
        <v>1950|美元（USD）</v>
      </c>
      <c r="N366" s="2234" t="str">
        <v>美元（USD）</v>
      </c>
      <c r="O366" s="2239"/>
      <c r="P366" s="2234" t="str"/>
      <c r="Q366" s="2239"/>
      <c r="R366" s="2234" t="str"/>
      <c r="S366" s="2234" t="str">
        <v>年度汇率!B36</v>
      </c>
      <c r="T366" s="2234" t="str"/>
      <c r="U366" t="n" s="2231">
        <v>1955</v>
      </c>
      <c r="V366" t="str" s="2231">
        <v>意大利里拉（ITL）</v>
      </c>
    </row>
    <row r="367" ht="24.0" customHeight="1">
      <c r="A367" s="2234" t="n">
        <v>1950</v>
      </c>
      <c r="B367" s="2234" t="str">
        <v>GBP</v>
      </c>
      <c r="C367" s="2234" t="str">
        <v>英镑（GBP）</v>
      </c>
      <c r="D367" s="2234" t="str">
        <v>可用</v>
      </c>
      <c r="E367" s="2238" t="n">
        <v>0.357371402609925</v>
      </c>
      <c r="F367" s="2234" t="str">
        <v>年频（市场／估计）</v>
      </c>
      <c r="G367" s="2234" t="str">
        <v>PWT 11.0 / FRED：市场及估计汇率 GBP</v>
      </c>
      <c r="H367" s="2234" t="str">
        <v>https://fred.stlouisfed.org/data/XRNCUSGBA618NRUG</v>
      </c>
      <c r="I367" s="2234" t="str">
        <v>1950-01-01—1950-12-31</v>
      </c>
      <c r="J367" s="2234" t="str">
        <v>historical_exchange_rates_1920_2026.xlsx</v>
      </c>
      <c r="K367" s="2234" t="str">
        <v>PWT年频估计／市场汇率口径，不保证与纽约日度年均报价一致。
年频；PWT market+estimated。欧元成员国历史数据须还原当年币种。</v>
      </c>
      <c r="L367" s="2234" t="str">
        <v>原报价已按 1 美元兑换本币表示。</v>
      </c>
      <c r="M367" s="2234" t="str">
        <v>1950|英镑（GBP）</v>
      </c>
      <c r="N367" s="2234" t="str">
        <v>英镑（GBP）</v>
      </c>
      <c r="O367" s="2239" t="n">
        <v>0.357371402609925</v>
      </c>
      <c r="P367" s="2234" t="str">
        <v>LCU/USD</v>
      </c>
      <c r="Q367" s="2239" t="n">
        <v>1</v>
      </c>
      <c r="R367" s="2234" t="str">
        <v>B：研究数据库年频估计</v>
      </c>
      <c r="S367" s="2234" t="str">
        <v>年度汇率!C36；原始记录!A248:M248</v>
      </c>
      <c r="T367" s="2234" t="str"/>
      <c r="U367" t="n" s="2231">
        <v>1955</v>
      </c>
      <c r="V367" t="str" s="2231">
        <v>日元（JPY）</v>
      </c>
    </row>
    <row r="368" ht="24.0" customHeight="1">
      <c r="A368" s="2234" t="n">
        <v>1950</v>
      </c>
      <c r="B368" s="2234" t="str">
        <v>CAD</v>
      </c>
      <c r="C368" s="2234" t="str">
        <v>加拿大元（CAD）</v>
      </c>
      <c r="D368" s="2234" t="str">
        <v>可用</v>
      </c>
      <c r="E368" s="2238" t="n">
        <v>1.09182053511832</v>
      </c>
      <c r="F368" s="2234" t="str">
        <v>年频（市场／估计）</v>
      </c>
      <c r="G368" s="2234" t="str">
        <v>PWT 11.0 / FRED：市场及估计汇率 CAD</v>
      </c>
      <c r="H368" s="2234" t="str">
        <v>https://fred.stlouisfed.org/data/XRNCUSCAA618NRUG</v>
      </c>
      <c r="I368" s="2234" t="str">
        <v>1950-01-01—1950-12-31</v>
      </c>
      <c r="J368" s="2234" t="str">
        <v>historical_exchange_rates_1920_2026.xlsx</v>
      </c>
      <c r="K368" s="2234" t="str">
        <v>PWT年频估计／市场汇率口径，不保证与纽约日度年均报价一致。
年频；PWT market+estimated。欧元成员国历史数据须还原当年币种。</v>
      </c>
      <c r="L368" s="2234" t="str">
        <v>原报价已按 1 美元兑换本币表示。</v>
      </c>
      <c r="M368" s="2234" t="str">
        <v>1950|加拿大元（CAD）</v>
      </c>
      <c r="N368" s="2234" t="str">
        <v>加拿大元（CAD）</v>
      </c>
      <c r="O368" s="2239" t="n">
        <v>1.09182053511832</v>
      </c>
      <c r="P368" s="2234" t="str">
        <v>LCU/USD</v>
      </c>
      <c r="Q368" s="2239" t="n">
        <v>1</v>
      </c>
      <c r="R368" s="2234" t="str">
        <v>B：研究数据库年频估计</v>
      </c>
      <c r="S368" s="2234" t="str">
        <v>年度汇率!D36；原始记录!A249:M249</v>
      </c>
      <c r="T368" s="2234" t="str"/>
      <c r="U368" t="n" s="2231">
        <v>1955</v>
      </c>
      <c r="V368" t="str" s="2231">
        <v>瑞士法郎（CHF）</v>
      </c>
    </row>
    <row r="369" ht="36.0" customHeight="1">
      <c r="A369" s="2234" t="n">
        <v>1950</v>
      </c>
      <c r="B369" s="2234" t="str">
        <v>FRF_OLD</v>
      </c>
      <c r="C369" s="2234" t="str">
        <v>法国旧法郎</v>
      </c>
      <c r="D369" s="2234" t="str">
        <v>可用</v>
      </c>
      <c r="E369" s="2238" t="n">
        <v>349.9049706901634</v>
      </c>
      <c r="F369" s="2234" t="str">
        <v>年频（市场／估计）</v>
      </c>
      <c r="G369" s="2234" t="str">
        <v>PWT 11.0 / FRED：市场及估计汇率 FR</v>
      </c>
      <c r="H369" s="2234" t="str">
        <v>https://fred.stlouisfed.org/data/XRNCUSFRA618NRUG</v>
      </c>
      <c r="I369" s="2234" t="str">
        <v>1950-01-01—1950-12-31</v>
      </c>
      <c r="J369" s="2234" t="str">
        <v>historical_exchange_rates_1920_2026.xlsx</v>
      </c>
      <c r="K369" s="2234" t="str">
        <v>欧元回溯单位按不可撤销转换率还原；法国1960年前另乘100。 PWT年频估计／市场汇率口径，不保证与纽约日度年均报价一致。
年频；PWT market+estimated。欧元成员国历史数据须还原当年币种。</v>
      </c>
      <c r="L369" s="2234" t="str">
        <v>原报价已按 1 美元兑换本币表示。乘以 655.957，还原当年币制的计价单位。</v>
      </c>
      <c r="M369" s="2234" t="str">
        <v>1950|法国旧法郎</v>
      </c>
      <c r="N369" s="2234" t="str">
        <v>法国旧法郎</v>
      </c>
      <c r="O369" s="2239" t="n">
        <v>0.533426689082003</v>
      </c>
      <c r="P369" s="2234" t="str">
        <v>LCU/USD</v>
      </c>
      <c r="Q369" s="2239" t="n">
        <v>655.957</v>
      </c>
      <c r="R369" s="2234" t="str">
        <v>B：研究数据库年频估计</v>
      </c>
      <c r="S369" s="2234" t="str">
        <v>年度汇率!E36；原始记录!A250:M250</v>
      </c>
      <c r="T369" s="2234" t="str"/>
      <c r="U369" t="n" s="2231">
        <v>1955</v>
      </c>
      <c r="V369" t="str" s="2231">
        <v>印度卢比（INR）</v>
      </c>
    </row>
    <row r="370" ht="36.0" customHeight="1">
      <c r="A370" s="2234" t="n">
        <v>1950</v>
      </c>
      <c r="B370" s="2234" t="str">
        <v>DEM</v>
      </c>
      <c r="C370" s="2234" t="str">
        <v>西德德国马克（DEM）</v>
      </c>
      <c r="D370" s="2234" t="str">
        <v>可用</v>
      </c>
      <c r="E370" s="2238" t="n">
        <v>4.194982910195922</v>
      </c>
      <c r="F370" s="2234" t="str">
        <v>年频（市场／估计）</v>
      </c>
      <c r="G370" s="2234" t="str">
        <v>PWT 11.0 / FRED：市场及估计汇率 DE</v>
      </c>
      <c r="H370" s="2234" t="str">
        <v>https://fred.stlouisfed.org/data/XRNCUSDEA618NRUG</v>
      </c>
      <c r="I370" s="2234" t="str">
        <v>1950-01-01—1950-12-31</v>
      </c>
      <c r="J370" s="2234" t="str">
        <v>historical_exchange_rates_1920_2026.xlsx</v>
      </c>
      <c r="K370" s="2234" t="str">
        <v>欧元回溯单位按不可撤销转换率还原；法国1960年前另乘100。 PWT年频估计／市场汇率口径，不保证与纽约日度年均报价一致。
年频；PWT market+estimated。欧元成员国历史数据须还原当年币种。</v>
      </c>
      <c r="L370" s="2234" t="str">
        <v>原报价已按 1 美元兑换本币表示。乘以 1.95583，还原当年币制的计价单位。</v>
      </c>
      <c r="M370" s="2234" t="str">
        <v>1950|西德德国马克（DEM）</v>
      </c>
      <c r="N370" s="2234" t="str">
        <v>西德德国马克（DEM）</v>
      </c>
      <c r="O370" s="2239" t="n">
        <v>2.14486070374006</v>
      </c>
      <c r="P370" s="2234" t="str">
        <v>LCU/USD</v>
      </c>
      <c r="Q370" s="2239" t="n">
        <v>1.95583</v>
      </c>
      <c r="R370" s="2234" t="str">
        <v>B：研究数据库年频估计</v>
      </c>
      <c r="S370" s="2234" t="str">
        <v>年度汇率!F36、年度汇率!M36；原始记录!A251:M251</v>
      </c>
      <c r="T370" s="2234" t="str"/>
      <c r="U370" t="n" s="2231">
        <v>1955</v>
      </c>
      <c r="V370" t="str" s="2231">
        <v>苏联卢布（1947币制）</v>
      </c>
    </row>
    <row r="371" ht="36.0" customHeight="1">
      <c r="A371" s="2234" t="n">
        <v>1950</v>
      </c>
      <c r="B371" s="2234" t="str">
        <v>ITL</v>
      </c>
      <c r="C371" s="2234" t="str">
        <v>意大利里拉（ITL）</v>
      </c>
      <c r="D371" s="2234" t="str">
        <v>可用</v>
      </c>
      <c r="E371" s="2238" t="n">
        <v>624.6851602690588</v>
      </c>
      <c r="F371" s="2234" t="str">
        <v>年频（市场／估计）</v>
      </c>
      <c r="G371" s="2234" t="str">
        <v>PWT 11.0 / FRED：市场及估计汇率 IT</v>
      </c>
      <c r="H371" s="2234" t="str">
        <v>https://fred.stlouisfed.org/data/XRNCUSITA618NRUG</v>
      </c>
      <c r="I371" s="2234" t="str">
        <v>1950-01-01—1950-12-31</v>
      </c>
      <c r="J371" s="2234" t="str">
        <v>historical_exchange_rates_1920_2026.xlsx</v>
      </c>
      <c r="K371" s="2234" t="str">
        <v>欧元回溯单位按不可撤销转换率还原；法国1960年前另乘100。 PWT年频估计／市场汇率口径，不保证与纽约日度年均报价一致。
年频；PWT market+estimated。欧元成员国历史数据须还原当年币种。</v>
      </c>
      <c r="L371" s="2234" t="str">
        <v>原报价已按 1 美元兑换本币表示。乘以 1936.27，还原当年币制的计价单位。</v>
      </c>
      <c r="M371" s="2234" t="str">
        <v>1950|意大利里拉（ITL）</v>
      </c>
      <c r="N371" s="2234" t="str">
        <v>意大利里拉（ITL）</v>
      </c>
      <c r="O371" s="2239" t="n">
        <v>0.322622960779777</v>
      </c>
      <c r="P371" s="2234" t="str">
        <v>LCU/USD</v>
      </c>
      <c r="Q371" s="2239" t="n">
        <v>1936.27</v>
      </c>
      <c r="R371" s="2234" t="str">
        <v>B：研究数据库年频估计</v>
      </c>
      <c r="S371" s="2234" t="str">
        <v>年度汇率!G36；原始记录!A252:M252</v>
      </c>
      <c r="T371" s="2234" t="str"/>
      <c r="U371" t="n" s="2231">
        <v>1955</v>
      </c>
      <c r="V371" t="str" s="2231">
        <v>人民币元（1955币制；CNY）</v>
      </c>
    </row>
    <row r="372" ht="24.0" customHeight="1">
      <c r="A372" s="2234" t="n">
        <v>1950</v>
      </c>
      <c r="B372" s="2234" t="str">
        <v>JPY</v>
      </c>
      <c r="C372" s="2234" t="str">
        <v>日元（JPY）</v>
      </c>
      <c r="D372" s="2234" t="str">
        <v>可用</v>
      </c>
      <c r="E372" s="2238" t="n">
        <v>361.100006463613</v>
      </c>
      <c r="F372" s="2234" t="str">
        <v>年频（市场／估计）</v>
      </c>
      <c r="G372" s="2234" t="str">
        <v>PWT 11.0 / FRED：日本</v>
      </c>
      <c r="H372" s="2234" t="str">
        <v>https://fred.stlouisfed.org/data/XRNCUSJPA618NRUG</v>
      </c>
      <c r="I372" s="2234" t="str">
        <v>1950-01-01—1950-12-31</v>
      </c>
      <c r="J372" s="2234" t="str">
        <v>historical_exchange_rates_1920_2026.xlsx</v>
      </c>
      <c r="K372" s="2234" t="str">
        <v>PWT年频估计／市场汇率口径，不保证与纽约日度年均报价一致。
年频市场／估计值。</v>
      </c>
      <c r="L372" s="2234" t="str">
        <v>原报价已按 1 美元兑换本币表示。</v>
      </c>
      <c r="M372" s="2234" t="str">
        <v>1950|日元（JPY）</v>
      </c>
      <c r="N372" s="2234" t="str">
        <v>日元（JPY）</v>
      </c>
      <c r="O372" s="2239" t="n">
        <v>361.100006463613</v>
      </c>
      <c r="P372" s="2234" t="str">
        <v>LCU/USD</v>
      </c>
      <c r="Q372" s="2239" t="n">
        <v>1</v>
      </c>
      <c r="R372" s="2234" t="str">
        <v>B：研究数据库年频估计</v>
      </c>
      <c r="S372" s="2234" t="str">
        <v>年度汇率!H36；原始记录!A253:M253</v>
      </c>
      <c r="T372" s="2234" t="str"/>
      <c r="U372" t="n" s="2231">
        <v>1956</v>
      </c>
      <c r="V372" t="str" s="2231">
        <v>美元（USD）</v>
      </c>
    </row>
    <row r="373" ht="15.0" customHeight="1">
      <c r="A373" s="2234" t="n">
        <v>1950</v>
      </c>
      <c r="B373" s="2234" t="str">
        <v>CHF</v>
      </c>
      <c r="C373" s="2234" t="str">
        <v>瑞士法郎（CHF）</v>
      </c>
      <c r="D373" s="2234" t="str">
        <v>可用</v>
      </c>
      <c r="E373" s="2238" t="n">
        <v>4.3222</v>
      </c>
      <c r="F373" s="2234" t="str">
        <v>年均</v>
      </c>
      <c r="G373" s="2234" t="str">
        <v>MeasuringWorth：瑞士年均汇率</v>
      </c>
      <c r="H373" s="2234" t="str">
        <v>https://www.measuringworth.com/datasets/exchangeglobal/result.php?countryE%5B%5D=Switzerland&amp;year_result=1955&amp;year_source=1905</v>
      </c>
      <c r="I373" s="2234" t="str">
        <v>1950-01-01—1950-12-31</v>
      </c>
      <c r="J373" s="2234" t="str">
        <v>historical_exchange_rates_1920_2026.xlsx</v>
      </c>
      <c r="K373" s="2234" t="str">
        <v>纽约市场；1941仅上半年报价，1942–1945原表无值。</v>
      </c>
      <c r="L373" s="2234" t="str">
        <v>原报价已按 1 美元兑换本币表示。</v>
      </c>
      <c r="M373" s="2234" t="str">
        <v>1950|瑞士法郎（CHF）</v>
      </c>
      <c r="N373" s="2234" t="str">
        <v>瑞士法郎（CHF）</v>
      </c>
      <c r="O373" s="2239" t="n">
        <v>4.3222</v>
      </c>
      <c r="P373" s="2234" t="str">
        <v>LCU/USD</v>
      </c>
      <c r="Q373" s="2239" t="n">
        <v>1</v>
      </c>
      <c r="R373" s="2234" t="str">
        <v>B：学术历史汇编</v>
      </c>
      <c r="S373" s="2234" t="str">
        <v>年度汇率!I36；原始记录!A254:M254</v>
      </c>
      <c r="T373" s="2234" t="str"/>
      <c r="U373" t="n" s="2231">
        <v>1956</v>
      </c>
      <c r="V373" t="str" s="2231">
        <v>英镑（GBP）</v>
      </c>
    </row>
    <row r="374" ht="24.0" customHeight="1">
      <c r="A374" s="2234" t="n">
        <v>1950</v>
      </c>
      <c r="B374" s="2234" t="str">
        <v>INR</v>
      </c>
      <c r="C374" s="2234" t="str">
        <v>印度卢比（INR）</v>
      </c>
      <c r="D374" s="2234" t="str">
        <v>可用</v>
      </c>
      <c r="E374" s="2238" t="n">
        <v>4.76289987976872</v>
      </c>
      <c r="F374" s="2234" t="str">
        <v>年频（市场／估计）</v>
      </c>
      <c r="G374" s="2234" t="str">
        <v>PWT 11.0 / FRED：市场及估计汇率 INR</v>
      </c>
      <c r="H374" s="2234" t="str">
        <v>https://fred.stlouisfed.org/data/XRNCUSINA618NRUG</v>
      </c>
      <c r="I374" s="2234" t="str">
        <v>1950-01-01—1950-12-31</v>
      </c>
      <c r="J374" s="2234" t="str">
        <v>historical_exchange_rates_1920_2026.xlsx</v>
      </c>
      <c r="K374" s="2234" t="str">
        <v>PWT年频估计／市场汇率口径，不保证与纽约日度年均报价一致。
年频；PWT market+estimated。欧元成员国历史数据须还原当年币种。</v>
      </c>
      <c r="L374" s="2234" t="str">
        <v>原报价已按 1 美元兑换本币表示。</v>
      </c>
      <c r="M374" s="2234" t="str">
        <v>1950|印度卢比（INR）</v>
      </c>
      <c r="N374" s="2234" t="str">
        <v>印度卢比（INR）</v>
      </c>
      <c r="O374" s="2239" t="n">
        <v>4.76289987976872</v>
      </c>
      <c r="P374" s="2234" t="str">
        <v>LCU/USD</v>
      </c>
      <c r="Q374" s="2239" t="n">
        <v>1</v>
      </c>
      <c r="R374" s="2234" t="str">
        <v>B：研究数据库年频估计</v>
      </c>
      <c r="S374" s="2234" t="str">
        <v>年度汇率!J36；原始记录!A255:M255</v>
      </c>
      <c r="T374" s="2234" t="str"/>
      <c r="U374" t="n" s="2231">
        <v>1956</v>
      </c>
      <c r="V374" t="str" s="2231">
        <v>加拿大元（CAD）</v>
      </c>
    </row>
    <row r="375" ht="36.0" customHeight="1">
      <c r="A375" s="2234" t="n">
        <v>1950</v>
      </c>
      <c r="B375" s="2234" t="str">
        <v>SUR_1947</v>
      </c>
      <c r="C375" s="2234" t="str">
        <v>苏联卢布（1947币制）</v>
      </c>
      <c r="D375" s="2234" t="str">
        <v>可用</v>
      </c>
      <c r="E375" s="2238" t="n">
        <v>5.3</v>
      </c>
      <c r="F375" s="2234" t="str">
        <v>定点官价参考（非年均）</v>
      </c>
      <c r="G375" s="2234" t="str">
        <v>苏联卢布历史官价表（Wikipedia转引俄央行历史档案）</v>
      </c>
      <c r="H375" s="2234" t="str">
        <v>https://en.wikipedia.org/wiki/Soviet_ruble#Exchange_rates</v>
      </c>
      <c r="I375" s="2234" t="str">
        <v>1950-02-01</v>
      </c>
      <c r="J375" s="2234" t="str">
        <v>historical_exchange_rates_1920_2026.xlsx</v>
      </c>
      <c r="K375"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375" s="2234" t="str">
        <v>原报价已按 1 美元兑换本币表示。</v>
      </c>
      <c r="M375" s="2234" t="str">
        <v>1950|苏联卢布（1947币制）</v>
      </c>
      <c r="N375" s="2234" t="str">
        <v>苏联卢布（1947币制）</v>
      </c>
      <c r="O375" s="2239" t="n">
        <v>5.3</v>
      </c>
      <c r="P375" s="2234" t="str">
        <v>LCU/USD</v>
      </c>
      <c r="Q375" s="2239" t="n">
        <v>1</v>
      </c>
      <c r="R375" s="2234" t="str">
        <v>C：二手转引（原档未复核）</v>
      </c>
      <c r="S375" s="2234" t="str">
        <v>年度汇率!K36；原始记录!A256:M256</v>
      </c>
      <c r="T375" s="2234" t="str">
        <v>官价参考，并非市场年均汇率</v>
      </c>
      <c r="U375" t="n" s="2231">
        <v>1956</v>
      </c>
      <c r="V375" t="str" s="2231">
        <v>法国旧法郎</v>
      </c>
    </row>
    <row r="376" ht="24.0" customHeight="1">
      <c r="A376" s="2234" t="n">
        <v>1950</v>
      </c>
      <c r="B376" s="2234" t="str">
        <v>CNY_OLD</v>
      </c>
      <c r="C376" s="2234" t="str">
        <v>第一套人民币元（旧币）</v>
      </c>
      <c r="D376" s="2234" t="str">
        <v>缺失</v>
      </c>
      <c r="E376" s="2238"/>
      <c r="F376" s="2234" t="str">
        <v>缺失／未核实</v>
      </c>
      <c r="G376" s="2234" t="str">
        <v>用户提供的历史汇率表</v>
      </c>
      <c r="H376" s="2234" t="str"/>
      <c r="I376" s="2234" t="str">
        <v>1950</v>
      </c>
      <c r="J376" s="2234" t="str">
        <v>historical_exchange_rates_1920_2026.xlsx</v>
      </c>
      <c r="K376" s="2234" t="str">
        <v>本次未取得可核验的对应年度值；法币、金圆券、旧人民币过渡及多种市场报价，未插值或倒推。</v>
      </c>
      <c r="L376" s="2234" t="str"/>
      <c r="M376" s="2234" t="str">
        <v>1950|第一套人民币元（旧币）</v>
      </c>
      <c r="N376" s="2234" t="str">
        <v>第一套人民币元（旧币）</v>
      </c>
      <c r="O376" s="2239"/>
      <c r="P376" s="2234" t="str"/>
      <c r="Q376" s="2239"/>
      <c r="R376" s="2234" t="str"/>
      <c r="S376" s="2234" t="str">
        <v>年度汇率!L36</v>
      </c>
      <c r="T376" s="2234" t="str">
        <v>本次未取得可核验的对应年度值；法币、金圆券、旧人民币过渡及多种市场报价，未插值或倒推。</v>
      </c>
      <c r="U376" t="n" s="2231">
        <v>1956</v>
      </c>
      <c r="V376" t="str" s="2231">
        <v>西德德国马克（DEM）</v>
      </c>
    </row>
    <row r="377" ht="15.0" customHeight="1">
      <c r="A377" s="2234" t="n">
        <v>1951</v>
      </c>
      <c r="B377" s="2234" t="str">
        <v>USD</v>
      </c>
      <c r="C377" s="2234" t="str">
        <v>美元（USD）</v>
      </c>
      <c r="D377" s="2234" t="str">
        <v>可用</v>
      </c>
      <c r="E377" s="2238" t="n">
        <v>1</v>
      </c>
      <c r="F377" s="2234" t="str">
        <v>基准恒等</v>
      </c>
      <c r="G377" s="2234" t="str">
        <v>用户提供的历史汇率表</v>
      </c>
      <c r="H377" s="2234" t="str"/>
      <c r="I377" s="2234" t="str">
        <v>1951</v>
      </c>
      <c r="J377" s="2234" t="str">
        <v>historical_exchange_rates_1920_2026.xlsx</v>
      </c>
      <c r="K377" s="2234" t="str">
        <v>1 美元等于 1 美元，无外部报价。</v>
      </c>
      <c r="L377" s="2234" t="str">
        <v>美元基准，汇率恒为 1。</v>
      </c>
      <c r="M377" s="2234" t="str">
        <v>1951|美元（USD）</v>
      </c>
      <c r="N377" s="2234" t="str">
        <v>美元（USD）</v>
      </c>
      <c r="O377" s="2239"/>
      <c r="P377" s="2234" t="str"/>
      <c r="Q377" s="2239"/>
      <c r="R377" s="2234" t="str"/>
      <c r="S377" s="2234" t="str">
        <v>年度汇率!B37</v>
      </c>
      <c r="T377" s="2234" t="str"/>
      <c r="U377" t="n" s="2231">
        <v>1956</v>
      </c>
      <c r="V377" t="str" s="2231">
        <v>意大利里拉（ITL）</v>
      </c>
    </row>
    <row r="378" ht="24.0" customHeight="1">
      <c r="A378" s="2234" t="n">
        <v>1951</v>
      </c>
      <c r="B378" s="2234" t="str">
        <v>GBP</v>
      </c>
      <c r="C378" s="2234" t="str">
        <v>英镑（GBP）</v>
      </c>
      <c r="D378" s="2234" t="str">
        <v>可用</v>
      </c>
      <c r="E378" s="2238" t="n">
        <v>0.357271356210102</v>
      </c>
      <c r="F378" s="2234" t="str">
        <v>年频（市场／估计）</v>
      </c>
      <c r="G378" s="2234" t="str">
        <v>PWT 11.0 / FRED：市场及估计汇率 GBP</v>
      </c>
      <c r="H378" s="2234" t="str">
        <v>https://fred.stlouisfed.org/data/XRNCUSGBA618NRUG</v>
      </c>
      <c r="I378" s="2234" t="str">
        <v>1951-01-01—1951-12-31</v>
      </c>
      <c r="J378" s="2234" t="str">
        <v>historical_exchange_rates_1920_2026.xlsx</v>
      </c>
      <c r="K378" s="2234" t="str">
        <v>PWT年频估计／市场汇率口径，不保证与纽约日度年均报价一致。
年频；PWT market+estimated。欧元成员国历史数据须还原当年币种。</v>
      </c>
      <c r="L378" s="2234" t="str">
        <v>原报价已按 1 美元兑换本币表示。</v>
      </c>
      <c r="M378" s="2234" t="str">
        <v>1951|英镑（GBP）</v>
      </c>
      <c r="N378" s="2234" t="str">
        <v>英镑（GBP）</v>
      </c>
      <c r="O378" s="2239" t="n">
        <v>0.357271356210102</v>
      </c>
      <c r="P378" s="2234" t="str">
        <v>LCU/USD</v>
      </c>
      <c r="Q378" s="2239" t="n">
        <v>1</v>
      </c>
      <c r="R378" s="2234" t="str">
        <v>B：研究数据库年频估计</v>
      </c>
      <c r="S378" s="2234" t="str">
        <v>年度汇率!C37；原始记录!A257:M257</v>
      </c>
      <c r="T378" s="2234" t="str"/>
      <c r="U378" t="n" s="2231">
        <v>1956</v>
      </c>
      <c r="V378" t="str" s="2231">
        <v>日元（JPY）</v>
      </c>
    </row>
    <row r="379" ht="24.0" customHeight="1">
      <c r="A379" s="2234" t="n">
        <v>1951</v>
      </c>
      <c r="B379" s="2234" t="str">
        <v>CAD</v>
      </c>
      <c r="C379" s="2234" t="str">
        <v>加拿大元（CAD）</v>
      </c>
      <c r="D379" s="2234" t="str">
        <v>可用</v>
      </c>
      <c r="E379" s="2238" t="n">
        <v>1.05576064080376</v>
      </c>
      <c r="F379" s="2234" t="str">
        <v>年频（市场／估计）</v>
      </c>
      <c r="G379" s="2234" t="str">
        <v>PWT 11.0 / FRED：市场及估计汇率 CAD</v>
      </c>
      <c r="H379" s="2234" t="str">
        <v>https://fred.stlouisfed.org/data/XRNCUSCAA618NRUG</v>
      </c>
      <c r="I379" s="2234" t="str">
        <v>1951-01-01—1951-12-31</v>
      </c>
      <c r="J379" s="2234" t="str">
        <v>historical_exchange_rates_1920_2026.xlsx</v>
      </c>
      <c r="K379" s="2234" t="str">
        <v>PWT年频估计／市场汇率口径，不保证与纽约日度年均报价一致。
年频；PWT market+estimated。欧元成员国历史数据须还原当年币种。</v>
      </c>
      <c r="L379" s="2234" t="str">
        <v>原报价已按 1 美元兑换本币表示。</v>
      </c>
      <c r="M379" s="2234" t="str">
        <v>1951|加拿大元（CAD）</v>
      </c>
      <c r="N379" s="2234" t="str">
        <v>加拿大元（CAD）</v>
      </c>
      <c r="O379" s="2239" t="n">
        <v>1.05576064080376</v>
      </c>
      <c r="P379" s="2234" t="str">
        <v>LCU/USD</v>
      </c>
      <c r="Q379" s="2239" t="n">
        <v>1</v>
      </c>
      <c r="R379" s="2234" t="str">
        <v>B：研究数据库年频估计</v>
      </c>
      <c r="S379" s="2234" t="str">
        <v>年度汇率!D37；原始记录!A258:M258</v>
      </c>
      <c r="T379" s="2234" t="str"/>
      <c r="U379" t="n" s="2231">
        <v>1956</v>
      </c>
      <c r="V379" t="str" s="2231">
        <v>瑞士法郎（CHF）</v>
      </c>
    </row>
    <row r="380" ht="36.0" customHeight="1">
      <c r="A380" s="2234" t="n">
        <v>1951</v>
      </c>
      <c r="B380" s="2234" t="str">
        <v>FRF_OLD</v>
      </c>
      <c r="C380" s="2234" t="str">
        <v>法国旧法郎</v>
      </c>
      <c r="D380" s="2234" t="str">
        <v>可用</v>
      </c>
      <c r="E380" s="2238" t="n">
        <v>350.0049444884567</v>
      </c>
      <c r="F380" s="2234" t="str">
        <v>年频（市场／估计）</v>
      </c>
      <c r="G380" s="2234" t="str">
        <v>PWT 11.0 / FRED：市场及估计汇率 FR</v>
      </c>
      <c r="H380" s="2234" t="str">
        <v>https://fred.stlouisfed.org/data/XRNCUSFRA618NRUG</v>
      </c>
      <c r="I380" s="2234" t="str">
        <v>1951-01-01—1951-12-31</v>
      </c>
      <c r="J380" s="2234" t="str">
        <v>historical_exchange_rates_1920_2026.xlsx</v>
      </c>
      <c r="K380" s="2234" t="str">
        <v>欧元回溯单位按不可撤销转换率还原；法国1960年前另乘100。 PWT年频估计／市场汇率口径，不保证与纽约日度年均报价一致。
年频；PWT market+estimated。欧元成员国历史数据须还原当年币种。</v>
      </c>
      <c r="L380" s="2234" t="str">
        <v>原报价已按 1 美元兑换本币表示。乘以 655.957，还原当年币制的计价单位。</v>
      </c>
      <c r="M380" s="2234" t="str">
        <v>1951|法国旧法郎</v>
      </c>
      <c r="N380" s="2234" t="str">
        <v>法国旧法郎</v>
      </c>
      <c r="O380" s="2239" t="n">
        <v>0.533579098154996</v>
      </c>
      <c r="P380" s="2234" t="str">
        <v>LCU/USD</v>
      </c>
      <c r="Q380" s="2239" t="n">
        <v>655.957</v>
      </c>
      <c r="R380" s="2234" t="str">
        <v>B：研究数据库年频估计</v>
      </c>
      <c r="S380" s="2234" t="str">
        <v>年度汇率!E37；原始记录!A259:M259</v>
      </c>
      <c r="T380" s="2234" t="str"/>
      <c r="U380" t="n" s="2231">
        <v>1956</v>
      </c>
      <c r="V380" t="str" s="2231">
        <v>印度卢比（INR）</v>
      </c>
    </row>
    <row r="381" ht="36.0" customHeight="1">
      <c r="A381" s="2234" t="n">
        <v>1951</v>
      </c>
      <c r="B381" s="2234" t="str">
        <v>DEM</v>
      </c>
      <c r="C381" s="2234" t="str">
        <v>西德德国马克（DEM）</v>
      </c>
      <c r="D381" s="2234" t="str">
        <v>可用</v>
      </c>
      <c r="E381" s="2238" t="n">
        <v>4.194982910195922</v>
      </c>
      <c r="F381" s="2234" t="str">
        <v>年频（市场／估计）</v>
      </c>
      <c r="G381" s="2234" t="str">
        <v>PWT 11.0 / FRED：市场及估计汇率 DE</v>
      </c>
      <c r="H381" s="2234" t="str">
        <v>https://fred.stlouisfed.org/data/XRNCUSDEA618NRUG</v>
      </c>
      <c r="I381" s="2234" t="str">
        <v>1951-01-01—1951-12-31</v>
      </c>
      <c r="J381" s="2234" t="str">
        <v>historical_exchange_rates_1920_2026.xlsx</v>
      </c>
      <c r="K381" s="2234" t="str">
        <v>欧元回溯单位按不可撤销转换率还原；法国1960年前另乘100。 PWT年频估计／市场汇率口径，不保证与纽约日度年均报价一致。
年频；PWT market+estimated。欧元成员国历史数据须还原当年币种。</v>
      </c>
      <c r="L381" s="2234" t="str">
        <v>原报价已按 1 美元兑换本币表示。乘以 1.95583，还原当年币制的计价单位。</v>
      </c>
      <c r="M381" s="2234" t="str">
        <v>1951|西德德国马克（DEM）</v>
      </c>
      <c r="N381" s="2234" t="str">
        <v>西德德国马克（DEM）</v>
      </c>
      <c r="O381" s="2239" t="n">
        <v>2.14486070374006</v>
      </c>
      <c r="P381" s="2234" t="str">
        <v>LCU/USD</v>
      </c>
      <c r="Q381" s="2239" t="n">
        <v>1.95583</v>
      </c>
      <c r="R381" s="2234" t="str">
        <v>B：研究数据库年频估计</v>
      </c>
      <c r="S381" s="2234" t="str">
        <v>年度汇率!F37、年度汇率!M37；原始记录!A260:M260</v>
      </c>
      <c r="T381" s="2234" t="str"/>
      <c r="U381" t="n" s="2231">
        <v>1956</v>
      </c>
      <c r="V381" t="str" s="2231">
        <v>苏联卢布（1947币制）</v>
      </c>
    </row>
    <row r="382" ht="36.0" customHeight="1">
      <c r="A382" s="2234" t="n">
        <v>1951</v>
      </c>
      <c r="B382" s="2234" t="str">
        <v>ITL</v>
      </c>
      <c r="C382" s="2234" t="str">
        <v>意大利里拉（ITL）</v>
      </c>
      <c r="D382" s="2234" t="str">
        <v>可用</v>
      </c>
      <c r="E382" s="2238" t="n">
        <v>623.9863485552638</v>
      </c>
      <c r="F382" s="2234" t="str">
        <v>年频（市场／估计）</v>
      </c>
      <c r="G382" s="2234" t="str">
        <v>PWT 11.0 / FRED：市场及估计汇率 IT</v>
      </c>
      <c r="H382" s="2234" t="str">
        <v>https://fred.stlouisfed.org/data/XRNCUSITA618NRUG</v>
      </c>
      <c r="I382" s="2234" t="str">
        <v>1951-01-01—1951-12-31</v>
      </c>
      <c r="J382" s="2234" t="str">
        <v>historical_exchange_rates_1920_2026.xlsx</v>
      </c>
      <c r="K382" s="2234" t="str">
        <v>欧元回溯单位按不可撤销转换率还原；法国1960年前另乘100。 PWT年频估计／市场汇率口径，不保证与纽约日度年均报价一致。
年频；PWT market+estimated。欧元成员国历史数据须还原当年币种。</v>
      </c>
      <c r="L382" s="2234" t="str">
        <v>原报价已按 1 美元兑换本币表示。乘以 1936.27，还原当年币制的计价单位。</v>
      </c>
      <c r="M382" s="2234" t="str">
        <v>1951|意大利里拉（ITL）</v>
      </c>
      <c r="N382" s="2234" t="str">
        <v>意大利里拉（ITL）</v>
      </c>
      <c r="O382" s="2239" t="n">
        <v>0.322262054649023</v>
      </c>
      <c r="P382" s="2234" t="str">
        <v>LCU/USD</v>
      </c>
      <c r="Q382" s="2239" t="n">
        <v>1936.27</v>
      </c>
      <c r="R382" s="2234" t="str">
        <v>B：研究数据库年频估计</v>
      </c>
      <c r="S382" s="2234" t="str">
        <v>年度汇率!G37；原始记录!A261:M261</v>
      </c>
      <c r="T382" s="2234" t="str"/>
      <c r="U382" t="n" s="2231">
        <v>1956</v>
      </c>
      <c r="V382" t="str" s="2231">
        <v>人民币元（1955币制；CNY）</v>
      </c>
    </row>
    <row r="383" ht="24.0" customHeight="1">
      <c r="A383" s="2234" t="n">
        <v>1951</v>
      </c>
      <c r="B383" s="2234" t="str">
        <v>JPY</v>
      </c>
      <c r="C383" s="2234" t="str">
        <v>日元（JPY）</v>
      </c>
      <c r="D383" s="2234" t="str">
        <v>可用</v>
      </c>
      <c r="E383" s="2238" t="n">
        <v>361.200012567228</v>
      </c>
      <c r="F383" s="2234" t="str">
        <v>年频（市场／估计）</v>
      </c>
      <c r="G383" s="2234" t="str">
        <v>PWT 11.0 / FRED：日本</v>
      </c>
      <c r="H383" s="2234" t="str">
        <v>https://fred.stlouisfed.org/data/XRNCUSJPA618NRUG</v>
      </c>
      <c r="I383" s="2234" t="str">
        <v>1951-01-01—1951-12-31</v>
      </c>
      <c r="J383" s="2234" t="str">
        <v>historical_exchange_rates_1920_2026.xlsx</v>
      </c>
      <c r="K383" s="2234" t="str">
        <v>PWT年频估计／市场汇率口径，不保证与纽约日度年均报价一致。
年频市场／估计值。</v>
      </c>
      <c r="L383" s="2234" t="str">
        <v>原报价已按 1 美元兑换本币表示。</v>
      </c>
      <c r="M383" s="2234" t="str">
        <v>1951|日元（JPY）</v>
      </c>
      <c r="N383" s="2234" t="str">
        <v>日元（JPY）</v>
      </c>
      <c r="O383" s="2239" t="n">
        <v>361.200012567228</v>
      </c>
      <c r="P383" s="2234" t="str">
        <v>LCU/USD</v>
      </c>
      <c r="Q383" s="2239" t="n">
        <v>1</v>
      </c>
      <c r="R383" s="2234" t="str">
        <v>B：研究数据库年频估计</v>
      </c>
      <c r="S383" s="2234" t="str">
        <v>年度汇率!H37；原始记录!A262:M262</v>
      </c>
      <c r="T383" s="2234" t="str"/>
      <c r="U383" t="n" s="2231">
        <v>1957</v>
      </c>
      <c r="V383" t="str" s="2231">
        <v>美元（USD）</v>
      </c>
    </row>
    <row r="384" ht="15.0" customHeight="1">
      <c r="A384" s="2234" t="n">
        <v>1951</v>
      </c>
      <c r="B384" s="2234" t="str">
        <v>CHF</v>
      </c>
      <c r="C384" s="2234" t="str">
        <v>瑞士法郎（CHF）</v>
      </c>
      <c r="D384" s="2234" t="str">
        <v>可用</v>
      </c>
      <c r="E384" s="2238" t="n">
        <v>4.3364</v>
      </c>
      <c r="F384" s="2234" t="str">
        <v>年均</v>
      </c>
      <c r="G384" s="2234" t="str">
        <v>MeasuringWorth：瑞士年均汇率</v>
      </c>
      <c r="H384" s="2234" t="str">
        <v>https://www.measuringworth.com/datasets/exchangeglobal/result.php?countryE%5B%5D=Switzerland&amp;year_result=1955&amp;year_source=1905</v>
      </c>
      <c r="I384" s="2234" t="str">
        <v>1951-01-01—1951-12-31</v>
      </c>
      <c r="J384" s="2234" t="str">
        <v>historical_exchange_rates_1920_2026.xlsx</v>
      </c>
      <c r="K384" s="2234" t="str">
        <v>纽约市场；1941仅上半年报价，1942–1945原表无值。</v>
      </c>
      <c r="L384" s="2234" t="str">
        <v>原报价已按 1 美元兑换本币表示。</v>
      </c>
      <c r="M384" s="2234" t="str">
        <v>1951|瑞士法郎（CHF）</v>
      </c>
      <c r="N384" s="2234" t="str">
        <v>瑞士法郎（CHF）</v>
      </c>
      <c r="O384" s="2239" t="n">
        <v>4.3364</v>
      </c>
      <c r="P384" s="2234" t="str">
        <v>LCU/USD</v>
      </c>
      <c r="Q384" s="2239" t="n">
        <v>1</v>
      </c>
      <c r="R384" s="2234" t="str">
        <v>B：学术历史汇编</v>
      </c>
      <c r="S384" s="2234" t="str">
        <v>年度汇率!I37；原始记录!A263:M263</v>
      </c>
      <c r="T384" s="2234" t="str"/>
      <c r="U384" t="n" s="2231">
        <v>1957</v>
      </c>
      <c r="V384" t="str" s="2231">
        <v>英镑（GBP）</v>
      </c>
    </row>
    <row r="385" ht="24.0" customHeight="1">
      <c r="A385" s="2234" t="n">
        <v>1951</v>
      </c>
      <c r="B385" s="2234" t="str">
        <v>INR</v>
      </c>
      <c r="C385" s="2234" t="str">
        <v>印度卢比（INR）</v>
      </c>
      <c r="D385" s="2234" t="str">
        <v>可用</v>
      </c>
      <c r="E385" s="2238" t="n">
        <v>4.76289987976872</v>
      </c>
      <c r="F385" s="2234" t="str">
        <v>年频（市场／估计）</v>
      </c>
      <c r="G385" s="2234" t="str">
        <v>PWT 11.0 / FRED：市场及估计汇率 INR</v>
      </c>
      <c r="H385" s="2234" t="str">
        <v>https://fred.stlouisfed.org/data/XRNCUSINA618NRUG</v>
      </c>
      <c r="I385" s="2234" t="str">
        <v>1951-01-01—1951-12-31</v>
      </c>
      <c r="J385" s="2234" t="str">
        <v>historical_exchange_rates_1920_2026.xlsx</v>
      </c>
      <c r="K385" s="2234" t="str">
        <v>PWT年频估计／市场汇率口径，不保证与纽约日度年均报价一致。
年频；PWT market+estimated。欧元成员国历史数据须还原当年币种。</v>
      </c>
      <c r="L385" s="2234" t="str">
        <v>原报价已按 1 美元兑换本币表示。</v>
      </c>
      <c r="M385" s="2234" t="str">
        <v>1951|印度卢比（INR）</v>
      </c>
      <c r="N385" s="2234" t="str">
        <v>印度卢比（INR）</v>
      </c>
      <c r="O385" s="2239" t="n">
        <v>4.76289987976872</v>
      </c>
      <c r="P385" s="2234" t="str">
        <v>LCU/USD</v>
      </c>
      <c r="Q385" s="2239" t="n">
        <v>1</v>
      </c>
      <c r="R385" s="2234" t="str">
        <v>B：研究数据库年频估计</v>
      </c>
      <c r="S385" s="2234" t="str">
        <v>年度汇率!J37；原始记录!A264:M264</v>
      </c>
      <c r="T385" s="2234" t="str"/>
      <c r="U385" t="n" s="2231">
        <v>1957</v>
      </c>
      <c r="V385" t="str" s="2231">
        <v>加拿大元（CAD）</v>
      </c>
    </row>
    <row r="386" ht="48.0" customHeight="1">
      <c r="A386" s="2234" t="n">
        <v>1951</v>
      </c>
      <c r="B386" s="2234" t="str">
        <v>SUR_1947</v>
      </c>
      <c r="C386" s="2234" t="str">
        <v>苏联卢布（1947币制）</v>
      </c>
      <c r="D386" s="2234" t="str">
        <v>可用</v>
      </c>
      <c r="E386" s="2238" t="n">
        <v>4</v>
      </c>
      <c r="F386" s="2234" t="str">
        <v>官价区间参考（非年均）</v>
      </c>
      <c r="G386" s="2234" t="str">
        <v>苏联卢布历史官价表（Wikipedia转引俄央行历史档案）</v>
      </c>
      <c r="H386" s="2234" t="str">
        <v>https://en.wikipedia.org/wiki/Soviet_ruble#Exchange_rates</v>
      </c>
      <c r="I386" s="2234" t="str">
        <v>1950-03-01—1960-12-01</v>
      </c>
      <c r="J386" s="2234" t="str">
        <v>historical_exchange_rates_1920_2026.xlsx</v>
      </c>
      <c r="K386"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386" s="2234" t="str">
        <v>原报价已按 1 美元兑换本币表示。</v>
      </c>
      <c r="M386" s="2234" t="str">
        <v>1951|苏联卢布（1947币制）</v>
      </c>
      <c r="N386" s="2234" t="str">
        <v>苏联卢布（1947币制）</v>
      </c>
      <c r="O386" s="2239" t="n">
        <v>4</v>
      </c>
      <c r="P386" s="2234" t="str">
        <v>LCU/USD</v>
      </c>
      <c r="Q386" s="2239" t="n">
        <v>1</v>
      </c>
      <c r="R386" s="2234" t="str">
        <v>C：二手转引（原档未复核）</v>
      </c>
      <c r="S386" s="2234" t="str">
        <v>年度汇率!K37；原始记录!A265:M265</v>
      </c>
      <c r="T386" s="2234" t="str">
        <v>官价参考，并非市场年均汇率</v>
      </c>
      <c r="U386" t="n" s="2231">
        <v>1957</v>
      </c>
      <c r="V386" t="str" s="2231">
        <v>法国旧法郎</v>
      </c>
    </row>
    <row r="387" ht="24.0" customHeight="1">
      <c r="A387" s="2234" t="n">
        <v>1951</v>
      </c>
      <c r="B387" s="2234" t="str">
        <v>CNY_OLD</v>
      </c>
      <c r="C387" s="2234" t="str">
        <v>第一套人民币元（旧币）</v>
      </c>
      <c r="D387" s="2234" t="str">
        <v>缺失</v>
      </c>
      <c r="E387" s="2238"/>
      <c r="F387" s="2234" t="str">
        <v>缺失／未核实</v>
      </c>
      <c r="G387" s="2234" t="str">
        <v>用户提供的历史汇率表</v>
      </c>
      <c r="H387" s="2234" t="str"/>
      <c r="I387" s="2234" t="str">
        <v>1951</v>
      </c>
      <c r="J387" s="2234" t="str">
        <v>historical_exchange_rates_1920_2026.xlsx</v>
      </c>
      <c r="K387" s="2234" t="str">
        <v>本次未取得可核验的对应年度值；法币、金圆券、旧人民币过渡及多种市场报价，未插值或倒推。</v>
      </c>
      <c r="L387" s="2234" t="str"/>
      <c r="M387" s="2234" t="str">
        <v>1951|第一套人民币元（旧币）</v>
      </c>
      <c r="N387" s="2234" t="str">
        <v>第一套人民币元（旧币）</v>
      </c>
      <c r="O387" s="2239"/>
      <c r="P387" s="2234" t="str"/>
      <c r="Q387" s="2239"/>
      <c r="R387" s="2234" t="str"/>
      <c r="S387" s="2234" t="str">
        <v>年度汇率!L37</v>
      </c>
      <c r="T387" s="2234" t="str">
        <v>本次未取得可核验的对应年度值；法币、金圆券、旧人民币过渡及多种市场报价，未插值或倒推。</v>
      </c>
      <c r="U387" t="n" s="2231">
        <v>1957</v>
      </c>
      <c r="V387" t="str" s="2231">
        <v>西德德国马克（DEM）</v>
      </c>
    </row>
    <row r="388" ht="15.0" customHeight="1">
      <c r="A388" s="2234" t="n">
        <v>1952</v>
      </c>
      <c r="B388" s="2234" t="str">
        <v>USD</v>
      </c>
      <c r="C388" s="2234" t="str">
        <v>美元（USD）</v>
      </c>
      <c r="D388" s="2234" t="str">
        <v>可用</v>
      </c>
      <c r="E388" s="2238" t="n">
        <v>1</v>
      </c>
      <c r="F388" s="2234" t="str">
        <v>基准恒等</v>
      </c>
      <c r="G388" s="2234" t="str">
        <v>用户提供的历史汇率表</v>
      </c>
      <c r="H388" s="2234" t="str"/>
      <c r="I388" s="2234" t="str">
        <v>1952</v>
      </c>
      <c r="J388" s="2234" t="str">
        <v>historical_exchange_rates_1920_2026.xlsx</v>
      </c>
      <c r="K388" s="2234" t="str">
        <v>1 美元等于 1 美元，无外部报价。</v>
      </c>
      <c r="L388" s="2234" t="str">
        <v>美元基准，汇率恒为 1。</v>
      </c>
      <c r="M388" s="2234" t="str">
        <v>1952|美元（USD）</v>
      </c>
      <c r="N388" s="2234" t="str">
        <v>美元（USD）</v>
      </c>
      <c r="O388" s="2239"/>
      <c r="P388" s="2234" t="str"/>
      <c r="Q388" s="2239"/>
      <c r="R388" s="2234" t="str"/>
      <c r="S388" s="2234" t="str">
        <v>年度汇率!B38</v>
      </c>
      <c r="T388" s="2234" t="str"/>
      <c r="U388" t="n" s="2231">
        <v>1957</v>
      </c>
      <c r="V388" t="str" s="2231">
        <v>意大利里拉（ITL）</v>
      </c>
    </row>
    <row r="389" ht="24.0" customHeight="1">
      <c r="A389" s="2234" t="n">
        <v>1952</v>
      </c>
      <c r="B389" s="2234" t="str">
        <v>GBP</v>
      </c>
      <c r="C389" s="2234" t="str">
        <v>英镑（GBP）</v>
      </c>
      <c r="D389" s="2234" t="str">
        <v>可用</v>
      </c>
      <c r="E389" s="2238" t="n">
        <v>0.357271356210102</v>
      </c>
      <c r="F389" s="2234" t="str">
        <v>年频（市场／估计）</v>
      </c>
      <c r="G389" s="2234" t="str">
        <v>PWT 11.0 / FRED：市场及估计汇率 GBP</v>
      </c>
      <c r="H389" s="2234" t="str">
        <v>https://fred.stlouisfed.org/data/XRNCUSGBA618NRUG</v>
      </c>
      <c r="I389" s="2234" t="str">
        <v>1952-01-01—1952-12-31</v>
      </c>
      <c r="J389" s="2234" t="str">
        <v>historical_exchange_rates_1920_2026.xlsx</v>
      </c>
      <c r="K389" s="2234" t="str">
        <v>PWT年频估计／市场汇率口径，不保证与纽约日度年均报价一致。
年频；PWT market+estimated。欧元成员国历史数据须还原当年币种。</v>
      </c>
      <c r="L389" s="2234" t="str">
        <v>原报价已按 1 美元兑换本币表示。</v>
      </c>
      <c r="M389" s="2234" t="str">
        <v>1952|英镑（GBP）</v>
      </c>
      <c r="N389" s="2234" t="str">
        <v>英镑（GBP）</v>
      </c>
      <c r="O389" s="2239" t="n">
        <v>0.357271356210102</v>
      </c>
      <c r="P389" s="2234" t="str">
        <v>LCU/USD</v>
      </c>
      <c r="Q389" s="2239" t="n">
        <v>1</v>
      </c>
      <c r="R389" s="2234" t="str">
        <v>B：研究数据库年频估计</v>
      </c>
      <c r="S389" s="2234" t="str">
        <v>年度汇率!C38；原始记录!A266:M266</v>
      </c>
      <c r="T389" s="2234" t="str"/>
      <c r="U389" t="n" s="2231">
        <v>1957</v>
      </c>
      <c r="V389" t="str" s="2231">
        <v>日元（JPY）</v>
      </c>
    </row>
    <row r="390" ht="24.0" customHeight="1">
      <c r="A390" s="2234" t="n">
        <v>1952</v>
      </c>
      <c r="B390" s="2234" t="str">
        <v>CAD</v>
      </c>
      <c r="C390" s="2234" t="str">
        <v>加拿大元（CAD）</v>
      </c>
      <c r="D390" s="2234" t="str">
        <v>可用</v>
      </c>
      <c r="E390" s="2238" t="n">
        <v>0.981035779927</v>
      </c>
      <c r="F390" s="2234" t="str">
        <v>年频（市场／估计）</v>
      </c>
      <c r="G390" s="2234" t="str">
        <v>PWT 11.0 / FRED：市场及估计汇率 CAD</v>
      </c>
      <c r="H390" s="2234" t="str">
        <v>https://fred.stlouisfed.org/data/XRNCUSCAA618NRUG</v>
      </c>
      <c r="I390" s="2234" t="str">
        <v>1952-01-01—1952-12-31</v>
      </c>
      <c r="J390" s="2234" t="str">
        <v>historical_exchange_rates_1920_2026.xlsx</v>
      </c>
      <c r="K390" s="2234" t="str">
        <v>PWT年频估计／市场汇率口径，不保证与纽约日度年均报价一致。
年频；PWT market+estimated。欧元成员国历史数据须还原当年币种。</v>
      </c>
      <c r="L390" s="2234" t="str">
        <v>原报价已按 1 美元兑换本币表示。</v>
      </c>
      <c r="M390" s="2234" t="str">
        <v>1952|加拿大元（CAD）</v>
      </c>
      <c r="N390" s="2234" t="str">
        <v>加拿大元（CAD）</v>
      </c>
      <c r="O390" s="2239" t="n">
        <v>0.981035779927</v>
      </c>
      <c r="P390" s="2234" t="str">
        <v>LCU/USD</v>
      </c>
      <c r="Q390" s="2239" t="n">
        <v>1</v>
      </c>
      <c r="R390" s="2234" t="str">
        <v>B：研究数据库年频估计</v>
      </c>
      <c r="S390" s="2234" t="str">
        <v>年度汇率!D38；原始记录!A267:M267</v>
      </c>
      <c r="T390" s="2234" t="str"/>
      <c r="U390" t="n" s="2231">
        <v>1957</v>
      </c>
      <c r="V390" t="str" s="2231">
        <v>瑞士法郎（CHF）</v>
      </c>
    </row>
    <row r="391" ht="36.0" customHeight="1">
      <c r="A391" s="2234" t="n">
        <v>1952</v>
      </c>
      <c r="B391" s="2234" t="str">
        <v>FRF_OLD</v>
      </c>
      <c r="C391" s="2234" t="str">
        <v>法国旧法郎</v>
      </c>
      <c r="D391" s="2234" t="str">
        <v>可用</v>
      </c>
      <c r="E391" s="2238" t="n">
        <v>350.0049444884567</v>
      </c>
      <c r="F391" s="2234" t="str">
        <v>年频（市场／估计）</v>
      </c>
      <c r="G391" s="2234" t="str">
        <v>PWT 11.0 / FRED：市场及估计汇率 FR</v>
      </c>
      <c r="H391" s="2234" t="str">
        <v>https://fred.stlouisfed.org/data/XRNCUSFRA618NRUG</v>
      </c>
      <c r="I391" s="2234" t="str">
        <v>1952-01-01—1952-12-31</v>
      </c>
      <c r="J391" s="2234" t="str">
        <v>historical_exchange_rates_1920_2026.xlsx</v>
      </c>
      <c r="K391" s="2234" t="str">
        <v>欧元回溯单位按不可撤销转换率还原；法国1960年前另乘100。 PWT年频估计／市场汇率口径，不保证与纽约日度年均报价一致。
年频；PWT market+estimated。欧元成员国历史数据须还原当年币种。</v>
      </c>
      <c r="L391" s="2234" t="str">
        <v>原报价已按 1 美元兑换本币表示。乘以 655.957，还原当年币制的计价单位。</v>
      </c>
      <c r="M391" s="2234" t="str">
        <v>1952|法国旧法郎</v>
      </c>
      <c r="N391" s="2234" t="str">
        <v>法国旧法郎</v>
      </c>
      <c r="O391" s="2239" t="n">
        <v>0.533579098154996</v>
      </c>
      <c r="P391" s="2234" t="str">
        <v>LCU/USD</v>
      </c>
      <c r="Q391" s="2239" t="n">
        <v>655.957</v>
      </c>
      <c r="R391" s="2234" t="str">
        <v>B：研究数据库年频估计</v>
      </c>
      <c r="S391" s="2234" t="str">
        <v>年度汇率!E38；原始记录!A268:M268</v>
      </c>
      <c r="T391" s="2234" t="str"/>
      <c r="U391" t="n" s="2231">
        <v>1957</v>
      </c>
      <c r="V391" t="str" s="2231">
        <v>印度卢比（INR）</v>
      </c>
    </row>
    <row r="392" ht="36.0" customHeight="1">
      <c r="A392" s="2234" t="n">
        <v>1952</v>
      </c>
      <c r="B392" s="2234" t="str">
        <v>DEM</v>
      </c>
      <c r="C392" s="2234" t="str">
        <v>西德德国马克（DEM）</v>
      </c>
      <c r="D392" s="2234" t="str">
        <v>可用</v>
      </c>
      <c r="E392" s="2238" t="n">
        <v>4.194982910195922</v>
      </c>
      <c r="F392" s="2234" t="str">
        <v>年频（市场／估计）</v>
      </c>
      <c r="G392" s="2234" t="str">
        <v>PWT 11.0 / FRED：市场及估计汇率 DE</v>
      </c>
      <c r="H392" s="2234" t="str">
        <v>https://fred.stlouisfed.org/data/XRNCUSDEA618NRUG</v>
      </c>
      <c r="I392" s="2234" t="str">
        <v>1952-01-01—1952-12-31</v>
      </c>
      <c r="J392" s="2234" t="str">
        <v>historical_exchange_rates_1920_2026.xlsx</v>
      </c>
      <c r="K392" s="2234" t="str">
        <v>欧元回溯单位按不可撤销转换率还原；法国1960年前另乘100。 PWT年频估计／市场汇率口径，不保证与纽约日度年均报价一致。
年频；PWT market+estimated。欧元成员国历史数据须还原当年币种。</v>
      </c>
      <c r="L392" s="2234" t="str">
        <v>原报价已按 1 美元兑换本币表示。乘以 1.95583，还原当年币制的计价单位。</v>
      </c>
      <c r="M392" s="2234" t="str">
        <v>1952|西德德国马克（DEM）</v>
      </c>
      <c r="N392" s="2234" t="str">
        <v>西德德国马克（DEM）</v>
      </c>
      <c r="O392" s="2239" t="n">
        <v>2.14486070374006</v>
      </c>
      <c r="P392" s="2234" t="str">
        <v>LCU/USD</v>
      </c>
      <c r="Q392" s="2239" t="n">
        <v>1.95583</v>
      </c>
      <c r="R392" s="2234" t="str">
        <v>B：研究数据库年频估计</v>
      </c>
      <c r="S392" s="2234" t="str">
        <v>年度汇率!F38、年度汇率!M38；原始记录!A269:M269</v>
      </c>
      <c r="T392" s="2234" t="str"/>
      <c r="U392" t="n" s="2231">
        <v>1957</v>
      </c>
      <c r="V392" t="str" s="2231">
        <v>苏联卢布（1947币制）</v>
      </c>
    </row>
    <row r="393" ht="36.0" customHeight="1">
      <c r="A393" s="2234" t="n">
        <v>1952</v>
      </c>
      <c r="B393" s="2234" t="str">
        <v>ITL</v>
      </c>
      <c r="C393" s="2234" t="str">
        <v>意大利里拉（ITL）</v>
      </c>
      <c r="D393" s="2234" t="str">
        <v>可用</v>
      </c>
      <c r="E393" s="2238" t="n">
        <v>623.8865183104361</v>
      </c>
      <c r="F393" s="2234" t="str">
        <v>年频（市场／估计）</v>
      </c>
      <c r="G393" s="2234" t="str">
        <v>PWT 11.0 / FRED：市场及估计汇率 IT</v>
      </c>
      <c r="H393" s="2234" t="str">
        <v>https://fred.stlouisfed.org/data/XRNCUSITA618NRUG</v>
      </c>
      <c r="I393" s="2234" t="str">
        <v>1952-01-01—1952-12-31</v>
      </c>
      <c r="J393" s="2234" t="str">
        <v>historical_exchange_rates_1920_2026.xlsx</v>
      </c>
      <c r="K393" s="2234" t="str">
        <v>欧元回溯单位按不可撤销转换率还原；法国1960年前另乘100。 PWT年频估计／市场汇率口径，不保证与纽约日度年均报价一致。
年频；PWT market+estimated。欧元成员国历史数据须还原当年币种。</v>
      </c>
      <c r="L393" s="2234" t="str">
        <v>原报价已按 1 美元兑换本币表示。乘以 1936.27，还原当年币制的计价单位。</v>
      </c>
      <c r="M393" s="2234" t="str">
        <v>1952|意大利里拉（ITL）</v>
      </c>
      <c r="N393" s="2234" t="str">
        <v>意大利里拉（ITL）</v>
      </c>
      <c r="O393" s="2239" t="n">
        <v>0.322210496630344</v>
      </c>
      <c r="P393" s="2234" t="str">
        <v>LCU/USD</v>
      </c>
      <c r="Q393" s="2239" t="n">
        <v>1936.27</v>
      </c>
      <c r="R393" s="2234" t="str">
        <v>B：研究数据库年频估计</v>
      </c>
      <c r="S393" s="2234" t="str">
        <v>年度汇率!G38；原始记录!A270:M270</v>
      </c>
      <c r="T393" s="2234" t="str"/>
      <c r="U393" t="n" s="2231">
        <v>1957</v>
      </c>
      <c r="V393" t="str" s="2231">
        <v>人民币元（1955币制；CNY）</v>
      </c>
    </row>
    <row r="394" ht="24.0" customHeight="1">
      <c r="A394" s="2234" t="n">
        <v>1952</v>
      </c>
      <c r="B394" s="2234" t="str">
        <v>JPY</v>
      </c>
      <c r="C394" s="2234" t="str">
        <v>日元（JPY）</v>
      </c>
      <c r="D394" s="2234" t="str">
        <v>可用</v>
      </c>
      <c r="E394" s="2238" t="n">
        <v>361.100006463613</v>
      </c>
      <c r="F394" s="2234" t="str">
        <v>年频（市场／估计）</v>
      </c>
      <c r="G394" s="2234" t="str">
        <v>PWT 11.0 / FRED：日本</v>
      </c>
      <c r="H394" s="2234" t="str">
        <v>https://fred.stlouisfed.org/data/XRNCUSJPA618NRUG</v>
      </c>
      <c r="I394" s="2234" t="str">
        <v>1952-01-01—1952-12-31</v>
      </c>
      <c r="J394" s="2234" t="str">
        <v>historical_exchange_rates_1920_2026.xlsx</v>
      </c>
      <c r="K394" s="2234" t="str">
        <v>PWT年频估计／市场汇率口径，不保证与纽约日度年均报价一致。
年频市场／估计值。</v>
      </c>
      <c r="L394" s="2234" t="str">
        <v>原报价已按 1 美元兑换本币表示。</v>
      </c>
      <c r="M394" s="2234" t="str">
        <v>1952|日元（JPY）</v>
      </c>
      <c r="N394" s="2234" t="str">
        <v>日元（JPY）</v>
      </c>
      <c r="O394" s="2239" t="n">
        <v>361.100006463613</v>
      </c>
      <c r="P394" s="2234" t="str">
        <v>LCU/USD</v>
      </c>
      <c r="Q394" s="2239" t="n">
        <v>1</v>
      </c>
      <c r="R394" s="2234" t="str">
        <v>B：研究数据库年频估计</v>
      </c>
      <c r="S394" s="2234" t="str">
        <v>年度汇率!H38；原始记录!A271:M271</v>
      </c>
      <c r="T394" s="2234" t="str"/>
      <c r="U394" t="n" s="2231">
        <v>1958</v>
      </c>
      <c r="V394" t="str" s="2231">
        <v>美元（USD）</v>
      </c>
    </row>
    <row r="395" ht="15.0" customHeight="1">
      <c r="A395" s="2234" t="n">
        <v>1952</v>
      </c>
      <c r="B395" s="2234" t="str">
        <v>CHF</v>
      </c>
      <c r="C395" s="2234" t="str">
        <v>瑞士法郎（CHF）</v>
      </c>
      <c r="D395" s="2234" t="str">
        <v>可用</v>
      </c>
      <c r="E395" s="2238" t="n">
        <v>4.3201</v>
      </c>
      <c r="F395" s="2234" t="str">
        <v>年均</v>
      </c>
      <c r="G395" s="2234" t="str">
        <v>MeasuringWorth：瑞士年均汇率</v>
      </c>
      <c r="H395" s="2234" t="str">
        <v>https://www.measuringworth.com/datasets/exchangeglobal/result.php?countryE%5B%5D=Switzerland&amp;year_result=1955&amp;year_source=1905</v>
      </c>
      <c r="I395" s="2234" t="str">
        <v>1952-01-01—1952-12-31</v>
      </c>
      <c r="J395" s="2234" t="str">
        <v>historical_exchange_rates_1920_2026.xlsx</v>
      </c>
      <c r="K395" s="2234" t="str">
        <v>纽约市场；1941仅上半年报价，1942–1945原表无值。</v>
      </c>
      <c r="L395" s="2234" t="str">
        <v>原报价已按 1 美元兑换本币表示。</v>
      </c>
      <c r="M395" s="2234" t="str">
        <v>1952|瑞士法郎（CHF）</v>
      </c>
      <c r="N395" s="2234" t="str">
        <v>瑞士法郎（CHF）</v>
      </c>
      <c r="O395" s="2239" t="n">
        <v>4.3201</v>
      </c>
      <c r="P395" s="2234" t="str">
        <v>LCU/USD</v>
      </c>
      <c r="Q395" s="2239" t="n">
        <v>1</v>
      </c>
      <c r="R395" s="2234" t="str">
        <v>B：学术历史汇编</v>
      </c>
      <c r="S395" s="2234" t="str">
        <v>年度汇率!I38；原始记录!A272:M272</v>
      </c>
      <c r="T395" s="2234" t="str"/>
      <c r="U395" t="n" s="2231">
        <v>1958</v>
      </c>
      <c r="V395" t="str" s="2231">
        <v>英镑（GBP）</v>
      </c>
    </row>
    <row r="396" ht="24.0" customHeight="1">
      <c r="A396" s="2234" t="n">
        <v>1952</v>
      </c>
      <c r="B396" s="2234" t="str">
        <v>INR</v>
      </c>
      <c r="C396" s="2234" t="str">
        <v>印度卢比（INR）</v>
      </c>
      <c r="D396" s="2234" t="str">
        <v>可用</v>
      </c>
      <c r="E396" s="2238" t="n">
        <v>4.76289987976872</v>
      </c>
      <c r="F396" s="2234" t="str">
        <v>年频（市场／估计）</v>
      </c>
      <c r="G396" s="2234" t="str">
        <v>PWT 11.0 / FRED：市场及估计汇率 INR</v>
      </c>
      <c r="H396" s="2234" t="str">
        <v>https://fred.stlouisfed.org/data/XRNCUSINA618NRUG</v>
      </c>
      <c r="I396" s="2234" t="str">
        <v>1952-01-01—1952-12-31</v>
      </c>
      <c r="J396" s="2234" t="str">
        <v>historical_exchange_rates_1920_2026.xlsx</v>
      </c>
      <c r="K396" s="2234" t="str">
        <v>PWT年频估计／市场汇率口径，不保证与纽约日度年均报价一致。
年频；PWT market+estimated。欧元成员国历史数据须还原当年币种。</v>
      </c>
      <c r="L396" s="2234" t="str">
        <v>原报价已按 1 美元兑换本币表示。</v>
      </c>
      <c r="M396" s="2234" t="str">
        <v>1952|印度卢比（INR）</v>
      </c>
      <c r="N396" s="2234" t="str">
        <v>印度卢比（INR）</v>
      </c>
      <c r="O396" s="2239" t="n">
        <v>4.76289987976872</v>
      </c>
      <c r="P396" s="2234" t="str">
        <v>LCU/USD</v>
      </c>
      <c r="Q396" s="2239" t="n">
        <v>1</v>
      </c>
      <c r="R396" s="2234" t="str">
        <v>B：研究数据库年频估计</v>
      </c>
      <c r="S396" s="2234" t="str">
        <v>年度汇率!J38；原始记录!A273:M273</v>
      </c>
      <c r="T396" s="2234" t="str"/>
      <c r="U396" t="n" s="2231">
        <v>1958</v>
      </c>
      <c r="V396" t="str" s="2231">
        <v>加拿大元（CAD）</v>
      </c>
    </row>
    <row r="397" ht="48.0" customHeight="1">
      <c r="A397" s="2234" t="n">
        <v>1952</v>
      </c>
      <c r="B397" s="2234" t="str">
        <v>SUR_1947</v>
      </c>
      <c r="C397" s="2234" t="str">
        <v>苏联卢布（1947币制）</v>
      </c>
      <c r="D397" s="2234" t="str">
        <v>可用</v>
      </c>
      <c r="E397" s="2238" t="n">
        <v>4</v>
      </c>
      <c r="F397" s="2234" t="str">
        <v>官价区间参考（非年均）</v>
      </c>
      <c r="G397" s="2234" t="str">
        <v>苏联卢布历史官价表（Wikipedia转引俄央行历史档案）</v>
      </c>
      <c r="H397" s="2234" t="str">
        <v>https://en.wikipedia.org/wiki/Soviet_ruble#Exchange_rates</v>
      </c>
      <c r="I397" s="2234" t="str">
        <v>1950-03-01—1960-12-01</v>
      </c>
      <c r="J397" s="2234" t="str">
        <v>historical_exchange_rates_1920_2026.xlsx</v>
      </c>
      <c r="K397"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397" s="2234" t="str">
        <v>原报价已按 1 美元兑换本币表示。</v>
      </c>
      <c r="M397" s="2234" t="str">
        <v>1952|苏联卢布（1947币制）</v>
      </c>
      <c r="N397" s="2234" t="str">
        <v>苏联卢布（1947币制）</v>
      </c>
      <c r="O397" s="2239" t="n">
        <v>4</v>
      </c>
      <c r="P397" s="2234" t="str">
        <v>LCU/USD</v>
      </c>
      <c r="Q397" s="2239" t="n">
        <v>1</v>
      </c>
      <c r="R397" s="2234" t="str">
        <v>C：二手转引（原档未复核）</v>
      </c>
      <c r="S397" s="2234" t="str">
        <v>年度汇率!K38；原始记录!A274:M274</v>
      </c>
      <c r="T397" s="2234" t="str">
        <v>官价参考，并非市场年均汇率</v>
      </c>
      <c r="U397" t="n" s="2231">
        <v>1958</v>
      </c>
      <c r="V397" t="str" s="2231">
        <v>法国旧法郎</v>
      </c>
    </row>
    <row r="398" ht="24.0" customHeight="1">
      <c r="A398" s="2234" t="n">
        <v>1952</v>
      </c>
      <c r="B398" s="2234" t="str">
        <v>CNY_OLD</v>
      </c>
      <c r="C398" s="2234" t="str">
        <v>第一套人民币元（旧币）</v>
      </c>
      <c r="D398" s="2234" t="str">
        <v>可用</v>
      </c>
      <c r="E398" s="2238" t="n">
        <v>24618.0842198822</v>
      </c>
      <c r="F398" s="2234" t="str">
        <v>年频（市场／估计）</v>
      </c>
      <c r="G398" s="2234" t="str">
        <v>PWT 11.0 / FRED：中国</v>
      </c>
      <c r="H398" s="2234" t="str">
        <v>https://fred.stlouisfed.org/data/XRNCUSCNA618NRUG</v>
      </c>
      <c r="I398" s="2234" t="str">
        <v>1952-01-01—1952-12-31</v>
      </c>
      <c r="J398" s="2234" t="str">
        <v>historical_exchange_rates_1920_2026.xlsx</v>
      </c>
      <c r="K398" s="2234" t="str">
        <v>PWT年频估计／市场汇率口径，不保证与纽约日度年均报价一致。
1952—1954按1955年币改前旧人民币单位还原；1955年全年统一用第二套人民币元。</v>
      </c>
      <c r="L398" s="2234" t="str">
        <v>原报价已按 1 美元兑换本币表示。乘以 10000，还原当年币制的计价单位。</v>
      </c>
      <c r="M398" s="2234" t="str">
        <v>1952|第一套人民币元（旧币）</v>
      </c>
      <c r="N398" s="2234" t="str">
        <v>第一套人民币元（旧币）</v>
      </c>
      <c r="O398" s="2239" t="n">
        <v>2.46180842198822</v>
      </c>
      <c r="P398" s="2234" t="str">
        <v>LCU/USD</v>
      </c>
      <c r="Q398" s="2239" t="n">
        <v>10000</v>
      </c>
      <c r="R398" s="2234" t="str">
        <v>B：研究数据库年频估计</v>
      </c>
      <c r="S398" s="2234" t="str">
        <v>年度汇率!L38；原始记录!A275:M275</v>
      </c>
      <c r="T398" s="2234" t="str"/>
      <c r="U398" t="n" s="2231">
        <v>1958</v>
      </c>
      <c r="V398" t="str" s="2231">
        <v>西德德国马克（DEM）</v>
      </c>
    </row>
    <row r="399" ht="15.0" customHeight="1">
      <c r="A399" s="2234" t="n">
        <v>1953</v>
      </c>
      <c r="B399" s="2234" t="str">
        <v>USD</v>
      </c>
      <c r="C399" s="2234" t="str">
        <v>美元（USD）</v>
      </c>
      <c r="D399" s="2234" t="str">
        <v>可用</v>
      </c>
      <c r="E399" s="2238" t="n">
        <v>1</v>
      </c>
      <c r="F399" s="2234" t="str">
        <v>基准恒等</v>
      </c>
      <c r="G399" s="2234" t="str">
        <v>用户提供的历史汇率表</v>
      </c>
      <c r="H399" s="2234" t="str"/>
      <c r="I399" s="2234" t="str">
        <v>1953</v>
      </c>
      <c r="J399" s="2234" t="str">
        <v>historical_exchange_rates_1920_2026.xlsx</v>
      </c>
      <c r="K399" s="2234" t="str">
        <v>1 美元等于 1 美元，无外部报价。</v>
      </c>
      <c r="L399" s="2234" t="str">
        <v>美元基准，汇率恒为 1。</v>
      </c>
      <c r="M399" s="2234" t="str">
        <v>1953|美元（USD）</v>
      </c>
      <c r="N399" s="2234" t="str">
        <v>美元（USD）</v>
      </c>
      <c r="O399" s="2239"/>
      <c r="P399" s="2234" t="str"/>
      <c r="Q399" s="2239"/>
      <c r="R399" s="2234" t="str"/>
      <c r="S399" s="2234" t="str">
        <v>年度汇率!B39</v>
      </c>
      <c r="T399" s="2234" t="str"/>
      <c r="U399" t="n" s="2231">
        <v>1958</v>
      </c>
      <c r="V399" t="str" s="2231">
        <v>意大利里拉（ITL）</v>
      </c>
    </row>
    <row r="400" ht="24.0" customHeight="1">
      <c r="A400" s="2234" t="n">
        <v>1953</v>
      </c>
      <c r="B400" s="2234" t="str">
        <v>GBP</v>
      </c>
      <c r="C400" s="2234" t="str">
        <v>英镑（GBP）</v>
      </c>
      <c r="D400" s="2234" t="str">
        <v>可用</v>
      </c>
      <c r="E400" s="2238" t="n">
        <v>0.357371402609925</v>
      </c>
      <c r="F400" s="2234" t="str">
        <v>年频（市场／估计）</v>
      </c>
      <c r="G400" s="2234" t="str">
        <v>PWT 11.0 / FRED：市场及估计汇率 GBP</v>
      </c>
      <c r="H400" s="2234" t="str">
        <v>https://fred.stlouisfed.org/data/XRNCUSGBA618NRUG</v>
      </c>
      <c r="I400" s="2234" t="str">
        <v>1953-01-01—1953-12-31</v>
      </c>
      <c r="J400" s="2234" t="str">
        <v>historical_exchange_rates_1920_2026.xlsx</v>
      </c>
      <c r="K400" s="2234" t="str">
        <v>PWT年频估计／市场汇率口径，不保证与纽约日度年均报价一致。
年频；PWT market+estimated。欧元成员国历史数据须还原当年币种。</v>
      </c>
      <c r="L400" s="2234" t="str">
        <v>原报价已按 1 美元兑换本币表示。</v>
      </c>
      <c r="M400" s="2234" t="str">
        <v>1953|英镑（GBP）</v>
      </c>
      <c r="N400" s="2234" t="str">
        <v>英镑（GBP）</v>
      </c>
      <c r="O400" s="2239" t="n">
        <v>0.357371402609925</v>
      </c>
      <c r="P400" s="2234" t="str">
        <v>LCU/USD</v>
      </c>
      <c r="Q400" s="2239" t="n">
        <v>1</v>
      </c>
      <c r="R400" s="2234" t="str">
        <v>B：研究数据库年频估计</v>
      </c>
      <c r="S400" s="2234" t="str">
        <v>年度汇率!C39；原始记录!A276:M276</v>
      </c>
      <c r="T400" s="2234" t="str"/>
      <c r="U400" t="n" s="2231">
        <v>1958</v>
      </c>
      <c r="V400" t="str" s="2231">
        <v>日元（JPY）</v>
      </c>
    </row>
    <row r="401" ht="24.0" customHeight="1">
      <c r="A401" s="2234" t="n">
        <v>1953</v>
      </c>
      <c r="B401" s="2234" t="str">
        <v>CAD</v>
      </c>
      <c r="C401" s="2234" t="str">
        <v>加拿大元（CAD）</v>
      </c>
      <c r="D401" s="2234" t="str">
        <v>可用</v>
      </c>
      <c r="E401" s="2238" t="n">
        <v>0.985142603209434</v>
      </c>
      <c r="F401" s="2234" t="str">
        <v>年频（市场／估计）</v>
      </c>
      <c r="G401" s="2234" t="str">
        <v>PWT 11.0 / FRED：市场及估计汇率 CAD</v>
      </c>
      <c r="H401" s="2234" t="str">
        <v>https://fred.stlouisfed.org/data/XRNCUSCAA618NRUG</v>
      </c>
      <c r="I401" s="2234" t="str">
        <v>1953-01-01—1953-12-31</v>
      </c>
      <c r="J401" s="2234" t="str">
        <v>historical_exchange_rates_1920_2026.xlsx</v>
      </c>
      <c r="K401" s="2234" t="str">
        <v>PWT年频估计／市场汇率口径，不保证与纽约日度年均报价一致。
年频；PWT market+estimated。欧元成员国历史数据须还原当年币种。</v>
      </c>
      <c r="L401" s="2234" t="str">
        <v>原报价已按 1 美元兑换本币表示。</v>
      </c>
      <c r="M401" s="2234" t="str">
        <v>1953|加拿大元（CAD）</v>
      </c>
      <c r="N401" s="2234" t="str">
        <v>加拿大元（CAD）</v>
      </c>
      <c r="O401" s="2239" t="n">
        <v>0.985142603209434</v>
      </c>
      <c r="P401" s="2234" t="str">
        <v>LCU/USD</v>
      </c>
      <c r="Q401" s="2239" t="n">
        <v>1</v>
      </c>
      <c r="R401" s="2234" t="str">
        <v>B：研究数据库年频估计</v>
      </c>
      <c r="S401" s="2234" t="str">
        <v>年度汇率!D39；原始记录!A277:M277</v>
      </c>
      <c r="T401" s="2234" t="str"/>
      <c r="U401" t="n" s="2231">
        <v>1958</v>
      </c>
      <c r="V401" t="str" s="2231">
        <v>瑞士法郎（CHF）</v>
      </c>
    </row>
    <row r="402" ht="36.0" customHeight="1">
      <c r="A402" s="2234" t="n">
        <v>1953</v>
      </c>
      <c r="B402" s="2234" t="str">
        <v>FRF_OLD</v>
      </c>
      <c r="C402" s="2234" t="str">
        <v>法国旧法郎</v>
      </c>
      <c r="D402" s="2234" t="str">
        <v>可用</v>
      </c>
      <c r="E402" s="2238" t="n">
        <v>350.0049444884567</v>
      </c>
      <c r="F402" s="2234" t="str">
        <v>年频（市场／估计）</v>
      </c>
      <c r="G402" s="2234" t="str">
        <v>PWT 11.0 / FRED：市场及估计汇率 FR</v>
      </c>
      <c r="H402" s="2234" t="str">
        <v>https://fred.stlouisfed.org/data/XRNCUSFRA618NRUG</v>
      </c>
      <c r="I402" s="2234" t="str">
        <v>1953-01-01—1953-12-31</v>
      </c>
      <c r="J402" s="2234" t="str">
        <v>historical_exchange_rates_1920_2026.xlsx</v>
      </c>
      <c r="K402" s="2234" t="str">
        <v>欧元回溯单位按不可撤销转换率还原；法国1960年前另乘100。 PWT年频估计／市场汇率口径，不保证与纽约日度年均报价一致。
年频；PWT market+estimated。欧元成员国历史数据须还原当年币种。</v>
      </c>
      <c r="L402" s="2234" t="str">
        <v>原报价已按 1 美元兑换本币表示。乘以 655.957，还原当年币制的计价单位。</v>
      </c>
      <c r="M402" s="2234" t="str">
        <v>1953|法国旧法郎</v>
      </c>
      <c r="N402" s="2234" t="str">
        <v>法国旧法郎</v>
      </c>
      <c r="O402" s="2239" t="n">
        <v>0.533579098154996</v>
      </c>
      <c r="P402" s="2234" t="str">
        <v>LCU/USD</v>
      </c>
      <c r="Q402" s="2239" t="n">
        <v>655.957</v>
      </c>
      <c r="R402" s="2234" t="str">
        <v>B：研究数据库年频估计</v>
      </c>
      <c r="S402" s="2234" t="str">
        <v>年度汇率!E39；原始记录!A278:M278</v>
      </c>
      <c r="T402" s="2234" t="str"/>
      <c r="U402" t="n" s="2231">
        <v>1958</v>
      </c>
      <c r="V402" t="str" s="2231">
        <v>印度卢比（INR）</v>
      </c>
    </row>
    <row r="403" ht="36.0" customHeight="1">
      <c r="A403" s="2234" t="n">
        <v>1953</v>
      </c>
      <c r="B403" s="2234" t="str">
        <v>DEM</v>
      </c>
      <c r="C403" s="2234" t="str">
        <v>西德德国马克（DEM）</v>
      </c>
      <c r="D403" s="2234" t="str">
        <v>可用</v>
      </c>
      <c r="E403" s="2238" t="n">
        <v>4.199999713823369</v>
      </c>
      <c r="F403" s="2234" t="str">
        <v>年频（市场／估计）</v>
      </c>
      <c r="G403" s="2234" t="str">
        <v>PWT 11.0 / FRED：市场及估计汇率 DE</v>
      </c>
      <c r="H403" s="2234" t="str">
        <v>https://fred.stlouisfed.org/data/XRNCUSDEA618NRUG</v>
      </c>
      <c r="I403" s="2234" t="str">
        <v>1953-01-01—1953-12-31</v>
      </c>
      <c r="J403" s="2234" t="str">
        <v>historical_exchange_rates_1920_2026.xlsx</v>
      </c>
      <c r="K403" s="2234" t="str">
        <v>欧元回溯单位按不可撤销转换率还原；法国1960年前另乘100。 PWT年频估计／市场汇率口径，不保证与纽约日度年均报价一致。
年频；PWT market+estimated。欧元成员国历史数据须还原当年币种。</v>
      </c>
      <c r="L403" s="2234" t="str">
        <v>原报价已按 1 美元兑换本币表示。乘以 1.95583，还原当年币制的计价单位。</v>
      </c>
      <c r="M403" s="2234" t="str">
        <v>1953|西德德国马克（DEM）</v>
      </c>
      <c r="N403" s="2234" t="str">
        <v>西德德国马克（DEM）</v>
      </c>
      <c r="O403" s="2239" t="n">
        <v>2.14742575470433</v>
      </c>
      <c r="P403" s="2234" t="str">
        <v>LCU/USD</v>
      </c>
      <c r="Q403" s="2239" t="n">
        <v>1.95583</v>
      </c>
      <c r="R403" s="2234" t="str">
        <v>B：研究数据库年频估计</v>
      </c>
      <c r="S403" s="2234" t="str">
        <v>年度汇率!F39、年度汇率!M39；原始记录!A279:M279</v>
      </c>
      <c r="T403" s="2234" t="str"/>
      <c r="U403" t="n" s="2231">
        <v>1958</v>
      </c>
      <c r="V403" t="str" s="2231">
        <v>苏联卢布（1947币制）</v>
      </c>
    </row>
    <row r="404" ht="36.0" customHeight="1">
      <c r="A404" s="2234" t="n">
        <v>1953</v>
      </c>
      <c r="B404" s="2234" t="str">
        <v>ITL</v>
      </c>
      <c r="C404" s="2234" t="str">
        <v>意大利里拉（ITL）</v>
      </c>
      <c r="D404" s="2234" t="str">
        <v>可用</v>
      </c>
      <c r="E404" s="2238" t="n">
        <v>623.8865183104361</v>
      </c>
      <c r="F404" s="2234" t="str">
        <v>年频（市场／估计）</v>
      </c>
      <c r="G404" s="2234" t="str">
        <v>PWT 11.0 / FRED：市场及估计汇率 IT</v>
      </c>
      <c r="H404" s="2234" t="str">
        <v>https://fred.stlouisfed.org/data/XRNCUSITA618NRUG</v>
      </c>
      <c r="I404" s="2234" t="str">
        <v>1953-01-01—1953-12-31</v>
      </c>
      <c r="J404" s="2234" t="str">
        <v>historical_exchange_rates_1920_2026.xlsx</v>
      </c>
      <c r="K404" s="2234" t="str">
        <v>欧元回溯单位按不可撤销转换率还原；法国1960年前另乘100。 PWT年频估计／市场汇率口径，不保证与纽约日度年均报价一致。
年频；PWT market+estimated。欧元成员国历史数据须还原当年币种。</v>
      </c>
      <c r="L404" s="2234" t="str">
        <v>原报价已按 1 美元兑换本币表示。乘以 1936.27，还原当年币制的计价单位。</v>
      </c>
      <c r="M404" s="2234" t="str">
        <v>1953|意大利里拉（ITL）</v>
      </c>
      <c r="N404" s="2234" t="str">
        <v>意大利里拉（ITL）</v>
      </c>
      <c r="O404" s="2239" t="n">
        <v>0.322210496630344</v>
      </c>
      <c r="P404" s="2234" t="str">
        <v>LCU/USD</v>
      </c>
      <c r="Q404" s="2239" t="n">
        <v>1936.27</v>
      </c>
      <c r="R404" s="2234" t="str">
        <v>B：研究数据库年频估计</v>
      </c>
      <c r="S404" s="2234" t="str">
        <v>年度汇率!G39；原始记录!A280:M280</v>
      </c>
      <c r="T404" s="2234" t="str"/>
      <c r="U404" t="n" s="2231">
        <v>1958</v>
      </c>
      <c r="V404" t="str" s="2231">
        <v>人民币元（1955币制；CNY）</v>
      </c>
    </row>
    <row r="405" ht="24.0" customHeight="1">
      <c r="A405" s="2234" t="n">
        <v>1953</v>
      </c>
      <c r="B405" s="2234" t="str">
        <v>JPY</v>
      </c>
      <c r="C405" s="2234" t="str">
        <v>日元（JPY）</v>
      </c>
      <c r="D405" s="2234" t="str">
        <v>可用</v>
      </c>
      <c r="E405" s="2238" t="n">
        <v>360.000000359</v>
      </c>
      <c r="F405" s="2234" t="str">
        <v>年频（市场／估计）</v>
      </c>
      <c r="G405" s="2234" t="str">
        <v>PWT 11.0 / FRED：日本</v>
      </c>
      <c r="H405" s="2234" t="str">
        <v>https://fred.stlouisfed.org/data/XRNCUSJPA618NRUG</v>
      </c>
      <c r="I405" s="2234" t="str">
        <v>1953-01-01—1953-12-31</v>
      </c>
      <c r="J405" s="2234" t="str">
        <v>historical_exchange_rates_1920_2026.xlsx</v>
      </c>
      <c r="K405" s="2234" t="str">
        <v>PWT年频估计／市场汇率口径，不保证与纽约日度年均报价一致。
年频市场／估计值。</v>
      </c>
      <c r="L405" s="2234" t="str">
        <v>原报价已按 1 美元兑换本币表示。</v>
      </c>
      <c r="M405" s="2234" t="str">
        <v>1953|日元（JPY）</v>
      </c>
      <c r="N405" s="2234" t="str">
        <v>日元（JPY）</v>
      </c>
      <c r="O405" s="2239" t="n">
        <v>360.000000359</v>
      </c>
      <c r="P405" s="2234" t="str">
        <v>LCU/USD</v>
      </c>
      <c r="Q405" s="2239" t="n">
        <v>1</v>
      </c>
      <c r="R405" s="2234" t="str">
        <v>B：研究数据库年频估计</v>
      </c>
      <c r="S405" s="2234" t="str">
        <v>年度汇率!H39；原始记录!A281:M281</v>
      </c>
      <c r="T405" s="2234" t="str"/>
      <c r="U405" t="n" s="2231">
        <v>1959</v>
      </c>
      <c r="V405" t="str" s="2231">
        <v>美元（USD）</v>
      </c>
    </row>
    <row r="406" ht="15.0" customHeight="1">
      <c r="A406" s="2234" t="n">
        <v>1953</v>
      </c>
      <c r="B406" s="2234" t="str">
        <v>CHF</v>
      </c>
      <c r="C406" s="2234" t="str">
        <v>瑞士法郎（CHF）</v>
      </c>
      <c r="D406" s="2234" t="str">
        <v>可用</v>
      </c>
      <c r="E406" s="2238" t="n">
        <v>4.2888</v>
      </c>
      <c r="F406" s="2234" t="str">
        <v>年均</v>
      </c>
      <c r="G406" s="2234" t="str">
        <v>MeasuringWorth：瑞士年均汇率</v>
      </c>
      <c r="H406" s="2234" t="str">
        <v>https://www.measuringworth.com/datasets/exchangeglobal/result.php?countryE%5B%5D=Switzerland&amp;year_result=1955&amp;year_source=1905</v>
      </c>
      <c r="I406" s="2234" t="str">
        <v>1953-01-01—1953-12-31</v>
      </c>
      <c r="J406" s="2234" t="str">
        <v>historical_exchange_rates_1920_2026.xlsx</v>
      </c>
      <c r="K406" s="2234" t="str">
        <v>纽约市场；1941仅上半年报价，1942–1945原表无值。</v>
      </c>
      <c r="L406" s="2234" t="str">
        <v>原报价已按 1 美元兑换本币表示。</v>
      </c>
      <c r="M406" s="2234" t="str">
        <v>1953|瑞士法郎（CHF）</v>
      </c>
      <c r="N406" s="2234" t="str">
        <v>瑞士法郎（CHF）</v>
      </c>
      <c r="O406" s="2239" t="n">
        <v>4.2888</v>
      </c>
      <c r="P406" s="2234" t="str">
        <v>LCU/USD</v>
      </c>
      <c r="Q406" s="2239" t="n">
        <v>1</v>
      </c>
      <c r="R406" s="2234" t="str">
        <v>B：学术历史汇编</v>
      </c>
      <c r="S406" s="2234" t="str">
        <v>年度汇率!I39；原始记录!A282:M282</v>
      </c>
      <c r="T406" s="2234" t="str"/>
      <c r="U406" t="n" s="2231">
        <v>1959</v>
      </c>
      <c r="V406" t="str" s="2231">
        <v>英镑（GBP）</v>
      </c>
    </row>
    <row r="407" ht="24.0" customHeight="1">
      <c r="A407" s="2234" t="n">
        <v>1953</v>
      </c>
      <c r="B407" s="2234" t="str">
        <v>INR</v>
      </c>
      <c r="C407" s="2234" t="str">
        <v>印度卢比（INR）</v>
      </c>
      <c r="D407" s="2234" t="str">
        <v>可用</v>
      </c>
      <c r="E407" s="2238" t="n">
        <v>4.76289987976872</v>
      </c>
      <c r="F407" s="2234" t="str">
        <v>年频（市场／估计）</v>
      </c>
      <c r="G407" s="2234" t="str">
        <v>PWT 11.0 / FRED：市场及估计汇率 INR</v>
      </c>
      <c r="H407" s="2234" t="str">
        <v>https://fred.stlouisfed.org/data/XRNCUSINA618NRUG</v>
      </c>
      <c r="I407" s="2234" t="str">
        <v>1953-01-01—1953-12-31</v>
      </c>
      <c r="J407" s="2234" t="str">
        <v>historical_exchange_rates_1920_2026.xlsx</v>
      </c>
      <c r="K407" s="2234" t="str">
        <v>PWT年频估计／市场汇率口径，不保证与纽约日度年均报价一致。
年频；PWT market+estimated。欧元成员国历史数据须还原当年币种。</v>
      </c>
      <c r="L407" s="2234" t="str">
        <v>原报价已按 1 美元兑换本币表示。</v>
      </c>
      <c r="M407" s="2234" t="str">
        <v>1953|印度卢比（INR）</v>
      </c>
      <c r="N407" s="2234" t="str">
        <v>印度卢比（INR）</v>
      </c>
      <c r="O407" s="2239" t="n">
        <v>4.76289987976872</v>
      </c>
      <c r="P407" s="2234" t="str">
        <v>LCU/USD</v>
      </c>
      <c r="Q407" s="2239" t="n">
        <v>1</v>
      </c>
      <c r="R407" s="2234" t="str">
        <v>B：研究数据库年频估计</v>
      </c>
      <c r="S407" s="2234" t="str">
        <v>年度汇率!J39；原始记录!A283:M283</v>
      </c>
      <c r="T407" s="2234" t="str"/>
      <c r="U407" t="n" s="2231">
        <v>1959</v>
      </c>
      <c r="V407" t="str" s="2231">
        <v>加拿大元（CAD）</v>
      </c>
    </row>
    <row r="408" ht="48.0" customHeight="1">
      <c r="A408" s="2234" t="n">
        <v>1953</v>
      </c>
      <c r="B408" s="2234" t="str">
        <v>SUR_1947</v>
      </c>
      <c r="C408" s="2234" t="str">
        <v>苏联卢布（1947币制）</v>
      </c>
      <c r="D408" s="2234" t="str">
        <v>可用</v>
      </c>
      <c r="E408" s="2238" t="n">
        <v>4</v>
      </c>
      <c r="F408" s="2234" t="str">
        <v>官价区间参考（非年均）</v>
      </c>
      <c r="G408" s="2234" t="str">
        <v>苏联卢布历史官价表（Wikipedia转引俄央行历史档案）</v>
      </c>
      <c r="H408" s="2234" t="str">
        <v>https://en.wikipedia.org/wiki/Soviet_ruble#Exchange_rates</v>
      </c>
      <c r="I408" s="2234" t="str">
        <v>1950-03-01—1960-12-01</v>
      </c>
      <c r="J408" s="2234" t="str">
        <v>historical_exchange_rates_1920_2026.xlsx</v>
      </c>
      <c r="K408"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408" s="2234" t="str">
        <v>原报价已按 1 美元兑换本币表示。</v>
      </c>
      <c r="M408" s="2234" t="str">
        <v>1953|苏联卢布（1947币制）</v>
      </c>
      <c r="N408" s="2234" t="str">
        <v>苏联卢布（1947币制）</v>
      </c>
      <c r="O408" s="2239" t="n">
        <v>4</v>
      </c>
      <c r="P408" s="2234" t="str">
        <v>LCU/USD</v>
      </c>
      <c r="Q408" s="2239" t="n">
        <v>1</v>
      </c>
      <c r="R408" s="2234" t="str">
        <v>C：二手转引（原档未复核）</v>
      </c>
      <c r="S408" s="2234" t="str">
        <v>年度汇率!K39；原始记录!A284:M284</v>
      </c>
      <c r="T408" s="2234" t="str">
        <v>官价参考，并非市场年均汇率</v>
      </c>
      <c r="U408" t="n" s="2231">
        <v>1959</v>
      </c>
      <c r="V408" t="str" s="2231">
        <v>法国旧法郎</v>
      </c>
    </row>
    <row r="409" ht="24.0" customHeight="1">
      <c r="A409" s="2234" t="n">
        <v>1953</v>
      </c>
      <c r="B409" s="2234" t="str">
        <v>CNY_OLD</v>
      </c>
      <c r="C409" s="2234" t="str">
        <v>第一套人民币元（旧币）</v>
      </c>
      <c r="D409" s="2234" t="str">
        <v>可用</v>
      </c>
      <c r="E409" s="2238" t="n">
        <v>24618.0842198822</v>
      </c>
      <c r="F409" s="2234" t="str">
        <v>年频（市场／估计）</v>
      </c>
      <c r="G409" s="2234" t="str">
        <v>PWT 11.0 / FRED：中国</v>
      </c>
      <c r="H409" s="2234" t="str">
        <v>https://fred.stlouisfed.org/data/XRNCUSCNA618NRUG</v>
      </c>
      <c r="I409" s="2234" t="str">
        <v>1953-01-01—1953-12-31</v>
      </c>
      <c r="J409" s="2234" t="str">
        <v>historical_exchange_rates_1920_2026.xlsx</v>
      </c>
      <c r="K409" s="2234" t="str">
        <v>PWT年频估计／市场汇率口径，不保证与纽约日度年均报价一致。
1952—1954按1955年币改前旧人民币单位还原；1955年全年统一用第二套人民币元。</v>
      </c>
      <c r="L409" s="2234" t="str">
        <v>原报价已按 1 美元兑换本币表示。乘以 10000，还原当年币制的计价单位。</v>
      </c>
      <c r="M409" s="2234" t="str">
        <v>1953|第一套人民币元（旧币）</v>
      </c>
      <c r="N409" s="2234" t="str">
        <v>第一套人民币元（旧币）</v>
      </c>
      <c r="O409" s="2239" t="n">
        <v>2.46180842198822</v>
      </c>
      <c r="P409" s="2234" t="str">
        <v>LCU/USD</v>
      </c>
      <c r="Q409" s="2239" t="n">
        <v>10000</v>
      </c>
      <c r="R409" s="2234" t="str">
        <v>B：研究数据库年频估计</v>
      </c>
      <c r="S409" s="2234" t="str">
        <v>年度汇率!L39；原始记录!A285:M285</v>
      </c>
      <c r="T409" s="2234" t="str"/>
      <c r="U409" t="n" s="2231">
        <v>1959</v>
      </c>
      <c r="V409" t="str" s="2231">
        <v>西德德国马克（DEM）</v>
      </c>
    </row>
    <row r="410" ht="15.0" customHeight="1">
      <c r="A410" s="2234" t="n">
        <v>1954</v>
      </c>
      <c r="B410" s="2234" t="str">
        <v>USD</v>
      </c>
      <c r="C410" s="2234" t="str">
        <v>美元（USD）</v>
      </c>
      <c r="D410" s="2234" t="str">
        <v>可用</v>
      </c>
      <c r="E410" s="2238" t="n">
        <v>1</v>
      </c>
      <c r="F410" s="2234" t="str">
        <v>基准恒等</v>
      </c>
      <c r="G410" s="2234" t="str">
        <v>用户提供的历史汇率表</v>
      </c>
      <c r="H410" s="2234" t="str"/>
      <c r="I410" s="2234" t="str">
        <v>1954</v>
      </c>
      <c r="J410" s="2234" t="str">
        <v>historical_exchange_rates_1920_2026.xlsx</v>
      </c>
      <c r="K410" s="2234" t="str">
        <v>1 美元等于 1 美元，无外部报价。</v>
      </c>
      <c r="L410" s="2234" t="str">
        <v>美元基准，汇率恒为 1。</v>
      </c>
      <c r="M410" s="2234" t="str">
        <v>1954|美元（USD）</v>
      </c>
      <c r="N410" s="2234" t="str">
        <v>美元（USD）</v>
      </c>
      <c r="O410" s="2239"/>
      <c r="P410" s="2234" t="str"/>
      <c r="Q410" s="2239"/>
      <c r="R410" s="2234" t="str"/>
      <c r="S410" s="2234" t="str">
        <v>年度汇率!B40</v>
      </c>
      <c r="T410" s="2234" t="str"/>
      <c r="U410" t="n" s="2231">
        <v>1959</v>
      </c>
      <c r="V410" t="str" s="2231">
        <v>意大利里拉（ITL）</v>
      </c>
    </row>
    <row r="411" ht="24.0" customHeight="1">
      <c r="A411" s="2234" t="n">
        <v>1954</v>
      </c>
      <c r="B411" s="2234" t="str">
        <v>GBP</v>
      </c>
      <c r="C411" s="2234" t="str">
        <v>英镑（GBP）</v>
      </c>
      <c r="D411" s="2234" t="str">
        <v>可用</v>
      </c>
      <c r="E411" s="2238" t="n">
        <v>0.357271356210102</v>
      </c>
      <c r="F411" s="2234" t="str">
        <v>年频（市场／估计）</v>
      </c>
      <c r="G411" s="2234" t="str">
        <v>PWT 11.0 / FRED：市场及估计汇率 GBP</v>
      </c>
      <c r="H411" s="2234" t="str">
        <v>https://fred.stlouisfed.org/data/XRNCUSGBA618NRUG</v>
      </c>
      <c r="I411" s="2234" t="str">
        <v>1954-01-01—1954-12-31</v>
      </c>
      <c r="J411" s="2234" t="str">
        <v>historical_exchange_rates_1920_2026.xlsx</v>
      </c>
      <c r="K411" s="2234" t="str">
        <v>PWT年频估计／市场汇率口径，不保证与纽约日度年均报价一致。
年频；PWT market+estimated。欧元成员国历史数据须还原当年币种。</v>
      </c>
      <c r="L411" s="2234" t="str">
        <v>原报价已按 1 美元兑换本币表示。</v>
      </c>
      <c r="M411" s="2234" t="str">
        <v>1954|英镑（GBP）</v>
      </c>
      <c r="N411" s="2234" t="str">
        <v>英镑（GBP）</v>
      </c>
      <c r="O411" s="2239" t="n">
        <v>0.357271356210102</v>
      </c>
      <c r="P411" s="2234" t="str">
        <v>LCU/USD</v>
      </c>
      <c r="Q411" s="2239" t="n">
        <v>1</v>
      </c>
      <c r="R411" s="2234" t="str">
        <v>B：研究数据库年频估计</v>
      </c>
      <c r="S411" s="2234" t="str">
        <v>年度汇率!C40；原始记录!A286:M286</v>
      </c>
      <c r="T411" s="2234" t="str"/>
      <c r="U411" t="n" s="2231">
        <v>1959</v>
      </c>
      <c r="V411" t="str" s="2231">
        <v>日元（JPY）</v>
      </c>
    </row>
    <row r="412" ht="24.0" customHeight="1">
      <c r="A412" s="2234" t="n">
        <v>1954</v>
      </c>
      <c r="B412" s="2234" t="str">
        <v>CAD</v>
      </c>
      <c r="C412" s="2234" t="str">
        <v>加拿大元（CAD）</v>
      </c>
      <c r="D412" s="2234" t="str">
        <v>可用</v>
      </c>
      <c r="E412" s="2238" t="n">
        <v>0.975426490830591</v>
      </c>
      <c r="F412" s="2234" t="str">
        <v>年频（市场／估计）</v>
      </c>
      <c r="G412" s="2234" t="str">
        <v>PWT 11.0 / FRED：市场及估计汇率 CAD</v>
      </c>
      <c r="H412" s="2234" t="str">
        <v>https://fred.stlouisfed.org/data/XRNCUSCAA618NRUG</v>
      </c>
      <c r="I412" s="2234" t="str">
        <v>1954-01-01—1954-12-31</v>
      </c>
      <c r="J412" s="2234" t="str">
        <v>historical_exchange_rates_1920_2026.xlsx</v>
      </c>
      <c r="K412" s="2234" t="str">
        <v>PWT年频估计／市场汇率口径，不保证与纽约日度年均报价一致。
年频；PWT market+estimated。欧元成员国历史数据须还原当年币种。</v>
      </c>
      <c r="L412" s="2234" t="str">
        <v>原报价已按 1 美元兑换本币表示。</v>
      </c>
      <c r="M412" s="2234" t="str">
        <v>1954|加拿大元（CAD）</v>
      </c>
      <c r="N412" s="2234" t="str">
        <v>加拿大元（CAD）</v>
      </c>
      <c r="O412" s="2239" t="n">
        <v>0.975426490830591</v>
      </c>
      <c r="P412" s="2234" t="str">
        <v>LCU/USD</v>
      </c>
      <c r="Q412" s="2239" t="n">
        <v>1</v>
      </c>
      <c r="R412" s="2234" t="str">
        <v>B：研究数据库年频估计</v>
      </c>
      <c r="S412" s="2234" t="str">
        <v>年度汇率!D40；原始记录!A287:M287</v>
      </c>
      <c r="T412" s="2234" t="str"/>
      <c r="U412" t="n" s="2231">
        <v>1959</v>
      </c>
      <c r="V412" t="str" s="2231">
        <v>瑞士法郎（CHF）</v>
      </c>
    </row>
    <row r="413" ht="36.0" customHeight="1">
      <c r="A413" s="2234" t="n">
        <v>1954</v>
      </c>
      <c r="B413" s="2234" t="str">
        <v>FRF_OLD</v>
      </c>
      <c r="C413" s="2234" t="str">
        <v>法国旧法郎</v>
      </c>
      <c r="D413" s="2234" t="str">
        <v>可用</v>
      </c>
      <c r="E413" s="2238" t="n">
        <v>350.0049444884567</v>
      </c>
      <c r="F413" s="2234" t="str">
        <v>年频（市场／估计）</v>
      </c>
      <c r="G413" s="2234" t="str">
        <v>PWT 11.0 / FRED：市场及估计汇率 FR</v>
      </c>
      <c r="H413" s="2234" t="str">
        <v>https://fred.stlouisfed.org/data/XRNCUSFRA618NRUG</v>
      </c>
      <c r="I413" s="2234" t="str">
        <v>1954-01-01—1954-12-31</v>
      </c>
      <c r="J413" s="2234" t="str">
        <v>historical_exchange_rates_1920_2026.xlsx</v>
      </c>
      <c r="K413" s="2234" t="str">
        <v>欧元回溯单位按不可撤销转换率还原；法国1960年前另乘100。 PWT年频估计／市场汇率口径，不保证与纽约日度年均报价一致。
年频；PWT market+estimated。欧元成员国历史数据须还原当年币种。</v>
      </c>
      <c r="L413" s="2234" t="str">
        <v>原报价已按 1 美元兑换本币表示。乘以 655.957，还原当年币制的计价单位。</v>
      </c>
      <c r="M413" s="2234" t="str">
        <v>1954|法国旧法郎</v>
      </c>
      <c r="N413" s="2234" t="str">
        <v>法国旧法郎</v>
      </c>
      <c r="O413" s="2239" t="n">
        <v>0.533579098154996</v>
      </c>
      <c r="P413" s="2234" t="str">
        <v>LCU/USD</v>
      </c>
      <c r="Q413" s="2239" t="n">
        <v>655.957</v>
      </c>
      <c r="R413" s="2234" t="str">
        <v>B：研究数据库年频估计</v>
      </c>
      <c r="S413" s="2234" t="str">
        <v>年度汇率!E40；原始记录!A288:M288</v>
      </c>
      <c r="T413" s="2234" t="str"/>
      <c r="U413" t="n" s="2231">
        <v>1959</v>
      </c>
      <c r="V413" t="str" s="2231">
        <v>印度卢比（INR）</v>
      </c>
    </row>
    <row r="414" ht="36.0" customHeight="1">
      <c r="A414" s="2234" t="n">
        <v>1954</v>
      </c>
      <c r="B414" s="2234" t="str">
        <v>DEM</v>
      </c>
      <c r="C414" s="2234" t="str">
        <v>西德德国马克（DEM）</v>
      </c>
      <c r="D414" s="2234" t="str">
        <v>可用</v>
      </c>
      <c r="E414" s="2238" t="n">
        <v>4.199999713823369</v>
      </c>
      <c r="F414" s="2234" t="str">
        <v>年频（市场／估计）</v>
      </c>
      <c r="G414" s="2234" t="str">
        <v>PWT 11.0 / FRED：市场及估计汇率 DE</v>
      </c>
      <c r="H414" s="2234" t="str">
        <v>https://fred.stlouisfed.org/data/XRNCUSDEA618NRUG</v>
      </c>
      <c r="I414" s="2234" t="str">
        <v>1954-01-01—1954-12-31</v>
      </c>
      <c r="J414" s="2234" t="str">
        <v>historical_exchange_rates_1920_2026.xlsx</v>
      </c>
      <c r="K414" s="2234" t="str">
        <v>欧元回溯单位按不可撤销转换率还原；法国1960年前另乘100。 PWT年频估计／市场汇率口径，不保证与纽约日度年均报价一致。
年频；PWT market+estimated。欧元成员国历史数据须还原当年币种。</v>
      </c>
      <c r="L414" s="2234" t="str">
        <v>原报价已按 1 美元兑换本币表示。乘以 1.95583，还原当年币制的计价单位。</v>
      </c>
      <c r="M414" s="2234" t="str">
        <v>1954|西德德国马克（DEM）</v>
      </c>
      <c r="N414" s="2234" t="str">
        <v>西德德国马克（DEM）</v>
      </c>
      <c r="O414" s="2239" t="n">
        <v>2.14742575470433</v>
      </c>
      <c r="P414" s="2234" t="str">
        <v>LCU/USD</v>
      </c>
      <c r="Q414" s="2239" t="n">
        <v>1.95583</v>
      </c>
      <c r="R414" s="2234" t="str">
        <v>B：研究数据库年频估计</v>
      </c>
      <c r="S414" s="2234" t="str">
        <v>年度汇率!F40、年度汇率!M40；原始记录!A289:M289</v>
      </c>
      <c r="T414" s="2234" t="str"/>
      <c r="U414" t="n" s="2231">
        <v>1959</v>
      </c>
      <c r="V414" t="str" s="2231">
        <v>苏联卢布（1947币制）</v>
      </c>
    </row>
    <row r="415" ht="36.0" customHeight="1">
      <c r="A415" s="2234" t="n">
        <v>1954</v>
      </c>
      <c r="B415" s="2234" t="str">
        <v>ITL</v>
      </c>
      <c r="C415" s="2234" t="str">
        <v>意大利里拉（ITL）</v>
      </c>
      <c r="D415" s="2234" t="str">
        <v>可用</v>
      </c>
      <c r="E415" s="2238" t="n">
        <v>623.8865183104361</v>
      </c>
      <c r="F415" s="2234" t="str">
        <v>年频（市场／估计）</v>
      </c>
      <c r="G415" s="2234" t="str">
        <v>PWT 11.0 / FRED：市场及估计汇率 IT</v>
      </c>
      <c r="H415" s="2234" t="str">
        <v>https://fred.stlouisfed.org/data/XRNCUSITA618NRUG</v>
      </c>
      <c r="I415" s="2234" t="str">
        <v>1954-01-01—1954-12-31</v>
      </c>
      <c r="J415" s="2234" t="str">
        <v>historical_exchange_rates_1920_2026.xlsx</v>
      </c>
      <c r="K415" s="2234" t="str">
        <v>欧元回溯单位按不可撤销转换率还原；法国1960年前另乘100。 PWT年频估计／市场汇率口径，不保证与纽约日度年均报价一致。
年频；PWT market+estimated。欧元成员国历史数据须还原当年币种。</v>
      </c>
      <c r="L415" s="2234" t="str">
        <v>原报价已按 1 美元兑换本币表示。乘以 1936.27，还原当年币制的计价单位。</v>
      </c>
      <c r="M415" s="2234" t="str">
        <v>1954|意大利里拉（ITL）</v>
      </c>
      <c r="N415" s="2234" t="str">
        <v>意大利里拉（ITL）</v>
      </c>
      <c r="O415" s="2239" t="n">
        <v>0.322210496630344</v>
      </c>
      <c r="P415" s="2234" t="str">
        <v>LCU/USD</v>
      </c>
      <c r="Q415" s="2239" t="n">
        <v>1936.27</v>
      </c>
      <c r="R415" s="2234" t="str">
        <v>B：研究数据库年频估计</v>
      </c>
      <c r="S415" s="2234" t="str">
        <v>年度汇率!G40；原始记录!A290:M290</v>
      </c>
      <c r="T415" s="2234" t="str"/>
      <c r="U415" t="n" s="2231">
        <v>1959</v>
      </c>
      <c r="V415" t="str" s="2231">
        <v>人民币元（1955币制；CNY）</v>
      </c>
    </row>
    <row r="416" ht="24.0" customHeight="1">
      <c r="A416" s="2234" t="n">
        <v>1954</v>
      </c>
      <c r="B416" s="2234" t="str">
        <v>JPY</v>
      </c>
      <c r="C416" s="2234" t="str">
        <v>日元（JPY）</v>
      </c>
      <c r="D416" s="2234" t="str">
        <v>可用</v>
      </c>
      <c r="E416" s="2238" t="n">
        <v>360.000000359</v>
      </c>
      <c r="F416" s="2234" t="str">
        <v>年频（市场／估计）</v>
      </c>
      <c r="G416" s="2234" t="str">
        <v>PWT 11.0 / FRED：日本</v>
      </c>
      <c r="H416" s="2234" t="str">
        <v>https://fred.stlouisfed.org/data/XRNCUSJPA618NRUG</v>
      </c>
      <c r="I416" s="2234" t="str">
        <v>1954-01-01—1954-12-31</v>
      </c>
      <c r="J416" s="2234" t="str">
        <v>historical_exchange_rates_1920_2026.xlsx</v>
      </c>
      <c r="K416" s="2234" t="str">
        <v>PWT年频估计／市场汇率口径，不保证与纽约日度年均报价一致。
年频市场／估计值。</v>
      </c>
      <c r="L416" s="2234" t="str">
        <v>原报价已按 1 美元兑换本币表示。</v>
      </c>
      <c r="M416" s="2234" t="str">
        <v>1954|日元（JPY）</v>
      </c>
      <c r="N416" s="2234" t="str">
        <v>日元（JPY）</v>
      </c>
      <c r="O416" s="2239" t="n">
        <v>360.000000359</v>
      </c>
      <c r="P416" s="2234" t="str">
        <v>LCU/USD</v>
      </c>
      <c r="Q416" s="2239" t="n">
        <v>1</v>
      </c>
      <c r="R416" s="2234" t="str">
        <v>B：研究数据库年频估计</v>
      </c>
      <c r="S416" s="2234" t="str">
        <v>年度汇率!H40；原始记录!A291:M291</v>
      </c>
      <c r="T416" s="2234" t="str"/>
      <c r="U416" t="n" s="2231">
        <v>1960</v>
      </c>
      <c r="V416" t="str" s="2231">
        <v>美元（USD）</v>
      </c>
    </row>
    <row r="417" ht="15.0" customHeight="1">
      <c r="A417" s="2234" t="n">
        <v>1954</v>
      </c>
      <c r="B417" s="2234" t="str">
        <v>CHF</v>
      </c>
      <c r="C417" s="2234" t="str">
        <v>瑞士法郎（CHF）</v>
      </c>
      <c r="D417" s="2234" t="str">
        <v>可用</v>
      </c>
      <c r="E417" s="2238" t="n">
        <v>4.2878</v>
      </c>
      <c r="F417" s="2234" t="str">
        <v>年均</v>
      </c>
      <c r="G417" s="2234" t="str">
        <v>MeasuringWorth：瑞士年均汇率</v>
      </c>
      <c r="H417" s="2234" t="str">
        <v>https://www.measuringworth.com/datasets/exchangeglobal/result.php?countryE%5B%5D=Switzerland&amp;year_result=1955&amp;year_source=1905</v>
      </c>
      <c r="I417" s="2234" t="str">
        <v>1954-01-01—1954-12-31</v>
      </c>
      <c r="J417" s="2234" t="str">
        <v>historical_exchange_rates_1920_2026.xlsx</v>
      </c>
      <c r="K417" s="2234" t="str">
        <v>纽约市场；1941仅上半年报价，1942–1945原表无值。</v>
      </c>
      <c r="L417" s="2234" t="str">
        <v>原报价已按 1 美元兑换本币表示。</v>
      </c>
      <c r="M417" s="2234" t="str">
        <v>1954|瑞士法郎（CHF）</v>
      </c>
      <c r="N417" s="2234" t="str">
        <v>瑞士法郎（CHF）</v>
      </c>
      <c r="O417" s="2239" t="n">
        <v>4.2878</v>
      </c>
      <c r="P417" s="2234" t="str">
        <v>LCU/USD</v>
      </c>
      <c r="Q417" s="2239" t="n">
        <v>1</v>
      </c>
      <c r="R417" s="2234" t="str">
        <v>B：学术历史汇编</v>
      </c>
      <c r="S417" s="2234" t="str">
        <v>年度汇率!I40；原始记录!A292:M292</v>
      </c>
      <c r="T417" s="2234" t="str"/>
      <c r="U417" t="n" s="2231">
        <v>1960</v>
      </c>
      <c r="V417" t="str" s="2231">
        <v>英镑（GBP）</v>
      </c>
    </row>
    <row r="418" ht="24.0" customHeight="1">
      <c r="A418" s="2234" t="n">
        <v>1954</v>
      </c>
      <c r="B418" s="2234" t="str">
        <v>INR</v>
      </c>
      <c r="C418" s="2234" t="str">
        <v>印度卢比（INR）</v>
      </c>
      <c r="D418" s="2234" t="str">
        <v>可用</v>
      </c>
      <c r="E418" s="2238" t="n">
        <v>4.76289987976872</v>
      </c>
      <c r="F418" s="2234" t="str">
        <v>年频（市场／估计）</v>
      </c>
      <c r="G418" s="2234" t="str">
        <v>PWT 11.0 / FRED：市场及估计汇率 INR</v>
      </c>
      <c r="H418" s="2234" t="str">
        <v>https://fred.stlouisfed.org/data/XRNCUSINA618NRUG</v>
      </c>
      <c r="I418" s="2234" t="str">
        <v>1954-01-01—1954-12-31</v>
      </c>
      <c r="J418" s="2234" t="str">
        <v>historical_exchange_rates_1920_2026.xlsx</v>
      </c>
      <c r="K418" s="2234" t="str">
        <v>PWT年频估计／市场汇率口径，不保证与纽约日度年均报价一致。
年频；PWT market+estimated。欧元成员国历史数据须还原当年币种。</v>
      </c>
      <c r="L418" s="2234" t="str">
        <v>原报价已按 1 美元兑换本币表示。</v>
      </c>
      <c r="M418" s="2234" t="str">
        <v>1954|印度卢比（INR）</v>
      </c>
      <c r="N418" s="2234" t="str">
        <v>印度卢比（INR）</v>
      </c>
      <c r="O418" s="2239" t="n">
        <v>4.76289987976872</v>
      </c>
      <c r="P418" s="2234" t="str">
        <v>LCU/USD</v>
      </c>
      <c r="Q418" s="2239" t="n">
        <v>1</v>
      </c>
      <c r="R418" s="2234" t="str">
        <v>B：研究数据库年频估计</v>
      </c>
      <c r="S418" s="2234" t="str">
        <v>年度汇率!J40；原始记录!A293:M293</v>
      </c>
      <c r="T418" s="2234" t="str"/>
      <c r="U418" t="n" s="2231">
        <v>1960</v>
      </c>
      <c r="V418" t="str" s="2231">
        <v>加拿大元（CAD）</v>
      </c>
    </row>
    <row r="419" ht="48.0" customHeight="1">
      <c r="A419" s="2234" t="n">
        <v>1954</v>
      </c>
      <c r="B419" s="2234" t="str">
        <v>SUR_1947</v>
      </c>
      <c r="C419" s="2234" t="str">
        <v>苏联卢布（1947币制）</v>
      </c>
      <c r="D419" s="2234" t="str">
        <v>可用</v>
      </c>
      <c r="E419" s="2238" t="n">
        <v>4</v>
      </c>
      <c r="F419" s="2234" t="str">
        <v>官价区间参考（非年均）</v>
      </c>
      <c r="G419" s="2234" t="str">
        <v>苏联卢布历史官价表（Wikipedia转引俄央行历史档案）</v>
      </c>
      <c r="H419" s="2234" t="str">
        <v>https://en.wikipedia.org/wiki/Soviet_ruble#Exchange_rates</v>
      </c>
      <c r="I419" s="2234" t="str">
        <v>1950-03-01—1960-12-01</v>
      </c>
      <c r="J419" s="2234" t="str">
        <v>historical_exchange_rates_1920_2026.xlsx</v>
      </c>
      <c r="K419"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419" s="2234" t="str">
        <v>原报价已按 1 美元兑换本币表示。</v>
      </c>
      <c r="M419" s="2234" t="str">
        <v>1954|苏联卢布（1947币制）</v>
      </c>
      <c r="N419" s="2234" t="str">
        <v>苏联卢布（1947币制）</v>
      </c>
      <c r="O419" s="2239" t="n">
        <v>4</v>
      </c>
      <c r="P419" s="2234" t="str">
        <v>LCU/USD</v>
      </c>
      <c r="Q419" s="2239" t="n">
        <v>1</v>
      </c>
      <c r="R419" s="2234" t="str">
        <v>C：二手转引（原档未复核）</v>
      </c>
      <c r="S419" s="2234" t="str">
        <v>年度汇率!K40；原始记录!A294:M294</v>
      </c>
      <c r="T419" s="2234" t="str">
        <v>官价参考，并非市场年均汇率</v>
      </c>
      <c r="U419" t="n" s="2231">
        <v>1960</v>
      </c>
      <c r="V419" t="str" s="2231">
        <v>法国新法郎</v>
      </c>
    </row>
    <row r="420" ht="24.0" customHeight="1">
      <c r="A420" s="2234" t="n">
        <v>1954</v>
      </c>
      <c r="B420" s="2234" t="str">
        <v>CNY_OLD</v>
      </c>
      <c r="C420" s="2234" t="str">
        <v>第一套人民币元（旧币）</v>
      </c>
      <c r="D420" s="2234" t="str">
        <v>可用</v>
      </c>
      <c r="E420" s="2238" t="n">
        <v>24618.0842198822</v>
      </c>
      <c r="F420" s="2234" t="str">
        <v>年频（市场／估计）</v>
      </c>
      <c r="G420" s="2234" t="str">
        <v>PWT 11.0 / FRED：中国</v>
      </c>
      <c r="H420" s="2234" t="str">
        <v>https://fred.stlouisfed.org/data/XRNCUSCNA618NRUG</v>
      </c>
      <c r="I420" s="2234" t="str">
        <v>1954-01-01—1954-12-31</v>
      </c>
      <c r="J420" s="2234" t="str">
        <v>historical_exchange_rates_1920_2026.xlsx</v>
      </c>
      <c r="K420" s="2234" t="str">
        <v>PWT年频估计／市场汇率口径，不保证与纽约日度年均报价一致。
1952—1954按1955年币改前旧人民币单位还原；1955年全年统一用第二套人民币元。</v>
      </c>
      <c r="L420" s="2234" t="str">
        <v>原报价已按 1 美元兑换本币表示。乘以 10000，还原当年币制的计价单位。</v>
      </c>
      <c r="M420" s="2234" t="str">
        <v>1954|第一套人民币元（旧币）</v>
      </c>
      <c r="N420" s="2234" t="str">
        <v>第一套人民币元（旧币）</v>
      </c>
      <c r="O420" s="2239" t="n">
        <v>2.46180842198822</v>
      </c>
      <c r="P420" s="2234" t="str">
        <v>LCU/USD</v>
      </c>
      <c r="Q420" s="2239" t="n">
        <v>10000</v>
      </c>
      <c r="R420" s="2234" t="str">
        <v>B：研究数据库年频估计</v>
      </c>
      <c r="S420" s="2234" t="str">
        <v>年度汇率!L40；原始记录!A295:M295</v>
      </c>
      <c r="T420" s="2234" t="str"/>
      <c r="U420" t="n" s="2231">
        <v>1960</v>
      </c>
      <c r="V420" t="str" s="2231">
        <v>西德德国马克（DEM）</v>
      </c>
    </row>
    <row r="421" ht="15.0" customHeight="1">
      <c r="A421" s="2234" t="n">
        <v>1955</v>
      </c>
      <c r="B421" s="2234" t="str">
        <v>USD</v>
      </c>
      <c r="C421" s="2234" t="str">
        <v>美元（USD）</v>
      </c>
      <c r="D421" s="2234" t="str">
        <v>可用</v>
      </c>
      <c r="E421" s="2238" t="n">
        <v>1</v>
      </c>
      <c r="F421" s="2234" t="str">
        <v>基准恒等</v>
      </c>
      <c r="G421" s="2234" t="str">
        <v>用户提供的历史汇率表</v>
      </c>
      <c r="H421" s="2234" t="str"/>
      <c r="I421" s="2234" t="str">
        <v>1955</v>
      </c>
      <c r="J421" s="2234" t="str">
        <v>historical_exchange_rates_1920_2026.xlsx</v>
      </c>
      <c r="K421" s="2234" t="str">
        <v>1 美元等于 1 美元，无外部报价。</v>
      </c>
      <c r="L421" s="2234" t="str">
        <v>美元基准，汇率恒为 1。</v>
      </c>
      <c r="M421" s="2234" t="str">
        <v>1955|美元（USD）</v>
      </c>
      <c r="N421" s="2234" t="str">
        <v>美元（USD）</v>
      </c>
      <c r="O421" s="2239"/>
      <c r="P421" s="2234" t="str"/>
      <c r="Q421" s="2239"/>
      <c r="R421" s="2234" t="str"/>
      <c r="S421" s="2234" t="str">
        <v>年度汇率!B41</v>
      </c>
      <c r="T421" s="2234" t="str"/>
      <c r="U421" t="n" s="2231">
        <v>1960</v>
      </c>
      <c r="V421" t="str" s="2231">
        <v>意大利里拉（ITL）</v>
      </c>
    </row>
    <row r="422" ht="24.0" customHeight="1">
      <c r="A422" s="2234" t="n">
        <v>1955</v>
      </c>
      <c r="B422" s="2234" t="str">
        <v>GBP</v>
      </c>
      <c r="C422" s="2234" t="str">
        <v>英镑（GBP）</v>
      </c>
      <c r="D422" s="2234" t="str">
        <v>可用</v>
      </c>
      <c r="E422" s="2238" t="n">
        <v>0.357271356210102</v>
      </c>
      <c r="F422" s="2234" t="str">
        <v>年频（市场／估计）</v>
      </c>
      <c r="G422" s="2234" t="str">
        <v>PWT 11.0 / FRED：市场及估计汇率 GBP</v>
      </c>
      <c r="H422" s="2234" t="str">
        <v>https://fred.stlouisfed.org/data/XRNCUSGBA618NRUG</v>
      </c>
      <c r="I422" s="2234" t="str">
        <v>1955-01-01—1955-12-31</v>
      </c>
      <c r="J422" s="2234" t="str">
        <v>historical_exchange_rates_1920_2026.xlsx</v>
      </c>
      <c r="K422" s="2234" t="str">
        <v>PWT年频估计／市场汇率口径，不保证与纽约日度年均报价一致。
年频；PWT market+estimated。欧元成员国历史数据须还原当年币种。</v>
      </c>
      <c r="L422" s="2234" t="str">
        <v>原报价已按 1 美元兑换本币表示。</v>
      </c>
      <c r="M422" s="2234" t="str">
        <v>1955|英镑（GBP）</v>
      </c>
      <c r="N422" s="2234" t="str">
        <v>英镑（GBP）</v>
      </c>
      <c r="O422" s="2239" t="n">
        <v>0.357271356210102</v>
      </c>
      <c r="P422" s="2234" t="str">
        <v>LCU/USD</v>
      </c>
      <c r="Q422" s="2239" t="n">
        <v>1</v>
      </c>
      <c r="R422" s="2234" t="str">
        <v>B：研究数据库年频估计</v>
      </c>
      <c r="S422" s="2234" t="str">
        <v>年度汇率!C41；原始记录!A296:M296</v>
      </c>
      <c r="T422" s="2234" t="str"/>
      <c r="U422" t="n" s="2231">
        <v>1960</v>
      </c>
      <c r="V422" t="str" s="2231">
        <v>日元（JPY）</v>
      </c>
    </row>
    <row r="423" ht="24.0" customHeight="1">
      <c r="A423" s="2234" t="n">
        <v>1955</v>
      </c>
      <c r="B423" s="2234" t="str">
        <v>CAD</v>
      </c>
      <c r="C423" s="2234" t="str">
        <v>加拿大元（CAD）</v>
      </c>
      <c r="D423" s="2234" t="str">
        <v>可用</v>
      </c>
      <c r="E423" s="2238" t="n">
        <v>0.988247723050954</v>
      </c>
      <c r="F423" s="2234" t="str">
        <v>年频（市场／估计）</v>
      </c>
      <c r="G423" s="2234" t="str">
        <v>PWT 11.0 / FRED：市场及估计汇率 CAD</v>
      </c>
      <c r="H423" s="2234" t="str">
        <v>https://fred.stlouisfed.org/data/XRNCUSCAA618NRUG</v>
      </c>
      <c r="I423" s="2234" t="str">
        <v>1955-01-01—1955-12-31</v>
      </c>
      <c r="J423" s="2234" t="str">
        <v>historical_exchange_rates_1920_2026.xlsx</v>
      </c>
      <c r="K423" s="2234" t="str">
        <v>PWT年频估计／市场汇率口径，不保证与纽约日度年均报价一致。
年频；PWT market+estimated。欧元成员国历史数据须还原当年币种。</v>
      </c>
      <c r="L423" s="2234" t="str">
        <v>原报价已按 1 美元兑换本币表示。</v>
      </c>
      <c r="M423" s="2234" t="str">
        <v>1955|加拿大元（CAD）</v>
      </c>
      <c r="N423" s="2234" t="str">
        <v>加拿大元（CAD）</v>
      </c>
      <c r="O423" s="2239" t="n">
        <v>0.988247723050954</v>
      </c>
      <c r="P423" s="2234" t="str">
        <v>LCU/USD</v>
      </c>
      <c r="Q423" s="2239" t="n">
        <v>1</v>
      </c>
      <c r="R423" s="2234" t="str">
        <v>B：研究数据库年频估计</v>
      </c>
      <c r="S423" s="2234" t="str">
        <v>年度汇率!D41；原始记录!A297:M297</v>
      </c>
      <c r="T423" s="2234" t="str"/>
      <c r="U423" t="n" s="2231">
        <v>1960</v>
      </c>
      <c r="V423" t="str" s="2231">
        <v>瑞士法郎（CHF）</v>
      </c>
    </row>
    <row r="424" ht="36.0" customHeight="1">
      <c r="A424" s="2234" t="n">
        <v>1955</v>
      </c>
      <c r="B424" s="2234" t="str">
        <v>FRF_OLD</v>
      </c>
      <c r="C424" s="2234" t="str">
        <v>法国旧法郎</v>
      </c>
      <c r="D424" s="2234" t="str">
        <v>可用</v>
      </c>
      <c r="E424" s="2238" t="n">
        <v>350.0049444884567</v>
      </c>
      <c r="F424" s="2234" t="str">
        <v>年频（市场／估计）</v>
      </c>
      <c r="G424" s="2234" t="str">
        <v>PWT 11.0 / FRED：市场及估计汇率 FR</v>
      </c>
      <c r="H424" s="2234" t="str">
        <v>https://fred.stlouisfed.org/data/XRNCUSFRA618NRUG</v>
      </c>
      <c r="I424" s="2234" t="str">
        <v>1955-01-01—1955-12-31</v>
      </c>
      <c r="J424" s="2234" t="str">
        <v>historical_exchange_rates_1920_2026.xlsx</v>
      </c>
      <c r="K424" s="2234" t="str">
        <v>欧元回溯单位按不可撤销转换率还原；法国1960年前另乘100。 PWT年频估计／市场汇率口径，不保证与纽约日度年均报价一致。
年频；PWT market+estimated。欧元成员国历史数据须还原当年币种。</v>
      </c>
      <c r="L424" s="2234" t="str">
        <v>原报价已按 1 美元兑换本币表示。乘以 655.957，还原当年币制的计价单位。</v>
      </c>
      <c r="M424" s="2234" t="str">
        <v>1955|法国旧法郎</v>
      </c>
      <c r="N424" s="2234" t="str">
        <v>法国旧法郎</v>
      </c>
      <c r="O424" s="2239" t="n">
        <v>0.533579098154996</v>
      </c>
      <c r="P424" s="2234" t="str">
        <v>LCU/USD</v>
      </c>
      <c r="Q424" s="2239" t="n">
        <v>655.957</v>
      </c>
      <c r="R424" s="2234" t="str">
        <v>B：研究数据库年频估计</v>
      </c>
      <c r="S424" s="2234" t="str">
        <v>年度汇率!E41；原始记录!A298:M298</v>
      </c>
      <c r="T424" s="2234" t="str"/>
      <c r="U424" t="n" s="2231">
        <v>1960</v>
      </c>
      <c r="V424" t="str" s="2231">
        <v>印度卢比（INR）</v>
      </c>
    </row>
    <row r="425" ht="36.0" customHeight="1">
      <c r="A425" s="2234" t="n">
        <v>1955</v>
      </c>
      <c r="B425" s="2234" t="str">
        <v>DEM</v>
      </c>
      <c r="C425" s="2234" t="str">
        <v>西德德国马克（DEM）</v>
      </c>
      <c r="D425" s="2234" t="str">
        <v>可用</v>
      </c>
      <c r="E425" s="2238" t="n">
        <v>4.199999713823369</v>
      </c>
      <c r="F425" s="2234" t="str">
        <v>年频（市场／估计）</v>
      </c>
      <c r="G425" s="2234" t="str">
        <v>PWT 11.0 / FRED：市场及估计汇率 DE</v>
      </c>
      <c r="H425" s="2234" t="str">
        <v>https://fred.stlouisfed.org/data/XRNCUSDEA618NRUG</v>
      </c>
      <c r="I425" s="2234" t="str">
        <v>1955-01-01—1955-12-31</v>
      </c>
      <c r="J425" s="2234" t="str">
        <v>historical_exchange_rates_1920_2026.xlsx</v>
      </c>
      <c r="K425" s="2234" t="str">
        <v>欧元回溯单位按不可撤销转换率还原；法国1960年前另乘100。 PWT年频估计／市场汇率口径，不保证与纽约日度年均报价一致。
年频；PWT market+estimated。欧元成员国历史数据须还原当年币种。</v>
      </c>
      <c r="L425" s="2234" t="str">
        <v>原报价已按 1 美元兑换本币表示。乘以 1.95583，还原当年币制的计价单位。</v>
      </c>
      <c r="M425" s="2234" t="str">
        <v>1955|西德德国马克（DEM）</v>
      </c>
      <c r="N425" s="2234" t="str">
        <v>西德德国马克（DEM）</v>
      </c>
      <c r="O425" s="2239" t="n">
        <v>2.14742575470433</v>
      </c>
      <c r="P425" s="2234" t="str">
        <v>LCU/USD</v>
      </c>
      <c r="Q425" s="2239" t="n">
        <v>1.95583</v>
      </c>
      <c r="R425" s="2234" t="str">
        <v>B：研究数据库年频估计</v>
      </c>
      <c r="S425" s="2234" t="str">
        <v>年度汇率!F41、年度汇率!M41；原始记录!A299:M299</v>
      </c>
      <c r="T425" s="2234" t="str"/>
      <c r="U425" t="n" s="2231">
        <v>1960</v>
      </c>
      <c r="V425" t="str" s="2231">
        <v>苏联卢布（1947币制）</v>
      </c>
    </row>
    <row r="426" ht="36.0" customHeight="1">
      <c r="A426" s="2234" t="n">
        <v>1955</v>
      </c>
      <c r="B426" s="2234" t="str">
        <v>ITL</v>
      </c>
      <c r="C426" s="2234" t="str">
        <v>意大利里拉（ITL）</v>
      </c>
      <c r="D426" s="2234" t="str">
        <v>可用</v>
      </c>
      <c r="E426" s="2238" t="n">
        <v>623.8865183104361</v>
      </c>
      <c r="F426" s="2234" t="str">
        <v>年频（市场／估计）</v>
      </c>
      <c r="G426" s="2234" t="str">
        <v>PWT 11.0 / FRED：市场及估计汇率 IT</v>
      </c>
      <c r="H426" s="2234" t="str">
        <v>https://fred.stlouisfed.org/data/XRNCUSITA618NRUG</v>
      </c>
      <c r="I426" s="2234" t="str">
        <v>1955-01-01—1955-12-31</v>
      </c>
      <c r="J426" s="2234" t="str">
        <v>historical_exchange_rates_1920_2026.xlsx</v>
      </c>
      <c r="K426" s="2234" t="str">
        <v>欧元回溯单位按不可撤销转换率还原；法国1960年前另乘100。 PWT年频估计／市场汇率口径，不保证与纽约日度年均报价一致。
年频；PWT market+estimated。欧元成员国历史数据须还原当年币种。</v>
      </c>
      <c r="L426" s="2234" t="str">
        <v>原报价已按 1 美元兑换本币表示。乘以 1936.27，还原当年币制的计价单位。</v>
      </c>
      <c r="M426" s="2234" t="str">
        <v>1955|意大利里拉（ITL）</v>
      </c>
      <c r="N426" s="2234" t="str">
        <v>意大利里拉（ITL）</v>
      </c>
      <c r="O426" s="2239" t="n">
        <v>0.322210496630344</v>
      </c>
      <c r="P426" s="2234" t="str">
        <v>LCU/USD</v>
      </c>
      <c r="Q426" s="2239" t="n">
        <v>1936.27</v>
      </c>
      <c r="R426" s="2234" t="str">
        <v>B：研究数据库年频估计</v>
      </c>
      <c r="S426" s="2234" t="str">
        <v>年度汇率!G41；原始记录!A300:M300</v>
      </c>
      <c r="T426" s="2234" t="str"/>
      <c r="U426" t="n" s="2231">
        <v>1960</v>
      </c>
      <c r="V426" t="str" s="2231">
        <v>人民币元（1955币制；CNY）</v>
      </c>
    </row>
    <row r="427" ht="24.0" customHeight="1">
      <c r="A427" s="2234" t="n">
        <v>1955</v>
      </c>
      <c r="B427" s="2234" t="str">
        <v>JPY</v>
      </c>
      <c r="C427" s="2234" t="str">
        <v>日元（JPY）</v>
      </c>
      <c r="D427" s="2234" t="str">
        <v>可用</v>
      </c>
      <c r="E427" s="2238" t="n">
        <v>360.000000359</v>
      </c>
      <c r="F427" s="2234" t="str">
        <v>年频（市场／估计）</v>
      </c>
      <c r="G427" s="2234" t="str">
        <v>PWT 11.0 / FRED：日本</v>
      </c>
      <c r="H427" s="2234" t="str">
        <v>https://fred.stlouisfed.org/data/XRNCUSJPA618NRUG</v>
      </c>
      <c r="I427" s="2234" t="str">
        <v>1955-01-01—1955-12-31</v>
      </c>
      <c r="J427" s="2234" t="str">
        <v>historical_exchange_rates_1920_2026.xlsx</v>
      </c>
      <c r="K427" s="2234" t="str">
        <v>PWT年频估计／市场汇率口径，不保证与纽约日度年均报价一致。
年频市场／估计值。</v>
      </c>
      <c r="L427" s="2234" t="str">
        <v>原报价已按 1 美元兑换本币表示。</v>
      </c>
      <c r="M427" s="2234" t="str">
        <v>1955|日元（JPY）</v>
      </c>
      <c r="N427" s="2234" t="str">
        <v>日元（JPY）</v>
      </c>
      <c r="O427" s="2239" t="n">
        <v>360.000000359</v>
      </c>
      <c r="P427" s="2234" t="str">
        <v>LCU/USD</v>
      </c>
      <c r="Q427" s="2239" t="n">
        <v>1</v>
      </c>
      <c r="R427" s="2234" t="str">
        <v>B：研究数据库年频估计</v>
      </c>
      <c r="S427" s="2234" t="str">
        <v>年度汇率!H41；原始记录!A301:M301</v>
      </c>
      <c r="T427" s="2234" t="str"/>
      <c r="U427" t="n" s="2231">
        <v>1961</v>
      </c>
      <c r="V427" t="str" s="2231">
        <v>美元（USD）</v>
      </c>
    </row>
    <row r="428" ht="15.0" customHeight="1">
      <c r="A428" s="2234" t="n">
        <v>1955</v>
      </c>
      <c r="B428" s="2234" t="str">
        <v>CHF</v>
      </c>
      <c r="C428" s="2234" t="str">
        <v>瑞士法郎（CHF）</v>
      </c>
      <c r="D428" s="2234" t="str">
        <v>可用</v>
      </c>
      <c r="E428" s="2238" t="n">
        <v>4.2862</v>
      </c>
      <c r="F428" s="2234" t="str">
        <v>年均</v>
      </c>
      <c r="G428" s="2234" t="str">
        <v>MeasuringWorth：瑞士年均汇率</v>
      </c>
      <c r="H428" s="2234" t="str">
        <v>https://www.measuringworth.com/datasets/exchangeglobal/result.php?countryE%5B%5D=Switzerland&amp;year_result=1955&amp;year_source=1905</v>
      </c>
      <c r="I428" s="2234" t="str">
        <v>1955-01-01—1955-12-31</v>
      </c>
      <c r="J428" s="2234" t="str">
        <v>historical_exchange_rates_1920_2026.xlsx</v>
      </c>
      <c r="K428" s="2234" t="str">
        <v>纽约市场；1941仅上半年报价，1942–1945原表无值。</v>
      </c>
      <c r="L428" s="2234" t="str">
        <v>原报价已按 1 美元兑换本币表示。</v>
      </c>
      <c r="M428" s="2234" t="str">
        <v>1955|瑞士法郎（CHF）</v>
      </c>
      <c r="N428" s="2234" t="str">
        <v>瑞士法郎（CHF）</v>
      </c>
      <c r="O428" s="2239" t="n">
        <v>4.2862</v>
      </c>
      <c r="P428" s="2234" t="str">
        <v>LCU/USD</v>
      </c>
      <c r="Q428" s="2239" t="n">
        <v>1</v>
      </c>
      <c r="R428" s="2234" t="str">
        <v>B：学术历史汇编</v>
      </c>
      <c r="S428" s="2234" t="str">
        <v>年度汇率!I41；原始记录!A302:M302</v>
      </c>
      <c r="T428" s="2234" t="str"/>
      <c r="U428" t="n" s="2231">
        <v>1961</v>
      </c>
      <c r="V428" t="str" s="2231">
        <v>英镑（GBP）</v>
      </c>
    </row>
    <row r="429" ht="24.0" customHeight="1">
      <c r="A429" s="2234" t="n">
        <v>1955</v>
      </c>
      <c r="B429" s="2234" t="str">
        <v>INR</v>
      </c>
      <c r="C429" s="2234" t="str">
        <v>印度卢比（INR）</v>
      </c>
      <c r="D429" s="2234" t="str">
        <v>可用</v>
      </c>
      <c r="E429" s="2238" t="n">
        <v>4.76389980729033</v>
      </c>
      <c r="F429" s="2234" t="str">
        <v>年频（市场／估计）</v>
      </c>
      <c r="G429" s="2234" t="str">
        <v>PWT 11.0 / FRED：市场及估计汇率 INR</v>
      </c>
      <c r="H429" s="2234" t="str">
        <v>https://fred.stlouisfed.org/data/XRNCUSINA618NRUG</v>
      </c>
      <c r="I429" s="2234" t="str">
        <v>1955-01-01—1955-12-31</v>
      </c>
      <c r="J429" s="2234" t="str">
        <v>historical_exchange_rates_1920_2026.xlsx</v>
      </c>
      <c r="K429" s="2234" t="str">
        <v>PWT年频估计／市场汇率口径，不保证与纽约日度年均报价一致。
年频；PWT market+estimated。欧元成员国历史数据须还原当年币种。</v>
      </c>
      <c r="L429" s="2234" t="str">
        <v>原报价已按 1 美元兑换本币表示。</v>
      </c>
      <c r="M429" s="2234" t="str">
        <v>1955|印度卢比（INR）</v>
      </c>
      <c r="N429" s="2234" t="str">
        <v>印度卢比（INR）</v>
      </c>
      <c r="O429" s="2239" t="n">
        <v>4.76389980729033</v>
      </c>
      <c r="P429" s="2234" t="str">
        <v>LCU/USD</v>
      </c>
      <c r="Q429" s="2239" t="n">
        <v>1</v>
      </c>
      <c r="R429" s="2234" t="str">
        <v>B：研究数据库年频估计</v>
      </c>
      <c r="S429" s="2234" t="str">
        <v>年度汇率!J41；原始记录!A303:M303</v>
      </c>
      <c r="T429" s="2234" t="str"/>
      <c r="U429" t="n" s="2231">
        <v>1961</v>
      </c>
      <c r="V429" t="str" s="2231">
        <v>加拿大元（CAD）</v>
      </c>
    </row>
    <row r="430" ht="48.0" customHeight="1">
      <c r="A430" s="2234" t="n">
        <v>1955</v>
      </c>
      <c r="B430" s="2234" t="str">
        <v>SUR_1947</v>
      </c>
      <c r="C430" s="2234" t="str">
        <v>苏联卢布（1947币制）</v>
      </c>
      <c r="D430" s="2234" t="str">
        <v>可用</v>
      </c>
      <c r="E430" s="2238" t="n">
        <v>4</v>
      </c>
      <c r="F430" s="2234" t="str">
        <v>官价区间参考（非年均）</v>
      </c>
      <c r="G430" s="2234" t="str">
        <v>苏联卢布历史官价表（Wikipedia转引俄央行历史档案）</v>
      </c>
      <c r="H430" s="2234" t="str">
        <v>https://en.wikipedia.org/wiki/Soviet_ruble#Exchange_rates</v>
      </c>
      <c r="I430" s="2234" t="str">
        <v>1950-03-01—1960-12-01</v>
      </c>
      <c r="J430" s="2234" t="str">
        <v>historical_exchange_rates_1920_2026.xlsx</v>
      </c>
      <c r="K430"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430" s="2234" t="str">
        <v>原报价已按 1 美元兑换本币表示。</v>
      </c>
      <c r="M430" s="2234" t="str">
        <v>1955|苏联卢布（1947币制）</v>
      </c>
      <c r="N430" s="2234" t="str">
        <v>苏联卢布（1947币制）</v>
      </c>
      <c r="O430" s="2239" t="n">
        <v>4</v>
      </c>
      <c r="P430" s="2234" t="str">
        <v>LCU/USD</v>
      </c>
      <c r="Q430" s="2239" t="n">
        <v>1</v>
      </c>
      <c r="R430" s="2234" t="str">
        <v>C：二手转引（原档未复核）</v>
      </c>
      <c r="S430" s="2234" t="str">
        <v>年度汇率!K41；原始记录!A304:M304</v>
      </c>
      <c r="T430" s="2234" t="str">
        <v>官价参考，并非市场年均汇率</v>
      </c>
      <c r="U430" t="n" s="2231">
        <v>1961</v>
      </c>
      <c r="V430" t="str" s="2231">
        <v>法国新法郎</v>
      </c>
    </row>
    <row r="431" ht="36.0" customHeight="1">
      <c r="A431" s="2234" t="n">
        <v>1955</v>
      </c>
      <c r="B431" s="2234" t="str">
        <v>CNY</v>
      </c>
      <c r="C431" s="2234" t="str">
        <v>人民币元（1955币制；CNY）</v>
      </c>
      <c r="D431" s="2234" t="str">
        <v>可用</v>
      </c>
      <c r="E431" s="2238" t="n">
        <v>2.46180842198822</v>
      </c>
      <c r="F431" s="2234" t="str">
        <v>年频（市场／估计）</v>
      </c>
      <c r="G431" s="2234" t="str">
        <v>PWT 11.0 / FRED：中国</v>
      </c>
      <c r="H431" s="2234" t="str">
        <v>https://fred.stlouisfed.org/data/XRNCUSCNA618NRUG</v>
      </c>
      <c r="I431" s="2234" t="str">
        <v>1955-01-01—1955-12-31</v>
      </c>
      <c r="J431" s="2234" t="str">
        <v>historical_exchange_rates_1920_2026.xlsx</v>
      </c>
      <c r="K431" s="2234" t="str">
        <v>币改过渡年：全年统一折为1955年新人民币元，不混加新旧面额。 PWT年频估计／市场汇率口径，不保证与纽约日度年均报价一致。
1952—1954按1955年币改前旧人民币单位还原；1955年全年统一用第二套人民币元。</v>
      </c>
      <c r="L431" s="2234" t="str">
        <v>原报价已按 1 美元兑换本币表示。</v>
      </c>
      <c r="M431" s="2234" t="str">
        <v>1955|人民币元（1955币制；CNY）</v>
      </c>
      <c r="N431" s="2234" t="str">
        <v>人民币元（1955币制；CNY）</v>
      </c>
      <c r="O431" s="2239" t="n">
        <v>2.46180842198822</v>
      </c>
      <c r="P431" s="2234" t="str">
        <v>LCU/USD</v>
      </c>
      <c r="Q431" s="2239" t="n">
        <v>1</v>
      </c>
      <c r="R431" s="2234" t="str">
        <v>B：研究数据库年频估计</v>
      </c>
      <c r="S431" s="2234" t="str">
        <v>年度汇率!L41；原始记录!A305:M305</v>
      </c>
      <c r="T431" s="2234" t="str"/>
      <c r="U431" t="n" s="2231">
        <v>1961</v>
      </c>
      <c r="V431" t="str" s="2231">
        <v>西德德国马克（DEM）</v>
      </c>
    </row>
    <row r="432" ht="15.0" customHeight="1">
      <c r="A432" s="2234" t="n">
        <v>1956</v>
      </c>
      <c r="B432" s="2234" t="str">
        <v>USD</v>
      </c>
      <c r="C432" s="2234" t="str">
        <v>美元（USD）</v>
      </c>
      <c r="D432" s="2234" t="str">
        <v>可用</v>
      </c>
      <c r="E432" s="2238" t="n">
        <v>1</v>
      </c>
      <c r="F432" s="2234" t="str">
        <v>基准恒等</v>
      </c>
      <c r="G432" s="2234" t="str">
        <v>用户提供的历史汇率表</v>
      </c>
      <c r="H432" s="2234" t="str"/>
      <c r="I432" s="2234" t="str">
        <v>1956</v>
      </c>
      <c r="J432" s="2234" t="str">
        <v>historical_exchange_rates_1920_2026.xlsx</v>
      </c>
      <c r="K432" s="2234" t="str">
        <v>1 美元等于 1 美元，无外部报价。</v>
      </c>
      <c r="L432" s="2234" t="str">
        <v>美元基准，汇率恒为 1。</v>
      </c>
      <c r="M432" s="2234" t="str">
        <v>1956|美元（USD）</v>
      </c>
      <c r="N432" s="2234" t="str">
        <v>美元（USD）</v>
      </c>
      <c r="O432" s="2239"/>
      <c r="P432" s="2234" t="str"/>
      <c r="Q432" s="2239"/>
      <c r="R432" s="2234" t="str"/>
      <c r="S432" s="2234" t="str">
        <v>年度汇率!B42</v>
      </c>
      <c r="T432" s="2234" t="str"/>
      <c r="U432" t="n" s="2231">
        <v>1961</v>
      </c>
      <c r="V432" t="str" s="2231">
        <v>意大利里拉（ITL）</v>
      </c>
    </row>
    <row r="433" ht="24.0" customHeight="1">
      <c r="A433" s="2234" t="n">
        <v>1956</v>
      </c>
      <c r="B433" s="2234" t="str">
        <v>GBP</v>
      </c>
      <c r="C433" s="2234" t="str">
        <v>英镑（GBP）</v>
      </c>
      <c r="D433" s="2234" t="str">
        <v>可用</v>
      </c>
      <c r="E433" s="2238" t="n">
        <v>0.357371402609925</v>
      </c>
      <c r="F433" s="2234" t="str">
        <v>年频（市场／估计）</v>
      </c>
      <c r="G433" s="2234" t="str">
        <v>PWT 11.0 / FRED：市场及估计汇率 GBP</v>
      </c>
      <c r="H433" s="2234" t="str">
        <v>https://fred.stlouisfed.org/data/XRNCUSGBA618NRUG</v>
      </c>
      <c r="I433" s="2234" t="str">
        <v>1956-01-01—1956-12-31</v>
      </c>
      <c r="J433" s="2234" t="str">
        <v>historical_exchange_rates_1920_2026.xlsx</v>
      </c>
      <c r="K433" s="2234" t="str">
        <v>PWT年频估计／市场汇率口径，不保证与纽约日度年均报价一致。
年频；PWT market+estimated。欧元成员国历史数据须还原当年币种。</v>
      </c>
      <c r="L433" s="2234" t="str">
        <v>原报价已按 1 美元兑换本币表示。</v>
      </c>
      <c r="M433" s="2234" t="str">
        <v>1956|英镑（GBP）</v>
      </c>
      <c r="N433" s="2234" t="str">
        <v>英镑（GBP）</v>
      </c>
      <c r="O433" s="2239" t="n">
        <v>0.357371402609925</v>
      </c>
      <c r="P433" s="2234" t="str">
        <v>LCU/USD</v>
      </c>
      <c r="Q433" s="2239" t="n">
        <v>1</v>
      </c>
      <c r="R433" s="2234" t="str">
        <v>B：研究数据库年频估计</v>
      </c>
      <c r="S433" s="2234" t="str">
        <v>年度汇率!C42；原始记录!A306:M306</v>
      </c>
      <c r="T433" s="2234" t="str"/>
      <c r="U433" t="n" s="2231">
        <v>1961</v>
      </c>
      <c r="V433" t="str" s="2231">
        <v>日元（JPY）</v>
      </c>
    </row>
    <row r="434" ht="24.0" customHeight="1">
      <c r="A434" s="2234" t="n">
        <v>1956</v>
      </c>
      <c r="B434" s="2234" t="str">
        <v>CAD</v>
      </c>
      <c r="C434" s="2234" t="str">
        <v>加拿大元（CAD）</v>
      </c>
      <c r="D434" s="2234" t="str">
        <v>可用</v>
      </c>
      <c r="E434" s="2238" t="n">
        <v>0.986144247085417</v>
      </c>
      <c r="F434" s="2234" t="str">
        <v>年频（市场／估计）</v>
      </c>
      <c r="G434" s="2234" t="str">
        <v>PWT 11.0 / FRED：市场及估计汇率 CAD</v>
      </c>
      <c r="H434" s="2234" t="str">
        <v>https://fred.stlouisfed.org/data/XRNCUSCAA618NRUG</v>
      </c>
      <c r="I434" s="2234" t="str">
        <v>1956-01-01—1956-12-31</v>
      </c>
      <c r="J434" s="2234" t="str">
        <v>historical_exchange_rates_1920_2026.xlsx</v>
      </c>
      <c r="K434" s="2234" t="str">
        <v>PWT年频估计／市场汇率口径，不保证与纽约日度年均报价一致。
年频；PWT market+estimated。欧元成员国历史数据须还原当年币种。</v>
      </c>
      <c r="L434" s="2234" t="str">
        <v>原报价已按 1 美元兑换本币表示。</v>
      </c>
      <c r="M434" s="2234" t="str">
        <v>1956|加拿大元（CAD）</v>
      </c>
      <c r="N434" s="2234" t="str">
        <v>加拿大元（CAD）</v>
      </c>
      <c r="O434" s="2239" t="n">
        <v>0.986144247085417</v>
      </c>
      <c r="P434" s="2234" t="str">
        <v>LCU/USD</v>
      </c>
      <c r="Q434" s="2239" t="n">
        <v>1</v>
      </c>
      <c r="R434" s="2234" t="str">
        <v>B：研究数据库年频估计</v>
      </c>
      <c r="S434" s="2234" t="str">
        <v>年度汇率!D42；原始记录!A307:M307</v>
      </c>
      <c r="T434" s="2234" t="str"/>
      <c r="U434" t="n" s="2231">
        <v>1961</v>
      </c>
      <c r="V434" t="str" s="2231">
        <v>瑞士法郎（CHF）</v>
      </c>
    </row>
    <row r="435" ht="36.0" customHeight="1">
      <c r="A435" s="2234" t="n">
        <v>1956</v>
      </c>
      <c r="B435" s="2234" t="str">
        <v>FRF_OLD</v>
      </c>
      <c r="C435" s="2234" t="str">
        <v>法国旧法郎</v>
      </c>
      <c r="D435" s="2234" t="str">
        <v>可用</v>
      </c>
      <c r="E435" s="2238" t="n">
        <v>350.0049444884567</v>
      </c>
      <c r="F435" s="2234" t="str">
        <v>年频（市场／估计）</v>
      </c>
      <c r="G435" s="2234" t="str">
        <v>PWT 11.0 / FRED：市场及估计汇率 FR</v>
      </c>
      <c r="H435" s="2234" t="str">
        <v>https://fred.stlouisfed.org/data/XRNCUSFRA618NRUG</v>
      </c>
      <c r="I435" s="2234" t="str">
        <v>1956-01-01—1956-12-31</v>
      </c>
      <c r="J435" s="2234" t="str">
        <v>historical_exchange_rates_1920_2026.xlsx</v>
      </c>
      <c r="K435" s="2234" t="str">
        <v>欧元回溯单位按不可撤销转换率还原；法国1960年前另乘100。 PWT年频估计／市场汇率口径，不保证与纽约日度年均报价一致。
年频；PWT market+estimated。欧元成员国历史数据须还原当年币种。</v>
      </c>
      <c r="L435" s="2234" t="str">
        <v>原报价已按 1 美元兑换本币表示。乘以 655.957，还原当年币制的计价单位。</v>
      </c>
      <c r="M435" s="2234" t="str">
        <v>1956|法国旧法郎</v>
      </c>
      <c r="N435" s="2234" t="str">
        <v>法国旧法郎</v>
      </c>
      <c r="O435" s="2239" t="n">
        <v>0.533579098154996</v>
      </c>
      <c r="P435" s="2234" t="str">
        <v>LCU/USD</v>
      </c>
      <c r="Q435" s="2239" t="n">
        <v>655.957</v>
      </c>
      <c r="R435" s="2234" t="str">
        <v>B：研究数据库年频估计</v>
      </c>
      <c r="S435" s="2234" t="str">
        <v>年度汇率!E42；原始记录!A308:M308</v>
      </c>
      <c r="T435" s="2234" t="str"/>
      <c r="U435" t="n" s="2231">
        <v>1961</v>
      </c>
      <c r="V435" t="str" s="2231">
        <v>印度卢比（INR）</v>
      </c>
    </row>
    <row r="436" ht="36.0" customHeight="1">
      <c r="A436" s="2234" t="n">
        <v>1956</v>
      </c>
      <c r="B436" s="2234" t="str">
        <v>DEM</v>
      </c>
      <c r="C436" s="2234" t="str">
        <v>西德德国马克（DEM）</v>
      </c>
      <c r="D436" s="2234" t="str">
        <v>可用</v>
      </c>
      <c r="E436" s="2238" t="n">
        <v>4.199999713823369</v>
      </c>
      <c r="F436" s="2234" t="str">
        <v>年频（市场／估计）</v>
      </c>
      <c r="G436" s="2234" t="str">
        <v>PWT 11.0 / FRED：市场及估计汇率 DE</v>
      </c>
      <c r="H436" s="2234" t="str">
        <v>https://fred.stlouisfed.org/data/XRNCUSDEA618NRUG</v>
      </c>
      <c r="I436" s="2234" t="str">
        <v>1956-01-01—1956-12-31</v>
      </c>
      <c r="J436" s="2234" t="str">
        <v>historical_exchange_rates_1920_2026.xlsx</v>
      </c>
      <c r="K436" s="2234" t="str">
        <v>欧元回溯单位按不可撤销转换率还原；法国1960年前另乘100。 PWT年频估计／市场汇率口径，不保证与纽约日度年均报价一致。
年频；PWT market+estimated。欧元成员国历史数据须还原当年币种。</v>
      </c>
      <c r="L436" s="2234" t="str">
        <v>原报价已按 1 美元兑换本币表示。乘以 1.95583，还原当年币制的计价单位。</v>
      </c>
      <c r="M436" s="2234" t="str">
        <v>1956|西德德国马克（DEM）</v>
      </c>
      <c r="N436" s="2234" t="str">
        <v>西德德国马克（DEM）</v>
      </c>
      <c r="O436" s="2239" t="n">
        <v>2.14742575470433</v>
      </c>
      <c r="P436" s="2234" t="str">
        <v>LCU/USD</v>
      </c>
      <c r="Q436" s="2239" t="n">
        <v>1.95583</v>
      </c>
      <c r="R436" s="2234" t="str">
        <v>B：研究数据库年频估计</v>
      </c>
      <c r="S436" s="2234" t="str">
        <v>年度汇率!F42、年度汇率!M42；原始记录!A309:M309</v>
      </c>
      <c r="T436" s="2234" t="str"/>
      <c r="U436" t="n" s="2231">
        <v>1961</v>
      </c>
      <c r="V436" t="str" s="2231">
        <v>苏联卢布（1961币制）</v>
      </c>
    </row>
    <row r="437" ht="36.0" customHeight="1">
      <c r="A437" s="2234" t="n">
        <v>1956</v>
      </c>
      <c r="B437" s="2234" t="str">
        <v>ITL</v>
      </c>
      <c r="C437" s="2234" t="str">
        <v>意大利里拉（ITL）</v>
      </c>
      <c r="D437" s="2234" t="str">
        <v>可用</v>
      </c>
      <c r="E437" s="2238" t="n">
        <v>623.8865183104361</v>
      </c>
      <c r="F437" s="2234" t="str">
        <v>年频（市场／估计）</v>
      </c>
      <c r="G437" s="2234" t="str">
        <v>PWT 11.0 / FRED：市场及估计汇率 IT</v>
      </c>
      <c r="H437" s="2234" t="str">
        <v>https://fred.stlouisfed.org/data/XRNCUSITA618NRUG</v>
      </c>
      <c r="I437" s="2234" t="str">
        <v>1956-01-01—1956-12-31</v>
      </c>
      <c r="J437" s="2234" t="str">
        <v>historical_exchange_rates_1920_2026.xlsx</v>
      </c>
      <c r="K437" s="2234" t="str">
        <v>欧元回溯单位按不可撤销转换率还原；法国1960年前另乘100。 PWT年频估计／市场汇率口径，不保证与纽约日度年均报价一致。
年频；PWT market+estimated。欧元成员国历史数据须还原当年币种。</v>
      </c>
      <c r="L437" s="2234" t="str">
        <v>原报价已按 1 美元兑换本币表示。乘以 1936.27，还原当年币制的计价单位。</v>
      </c>
      <c r="M437" s="2234" t="str">
        <v>1956|意大利里拉（ITL）</v>
      </c>
      <c r="N437" s="2234" t="str">
        <v>意大利里拉（ITL）</v>
      </c>
      <c r="O437" s="2239" t="n">
        <v>0.322210496630344</v>
      </c>
      <c r="P437" s="2234" t="str">
        <v>LCU/USD</v>
      </c>
      <c r="Q437" s="2239" t="n">
        <v>1936.27</v>
      </c>
      <c r="R437" s="2234" t="str">
        <v>B：研究数据库年频估计</v>
      </c>
      <c r="S437" s="2234" t="str">
        <v>年度汇率!G42；原始记录!A310:M310</v>
      </c>
      <c r="T437" s="2234" t="str"/>
      <c r="U437" t="n" s="2231">
        <v>1961</v>
      </c>
      <c r="V437" t="str" s="2231">
        <v>人民币元（1955币制；CNY）</v>
      </c>
    </row>
    <row r="438" ht="15.0" customHeight="1">
      <c r="A438" s="2234" t="n">
        <v>1956</v>
      </c>
      <c r="B438" s="2234" t="str">
        <v>JPY</v>
      </c>
      <c r="C438" s="2234" t="str">
        <v>日元（JPY）</v>
      </c>
      <c r="D438" s="2234" t="str">
        <v>可用</v>
      </c>
      <c r="E438" s="2238" t="n">
        <v>359.84</v>
      </c>
      <c r="F438" s="2234" t="str">
        <v>年均</v>
      </c>
      <c r="G438" s="2234" t="str">
        <v>MeasuringWorth：日本年均汇率</v>
      </c>
      <c r="H438" s="2234" t="str">
        <v>https://www.measuringworth.com/datasets/exchangeglobal/result.php?countryE%5B%5D=Japan&amp;year_result=2016&amp;year_source=1916</v>
      </c>
      <c r="I438" s="2234" t="str">
        <v>1956-01-01—1956-12-31</v>
      </c>
      <c r="J438" s="2234" t="str">
        <v>historical_exchange_rates_1920_2026.xlsx</v>
      </c>
      <c r="K438" s="2234" t="str">
        <v>以纽约市场年度平均报价为主；保留原表精度。</v>
      </c>
      <c r="L438" s="2234" t="str">
        <v>原报价已按 1 美元兑换本币表示。</v>
      </c>
      <c r="M438" s="2234" t="str">
        <v>1956|日元（JPY）</v>
      </c>
      <c r="N438" s="2234" t="str">
        <v>日元（JPY）</v>
      </c>
      <c r="O438" s="2239" t="n">
        <v>359.84</v>
      </c>
      <c r="P438" s="2234" t="str">
        <v>LCU/USD</v>
      </c>
      <c r="Q438" s="2239" t="n">
        <v>1</v>
      </c>
      <c r="R438" s="2234" t="str">
        <v>B：学术历史汇编</v>
      </c>
      <c r="S438" s="2234" t="str">
        <v>年度汇率!H42；原始记录!A311:M311</v>
      </c>
      <c r="T438" s="2234" t="str"/>
      <c r="U438" t="n" s="2231">
        <v>1962</v>
      </c>
      <c r="V438" t="str" s="2231">
        <v>美元（USD）</v>
      </c>
    </row>
    <row r="439" ht="36.0" customHeight="1">
      <c r="A439" s="2234" t="n">
        <v>1956</v>
      </c>
      <c r="B439" s="2234" t="str">
        <v>CHF</v>
      </c>
      <c r="C439" s="2234" t="str">
        <v>瑞士法郎（CHF）</v>
      </c>
      <c r="D439" s="2234" t="str">
        <v>可用</v>
      </c>
      <c r="E439" s="2238" t="n">
        <v>4.37300007127372</v>
      </c>
      <c r="F439" s="2234" t="str">
        <v>年频（市场／估计）</v>
      </c>
      <c r="G439" s="2234" t="str">
        <v>PWT 11.0 / FRED：瑞士</v>
      </c>
      <c r="H439" s="2234" t="str">
        <v>https://fred.stlouisfed.org/data/XRNCUSCHA618NRUG</v>
      </c>
      <c r="I439" s="2234" t="str">
        <v>1956-01-01—1956-12-31</v>
      </c>
      <c r="J439" s="2234" t="str">
        <v>historical_exchange_rates_1920_2026.xlsx</v>
      </c>
      <c r="K439" s="2234" t="str">
        <v>PWT年频市场／估计值；与邻年纽约市场报价口径不同。 PWT年频估计／市场汇率口径，不保证与纽约日度年均报价一致。
年频市场／估计；1956与相邻纽约报价序列存在来源差异。</v>
      </c>
      <c r="L439" s="2234" t="str">
        <v>原报价已按 1 美元兑换本币表示。</v>
      </c>
      <c r="M439" s="2234" t="str">
        <v>1956|瑞士法郎（CHF）</v>
      </c>
      <c r="N439" s="2234" t="str">
        <v>瑞士法郎（CHF）</v>
      </c>
      <c r="O439" s="2239" t="n">
        <v>4.37300007127372</v>
      </c>
      <c r="P439" s="2234" t="str">
        <v>LCU/USD</v>
      </c>
      <c r="Q439" s="2239" t="n">
        <v>1</v>
      </c>
      <c r="R439" s="2234" t="str">
        <v>B：研究数据库年频估计</v>
      </c>
      <c r="S439" s="2234" t="str">
        <v>年度汇率!I42；原始记录!A312:M312</v>
      </c>
      <c r="T439" s="2234" t="str"/>
      <c r="U439" t="n" s="2231">
        <v>1962</v>
      </c>
      <c r="V439" t="str" s="2231">
        <v>英镑（GBP）</v>
      </c>
    </row>
    <row r="440" ht="24.0" customHeight="1">
      <c r="A440" s="2234" t="n">
        <v>1956</v>
      </c>
      <c r="B440" s="2234" t="str">
        <v>INR</v>
      </c>
      <c r="C440" s="2234" t="str">
        <v>印度卢比（INR）</v>
      </c>
      <c r="D440" s="2234" t="str">
        <v>可用</v>
      </c>
      <c r="E440" s="2238" t="n">
        <v>4.7618999522471</v>
      </c>
      <c r="F440" s="2234" t="str">
        <v>年频（市场／估计）</v>
      </c>
      <c r="G440" s="2234" t="str">
        <v>PWT 11.0 / FRED：市场及估计汇率 INR</v>
      </c>
      <c r="H440" s="2234" t="str">
        <v>https://fred.stlouisfed.org/data/XRNCUSINA618NRUG</v>
      </c>
      <c r="I440" s="2234" t="str">
        <v>1956-01-01—1956-12-31</v>
      </c>
      <c r="J440" s="2234" t="str">
        <v>historical_exchange_rates_1920_2026.xlsx</v>
      </c>
      <c r="K440" s="2234" t="str">
        <v>PWT年频估计／市场汇率口径，不保证与纽约日度年均报价一致。
年频；PWT market+estimated。欧元成员国历史数据须还原当年币种。</v>
      </c>
      <c r="L440" s="2234" t="str">
        <v>原报价已按 1 美元兑换本币表示。</v>
      </c>
      <c r="M440" s="2234" t="str">
        <v>1956|印度卢比（INR）</v>
      </c>
      <c r="N440" s="2234" t="str">
        <v>印度卢比（INR）</v>
      </c>
      <c r="O440" s="2239" t="n">
        <v>4.7618999522471</v>
      </c>
      <c r="P440" s="2234" t="str">
        <v>LCU/USD</v>
      </c>
      <c r="Q440" s="2239" t="n">
        <v>1</v>
      </c>
      <c r="R440" s="2234" t="str">
        <v>B：研究数据库年频估计</v>
      </c>
      <c r="S440" s="2234" t="str">
        <v>年度汇率!J42；原始记录!A313:M313</v>
      </c>
      <c r="T440" s="2234" t="str"/>
      <c r="U440" t="n" s="2231">
        <v>1962</v>
      </c>
      <c r="V440" t="str" s="2231">
        <v>加拿大元（CAD）</v>
      </c>
    </row>
    <row r="441" ht="48.0" customHeight="1">
      <c r="A441" s="2234" t="n">
        <v>1956</v>
      </c>
      <c r="B441" s="2234" t="str">
        <v>SUR_1947</v>
      </c>
      <c r="C441" s="2234" t="str">
        <v>苏联卢布（1947币制）</v>
      </c>
      <c r="D441" s="2234" t="str">
        <v>可用</v>
      </c>
      <c r="E441" s="2238" t="n">
        <v>4</v>
      </c>
      <c r="F441" s="2234" t="str">
        <v>官价区间参考（非年均）</v>
      </c>
      <c r="G441" s="2234" t="str">
        <v>苏联卢布历史官价表（Wikipedia转引俄央行历史档案）</v>
      </c>
      <c r="H441" s="2234" t="str">
        <v>https://en.wikipedia.org/wiki/Soviet_ruble#Exchange_rates</v>
      </c>
      <c r="I441" s="2234" t="str">
        <v>1950-03-01—1960-12-01</v>
      </c>
      <c r="J441" s="2234" t="str">
        <v>historical_exchange_rates_1920_2026.xlsx</v>
      </c>
      <c r="K441"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441" s="2234" t="str">
        <v>原报价已按 1 美元兑换本币表示。</v>
      </c>
      <c r="M441" s="2234" t="str">
        <v>1956|苏联卢布（1947币制）</v>
      </c>
      <c r="N441" s="2234" t="str">
        <v>苏联卢布（1947币制）</v>
      </c>
      <c r="O441" s="2239" t="n">
        <v>4</v>
      </c>
      <c r="P441" s="2234" t="str">
        <v>LCU/USD</v>
      </c>
      <c r="Q441" s="2239" t="n">
        <v>1</v>
      </c>
      <c r="R441" s="2234" t="str">
        <v>C：二手转引（原档未复核）</v>
      </c>
      <c r="S441" s="2234" t="str">
        <v>年度汇率!K42；原始记录!A314:M314</v>
      </c>
      <c r="T441" s="2234" t="str">
        <v>官价参考，并非市场年均汇率</v>
      </c>
      <c r="U441" t="n" s="2231">
        <v>1962</v>
      </c>
      <c r="V441" t="str" s="2231">
        <v>法国新法郎</v>
      </c>
    </row>
    <row r="442" ht="24.0" customHeight="1">
      <c r="A442" s="2234" t="n">
        <v>1956</v>
      </c>
      <c r="B442" s="2234" t="str">
        <v>CNY</v>
      </c>
      <c r="C442" s="2234" t="str">
        <v>人民币元（1955币制；CNY）</v>
      </c>
      <c r="D442" s="2234" t="str">
        <v>可用</v>
      </c>
      <c r="E442" s="2238" t="n">
        <v>2.46180842198822</v>
      </c>
      <c r="F442" s="2234" t="str">
        <v>年频（市场／估计）</v>
      </c>
      <c r="G442" s="2234" t="str">
        <v>PWT 11.0 / FRED：中国</v>
      </c>
      <c r="H442" s="2234" t="str">
        <v>https://fred.stlouisfed.org/data/XRNCUSCNA618NRUG</v>
      </c>
      <c r="I442" s="2234" t="str">
        <v>1956-01-01—1956-12-31</v>
      </c>
      <c r="J442" s="2234" t="str">
        <v>historical_exchange_rates_1920_2026.xlsx</v>
      </c>
      <c r="K442" s="2234" t="str">
        <v>PWT年频估计／市场汇率口径，不保证与纽约日度年均报价一致。
1952—1954按1955年币改前旧人民币单位还原；1955年全年统一用第二套人民币元。</v>
      </c>
      <c r="L442" s="2234" t="str">
        <v>原报价已按 1 美元兑换本币表示。</v>
      </c>
      <c r="M442" s="2234" t="str">
        <v>1956|人民币元（1955币制；CNY）</v>
      </c>
      <c r="N442" s="2234" t="str">
        <v>人民币元（1955币制；CNY）</v>
      </c>
      <c r="O442" s="2239" t="n">
        <v>2.46180842198822</v>
      </c>
      <c r="P442" s="2234" t="str">
        <v>LCU/USD</v>
      </c>
      <c r="Q442" s="2239" t="n">
        <v>1</v>
      </c>
      <c r="R442" s="2234" t="str">
        <v>B：研究数据库年频估计</v>
      </c>
      <c r="S442" s="2234" t="str">
        <v>年度汇率!L42；原始记录!A315:M315</v>
      </c>
      <c r="T442" s="2234" t="str"/>
      <c r="U442" t="n" s="2231">
        <v>1962</v>
      </c>
      <c r="V442" t="str" s="2231">
        <v>西德德国马克（DEM）</v>
      </c>
    </row>
    <row r="443" ht="15.0" customHeight="1">
      <c r="A443" s="2234" t="n">
        <v>1957</v>
      </c>
      <c r="B443" s="2234" t="str">
        <v>USD</v>
      </c>
      <c r="C443" s="2234" t="str">
        <v>美元（USD）</v>
      </c>
      <c r="D443" s="2234" t="str">
        <v>可用</v>
      </c>
      <c r="E443" s="2238" t="n">
        <v>1</v>
      </c>
      <c r="F443" s="2234" t="str">
        <v>基准恒等</v>
      </c>
      <c r="G443" s="2234" t="str">
        <v>用户提供的历史汇率表</v>
      </c>
      <c r="H443" s="2234" t="str"/>
      <c r="I443" s="2234" t="str">
        <v>1957</v>
      </c>
      <c r="J443" s="2234" t="str">
        <v>historical_exchange_rates_1920_2026.xlsx</v>
      </c>
      <c r="K443" s="2234" t="str">
        <v>1 美元等于 1 美元，无外部报价。</v>
      </c>
      <c r="L443" s="2234" t="str">
        <v>美元基准，汇率恒为 1。</v>
      </c>
      <c r="M443" s="2234" t="str">
        <v>1957|美元（USD）</v>
      </c>
      <c r="N443" s="2234" t="str">
        <v>美元（USD）</v>
      </c>
      <c r="O443" s="2239"/>
      <c r="P443" s="2234" t="str"/>
      <c r="Q443" s="2239"/>
      <c r="R443" s="2234" t="str"/>
      <c r="S443" s="2234" t="str">
        <v>年度汇率!B43</v>
      </c>
      <c r="T443" s="2234" t="str"/>
      <c r="U443" t="n" s="2231">
        <v>1962</v>
      </c>
      <c r="V443" t="str" s="2231">
        <v>意大利里拉（ITL）</v>
      </c>
    </row>
    <row r="444" ht="15.0" customHeight="1">
      <c r="A444" s="2234" t="n">
        <v>1957</v>
      </c>
      <c r="B444" s="2234" t="str">
        <v>GBP</v>
      </c>
      <c r="C444" s="2234" t="str">
        <v>英镑（GBP）</v>
      </c>
      <c r="D444" s="2234" t="str">
        <v>可用</v>
      </c>
      <c r="E444" s="2238" t="n">
        <v>0.3579727017</v>
      </c>
      <c r="F444" s="2234" t="str">
        <v>年均</v>
      </c>
      <c r="G444" s="2234" t="str">
        <v>OECD via FRED：GBP年均汇率</v>
      </c>
      <c r="H444" s="2234" t="str">
        <v>https://fred.stlouisfed.org/data/CCUSMA02GBA618N</v>
      </c>
      <c r="I444" s="2234" t="str">
        <v>1957-01-01—1957-12-31</v>
      </c>
      <c r="J444" s="2234" t="str">
        <v>historical_exchange_rates_1920_2026.xlsx</v>
      </c>
      <c r="K444" s="2234" t="str">
        <v>单位为本币／美元；中国和印度早期数据主要反映官方汇率。</v>
      </c>
      <c r="L444" s="2234" t="str">
        <v>原报价已按 1 美元兑换本币表示。</v>
      </c>
      <c r="M444" s="2234" t="str">
        <v>1957|英镑（GBP）</v>
      </c>
      <c r="N444" s="2234" t="str">
        <v>英镑（GBP）</v>
      </c>
      <c r="O444" s="2239" t="n">
        <v>0.3579727017</v>
      </c>
      <c r="P444" s="2234" t="str">
        <v>LCU/USD</v>
      </c>
      <c r="Q444" s="2239" t="n">
        <v>1</v>
      </c>
      <c r="R444" s="2234" t="str">
        <v>A：机构统计／原始统计表</v>
      </c>
      <c r="S444" s="2234" t="str">
        <v>年度汇率!C43；原始记录!A316:M316</v>
      </c>
      <c r="T444" s="2234" t="str"/>
      <c r="U444" t="n" s="2231">
        <v>1962</v>
      </c>
      <c r="V444" t="str" s="2231">
        <v>日元（JPY）</v>
      </c>
    </row>
    <row r="445" ht="15.0" customHeight="1">
      <c r="A445" s="2234" t="n">
        <v>1957</v>
      </c>
      <c r="B445" s="2234" t="str">
        <v>CAD</v>
      </c>
      <c r="C445" s="2234" t="str">
        <v>加拿大元（CAD）</v>
      </c>
      <c r="D445" s="2234" t="str">
        <v>可用</v>
      </c>
      <c r="E445" s="2238" t="n">
        <v>0.9588333333</v>
      </c>
      <c r="F445" s="2234" t="str">
        <v>年均</v>
      </c>
      <c r="G445" s="2234" t="str">
        <v>OECD via FRED：CAD年均汇率</v>
      </c>
      <c r="H445" s="2234" t="str">
        <v>https://fred.stlouisfed.org/data/CCUSMA02CAA618N</v>
      </c>
      <c r="I445" s="2234" t="str">
        <v>1957-01-01—1957-12-31</v>
      </c>
      <c r="J445" s="2234" t="str">
        <v>historical_exchange_rates_1920_2026.xlsx</v>
      </c>
      <c r="K445" s="2234" t="str">
        <v>单位为本币／美元；中国和印度早期数据主要反映官方汇率。</v>
      </c>
      <c r="L445" s="2234" t="str">
        <v>原报价已按 1 美元兑换本币表示。</v>
      </c>
      <c r="M445" s="2234" t="str">
        <v>1957|加拿大元（CAD）</v>
      </c>
      <c r="N445" s="2234" t="str">
        <v>加拿大元（CAD）</v>
      </c>
      <c r="O445" s="2239" t="n">
        <v>0.9588333333</v>
      </c>
      <c r="P445" s="2234" t="str">
        <v>LCU/USD</v>
      </c>
      <c r="Q445" s="2239" t="n">
        <v>1</v>
      </c>
      <c r="R445" s="2234" t="str">
        <v>A：机构统计／原始统计表</v>
      </c>
      <c r="S445" s="2234" t="str">
        <v>年度汇率!D43；原始记录!A317:M317</v>
      </c>
      <c r="T445" s="2234" t="str"/>
      <c r="U445" t="n" s="2231">
        <v>1962</v>
      </c>
      <c r="V445" t="str" s="2231">
        <v>瑞士法郎（CHF）</v>
      </c>
    </row>
    <row r="446" ht="36.0" customHeight="1">
      <c r="A446" s="2234" t="n">
        <v>1957</v>
      </c>
      <c r="B446" s="2234" t="str">
        <v>FRF_OLD</v>
      </c>
      <c r="C446" s="2234" t="str">
        <v>法国旧法郎</v>
      </c>
      <c r="D446" s="2234" t="str">
        <v>可用</v>
      </c>
      <c r="E446" s="2238" t="n">
        <v>367.89166664589715</v>
      </c>
      <c r="F446" s="2234" t="str">
        <v>年均</v>
      </c>
      <c r="G446" s="2234" t="str">
        <v>OECD via FRED：FR年均汇率（欧元单位回溯序列）</v>
      </c>
      <c r="H446" s="2234" t="str">
        <v>https://fred.stlouisfed.org/data/CCUSMA02FRA618N</v>
      </c>
      <c r="I446" s="2234" t="str">
        <v>1957-01-01—1957-12-31</v>
      </c>
      <c r="J446" s="2234" t="str">
        <v>historical_exchange_rates_1920_2026.xlsx</v>
      </c>
      <c r="K446" s="2234" t="str">
        <v>由欧元回溯单位还原当年本币；非当年实际欧元报价。 欧元回溯单位按不可撤销转换率还原；法国1960年前另乘100。
原序列单位为回溯欧元；乘不可撤销转换率还原当年本币。法国1957–1959另乘100还原旧法郎。</v>
      </c>
      <c r="L446" s="2234" t="str">
        <v>原报价已按 1 美元兑换本币表示。乘以 655.957，还原当年币制的计价单位。</v>
      </c>
      <c r="M446" s="2234" t="str">
        <v>1957|法国旧法郎</v>
      </c>
      <c r="N446" s="2234" t="str">
        <v>法国旧法郎</v>
      </c>
      <c r="O446" s="2239" t="n">
        <v>0.5608472303</v>
      </c>
      <c r="P446" s="2234" t="str">
        <v>LCU/USD</v>
      </c>
      <c r="Q446" s="2239" t="n">
        <v>655.957</v>
      </c>
      <c r="R446" s="2234" t="str">
        <v>A：机构统计／原始统计表</v>
      </c>
      <c r="S446" s="2234" t="str">
        <v>年度汇率!E43；原始记录!A318:M318</v>
      </c>
      <c r="T446" s="2234" t="str"/>
      <c r="U446" t="n" s="2231">
        <v>1962</v>
      </c>
      <c r="V446" t="str" s="2231">
        <v>印度卢比（INR）</v>
      </c>
    </row>
    <row r="447" ht="36.0" customHeight="1">
      <c r="A447" s="2234" t="n">
        <v>1957</v>
      </c>
      <c r="B447" s="2234" t="str">
        <v>DEM</v>
      </c>
      <c r="C447" s="2234" t="str">
        <v>西德德国马克（DEM）</v>
      </c>
      <c r="D447" s="2234" t="str">
        <v>可用</v>
      </c>
      <c r="E447" s="2238" t="n">
        <v>4.201960833357136</v>
      </c>
      <c r="F447" s="2234" t="str">
        <v>年均</v>
      </c>
      <c r="G447" s="2234" t="str">
        <v>OECD via FRED：DE年均汇率（欧元单位回溯序列）</v>
      </c>
      <c r="H447" s="2234" t="str">
        <v>https://fred.stlouisfed.org/data/CCUSMA02DEA618N</v>
      </c>
      <c r="I447" s="2234" t="str">
        <v>1957-01-01—1957-12-31</v>
      </c>
      <c r="J447" s="2234" t="str">
        <v>historical_exchange_rates_1920_2026.xlsx</v>
      </c>
      <c r="K447" s="2234" t="str">
        <v>由欧元回溯单位还原当年本币；非当年实际欧元报价。 欧元回溯单位按不可撤销转换率还原；法国1960年前另乘100。
原序列单位为回溯欧元；乘不可撤销转换率还原当年本币。法国1957–1959另乘100还原旧法郎。</v>
      </c>
      <c r="L447" s="2234" t="str">
        <v>原报价已按 1 美元兑换本币表示。乘以 1.95583，还原当年币制的计价单位。</v>
      </c>
      <c r="M447" s="2234" t="str">
        <v>1957|西德德国马克（DEM）</v>
      </c>
      <c r="N447" s="2234" t="str">
        <v>西德德国马克（DEM）</v>
      </c>
      <c r="O447" s="2239" t="n">
        <v>2.1484284592</v>
      </c>
      <c r="P447" s="2234" t="str">
        <v>LCU/USD</v>
      </c>
      <c r="Q447" s="2239" t="n">
        <v>1.95583</v>
      </c>
      <c r="R447" s="2234" t="str">
        <v>A：机构统计／原始统计表</v>
      </c>
      <c r="S447" s="2234" t="str">
        <v>年度汇率!F43、年度汇率!M43；原始记录!A319:M319</v>
      </c>
      <c r="T447" s="2234" t="str"/>
      <c r="U447" t="n" s="2231">
        <v>1962</v>
      </c>
      <c r="V447" t="str" s="2231">
        <v>苏联卢布（1961币制）</v>
      </c>
    </row>
    <row r="448" ht="36.0" customHeight="1">
      <c r="A448" s="2234" t="n">
        <v>1957</v>
      </c>
      <c r="B448" s="2234" t="str">
        <v>ITL</v>
      </c>
      <c r="C448" s="2234" t="str">
        <v>意大利里拉（ITL）</v>
      </c>
      <c r="D448" s="2234" t="str">
        <v>可用</v>
      </c>
      <c r="E448" s="2238" t="n">
        <v>624.9999999401131</v>
      </c>
      <c r="F448" s="2234" t="str">
        <v>年均</v>
      </c>
      <c r="G448" s="2234" t="str">
        <v>OECD via FRED：IT年均汇率（欧元单位回溯序列）</v>
      </c>
      <c r="H448" s="2234" t="str">
        <v>https://fred.stlouisfed.org/data/CCUSMA02ITA618N</v>
      </c>
      <c r="I448" s="2234" t="str">
        <v>1957-01-01—1957-12-31</v>
      </c>
      <c r="J448" s="2234" t="str">
        <v>historical_exchange_rates_1920_2026.xlsx</v>
      </c>
      <c r="K448" s="2234" t="str">
        <v>由欧元回溯单位还原当年本币；非当年实际欧元报价。 欧元回溯单位按不可撤销转换率还原；法国1960年前另乘100。
原序列单位为回溯欧元；乘不可撤销转换率还原当年本币。法国1957–1959另乘100还原旧法郎。</v>
      </c>
      <c r="L448" s="2234" t="str">
        <v>原报价已按 1 美元兑换本币表示。乘以 1936.27，还原当年币制的计价单位。</v>
      </c>
      <c r="M448" s="2234" t="str">
        <v>1957|意大利里拉（ITL）</v>
      </c>
      <c r="N448" s="2234" t="str">
        <v>意大利里拉（ITL）</v>
      </c>
      <c r="O448" s="2239" t="n">
        <v>0.3227855619</v>
      </c>
      <c r="P448" s="2234" t="str">
        <v>LCU/USD</v>
      </c>
      <c r="Q448" s="2239" t="n">
        <v>1936.27</v>
      </c>
      <c r="R448" s="2234" t="str">
        <v>A：机构统计／原始统计表</v>
      </c>
      <c r="S448" s="2234" t="str">
        <v>年度汇率!G43；原始记录!A320:M320</v>
      </c>
      <c r="T448" s="2234" t="str"/>
      <c r="U448" t="n" s="2231">
        <v>1962</v>
      </c>
      <c r="V448" t="str" s="2231">
        <v>人民币元（1955币制；CNY）</v>
      </c>
    </row>
    <row r="449" ht="15.0" customHeight="1">
      <c r="A449" s="2234" t="n">
        <v>1957</v>
      </c>
      <c r="B449" s="2234" t="str">
        <v>JPY</v>
      </c>
      <c r="C449" s="2234" t="str">
        <v>日元（JPY）</v>
      </c>
      <c r="D449" s="2234" t="str">
        <v>可用</v>
      </c>
      <c r="E449" s="2238" t="n">
        <v>359.84</v>
      </c>
      <c r="F449" s="2234" t="str">
        <v>年均</v>
      </c>
      <c r="G449" s="2234" t="str">
        <v>MeasuringWorth：日本年均汇率</v>
      </c>
      <c r="H449" s="2234" t="str">
        <v>https://www.measuringworth.com/datasets/exchangeglobal/result.php?countryE%5B%5D=Japan&amp;year_result=2016&amp;year_source=1916</v>
      </c>
      <c r="I449" s="2234" t="str">
        <v>1957-01-01—1957-12-31</v>
      </c>
      <c r="J449" s="2234" t="str">
        <v>historical_exchange_rates_1920_2026.xlsx</v>
      </c>
      <c r="K449" s="2234" t="str">
        <v>以纽约市场年度平均报价为主；保留原表精度。</v>
      </c>
      <c r="L449" s="2234" t="str">
        <v>原报价已按 1 美元兑换本币表示。</v>
      </c>
      <c r="M449" s="2234" t="str">
        <v>1957|日元（JPY）</v>
      </c>
      <c r="N449" s="2234" t="str">
        <v>日元（JPY）</v>
      </c>
      <c r="O449" s="2239" t="n">
        <v>359.84</v>
      </c>
      <c r="P449" s="2234" t="str">
        <v>LCU/USD</v>
      </c>
      <c r="Q449" s="2239" t="n">
        <v>1</v>
      </c>
      <c r="R449" s="2234" t="str">
        <v>B：学术历史汇编</v>
      </c>
      <c r="S449" s="2234" t="str">
        <v>年度汇率!H43；原始记录!A321:M321</v>
      </c>
      <c r="T449" s="2234" t="str"/>
      <c r="U449" t="n" s="2231">
        <v>1963</v>
      </c>
      <c r="V449" t="str" s="2231">
        <v>美元（USD）</v>
      </c>
    </row>
    <row r="450" ht="15.0" customHeight="1">
      <c r="A450" s="2234" t="n">
        <v>1957</v>
      </c>
      <c r="B450" s="2234" t="str">
        <v>CHF</v>
      </c>
      <c r="C450" s="2234" t="str">
        <v>瑞士法郎（CHF）</v>
      </c>
      <c r="D450" s="2234" t="str">
        <v>可用</v>
      </c>
      <c r="E450" s="2238" t="n">
        <v>4.2863083333</v>
      </c>
      <c r="F450" s="2234" t="str">
        <v>年均</v>
      </c>
      <c r="G450" s="2234" t="str">
        <v>OECD via FRED：CHF年均汇率</v>
      </c>
      <c r="H450" s="2234" t="str">
        <v>https://fred.stlouisfed.org/data/CCUSMA02CHA618N</v>
      </c>
      <c r="I450" s="2234" t="str">
        <v>1957-01-01—1957-12-31</v>
      </c>
      <c r="J450" s="2234" t="str">
        <v>historical_exchange_rates_1920_2026.xlsx</v>
      </c>
      <c r="K450" s="2234" t="str">
        <v>单位为本币／美元；中国和印度早期数据主要反映官方汇率。</v>
      </c>
      <c r="L450" s="2234" t="str">
        <v>原报价已按 1 美元兑换本币表示。</v>
      </c>
      <c r="M450" s="2234" t="str">
        <v>1957|瑞士法郎（CHF）</v>
      </c>
      <c r="N450" s="2234" t="str">
        <v>瑞士法郎（CHF）</v>
      </c>
      <c r="O450" s="2239" t="n">
        <v>4.2863083333</v>
      </c>
      <c r="P450" s="2234" t="str">
        <v>LCU/USD</v>
      </c>
      <c r="Q450" s="2239" t="n">
        <v>1</v>
      </c>
      <c r="R450" s="2234" t="str">
        <v>A：机构统计／原始统计表</v>
      </c>
      <c r="S450" s="2234" t="str">
        <v>年度汇率!I43；原始记录!A322:M322</v>
      </c>
      <c r="T450" s="2234" t="str"/>
      <c r="U450" t="n" s="2231">
        <v>1963</v>
      </c>
      <c r="V450" t="str" s="2231">
        <v>英镑（GBP）</v>
      </c>
    </row>
    <row r="451" ht="15.0" customHeight="1">
      <c r="A451" s="2234" t="n">
        <v>1957</v>
      </c>
      <c r="B451" s="2234" t="str">
        <v>INR</v>
      </c>
      <c r="C451" s="2234" t="str">
        <v>印度卢比（INR）</v>
      </c>
      <c r="D451" s="2234" t="str">
        <v>可用</v>
      </c>
      <c r="E451" s="2238" t="n">
        <v>4.7619</v>
      </c>
      <c r="F451" s="2234" t="str">
        <v>年均</v>
      </c>
      <c r="G451" s="2234" t="str">
        <v>OECD via FRED：INR年均汇率</v>
      </c>
      <c r="H451" s="2234" t="str">
        <v>https://fred.stlouisfed.org/data/CCUSMA02INA618N</v>
      </c>
      <c r="I451" s="2234" t="str">
        <v>1957-01-01—1957-12-31</v>
      </c>
      <c r="J451" s="2234" t="str">
        <v>historical_exchange_rates_1920_2026.xlsx</v>
      </c>
      <c r="K451" s="2234" t="str">
        <v>单位为本币／美元；中国和印度早期数据主要反映官方汇率。</v>
      </c>
      <c r="L451" s="2234" t="str">
        <v>原报价已按 1 美元兑换本币表示。</v>
      </c>
      <c r="M451" s="2234" t="str">
        <v>1957|印度卢比（INR）</v>
      </c>
      <c r="N451" s="2234" t="str">
        <v>印度卢比（INR）</v>
      </c>
      <c r="O451" s="2239" t="n">
        <v>4.7619</v>
      </c>
      <c r="P451" s="2234" t="str">
        <v>LCU/USD</v>
      </c>
      <c r="Q451" s="2239" t="n">
        <v>1</v>
      </c>
      <c r="R451" s="2234" t="str">
        <v>A：机构统计／原始统计表</v>
      </c>
      <c r="S451" s="2234" t="str">
        <v>年度汇率!J43；原始记录!A323:M323</v>
      </c>
      <c r="T451" s="2234" t="str"/>
      <c r="U451" t="n" s="2231">
        <v>1963</v>
      </c>
      <c r="V451" t="str" s="2231">
        <v>加拿大元（CAD）</v>
      </c>
    </row>
    <row r="452" ht="48.0" customHeight="1">
      <c r="A452" s="2234" t="n">
        <v>1957</v>
      </c>
      <c r="B452" s="2234" t="str">
        <v>SUR_1947</v>
      </c>
      <c r="C452" s="2234" t="str">
        <v>苏联卢布（1947币制）</v>
      </c>
      <c r="D452" s="2234" t="str">
        <v>可用</v>
      </c>
      <c r="E452" s="2238" t="n">
        <v>4</v>
      </c>
      <c r="F452" s="2234" t="str">
        <v>官价区间参考（非年均）</v>
      </c>
      <c r="G452" s="2234" t="str">
        <v>苏联卢布历史官价表（Wikipedia转引俄央行历史档案）</v>
      </c>
      <c r="H452" s="2234" t="str">
        <v>https://en.wikipedia.org/wiki/Soviet_ruble#Exchange_rates</v>
      </c>
      <c r="I452" s="2234" t="str">
        <v>1950-03-01—1960-12-01</v>
      </c>
      <c r="J452" s="2234" t="str">
        <v>historical_exchange_rates_1920_2026.xlsx</v>
      </c>
      <c r="K452"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452" s="2234" t="str">
        <v>原报价已按 1 美元兑换本币表示。</v>
      </c>
      <c r="M452" s="2234" t="str">
        <v>1957|苏联卢布（1947币制）</v>
      </c>
      <c r="N452" s="2234" t="str">
        <v>苏联卢布（1947币制）</v>
      </c>
      <c r="O452" s="2239" t="n">
        <v>4</v>
      </c>
      <c r="P452" s="2234" t="str">
        <v>LCU/USD</v>
      </c>
      <c r="Q452" s="2239" t="n">
        <v>1</v>
      </c>
      <c r="R452" s="2234" t="str">
        <v>C：二手转引（原档未复核）</v>
      </c>
      <c r="S452" s="2234" t="str">
        <v>年度汇率!K43；原始记录!A324:M324</v>
      </c>
      <c r="T452" s="2234" t="str">
        <v>官价参考，并非市场年均汇率</v>
      </c>
      <c r="U452" t="n" s="2231">
        <v>1963</v>
      </c>
      <c r="V452" t="str" s="2231">
        <v>法国法郎（FRF；1960币制）</v>
      </c>
    </row>
    <row r="453" ht="15.0" customHeight="1">
      <c r="A453" s="2234" t="n">
        <v>1957</v>
      </c>
      <c r="B453" s="2234" t="str">
        <v>CNY</v>
      </c>
      <c r="C453" s="2234" t="str">
        <v>人民币元（1955币制；CNY）</v>
      </c>
      <c r="D453" s="2234" t="str">
        <v>可用</v>
      </c>
      <c r="E453" s="2238" t="n">
        <v>2.46181</v>
      </c>
      <c r="F453" s="2234" t="str">
        <v>年均</v>
      </c>
      <c r="G453" s="2234" t="str">
        <v>OECD via FRED：CNY年均汇率</v>
      </c>
      <c r="H453" s="2234" t="str">
        <v>https://fred.stlouisfed.org/data/CCUSMA02CNA618N</v>
      </c>
      <c r="I453" s="2234" t="str">
        <v>1957-01-01—1957-12-31</v>
      </c>
      <c r="J453" s="2234" t="str">
        <v>historical_exchange_rates_1920_2026.xlsx</v>
      </c>
      <c r="K453" s="2234" t="str">
        <v>单位为本币／美元；中国和印度早期数据主要反映官方汇率。</v>
      </c>
      <c r="L453" s="2234" t="str">
        <v>原报价已按 1 美元兑换本币表示。</v>
      </c>
      <c r="M453" s="2234" t="str">
        <v>1957|人民币元（1955币制；CNY）</v>
      </c>
      <c r="N453" s="2234" t="str">
        <v>人民币元（1955币制；CNY）</v>
      </c>
      <c r="O453" s="2239" t="n">
        <v>2.46181</v>
      </c>
      <c r="P453" s="2234" t="str">
        <v>LCU/USD</v>
      </c>
      <c r="Q453" s="2239" t="n">
        <v>1</v>
      </c>
      <c r="R453" s="2234" t="str">
        <v>A：机构统计／原始统计表</v>
      </c>
      <c r="S453" s="2234" t="str">
        <v>年度汇率!L43；原始记录!A325:M325</v>
      </c>
      <c r="T453" s="2234" t="str"/>
      <c r="U453" t="n" s="2231">
        <v>1963</v>
      </c>
      <c r="V453" t="str" s="2231">
        <v>西德德国马克（DEM）</v>
      </c>
    </row>
    <row r="454" ht="15.0" customHeight="1">
      <c r="A454" s="2234" t="n">
        <v>1958</v>
      </c>
      <c r="B454" s="2234" t="str">
        <v>USD</v>
      </c>
      <c r="C454" s="2234" t="str">
        <v>美元（USD）</v>
      </c>
      <c r="D454" s="2234" t="str">
        <v>可用</v>
      </c>
      <c r="E454" s="2238" t="n">
        <v>1</v>
      </c>
      <c r="F454" s="2234" t="str">
        <v>基准恒等</v>
      </c>
      <c r="G454" s="2234" t="str">
        <v>用户提供的历史汇率表</v>
      </c>
      <c r="H454" s="2234" t="str"/>
      <c r="I454" s="2234" t="str">
        <v>1958</v>
      </c>
      <c r="J454" s="2234" t="str">
        <v>historical_exchange_rates_1920_2026.xlsx</v>
      </c>
      <c r="K454" s="2234" t="str">
        <v>1 美元等于 1 美元，无外部报价。</v>
      </c>
      <c r="L454" s="2234" t="str">
        <v>美元基准，汇率恒为 1。</v>
      </c>
      <c r="M454" s="2234" t="str">
        <v>1958|美元（USD）</v>
      </c>
      <c r="N454" s="2234" t="str">
        <v>美元（USD）</v>
      </c>
      <c r="O454" s="2239"/>
      <c r="P454" s="2234" t="str"/>
      <c r="Q454" s="2239"/>
      <c r="R454" s="2234" t="str"/>
      <c r="S454" s="2234" t="str">
        <v>年度汇率!B44</v>
      </c>
      <c r="T454" s="2234" t="str"/>
      <c r="U454" t="n" s="2231">
        <v>1963</v>
      </c>
      <c r="V454" t="str" s="2231">
        <v>意大利里拉（ITL）</v>
      </c>
    </row>
    <row r="455" ht="15.0" customHeight="1">
      <c r="A455" s="2234" t="n">
        <v>1958</v>
      </c>
      <c r="B455" s="2234" t="str">
        <v>GBP</v>
      </c>
      <c r="C455" s="2234" t="str">
        <v>英镑（GBP）</v>
      </c>
      <c r="D455" s="2234" t="str">
        <v>可用</v>
      </c>
      <c r="E455" s="2238" t="n">
        <v>0.3558868325</v>
      </c>
      <c r="F455" s="2234" t="str">
        <v>年均</v>
      </c>
      <c r="G455" s="2234" t="str">
        <v>OECD via FRED：GBP年均汇率</v>
      </c>
      <c r="H455" s="2234" t="str">
        <v>https://fred.stlouisfed.org/data/CCUSMA02GBA618N</v>
      </c>
      <c r="I455" s="2234" t="str">
        <v>1958-01-01—1958-12-31</v>
      </c>
      <c r="J455" s="2234" t="str">
        <v>historical_exchange_rates_1920_2026.xlsx</v>
      </c>
      <c r="K455" s="2234" t="str">
        <v>单位为本币／美元；中国和印度早期数据主要反映官方汇率。</v>
      </c>
      <c r="L455" s="2234" t="str">
        <v>原报价已按 1 美元兑换本币表示。</v>
      </c>
      <c r="M455" s="2234" t="str">
        <v>1958|英镑（GBP）</v>
      </c>
      <c r="N455" s="2234" t="str">
        <v>英镑（GBP）</v>
      </c>
      <c r="O455" s="2239" t="n">
        <v>0.3558868325</v>
      </c>
      <c r="P455" s="2234" t="str">
        <v>LCU/USD</v>
      </c>
      <c r="Q455" s="2239" t="n">
        <v>1</v>
      </c>
      <c r="R455" s="2234" t="str">
        <v>A：机构统计／原始统计表</v>
      </c>
      <c r="S455" s="2234" t="str">
        <v>年度汇率!C44；原始记录!A326:M326</v>
      </c>
      <c r="T455" s="2234" t="str"/>
      <c r="U455" t="n" s="2231">
        <v>1963</v>
      </c>
      <c r="V455" t="str" s="2231">
        <v>日元（JPY）</v>
      </c>
    </row>
    <row r="456" ht="15.0" customHeight="1">
      <c r="A456" s="2234" t="n">
        <v>1958</v>
      </c>
      <c r="B456" s="2234" t="str">
        <v>CAD</v>
      </c>
      <c r="C456" s="2234" t="str">
        <v>加拿大元（CAD）</v>
      </c>
      <c r="D456" s="2234" t="str">
        <v>可用</v>
      </c>
      <c r="E456" s="2238" t="n">
        <v>0.97075</v>
      </c>
      <c r="F456" s="2234" t="str">
        <v>年均</v>
      </c>
      <c r="G456" s="2234" t="str">
        <v>OECD via FRED：CAD年均汇率</v>
      </c>
      <c r="H456" s="2234" t="str">
        <v>https://fred.stlouisfed.org/data/CCUSMA02CAA618N</v>
      </c>
      <c r="I456" s="2234" t="str">
        <v>1958-01-01—1958-12-31</v>
      </c>
      <c r="J456" s="2234" t="str">
        <v>historical_exchange_rates_1920_2026.xlsx</v>
      </c>
      <c r="K456" s="2234" t="str">
        <v>单位为本币／美元；中国和印度早期数据主要反映官方汇率。</v>
      </c>
      <c r="L456" s="2234" t="str">
        <v>原报价已按 1 美元兑换本币表示。</v>
      </c>
      <c r="M456" s="2234" t="str">
        <v>1958|加拿大元（CAD）</v>
      </c>
      <c r="N456" s="2234" t="str">
        <v>加拿大元（CAD）</v>
      </c>
      <c r="O456" s="2239" t="n">
        <v>0.97075</v>
      </c>
      <c r="P456" s="2234" t="str">
        <v>LCU/USD</v>
      </c>
      <c r="Q456" s="2239" t="n">
        <v>1</v>
      </c>
      <c r="R456" s="2234" t="str">
        <v>A：机构统计／原始统计表</v>
      </c>
      <c r="S456" s="2234" t="str">
        <v>年度汇率!D44；原始记录!A327:M327</v>
      </c>
      <c r="T456" s="2234" t="str"/>
      <c r="U456" t="n" s="2231">
        <v>1963</v>
      </c>
      <c r="V456" t="str" s="2231">
        <v>瑞士法郎（CHF）</v>
      </c>
    </row>
    <row r="457" ht="36.0" customHeight="1">
      <c r="A457" s="2234" t="n">
        <v>1958</v>
      </c>
      <c r="B457" s="2234" t="str">
        <v>FRF_OLD</v>
      </c>
      <c r="C457" s="2234" t="str">
        <v>法国旧法郎</v>
      </c>
      <c r="D457" s="2234" t="str">
        <v>可用</v>
      </c>
      <c r="E457" s="2238" t="n">
        <v>425.6249999890272</v>
      </c>
      <c r="F457" s="2234" t="str">
        <v>年均</v>
      </c>
      <c r="G457" s="2234" t="str">
        <v>OECD via FRED：FR年均汇率（欧元单位回溯序列）</v>
      </c>
      <c r="H457" s="2234" t="str">
        <v>https://fred.stlouisfed.org/data/CCUSMA02FRA618N</v>
      </c>
      <c r="I457" s="2234" t="str">
        <v>1958-01-01—1958-12-31</v>
      </c>
      <c r="J457" s="2234" t="str">
        <v>historical_exchange_rates_1920_2026.xlsx</v>
      </c>
      <c r="K457" s="2234" t="str">
        <v>由欧元回溯单位还原当年本币；非当年实际欧元报价。 欧元回溯单位按不可撤销转换率还原；法国1960年前另乘100。
原序列单位为回溯欧元；乘不可撤销转换率还原当年本币。法国1957–1959另乘100还原旧法郎。</v>
      </c>
      <c r="L457" s="2234" t="str">
        <v>原报价已按 1 美元兑换本币表示。乘以 655.957，还原当年币制的计价单位。</v>
      </c>
      <c r="M457" s="2234" t="str">
        <v>1958|法国旧法郎</v>
      </c>
      <c r="N457" s="2234" t="str">
        <v>法国旧法郎</v>
      </c>
      <c r="O457" s="2239" t="n">
        <v>0.6488611296</v>
      </c>
      <c r="P457" s="2234" t="str">
        <v>LCU/USD</v>
      </c>
      <c r="Q457" s="2239" t="n">
        <v>655.957</v>
      </c>
      <c r="R457" s="2234" t="str">
        <v>A：机构统计／原始统计表</v>
      </c>
      <c r="S457" s="2234" t="str">
        <v>年度汇率!E44；原始记录!A328:M328</v>
      </c>
      <c r="T457" s="2234" t="str"/>
      <c r="U457" t="n" s="2231">
        <v>1963</v>
      </c>
      <c r="V457" t="str" s="2231">
        <v>印度卢比（INR）</v>
      </c>
    </row>
    <row r="458" ht="36.0" customHeight="1">
      <c r="A458" s="2234" t="n">
        <v>1958</v>
      </c>
      <c r="B458" s="2234" t="str">
        <v>DEM</v>
      </c>
      <c r="C458" s="2234" t="str">
        <v>西德德国马克（DEM）</v>
      </c>
      <c r="D458" s="2234" t="str">
        <v>可用</v>
      </c>
      <c r="E458" s="2238" t="n">
        <v>4.193163333405687</v>
      </c>
      <c r="F458" s="2234" t="str">
        <v>年均</v>
      </c>
      <c r="G458" s="2234" t="str">
        <v>OECD via FRED：DE年均汇率（欧元单位回溯序列）</v>
      </c>
      <c r="H458" s="2234" t="str">
        <v>https://fred.stlouisfed.org/data/CCUSMA02DEA618N</v>
      </c>
      <c r="I458" s="2234" t="str">
        <v>1958-01-01—1958-12-31</v>
      </c>
      <c r="J458" s="2234" t="str">
        <v>historical_exchange_rates_1920_2026.xlsx</v>
      </c>
      <c r="K458" s="2234" t="str">
        <v>由欧元回溯单位还原当年本币；非当年实际欧元报价。 欧元回溯单位按不可撤销转换率还原；法国1960年前另乘100。
原序列单位为回溯欧元；乘不可撤销转换率还原当年本币。法国1957–1959另乘100还原旧法郎。</v>
      </c>
      <c r="L458" s="2234" t="str">
        <v>原报价已按 1 美元兑换本币表示。乘以 1.95583，还原当年币制的计价单位。</v>
      </c>
      <c r="M458" s="2234" t="str">
        <v>1958|西德德国马克（DEM）</v>
      </c>
      <c r="N458" s="2234" t="str">
        <v>西德德国马克（DEM）</v>
      </c>
      <c r="O458" s="2239" t="n">
        <v>2.1439303689</v>
      </c>
      <c r="P458" s="2234" t="str">
        <v>LCU/USD</v>
      </c>
      <c r="Q458" s="2239" t="n">
        <v>1.95583</v>
      </c>
      <c r="R458" s="2234" t="str">
        <v>A：机构统计／原始统计表</v>
      </c>
      <c r="S458" s="2234" t="str">
        <v>年度汇率!F44、年度汇率!M44；原始记录!A329:M329</v>
      </c>
      <c r="T458" s="2234" t="str"/>
      <c r="U458" t="n" s="2231">
        <v>1963</v>
      </c>
      <c r="V458" t="str" s="2231">
        <v>苏联卢布（1961币制）</v>
      </c>
    </row>
    <row r="459" ht="36.0" customHeight="1">
      <c r="A459" s="2234" t="n">
        <v>1958</v>
      </c>
      <c r="B459" s="2234" t="str">
        <v>ITL</v>
      </c>
      <c r="C459" s="2234" t="str">
        <v>意大利里拉（ITL）</v>
      </c>
      <c r="D459" s="2234" t="str">
        <v>可用</v>
      </c>
      <c r="E459" s="2238" t="n">
        <v>624.739999928037</v>
      </c>
      <c r="F459" s="2234" t="str">
        <v>年均</v>
      </c>
      <c r="G459" s="2234" t="str">
        <v>OECD via FRED：IT年均汇率（欧元单位回溯序列）</v>
      </c>
      <c r="H459" s="2234" t="str">
        <v>https://fred.stlouisfed.org/data/CCUSMA02ITA618N</v>
      </c>
      <c r="I459" s="2234" t="str">
        <v>1958-01-01—1958-12-31</v>
      </c>
      <c r="J459" s="2234" t="str">
        <v>historical_exchange_rates_1920_2026.xlsx</v>
      </c>
      <c r="K459" s="2234" t="str">
        <v>由欧元回溯单位还原当年本币；非当年实际欧元报价。 欧元回溯单位按不可撤销转换率还原；法国1960年前另乘100。
原序列单位为回溯欧元；乘不可撤销转换率还原当年本币。法国1957–1959另乘100还原旧法郎。</v>
      </c>
      <c r="L459" s="2234" t="str">
        <v>原报价已按 1 美元兑换本币表示。乘以 1936.27，还原当年币制的计价单位。</v>
      </c>
      <c r="M459" s="2234" t="str">
        <v>1958|意大利里拉（ITL）</v>
      </c>
      <c r="N459" s="2234" t="str">
        <v>意大利里拉（ITL）</v>
      </c>
      <c r="O459" s="2239" t="n">
        <v>0.3226512831</v>
      </c>
      <c r="P459" s="2234" t="str">
        <v>LCU/USD</v>
      </c>
      <c r="Q459" s="2239" t="n">
        <v>1936.27</v>
      </c>
      <c r="R459" s="2234" t="str">
        <v>A：机构统计／原始统计表</v>
      </c>
      <c r="S459" s="2234" t="str">
        <v>年度汇率!G44；原始记录!A330:M330</v>
      </c>
      <c r="T459" s="2234" t="str"/>
      <c r="U459" t="n" s="2231">
        <v>1963</v>
      </c>
      <c r="V459" t="str" s="2231">
        <v>人民币元（1955币制；CNY）</v>
      </c>
    </row>
    <row r="460" ht="15.0" customHeight="1">
      <c r="A460" s="2234" t="n">
        <v>1958</v>
      </c>
      <c r="B460" s="2234" t="str">
        <v>JPY</v>
      </c>
      <c r="C460" s="2234" t="str">
        <v>日元（JPY）</v>
      </c>
      <c r="D460" s="2234" t="str">
        <v>可用</v>
      </c>
      <c r="E460" s="2238" t="n">
        <v>359.84</v>
      </c>
      <c r="F460" s="2234" t="str">
        <v>年均</v>
      </c>
      <c r="G460" s="2234" t="str">
        <v>MeasuringWorth：日本年均汇率</v>
      </c>
      <c r="H460" s="2234" t="str">
        <v>https://www.measuringworth.com/datasets/exchangeglobal/result.php?countryE%5B%5D=Japan&amp;year_result=2016&amp;year_source=1916</v>
      </c>
      <c r="I460" s="2234" t="str">
        <v>1958-01-01—1958-12-31</v>
      </c>
      <c r="J460" s="2234" t="str">
        <v>historical_exchange_rates_1920_2026.xlsx</v>
      </c>
      <c r="K460" s="2234" t="str">
        <v>以纽约市场年度平均报价为主；保留原表精度。</v>
      </c>
      <c r="L460" s="2234" t="str">
        <v>原报价已按 1 美元兑换本币表示。</v>
      </c>
      <c r="M460" s="2234" t="str">
        <v>1958|日元（JPY）</v>
      </c>
      <c r="N460" s="2234" t="str">
        <v>日元（JPY）</v>
      </c>
      <c r="O460" s="2239" t="n">
        <v>359.84</v>
      </c>
      <c r="P460" s="2234" t="str">
        <v>LCU/USD</v>
      </c>
      <c r="Q460" s="2239" t="n">
        <v>1</v>
      </c>
      <c r="R460" s="2234" t="str">
        <v>B：学术历史汇编</v>
      </c>
      <c r="S460" s="2234" t="str">
        <v>年度汇率!H44；原始记录!A331:M331</v>
      </c>
      <c r="T460" s="2234" t="str"/>
      <c r="U460" t="n" s="2231">
        <v>1964</v>
      </c>
      <c r="V460" t="str" s="2231">
        <v>美元（USD）</v>
      </c>
    </row>
    <row r="461" ht="15.0" customHeight="1">
      <c r="A461" s="2234" t="n">
        <v>1958</v>
      </c>
      <c r="B461" s="2234" t="str">
        <v>CHF</v>
      </c>
      <c r="C461" s="2234" t="str">
        <v>瑞士法郎（CHF）</v>
      </c>
      <c r="D461" s="2234" t="str">
        <v>可用</v>
      </c>
      <c r="E461" s="2238" t="n">
        <v>4.2867583333</v>
      </c>
      <c r="F461" s="2234" t="str">
        <v>年均</v>
      </c>
      <c r="G461" s="2234" t="str">
        <v>OECD via FRED：CHF年均汇率</v>
      </c>
      <c r="H461" s="2234" t="str">
        <v>https://fred.stlouisfed.org/data/CCUSMA02CHA618N</v>
      </c>
      <c r="I461" s="2234" t="str">
        <v>1958-01-01—1958-12-31</v>
      </c>
      <c r="J461" s="2234" t="str">
        <v>historical_exchange_rates_1920_2026.xlsx</v>
      </c>
      <c r="K461" s="2234" t="str">
        <v>单位为本币／美元；中国和印度早期数据主要反映官方汇率。</v>
      </c>
      <c r="L461" s="2234" t="str">
        <v>原报价已按 1 美元兑换本币表示。</v>
      </c>
      <c r="M461" s="2234" t="str">
        <v>1958|瑞士法郎（CHF）</v>
      </c>
      <c r="N461" s="2234" t="str">
        <v>瑞士法郎（CHF）</v>
      </c>
      <c r="O461" s="2239" t="n">
        <v>4.2867583333</v>
      </c>
      <c r="P461" s="2234" t="str">
        <v>LCU/USD</v>
      </c>
      <c r="Q461" s="2239" t="n">
        <v>1</v>
      </c>
      <c r="R461" s="2234" t="str">
        <v>A：机构统计／原始统计表</v>
      </c>
      <c r="S461" s="2234" t="str">
        <v>年度汇率!I44；原始记录!A332:M332</v>
      </c>
      <c r="T461" s="2234" t="str"/>
      <c r="U461" t="n" s="2231">
        <v>1964</v>
      </c>
      <c r="V461" t="str" s="2231">
        <v>英镑（GBP）</v>
      </c>
    </row>
    <row r="462" ht="15.0" customHeight="1">
      <c r="A462" s="2234" t="n">
        <v>1958</v>
      </c>
      <c r="B462" s="2234" t="str">
        <v>INR</v>
      </c>
      <c r="C462" s="2234" t="str">
        <v>印度卢比（INR）</v>
      </c>
      <c r="D462" s="2234" t="str">
        <v>可用</v>
      </c>
      <c r="E462" s="2238" t="n">
        <v>4.7619</v>
      </c>
      <c r="F462" s="2234" t="str">
        <v>年均</v>
      </c>
      <c r="G462" s="2234" t="str">
        <v>OECD via FRED：INR年均汇率</v>
      </c>
      <c r="H462" s="2234" t="str">
        <v>https://fred.stlouisfed.org/data/CCUSMA02INA618N</v>
      </c>
      <c r="I462" s="2234" t="str">
        <v>1958-01-01—1958-12-31</v>
      </c>
      <c r="J462" s="2234" t="str">
        <v>historical_exchange_rates_1920_2026.xlsx</v>
      </c>
      <c r="K462" s="2234" t="str">
        <v>单位为本币／美元；中国和印度早期数据主要反映官方汇率。</v>
      </c>
      <c r="L462" s="2234" t="str">
        <v>原报价已按 1 美元兑换本币表示。</v>
      </c>
      <c r="M462" s="2234" t="str">
        <v>1958|印度卢比（INR）</v>
      </c>
      <c r="N462" s="2234" t="str">
        <v>印度卢比（INR）</v>
      </c>
      <c r="O462" s="2239" t="n">
        <v>4.7619</v>
      </c>
      <c r="P462" s="2234" t="str">
        <v>LCU/USD</v>
      </c>
      <c r="Q462" s="2239" t="n">
        <v>1</v>
      </c>
      <c r="R462" s="2234" t="str">
        <v>A：机构统计／原始统计表</v>
      </c>
      <c r="S462" s="2234" t="str">
        <v>年度汇率!J44；原始记录!A333:M333</v>
      </c>
      <c r="T462" s="2234" t="str"/>
      <c r="U462" t="n" s="2231">
        <v>1964</v>
      </c>
      <c r="V462" t="str" s="2231">
        <v>加拿大元（CAD）</v>
      </c>
    </row>
    <row r="463" ht="48.0" customHeight="1">
      <c r="A463" s="2234" t="n">
        <v>1958</v>
      </c>
      <c r="B463" s="2234" t="str">
        <v>SUR_1947</v>
      </c>
      <c r="C463" s="2234" t="str">
        <v>苏联卢布（1947币制）</v>
      </c>
      <c r="D463" s="2234" t="str">
        <v>可用</v>
      </c>
      <c r="E463" s="2238" t="n">
        <v>4</v>
      </c>
      <c r="F463" s="2234" t="str">
        <v>官价区间参考（非年均）</v>
      </c>
      <c r="G463" s="2234" t="str">
        <v>苏联卢布历史官价表（Wikipedia转引俄央行历史档案）</v>
      </c>
      <c r="H463" s="2234" t="str">
        <v>https://en.wikipedia.org/wiki/Soviet_ruble#Exchange_rates</v>
      </c>
      <c r="I463" s="2234" t="str">
        <v>1950-03-01—1960-12-01</v>
      </c>
      <c r="J463" s="2234" t="str">
        <v>historical_exchange_rates_1920_2026.xlsx</v>
      </c>
      <c r="K463"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463" s="2234" t="str">
        <v>原报价已按 1 美元兑换本币表示。</v>
      </c>
      <c r="M463" s="2234" t="str">
        <v>1958|苏联卢布（1947币制）</v>
      </c>
      <c r="N463" s="2234" t="str">
        <v>苏联卢布（1947币制）</v>
      </c>
      <c r="O463" s="2239" t="n">
        <v>4</v>
      </c>
      <c r="P463" s="2234" t="str">
        <v>LCU/USD</v>
      </c>
      <c r="Q463" s="2239" t="n">
        <v>1</v>
      </c>
      <c r="R463" s="2234" t="str">
        <v>C：二手转引（原档未复核）</v>
      </c>
      <c r="S463" s="2234" t="str">
        <v>年度汇率!K44；原始记录!A334:M334</v>
      </c>
      <c r="T463" s="2234" t="str">
        <v>官价参考，并非市场年均汇率</v>
      </c>
      <c r="U463" t="n" s="2231">
        <v>1964</v>
      </c>
      <c r="V463" t="str" s="2231">
        <v>法国法郎（FRF；1960币制）</v>
      </c>
    </row>
    <row r="464" ht="15.0" customHeight="1">
      <c r="A464" s="2234" t="n">
        <v>1958</v>
      </c>
      <c r="B464" s="2234" t="str">
        <v>CNY</v>
      </c>
      <c r="C464" s="2234" t="str">
        <v>人民币元（1955币制；CNY）</v>
      </c>
      <c r="D464" s="2234" t="str">
        <v>可用</v>
      </c>
      <c r="E464" s="2238" t="n">
        <v>2.46181</v>
      </c>
      <c r="F464" s="2234" t="str">
        <v>年均</v>
      </c>
      <c r="G464" s="2234" t="str">
        <v>OECD via FRED：CNY年均汇率</v>
      </c>
      <c r="H464" s="2234" t="str">
        <v>https://fred.stlouisfed.org/data/CCUSMA02CNA618N</v>
      </c>
      <c r="I464" s="2234" t="str">
        <v>1958-01-01—1958-12-31</v>
      </c>
      <c r="J464" s="2234" t="str">
        <v>historical_exchange_rates_1920_2026.xlsx</v>
      </c>
      <c r="K464" s="2234" t="str">
        <v>单位为本币／美元；中国和印度早期数据主要反映官方汇率。</v>
      </c>
      <c r="L464" s="2234" t="str">
        <v>原报价已按 1 美元兑换本币表示。</v>
      </c>
      <c r="M464" s="2234" t="str">
        <v>1958|人民币元（1955币制；CNY）</v>
      </c>
      <c r="N464" s="2234" t="str">
        <v>人民币元（1955币制；CNY）</v>
      </c>
      <c r="O464" s="2239" t="n">
        <v>2.46181</v>
      </c>
      <c r="P464" s="2234" t="str">
        <v>LCU/USD</v>
      </c>
      <c r="Q464" s="2239" t="n">
        <v>1</v>
      </c>
      <c r="R464" s="2234" t="str">
        <v>A：机构统计／原始统计表</v>
      </c>
      <c r="S464" s="2234" t="str">
        <v>年度汇率!L44；原始记录!A335:M335</v>
      </c>
      <c r="T464" s="2234" t="str"/>
      <c r="U464" t="n" s="2231">
        <v>1964</v>
      </c>
      <c r="V464" t="str" s="2231">
        <v>西德德国马克（DEM）</v>
      </c>
    </row>
    <row r="465" ht="15.0" customHeight="1">
      <c r="A465" s="2234" t="n">
        <v>1959</v>
      </c>
      <c r="B465" s="2234" t="str">
        <v>USD</v>
      </c>
      <c r="C465" s="2234" t="str">
        <v>美元（USD）</v>
      </c>
      <c r="D465" s="2234" t="str">
        <v>可用</v>
      </c>
      <c r="E465" s="2238" t="n">
        <v>1</v>
      </c>
      <c r="F465" s="2234" t="str">
        <v>基准恒等</v>
      </c>
      <c r="G465" s="2234" t="str">
        <v>用户提供的历史汇率表</v>
      </c>
      <c r="H465" s="2234" t="str"/>
      <c r="I465" s="2234" t="str">
        <v>1959</v>
      </c>
      <c r="J465" s="2234" t="str">
        <v>historical_exchange_rates_1920_2026.xlsx</v>
      </c>
      <c r="K465" s="2234" t="str">
        <v>1 美元等于 1 美元，无外部报价。</v>
      </c>
      <c r="L465" s="2234" t="str">
        <v>美元基准，汇率恒为 1。</v>
      </c>
      <c r="M465" s="2234" t="str">
        <v>1959|美元（USD）</v>
      </c>
      <c r="N465" s="2234" t="str">
        <v>美元（USD）</v>
      </c>
      <c r="O465" s="2239"/>
      <c r="P465" s="2234" t="str"/>
      <c r="Q465" s="2239"/>
      <c r="R465" s="2234" t="str"/>
      <c r="S465" s="2234" t="str">
        <v>年度汇率!B45</v>
      </c>
      <c r="T465" s="2234" t="str"/>
      <c r="U465" t="n" s="2231">
        <v>1964</v>
      </c>
      <c r="V465" t="str" s="2231">
        <v>意大利里拉（ITL）</v>
      </c>
    </row>
    <row r="466" ht="15.0" customHeight="1">
      <c r="A466" s="2234" t="n">
        <v>1959</v>
      </c>
      <c r="B466" s="2234" t="str">
        <v>GBP</v>
      </c>
      <c r="C466" s="2234" t="str">
        <v>英镑（GBP）</v>
      </c>
      <c r="D466" s="2234" t="str">
        <v>可用</v>
      </c>
      <c r="E466" s="2238" t="n">
        <v>0.3560166242</v>
      </c>
      <c r="F466" s="2234" t="str">
        <v>年均</v>
      </c>
      <c r="G466" s="2234" t="str">
        <v>OECD via FRED：GBP年均汇率</v>
      </c>
      <c r="H466" s="2234" t="str">
        <v>https://fred.stlouisfed.org/data/CCUSMA02GBA618N</v>
      </c>
      <c r="I466" s="2234" t="str">
        <v>1959-01-01—1959-12-31</v>
      </c>
      <c r="J466" s="2234" t="str">
        <v>historical_exchange_rates_1920_2026.xlsx</v>
      </c>
      <c r="K466" s="2234" t="str">
        <v>单位为本币／美元；中国和印度早期数据主要反映官方汇率。</v>
      </c>
      <c r="L466" s="2234" t="str">
        <v>原报价已按 1 美元兑换本币表示。</v>
      </c>
      <c r="M466" s="2234" t="str">
        <v>1959|英镑（GBP）</v>
      </c>
      <c r="N466" s="2234" t="str">
        <v>英镑（GBP）</v>
      </c>
      <c r="O466" s="2239" t="n">
        <v>0.3560166242</v>
      </c>
      <c r="P466" s="2234" t="str">
        <v>LCU/USD</v>
      </c>
      <c r="Q466" s="2239" t="n">
        <v>1</v>
      </c>
      <c r="R466" s="2234" t="str">
        <v>A：机构统计／原始统计表</v>
      </c>
      <c r="S466" s="2234" t="str">
        <v>年度汇率!C45；原始记录!A336:M336</v>
      </c>
      <c r="T466" s="2234" t="str"/>
      <c r="U466" t="n" s="2231">
        <v>1964</v>
      </c>
      <c r="V466" t="str" s="2231">
        <v>日元（JPY）</v>
      </c>
    </row>
    <row r="467" ht="15.0" customHeight="1">
      <c r="A467" s="2234" t="n">
        <v>1959</v>
      </c>
      <c r="B467" s="2234" t="str">
        <v>CAD</v>
      </c>
      <c r="C467" s="2234" t="str">
        <v>加拿大元（CAD）</v>
      </c>
      <c r="D467" s="2234" t="str">
        <v>可用</v>
      </c>
      <c r="E467" s="2238" t="n">
        <v>0.9591666667</v>
      </c>
      <c r="F467" s="2234" t="str">
        <v>年均</v>
      </c>
      <c r="G467" s="2234" t="str">
        <v>OECD via FRED：CAD年均汇率</v>
      </c>
      <c r="H467" s="2234" t="str">
        <v>https://fred.stlouisfed.org/data/CCUSMA02CAA618N</v>
      </c>
      <c r="I467" s="2234" t="str">
        <v>1959-01-01—1959-12-31</v>
      </c>
      <c r="J467" s="2234" t="str">
        <v>historical_exchange_rates_1920_2026.xlsx</v>
      </c>
      <c r="K467" s="2234" t="str">
        <v>单位为本币／美元；中国和印度早期数据主要反映官方汇率。</v>
      </c>
      <c r="L467" s="2234" t="str">
        <v>原报价已按 1 美元兑换本币表示。</v>
      </c>
      <c r="M467" s="2234" t="str">
        <v>1959|加拿大元（CAD）</v>
      </c>
      <c r="N467" s="2234" t="str">
        <v>加拿大元（CAD）</v>
      </c>
      <c r="O467" s="2239" t="n">
        <v>0.9591666667</v>
      </c>
      <c r="P467" s="2234" t="str">
        <v>LCU/USD</v>
      </c>
      <c r="Q467" s="2239" t="n">
        <v>1</v>
      </c>
      <c r="R467" s="2234" t="str">
        <v>A：机构统计／原始统计表</v>
      </c>
      <c r="S467" s="2234" t="str">
        <v>年度汇率!D45；原始记录!A337:M337</v>
      </c>
      <c r="T467" s="2234" t="str"/>
      <c r="U467" t="n" s="2231">
        <v>1964</v>
      </c>
      <c r="V467" t="str" s="2231">
        <v>瑞士法郎（CHF）</v>
      </c>
    </row>
    <row r="468" ht="36.0" customHeight="1">
      <c r="A468" s="2234" t="n">
        <v>1959</v>
      </c>
      <c r="B468" s="2234" t="str">
        <v>FRF_OLD</v>
      </c>
      <c r="C468" s="2234" t="str">
        <v>法国旧法郎</v>
      </c>
      <c r="D468" s="2234" t="str">
        <v>可用</v>
      </c>
      <c r="E468" s="2238" t="n">
        <v>490.449999973185</v>
      </c>
      <c r="F468" s="2234" t="str">
        <v>年均</v>
      </c>
      <c r="G468" s="2234" t="str">
        <v>OECD via FRED：FR年均汇率（欧元单位回溯序列）</v>
      </c>
      <c r="H468" s="2234" t="str">
        <v>https://fred.stlouisfed.org/data/CCUSMA02FRA618N</v>
      </c>
      <c r="I468" s="2234" t="str">
        <v>1959-01-01—1959-12-31</v>
      </c>
      <c r="J468" s="2234" t="str">
        <v>historical_exchange_rates_1920_2026.xlsx</v>
      </c>
      <c r="K468" s="2234" t="str">
        <v>由欧元回溯单位还原当年本币；非当年实际欧元报价。 欧元回溯单位按不可撤销转换率还原；法国1960年前另乘100。
原序列单位为回溯欧元；乘不可撤销转换率还原当年本币。法国1957–1959另乘100还原旧法郎。</v>
      </c>
      <c r="L468" s="2234" t="str">
        <v>原报价已按 1 美元兑换本币表示。乘以 655.957，还原当年币制的计价单位。</v>
      </c>
      <c r="M468" s="2234" t="str">
        <v>1959|法国旧法郎</v>
      </c>
      <c r="N468" s="2234" t="str">
        <v>法国旧法郎</v>
      </c>
      <c r="O468" s="2239" t="n">
        <v>0.747686205</v>
      </c>
      <c r="P468" s="2234" t="str">
        <v>LCU/USD</v>
      </c>
      <c r="Q468" s="2239" t="n">
        <v>655.957</v>
      </c>
      <c r="R468" s="2234" t="str">
        <v>A：机构统计／原始统计表</v>
      </c>
      <c r="S468" s="2234" t="str">
        <v>年度汇率!E45；原始记录!A338:M338</v>
      </c>
      <c r="T468" s="2234" t="str"/>
      <c r="U468" t="n" s="2231">
        <v>1964</v>
      </c>
      <c r="V468" t="str" s="2231">
        <v>印度卢比（INR）</v>
      </c>
    </row>
    <row r="469" ht="36.0" customHeight="1">
      <c r="A469" s="2234" t="n">
        <v>1959</v>
      </c>
      <c r="B469" s="2234" t="str">
        <v>DEM</v>
      </c>
      <c r="C469" s="2234" t="str">
        <v>西德德国马克（DEM）</v>
      </c>
      <c r="D469" s="2234" t="str">
        <v>可用</v>
      </c>
      <c r="E469" s="2238" t="n">
        <v>4.1793833332548616</v>
      </c>
      <c r="F469" s="2234" t="str">
        <v>年均</v>
      </c>
      <c r="G469" s="2234" t="str">
        <v>OECD via FRED：DE年均汇率（欧元单位回溯序列）</v>
      </c>
      <c r="H469" s="2234" t="str">
        <v>https://fred.stlouisfed.org/data/CCUSMA02DEA618N</v>
      </c>
      <c r="I469" s="2234" t="str">
        <v>1959-01-01—1959-12-31</v>
      </c>
      <c r="J469" s="2234" t="str">
        <v>historical_exchange_rates_1920_2026.xlsx</v>
      </c>
      <c r="K469" s="2234" t="str">
        <v>由欧元回溯单位还原当年本币；非当年实际欧元报价。 欧元回溯单位按不可撤销转换率还原；法国1960年前另乘100。
原序列单位为回溯欧元；乘不可撤销转换率还原当年本币。法国1957–1959另乘100还原旧法郎。</v>
      </c>
      <c r="L469" s="2234" t="str">
        <v>原报价已按 1 美元兑换本币表示。乘以 1.95583，还原当年币制的计价单位。</v>
      </c>
      <c r="M469" s="2234" t="str">
        <v>1959|西德德国马克（DEM）</v>
      </c>
      <c r="N469" s="2234" t="str">
        <v>西德德国马克（DEM）</v>
      </c>
      <c r="O469" s="2239" t="n">
        <v>2.1368847667</v>
      </c>
      <c r="P469" s="2234" t="str">
        <v>LCU/USD</v>
      </c>
      <c r="Q469" s="2239" t="n">
        <v>1.95583</v>
      </c>
      <c r="R469" s="2234" t="str">
        <v>A：机构统计／原始统计表</v>
      </c>
      <c r="S469" s="2234" t="str">
        <v>年度汇率!F45、年度汇率!M45；原始记录!A339:M339</v>
      </c>
      <c r="T469" s="2234" t="str"/>
      <c r="U469" t="n" s="2231">
        <v>1964</v>
      </c>
      <c r="V469" t="str" s="2231">
        <v>苏联卢布（1961币制）</v>
      </c>
    </row>
    <row r="470" ht="36.0" customHeight="1">
      <c r="A470" s="2234" t="n">
        <v>1959</v>
      </c>
      <c r="B470" s="2234" t="str">
        <v>ITL</v>
      </c>
      <c r="C470" s="2234" t="str">
        <v>意大利里拉（ITL）</v>
      </c>
      <c r="D470" s="2234" t="str">
        <v>可用</v>
      </c>
      <c r="E470" s="2238" t="n">
        <v>621.086083399229</v>
      </c>
      <c r="F470" s="2234" t="str">
        <v>年均</v>
      </c>
      <c r="G470" s="2234" t="str">
        <v>OECD via FRED：IT年均汇率（欧元单位回溯序列）</v>
      </c>
      <c r="H470" s="2234" t="str">
        <v>https://fred.stlouisfed.org/data/CCUSMA02ITA618N</v>
      </c>
      <c r="I470" s="2234" t="str">
        <v>1959-01-01—1959-12-31</v>
      </c>
      <c r="J470" s="2234" t="str">
        <v>historical_exchange_rates_1920_2026.xlsx</v>
      </c>
      <c r="K470" s="2234" t="str">
        <v>由欧元回溯单位还原当年本币；非当年实际欧元报价。 欧元回溯单位按不可撤销转换率还原；法国1960年前另乘100。
原序列单位为回溯欧元；乘不可撤销转换率还原当年本币。法国1957–1959另乘100还原旧法郎。</v>
      </c>
      <c r="L470" s="2234" t="str">
        <v>原报价已按 1 美元兑换本币表示。乘以 1936.27，还原当年币制的计价单位。</v>
      </c>
      <c r="M470" s="2234" t="str">
        <v>1959|意大利里拉（ITL）</v>
      </c>
      <c r="N470" s="2234" t="str">
        <v>意大利里拉（ITL）</v>
      </c>
      <c r="O470" s="2239" t="n">
        <v>0.3207641927</v>
      </c>
      <c r="P470" s="2234" t="str">
        <v>LCU/USD</v>
      </c>
      <c r="Q470" s="2239" t="n">
        <v>1936.27</v>
      </c>
      <c r="R470" s="2234" t="str">
        <v>A：机构统计／原始统计表</v>
      </c>
      <c r="S470" s="2234" t="str">
        <v>年度汇率!G45；原始记录!A340:M340</v>
      </c>
      <c r="T470" s="2234" t="str"/>
      <c r="U470" t="n" s="2231">
        <v>1964</v>
      </c>
      <c r="V470" t="str" s="2231">
        <v>人民币元（1955币制；CNY）</v>
      </c>
    </row>
    <row r="471" ht="15.0" customHeight="1">
      <c r="A471" s="2234" t="n">
        <v>1959</v>
      </c>
      <c r="B471" s="2234" t="str">
        <v>JPY</v>
      </c>
      <c r="C471" s="2234" t="str">
        <v>日元（JPY）</v>
      </c>
      <c r="D471" s="2234" t="str">
        <v>可用</v>
      </c>
      <c r="E471" s="2238" t="n">
        <v>359.97</v>
      </c>
      <c r="F471" s="2234" t="str">
        <v>年均</v>
      </c>
      <c r="G471" s="2234" t="str">
        <v>MeasuringWorth：日本年均汇率</v>
      </c>
      <c r="H471" s="2234" t="str">
        <v>https://www.measuringworth.com/datasets/exchangeglobal/result.php?countryE%5B%5D=Japan&amp;year_result=2016&amp;year_source=1916</v>
      </c>
      <c r="I471" s="2234" t="str">
        <v>1959-01-01—1959-12-31</v>
      </c>
      <c r="J471" s="2234" t="str">
        <v>historical_exchange_rates_1920_2026.xlsx</v>
      </c>
      <c r="K471" s="2234" t="str">
        <v>以纽约市场年度平均报价为主；保留原表精度。</v>
      </c>
      <c r="L471" s="2234" t="str">
        <v>原报价已按 1 美元兑换本币表示。</v>
      </c>
      <c r="M471" s="2234" t="str">
        <v>1959|日元（JPY）</v>
      </c>
      <c r="N471" s="2234" t="str">
        <v>日元（JPY）</v>
      </c>
      <c r="O471" s="2239" t="n">
        <v>359.97</v>
      </c>
      <c r="P471" s="2234" t="str">
        <v>LCU/USD</v>
      </c>
      <c r="Q471" s="2239" t="n">
        <v>1</v>
      </c>
      <c r="R471" s="2234" t="str">
        <v>B：学术历史汇编</v>
      </c>
      <c r="S471" s="2234" t="str">
        <v>年度汇率!H45；原始记录!A341:M341</v>
      </c>
      <c r="T471" s="2234" t="str"/>
      <c r="U471" t="n" s="2231">
        <v>1965</v>
      </c>
      <c r="V471" t="str" s="2231">
        <v>美元（USD）</v>
      </c>
    </row>
    <row r="472" ht="15.0" customHeight="1">
      <c r="A472" s="2234" t="n">
        <v>1959</v>
      </c>
      <c r="B472" s="2234" t="str">
        <v>CHF</v>
      </c>
      <c r="C472" s="2234" t="str">
        <v>瑞士法郎（CHF）</v>
      </c>
      <c r="D472" s="2234" t="str">
        <v>可用</v>
      </c>
      <c r="E472" s="2238" t="n">
        <v>4.3214166667</v>
      </c>
      <c r="F472" s="2234" t="str">
        <v>年均</v>
      </c>
      <c r="G472" s="2234" t="str">
        <v>OECD via FRED：CHF年均汇率</v>
      </c>
      <c r="H472" s="2234" t="str">
        <v>https://fred.stlouisfed.org/data/CCUSMA02CHA618N</v>
      </c>
      <c r="I472" s="2234" t="str">
        <v>1959-01-01—1959-12-31</v>
      </c>
      <c r="J472" s="2234" t="str">
        <v>historical_exchange_rates_1920_2026.xlsx</v>
      </c>
      <c r="K472" s="2234" t="str">
        <v>单位为本币／美元；中国和印度早期数据主要反映官方汇率。</v>
      </c>
      <c r="L472" s="2234" t="str">
        <v>原报价已按 1 美元兑换本币表示。</v>
      </c>
      <c r="M472" s="2234" t="str">
        <v>1959|瑞士法郎（CHF）</v>
      </c>
      <c r="N472" s="2234" t="str">
        <v>瑞士法郎（CHF）</v>
      </c>
      <c r="O472" s="2239" t="n">
        <v>4.3214166667</v>
      </c>
      <c r="P472" s="2234" t="str">
        <v>LCU/USD</v>
      </c>
      <c r="Q472" s="2239" t="n">
        <v>1</v>
      </c>
      <c r="R472" s="2234" t="str">
        <v>A：机构统计／原始统计表</v>
      </c>
      <c r="S472" s="2234" t="str">
        <v>年度汇率!I45；原始记录!A342:M342</v>
      </c>
      <c r="T472" s="2234" t="str"/>
      <c r="U472" t="n" s="2231">
        <v>1965</v>
      </c>
      <c r="V472" t="str" s="2231">
        <v>英镑（GBP）</v>
      </c>
    </row>
    <row r="473" ht="15.0" customHeight="1">
      <c r="A473" s="2234" t="n">
        <v>1959</v>
      </c>
      <c r="B473" s="2234" t="str">
        <v>INR</v>
      </c>
      <c r="C473" s="2234" t="str">
        <v>印度卢比（INR）</v>
      </c>
      <c r="D473" s="2234" t="str">
        <v>可用</v>
      </c>
      <c r="E473" s="2238" t="n">
        <v>4.7619</v>
      </c>
      <c r="F473" s="2234" t="str">
        <v>年均</v>
      </c>
      <c r="G473" s="2234" t="str">
        <v>OECD via FRED：INR年均汇率</v>
      </c>
      <c r="H473" s="2234" t="str">
        <v>https://fred.stlouisfed.org/data/CCUSMA02INA618N</v>
      </c>
      <c r="I473" s="2234" t="str">
        <v>1959-01-01—1959-12-31</v>
      </c>
      <c r="J473" s="2234" t="str">
        <v>historical_exchange_rates_1920_2026.xlsx</v>
      </c>
      <c r="K473" s="2234" t="str">
        <v>单位为本币／美元；中国和印度早期数据主要反映官方汇率。</v>
      </c>
      <c r="L473" s="2234" t="str">
        <v>原报价已按 1 美元兑换本币表示。</v>
      </c>
      <c r="M473" s="2234" t="str">
        <v>1959|印度卢比（INR）</v>
      </c>
      <c r="N473" s="2234" t="str">
        <v>印度卢比（INR）</v>
      </c>
      <c r="O473" s="2239" t="n">
        <v>4.7619</v>
      </c>
      <c r="P473" s="2234" t="str">
        <v>LCU/USD</v>
      </c>
      <c r="Q473" s="2239" t="n">
        <v>1</v>
      </c>
      <c r="R473" s="2234" t="str">
        <v>A：机构统计／原始统计表</v>
      </c>
      <c r="S473" s="2234" t="str">
        <v>年度汇率!J45；原始记录!A343:M343</v>
      </c>
      <c r="T473" s="2234" t="str"/>
      <c r="U473" t="n" s="2231">
        <v>1965</v>
      </c>
      <c r="V473" t="str" s="2231">
        <v>加拿大元（CAD）</v>
      </c>
    </row>
    <row r="474" ht="48.0" customHeight="1">
      <c r="A474" s="2234" t="n">
        <v>1959</v>
      </c>
      <c r="B474" s="2234" t="str">
        <v>SUR_1947</v>
      </c>
      <c r="C474" s="2234" t="str">
        <v>苏联卢布（1947币制）</v>
      </c>
      <c r="D474" s="2234" t="str">
        <v>可用</v>
      </c>
      <c r="E474" s="2238" t="n">
        <v>4</v>
      </c>
      <c r="F474" s="2234" t="str">
        <v>官价区间参考（非年均）</v>
      </c>
      <c r="G474" s="2234" t="str">
        <v>苏联卢布历史官价表（Wikipedia转引俄央行历史档案）</v>
      </c>
      <c r="H474" s="2234" t="str">
        <v>https://en.wikipedia.org/wiki/Soviet_ruble#Exchange_rates</v>
      </c>
      <c r="I474" s="2234" t="str">
        <v>1950-03-01—1960-12-01</v>
      </c>
      <c r="J474" s="2234" t="str">
        <v>historical_exchange_rates_1920_2026.xlsx</v>
      </c>
      <c r="K474"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474" s="2234" t="str">
        <v>原报价已按 1 美元兑换本币表示。</v>
      </c>
      <c r="M474" s="2234" t="str">
        <v>1959|苏联卢布（1947币制）</v>
      </c>
      <c r="N474" s="2234" t="str">
        <v>苏联卢布（1947币制）</v>
      </c>
      <c r="O474" s="2239" t="n">
        <v>4</v>
      </c>
      <c r="P474" s="2234" t="str">
        <v>LCU/USD</v>
      </c>
      <c r="Q474" s="2239" t="n">
        <v>1</v>
      </c>
      <c r="R474" s="2234" t="str">
        <v>C：二手转引（原档未复核）</v>
      </c>
      <c r="S474" s="2234" t="str">
        <v>年度汇率!K45；原始记录!A344:M344</v>
      </c>
      <c r="T474" s="2234" t="str">
        <v>官价参考，并非市场年均汇率</v>
      </c>
      <c r="U474" t="n" s="2231">
        <v>1965</v>
      </c>
      <c r="V474" t="str" s="2231">
        <v>法国法郎（FRF；1960币制）</v>
      </c>
    </row>
    <row r="475" ht="15.0" customHeight="1">
      <c r="A475" s="2234" t="n">
        <v>1959</v>
      </c>
      <c r="B475" s="2234" t="str">
        <v>CNY</v>
      </c>
      <c r="C475" s="2234" t="str">
        <v>人民币元（1955币制；CNY）</v>
      </c>
      <c r="D475" s="2234" t="str">
        <v>可用</v>
      </c>
      <c r="E475" s="2238" t="n">
        <v>2.46181</v>
      </c>
      <c r="F475" s="2234" t="str">
        <v>年均</v>
      </c>
      <c r="G475" s="2234" t="str">
        <v>OECD via FRED：CNY年均汇率</v>
      </c>
      <c r="H475" s="2234" t="str">
        <v>https://fred.stlouisfed.org/data/CCUSMA02CNA618N</v>
      </c>
      <c r="I475" s="2234" t="str">
        <v>1959-01-01—1959-12-31</v>
      </c>
      <c r="J475" s="2234" t="str">
        <v>historical_exchange_rates_1920_2026.xlsx</v>
      </c>
      <c r="K475" s="2234" t="str">
        <v>单位为本币／美元；中国和印度早期数据主要反映官方汇率。</v>
      </c>
      <c r="L475" s="2234" t="str">
        <v>原报价已按 1 美元兑换本币表示。</v>
      </c>
      <c r="M475" s="2234" t="str">
        <v>1959|人民币元（1955币制；CNY）</v>
      </c>
      <c r="N475" s="2234" t="str">
        <v>人民币元（1955币制；CNY）</v>
      </c>
      <c r="O475" s="2239" t="n">
        <v>2.46181</v>
      </c>
      <c r="P475" s="2234" t="str">
        <v>LCU/USD</v>
      </c>
      <c r="Q475" s="2239" t="n">
        <v>1</v>
      </c>
      <c r="R475" s="2234" t="str">
        <v>A：机构统计／原始统计表</v>
      </c>
      <c r="S475" s="2234" t="str">
        <v>年度汇率!L45；原始记录!A345:M345</v>
      </c>
      <c r="T475" s="2234" t="str"/>
      <c r="U475" t="n" s="2231">
        <v>1965</v>
      </c>
      <c r="V475" t="str" s="2231">
        <v>西德德国马克（DEM）</v>
      </c>
    </row>
    <row r="476" ht="15.0" customHeight="1">
      <c r="A476" s="2234" t="n">
        <v>1960</v>
      </c>
      <c r="B476" s="2234" t="str">
        <v>USD</v>
      </c>
      <c r="C476" s="2234" t="str">
        <v>美元（USD）</v>
      </c>
      <c r="D476" s="2234" t="str">
        <v>可用</v>
      </c>
      <c r="E476" s="2238" t="n">
        <v>1</v>
      </c>
      <c r="F476" s="2234" t="str">
        <v>基准恒等</v>
      </c>
      <c r="G476" s="2234" t="str">
        <v>用户提供的历史汇率表</v>
      </c>
      <c r="H476" s="2234" t="str"/>
      <c r="I476" s="2234" t="str">
        <v>1960</v>
      </c>
      <c r="J476" s="2234" t="str">
        <v>historical_exchange_rates_1920_2026.xlsx</v>
      </c>
      <c r="K476" s="2234" t="str">
        <v>1 美元等于 1 美元，无外部报价。</v>
      </c>
      <c r="L476" s="2234" t="str">
        <v>美元基准，汇率恒为 1。</v>
      </c>
      <c r="M476" s="2234" t="str">
        <v>1960|美元（USD）</v>
      </c>
      <c r="N476" s="2234" t="str">
        <v>美元（USD）</v>
      </c>
      <c r="O476" s="2239"/>
      <c r="P476" s="2234" t="str"/>
      <c r="Q476" s="2239"/>
      <c r="R476" s="2234" t="str"/>
      <c r="S476" s="2234" t="str">
        <v>年度汇率!B46</v>
      </c>
      <c r="T476" s="2234" t="str"/>
      <c r="U476" t="n" s="2231">
        <v>1965</v>
      </c>
      <c r="V476" t="str" s="2231">
        <v>意大利里拉（ITL）</v>
      </c>
    </row>
    <row r="477" ht="15.0" customHeight="1">
      <c r="A477" s="2234" t="n">
        <v>1960</v>
      </c>
      <c r="B477" s="2234" t="str">
        <v>GBP</v>
      </c>
      <c r="C477" s="2234" t="str">
        <v>英镑（GBP）</v>
      </c>
      <c r="D477" s="2234" t="str">
        <v>可用</v>
      </c>
      <c r="E477" s="2238" t="n">
        <v>0.3561704625</v>
      </c>
      <c r="F477" s="2234" t="str">
        <v>年均</v>
      </c>
      <c r="G477" s="2234" t="str">
        <v>OECD via FRED：GBP年均汇率</v>
      </c>
      <c r="H477" s="2234" t="str">
        <v>https://fred.stlouisfed.org/data/CCUSMA02GBA618N</v>
      </c>
      <c r="I477" s="2234" t="str">
        <v>1960-01-01—1960-12-31</v>
      </c>
      <c r="J477" s="2234" t="str">
        <v>historical_exchange_rates_1920_2026.xlsx</v>
      </c>
      <c r="K477" s="2234" t="str">
        <v>单位为本币／美元；中国和印度早期数据主要反映官方汇率。</v>
      </c>
      <c r="L477" s="2234" t="str">
        <v>原报价已按 1 美元兑换本币表示。</v>
      </c>
      <c r="M477" s="2234" t="str">
        <v>1960|英镑（GBP）</v>
      </c>
      <c r="N477" s="2234" t="str">
        <v>英镑（GBP）</v>
      </c>
      <c r="O477" s="2239" t="n">
        <v>0.3561704625</v>
      </c>
      <c r="P477" s="2234" t="str">
        <v>LCU/USD</v>
      </c>
      <c r="Q477" s="2239" t="n">
        <v>1</v>
      </c>
      <c r="R477" s="2234" t="str">
        <v>A：机构统计／原始统计表</v>
      </c>
      <c r="S477" s="2234" t="str">
        <v>年度汇率!C46；原始记录!A346:M346</v>
      </c>
      <c r="T477" s="2234" t="str"/>
      <c r="U477" t="n" s="2231">
        <v>1965</v>
      </c>
      <c r="V477" t="str" s="2231">
        <v>日元（JPY）</v>
      </c>
    </row>
    <row r="478" ht="15.0" customHeight="1">
      <c r="A478" s="2234" t="n">
        <v>1960</v>
      </c>
      <c r="B478" s="2234" t="str">
        <v>CAD</v>
      </c>
      <c r="C478" s="2234" t="str">
        <v>加拿大元（CAD）</v>
      </c>
      <c r="D478" s="2234" t="str">
        <v>可用</v>
      </c>
      <c r="E478" s="2238" t="n">
        <v>0.9695</v>
      </c>
      <c r="F478" s="2234" t="str">
        <v>年均</v>
      </c>
      <c r="G478" s="2234" t="str">
        <v>OECD via FRED：CAD年均汇率</v>
      </c>
      <c r="H478" s="2234" t="str">
        <v>https://fred.stlouisfed.org/data/CCUSMA02CAA618N</v>
      </c>
      <c r="I478" s="2234" t="str">
        <v>1960-01-01—1960-12-31</v>
      </c>
      <c r="J478" s="2234" t="str">
        <v>historical_exchange_rates_1920_2026.xlsx</v>
      </c>
      <c r="K478" s="2234" t="str">
        <v>单位为本币／美元；中国和印度早期数据主要反映官方汇率。</v>
      </c>
      <c r="L478" s="2234" t="str">
        <v>原报价已按 1 美元兑换本币表示。</v>
      </c>
      <c r="M478" s="2234" t="str">
        <v>1960|加拿大元（CAD）</v>
      </c>
      <c r="N478" s="2234" t="str">
        <v>加拿大元（CAD）</v>
      </c>
      <c r="O478" s="2239" t="n">
        <v>0.9695</v>
      </c>
      <c r="P478" s="2234" t="str">
        <v>LCU/USD</v>
      </c>
      <c r="Q478" s="2239" t="n">
        <v>1</v>
      </c>
      <c r="R478" s="2234" t="str">
        <v>A：机构统计／原始统计表</v>
      </c>
      <c r="S478" s="2234" t="str">
        <v>年度汇率!D46；原始记录!A347:M347</v>
      </c>
      <c r="T478" s="2234" t="str"/>
      <c r="U478" t="n" s="2231">
        <v>1965</v>
      </c>
      <c r="V478" t="str" s="2231">
        <v>瑞士法郎（CHF）</v>
      </c>
    </row>
    <row r="479" ht="36.0" customHeight="1">
      <c r="A479" s="2234" t="n">
        <v>1960</v>
      </c>
      <c r="B479" s="2234" t="str">
        <v>FRF</v>
      </c>
      <c r="C479" s="2234" t="str">
        <v>法国新法郎</v>
      </c>
      <c r="D479" s="2234" t="str">
        <v>可用</v>
      </c>
      <c r="E479" s="2238" t="n">
        <v>4.904607499932881</v>
      </c>
      <c r="F479" s="2234" t="str">
        <v>年均</v>
      </c>
      <c r="G479" s="2234" t="str">
        <v>OECD via FRED：FR年均汇率（欧元单位回溯序列）</v>
      </c>
      <c r="H479" s="2234" t="str">
        <v>https://fred.stlouisfed.org/data/CCUSMA02FRA618N</v>
      </c>
      <c r="I479" s="2234" t="str">
        <v>1960-01-01—1960-12-31</v>
      </c>
      <c r="J479" s="2234" t="str">
        <v>historical_exchange_rates_1920_2026.xlsx</v>
      </c>
      <c r="K479" s="2234" t="str">
        <v>由欧元回溯单位还原当年本币；非当年实际欧元报价。 欧元回溯单位按不可撤销转换率还原；法国1960年前另乘100。
原序列单位为回溯欧元；乘不可撤销转换率还原当年本币。法国1957–1959另乘100还原旧法郎。</v>
      </c>
      <c r="L479" s="2234" t="str">
        <v>原报价已按 1 美元兑换本币表示。乘以 6.55957，还原当年币制的计价单位。</v>
      </c>
      <c r="M479" s="2234" t="str">
        <v>1960|法国新法郎</v>
      </c>
      <c r="N479" s="2234" t="str">
        <v>法国新法郎</v>
      </c>
      <c r="O479" s="2239" t="n">
        <v>0.7477025933</v>
      </c>
      <c r="P479" s="2234" t="str">
        <v>LCU/USD</v>
      </c>
      <c r="Q479" s="2239" t="n">
        <v>6.55957</v>
      </c>
      <c r="R479" s="2234" t="str">
        <v>A：机构统计／原始统计表</v>
      </c>
      <c r="S479" s="2234" t="str">
        <v>年度汇率!E46；原始记录!A348:M348</v>
      </c>
      <c r="T479" s="2234" t="str"/>
      <c r="U479" t="n" s="2231">
        <v>1965</v>
      </c>
      <c r="V479" t="str" s="2231">
        <v>印度卢比（INR）</v>
      </c>
    </row>
    <row r="480" ht="36.0" customHeight="1">
      <c r="A480" s="2234" t="n">
        <v>1960</v>
      </c>
      <c r="B480" s="2234" t="str">
        <v>DEM</v>
      </c>
      <c r="C480" s="2234" t="str">
        <v>西德德国马克（DEM）</v>
      </c>
      <c r="D480" s="2234" t="str">
        <v>可用</v>
      </c>
      <c r="E480" s="2238" t="n">
        <v>4.170794166750348</v>
      </c>
      <c r="F480" s="2234" t="str">
        <v>年均</v>
      </c>
      <c r="G480" s="2234" t="str">
        <v>OECD via FRED：DE年均汇率（欧元单位回溯序列）</v>
      </c>
      <c r="H480" s="2234" t="str">
        <v>https://fred.stlouisfed.org/data/CCUSMA02DEA618N</v>
      </c>
      <c r="I480" s="2234" t="str">
        <v>1960-01-01—1960-12-31</v>
      </c>
      <c r="J480" s="2234" t="str">
        <v>historical_exchange_rates_1920_2026.xlsx</v>
      </c>
      <c r="K480" s="2234" t="str">
        <v>由欧元回溯单位还原当年本币；非当年实际欧元报价。 欧元回溯单位按不可撤销转换率还原；法国1960年前另乘100。
原序列单位为回溯欧元；乘不可撤销转换率还原当年本币。法国1957–1959另乘100还原旧法郎。</v>
      </c>
      <c r="L480" s="2234" t="str">
        <v>原报价已按 1 美元兑换本币表示。乘以 1.95583，还原当年币制的计价单位。</v>
      </c>
      <c r="M480" s="2234" t="str">
        <v>1960|西德德国马克（DEM）</v>
      </c>
      <c r="N480" s="2234" t="str">
        <v>西德德国马克（DEM）</v>
      </c>
      <c r="O480" s="2239" t="n">
        <v>2.1324931956</v>
      </c>
      <c r="P480" s="2234" t="str">
        <v>LCU/USD</v>
      </c>
      <c r="Q480" s="2239" t="n">
        <v>1.95583</v>
      </c>
      <c r="R480" s="2234" t="str">
        <v>A：机构统计／原始统计表</v>
      </c>
      <c r="S480" s="2234" t="str">
        <v>年度汇率!F46、年度汇率!M46；原始记录!A349:M349</v>
      </c>
      <c r="T480" s="2234" t="str"/>
      <c r="U480" t="n" s="2231">
        <v>1965</v>
      </c>
      <c r="V480" t="str" s="2231">
        <v>苏联卢布（1961币制）</v>
      </c>
    </row>
    <row r="481" ht="36.0" customHeight="1">
      <c r="A481" s="2234" t="n">
        <v>1960</v>
      </c>
      <c r="B481" s="2234" t="str">
        <v>ITL</v>
      </c>
      <c r="C481" s="2234" t="str">
        <v>意大利里拉（ITL）</v>
      </c>
      <c r="D481" s="2234" t="str">
        <v>可用</v>
      </c>
      <c r="E481" s="2238" t="n">
        <v>620.8928333909979</v>
      </c>
      <c r="F481" s="2234" t="str">
        <v>年均</v>
      </c>
      <c r="G481" s="2234" t="str">
        <v>OECD via FRED：IT年均汇率（欧元单位回溯序列）</v>
      </c>
      <c r="H481" s="2234" t="str">
        <v>https://fred.stlouisfed.org/data/CCUSMA02ITA618N</v>
      </c>
      <c r="I481" s="2234" t="str">
        <v>1960-01-01—1960-12-31</v>
      </c>
      <c r="J481" s="2234" t="str">
        <v>historical_exchange_rates_1920_2026.xlsx</v>
      </c>
      <c r="K481" s="2234" t="str">
        <v>由欧元回溯单位还原当年本币；非当年实际欧元报价。 欧元回溯单位按不可撤销转换率还原；法国1960年前另乘100。
原序列单位为回溯欧元；乘不可撤销转换率还原当年本币。法国1957–1959另乘100还原旧法郎。</v>
      </c>
      <c r="L481" s="2234" t="str">
        <v>原报价已按 1 美元兑换本币表示。乘以 1936.27，还原当年币制的计价单位。</v>
      </c>
      <c r="M481" s="2234" t="str">
        <v>1960|意大利里拉（ITL）</v>
      </c>
      <c r="N481" s="2234" t="str">
        <v>意大利里拉（ITL）</v>
      </c>
      <c r="O481" s="2239" t="n">
        <v>0.3206643874</v>
      </c>
      <c r="P481" s="2234" t="str">
        <v>LCU/USD</v>
      </c>
      <c r="Q481" s="2239" t="n">
        <v>1936.27</v>
      </c>
      <c r="R481" s="2234" t="str">
        <v>A：机构统计／原始统计表</v>
      </c>
      <c r="S481" s="2234" t="str">
        <v>年度汇率!G46；原始记录!A350:M350</v>
      </c>
      <c r="T481" s="2234" t="str"/>
      <c r="U481" t="n" s="2231">
        <v>1965</v>
      </c>
      <c r="V481" t="str" s="2231">
        <v>人民币元（1955币制；CNY）</v>
      </c>
    </row>
    <row r="482" ht="15.0" customHeight="1">
      <c r="A482" s="2234" t="n">
        <v>1960</v>
      </c>
      <c r="B482" s="2234" t="str">
        <v>JPY</v>
      </c>
      <c r="C482" s="2234" t="str">
        <v>日元（JPY）</v>
      </c>
      <c r="D482" s="2234" t="str">
        <v>可用</v>
      </c>
      <c r="E482" s="2238" t="n">
        <v>359.97</v>
      </c>
      <c r="F482" s="2234" t="str">
        <v>年均</v>
      </c>
      <c r="G482" s="2234" t="str">
        <v>MeasuringWorth：日本年均汇率</v>
      </c>
      <c r="H482" s="2234" t="str">
        <v>https://www.measuringworth.com/datasets/exchangeglobal/result.php?countryE%5B%5D=Japan&amp;year_result=2016&amp;year_source=1916</v>
      </c>
      <c r="I482" s="2234" t="str">
        <v>1960-01-01—1960-12-31</v>
      </c>
      <c r="J482" s="2234" t="str">
        <v>historical_exchange_rates_1920_2026.xlsx</v>
      </c>
      <c r="K482" s="2234" t="str">
        <v>以纽约市场年度平均报价为主；保留原表精度。</v>
      </c>
      <c r="L482" s="2234" t="str">
        <v>原报价已按 1 美元兑换本币表示。</v>
      </c>
      <c r="M482" s="2234" t="str">
        <v>1960|日元（JPY）</v>
      </c>
      <c r="N482" s="2234" t="str">
        <v>日元（JPY）</v>
      </c>
      <c r="O482" s="2239" t="n">
        <v>359.97</v>
      </c>
      <c r="P482" s="2234" t="str">
        <v>LCU/USD</v>
      </c>
      <c r="Q482" s="2239" t="n">
        <v>1</v>
      </c>
      <c r="R482" s="2234" t="str">
        <v>B：学术历史汇编</v>
      </c>
      <c r="S482" s="2234" t="str">
        <v>年度汇率!H46；原始记录!A351:M351</v>
      </c>
      <c r="T482" s="2234" t="str"/>
      <c r="U482" t="n" s="2231">
        <v>1966</v>
      </c>
      <c r="V482" t="str" s="2231">
        <v>美元（USD）</v>
      </c>
    </row>
    <row r="483" ht="15.0" customHeight="1">
      <c r="A483" s="2234" t="n">
        <v>1960</v>
      </c>
      <c r="B483" s="2234" t="str">
        <v>CHF</v>
      </c>
      <c r="C483" s="2234" t="str">
        <v>瑞士法郎（CHF）</v>
      </c>
      <c r="D483" s="2234" t="str">
        <v>可用</v>
      </c>
      <c r="E483" s="2238" t="n">
        <v>4.319325</v>
      </c>
      <c r="F483" s="2234" t="str">
        <v>年均</v>
      </c>
      <c r="G483" s="2234" t="str">
        <v>OECD via FRED：CHF年均汇率</v>
      </c>
      <c r="H483" s="2234" t="str">
        <v>https://fred.stlouisfed.org/data/CCUSMA02CHA618N</v>
      </c>
      <c r="I483" s="2234" t="str">
        <v>1960-01-01—1960-12-31</v>
      </c>
      <c r="J483" s="2234" t="str">
        <v>historical_exchange_rates_1920_2026.xlsx</v>
      </c>
      <c r="K483" s="2234" t="str">
        <v>单位为本币／美元；中国和印度早期数据主要反映官方汇率。</v>
      </c>
      <c r="L483" s="2234" t="str">
        <v>原报价已按 1 美元兑换本币表示。</v>
      </c>
      <c r="M483" s="2234" t="str">
        <v>1960|瑞士法郎（CHF）</v>
      </c>
      <c r="N483" s="2234" t="str">
        <v>瑞士法郎（CHF）</v>
      </c>
      <c r="O483" s="2239" t="n">
        <v>4.319325</v>
      </c>
      <c r="P483" s="2234" t="str">
        <v>LCU/USD</v>
      </c>
      <c r="Q483" s="2239" t="n">
        <v>1</v>
      </c>
      <c r="R483" s="2234" t="str">
        <v>A：机构统计／原始统计表</v>
      </c>
      <c r="S483" s="2234" t="str">
        <v>年度汇率!I46；原始记录!A352:M352</v>
      </c>
      <c r="T483" s="2234" t="str"/>
      <c r="U483" t="n" s="2231">
        <v>1966</v>
      </c>
      <c r="V483" t="str" s="2231">
        <v>英镑（GBP）</v>
      </c>
    </row>
    <row r="484" ht="15.0" customHeight="1">
      <c r="A484" s="2234" t="n">
        <v>1960</v>
      </c>
      <c r="B484" s="2234" t="str">
        <v>INR</v>
      </c>
      <c r="C484" s="2234" t="str">
        <v>印度卢比（INR）</v>
      </c>
      <c r="D484" s="2234" t="str">
        <v>可用</v>
      </c>
      <c r="E484" s="2238" t="n">
        <v>4.7619</v>
      </c>
      <c r="F484" s="2234" t="str">
        <v>年均</v>
      </c>
      <c r="G484" s="2234" t="str">
        <v>OECD via FRED：INR年均汇率</v>
      </c>
      <c r="H484" s="2234" t="str">
        <v>https://fred.stlouisfed.org/data/CCUSMA02INA618N</v>
      </c>
      <c r="I484" s="2234" t="str">
        <v>1960-01-01—1960-12-31</v>
      </c>
      <c r="J484" s="2234" t="str">
        <v>historical_exchange_rates_1920_2026.xlsx</v>
      </c>
      <c r="K484" s="2234" t="str">
        <v>单位为本币／美元；中国和印度早期数据主要反映官方汇率。</v>
      </c>
      <c r="L484" s="2234" t="str">
        <v>原报价已按 1 美元兑换本币表示。</v>
      </c>
      <c r="M484" s="2234" t="str">
        <v>1960|印度卢比（INR）</v>
      </c>
      <c r="N484" s="2234" t="str">
        <v>印度卢比（INR）</v>
      </c>
      <c r="O484" s="2239" t="n">
        <v>4.7619</v>
      </c>
      <c r="P484" s="2234" t="str">
        <v>LCU/USD</v>
      </c>
      <c r="Q484" s="2239" t="n">
        <v>1</v>
      </c>
      <c r="R484" s="2234" t="str">
        <v>A：机构统计／原始统计表</v>
      </c>
      <c r="S484" s="2234" t="str">
        <v>年度汇率!J46；原始记录!A353:M353</v>
      </c>
      <c r="T484" s="2234" t="str"/>
      <c r="U484" t="n" s="2231">
        <v>1966</v>
      </c>
      <c r="V484" t="str" s="2231">
        <v>加拿大元（CAD）</v>
      </c>
    </row>
    <row r="485" ht="36.0" customHeight="1">
      <c r="A485" s="2234" t="n">
        <v>1960</v>
      </c>
      <c r="B485" s="2234" t="str">
        <v>SUR_1947</v>
      </c>
      <c r="C485" s="2234" t="str">
        <v>苏联卢布（1947币制）</v>
      </c>
      <c r="D485" s="2234" t="str">
        <v>可用</v>
      </c>
      <c r="E485" s="2238" t="n">
        <v>4</v>
      </c>
      <c r="F485" s="2234" t="str">
        <v>定点官价参考（非年均）</v>
      </c>
      <c r="G485" s="2234" t="str">
        <v>苏联卢布历史官价表（Wikipedia转引俄央行历史档案）</v>
      </c>
      <c r="H485" s="2234" t="str">
        <v>https://en.wikipedia.org/wiki/Soviet_ruble#Exchange_rates</v>
      </c>
      <c r="I485" s="2234" t="str">
        <v>1960-12-01</v>
      </c>
      <c r="J485" s="2234" t="str">
        <v>historical_exchange_rates_1920_2026.xlsx</v>
      </c>
      <c r="K485"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485" s="2234" t="str">
        <v>原报价已按 1 美元兑换本币表示。</v>
      </c>
      <c r="M485" s="2234" t="str">
        <v>1960|苏联卢布（1947币制）</v>
      </c>
      <c r="N485" s="2234" t="str">
        <v>苏联卢布（1947币制）</v>
      </c>
      <c r="O485" s="2239" t="n">
        <v>4</v>
      </c>
      <c r="P485" s="2234" t="str">
        <v>LCU/USD</v>
      </c>
      <c r="Q485" s="2239" t="n">
        <v>1</v>
      </c>
      <c r="R485" s="2234" t="str">
        <v>C：二手转引（原档未复核）</v>
      </c>
      <c r="S485" s="2234" t="str">
        <v>年度汇率!K46；原始记录!A354:M354</v>
      </c>
      <c r="T485" s="2234" t="str">
        <v>官价参考，并非市场年均汇率</v>
      </c>
      <c r="U485" t="n" s="2231">
        <v>1966</v>
      </c>
      <c r="V485" t="str" s="2231">
        <v>法国法郎（FRF；1960币制）</v>
      </c>
    </row>
    <row r="486" ht="15.0" customHeight="1">
      <c r="A486" s="2234" t="n">
        <v>1960</v>
      </c>
      <c r="B486" s="2234" t="str">
        <v>CNY</v>
      </c>
      <c r="C486" s="2234" t="str">
        <v>人民币元（1955币制；CNY）</v>
      </c>
      <c r="D486" s="2234" t="str">
        <v>可用</v>
      </c>
      <c r="E486" s="2238" t="n">
        <v>2.46181</v>
      </c>
      <c r="F486" s="2234" t="str">
        <v>年均</v>
      </c>
      <c r="G486" s="2234" t="str">
        <v>OECD via FRED：CNY年均汇率</v>
      </c>
      <c r="H486" s="2234" t="str">
        <v>https://fred.stlouisfed.org/data/CCUSMA02CNA618N</v>
      </c>
      <c r="I486" s="2234" t="str">
        <v>1960-01-01—1960-12-31</v>
      </c>
      <c r="J486" s="2234" t="str">
        <v>historical_exchange_rates_1920_2026.xlsx</v>
      </c>
      <c r="K486" s="2234" t="str">
        <v>单位为本币／美元；中国和印度早期数据主要反映官方汇率。</v>
      </c>
      <c r="L486" s="2234" t="str">
        <v>原报价已按 1 美元兑换本币表示。</v>
      </c>
      <c r="M486" s="2234" t="str">
        <v>1960|人民币元（1955币制；CNY）</v>
      </c>
      <c r="N486" s="2234" t="str">
        <v>人民币元（1955币制；CNY）</v>
      </c>
      <c r="O486" s="2239" t="n">
        <v>2.46181</v>
      </c>
      <c r="P486" s="2234" t="str">
        <v>LCU/USD</v>
      </c>
      <c r="Q486" s="2239" t="n">
        <v>1</v>
      </c>
      <c r="R486" s="2234" t="str">
        <v>A：机构统计／原始统计表</v>
      </c>
      <c r="S486" s="2234" t="str">
        <v>年度汇率!L46；原始记录!A355:M355</v>
      </c>
      <c r="T486" s="2234" t="str"/>
      <c r="U486" t="n" s="2231">
        <v>1966</v>
      </c>
      <c r="V486" t="str" s="2231">
        <v>西德德国马克（DEM）</v>
      </c>
    </row>
    <row r="487" ht="15.0" customHeight="1">
      <c r="A487" s="2234" t="n">
        <v>1961</v>
      </c>
      <c r="B487" s="2234" t="str">
        <v>USD</v>
      </c>
      <c r="C487" s="2234" t="str">
        <v>美元（USD）</v>
      </c>
      <c r="D487" s="2234" t="str">
        <v>可用</v>
      </c>
      <c r="E487" s="2238" t="n">
        <v>1</v>
      </c>
      <c r="F487" s="2234" t="str">
        <v>基准恒等</v>
      </c>
      <c r="G487" s="2234" t="str">
        <v>用户提供的历史汇率表</v>
      </c>
      <c r="H487" s="2234" t="str"/>
      <c r="I487" s="2234" t="str">
        <v>1961</v>
      </c>
      <c r="J487" s="2234" t="str">
        <v>historical_exchange_rates_1920_2026.xlsx</v>
      </c>
      <c r="K487" s="2234" t="str">
        <v>1 美元等于 1 美元，无外部报价。</v>
      </c>
      <c r="L487" s="2234" t="str">
        <v>美元基准，汇率恒为 1。</v>
      </c>
      <c r="M487" s="2234" t="str">
        <v>1961|美元（USD）</v>
      </c>
      <c r="N487" s="2234" t="str">
        <v>美元（USD）</v>
      </c>
      <c r="O487" s="2239"/>
      <c r="P487" s="2234" t="str"/>
      <c r="Q487" s="2239"/>
      <c r="R487" s="2234" t="str"/>
      <c r="S487" s="2234" t="str">
        <v>年度汇率!B47</v>
      </c>
      <c r="T487" s="2234" t="str"/>
      <c r="U487" t="n" s="2231">
        <v>1966</v>
      </c>
      <c r="V487" t="str" s="2231">
        <v>意大利里拉（ITL）</v>
      </c>
    </row>
    <row r="488" ht="15.0" customHeight="1">
      <c r="A488" s="2234" t="n">
        <v>1961</v>
      </c>
      <c r="B488" s="2234" t="str">
        <v>GBP</v>
      </c>
      <c r="C488" s="2234" t="str">
        <v>英镑（GBP）</v>
      </c>
      <c r="D488" s="2234" t="str">
        <v>可用</v>
      </c>
      <c r="E488" s="2238" t="n">
        <v>0.3568565717</v>
      </c>
      <c r="F488" s="2234" t="str">
        <v>年均</v>
      </c>
      <c r="G488" s="2234" t="str">
        <v>OECD via FRED：GBP年均汇率</v>
      </c>
      <c r="H488" s="2234" t="str">
        <v>https://fred.stlouisfed.org/data/CCUSMA02GBA618N</v>
      </c>
      <c r="I488" s="2234" t="str">
        <v>1961-01-01—1961-12-31</v>
      </c>
      <c r="J488" s="2234" t="str">
        <v>historical_exchange_rates_1920_2026.xlsx</v>
      </c>
      <c r="K488" s="2234" t="str">
        <v>单位为本币／美元；中国和印度早期数据主要反映官方汇率。</v>
      </c>
      <c r="L488" s="2234" t="str">
        <v>原报价已按 1 美元兑换本币表示。</v>
      </c>
      <c r="M488" s="2234" t="str">
        <v>1961|英镑（GBP）</v>
      </c>
      <c r="N488" s="2234" t="str">
        <v>英镑（GBP）</v>
      </c>
      <c r="O488" s="2239" t="n">
        <v>0.3568565717</v>
      </c>
      <c r="P488" s="2234" t="str">
        <v>LCU/USD</v>
      </c>
      <c r="Q488" s="2239" t="n">
        <v>1</v>
      </c>
      <c r="R488" s="2234" t="str">
        <v>A：机构统计／原始统计表</v>
      </c>
      <c r="S488" s="2234" t="str">
        <v>年度汇率!C47；原始记录!A356:M356</v>
      </c>
      <c r="T488" s="2234" t="str"/>
      <c r="U488" t="n" s="2231">
        <v>1966</v>
      </c>
      <c r="V488" t="str" s="2231">
        <v>日元（JPY）</v>
      </c>
    </row>
    <row r="489" ht="15.0" customHeight="1">
      <c r="A489" s="2234" t="n">
        <v>1961</v>
      </c>
      <c r="B489" s="2234" t="str">
        <v>CAD</v>
      </c>
      <c r="C489" s="2234" t="str">
        <v>加拿大元（CAD）</v>
      </c>
      <c r="D489" s="2234" t="str">
        <v>可用</v>
      </c>
      <c r="E489" s="2238" t="n">
        <v>1.0130833333</v>
      </c>
      <c r="F489" s="2234" t="str">
        <v>年均</v>
      </c>
      <c r="G489" s="2234" t="str">
        <v>OECD via FRED：CAD年均汇率</v>
      </c>
      <c r="H489" s="2234" t="str">
        <v>https://fred.stlouisfed.org/data/CCUSMA02CAA618N</v>
      </c>
      <c r="I489" s="2234" t="str">
        <v>1961-01-01—1961-12-31</v>
      </c>
      <c r="J489" s="2234" t="str">
        <v>historical_exchange_rates_1920_2026.xlsx</v>
      </c>
      <c r="K489" s="2234" t="str">
        <v>单位为本币／美元；中国和印度早期数据主要反映官方汇率。</v>
      </c>
      <c r="L489" s="2234" t="str">
        <v>原报价已按 1 美元兑换本币表示。</v>
      </c>
      <c r="M489" s="2234" t="str">
        <v>1961|加拿大元（CAD）</v>
      </c>
      <c r="N489" s="2234" t="str">
        <v>加拿大元（CAD）</v>
      </c>
      <c r="O489" s="2239" t="n">
        <v>1.0130833333</v>
      </c>
      <c r="P489" s="2234" t="str">
        <v>LCU/USD</v>
      </c>
      <c r="Q489" s="2239" t="n">
        <v>1</v>
      </c>
      <c r="R489" s="2234" t="str">
        <v>A：机构统计／原始统计表</v>
      </c>
      <c r="S489" s="2234" t="str">
        <v>年度汇率!D47；原始记录!A357:M357</v>
      </c>
      <c r="T489" s="2234" t="str"/>
      <c r="U489" t="n" s="2231">
        <v>1966</v>
      </c>
      <c r="V489" t="str" s="2231">
        <v>瑞士法郎（CHF）</v>
      </c>
    </row>
    <row r="490" ht="36.0" customHeight="1">
      <c r="A490" s="2234" t="n">
        <v>1961</v>
      </c>
      <c r="B490" s="2234" t="str">
        <v>FRF</v>
      </c>
      <c r="C490" s="2234" t="str">
        <v>法国新法郎</v>
      </c>
      <c r="D490" s="2234" t="str">
        <v>可用</v>
      </c>
      <c r="E490" s="2238" t="n">
        <v>4.905898333442772</v>
      </c>
      <c r="F490" s="2234" t="str">
        <v>年均</v>
      </c>
      <c r="G490" s="2234" t="str">
        <v>OECD via FRED：FR年均汇率（欧元单位回溯序列）</v>
      </c>
      <c r="H490" s="2234" t="str">
        <v>https://fred.stlouisfed.org/data/CCUSMA02FRA618N</v>
      </c>
      <c r="I490" s="2234" t="str">
        <v>1961-01-01—1961-12-31</v>
      </c>
      <c r="J490" s="2234" t="str">
        <v>historical_exchange_rates_1920_2026.xlsx</v>
      </c>
      <c r="K490" s="2234" t="str">
        <v>由欧元回溯单位还原当年本币；非当年实际欧元报价。 欧元回溯单位按不可撤销转换率还原；法国1960年前另乘100。
原序列单位为回溯欧元；乘不可撤销转换率还原当年本币。法国1957–1959另乘100还原旧法郎。</v>
      </c>
      <c r="L490" s="2234" t="str">
        <v>原报价已按 1 美元兑换本币表示。乘以 6.55957，还原当年币制的计价单位。</v>
      </c>
      <c r="M490" s="2234" t="str">
        <v>1961|法国新法郎</v>
      </c>
      <c r="N490" s="2234" t="str">
        <v>法国新法郎</v>
      </c>
      <c r="O490" s="2239" t="n">
        <v>0.7478993796</v>
      </c>
      <c r="P490" s="2234" t="str">
        <v>LCU/USD</v>
      </c>
      <c r="Q490" s="2239" t="n">
        <v>6.55957</v>
      </c>
      <c r="R490" s="2234" t="str">
        <v>A：机构统计／原始统计表</v>
      </c>
      <c r="S490" s="2234" t="str">
        <v>年度汇率!E47；原始记录!A358:M358</v>
      </c>
      <c r="T490" s="2234" t="str"/>
      <c r="U490" t="n" s="2231">
        <v>1966</v>
      </c>
      <c r="V490" t="str" s="2231">
        <v>印度卢比（INR）</v>
      </c>
    </row>
    <row r="491" ht="36.0" customHeight="1">
      <c r="A491" s="2234" t="n">
        <v>1961</v>
      </c>
      <c r="B491" s="2234" t="str">
        <v>DEM</v>
      </c>
      <c r="C491" s="2234" t="str">
        <v>西德德国马克（DEM）</v>
      </c>
      <c r="D491" s="2234" t="str">
        <v>可用</v>
      </c>
      <c r="E491" s="2238" t="n">
        <v>4.018741666683044</v>
      </c>
      <c r="F491" s="2234" t="str">
        <v>年均</v>
      </c>
      <c r="G491" s="2234" t="str">
        <v>OECD via FRED：DE年均汇率（欧元单位回溯序列）</v>
      </c>
      <c r="H491" s="2234" t="str">
        <v>https://fred.stlouisfed.org/data/CCUSMA02DEA618N</v>
      </c>
      <c r="I491" s="2234" t="str">
        <v>1961-01-01—1961-12-31</v>
      </c>
      <c r="J491" s="2234" t="str">
        <v>historical_exchange_rates_1920_2026.xlsx</v>
      </c>
      <c r="K491" s="2234" t="str">
        <v>由欧元回溯单位还原当年本币；非当年实际欧元报价。 欧元回溯单位按不可撤销转换率还原；法国1960年前另乘100。
原序列单位为回溯欧元；乘不可撤销转换率还原当年本币。法国1957–1959另乘100还原旧法郎。</v>
      </c>
      <c r="L491" s="2234" t="str">
        <v>原报价已按 1 美元兑换本币表示。乘以 1.95583，还原当年币制的计价单位。</v>
      </c>
      <c r="M491" s="2234" t="str">
        <v>1961|西德德国马克（DEM）</v>
      </c>
      <c r="N491" s="2234" t="str">
        <v>西德德国马克（DEM）</v>
      </c>
      <c r="O491" s="2239" t="n">
        <v>2.0547499868</v>
      </c>
      <c r="P491" s="2234" t="str">
        <v>LCU/USD</v>
      </c>
      <c r="Q491" s="2239" t="n">
        <v>1.95583</v>
      </c>
      <c r="R491" s="2234" t="str">
        <v>A：机构统计／原始统计表</v>
      </c>
      <c r="S491" s="2234" t="str">
        <v>年度汇率!F47、年度汇率!M47；原始记录!A359:M359</v>
      </c>
      <c r="T491" s="2234" t="str"/>
      <c r="U491" t="n" s="2231">
        <v>1966</v>
      </c>
      <c r="V491" t="str" s="2231">
        <v>苏联卢布（1961币制）</v>
      </c>
    </row>
    <row r="492" ht="36.0" customHeight="1">
      <c r="A492" s="2234" t="n">
        <v>1961</v>
      </c>
      <c r="B492" s="2234" t="str">
        <v>ITL</v>
      </c>
      <c r="C492" s="2234" t="str">
        <v>意大利里拉（ITL）</v>
      </c>
      <c r="D492" s="2234" t="str">
        <v>可用</v>
      </c>
      <c r="E492" s="2238" t="n">
        <v>621.086166658839</v>
      </c>
      <c r="F492" s="2234" t="str">
        <v>年均</v>
      </c>
      <c r="G492" s="2234" t="str">
        <v>OECD via FRED：IT年均汇率（欧元单位回溯序列）</v>
      </c>
      <c r="H492" s="2234" t="str">
        <v>https://fred.stlouisfed.org/data/CCUSMA02ITA618N</v>
      </c>
      <c r="I492" s="2234" t="str">
        <v>1961-01-01—1961-12-31</v>
      </c>
      <c r="J492" s="2234" t="str">
        <v>historical_exchange_rates_1920_2026.xlsx</v>
      </c>
      <c r="K492" s="2234" t="str">
        <v>由欧元回溯单位还原当年本币；非当年实际欧元报价。 欧元回溯单位按不可撤销转换率还原；法国1960年前另乘100。
原序列单位为回溯欧元；乘不可撤销转换率还原当年本币。法国1957–1959另乘100还原旧法郎。</v>
      </c>
      <c r="L492" s="2234" t="str">
        <v>原报价已按 1 美元兑换本币表示。乘以 1936.27，还原当年币制的计价单位。</v>
      </c>
      <c r="M492" s="2234" t="str">
        <v>1961|意大利里拉（ITL）</v>
      </c>
      <c r="N492" s="2234" t="str">
        <v>意大利里拉（ITL）</v>
      </c>
      <c r="O492" s="2239" t="n">
        <v>0.3207642357</v>
      </c>
      <c r="P492" s="2234" t="str">
        <v>LCU/USD</v>
      </c>
      <c r="Q492" s="2239" t="n">
        <v>1936.27</v>
      </c>
      <c r="R492" s="2234" t="str">
        <v>A：机构统计／原始统计表</v>
      </c>
      <c r="S492" s="2234" t="str">
        <v>年度汇率!G47；原始记录!A360:M360</v>
      </c>
      <c r="T492" s="2234" t="str"/>
      <c r="U492" t="n" s="2231">
        <v>1966</v>
      </c>
      <c r="V492" t="str" s="2231">
        <v>人民币元（1955币制；CNY）</v>
      </c>
    </row>
    <row r="493" ht="15.0" customHeight="1">
      <c r="A493" s="2234" t="n">
        <v>1961</v>
      </c>
      <c r="B493" s="2234" t="str">
        <v>JPY</v>
      </c>
      <c r="C493" s="2234" t="str">
        <v>日元（JPY）</v>
      </c>
      <c r="D493" s="2234" t="str">
        <v>可用</v>
      </c>
      <c r="E493" s="2238" t="n">
        <v>361.14</v>
      </c>
      <c r="F493" s="2234" t="str">
        <v>年均</v>
      </c>
      <c r="G493" s="2234" t="str">
        <v>MeasuringWorth：日本年均汇率</v>
      </c>
      <c r="H493" s="2234" t="str">
        <v>https://www.measuringworth.com/datasets/exchangeglobal/result.php?countryE%5B%5D=Japan&amp;year_result=2016&amp;year_source=1916</v>
      </c>
      <c r="I493" s="2234" t="str">
        <v>1961-01-01—1961-12-31</v>
      </c>
      <c r="J493" s="2234" t="str">
        <v>historical_exchange_rates_1920_2026.xlsx</v>
      </c>
      <c r="K493" s="2234" t="str">
        <v>以纽约市场年度平均报价为主；保留原表精度。</v>
      </c>
      <c r="L493" s="2234" t="str">
        <v>原报价已按 1 美元兑换本币表示。</v>
      </c>
      <c r="M493" s="2234" t="str">
        <v>1961|日元（JPY）</v>
      </c>
      <c r="N493" s="2234" t="str">
        <v>日元（JPY）</v>
      </c>
      <c r="O493" s="2239" t="n">
        <v>361.14</v>
      </c>
      <c r="P493" s="2234" t="str">
        <v>LCU/USD</v>
      </c>
      <c r="Q493" s="2239" t="n">
        <v>1</v>
      </c>
      <c r="R493" s="2234" t="str">
        <v>B：学术历史汇编</v>
      </c>
      <c r="S493" s="2234" t="str">
        <v>年度汇率!H47；原始记录!A361:M361</v>
      </c>
      <c r="T493" s="2234" t="str"/>
      <c r="U493" t="n" s="2231">
        <v>1967</v>
      </c>
      <c r="V493" t="str" s="2231">
        <v>美元（USD）</v>
      </c>
    </row>
    <row r="494" ht="15.0" customHeight="1">
      <c r="A494" s="2234" t="n">
        <v>1961</v>
      </c>
      <c r="B494" s="2234" t="str">
        <v>CHF</v>
      </c>
      <c r="C494" s="2234" t="str">
        <v>瑞士法郎（CHF）</v>
      </c>
      <c r="D494" s="2234" t="str">
        <v>可用</v>
      </c>
      <c r="E494" s="2238" t="n">
        <v>4.3195166667</v>
      </c>
      <c r="F494" s="2234" t="str">
        <v>年均</v>
      </c>
      <c r="G494" s="2234" t="str">
        <v>OECD via FRED：CHF年均汇率</v>
      </c>
      <c r="H494" s="2234" t="str">
        <v>https://fred.stlouisfed.org/data/CCUSMA02CHA618N</v>
      </c>
      <c r="I494" s="2234" t="str">
        <v>1961-01-01—1961-12-31</v>
      </c>
      <c r="J494" s="2234" t="str">
        <v>historical_exchange_rates_1920_2026.xlsx</v>
      </c>
      <c r="K494" s="2234" t="str">
        <v>单位为本币／美元；中国和印度早期数据主要反映官方汇率。</v>
      </c>
      <c r="L494" s="2234" t="str">
        <v>原报价已按 1 美元兑换本币表示。</v>
      </c>
      <c r="M494" s="2234" t="str">
        <v>1961|瑞士法郎（CHF）</v>
      </c>
      <c r="N494" s="2234" t="str">
        <v>瑞士法郎（CHF）</v>
      </c>
      <c r="O494" s="2239" t="n">
        <v>4.3195166667</v>
      </c>
      <c r="P494" s="2234" t="str">
        <v>LCU/USD</v>
      </c>
      <c r="Q494" s="2239" t="n">
        <v>1</v>
      </c>
      <c r="R494" s="2234" t="str">
        <v>A：机构统计／原始统计表</v>
      </c>
      <c r="S494" s="2234" t="str">
        <v>年度汇率!I47；原始记录!A362:M362</v>
      </c>
      <c r="T494" s="2234" t="str"/>
      <c r="U494" t="n" s="2231">
        <v>1967</v>
      </c>
      <c r="V494" t="str" s="2231">
        <v>英镑（GBP）</v>
      </c>
    </row>
    <row r="495" ht="15.0" customHeight="1">
      <c r="A495" s="2234" t="n">
        <v>1961</v>
      </c>
      <c r="B495" s="2234" t="str">
        <v>INR</v>
      </c>
      <c r="C495" s="2234" t="str">
        <v>印度卢比（INR）</v>
      </c>
      <c r="D495" s="2234" t="str">
        <v>可用</v>
      </c>
      <c r="E495" s="2238" t="n">
        <v>4.7619</v>
      </c>
      <c r="F495" s="2234" t="str">
        <v>年均</v>
      </c>
      <c r="G495" s="2234" t="str">
        <v>OECD via FRED：INR年均汇率</v>
      </c>
      <c r="H495" s="2234" t="str">
        <v>https://fred.stlouisfed.org/data/CCUSMA02INA618N</v>
      </c>
      <c r="I495" s="2234" t="str">
        <v>1961-01-01—1961-12-31</v>
      </c>
      <c r="J495" s="2234" t="str">
        <v>historical_exchange_rates_1920_2026.xlsx</v>
      </c>
      <c r="K495" s="2234" t="str">
        <v>单位为本币／美元；中国和印度早期数据主要反映官方汇率。</v>
      </c>
      <c r="L495" s="2234" t="str">
        <v>原报价已按 1 美元兑换本币表示。</v>
      </c>
      <c r="M495" s="2234" t="str">
        <v>1961|印度卢比（INR）</v>
      </c>
      <c r="N495" s="2234" t="str">
        <v>印度卢比（INR）</v>
      </c>
      <c r="O495" s="2239" t="n">
        <v>4.7619</v>
      </c>
      <c r="P495" s="2234" t="str">
        <v>LCU/USD</v>
      </c>
      <c r="Q495" s="2239" t="n">
        <v>1</v>
      </c>
      <c r="R495" s="2234" t="str">
        <v>A：机构统计／原始统计表</v>
      </c>
      <c r="S495" s="2234" t="str">
        <v>年度汇率!J47；原始记录!A363:M363</v>
      </c>
      <c r="T495" s="2234" t="str"/>
      <c r="U495" t="n" s="2231">
        <v>1967</v>
      </c>
      <c r="V495" t="str" s="2231">
        <v>加拿大元（CAD）</v>
      </c>
    </row>
    <row r="496" ht="48.0" customHeight="1">
      <c r="A496" s="2234" t="n">
        <v>1961</v>
      </c>
      <c r="B496" s="2234" t="str">
        <v>SUR_1961</v>
      </c>
      <c r="C496" s="2234" t="str">
        <v>苏联卢布（1961币制）</v>
      </c>
      <c r="D496" s="2234" t="str">
        <v>可用</v>
      </c>
      <c r="E496" s="2238" t="n">
        <v>0.9</v>
      </c>
      <c r="F496" s="2234" t="str">
        <v>官价区间参考（非年均）</v>
      </c>
      <c r="G496" s="2234" t="str">
        <v>苏联卢布历史官价表（Wikipedia转引俄央行历史档案）</v>
      </c>
      <c r="H496" s="2234" t="str">
        <v>https://en.wikipedia.org/wiki/Soviet_ruble#Exchange_rates</v>
      </c>
      <c r="I496" s="2234" t="str">
        <v>1961-01-01—1971-12-01</v>
      </c>
      <c r="J496" s="2234" t="str">
        <v>historical_exchange_rates_1920_2026.xlsx</v>
      </c>
      <c r="K496"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496" s="2234" t="str">
        <v>原报价已按 1 美元兑换本币表示。</v>
      </c>
      <c r="M496" s="2234" t="str">
        <v>1961|苏联卢布（1961币制）</v>
      </c>
      <c r="N496" s="2234" t="str">
        <v>苏联卢布（1961币制）</v>
      </c>
      <c r="O496" s="2239" t="n">
        <v>0.9</v>
      </c>
      <c r="P496" s="2234" t="str">
        <v>LCU/USD</v>
      </c>
      <c r="Q496" s="2239" t="n">
        <v>1</v>
      </c>
      <c r="R496" s="2234" t="str">
        <v>C：二手转引（原档未复核）</v>
      </c>
      <c r="S496" s="2234" t="str">
        <v>年度汇率!K47；原始记录!A364:M364</v>
      </c>
      <c r="T496" s="2234" t="str">
        <v>官价参考，并非市场年均汇率</v>
      </c>
      <c r="U496" t="n" s="2231">
        <v>1967</v>
      </c>
      <c r="V496" t="str" s="2231">
        <v>法国法郎（FRF；1960币制）</v>
      </c>
    </row>
    <row r="497" ht="15.0" customHeight="1">
      <c r="A497" s="2234" t="n">
        <v>1961</v>
      </c>
      <c r="B497" s="2234" t="str">
        <v>CNY</v>
      </c>
      <c r="C497" s="2234" t="str">
        <v>人民币元（1955币制；CNY）</v>
      </c>
      <c r="D497" s="2234" t="str">
        <v>可用</v>
      </c>
      <c r="E497" s="2238" t="n">
        <v>2.46181</v>
      </c>
      <c r="F497" s="2234" t="str">
        <v>年均</v>
      </c>
      <c r="G497" s="2234" t="str">
        <v>OECD via FRED：CNY年均汇率</v>
      </c>
      <c r="H497" s="2234" t="str">
        <v>https://fred.stlouisfed.org/data/CCUSMA02CNA618N</v>
      </c>
      <c r="I497" s="2234" t="str">
        <v>1961-01-01—1961-12-31</v>
      </c>
      <c r="J497" s="2234" t="str">
        <v>historical_exchange_rates_1920_2026.xlsx</v>
      </c>
      <c r="K497" s="2234" t="str">
        <v>单位为本币／美元；中国和印度早期数据主要反映官方汇率。</v>
      </c>
      <c r="L497" s="2234" t="str">
        <v>原报价已按 1 美元兑换本币表示。</v>
      </c>
      <c r="M497" s="2234" t="str">
        <v>1961|人民币元（1955币制；CNY）</v>
      </c>
      <c r="N497" s="2234" t="str">
        <v>人民币元（1955币制；CNY）</v>
      </c>
      <c r="O497" s="2239" t="n">
        <v>2.46181</v>
      </c>
      <c r="P497" s="2234" t="str">
        <v>LCU/USD</v>
      </c>
      <c r="Q497" s="2239" t="n">
        <v>1</v>
      </c>
      <c r="R497" s="2234" t="str">
        <v>A：机构统计／原始统计表</v>
      </c>
      <c r="S497" s="2234" t="str">
        <v>年度汇率!L47；原始记录!A365:M365</v>
      </c>
      <c r="T497" s="2234" t="str"/>
      <c r="U497" t="n" s="2231">
        <v>1967</v>
      </c>
      <c r="V497" t="str" s="2231">
        <v>西德德国马克（DEM）</v>
      </c>
    </row>
    <row r="498" ht="15.0" customHeight="1">
      <c r="A498" s="2234" t="n">
        <v>1962</v>
      </c>
      <c r="B498" s="2234" t="str">
        <v>USD</v>
      </c>
      <c r="C498" s="2234" t="str">
        <v>美元（USD）</v>
      </c>
      <c r="D498" s="2234" t="str">
        <v>可用</v>
      </c>
      <c r="E498" s="2238" t="n">
        <v>1</v>
      </c>
      <c r="F498" s="2234" t="str">
        <v>基准恒等</v>
      </c>
      <c r="G498" s="2234" t="str">
        <v>用户提供的历史汇率表</v>
      </c>
      <c r="H498" s="2234" t="str"/>
      <c r="I498" s="2234" t="str">
        <v>1962</v>
      </c>
      <c r="J498" s="2234" t="str">
        <v>historical_exchange_rates_1920_2026.xlsx</v>
      </c>
      <c r="K498" s="2234" t="str">
        <v>1 美元等于 1 美元，无外部报价。</v>
      </c>
      <c r="L498" s="2234" t="str">
        <v>美元基准，汇率恒为 1。</v>
      </c>
      <c r="M498" s="2234" t="str">
        <v>1962|美元（USD）</v>
      </c>
      <c r="N498" s="2234" t="str">
        <v>美元（USD）</v>
      </c>
      <c r="O498" s="2239"/>
      <c r="P498" s="2234" t="str"/>
      <c r="Q498" s="2239"/>
      <c r="R498" s="2234" t="str"/>
      <c r="S498" s="2234" t="str">
        <v>年度汇率!B48</v>
      </c>
      <c r="T498" s="2234" t="str"/>
      <c r="U498" t="n" s="2231">
        <v>1967</v>
      </c>
      <c r="V498" t="str" s="2231">
        <v>意大利里拉（ITL）</v>
      </c>
    </row>
    <row r="499" ht="15.0" customHeight="1">
      <c r="A499" s="2234" t="n">
        <v>1962</v>
      </c>
      <c r="B499" s="2234" t="str">
        <v>GBP</v>
      </c>
      <c r="C499" s="2234" t="str">
        <v>英镑（GBP）</v>
      </c>
      <c r="D499" s="2234" t="str">
        <v>可用</v>
      </c>
      <c r="E499" s="2238" t="n">
        <v>0.3561508392</v>
      </c>
      <c r="F499" s="2234" t="str">
        <v>年均</v>
      </c>
      <c r="G499" s="2234" t="str">
        <v>OECD via FRED：GBP年均汇率</v>
      </c>
      <c r="H499" s="2234" t="str">
        <v>https://fred.stlouisfed.org/data/CCUSMA02GBA618N</v>
      </c>
      <c r="I499" s="2234" t="str">
        <v>1962-01-01—1962-12-31</v>
      </c>
      <c r="J499" s="2234" t="str">
        <v>historical_exchange_rates_1920_2026.xlsx</v>
      </c>
      <c r="K499" s="2234" t="str">
        <v>单位为本币／美元；中国和印度早期数据主要反映官方汇率。</v>
      </c>
      <c r="L499" s="2234" t="str">
        <v>原报价已按 1 美元兑换本币表示。</v>
      </c>
      <c r="M499" s="2234" t="str">
        <v>1962|英镑（GBP）</v>
      </c>
      <c r="N499" s="2234" t="str">
        <v>英镑（GBP）</v>
      </c>
      <c r="O499" s="2239" t="n">
        <v>0.3561508392</v>
      </c>
      <c r="P499" s="2234" t="str">
        <v>LCU/USD</v>
      </c>
      <c r="Q499" s="2239" t="n">
        <v>1</v>
      </c>
      <c r="R499" s="2234" t="str">
        <v>A：机构统计／原始统计表</v>
      </c>
      <c r="S499" s="2234" t="str">
        <v>年度汇率!C48；原始记录!A366:M366</v>
      </c>
      <c r="T499" s="2234" t="str"/>
      <c r="U499" t="n" s="2231">
        <v>1967</v>
      </c>
      <c r="V499" t="str" s="2231">
        <v>日元（JPY）</v>
      </c>
    </row>
    <row r="500" ht="15.0" customHeight="1">
      <c r="A500" s="2234" t="n">
        <v>1962</v>
      </c>
      <c r="B500" s="2234" t="str">
        <v>CAD</v>
      </c>
      <c r="C500" s="2234" t="str">
        <v>加拿大元（CAD）</v>
      </c>
      <c r="D500" s="2234" t="str">
        <v>可用</v>
      </c>
      <c r="E500" s="2238" t="n">
        <v>1.06891</v>
      </c>
      <c r="F500" s="2234" t="str">
        <v>年均</v>
      </c>
      <c r="G500" s="2234" t="str">
        <v>OECD via FRED：CAD年均汇率</v>
      </c>
      <c r="H500" s="2234" t="str">
        <v>https://fred.stlouisfed.org/data/CCUSMA02CAA618N</v>
      </c>
      <c r="I500" s="2234" t="str">
        <v>1962-01-01—1962-12-31</v>
      </c>
      <c r="J500" s="2234" t="str">
        <v>historical_exchange_rates_1920_2026.xlsx</v>
      </c>
      <c r="K500" s="2234" t="str">
        <v>单位为本币／美元；中国和印度早期数据主要反映官方汇率。</v>
      </c>
      <c r="L500" s="2234" t="str">
        <v>原报价已按 1 美元兑换本币表示。</v>
      </c>
      <c r="M500" s="2234" t="str">
        <v>1962|加拿大元（CAD）</v>
      </c>
      <c r="N500" s="2234" t="str">
        <v>加拿大元（CAD）</v>
      </c>
      <c r="O500" s="2239" t="n">
        <v>1.06891</v>
      </c>
      <c r="P500" s="2234" t="str">
        <v>LCU/USD</v>
      </c>
      <c r="Q500" s="2239" t="n">
        <v>1</v>
      </c>
      <c r="R500" s="2234" t="str">
        <v>A：机构统计／原始统计表</v>
      </c>
      <c r="S500" s="2234" t="str">
        <v>年度汇率!D48；原始记录!A367:M367</v>
      </c>
      <c r="T500" s="2234" t="str"/>
      <c r="U500" t="n" s="2231">
        <v>1967</v>
      </c>
      <c r="V500" t="str" s="2231">
        <v>瑞士法郎（CHF）</v>
      </c>
    </row>
    <row r="501" ht="36.0" customHeight="1">
      <c r="A501" s="2234" t="n">
        <v>1962</v>
      </c>
      <c r="B501" s="2234" t="str">
        <v>FRF</v>
      </c>
      <c r="C501" s="2234" t="str">
        <v>法国新法郎</v>
      </c>
      <c r="D501" s="2234" t="str">
        <v>可用</v>
      </c>
      <c r="E501" s="2238" t="n">
        <v>4.9008800000099715</v>
      </c>
      <c r="F501" s="2234" t="str">
        <v>年均</v>
      </c>
      <c r="G501" s="2234" t="str">
        <v>OECD via FRED：FR年均汇率（欧元单位回溯序列）</v>
      </c>
      <c r="H501" s="2234" t="str">
        <v>https://fred.stlouisfed.org/data/CCUSMA02FRA618N</v>
      </c>
      <c r="I501" s="2234" t="str">
        <v>1962-01-01—1962-12-31</v>
      </c>
      <c r="J501" s="2234" t="str">
        <v>historical_exchange_rates_1920_2026.xlsx</v>
      </c>
      <c r="K501" s="2234" t="str">
        <v>由欧元回溯单位还原当年本币；非当年实际欧元报价。 欧元回溯单位按不可撤销转换率还原；法国1960年前另乘100。
原序列单位为回溯欧元；乘不可撤销转换率还原当年本币。法国1957–1959另乘100还原旧法郎。</v>
      </c>
      <c r="L501" s="2234" t="str">
        <v>原报价已按 1 美元兑换本币表示。乘以 6.55957，还原当年币制的计价单位。</v>
      </c>
      <c r="M501" s="2234" t="str">
        <v>1962|法国新法郎</v>
      </c>
      <c r="N501" s="2234" t="str">
        <v>法国新法郎</v>
      </c>
      <c r="O501" s="2239" t="n">
        <v>0.7471343396</v>
      </c>
      <c r="P501" s="2234" t="str">
        <v>LCU/USD</v>
      </c>
      <c r="Q501" s="2239" t="n">
        <v>6.55957</v>
      </c>
      <c r="R501" s="2234" t="str">
        <v>A：机构统计／原始统计表</v>
      </c>
      <c r="S501" s="2234" t="str">
        <v>年度汇率!E48；原始记录!A368:M368</v>
      </c>
      <c r="T501" s="2234" t="str"/>
      <c r="U501" t="n" s="2231">
        <v>1967</v>
      </c>
      <c r="V501" t="str" s="2231">
        <v>印度卢比（INR）</v>
      </c>
    </row>
    <row r="502" ht="36.0" customHeight="1">
      <c r="A502" s="2234" t="n">
        <v>1962</v>
      </c>
      <c r="B502" s="2234" t="str">
        <v>DEM</v>
      </c>
      <c r="C502" s="2234" t="str">
        <v>西德德国马克（DEM）</v>
      </c>
      <c r="D502" s="2234" t="str">
        <v>可用</v>
      </c>
      <c r="E502" s="2238" t="n">
        <v>3.9980625000683436</v>
      </c>
      <c r="F502" s="2234" t="str">
        <v>年均</v>
      </c>
      <c r="G502" s="2234" t="str">
        <v>OECD via FRED：DE年均汇率（欧元单位回溯序列）</v>
      </c>
      <c r="H502" s="2234" t="str">
        <v>https://fred.stlouisfed.org/data/CCUSMA02DEA618N</v>
      </c>
      <c r="I502" s="2234" t="str">
        <v>1962-01-01—1962-12-31</v>
      </c>
      <c r="J502" s="2234" t="str">
        <v>historical_exchange_rates_1920_2026.xlsx</v>
      </c>
      <c r="K502" s="2234" t="str">
        <v>由欧元回溯单位还原当年本币；非当年实际欧元报价。 欧元回溯单位按不可撤销转换率还原；法国1960年前另乘100。
原序列单位为回溯欧元；乘不可撤销转换率还原当年本币。法国1957–1959另乘100还原旧法郎。</v>
      </c>
      <c r="L502" s="2234" t="str">
        <v>原报价已按 1 美元兑换本币表示。乘以 1.95583，还原当年币制的计价单位。</v>
      </c>
      <c r="M502" s="2234" t="str">
        <v>1962|西德德国马克（DEM）</v>
      </c>
      <c r="N502" s="2234" t="str">
        <v>西德德国马克（DEM）</v>
      </c>
      <c r="O502" s="2239" t="n">
        <v>2.0441768968</v>
      </c>
      <c r="P502" s="2234" t="str">
        <v>LCU/USD</v>
      </c>
      <c r="Q502" s="2239" t="n">
        <v>1.95583</v>
      </c>
      <c r="R502" s="2234" t="str">
        <v>A：机构统计／原始统计表</v>
      </c>
      <c r="S502" s="2234" t="str">
        <v>年度汇率!F48、年度汇率!M48；原始记录!A369:M369</v>
      </c>
      <c r="T502" s="2234" t="str"/>
      <c r="U502" t="n" s="2231">
        <v>1967</v>
      </c>
      <c r="V502" t="str" s="2231">
        <v>苏联卢布（1961币制）</v>
      </c>
    </row>
    <row r="503" ht="36.0" customHeight="1">
      <c r="A503" s="2234" t="n">
        <v>1962</v>
      </c>
      <c r="B503" s="2234" t="str">
        <v>ITL</v>
      </c>
      <c r="C503" s="2234" t="str">
        <v>意大利里拉（ITL）</v>
      </c>
      <c r="D503" s="2234" t="str">
        <v>可用</v>
      </c>
      <c r="E503" s="2238" t="n">
        <v>620.82850004574</v>
      </c>
      <c r="F503" s="2234" t="str">
        <v>年均</v>
      </c>
      <c r="G503" s="2234" t="str">
        <v>OECD via FRED：IT年均汇率（欧元单位回溯序列）</v>
      </c>
      <c r="H503" s="2234" t="str">
        <v>https://fred.stlouisfed.org/data/CCUSMA02ITA618N</v>
      </c>
      <c r="I503" s="2234" t="str">
        <v>1962-01-01—1962-12-31</v>
      </c>
      <c r="J503" s="2234" t="str">
        <v>historical_exchange_rates_1920_2026.xlsx</v>
      </c>
      <c r="K503" s="2234" t="str">
        <v>由欧元回溯单位还原当年本币；非当年实际欧元报价。 欧元回溯单位按不可撤销转换率还原；法国1960年前另乘100。
原序列单位为回溯欧元；乘不可撤销转换率还原当年本币。法国1957–1959另乘100还原旧法郎。</v>
      </c>
      <c r="L503" s="2234" t="str">
        <v>原报价已按 1 美元兑换本币表示。乘以 1936.27，还原当年币制的计价单位。</v>
      </c>
      <c r="M503" s="2234" t="str">
        <v>1962|意大利里拉（ITL）</v>
      </c>
      <c r="N503" s="2234" t="str">
        <v>意大利里拉（ITL）</v>
      </c>
      <c r="O503" s="2239" t="n">
        <v>0.320631162</v>
      </c>
      <c r="P503" s="2234" t="str">
        <v>LCU/USD</v>
      </c>
      <c r="Q503" s="2239" t="n">
        <v>1936.27</v>
      </c>
      <c r="R503" s="2234" t="str">
        <v>A：机构统计／原始统计表</v>
      </c>
      <c r="S503" s="2234" t="str">
        <v>年度汇率!G48；原始记录!A370:M370</v>
      </c>
      <c r="T503" s="2234" t="str"/>
      <c r="U503" t="n" s="2231">
        <v>1967</v>
      </c>
      <c r="V503" t="str" s="2231">
        <v>人民币元（1955币制；CNY）</v>
      </c>
    </row>
    <row r="504" ht="15.0" customHeight="1">
      <c r="A504" s="2234" t="n">
        <v>1962</v>
      </c>
      <c r="B504" s="2234" t="str">
        <v>JPY</v>
      </c>
      <c r="C504" s="2234" t="str">
        <v>日元（JPY）</v>
      </c>
      <c r="D504" s="2234" t="str">
        <v>可用</v>
      </c>
      <c r="E504" s="2238" t="n">
        <v>360.86</v>
      </c>
      <c r="F504" s="2234" t="str">
        <v>年均</v>
      </c>
      <c r="G504" s="2234" t="str">
        <v>MeasuringWorth：日本年均汇率</v>
      </c>
      <c r="H504" s="2234" t="str">
        <v>https://www.measuringworth.com/datasets/exchangeglobal/result.php?countryE%5B%5D=Japan&amp;year_result=2016&amp;year_source=1916</v>
      </c>
      <c r="I504" s="2234" t="str">
        <v>1962-01-01—1962-12-31</v>
      </c>
      <c r="J504" s="2234" t="str">
        <v>historical_exchange_rates_1920_2026.xlsx</v>
      </c>
      <c r="K504" s="2234" t="str">
        <v>以纽约市场年度平均报价为主；保留原表精度。</v>
      </c>
      <c r="L504" s="2234" t="str">
        <v>原报价已按 1 美元兑换本币表示。</v>
      </c>
      <c r="M504" s="2234" t="str">
        <v>1962|日元（JPY）</v>
      </c>
      <c r="N504" s="2234" t="str">
        <v>日元（JPY）</v>
      </c>
      <c r="O504" s="2239" t="n">
        <v>360.86</v>
      </c>
      <c r="P504" s="2234" t="str">
        <v>LCU/USD</v>
      </c>
      <c r="Q504" s="2239" t="n">
        <v>1</v>
      </c>
      <c r="R504" s="2234" t="str">
        <v>B：学术历史汇编</v>
      </c>
      <c r="S504" s="2234" t="str">
        <v>年度汇率!H48；原始记录!A371:M371</v>
      </c>
      <c r="T504" s="2234" t="str"/>
      <c r="U504" t="n" s="2231">
        <v>1968</v>
      </c>
      <c r="V504" t="str" s="2231">
        <v>美元（USD）</v>
      </c>
    </row>
    <row r="505" ht="15.0" customHeight="1">
      <c r="A505" s="2234" t="n">
        <v>1962</v>
      </c>
      <c r="B505" s="2234" t="str">
        <v>CHF</v>
      </c>
      <c r="C505" s="2234" t="str">
        <v>瑞士法郎（CHF）</v>
      </c>
      <c r="D505" s="2234" t="str">
        <v>可用</v>
      </c>
      <c r="E505" s="2238" t="n">
        <v>4.324425</v>
      </c>
      <c r="F505" s="2234" t="str">
        <v>年均</v>
      </c>
      <c r="G505" s="2234" t="str">
        <v>OECD via FRED：CHF年均汇率</v>
      </c>
      <c r="H505" s="2234" t="str">
        <v>https://fred.stlouisfed.org/data/CCUSMA02CHA618N</v>
      </c>
      <c r="I505" s="2234" t="str">
        <v>1962-01-01—1962-12-31</v>
      </c>
      <c r="J505" s="2234" t="str">
        <v>historical_exchange_rates_1920_2026.xlsx</v>
      </c>
      <c r="K505" s="2234" t="str">
        <v>单位为本币／美元；中国和印度早期数据主要反映官方汇率。</v>
      </c>
      <c r="L505" s="2234" t="str">
        <v>原报价已按 1 美元兑换本币表示。</v>
      </c>
      <c r="M505" s="2234" t="str">
        <v>1962|瑞士法郎（CHF）</v>
      </c>
      <c r="N505" s="2234" t="str">
        <v>瑞士法郎（CHF）</v>
      </c>
      <c r="O505" s="2239" t="n">
        <v>4.324425</v>
      </c>
      <c r="P505" s="2234" t="str">
        <v>LCU/USD</v>
      </c>
      <c r="Q505" s="2239" t="n">
        <v>1</v>
      </c>
      <c r="R505" s="2234" t="str">
        <v>A：机构统计／原始统计表</v>
      </c>
      <c r="S505" s="2234" t="str">
        <v>年度汇率!I48；原始记录!A372:M372</v>
      </c>
      <c r="T505" s="2234" t="str"/>
      <c r="U505" t="n" s="2231">
        <v>1968</v>
      </c>
      <c r="V505" t="str" s="2231">
        <v>英镑（GBP）</v>
      </c>
    </row>
    <row r="506" ht="15.0" customHeight="1">
      <c r="A506" s="2234" t="n">
        <v>1962</v>
      </c>
      <c r="B506" s="2234" t="str">
        <v>INR</v>
      </c>
      <c r="C506" s="2234" t="str">
        <v>印度卢比（INR）</v>
      </c>
      <c r="D506" s="2234" t="str">
        <v>可用</v>
      </c>
      <c r="E506" s="2238" t="n">
        <v>4.7619</v>
      </c>
      <c r="F506" s="2234" t="str">
        <v>年均</v>
      </c>
      <c r="G506" s="2234" t="str">
        <v>OECD via FRED：INR年均汇率</v>
      </c>
      <c r="H506" s="2234" t="str">
        <v>https://fred.stlouisfed.org/data/CCUSMA02INA618N</v>
      </c>
      <c r="I506" s="2234" t="str">
        <v>1962-01-01—1962-12-31</v>
      </c>
      <c r="J506" s="2234" t="str">
        <v>historical_exchange_rates_1920_2026.xlsx</v>
      </c>
      <c r="K506" s="2234" t="str">
        <v>单位为本币／美元；中国和印度早期数据主要反映官方汇率。</v>
      </c>
      <c r="L506" s="2234" t="str">
        <v>原报价已按 1 美元兑换本币表示。</v>
      </c>
      <c r="M506" s="2234" t="str">
        <v>1962|印度卢比（INR）</v>
      </c>
      <c r="N506" s="2234" t="str">
        <v>印度卢比（INR）</v>
      </c>
      <c r="O506" s="2239" t="n">
        <v>4.7619</v>
      </c>
      <c r="P506" s="2234" t="str">
        <v>LCU/USD</v>
      </c>
      <c r="Q506" s="2239" t="n">
        <v>1</v>
      </c>
      <c r="R506" s="2234" t="str">
        <v>A：机构统计／原始统计表</v>
      </c>
      <c r="S506" s="2234" t="str">
        <v>年度汇率!J48；原始记录!A373:M373</v>
      </c>
      <c r="T506" s="2234" t="str"/>
      <c r="U506" t="n" s="2231">
        <v>1968</v>
      </c>
      <c r="V506" t="str" s="2231">
        <v>加拿大元（CAD）</v>
      </c>
    </row>
    <row r="507" ht="48.0" customHeight="1">
      <c r="A507" s="2234" t="n">
        <v>1962</v>
      </c>
      <c r="B507" s="2234" t="str">
        <v>SUR_1961</v>
      </c>
      <c r="C507" s="2234" t="str">
        <v>苏联卢布（1961币制）</v>
      </c>
      <c r="D507" s="2234" t="str">
        <v>可用</v>
      </c>
      <c r="E507" s="2238" t="n">
        <v>0.9</v>
      </c>
      <c r="F507" s="2234" t="str">
        <v>官价区间参考（非年均）</v>
      </c>
      <c r="G507" s="2234" t="str">
        <v>苏联卢布历史官价表（Wikipedia转引俄央行历史档案）</v>
      </c>
      <c r="H507" s="2234" t="str">
        <v>https://en.wikipedia.org/wiki/Soviet_ruble#Exchange_rates</v>
      </c>
      <c r="I507" s="2234" t="str">
        <v>1961-01-01—1971-12-01</v>
      </c>
      <c r="J507" s="2234" t="str">
        <v>historical_exchange_rates_1920_2026.xlsx</v>
      </c>
      <c r="K507"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507" s="2234" t="str">
        <v>原报价已按 1 美元兑换本币表示。</v>
      </c>
      <c r="M507" s="2234" t="str">
        <v>1962|苏联卢布（1961币制）</v>
      </c>
      <c r="N507" s="2234" t="str">
        <v>苏联卢布（1961币制）</v>
      </c>
      <c r="O507" s="2239" t="n">
        <v>0.9</v>
      </c>
      <c r="P507" s="2234" t="str">
        <v>LCU/USD</v>
      </c>
      <c r="Q507" s="2239" t="n">
        <v>1</v>
      </c>
      <c r="R507" s="2234" t="str">
        <v>C：二手转引（原档未复核）</v>
      </c>
      <c r="S507" s="2234" t="str">
        <v>年度汇率!K48；原始记录!A374:M374</v>
      </c>
      <c r="T507" s="2234" t="str">
        <v>官价参考，并非市场年均汇率</v>
      </c>
      <c r="U507" t="n" s="2231">
        <v>1968</v>
      </c>
      <c r="V507" t="str" s="2231">
        <v>法国法郎（FRF；1960币制）</v>
      </c>
    </row>
    <row r="508" ht="15.0" customHeight="1">
      <c r="A508" s="2234" t="n">
        <v>1962</v>
      </c>
      <c r="B508" s="2234" t="str">
        <v>CNY</v>
      </c>
      <c r="C508" s="2234" t="str">
        <v>人民币元（1955币制；CNY）</v>
      </c>
      <c r="D508" s="2234" t="str">
        <v>可用</v>
      </c>
      <c r="E508" s="2238" t="n">
        <v>2.46181</v>
      </c>
      <c r="F508" s="2234" t="str">
        <v>年均</v>
      </c>
      <c r="G508" s="2234" t="str">
        <v>OECD via FRED：CNY年均汇率</v>
      </c>
      <c r="H508" s="2234" t="str">
        <v>https://fred.stlouisfed.org/data/CCUSMA02CNA618N</v>
      </c>
      <c r="I508" s="2234" t="str">
        <v>1962-01-01—1962-12-31</v>
      </c>
      <c r="J508" s="2234" t="str">
        <v>historical_exchange_rates_1920_2026.xlsx</v>
      </c>
      <c r="K508" s="2234" t="str">
        <v>单位为本币／美元；中国和印度早期数据主要反映官方汇率。</v>
      </c>
      <c r="L508" s="2234" t="str">
        <v>原报价已按 1 美元兑换本币表示。</v>
      </c>
      <c r="M508" s="2234" t="str">
        <v>1962|人民币元（1955币制；CNY）</v>
      </c>
      <c r="N508" s="2234" t="str">
        <v>人民币元（1955币制；CNY）</v>
      </c>
      <c r="O508" s="2239" t="n">
        <v>2.46181</v>
      </c>
      <c r="P508" s="2234" t="str">
        <v>LCU/USD</v>
      </c>
      <c r="Q508" s="2239" t="n">
        <v>1</v>
      </c>
      <c r="R508" s="2234" t="str">
        <v>A：机构统计／原始统计表</v>
      </c>
      <c r="S508" s="2234" t="str">
        <v>年度汇率!L48；原始记录!A375:M375</v>
      </c>
      <c r="T508" s="2234" t="str"/>
      <c r="U508" t="n" s="2231">
        <v>1968</v>
      </c>
      <c r="V508" t="str" s="2231">
        <v>西德德国马克（DEM）</v>
      </c>
    </row>
    <row r="509" ht="15.0" customHeight="1">
      <c r="A509" s="2234" t="n">
        <v>1963</v>
      </c>
      <c r="B509" s="2234" t="str">
        <v>USD</v>
      </c>
      <c r="C509" s="2234" t="str">
        <v>美元（USD）</v>
      </c>
      <c r="D509" s="2234" t="str">
        <v>可用</v>
      </c>
      <c r="E509" s="2238" t="n">
        <v>1</v>
      </c>
      <c r="F509" s="2234" t="str">
        <v>基准恒等</v>
      </c>
      <c r="G509" s="2234" t="str">
        <v>用户提供的历史汇率表</v>
      </c>
      <c r="H509" s="2234" t="str"/>
      <c r="I509" s="2234" t="str">
        <v>1963</v>
      </c>
      <c r="J509" s="2234" t="str">
        <v>historical_exchange_rates_1920_2026.xlsx</v>
      </c>
      <c r="K509" s="2234" t="str">
        <v>1 美元等于 1 美元，无外部报价。</v>
      </c>
      <c r="L509" s="2234" t="str">
        <v>美元基准，汇率恒为 1。</v>
      </c>
      <c r="M509" s="2234" t="str">
        <v>1963|美元（USD）</v>
      </c>
      <c r="N509" s="2234" t="str">
        <v>美元（USD）</v>
      </c>
      <c r="O509" s="2239"/>
      <c r="P509" s="2234" t="str"/>
      <c r="Q509" s="2239"/>
      <c r="R509" s="2234" t="str"/>
      <c r="S509" s="2234" t="str">
        <v>年度汇率!B49</v>
      </c>
      <c r="T509" s="2234" t="str"/>
      <c r="U509" t="n" s="2231">
        <v>1968</v>
      </c>
      <c r="V509" t="str" s="2231">
        <v>意大利里拉（ITL）</v>
      </c>
    </row>
    <row r="510" ht="15.0" customHeight="1">
      <c r="A510" s="2234" t="n">
        <v>1963</v>
      </c>
      <c r="B510" s="2234" t="str">
        <v>GBP</v>
      </c>
      <c r="C510" s="2234" t="str">
        <v>英镑（GBP）</v>
      </c>
      <c r="D510" s="2234" t="str">
        <v>可用</v>
      </c>
      <c r="E510" s="2238" t="n">
        <v>0.35710799</v>
      </c>
      <c r="F510" s="2234" t="str">
        <v>年均</v>
      </c>
      <c r="G510" s="2234" t="str">
        <v>OECD via FRED：GBP年均汇率</v>
      </c>
      <c r="H510" s="2234" t="str">
        <v>https://fred.stlouisfed.org/data/CCUSMA02GBA618N</v>
      </c>
      <c r="I510" s="2234" t="str">
        <v>1963-01-01—1963-12-31</v>
      </c>
      <c r="J510" s="2234" t="str">
        <v>historical_exchange_rates_1920_2026.xlsx</v>
      </c>
      <c r="K510" s="2234" t="str">
        <v>单位为本币／美元；中国和印度早期数据主要反映官方汇率。</v>
      </c>
      <c r="L510" s="2234" t="str">
        <v>原报价已按 1 美元兑换本币表示。</v>
      </c>
      <c r="M510" s="2234" t="str">
        <v>1963|英镑（GBP）</v>
      </c>
      <c r="N510" s="2234" t="str">
        <v>英镑（GBP）</v>
      </c>
      <c r="O510" s="2239" t="n">
        <v>0.35710799</v>
      </c>
      <c r="P510" s="2234" t="str">
        <v>LCU/USD</v>
      </c>
      <c r="Q510" s="2239" t="n">
        <v>1</v>
      </c>
      <c r="R510" s="2234" t="str">
        <v>A：机构统计／原始统计表</v>
      </c>
      <c r="S510" s="2234" t="str">
        <v>年度汇率!C49；原始记录!A376:M376</v>
      </c>
      <c r="T510" s="2234" t="str"/>
      <c r="U510" t="n" s="2231">
        <v>1968</v>
      </c>
      <c r="V510" t="str" s="2231">
        <v>日元（JPY）</v>
      </c>
    </row>
    <row r="511" ht="15.0" customHeight="1">
      <c r="A511" s="2234" t="n">
        <v>1963</v>
      </c>
      <c r="B511" s="2234" t="str">
        <v>CAD</v>
      </c>
      <c r="C511" s="2234" t="str">
        <v>加拿大元（CAD）</v>
      </c>
      <c r="D511" s="2234" t="str">
        <v>可用</v>
      </c>
      <c r="E511" s="2238" t="n">
        <v>1.078745</v>
      </c>
      <c r="F511" s="2234" t="str">
        <v>年均</v>
      </c>
      <c r="G511" s="2234" t="str">
        <v>OECD via FRED：CAD年均汇率</v>
      </c>
      <c r="H511" s="2234" t="str">
        <v>https://fred.stlouisfed.org/data/CCUSMA02CAA618N</v>
      </c>
      <c r="I511" s="2234" t="str">
        <v>1963-01-01—1963-12-31</v>
      </c>
      <c r="J511" s="2234" t="str">
        <v>historical_exchange_rates_1920_2026.xlsx</v>
      </c>
      <c r="K511" s="2234" t="str">
        <v>单位为本币／美元；中国和印度早期数据主要反映官方汇率。</v>
      </c>
      <c r="L511" s="2234" t="str">
        <v>原报价已按 1 美元兑换本币表示。</v>
      </c>
      <c r="M511" s="2234" t="str">
        <v>1963|加拿大元（CAD）</v>
      </c>
      <c r="N511" s="2234" t="str">
        <v>加拿大元（CAD）</v>
      </c>
      <c r="O511" s="2239" t="n">
        <v>1.078745</v>
      </c>
      <c r="P511" s="2234" t="str">
        <v>LCU/USD</v>
      </c>
      <c r="Q511" s="2239" t="n">
        <v>1</v>
      </c>
      <c r="R511" s="2234" t="str">
        <v>A：机构统计／原始统计表</v>
      </c>
      <c r="S511" s="2234" t="str">
        <v>年度汇率!D49；原始记录!A377:M377</v>
      </c>
      <c r="T511" s="2234" t="str"/>
      <c r="U511" t="n" s="2231">
        <v>1968</v>
      </c>
      <c r="V511" t="str" s="2231">
        <v>瑞士法郎（CHF）</v>
      </c>
    </row>
    <row r="512" ht="36.0" customHeight="1">
      <c r="A512" s="2234" t="n">
        <v>1963</v>
      </c>
      <c r="B512" s="2234" t="str">
        <v>FRF</v>
      </c>
      <c r="C512" s="2234" t="str">
        <v>法国法郎（FRF；1960币制）</v>
      </c>
      <c r="D512" s="2234" t="str">
        <v>可用</v>
      </c>
      <c r="E512" s="2238" t="n">
        <v>4.900900000138902</v>
      </c>
      <c r="F512" s="2234" t="str">
        <v>年均</v>
      </c>
      <c r="G512" s="2234" t="str">
        <v>OECD via FRED：FR年均汇率（欧元单位回溯序列）</v>
      </c>
      <c r="H512" s="2234" t="str">
        <v>https://fred.stlouisfed.org/data/CCUSMA02FRA618N</v>
      </c>
      <c r="I512" s="2234" t="str">
        <v>1963-01-01—1963-12-31</v>
      </c>
      <c r="J512" s="2234" t="str">
        <v>historical_exchange_rates_1920_2026.xlsx</v>
      </c>
      <c r="K512" s="2234" t="str">
        <v>由欧元回溯单位还原当年本币；非当年实际欧元报价。 欧元回溯单位按不可撤销转换率还原；法国1960年前另乘100。
原序列单位为回溯欧元；乘不可撤销转换率还原当年本币。法国1957–1959另乘100还原旧法郎。</v>
      </c>
      <c r="L512" s="2234" t="str">
        <v>原报价已按 1 美元兑换本币表示。乘以 6.55957，还原当年币制的计价单位。</v>
      </c>
      <c r="M512" s="2234" t="str">
        <v>1963|法国法郎（FRF；1960币制）</v>
      </c>
      <c r="N512" s="2234" t="str">
        <v>法国法郎（FRF；1960币制）</v>
      </c>
      <c r="O512" s="2239" t="n">
        <v>0.7471373886</v>
      </c>
      <c r="P512" s="2234" t="str">
        <v>LCU/USD</v>
      </c>
      <c r="Q512" s="2239" t="n">
        <v>6.55957</v>
      </c>
      <c r="R512" s="2234" t="str">
        <v>A：机构统计／原始统计表</v>
      </c>
      <c r="S512" s="2234" t="str">
        <v>年度汇率!E49；原始记录!A378:M378</v>
      </c>
      <c r="T512" s="2234" t="str"/>
      <c r="U512" t="n" s="2231">
        <v>1968</v>
      </c>
      <c r="V512" t="str" s="2231">
        <v>印度卢比（INR）</v>
      </c>
    </row>
    <row r="513" ht="36.0" customHeight="1">
      <c r="A513" s="2234" t="n">
        <v>1963</v>
      </c>
      <c r="B513" s="2234" t="str">
        <v>DEM</v>
      </c>
      <c r="C513" s="2234" t="str">
        <v>西德德国马克（DEM）</v>
      </c>
      <c r="D513" s="2234" t="str">
        <v>可用</v>
      </c>
      <c r="E513" s="2238" t="n">
        <v>3.9865099999852593</v>
      </c>
      <c r="F513" s="2234" t="str">
        <v>年均</v>
      </c>
      <c r="G513" s="2234" t="str">
        <v>OECD via FRED：DE年均汇率（欧元单位回溯序列）</v>
      </c>
      <c r="H513" s="2234" t="str">
        <v>https://fred.stlouisfed.org/data/CCUSMA02DEA618N</v>
      </c>
      <c r="I513" s="2234" t="str">
        <v>1963-01-01—1963-12-31</v>
      </c>
      <c r="J513" s="2234" t="str">
        <v>historical_exchange_rates_1920_2026.xlsx</v>
      </c>
      <c r="K513" s="2234" t="str">
        <v>由欧元回溯单位还原当年本币；非当年实际欧元报价。 欧元回溯单位按不可撤销转换率还原；法国1960年前另乘100。
原序列单位为回溯欧元；乘不可撤销转换率还原当年本币。法国1957–1959另乘100还原旧法郎。</v>
      </c>
      <c r="L513" s="2234" t="str">
        <v>原报价已按 1 美元兑换本币表示。乘以 1.95583，还原当年币制的计价单位。</v>
      </c>
      <c r="M513" s="2234" t="str">
        <v>1963|西德德国马克（DEM）</v>
      </c>
      <c r="N513" s="2234" t="str">
        <v>西德德国马克（DEM）</v>
      </c>
      <c r="O513" s="2239" t="n">
        <v>2.0382701973</v>
      </c>
      <c r="P513" s="2234" t="str">
        <v>LCU/USD</v>
      </c>
      <c r="Q513" s="2239" t="n">
        <v>1.95583</v>
      </c>
      <c r="R513" s="2234" t="str">
        <v>A：机构统计／原始统计表</v>
      </c>
      <c r="S513" s="2234" t="str">
        <v>年度汇率!F49、年度汇率!M49；原始记录!A379:M379</v>
      </c>
      <c r="T513" s="2234" t="str"/>
      <c r="U513" t="n" s="2231">
        <v>1968</v>
      </c>
      <c r="V513" t="str" s="2231">
        <v>苏联卢布（1961币制）</v>
      </c>
    </row>
    <row r="514" ht="36.0" customHeight="1">
      <c r="A514" s="2234" t="n">
        <v>1963</v>
      </c>
      <c r="B514" s="2234" t="str">
        <v>ITL</v>
      </c>
      <c r="C514" s="2234" t="str">
        <v>意大利里拉（ITL）</v>
      </c>
      <c r="D514" s="2234" t="str">
        <v>可用</v>
      </c>
      <c r="E514" s="2238" t="n">
        <v>621.60124991258</v>
      </c>
      <c r="F514" s="2234" t="str">
        <v>年均</v>
      </c>
      <c r="G514" s="2234" t="str">
        <v>OECD via FRED：IT年均汇率（欧元单位回溯序列）</v>
      </c>
      <c r="H514" s="2234" t="str">
        <v>https://fred.stlouisfed.org/data/CCUSMA02ITA618N</v>
      </c>
      <c r="I514" s="2234" t="str">
        <v>1963-01-01—1963-12-31</v>
      </c>
      <c r="J514" s="2234" t="str">
        <v>historical_exchange_rates_1920_2026.xlsx</v>
      </c>
      <c r="K514" s="2234" t="str">
        <v>由欧元回溯单位还原当年本币；非当年实际欧元报价。 欧元回溯单位按不可撤销转换率还原；法国1960年前另乘100。
原序列单位为回溯欧元；乘不可撤销转换率还原当年本币。法国1957–1959另乘100还原旧法郎。</v>
      </c>
      <c r="L514" s="2234" t="str">
        <v>原报价已按 1 美元兑换本币表示。乘以 1936.27，还原当年币制的计价单位。</v>
      </c>
      <c r="M514" s="2234" t="str">
        <v>1963|意大利里拉（ITL）</v>
      </c>
      <c r="N514" s="2234" t="str">
        <v>意大利里拉（ITL）</v>
      </c>
      <c r="O514" s="2239" t="n">
        <v>0.321030254</v>
      </c>
      <c r="P514" s="2234" t="str">
        <v>LCU/USD</v>
      </c>
      <c r="Q514" s="2239" t="n">
        <v>1936.27</v>
      </c>
      <c r="R514" s="2234" t="str">
        <v>A：机构统计／原始统计表</v>
      </c>
      <c r="S514" s="2234" t="str">
        <v>年度汇率!G49；原始记录!A380:M380</v>
      </c>
      <c r="T514" s="2234" t="str"/>
      <c r="U514" t="n" s="2231">
        <v>1968</v>
      </c>
      <c r="V514" t="str" s="2231">
        <v>人民币元（1955币制；CNY）</v>
      </c>
    </row>
    <row r="515" ht="15.0" customHeight="1">
      <c r="A515" s="2234" t="n">
        <v>1963</v>
      </c>
      <c r="B515" s="2234" t="str">
        <v>JPY</v>
      </c>
      <c r="C515" s="2234" t="str">
        <v>日元（JPY）</v>
      </c>
      <c r="D515" s="2234" t="str">
        <v>可用</v>
      </c>
      <c r="E515" s="2238" t="n">
        <v>361.49</v>
      </c>
      <c r="F515" s="2234" t="str">
        <v>年均</v>
      </c>
      <c r="G515" s="2234" t="str">
        <v>MeasuringWorth：日本年均汇率</v>
      </c>
      <c r="H515" s="2234" t="str">
        <v>https://www.measuringworth.com/datasets/exchangeglobal/result.php?countryE%5B%5D=Japan&amp;year_result=2016&amp;year_source=1916</v>
      </c>
      <c r="I515" s="2234" t="str">
        <v>1963-01-01—1963-12-31</v>
      </c>
      <c r="J515" s="2234" t="str">
        <v>historical_exchange_rates_1920_2026.xlsx</v>
      </c>
      <c r="K515" s="2234" t="str">
        <v>以纽约市场年度平均报价为主；保留原表精度。</v>
      </c>
      <c r="L515" s="2234" t="str">
        <v>原报价已按 1 美元兑换本币表示。</v>
      </c>
      <c r="M515" s="2234" t="str">
        <v>1963|日元（JPY）</v>
      </c>
      <c r="N515" s="2234" t="str">
        <v>日元（JPY）</v>
      </c>
      <c r="O515" s="2239" t="n">
        <v>361.49</v>
      </c>
      <c r="P515" s="2234" t="str">
        <v>LCU/USD</v>
      </c>
      <c r="Q515" s="2239" t="n">
        <v>1</v>
      </c>
      <c r="R515" s="2234" t="str">
        <v>B：学术历史汇编</v>
      </c>
      <c r="S515" s="2234" t="str">
        <v>年度汇率!H49；原始记录!A381:M381</v>
      </c>
      <c r="T515" s="2234" t="str"/>
      <c r="U515" t="n" s="2231">
        <v>1969</v>
      </c>
      <c r="V515" t="str" s="2231">
        <v>美元（USD）</v>
      </c>
    </row>
    <row r="516" ht="15.0" customHeight="1">
      <c r="A516" s="2234" t="n">
        <v>1963</v>
      </c>
      <c r="B516" s="2234" t="str">
        <v>CHF</v>
      </c>
      <c r="C516" s="2234" t="str">
        <v>瑞士法郎（CHF）</v>
      </c>
      <c r="D516" s="2234" t="str">
        <v>可用</v>
      </c>
      <c r="E516" s="2238" t="n">
        <v>4.321725</v>
      </c>
      <c r="F516" s="2234" t="str">
        <v>年均</v>
      </c>
      <c r="G516" s="2234" t="str">
        <v>OECD via FRED：CHF年均汇率</v>
      </c>
      <c r="H516" s="2234" t="str">
        <v>https://fred.stlouisfed.org/data/CCUSMA02CHA618N</v>
      </c>
      <c r="I516" s="2234" t="str">
        <v>1963-01-01—1963-12-31</v>
      </c>
      <c r="J516" s="2234" t="str">
        <v>historical_exchange_rates_1920_2026.xlsx</v>
      </c>
      <c r="K516" s="2234" t="str">
        <v>单位为本币／美元；中国和印度早期数据主要反映官方汇率。</v>
      </c>
      <c r="L516" s="2234" t="str">
        <v>原报价已按 1 美元兑换本币表示。</v>
      </c>
      <c r="M516" s="2234" t="str">
        <v>1963|瑞士法郎（CHF）</v>
      </c>
      <c r="N516" s="2234" t="str">
        <v>瑞士法郎（CHF）</v>
      </c>
      <c r="O516" s="2239" t="n">
        <v>4.321725</v>
      </c>
      <c r="P516" s="2234" t="str">
        <v>LCU/USD</v>
      </c>
      <c r="Q516" s="2239" t="n">
        <v>1</v>
      </c>
      <c r="R516" s="2234" t="str">
        <v>A：机构统计／原始统计表</v>
      </c>
      <c r="S516" s="2234" t="str">
        <v>年度汇率!I49；原始记录!A382:M382</v>
      </c>
      <c r="T516" s="2234" t="str"/>
      <c r="U516" t="n" s="2231">
        <v>1969</v>
      </c>
      <c r="V516" t="str" s="2231">
        <v>英镑（GBP）</v>
      </c>
    </row>
    <row r="517" ht="15.0" customHeight="1">
      <c r="A517" s="2234" t="n">
        <v>1963</v>
      </c>
      <c r="B517" s="2234" t="str">
        <v>INR</v>
      </c>
      <c r="C517" s="2234" t="str">
        <v>印度卢比（INR）</v>
      </c>
      <c r="D517" s="2234" t="str">
        <v>可用</v>
      </c>
      <c r="E517" s="2238" t="n">
        <v>4.7619</v>
      </c>
      <c r="F517" s="2234" t="str">
        <v>年均</v>
      </c>
      <c r="G517" s="2234" t="str">
        <v>OECD via FRED：INR年均汇率</v>
      </c>
      <c r="H517" s="2234" t="str">
        <v>https://fred.stlouisfed.org/data/CCUSMA02INA618N</v>
      </c>
      <c r="I517" s="2234" t="str">
        <v>1963-01-01—1963-12-31</v>
      </c>
      <c r="J517" s="2234" t="str">
        <v>historical_exchange_rates_1920_2026.xlsx</v>
      </c>
      <c r="K517" s="2234" t="str">
        <v>单位为本币／美元；中国和印度早期数据主要反映官方汇率。</v>
      </c>
      <c r="L517" s="2234" t="str">
        <v>原报价已按 1 美元兑换本币表示。</v>
      </c>
      <c r="M517" s="2234" t="str">
        <v>1963|印度卢比（INR）</v>
      </c>
      <c r="N517" s="2234" t="str">
        <v>印度卢比（INR）</v>
      </c>
      <c r="O517" s="2239" t="n">
        <v>4.7619</v>
      </c>
      <c r="P517" s="2234" t="str">
        <v>LCU/USD</v>
      </c>
      <c r="Q517" s="2239" t="n">
        <v>1</v>
      </c>
      <c r="R517" s="2234" t="str">
        <v>A：机构统计／原始统计表</v>
      </c>
      <c r="S517" s="2234" t="str">
        <v>年度汇率!J49；原始记录!A383:M383</v>
      </c>
      <c r="T517" s="2234" t="str"/>
      <c r="U517" t="n" s="2231">
        <v>1969</v>
      </c>
      <c r="V517" t="str" s="2231">
        <v>加拿大元（CAD）</v>
      </c>
    </row>
    <row r="518" ht="48.0" customHeight="1">
      <c r="A518" s="2234" t="n">
        <v>1963</v>
      </c>
      <c r="B518" s="2234" t="str">
        <v>SUR_1961</v>
      </c>
      <c r="C518" s="2234" t="str">
        <v>苏联卢布（1961币制）</v>
      </c>
      <c r="D518" s="2234" t="str">
        <v>可用</v>
      </c>
      <c r="E518" s="2238" t="n">
        <v>0.9</v>
      </c>
      <c r="F518" s="2234" t="str">
        <v>官价区间参考（非年均）</v>
      </c>
      <c r="G518" s="2234" t="str">
        <v>苏联卢布历史官价表（Wikipedia转引俄央行历史档案）</v>
      </c>
      <c r="H518" s="2234" t="str">
        <v>https://en.wikipedia.org/wiki/Soviet_ruble#Exchange_rates</v>
      </c>
      <c r="I518" s="2234" t="str">
        <v>1961-01-01—1971-12-01</v>
      </c>
      <c r="J518" s="2234" t="str">
        <v>historical_exchange_rates_1920_2026.xlsx</v>
      </c>
      <c r="K518"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518" s="2234" t="str">
        <v>原报价已按 1 美元兑换本币表示。</v>
      </c>
      <c r="M518" s="2234" t="str">
        <v>1963|苏联卢布（1961币制）</v>
      </c>
      <c r="N518" s="2234" t="str">
        <v>苏联卢布（1961币制）</v>
      </c>
      <c r="O518" s="2239" t="n">
        <v>0.9</v>
      </c>
      <c r="P518" s="2234" t="str">
        <v>LCU/USD</v>
      </c>
      <c r="Q518" s="2239" t="n">
        <v>1</v>
      </c>
      <c r="R518" s="2234" t="str">
        <v>C：二手转引（原档未复核）</v>
      </c>
      <c r="S518" s="2234" t="str">
        <v>年度汇率!K49；原始记录!A384:M384</v>
      </c>
      <c r="T518" s="2234" t="str">
        <v>官价参考，并非市场年均汇率</v>
      </c>
      <c r="U518" t="n" s="2231">
        <v>1969</v>
      </c>
      <c r="V518" t="str" s="2231">
        <v>法国法郎（FRF；1960币制）</v>
      </c>
    </row>
    <row r="519" ht="15.0" customHeight="1">
      <c r="A519" s="2234" t="n">
        <v>1963</v>
      </c>
      <c r="B519" s="2234" t="str">
        <v>CNY</v>
      </c>
      <c r="C519" s="2234" t="str">
        <v>人民币元（1955币制；CNY）</v>
      </c>
      <c r="D519" s="2234" t="str">
        <v>可用</v>
      </c>
      <c r="E519" s="2238" t="n">
        <v>2.46181</v>
      </c>
      <c r="F519" s="2234" t="str">
        <v>年均</v>
      </c>
      <c r="G519" s="2234" t="str">
        <v>OECD via FRED：CNY年均汇率</v>
      </c>
      <c r="H519" s="2234" t="str">
        <v>https://fred.stlouisfed.org/data/CCUSMA02CNA618N</v>
      </c>
      <c r="I519" s="2234" t="str">
        <v>1963-01-01—1963-12-31</v>
      </c>
      <c r="J519" s="2234" t="str">
        <v>historical_exchange_rates_1920_2026.xlsx</v>
      </c>
      <c r="K519" s="2234" t="str">
        <v>单位为本币／美元；中国和印度早期数据主要反映官方汇率。</v>
      </c>
      <c r="L519" s="2234" t="str">
        <v>原报价已按 1 美元兑换本币表示。</v>
      </c>
      <c r="M519" s="2234" t="str">
        <v>1963|人民币元（1955币制；CNY）</v>
      </c>
      <c r="N519" s="2234" t="str">
        <v>人民币元（1955币制；CNY）</v>
      </c>
      <c r="O519" s="2239" t="n">
        <v>2.46181</v>
      </c>
      <c r="P519" s="2234" t="str">
        <v>LCU/USD</v>
      </c>
      <c r="Q519" s="2239" t="n">
        <v>1</v>
      </c>
      <c r="R519" s="2234" t="str">
        <v>A：机构统计／原始统计表</v>
      </c>
      <c r="S519" s="2234" t="str">
        <v>年度汇率!L49；原始记录!A385:M385</v>
      </c>
      <c r="T519" s="2234" t="str"/>
      <c r="U519" t="n" s="2231">
        <v>1969</v>
      </c>
      <c r="V519" t="str" s="2231">
        <v>西德德国马克（DEM）</v>
      </c>
    </row>
    <row r="520" ht="15.0" customHeight="1">
      <c r="A520" s="2234" t="n">
        <v>1964</v>
      </c>
      <c r="B520" s="2234" t="str">
        <v>USD</v>
      </c>
      <c r="C520" s="2234" t="str">
        <v>美元（USD）</v>
      </c>
      <c r="D520" s="2234" t="str">
        <v>可用</v>
      </c>
      <c r="E520" s="2238" t="n">
        <v>1</v>
      </c>
      <c r="F520" s="2234" t="str">
        <v>基准恒等</v>
      </c>
      <c r="G520" s="2234" t="str">
        <v>用户提供的历史汇率表</v>
      </c>
      <c r="H520" s="2234" t="str"/>
      <c r="I520" s="2234" t="str">
        <v>1964</v>
      </c>
      <c r="J520" s="2234" t="str">
        <v>historical_exchange_rates_1920_2026.xlsx</v>
      </c>
      <c r="K520" s="2234" t="str">
        <v>1 美元等于 1 美元，无外部报价。</v>
      </c>
      <c r="L520" s="2234" t="str">
        <v>美元基准，汇率恒为 1。</v>
      </c>
      <c r="M520" s="2234" t="str">
        <v>1964|美元（USD）</v>
      </c>
      <c r="N520" s="2234" t="str">
        <v>美元（USD）</v>
      </c>
      <c r="O520" s="2239"/>
      <c r="P520" s="2234" t="str"/>
      <c r="Q520" s="2239"/>
      <c r="R520" s="2234" t="str"/>
      <c r="S520" s="2234" t="str">
        <v>年度汇率!B50</v>
      </c>
      <c r="T520" s="2234" t="str"/>
      <c r="U520" t="n" s="2231">
        <v>1969</v>
      </c>
      <c r="V520" t="str" s="2231">
        <v>意大利里拉（ITL）</v>
      </c>
    </row>
    <row r="521" ht="15.0" customHeight="1">
      <c r="A521" s="2234" t="n">
        <v>1964</v>
      </c>
      <c r="B521" s="2234" t="str">
        <v>GBP</v>
      </c>
      <c r="C521" s="2234" t="str">
        <v>英镑（GBP）</v>
      </c>
      <c r="D521" s="2234" t="str">
        <v>可用</v>
      </c>
      <c r="E521" s="2238" t="n">
        <v>0.3581004917</v>
      </c>
      <c r="F521" s="2234" t="str">
        <v>年均</v>
      </c>
      <c r="G521" s="2234" t="str">
        <v>OECD via FRED：GBP年均汇率</v>
      </c>
      <c r="H521" s="2234" t="str">
        <v>https://fred.stlouisfed.org/data/CCUSMA02GBA618N</v>
      </c>
      <c r="I521" s="2234" t="str">
        <v>1964-01-01—1964-12-31</v>
      </c>
      <c r="J521" s="2234" t="str">
        <v>historical_exchange_rates_1920_2026.xlsx</v>
      </c>
      <c r="K521" s="2234" t="str">
        <v>单位为本币／美元；中国和印度早期数据主要反映官方汇率。</v>
      </c>
      <c r="L521" s="2234" t="str">
        <v>原报价已按 1 美元兑换本币表示。</v>
      </c>
      <c r="M521" s="2234" t="str">
        <v>1964|英镑（GBP）</v>
      </c>
      <c r="N521" s="2234" t="str">
        <v>英镑（GBP）</v>
      </c>
      <c r="O521" s="2239" t="n">
        <v>0.3581004917</v>
      </c>
      <c r="P521" s="2234" t="str">
        <v>LCU/USD</v>
      </c>
      <c r="Q521" s="2239" t="n">
        <v>1</v>
      </c>
      <c r="R521" s="2234" t="str">
        <v>A：机构统计／原始统计表</v>
      </c>
      <c r="S521" s="2234" t="str">
        <v>年度汇率!C50；原始记录!A386:M386</v>
      </c>
      <c r="T521" s="2234" t="str"/>
      <c r="U521" t="n" s="2231">
        <v>1969</v>
      </c>
      <c r="V521" t="str" s="2231">
        <v>日元（JPY）</v>
      </c>
    </row>
    <row r="522" ht="15.0" customHeight="1">
      <c r="A522" s="2234" t="n">
        <v>1964</v>
      </c>
      <c r="B522" s="2234" t="str">
        <v>CAD</v>
      </c>
      <c r="C522" s="2234" t="str">
        <v>加拿大元（CAD）</v>
      </c>
      <c r="D522" s="2234" t="str">
        <v>可用</v>
      </c>
      <c r="E522" s="2238" t="n">
        <v>1.0787991667</v>
      </c>
      <c r="F522" s="2234" t="str">
        <v>年均</v>
      </c>
      <c r="G522" s="2234" t="str">
        <v>OECD via FRED：CAD年均汇率</v>
      </c>
      <c r="H522" s="2234" t="str">
        <v>https://fred.stlouisfed.org/data/CCUSMA02CAA618N</v>
      </c>
      <c r="I522" s="2234" t="str">
        <v>1964-01-01—1964-12-31</v>
      </c>
      <c r="J522" s="2234" t="str">
        <v>historical_exchange_rates_1920_2026.xlsx</v>
      </c>
      <c r="K522" s="2234" t="str">
        <v>单位为本币／美元；中国和印度早期数据主要反映官方汇率。</v>
      </c>
      <c r="L522" s="2234" t="str">
        <v>原报价已按 1 美元兑换本币表示。</v>
      </c>
      <c r="M522" s="2234" t="str">
        <v>1964|加拿大元（CAD）</v>
      </c>
      <c r="N522" s="2234" t="str">
        <v>加拿大元（CAD）</v>
      </c>
      <c r="O522" s="2239" t="n">
        <v>1.0787991667</v>
      </c>
      <c r="P522" s="2234" t="str">
        <v>LCU/USD</v>
      </c>
      <c r="Q522" s="2239" t="n">
        <v>1</v>
      </c>
      <c r="R522" s="2234" t="str">
        <v>A：机构统计／原始统计表</v>
      </c>
      <c r="S522" s="2234" t="str">
        <v>年度汇率!D50；原始记录!A387:M387</v>
      </c>
      <c r="T522" s="2234" t="str"/>
      <c r="U522" t="n" s="2231">
        <v>1969</v>
      </c>
      <c r="V522" t="str" s="2231">
        <v>瑞士法郎（CHF）</v>
      </c>
    </row>
    <row r="523" ht="36.0" customHeight="1">
      <c r="A523" s="2234" t="n">
        <v>1964</v>
      </c>
      <c r="B523" s="2234" t="str">
        <v>FRF</v>
      </c>
      <c r="C523" s="2234" t="str">
        <v>法国法郎（FRF；1960币制）</v>
      </c>
      <c r="D523" s="2234" t="str">
        <v>可用</v>
      </c>
      <c r="E523" s="2238" t="n">
        <v>4.901059999858428</v>
      </c>
      <c r="F523" s="2234" t="str">
        <v>年均</v>
      </c>
      <c r="G523" s="2234" t="str">
        <v>OECD via FRED：FR年均汇率（欧元单位回溯序列）</v>
      </c>
      <c r="H523" s="2234" t="str">
        <v>https://fred.stlouisfed.org/data/CCUSMA02FRA618N</v>
      </c>
      <c r="I523" s="2234" t="str">
        <v>1964-01-01—1964-12-31</v>
      </c>
      <c r="J523" s="2234" t="str">
        <v>historical_exchange_rates_1920_2026.xlsx</v>
      </c>
      <c r="K523" s="2234" t="str">
        <v>由欧元回溯单位还原当年本币；非当年实际欧元报价。 欧元回溯单位按不可撤销转换率还原；法国1960年前另乘100。
原序列单位为回溯欧元；乘不可撤销转换率还原当年本币。法国1957–1959另乘100还原旧法郎。</v>
      </c>
      <c r="L523" s="2234" t="str">
        <v>原报价已按 1 美元兑换本币表示。乘以 6.55957，还原当年币制的计价单位。</v>
      </c>
      <c r="M523" s="2234" t="str">
        <v>1964|法国法郎（FRF；1960币制）</v>
      </c>
      <c r="N523" s="2234" t="str">
        <v>法国法郎（FRF；1960币制）</v>
      </c>
      <c r="O523" s="2239" t="n">
        <v>0.7471617804</v>
      </c>
      <c r="P523" s="2234" t="str">
        <v>LCU/USD</v>
      </c>
      <c r="Q523" s="2239" t="n">
        <v>6.55957</v>
      </c>
      <c r="R523" s="2234" t="str">
        <v>A：机构统计／原始统计表</v>
      </c>
      <c r="S523" s="2234" t="str">
        <v>年度汇率!E50；原始记录!A388:M388</v>
      </c>
      <c r="T523" s="2234" t="str"/>
      <c r="U523" t="n" s="2231">
        <v>1969</v>
      </c>
      <c r="V523" t="str" s="2231">
        <v>印度卢比（INR）</v>
      </c>
    </row>
    <row r="524" ht="36.0" customHeight="1">
      <c r="A524" s="2234" t="n">
        <v>1964</v>
      </c>
      <c r="B524" s="2234" t="str">
        <v>DEM</v>
      </c>
      <c r="C524" s="2234" t="str">
        <v>西德德国马克（DEM）</v>
      </c>
      <c r="D524" s="2234" t="str">
        <v>可用</v>
      </c>
      <c r="E524" s="2238" t="n">
        <v>3.9750366666198325</v>
      </c>
      <c r="F524" s="2234" t="str">
        <v>年均</v>
      </c>
      <c r="G524" s="2234" t="str">
        <v>OECD via FRED：DE年均汇率（欧元单位回溯序列）</v>
      </c>
      <c r="H524" s="2234" t="str">
        <v>https://fred.stlouisfed.org/data/CCUSMA02DEA618N</v>
      </c>
      <c r="I524" s="2234" t="str">
        <v>1964-01-01—1964-12-31</v>
      </c>
      <c r="J524" s="2234" t="str">
        <v>historical_exchange_rates_1920_2026.xlsx</v>
      </c>
      <c r="K524" s="2234" t="str">
        <v>由欧元回溯单位还原当年本币；非当年实际欧元报价。 欧元回溯单位按不可撤销转换率还原；法国1960年前另乘100。
原序列单位为回溯欧元；乘不可撤销转换率还原当年本币。法国1957–1959另乘100还原旧法郎。</v>
      </c>
      <c r="L524" s="2234" t="str">
        <v>原报价已按 1 美元兑换本币表示。乘以 1.95583，还原当年币制的计价单位。</v>
      </c>
      <c r="M524" s="2234" t="str">
        <v>1964|西德德国马克（DEM）</v>
      </c>
      <c r="N524" s="2234" t="str">
        <v>西德德国马克（DEM）</v>
      </c>
      <c r="O524" s="2239" t="n">
        <v>2.0324039751</v>
      </c>
      <c r="P524" s="2234" t="str">
        <v>LCU/USD</v>
      </c>
      <c r="Q524" s="2239" t="n">
        <v>1.95583</v>
      </c>
      <c r="R524" s="2234" t="str">
        <v>A：机构统计／原始统计表</v>
      </c>
      <c r="S524" s="2234" t="str">
        <v>年度汇率!F50、年度汇率!M50；原始记录!A389:M389</v>
      </c>
      <c r="T524" s="2234" t="str"/>
      <c r="U524" t="n" s="2231">
        <v>1969</v>
      </c>
      <c r="V524" t="str" s="2231">
        <v>苏联卢布（1961币制）</v>
      </c>
    </row>
    <row r="525" ht="36.0" customHeight="1">
      <c r="A525" s="2234" t="n">
        <v>1964</v>
      </c>
      <c r="B525" s="2234" t="str">
        <v>ITL</v>
      </c>
      <c r="C525" s="2234" t="str">
        <v>意大利里拉（ITL）</v>
      </c>
      <c r="D525" s="2234" t="str">
        <v>可用</v>
      </c>
      <c r="E525" s="2238" t="n">
        <v>624.481083259026</v>
      </c>
      <c r="F525" s="2234" t="str">
        <v>年均</v>
      </c>
      <c r="G525" s="2234" t="str">
        <v>OECD via FRED：IT年均汇率（欧元单位回溯序列）</v>
      </c>
      <c r="H525" s="2234" t="str">
        <v>https://fred.stlouisfed.org/data/CCUSMA02ITA618N</v>
      </c>
      <c r="I525" s="2234" t="str">
        <v>1964-01-01—1964-12-31</v>
      </c>
      <c r="J525" s="2234" t="str">
        <v>historical_exchange_rates_1920_2026.xlsx</v>
      </c>
      <c r="K525" s="2234" t="str">
        <v>由欧元回溯单位还原当年本币；非当年实际欧元报价。 欧元回溯单位按不可撤销转换率还原；法国1960年前另乘100。
原序列单位为回溯欧元；乘不可撤销转换率还原当年本币。法国1957–1959另乘100还原旧法郎。</v>
      </c>
      <c r="L525" s="2234" t="str">
        <v>原报价已按 1 美元兑换本币表示。乘以 1936.27，还原当年币制的计价单位。</v>
      </c>
      <c r="M525" s="2234" t="str">
        <v>1964|意大利里拉（ITL）</v>
      </c>
      <c r="N525" s="2234" t="str">
        <v>意大利里拉（ITL）</v>
      </c>
      <c r="O525" s="2239" t="n">
        <v>0.3225175638</v>
      </c>
      <c r="P525" s="2234" t="str">
        <v>LCU/USD</v>
      </c>
      <c r="Q525" s="2239" t="n">
        <v>1936.27</v>
      </c>
      <c r="R525" s="2234" t="str">
        <v>A：机构统计／原始统计表</v>
      </c>
      <c r="S525" s="2234" t="str">
        <v>年度汇率!G50；原始记录!A390:M390</v>
      </c>
      <c r="T525" s="2234" t="str"/>
      <c r="U525" t="n" s="2231">
        <v>1969</v>
      </c>
      <c r="V525" t="str" s="2231">
        <v>人民币元（1955币制；CNY）</v>
      </c>
    </row>
    <row r="526" ht="15.0" customHeight="1">
      <c r="A526" s="2234" t="n">
        <v>1964</v>
      </c>
      <c r="B526" s="2234" t="str">
        <v>JPY</v>
      </c>
      <c r="C526" s="2234" t="str">
        <v>日元（JPY）</v>
      </c>
      <c r="D526" s="2234" t="str">
        <v>可用</v>
      </c>
      <c r="E526" s="2238" t="n">
        <v>361.99</v>
      </c>
      <c r="F526" s="2234" t="str">
        <v>年均</v>
      </c>
      <c r="G526" s="2234" t="str">
        <v>MeasuringWorth：日本年均汇率</v>
      </c>
      <c r="H526" s="2234" t="str">
        <v>https://www.measuringworth.com/datasets/exchangeglobal/result.php?countryE%5B%5D=Japan&amp;year_result=2016&amp;year_source=1916</v>
      </c>
      <c r="I526" s="2234" t="str">
        <v>1964-01-01—1964-12-31</v>
      </c>
      <c r="J526" s="2234" t="str">
        <v>historical_exchange_rates_1920_2026.xlsx</v>
      </c>
      <c r="K526" s="2234" t="str">
        <v>以纽约市场年度平均报价为主；保留原表精度。</v>
      </c>
      <c r="L526" s="2234" t="str">
        <v>原报价已按 1 美元兑换本币表示。</v>
      </c>
      <c r="M526" s="2234" t="str">
        <v>1964|日元（JPY）</v>
      </c>
      <c r="N526" s="2234" t="str">
        <v>日元（JPY）</v>
      </c>
      <c r="O526" s="2239" t="n">
        <v>361.99</v>
      </c>
      <c r="P526" s="2234" t="str">
        <v>LCU/USD</v>
      </c>
      <c r="Q526" s="2239" t="n">
        <v>1</v>
      </c>
      <c r="R526" s="2234" t="str">
        <v>B：学术历史汇编</v>
      </c>
      <c r="S526" s="2234" t="str">
        <v>年度汇率!H50；原始记录!A391:M391</v>
      </c>
      <c r="T526" s="2234" t="str"/>
      <c r="U526" t="n" s="2231">
        <v>1970</v>
      </c>
      <c r="V526" t="str" s="2231">
        <v>美元（USD）</v>
      </c>
    </row>
    <row r="527" ht="15.0" customHeight="1">
      <c r="A527" s="2234" t="n">
        <v>1964</v>
      </c>
      <c r="B527" s="2234" t="str">
        <v>CHF</v>
      </c>
      <c r="C527" s="2234" t="str">
        <v>瑞士法郎（CHF）</v>
      </c>
      <c r="D527" s="2234" t="str">
        <v>可用</v>
      </c>
      <c r="E527" s="2238" t="n">
        <v>4.3192583333</v>
      </c>
      <c r="F527" s="2234" t="str">
        <v>年均</v>
      </c>
      <c r="G527" s="2234" t="str">
        <v>OECD via FRED：CHF年均汇率</v>
      </c>
      <c r="H527" s="2234" t="str">
        <v>https://fred.stlouisfed.org/data/CCUSMA02CHA618N</v>
      </c>
      <c r="I527" s="2234" t="str">
        <v>1964-01-01—1964-12-31</v>
      </c>
      <c r="J527" s="2234" t="str">
        <v>historical_exchange_rates_1920_2026.xlsx</v>
      </c>
      <c r="K527" s="2234" t="str">
        <v>单位为本币／美元；中国和印度早期数据主要反映官方汇率。</v>
      </c>
      <c r="L527" s="2234" t="str">
        <v>原报价已按 1 美元兑换本币表示。</v>
      </c>
      <c r="M527" s="2234" t="str">
        <v>1964|瑞士法郎（CHF）</v>
      </c>
      <c r="N527" s="2234" t="str">
        <v>瑞士法郎（CHF）</v>
      </c>
      <c r="O527" s="2239" t="n">
        <v>4.3192583333</v>
      </c>
      <c r="P527" s="2234" t="str">
        <v>LCU/USD</v>
      </c>
      <c r="Q527" s="2239" t="n">
        <v>1</v>
      </c>
      <c r="R527" s="2234" t="str">
        <v>A：机构统计／原始统计表</v>
      </c>
      <c r="S527" s="2234" t="str">
        <v>年度汇率!I50；原始记录!A392:M392</v>
      </c>
      <c r="T527" s="2234" t="str"/>
      <c r="U527" t="n" s="2231">
        <v>1970</v>
      </c>
      <c r="V527" t="str" s="2231">
        <v>英镑（GBP）</v>
      </c>
    </row>
    <row r="528" ht="15.0" customHeight="1">
      <c r="A528" s="2234" t="n">
        <v>1964</v>
      </c>
      <c r="B528" s="2234" t="str">
        <v>INR</v>
      </c>
      <c r="C528" s="2234" t="str">
        <v>印度卢比（INR）</v>
      </c>
      <c r="D528" s="2234" t="str">
        <v>可用</v>
      </c>
      <c r="E528" s="2238" t="n">
        <v>4.7619</v>
      </c>
      <c r="F528" s="2234" t="str">
        <v>年均</v>
      </c>
      <c r="G528" s="2234" t="str">
        <v>OECD via FRED：INR年均汇率</v>
      </c>
      <c r="H528" s="2234" t="str">
        <v>https://fred.stlouisfed.org/data/CCUSMA02INA618N</v>
      </c>
      <c r="I528" s="2234" t="str">
        <v>1964-01-01—1964-12-31</v>
      </c>
      <c r="J528" s="2234" t="str">
        <v>historical_exchange_rates_1920_2026.xlsx</v>
      </c>
      <c r="K528" s="2234" t="str">
        <v>单位为本币／美元；中国和印度早期数据主要反映官方汇率。</v>
      </c>
      <c r="L528" s="2234" t="str">
        <v>原报价已按 1 美元兑换本币表示。</v>
      </c>
      <c r="M528" s="2234" t="str">
        <v>1964|印度卢比（INR）</v>
      </c>
      <c r="N528" s="2234" t="str">
        <v>印度卢比（INR）</v>
      </c>
      <c r="O528" s="2239" t="n">
        <v>4.7619</v>
      </c>
      <c r="P528" s="2234" t="str">
        <v>LCU/USD</v>
      </c>
      <c r="Q528" s="2239" t="n">
        <v>1</v>
      </c>
      <c r="R528" s="2234" t="str">
        <v>A：机构统计／原始统计表</v>
      </c>
      <c r="S528" s="2234" t="str">
        <v>年度汇率!J50；原始记录!A393:M393</v>
      </c>
      <c r="T528" s="2234" t="str"/>
      <c r="U528" t="n" s="2231">
        <v>1970</v>
      </c>
      <c r="V528" t="str" s="2231">
        <v>加拿大元（CAD）</v>
      </c>
    </row>
    <row r="529" ht="48.0" customHeight="1">
      <c r="A529" s="2234" t="n">
        <v>1964</v>
      </c>
      <c r="B529" s="2234" t="str">
        <v>SUR_1961</v>
      </c>
      <c r="C529" s="2234" t="str">
        <v>苏联卢布（1961币制）</v>
      </c>
      <c r="D529" s="2234" t="str">
        <v>可用</v>
      </c>
      <c r="E529" s="2238" t="n">
        <v>0.9</v>
      </c>
      <c r="F529" s="2234" t="str">
        <v>官价区间参考（非年均）</v>
      </c>
      <c r="G529" s="2234" t="str">
        <v>苏联卢布历史官价表（Wikipedia转引俄央行历史档案）</v>
      </c>
      <c r="H529" s="2234" t="str">
        <v>https://en.wikipedia.org/wiki/Soviet_ruble#Exchange_rates</v>
      </c>
      <c r="I529" s="2234" t="str">
        <v>1961-01-01—1971-12-01</v>
      </c>
      <c r="J529" s="2234" t="str">
        <v>historical_exchange_rates_1920_2026.xlsx</v>
      </c>
      <c r="K529"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529" s="2234" t="str">
        <v>原报价已按 1 美元兑换本币表示。</v>
      </c>
      <c r="M529" s="2234" t="str">
        <v>1964|苏联卢布（1961币制）</v>
      </c>
      <c r="N529" s="2234" t="str">
        <v>苏联卢布（1961币制）</v>
      </c>
      <c r="O529" s="2239" t="n">
        <v>0.9</v>
      </c>
      <c r="P529" s="2234" t="str">
        <v>LCU/USD</v>
      </c>
      <c r="Q529" s="2239" t="n">
        <v>1</v>
      </c>
      <c r="R529" s="2234" t="str">
        <v>C：二手转引（原档未复核）</v>
      </c>
      <c r="S529" s="2234" t="str">
        <v>年度汇率!K50；原始记录!A394:M394</v>
      </c>
      <c r="T529" s="2234" t="str">
        <v>官价参考，并非市场年均汇率</v>
      </c>
      <c r="U529" t="n" s="2231">
        <v>1970</v>
      </c>
      <c r="V529" t="str" s="2231">
        <v>法国法郎（FRF；1960币制）</v>
      </c>
    </row>
    <row r="530" ht="15.0" customHeight="1">
      <c r="A530" s="2234" t="n">
        <v>1964</v>
      </c>
      <c r="B530" s="2234" t="str">
        <v>CNY</v>
      </c>
      <c r="C530" s="2234" t="str">
        <v>人民币元（1955币制；CNY）</v>
      </c>
      <c r="D530" s="2234" t="str">
        <v>可用</v>
      </c>
      <c r="E530" s="2238" t="n">
        <v>2.46181</v>
      </c>
      <c r="F530" s="2234" t="str">
        <v>年均</v>
      </c>
      <c r="G530" s="2234" t="str">
        <v>OECD via FRED：CNY年均汇率</v>
      </c>
      <c r="H530" s="2234" t="str">
        <v>https://fred.stlouisfed.org/data/CCUSMA02CNA618N</v>
      </c>
      <c r="I530" s="2234" t="str">
        <v>1964-01-01—1964-12-31</v>
      </c>
      <c r="J530" s="2234" t="str">
        <v>historical_exchange_rates_1920_2026.xlsx</v>
      </c>
      <c r="K530" s="2234" t="str">
        <v>单位为本币／美元；中国和印度早期数据主要反映官方汇率。</v>
      </c>
      <c r="L530" s="2234" t="str">
        <v>原报价已按 1 美元兑换本币表示。</v>
      </c>
      <c r="M530" s="2234" t="str">
        <v>1964|人民币元（1955币制；CNY）</v>
      </c>
      <c r="N530" s="2234" t="str">
        <v>人民币元（1955币制；CNY）</v>
      </c>
      <c r="O530" s="2239" t="n">
        <v>2.46181</v>
      </c>
      <c r="P530" s="2234" t="str">
        <v>LCU/USD</v>
      </c>
      <c r="Q530" s="2239" t="n">
        <v>1</v>
      </c>
      <c r="R530" s="2234" t="str">
        <v>A：机构统计／原始统计表</v>
      </c>
      <c r="S530" s="2234" t="str">
        <v>年度汇率!L50；原始记录!A395:M395</v>
      </c>
      <c r="T530" s="2234" t="str"/>
      <c r="U530" t="n" s="2231">
        <v>1970</v>
      </c>
      <c r="V530" t="str" s="2231">
        <v>西德德国马克（DEM）</v>
      </c>
    </row>
    <row r="531" ht="15.0" customHeight="1">
      <c r="A531" s="2234" t="n">
        <v>1965</v>
      </c>
      <c r="B531" s="2234" t="str">
        <v>USD</v>
      </c>
      <c r="C531" s="2234" t="str">
        <v>美元（USD）</v>
      </c>
      <c r="D531" s="2234" t="str">
        <v>可用</v>
      </c>
      <c r="E531" s="2238" t="n">
        <v>1</v>
      </c>
      <c r="F531" s="2234" t="str">
        <v>基准恒等</v>
      </c>
      <c r="G531" s="2234" t="str">
        <v>用户提供的历史汇率表</v>
      </c>
      <c r="H531" s="2234" t="str"/>
      <c r="I531" s="2234" t="str">
        <v>1965</v>
      </c>
      <c r="J531" s="2234" t="str">
        <v>historical_exchange_rates_1920_2026.xlsx</v>
      </c>
      <c r="K531" s="2234" t="str">
        <v>1 美元等于 1 美元，无外部报价。</v>
      </c>
      <c r="L531" s="2234" t="str">
        <v>美元基准，汇率恒为 1。</v>
      </c>
      <c r="M531" s="2234" t="str">
        <v>1965|美元（USD）</v>
      </c>
      <c r="N531" s="2234" t="str">
        <v>美元（USD）</v>
      </c>
      <c r="O531" s="2239"/>
      <c r="P531" s="2234" t="str"/>
      <c r="Q531" s="2239"/>
      <c r="R531" s="2234" t="str"/>
      <c r="S531" s="2234" t="str">
        <v>年度汇率!B51</v>
      </c>
      <c r="T531" s="2234" t="str"/>
      <c r="U531" t="n" s="2231">
        <v>1970</v>
      </c>
      <c r="V531" t="str" s="2231">
        <v>意大利里拉（ITL）</v>
      </c>
    </row>
    <row r="532" ht="15.0" customHeight="1">
      <c r="A532" s="2234" t="n">
        <v>1965</v>
      </c>
      <c r="B532" s="2234" t="str">
        <v>GBP</v>
      </c>
      <c r="C532" s="2234" t="str">
        <v>英镑（GBP）</v>
      </c>
      <c r="D532" s="2234" t="str">
        <v>可用</v>
      </c>
      <c r="E532" s="2238" t="n">
        <v>0.3576260333</v>
      </c>
      <c r="F532" s="2234" t="str">
        <v>年均</v>
      </c>
      <c r="G532" s="2234" t="str">
        <v>OECD via FRED：GBP年均汇率</v>
      </c>
      <c r="H532" s="2234" t="str">
        <v>https://fred.stlouisfed.org/data/CCUSMA02GBA618N</v>
      </c>
      <c r="I532" s="2234" t="str">
        <v>1965-01-01—1965-12-31</v>
      </c>
      <c r="J532" s="2234" t="str">
        <v>historical_exchange_rates_1920_2026.xlsx</v>
      </c>
      <c r="K532" s="2234" t="str">
        <v>单位为本币／美元；中国和印度早期数据主要反映官方汇率。</v>
      </c>
      <c r="L532" s="2234" t="str">
        <v>原报价已按 1 美元兑换本币表示。</v>
      </c>
      <c r="M532" s="2234" t="str">
        <v>1965|英镑（GBP）</v>
      </c>
      <c r="N532" s="2234" t="str">
        <v>英镑（GBP）</v>
      </c>
      <c r="O532" s="2239" t="n">
        <v>0.3576260333</v>
      </c>
      <c r="P532" s="2234" t="str">
        <v>LCU/USD</v>
      </c>
      <c r="Q532" s="2239" t="n">
        <v>1</v>
      </c>
      <c r="R532" s="2234" t="str">
        <v>A：机构统计／原始统计表</v>
      </c>
      <c r="S532" s="2234" t="str">
        <v>年度汇率!C51；原始记录!A396:M396</v>
      </c>
      <c r="T532" s="2234" t="str"/>
      <c r="U532" t="n" s="2231">
        <v>1970</v>
      </c>
      <c r="V532" t="str" s="2231">
        <v>日元（JPY）</v>
      </c>
    </row>
    <row r="533" ht="15.0" customHeight="1">
      <c r="A533" s="2234" t="n">
        <v>1965</v>
      </c>
      <c r="B533" s="2234" t="str">
        <v>CAD</v>
      </c>
      <c r="C533" s="2234" t="str">
        <v>加拿大元（CAD）</v>
      </c>
      <c r="D533" s="2234" t="str">
        <v>可用</v>
      </c>
      <c r="E533" s="2238" t="n">
        <v>1.0781525</v>
      </c>
      <c r="F533" s="2234" t="str">
        <v>年均</v>
      </c>
      <c r="G533" s="2234" t="str">
        <v>OECD via FRED：CAD年均汇率</v>
      </c>
      <c r="H533" s="2234" t="str">
        <v>https://fred.stlouisfed.org/data/CCUSMA02CAA618N</v>
      </c>
      <c r="I533" s="2234" t="str">
        <v>1965-01-01—1965-12-31</v>
      </c>
      <c r="J533" s="2234" t="str">
        <v>historical_exchange_rates_1920_2026.xlsx</v>
      </c>
      <c r="K533" s="2234" t="str">
        <v>单位为本币／美元；中国和印度早期数据主要反映官方汇率。</v>
      </c>
      <c r="L533" s="2234" t="str">
        <v>原报价已按 1 美元兑换本币表示。</v>
      </c>
      <c r="M533" s="2234" t="str">
        <v>1965|加拿大元（CAD）</v>
      </c>
      <c r="N533" s="2234" t="str">
        <v>加拿大元（CAD）</v>
      </c>
      <c r="O533" s="2239" t="n">
        <v>1.0781525</v>
      </c>
      <c r="P533" s="2234" t="str">
        <v>LCU/USD</v>
      </c>
      <c r="Q533" s="2239" t="n">
        <v>1</v>
      </c>
      <c r="R533" s="2234" t="str">
        <v>A：机构统计／原始统计表</v>
      </c>
      <c r="S533" s="2234" t="str">
        <v>年度汇率!D51；原始记录!A397:M397</v>
      </c>
      <c r="T533" s="2234" t="str"/>
      <c r="U533" t="n" s="2231">
        <v>1970</v>
      </c>
      <c r="V533" t="str" s="2231">
        <v>瑞士法郎（CHF）</v>
      </c>
    </row>
    <row r="534" ht="36.0" customHeight="1">
      <c r="A534" s="2234" t="n">
        <v>1965</v>
      </c>
      <c r="B534" s="2234" t="str">
        <v>FRF</v>
      </c>
      <c r="C534" s="2234" t="str">
        <v>法国法郎（FRF；1960币制）</v>
      </c>
      <c r="D534" s="2234" t="str">
        <v>可用</v>
      </c>
      <c r="E534" s="2238" t="n">
        <v>4.901620000188683</v>
      </c>
      <c r="F534" s="2234" t="str">
        <v>年均</v>
      </c>
      <c r="G534" s="2234" t="str">
        <v>OECD via FRED：FR年均汇率（欧元单位回溯序列）</v>
      </c>
      <c r="H534" s="2234" t="str">
        <v>https://fred.stlouisfed.org/data/CCUSMA02FRA618N</v>
      </c>
      <c r="I534" s="2234" t="str">
        <v>1965-01-01—1965-12-31</v>
      </c>
      <c r="J534" s="2234" t="str">
        <v>historical_exchange_rates_1920_2026.xlsx</v>
      </c>
      <c r="K534" s="2234" t="str">
        <v>由欧元回溯单位还原当年本币；非当年实际欧元报价。 欧元回溯单位按不可撤销转换率还原；法国1960年前另乘100。
原序列单位为回溯欧元；乘不可撤销转换率还原当年本币。法国1957–1959另乘100还原旧法郎。</v>
      </c>
      <c r="L534" s="2234" t="str">
        <v>原报价已按 1 美元兑换本币表示。乘以 6.55957，还原当年币制的计价单位。</v>
      </c>
      <c r="M534" s="2234" t="str">
        <v>1965|法国法郎（FRF；1960币制）</v>
      </c>
      <c r="N534" s="2234" t="str">
        <v>法国法郎（FRF；1960币制）</v>
      </c>
      <c r="O534" s="2239" t="n">
        <v>0.7472471519</v>
      </c>
      <c r="P534" s="2234" t="str">
        <v>LCU/USD</v>
      </c>
      <c r="Q534" s="2239" t="n">
        <v>6.55957</v>
      </c>
      <c r="R534" s="2234" t="str">
        <v>A：机构统计／原始统计表</v>
      </c>
      <c r="S534" s="2234" t="str">
        <v>年度汇率!E51；原始记录!A398:M398</v>
      </c>
      <c r="T534" s="2234" t="str"/>
      <c r="U534" t="n" s="2231">
        <v>1970</v>
      </c>
      <c r="V534" t="str" s="2231">
        <v>印度卢比（INR）</v>
      </c>
    </row>
    <row r="535" ht="36.0" customHeight="1">
      <c r="A535" s="2234" t="n">
        <v>1965</v>
      </c>
      <c r="B535" s="2234" t="str">
        <v>DEM</v>
      </c>
      <c r="C535" s="2234" t="str">
        <v>西德德国马克（DEM）</v>
      </c>
      <c r="D535" s="2234" t="str">
        <v>可用</v>
      </c>
      <c r="E535" s="2238" t="n">
        <v>3.9942016666137197</v>
      </c>
      <c r="F535" s="2234" t="str">
        <v>年均</v>
      </c>
      <c r="G535" s="2234" t="str">
        <v>OECD via FRED：DE年均汇率（欧元单位回溯序列）</v>
      </c>
      <c r="H535" s="2234" t="str">
        <v>https://fred.stlouisfed.org/data/CCUSMA02DEA618N</v>
      </c>
      <c r="I535" s="2234" t="str">
        <v>1965-01-01—1965-12-31</v>
      </c>
      <c r="J535" s="2234" t="str">
        <v>historical_exchange_rates_1920_2026.xlsx</v>
      </c>
      <c r="K535" s="2234" t="str">
        <v>由欧元回溯单位还原当年本币；非当年实际欧元报价。 欧元回溯单位按不可撤销转换率还原；法国1960年前另乘100。
原序列单位为回溯欧元；乘不可撤销转换率还原当年本币。法国1957–1959另乘100还原旧法郎。</v>
      </c>
      <c r="L535" s="2234" t="str">
        <v>原报价已按 1 美元兑换本币表示。乘以 1.95583，还原当年币制的计价单位。</v>
      </c>
      <c r="M535" s="2234" t="str">
        <v>1965|西德德国马克（DEM）</v>
      </c>
      <c r="N535" s="2234" t="str">
        <v>西德德国马克（DEM）</v>
      </c>
      <c r="O535" s="2239" t="n">
        <v>2.042202884</v>
      </c>
      <c r="P535" s="2234" t="str">
        <v>LCU/USD</v>
      </c>
      <c r="Q535" s="2239" t="n">
        <v>1.95583</v>
      </c>
      <c r="R535" s="2234" t="str">
        <v>A：机构统计／原始统计表</v>
      </c>
      <c r="S535" s="2234" t="str">
        <v>年度汇率!F51、年度汇率!M51；原始记录!A399:M399</v>
      </c>
      <c r="T535" s="2234" t="str"/>
      <c r="U535" t="n" s="2231">
        <v>1970</v>
      </c>
      <c r="V535" t="str" s="2231">
        <v>苏联卢布（1961币制）</v>
      </c>
    </row>
    <row r="536" ht="36.0" customHeight="1">
      <c r="A536" s="2234" t="n">
        <v>1965</v>
      </c>
      <c r="B536" s="2234" t="str">
        <v>ITL</v>
      </c>
      <c r="C536" s="2234" t="str">
        <v>意大利里拉（ITL）</v>
      </c>
      <c r="D536" s="2234" t="str">
        <v>可用</v>
      </c>
      <c r="E536" s="2238" t="n">
        <v>624.902500032398</v>
      </c>
      <c r="F536" s="2234" t="str">
        <v>年均</v>
      </c>
      <c r="G536" s="2234" t="str">
        <v>OECD via FRED：IT年均汇率（欧元单位回溯序列）</v>
      </c>
      <c r="H536" s="2234" t="str">
        <v>https://fred.stlouisfed.org/data/CCUSMA02ITA618N</v>
      </c>
      <c r="I536" s="2234" t="str">
        <v>1965-01-01—1965-12-31</v>
      </c>
      <c r="J536" s="2234" t="str">
        <v>historical_exchange_rates_1920_2026.xlsx</v>
      </c>
      <c r="K536" s="2234" t="str">
        <v>由欧元回溯单位还原当年本币；非当年实际欧元报价。 欧元回溯单位按不可撤销转换率还原；法国1960年前另乘100。
原序列单位为回溯欧元；乘不可撤销转换率还原当年本币。法国1957–1959另乘100还原旧法郎。</v>
      </c>
      <c r="L536" s="2234" t="str">
        <v>原报价已按 1 美元兑换本币表示。乘以 1936.27，还原当年币制的计价单位。</v>
      </c>
      <c r="M536" s="2234" t="str">
        <v>1965|意大利里拉（ITL）</v>
      </c>
      <c r="N536" s="2234" t="str">
        <v>意大利里拉（ITL）</v>
      </c>
      <c r="O536" s="2239" t="n">
        <v>0.3227352074</v>
      </c>
      <c r="P536" s="2234" t="str">
        <v>LCU/USD</v>
      </c>
      <c r="Q536" s="2239" t="n">
        <v>1936.27</v>
      </c>
      <c r="R536" s="2234" t="str">
        <v>A：机构统计／原始统计表</v>
      </c>
      <c r="S536" s="2234" t="str">
        <v>年度汇率!G51；原始记录!A400:M400</v>
      </c>
      <c r="T536" s="2234" t="str"/>
      <c r="U536" t="n" s="2231">
        <v>1970</v>
      </c>
      <c r="V536" t="str" s="2231">
        <v>人民币元（1955币制；CNY）</v>
      </c>
    </row>
    <row r="537" ht="15.0" customHeight="1">
      <c r="A537" s="2234" t="n">
        <v>1965</v>
      </c>
      <c r="B537" s="2234" t="str">
        <v>JPY</v>
      </c>
      <c r="C537" s="2234" t="str">
        <v>日元（JPY）</v>
      </c>
      <c r="D537" s="2234" t="str">
        <v>可用</v>
      </c>
      <c r="E537" s="2238" t="n">
        <v>361.51</v>
      </c>
      <c r="F537" s="2234" t="str">
        <v>年均</v>
      </c>
      <c r="G537" s="2234" t="str">
        <v>MeasuringWorth：日本年均汇率</v>
      </c>
      <c r="H537" s="2234" t="str">
        <v>https://www.measuringworth.com/datasets/exchangeglobal/result.php?countryE%5B%5D=Japan&amp;year_result=2016&amp;year_source=1916</v>
      </c>
      <c r="I537" s="2234" t="str">
        <v>1965-01-01—1965-12-31</v>
      </c>
      <c r="J537" s="2234" t="str">
        <v>historical_exchange_rates_1920_2026.xlsx</v>
      </c>
      <c r="K537" s="2234" t="str">
        <v>以纽约市场年度平均报价为主；保留原表精度。</v>
      </c>
      <c r="L537" s="2234" t="str">
        <v>原报价已按 1 美元兑换本币表示。</v>
      </c>
      <c r="M537" s="2234" t="str">
        <v>1965|日元（JPY）</v>
      </c>
      <c r="N537" s="2234" t="str">
        <v>日元（JPY）</v>
      </c>
      <c r="O537" s="2239" t="n">
        <v>361.51</v>
      </c>
      <c r="P537" s="2234" t="str">
        <v>LCU/USD</v>
      </c>
      <c r="Q537" s="2239" t="n">
        <v>1</v>
      </c>
      <c r="R537" s="2234" t="str">
        <v>B：学术历史汇编</v>
      </c>
      <c r="S537" s="2234" t="str">
        <v>年度汇率!H51；原始记录!A401:M401</v>
      </c>
      <c r="T537" s="2234" t="str"/>
      <c r="U537" t="n" s="2231">
        <v>1971</v>
      </c>
      <c r="V537" t="str" s="2231">
        <v>美元（USD）</v>
      </c>
    </row>
    <row r="538" ht="15.0" customHeight="1">
      <c r="A538" s="2234" t="n">
        <v>1965</v>
      </c>
      <c r="B538" s="2234" t="str">
        <v>CHF</v>
      </c>
      <c r="C538" s="2234" t="str">
        <v>瑞士法郎（CHF）</v>
      </c>
      <c r="D538" s="2234" t="str">
        <v>可用</v>
      </c>
      <c r="E538" s="2238" t="n">
        <v>4.32775</v>
      </c>
      <c r="F538" s="2234" t="str">
        <v>年均</v>
      </c>
      <c r="G538" s="2234" t="str">
        <v>OECD via FRED：CHF年均汇率</v>
      </c>
      <c r="H538" s="2234" t="str">
        <v>https://fred.stlouisfed.org/data/CCUSMA02CHA618N</v>
      </c>
      <c r="I538" s="2234" t="str">
        <v>1965-01-01—1965-12-31</v>
      </c>
      <c r="J538" s="2234" t="str">
        <v>historical_exchange_rates_1920_2026.xlsx</v>
      </c>
      <c r="K538" s="2234" t="str">
        <v>单位为本币／美元；中国和印度早期数据主要反映官方汇率。</v>
      </c>
      <c r="L538" s="2234" t="str">
        <v>原报价已按 1 美元兑换本币表示。</v>
      </c>
      <c r="M538" s="2234" t="str">
        <v>1965|瑞士法郎（CHF）</v>
      </c>
      <c r="N538" s="2234" t="str">
        <v>瑞士法郎（CHF）</v>
      </c>
      <c r="O538" s="2239" t="n">
        <v>4.32775</v>
      </c>
      <c r="P538" s="2234" t="str">
        <v>LCU/USD</v>
      </c>
      <c r="Q538" s="2239" t="n">
        <v>1</v>
      </c>
      <c r="R538" s="2234" t="str">
        <v>A：机构统计／原始统计表</v>
      </c>
      <c r="S538" s="2234" t="str">
        <v>年度汇率!I51；原始记录!A402:M402</v>
      </c>
      <c r="T538" s="2234" t="str"/>
      <c r="U538" t="n" s="2231">
        <v>1971</v>
      </c>
      <c r="V538" t="str" s="2231">
        <v>英镑（GBP）</v>
      </c>
    </row>
    <row r="539" ht="15.0" customHeight="1">
      <c r="A539" s="2234" t="n">
        <v>1965</v>
      </c>
      <c r="B539" s="2234" t="str">
        <v>INR</v>
      </c>
      <c r="C539" s="2234" t="str">
        <v>印度卢比（INR）</v>
      </c>
      <c r="D539" s="2234" t="str">
        <v>可用</v>
      </c>
      <c r="E539" s="2238" t="n">
        <v>4.7619</v>
      </c>
      <c r="F539" s="2234" t="str">
        <v>年均</v>
      </c>
      <c r="G539" s="2234" t="str">
        <v>OECD via FRED：INR年均汇率</v>
      </c>
      <c r="H539" s="2234" t="str">
        <v>https://fred.stlouisfed.org/data/CCUSMA02INA618N</v>
      </c>
      <c r="I539" s="2234" t="str">
        <v>1965-01-01—1965-12-31</v>
      </c>
      <c r="J539" s="2234" t="str">
        <v>historical_exchange_rates_1920_2026.xlsx</v>
      </c>
      <c r="K539" s="2234" t="str">
        <v>单位为本币／美元；中国和印度早期数据主要反映官方汇率。</v>
      </c>
      <c r="L539" s="2234" t="str">
        <v>原报价已按 1 美元兑换本币表示。</v>
      </c>
      <c r="M539" s="2234" t="str">
        <v>1965|印度卢比（INR）</v>
      </c>
      <c r="N539" s="2234" t="str">
        <v>印度卢比（INR）</v>
      </c>
      <c r="O539" s="2239" t="n">
        <v>4.7619</v>
      </c>
      <c r="P539" s="2234" t="str">
        <v>LCU/USD</v>
      </c>
      <c r="Q539" s="2239" t="n">
        <v>1</v>
      </c>
      <c r="R539" s="2234" t="str">
        <v>A：机构统计／原始统计表</v>
      </c>
      <c r="S539" s="2234" t="str">
        <v>年度汇率!J51；原始记录!A403:M403</v>
      </c>
      <c r="T539" s="2234" t="str"/>
      <c r="U539" t="n" s="2231">
        <v>1971</v>
      </c>
      <c r="V539" t="str" s="2231">
        <v>加拿大元（CAD）</v>
      </c>
    </row>
    <row r="540" ht="48.0" customHeight="1">
      <c r="A540" s="2234" t="n">
        <v>1965</v>
      </c>
      <c r="B540" s="2234" t="str">
        <v>SUR_1961</v>
      </c>
      <c r="C540" s="2234" t="str">
        <v>苏联卢布（1961币制）</v>
      </c>
      <c r="D540" s="2234" t="str">
        <v>可用</v>
      </c>
      <c r="E540" s="2238" t="n">
        <v>0.9</v>
      </c>
      <c r="F540" s="2234" t="str">
        <v>官价区间参考（非年均）</v>
      </c>
      <c r="G540" s="2234" t="str">
        <v>苏联卢布历史官价表（Wikipedia转引俄央行历史档案）</v>
      </c>
      <c r="H540" s="2234" t="str">
        <v>https://en.wikipedia.org/wiki/Soviet_ruble#Exchange_rates</v>
      </c>
      <c r="I540" s="2234" t="str">
        <v>1961-01-01—1971-12-01</v>
      </c>
      <c r="J540" s="2234" t="str">
        <v>historical_exchange_rates_1920_2026.xlsx</v>
      </c>
      <c r="K540"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540" s="2234" t="str">
        <v>原报价已按 1 美元兑换本币表示。</v>
      </c>
      <c r="M540" s="2234" t="str">
        <v>1965|苏联卢布（1961币制）</v>
      </c>
      <c r="N540" s="2234" t="str">
        <v>苏联卢布（1961币制）</v>
      </c>
      <c r="O540" s="2239" t="n">
        <v>0.9</v>
      </c>
      <c r="P540" s="2234" t="str">
        <v>LCU/USD</v>
      </c>
      <c r="Q540" s="2239" t="n">
        <v>1</v>
      </c>
      <c r="R540" s="2234" t="str">
        <v>C：二手转引（原档未复核）</v>
      </c>
      <c r="S540" s="2234" t="str">
        <v>年度汇率!K51；原始记录!A404:M404</v>
      </c>
      <c r="T540" s="2234" t="str">
        <v>官价参考，并非市场年均汇率</v>
      </c>
      <c r="U540" t="n" s="2231">
        <v>1971</v>
      </c>
      <c r="V540" t="str" s="2231">
        <v>法国法郎（FRF；1960币制）</v>
      </c>
    </row>
    <row r="541" ht="15.0" customHeight="1">
      <c r="A541" s="2234" t="n">
        <v>1965</v>
      </c>
      <c r="B541" s="2234" t="str">
        <v>CNY</v>
      </c>
      <c r="C541" s="2234" t="str">
        <v>人民币元（1955币制；CNY）</v>
      </c>
      <c r="D541" s="2234" t="str">
        <v>可用</v>
      </c>
      <c r="E541" s="2238" t="n">
        <v>2.46181</v>
      </c>
      <c r="F541" s="2234" t="str">
        <v>年均</v>
      </c>
      <c r="G541" s="2234" t="str">
        <v>OECD via FRED：CNY年均汇率</v>
      </c>
      <c r="H541" s="2234" t="str">
        <v>https://fred.stlouisfed.org/data/CCUSMA02CNA618N</v>
      </c>
      <c r="I541" s="2234" t="str">
        <v>1965-01-01—1965-12-31</v>
      </c>
      <c r="J541" s="2234" t="str">
        <v>historical_exchange_rates_1920_2026.xlsx</v>
      </c>
      <c r="K541" s="2234" t="str">
        <v>单位为本币／美元；中国和印度早期数据主要反映官方汇率。</v>
      </c>
      <c r="L541" s="2234" t="str">
        <v>原报价已按 1 美元兑换本币表示。</v>
      </c>
      <c r="M541" s="2234" t="str">
        <v>1965|人民币元（1955币制；CNY）</v>
      </c>
      <c r="N541" s="2234" t="str">
        <v>人民币元（1955币制；CNY）</v>
      </c>
      <c r="O541" s="2239" t="n">
        <v>2.46181</v>
      </c>
      <c r="P541" s="2234" t="str">
        <v>LCU/USD</v>
      </c>
      <c r="Q541" s="2239" t="n">
        <v>1</v>
      </c>
      <c r="R541" s="2234" t="str">
        <v>A：机构统计／原始统计表</v>
      </c>
      <c r="S541" s="2234" t="str">
        <v>年度汇率!L51；原始记录!A405:M405</v>
      </c>
      <c r="T541" s="2234" t="str"/>
      <c r="U541" t="n" s="2231">
        <v>1971</v>
      </c>
      <c r="V541" t="str" s="2231">
        <v>西德德国马克（DEM）</v>
      </c>
    </row>
    <row r="542" ht="15.0" customHeight="1">
      <c r="A542" s="2234" t="n">
        <v>1966</v>
      </c>
      <c r="B542" s="2234" t="str">
        <v>USD</v>
      </c>
      <c r="C542" s="2234" t="str">
        <v>美元（USD）</v>
      </c>
      <c r="D542" s="2234" t="str">
        <v>可用</v>
      </c>
      <c r="E542" s="2238" t="n">
        <v>1</v>
      </c>
      <c r="F542" s="2234" t="str">
        <v>基准恒等</v>
      </c>
      <c r="G542" s="2234" t="str">
        <v>用户提供的历史汇率表</v>
      </c>
      <c r="H542" s="2234" t="str"/>
      <c r="I542" s="2234" t="str">
        <v>1966</v>
      </c>
      <c r="J542" s="2234" t="str">
        <v>historical_exchange_rates_1920_2026.xlsx</v>
      </c>
      <c r="K542" s="2234" t="str">
        <v>1 美元等于 1 美元，无外部报价。</v>
      </c>
      <c r="L542" s="2234" t="str">
        <v>美元基准，汇率恒为 1。</v>
      </c>
      <c r="M542" s="2234" t="str">
        <v>1966|美元（USD）</v>
      </c>
      <c r="N542" s="2234" t="str">
        <v>美元（USD）</v>
      </c>
      <c r="O542" s="2239"/>
      <c r="P542" s="2234" t="str"/>
      <c r="Q542" s="2239"/>
      <c r="R542" s="2234" t="str"/>
      <c r="S542" s="2234" t="str">
        <v>年度汇率!B52</v>
      </c>
      <c r="T542" s="2234" t="str"/>
      <c r="U542" t="n" s="2231">
        <v>1971</v>
      </c>
      <c r="V542" t="str" s="2231">
        <v>意大利里拉（ITL）</v>
      </c>
    </row>
    <row r="543" ht="15.0" customHeight="1">
      <c r="A543" s="2234" t="n">
        <v>1966</v>
      </c>
      <c r="B543" s="2234" t="str">
        <v>GBP</v>
      </c>
      <c r="C543" s="2234" t="str">
        <v>英镑（GBP）</v>
      </c>
      <c r="D543" s="2234" t="str">
        <v>可用</v>
      </c>
      <c r="E543" s="2238" t="n">
        <v>0.3580092042</v>
      </c>
      <c r="F543" s="2234" t="str">
        <v>年均</v>
      </c>
      <c r="G543" s="2234" t="str">
        <v>OECD via FRED：GBP年均汇率</v>
      </c>
      <c r="H543" s="2234" t="str">
        <v>https://fred.stlouisfed.org/data/CCUSMA02GBA618N</v>
      </c>
      <c r="I543" s="2234" t="str">
        <v>1966-01-01—1966-12-31</v>
      </c>
      <c r="J543" s="2234" t="str">
        <v>historical_exchange_rates_1920_2026.xlsx</v>
      </c>
      <c r="K543" s="2234" t="str">
        <v>单位为本币／美元；中国和印度早期数据主要反映官方汇率。</v>
      </c>
      <c r="L543" s="2234" t="str">
        <v>原报价已按 1 美元兑换本币表示。</v>
      </c>
      <c r="M543" s="2234" t="str">
        <v>1966|英镑（GBP）</v>
      </c>
      <c r="N543" s="2234" t="str">
        <v>英镑（GBP）</v>
      </c>
      <c r="O543" s="2239" t="n">
        <v>0.3580092042</v>
      </c>
      <c r="P543" s="2234" t="str">
        <v>LCU/USD</v>
      </c>
      <c r="Q543" s="2239" t="n">
        <v>1</v>
      </c>
      <c r="R543" s="2234" t="str">
        <v>A：机构统计／原始统计表</v>
      </c>
      <c r="S543" s="2234" t="str">
        <v>年度汇率!C52；原始记录!A406:M406</v>
      </c>
      <c r="T543" s="2234" t="str"/>
      <c r="U543" t="n" s="2231">
        <v>1971</v>
      </c>
      <c r="V543" t="str" s="2231">
        <v>日元（JPY）</v>
      </c>
    </row>
    <row r="544" ht="15.0" customHeight="1">
      <c r="A544" s="2234" t="n">
        <v>1966</v>
      </c>
      <c r="B544" s="2234" t="str">
        <v>CAD</v>
      </c>
      <c r="C544" s="2234" t="str">
        <v>加拿大元（CAD）</v>
      </c>
      <c r="D544" s="2234" t="str">
        <v>可用</v>
      </c>
      <c r="E544" s="2238" t="n">
        <v>1.0775258333</v>
      </c>
      <c r="F544" s="2234" t="str">
        <v>年均</v>
      </c>
      <c r="G544" s="2234" t="str">
        <v>OECD via FRED：CAD年均汇率</v>
      </c>
      <c r="H544" s="2234" t="str">
        <v>https://fred.stlouisfed.org/data/CCUSMA02CAA618N</v>
      </c>
      <c r="I544" s="2234" t="str">
        <v>1966-01-01—1966-12-31</v>
      </c>
      <c r="J544" s="2234" t="str">
        <v>historical_exchange_rates_1920_2026.xlsx</v>
      </c>
      <c r="K544" s="2234" t="str">
        <v>单位为本币／美元；中国和印度早期数据主要反映官方汇率。</v>
      </c>
      <c r="L544" s="2234" t="str">
        <v>原报价已按 1 美元兑换本币表示。</v>
      </c>
      <c r="M544" s="2234" t="str">
        <v>1966|加拿大元（CAD）</v>
      </c>
      <c r="N544" s="2234" t="str">
        <v>加拿大元（CAD）</v>
      </c>
      <c r="O544" s="2239" t="n">
        <v>1.0775258333</v>
      </c>
      <c r="P544" s="2234" t="str">
        <v>LCU/USD</v>
      </c>
      <c r="Q544" s="2239" t="n">
        <v>1</v>
      </c>
      <c r="R544" s="2234" t="str">
        <v>A：机构统计／原始统计表</v>
      </c>
      <c r="S544" s="2234" t="str">
        <v>年度汇率!D52；原始记录!A407:M407</v>
      </c>
      <c r="T544" s="2234" t="str"/>
      <c r="U544" t="n" s="2231">
        <v>1971</v>
      </c>
      <c r="V544" t="str" s="2231">
        <v>瑞士法郎（CHF）</v>
      </c>
    </row>
    <row r="545" ht="36.0" customHeight="1">
      <c r="A545" s="2234" t="n">
        <v>1966</v>
      </c>
      <c r="B545" s="2234" t="str">
        <v>FRF</v>
      </c>
      <c r="C545" s="2234" t="str">
        <v>法国法郎（FRF；1960币制）</v>
      </c>
      <c r="D545" s="2234" t="str">
        <v>可用</v>
      </c>
      <c r="E545" s="2238" t="n">
        <v>4.914113333596231</v>
      </c>
      <c r="F545" s="2234" t="str">
        <v>年均</v>
      </c>
      <c r="G545" s="2234" t="str">
        <v>OECD via FRED：FR年均汇率（欧元单位回溯序列）</v>
      </c>
      <c r="H545" s="2234" t="str">
        <v>https://fred.stlouisfed.org/data/CCUSMA02FRA618N</v>
      </c>
      <c r="I545" s="2234" t="str">
        <v>1966-01-01—1966-12-31</v>
      </c>
      <c r="J545" s="2234" t="str">
        <v>historical_exchange_rates_1920_2026.xlsx</v>
      </c>
      <c r="K545" s="2234" t="str">
        <v>由欧元回溯单位还原当年本币；非当年实际欧元报价。 欧元回溯单位按不可撤销转换率还原；法国1960年前另乘100。
原序列单位为回溯欧元；乘不可撤销转换率还原当年本币。法国1957–1959另乘100还原旧法郎。</v>
      </c>
      <c r="L545" s="2234" t="str">
        <v>原报价已按 1 美元兑换本币表示。乘以 6.55957，还原当年币制的计价单位。</v>
      </c>
      <c r="M545" s="2234" t="str">
        <v>1966|法国法郎（FRF；1960币制）</v>
      </c>
      <c r="N545" s="2234" t="str">
        <v>法国法郎（FRF；1960币制）</v>
      </c>
      <c r="O545" s="2239" t="n">
        <v>0.7491517483</v>
      </c>
      <c r="P545" s="2234" t="str">
        <v>LCU/USD</v>
      </c>
      <c r="Q545" s="2239" t="n">
        <v>6.55957</v>
      </c>
      <c r="R545" s="2234" t="str">
        <v>A：机构统计／原始统计表</v>
      </c>
      <c r="S545" s="2234" t="str">
        <v>年度汇率!E52；原始记录!A408:M408</v>
      </c>
      <c r="T545" s="2234" t="str"/>
      <c r="U545" t="n" s="2231">
        <v>1971</v>
      </c>
      <c r="V545" t="str" s="2231">
        <v>印度卢比（INR）</v>
      </c>
    </row>
    <row r="546" ht="36.0" customHeight="1">
      <c r="A546" s="2234" t="n">
        <v>1966</v>
      </c>
      <c r="B546" s="2234" t="str">
        <v>DEM</v>
      </c>
      <c r="C546" s="2234" t="str">
        <v>西德德国马克（DEM）</v>
      </c>
      <c r="D546" s="2234" t="str">
        <v>可用</v>
      </c>
      <c r="E546" s="2238" t="n">
        <v>3.998702500060588</v>
      </c>
      <c r="F546" s="2234" t="str">
        <v>年均</v>
      </c>
      <c r="G546" s="2234" t="str">
        <v>OECD via FRED：DE年均汇率（欧元单位回溯序列）</v>
      </c>
      <c r="H546" s="2234" t="str">
        <v>https://fred.stlouisfed.org/data/CCUSMA02DEA618N</v>
      </c>
      <c r="I546" s="2234" t="str">
        <v>1966-01-01—1966-12-31</v>
      </c>
      <c r="J546" s="2234" t="str">
        <v>historical_exchange_rates_1920_2026.xlsx</v>
      </c>
      <c r="K546" s="2234" t="str">
        <v>由欧元回溯单位还原当年本币；非当年实际欧元报价。 欧元回溯单位按不可撤销转换率还原；法国1960年前另乘100。
原序列单位为回溯欧元；乘不可撤销转换率还原当年本币。法国1957–1959另乘100还原旧法郎。</v>
      </c>
      <c r="L546" s="2234" t="str">
        <v>原报价已按 1 美元兑换本币表示。乘以 1.95583，还原当年币制的计价单位。</v>
      </c>
      <c r="M546" s="2234" t="str">
        <v>1966|西德德国马克（DEM）</v>
      </c>
      <c r="N546" s="2234" t="str">
        <v>西德德国马克（DEM）</v>
      </c>
      <c r="O546" s="2239" t="n">
        <v>2.0445041236</v>
      </c>
      <c r="P546" s="2234" t="str">
        <v>LCU/USD</v>
      </c>
      <c r="Q546" s="2239" t="n">
        <v>1.95583</v>
      </c>
      <c r="R546" s="2234" t="str">
        <v>A：机构统计／原始统计表</v>
      </c>
      <c r="S546" s="2234" t="str">
        <v>年度汇率!F52、年度汇率!M52；原始记录!A409:M409</v>
      </c>
      <c r="T546" s="2234" t="str"/>
      <c r="U546" t="n" s="2231">
        <v>1971</v>
      </c>
      <c r="V546" t="str" s="2231">
        <v>苏联卢布（1961币制）</v>
      </c>
    </row>
    <row r="547" ht="36.0" customHeight="1">
      <c r="A547" s="2234" t="n">
        <v>1966</v>
      </c>
      <c r="B547" s="2234" t="str">
        <v>ITL</v>
      </c>
      <c r="C547" s="2234" t="str">
        <v>意大利里拉（ITL）</v>
      </c>
      <c r="D547" s="2234" t="str">
        <v>可用</v>
      </c>
      <c r="E547" s="2238" t="n">
        <v>624.483333398393</v>
      </c>
      <c r="F547" s="2234" t="str">
        <v>年均</v>
      </c>
      <c r="G547" s="2234" t="str">
        <v>OECD via FRED：IT年均汇率（欧元单位回溯序列）</v>
      </c>
      <c r="H547" s="2234" t="str">
        <v>https://fred.stlouisfed.org/data/CCUSMA02ITA618N</v>
      </c>
      <c r="I547" s="2234" t="str">
        <v>1966-01-01—1966-12-31</v>
      </c>
      <c r="J547" s="2234" t="str">
        <v>historical_exchange_rates_1920_2026.xlsx</v>
      </c>
      <c r="K547" s="2234" t="str">
        <v>由欧元回溯单位还原当年本币；非当年实际欧元报价。 欧元回溯单位按不可撤销转换率还原；法国1960年前另乘100。
原序列单位为回溯欧元；乘不可撤销转换率还原当年本币。法国1957–1959另乘100还原旧法郎。</v>
      </c>
      <c r="L547" s="2234" t="str">
        <v>原报价已按 1 美元兑换本币表示。乘以 1936.27，还原当年币制的计价单位。</v>
      </c>
      <c r="M547" s="2234" t="str">
        <v>1966|意大利里拉（ITL）</v>
      </c>
      <c r="N547" s="2234" t="str">
        <v>意大利里拉（ITL）</v>
      </c>
      <c r="O547" s="2239" t="n">
        <v>0.3225187259</v>
      </c>
      <c r="P547" s="2234" t="str">
        <v>LCU/USD</v>
      </c>
      <c r="Q547" s="2239" t="n">
        <v>1936.27</v>
      </c>
      <c r="R547" s="2234" t="str">
        <v>A：机构统计／原始统计表</v>
      </c>
      <c r="S547" s="2234" t="str">
        <v>年度汇率!G52；原始记录!A410:M410</v>
      </c>
      <c r="T547" s="2234" t="str"/>
      <c r="U547" t="n" s="2231">
        <v>1971</v>
      </c>
      <c r="V547" t="str" s="2231">
        <v>人民币元（1955币制；CNY）</v>
      </c>
    </row>
    <row r="548" ht="15.0" customHeight="1">
      <c r="A548" s="2234" t="n">
        <v>1966</v>
      </c>
      <c r="B548" s="2234" t="str">
        <v>JPY</v>
      </c>
      <c r="C548" s="2234" t="str">
        <v>日元（JPY）</v>
      </c>
      <c r="D548" s="2234" t="str">
        <v>可用</v>
      </c>
      <c r="E548" s="2238" t="n">
        <v>362.35</v>
      </c>
      <c r="F548" s="2234" t="str">
        <v>年均</v>
      </c>
      <c r="G548" s="2234" t="str">
        <v>MeasuringWorth：日本年均汇率</v>
      </c>
      <c r="H548" s="2234" t="str">
        <v>https://www.measuringworth.com/datasets/exchangeglobal/result.php?countryE%5B%5D=Japan&amp;year_result=2016&amp;year_source=1916</v>
      </c>
      <c r="I548" s="2234" t="str">
        <v>1966-01-01—1966-12-31</v>
      </c>
      <c r="J548" s="2234" t="str">
        <v>historical_exchange_rates_1920_2026.xlsx</v>
      </c>
      <c r="K548" s="2234" t="str">
        <v>以纽约市场年度平均报价为主；保留原表精度。</v>
      </c>
      <c r="L548" s="2234" t="str">
        <v>原报价已按 1 美元兑换本币表示。</v>
      </c>
      <c r="M548" s="2234" t="str">
        <v>1966|日元（JPY）</v>
      </c>
      <c r="N548" s="2234" t="str">
        <v>日元（JPY）</v>
      </c>
      <c r="O548" s="2239" t="n">
        <v>362.35</v>
      </c>
      <c r="P548" s="2234" t="str">
        <v>LCU/USD</v>
      </c>
      <c r="Q548" s="2239" t="n">
        <v>1</v>
      </c>
      <c r="R548" s="2234" t="str">
        <v>B：学术历史汇编</v>
      </c>
      <c r="S548" s="2234" t="str">
        <v>年度汇率!H52；原始记录!A411:M411</v>
      </c>
      <c r="T548" s="2234" t="str"/>
      <c r="U548" t="n" s="2231">
        <v>1972</v>
      </c>
      <c r="V548" t="str" s="2231">
        <v>美元（USD）</v>
      </c>
    </row>
    <row r="549" ht="15.0" customHeight="1">
      <c r="A549" s="2234" t="n">
        <v>1966</v>
      </c>
      <c r="B549" s="2234" t="str">
        <v>CHF</v>
      </c>
      <c r="C549" s="2234" t="str">
        <v>瑞士法郎（CHF）</v>
      </c>
      <c r="D549" s="2234" t="str">
        <v>可用</v>
      </c>
      <c r="E549" s="2238" t="n">
        <v>4.3264</v>
      </c>
      <c r="F549" s="2234" t="str">
        <v>年均</v>
      </c>
      <c r="G549" s="2234" t="str">
        <v>OECD via FRED：CHF年均汇率</v>
      </c>
      <c r="H549" s="2234" t="str">
        <v>https://fred.stlouisfed.org/data/CCUSMA02CHA618N</v>
      </c>
      <c r="I549" s="2234" t="str">
        <v>1966-01-01—1966-12-31</v>
      </c>
      <c r="J549" s="2234" t="str">
        <v>historical_exchange_rates_1920_2026.xlsx</v>
      </c>
      <c r="K549" s="2234" t="str">
        <v>单位为本币／美元；中国和印度早期数据主要反映官方汇率。</v>
      </c>
      <c r="L549" s="2234" t="str">
        <v>原报价已按 1 美元兑换本币表示。</v>
      </c>
      <c r="M549" s="2234" t="str">
        <v>1966|瑞士法郎（CHF）</v>
      </c>
      <c r="N549" s="2234" t="str">
        <v>瑞士法郎（CHF）</v>
      </c>
      <c r="O549" s="2239" t="n">
        <v>4.3264</v>
      </c>
      <c r="P549" s="2234" t="str">
        <v>LCU/USD</v>
      </c>
      <c r="Q549" s="2239" t="n">
        <v>1</v>
      </c>
      <c r="R549" s="2234" t="str">
        <v>A：机构统计／原始统计表</v>
      </c>
      <c r="S549" s="2234" t="str">
        <v>年度汇率!I52；原始记录!A412:M412</v>
      </c>
      <c r="T549" s="2234" t="str"/>
      <c r="U549" t="n" s="2231">
        <v>1972</v>
      </c>
      <c r="V549" t="str" s="2231">
        <v>英镑（GBP）</v>
      </c>
    </row>
    <row r="550" ht="15.0" customHeight="1">
      <c r="A550" s="2234" t="n">
        <v>1966</v>
      </c>
      <c r="B550" s="2234" t="str">
        <v>INR</v>
      </c>
      <c r="C550" s="2234" t="str">
        <v>印度卢比（INR）</v>
      </c>
      <c r="D550" s="2234" t="str">
        <v>可用</v>
      </c>
      <c r="E550" s="2238" t="n">
        <v>6.359125</v>
      </c>
      <c r="F550" s="2234" t="str">
        <v>年均</v>
      </c>
      <c r="G550" s="2234" t="str">
        <v>OECD via FRED：INR年均汇率</v>
      </c>
      <c r="H550" s="2234" t="str">
        <v>https://fred.stlouisfed.org/data/CCUSMA02INA618N</v>
      </c>
      <c r="I550" s="2234" t="str">
        <v>1966-01-01—1966-12-31</v>
      </c>
      <c r="J550" s="2234" t="str">
        <v>historical_exchange_rates_1920_2026.xlsx</v>
      </c>
      <c r="K550" s="2234" t="str">
        <v>单位为本币／美元；中国和印度早期数据主要反映官方汇率。</v>
      </c>
      <c r="L550" s="2234" t="str">
        <v>原报价已按 1 美元兑换本币表示。</v>
      </c>
      <c r="M550" s="2234" t="str">
        <v>1966|印度卢比（INR）</v>
      </c>
      <c r="N550" s="2234" t="str">
        <v>印度卢比（INR）</v>
      </c>
      <c r="O550" s="2239" t="n">
        <v>6.359125</v>
      </c>
      <c r="P550" s="2234" t="str">
        <v>LCU/USD</v>
      </c>
      <c r="Q550" s="2239" t="n">
        <v>1</v>
      </c>
      <c r="R550" s="2234" t="str">
        <v>A：机构统计／原始统计表</v>
      </c>
      <c r="S550" s="2234" t="str">
        <v>年度汇率!J52；原始记录!A413:M413</v>
      </c>
      <c r="T550" s="2234" t="str"/>
      <c r="U550" t="n" s="2231">
        <v>1972</v>
      </c>
      <c r="V550" t="str" s="2231">
        <v>加拿大元（CAD）</v>
      </c>
    </row>
    <row r="551" ht="48.0" customHeight="1">
      <c r="A551" s="2234" t="n">
        <v>1966</v>
      </c>
      <c r="B551" s="2234" t="str">
        <v>SUR_1961</v>
      </c>
      <c r="C551" s="2234" t="str">
        <v>苏联卢布（1961币制）</v>
      </c>
      <c r="D551" s="2234" t="str">
        <v>可用</v>
      </c>
      <c r="E551" s="2238" t="n">
        <v>0.9</v>
      </c>
      <c r="F551" s="2234" t="str">
        <v>官价区间参考（非年均）</v>
      </c>
      <c r="G551" s="2234" t="str">
        <v>苏联卢布历史官价表（Wikipedia转引俄央行历史档案）</v>
      </c>
      <c r="H551" s="2234" t="str">
        <v>https://en.wikipedia.org/wiki/Soviet_ruble#Exchange_rates</v>
      </c>
      <c r="I551" s="2234" t="str">
        <v>1961-01-01—1971-12-01</v>
      </c>
      <c r="J551" s="2234" t="str">
        <v>historical_exchange_rates_1920_2026.xlsx</v>
      </c>
      <c r="K551"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551" s="2234" t="str">
        <v>原报价已按 1 美元兑换本币表示。</v>
      </c>
      <c r="M551" s="2234" t="str">
        <v>1966|苏联卢布（1961币制）</v>
      </c>
      <c r="N551" s="2234" t="str">
        <v>苏联卢布（1961币制）</v>
      </c>
      <c r="O551" s="2239" t="n">
        <v>0.9</v>
      </c>
      <c r="P551" s="2234" t="str">
        <v>LCU/USD</v>
      </c>
      <c r="Q551" s="2239" t="n">
        <v>1</v>
      </c>
      <c r="R551" s="2234" t="str">
        <v>C：二手转引（原档未复核）</v>
      </c>
      <c r="S551" s="2234" t="str">
        <v>年度汇率!K52；原始记录!A414:M414</v>
      </c>
      <c r="T551" s="2234" t="str">
        <v>官价参考，并非市场年均汇率</v>
      </c>
      <c r="U551" t="n" s="2231">
        <v>1972</v>
      </c>
      <c r="V551" t="str" s="2231">
        <v>法国法郎（FRF；1960币制）</v>
      </c>
    </row>
    <row r="552" ht="15.0" customHeight="1">
      <c r="A552" s="2234" t="n">
        <v>1966</v>
      </c>
      <c r="B552" s="2234" t="str">
        <v>CNY</v>
      </c>
      <c r="C552" s="2234" t="str">
        <v>人民币元（1955币制；CNY）</v>
      </c>
      <c r="D552" s="2234" t="str">
        <v>可用</v>
      </c>
      <c r="E552" s="2238" t="n">
        <v>2.46181</v>
      </c>
      <c r="F552" s="2234" t="str">
        <v>年均</v>
      </c>
      <c r="G552" s="2234" t="str">
        <v>OECD via FRED：CNY年均汇率</v>
      </c>
      <c r="H552" s="2234" t="str">
        <v>https://fred.stlouisfed.org/data/CCUSMA02CNA618N</v>
      </c>
      <c r="I552" s="2234" t="str">
        <v>1966-01-01—1966-12-31</v>
      </c>
      <c r="J552" s="2234" t="str">
        <v>historical_exchange_rates_1920_2026.xlsx</v>
      </c>
      <c r="K552" s="2234" t="str">
        <v>单位为本币／美元；中国和印度早期数据主要反映官方汇率。</v>
      </c>
      <c r="L552" s="2234" t="str">
        <v>原报价已按 1 美元兑换本币表示。</v>
      </c>
      <c r="M552" s="2234" t="str">
        <v>1966|人民币元（1955币制；CNY）</v>
      </c>
      <c r="N552" s="2234" t="str">
        <v>人民币元（1955币制；CNY）</v>
      </c>
      <c r="O552" s="2239" t="n">
        <v>2.46181</v>
      </c>
      <c r="P552" s="2234" t="str">
        <v>LCU/USD</v>
      </c>
      <c r="Q552" s="2239" t="n">
        <v>1</v>
      </c>
      <c r="R552" s="2234" t="str">
        <v>A：机构统计／原始统计表</v>
      </c>
      <c r="S552" s="2234" t="str">
        <v>年度汇率!L52；原始记录!A415:M415</v>
      </c>
      <c r="T552" s="2234" t="str"/>
      <c r="U552" t="n" s="2231">
        <v>1972</v>
      </c>
      <c r="V552" t="str" s="2231">
        <v>西德德国马克（DEM）</v>
      </c>
    </row>
    <row r="553" ht="15.0" customHeight="1">
      <c r="A553" s="2234" t="n">
        <v>1967</v>
      </c>
      <c r="B553" s="2234" t="str">
        <v>USD</v>
      </c>
      <c r="C553" s="2234" t="str">
        <v>美元（USD）</v>
      </c>
      <c r="D553" s="2234" t="str">
        <v>可用</v>
      </c>
      <c r="E553" s="2238" t="n">
        <v>1</v>
      </c>
      <c r="F553" s="2234" t="str">
        <v>基准恒等</v>
      </c>
      <c r="G553" s="2234" t="str">
        <v>用户提供的历史汇率表</v>
      </c>
      <c r="H553" s="2234" t="str"/>
      <c r="I553" s="2234" t="str">
        <v>1967</v>
      </c>
      <c r="J553" s="2234" t="str">
        <v>historical_exchange_rates_1920_2026.xlsx</v>
      </c>
      <c r="K553" s="2234" t="str">
        <v>1 美元等于 1 美元，无外部报价。</v>
      </c>
      <c r="L553" s="2234" t="str">
        <v>美元基准，汇率恒为 1。</v>
      </c>
      <c r="M553" s="2234" t="str">
        <v>1967|美元（USD）</v>
      </c>
      <c r="N553" s="2234" t="str">
        <v>美元（USD）</v>
      </c>
      <c r="O553" s="2239"/>
      <c r="P553" s="2234" t="str"/>
      <c r="Q553" s="2239"/>
      <c r="R553" s="2234" t="str"/>
      <c r="S553" s="2234" t="str">
        <v>年度汇率!B53</v>
      </c>
      <c r="T553" s="2234" t="str"/>
      <c r="U553" t="n" s="2231">
        <v>1972</v>
      </c>
      <c r="V553" t="str" s="2231">
        <v>意大利里拉（ITL）</v>
      </c>
    </row>
    <row r="554" ht="15.0" customHeight="1">
      <c r="A554" s="2234" t="n">
        <v>1967</v>
      </c>
      <c r="B554" s="2234" t="str">
        <v>GBP</v>
      </c>
      <c r="C554" s="2234" t="str">
        <v>英镑（GBP）</v>
      </c>
      <c r="D554" s="2234" t="str">
        <v>可用</v>
      </c>
      <c r="E554" s="2238" t="n">
        <v>0.3647347542</v>
      </c>
      <c r="F554" s="2234" t="str">
        <v>年均</v>
      </c>
      <c r="G554" s="2234" t="str">
        <v>OECD via FRED：GBP年均汇率</v>
      </c>
      <c r="H554" s="2234" t="str">
        <v>https://fred.stlouisfed.org/data/CCUSMA02GBA618N</v>
      </c>
      <c r="I554" s="2234" t="str">
        <v>1967-01-01—1967-12-31</v>
      </c>
      <c r="J554" s="2234" t="str">
        <v>historical_exchange_rates_1920_2026.xlsx</v>
      </c>
      <c r="K554" s="2234" t="str">
        <v>单位为本币／美元；中国和印度早期数据主要反映官方汇率。</v>
      </c>
      <c r="L554" s="2234" t="str">
        <v>原报价已按 1 美元兑换本币表示。</v>
      </c>
      <c r="M554" s="2234" t="str">
        <v>1967|英镑（GBP）</v>
      </c>
      <c r="N554" s="2234" t="str">
        <v>英镑（GBP）</v>
      </c>
      <c r="O554" s="2239" t="n">
        <v>0.3647347542</v>
      </c>
      <c r="P554" s="2234" t="str">
        <v>LCU/USD</v>
      </c>
      <c r="Q554" s="2239" t="n">
        <v>1</v>
      </c>
      <c r="R554" s="2234" t="str">
        <v>A：机构统计／原始统计表</v>
      </c>
      <c r="S554" s="2234" t="str">
        <v>年度汇率!C53；原始记录!A416:M416</v>
      </c>
      <c r="T554" s="2234" t="str"/>
      <c r="U554" t="n" s="2231">
        <v>1972</v>
      </c>
      <c r="V554" t="str" s="2231">
        <v>日元（JPY）</v>
      </c>
    </row>
    <row r="555" ht="15.0" customHeight="1">
      <c r="A555" s="2234" t="n">
        <v>1967</v>
      </c>
      <c r="B555" s="2234" t="str">
        <v>CAD</v>
      </c>
      <c r="C555" s="2234" t="str">
        <v>加拿大元（CAD）</v>
      </c>
      <c r="D555" s="2234" t="str">
        <v>可用</v>
      </c>
      <c r="E555" s="2238" t="n">
        <v>1.0788616667</v>
      </c>
      <c r="F555" s="2234" t="str">
        <v>年均</v>
      </c>
      <c r="G555" s="2234" t="str">
        <v>OECD via FRED：CAD年均汇率</v>
      </c>
      <c r="H555" s="2234" t="str">
        <v>https://fred.stlouisfed.org/data/CCUSMA02CAA618N</v>
      </c>
      <c r="I555" s="2234" t="str">
        <v>1967-01-01—1967-12-31</v>
      </c>
      <c r="J555" s="2234" t="str">
        <v>historical_exchange_rates_1920_2026.xlsx</v>
      </c>
      <c r="K555" s="2234" t="str">
        <v>单位为本币／美元；中国和印度早期数据主要反映官方汇率。</v>
      </c>
      <c r="L555" s="2234" t="str">
        <v>原报价已按 1 美元兑换本币表示。</v>
      </c>
      <c r="M555" s="2234" t="str">
        <v>1967|加拿大元（CAD）</v>
      </c>
      <c r="N555" s="2234" t="str">
        <v>加拿大元（CAD）</v>
      </c>
      <c r="O555" s="2239" t="n">
        <v>1.0788616667</v>
      </c>
      <c r="P555" s="2234" t="str">
        <v>LCU/USD</v>
      </c>
      <c r="Q555" s="2239" t="n">
        <v>1</v>
      </c>
      <c r="R555" s="2234" t="str">
        <v>A：机构统计／原始统计表</v>
      </c>
      <c r="S555" s="2234" t="str">
        <v>年度汇率!D53；原始记录!A417:M417</v>
      </c>
      <c r="T555" s="2234" t="str"/>
      <c r="U555" t="n" s="2231">
        <v>1972</v>
      </c>
      <c r="V555" t="str" s="2231">
        <v>瑞士法郎（CHF）</v>
      </c>
    </row>
    <row r="556" ht="36.0" customHeight="1">
      <c r="A556" s="2234" t="n">
        <v>1967</v>
      </c>
      <c r="B556" s="2234" t="str">
        <v>FRF</v>
      </c>
      <c r="C556" s="2234" t="str">
        <v>法国法郎（FRF；1960币制）</v>
      </c>
      <c r="D556" s="2234" t="str">
        <v>可用</v>
      </c>
      <c r="E556" s="2238" t="n">
        <v>4.920572500193982</v>
      </c>
      <c r="F556" s="2234" t="str">
        <v>年均</v>
      </c>
      <c r="G556" s="2234" t="str">
        <v>OECD via FRED：FR年均汇率（欧元单位回溯序列）</v>
      </c>
      <c r="H556" s="2234" t="str">
        <v>https://fred.stlouisfed.org/data/CCUSMA02FRA618N</v>
      </c>
      <c r="I556" s="2234" t="str">
        <v>1967-01-01—1967-12-31</v>
      </c>
      <c r="J556" s="2234" t="str">
        <v>historical_exchange_rates_1920_2026.xlsx</v>
      </c>
      <c r="K556" s="2234" t="str">
        <v>由欧元回溯单位还原当年本币；非当年实际欧元报价。 欧元回溯单位按不可撤销转换率还原；法国1960年前另乘100。
原序列单位为回溯欧元；乘不可撤销转换率还原当年本币。法国1957–1959另乘100还原旧法郎。</v>
      </c>
      <c r="L556" s="2234" t="str">
        <v>原报价已按 1 美元兑换本币表示。乘以 6.55957，还原当年币制的计价单位。</v>
      </c>
      <c r="M556" s="2234" t="str">
        <v>1967|法国法郎（FRF；1960币制）</v>
      </c>
      <c r="N556" s="2234" t="str">
        <v>法国法郎（FRF；1960币制）</v>
      </c>
      <c r="O556" s="2239" t="n">
        <v>0.7501364419</v>
      </c>
      <c r="P556" s="2234" t="str">
        <v>LCU/USD</v>
      </c>
      <c r="Q556" s="2239" t="n">
        <v>6.55957</v>
      </c>
      <c r="R556" s="2234" t="str">
        <v>A：机构统计／原始统计表</v>
      </c>
      <c r="S556" s="2234" t="str">
        <v>年度汇率!E53；原始记录!A418:M418</v>
      </c>
      <c r="T556" s="2234" t="str"/>
      <c r="U556" t="n" s="2231">
        <v>1972</v>
      </c>
      <c r="V556" t="str" s="2231">
        <v>印度卢比（INR）</v>
      </c>
    </row>
    <row r="557" ht="36.0" customHeight="1">
      <c r="A557" s="2234" t="n">
        <v>1967</v>
      </c>
      <c r="B557" s="2234" t="str">
        <v>DEM</v>
      </c>
      <c r="C557" s="2234" t="str">
        <v>西德德国马克（DEM）</v>
      </c>
      <c r="D557" s="2234" t="str">
        <v>可用</v>
      </c>
      <c r="E557" s="2238" t="n">
        <v>3.986507500043353</v>
      </c>
      <c r="F557" s="2234" t="str">
        <v>年均</v>
      </c>
      <c r="G557" s="2234" t="str">
        <v>OECD via FRED：DE年均汇率（欧元单位回溯序列）</v>
      </c>
      <c r="H557" s="2234" t="str">
        <v>https://fred.stlouisfed.org/data/CCUSMA02DEA618N</v>
      </c>
      <c r="I557" s="2234" t="str">
        <v>1967-01-01—1967-12-31</v>
      </c>
      <c r="J557" s="2234" t="str">
        <v>historical_exchange_rates_1920_2026.xlsx</v>
      </c>
      <c r="K557" s="2234" t="str">
        <v>由欧元回溯单位还原当年本币；非当年实际欧元报价。 欧元回溯单位按不可撤销转换率还原；法国1960年前另乘100。
原序列单位为回溯欧元；乘不可撤销转换率还原当年本币。法国1957–1959另乘100还原旧法郎。</v>
      </c>
      <c r="L557" s="2234" t="str">
        <v>原报价已按 1 美元兑换本币表示。乘以 1.95583，还原当年币制的计价单位。</v>
      </c>
      <c r="M557" s="2234" t="str">
        <v>1967|西德德国马克（DEM）</v>
      </c>
      <c r="N557" s="2234" t="str">
        <v>西德德国马克（DEM）</v>
      </c>
      <c r="O557" s="2239" t="n">
        <v>2.0382689191</v>
      </c>
      <c r="P557" s="2234" t="str">
        <v>LCU/USD</v>
      </c>
      <c r="Q557" s="2239" t="n">
        <v>1.95583</v>
      </c>
      <c r="R557" s="2234" t="str">
        <v>A：机构统计／原始统计表</v>
      </c>
      <c r="S557" s="2234" t="str">
        <v>年度汇率!F53、年度汇率!M53；原始记录!A419:M419</v>
      </c>
      <c r="T557" s="2234" t="str"/>
      <c r="U557" t="n" s="2231">
        <v>1972</v>
      </c>
      <c r="V557" t="str" s="2231">
        <v>苏联卢布（1961币制）</v>
      </c>
    </row>
    <row r="558" ht="36.0" customHeight="1">
      <c r="A558" s="2234" t="n">
        <v>1967</v>
      </c>
      <c r="B558" s="2234" t="str">
        <v>ITL</v>
      </c>
      <c r="C558" s="2234" t="str">
        <v>意大利里拉（ITL）</v>
      </c>
      <c r="D558" s="2234" t="str">
        <v>可用</v>
      </c>
      <c r="E558" s="2238" t="n">
        <v>624.130333370082</v>
      </c>
      <c r="F558" s="2234" t="str">
        <v>年均</v>
      </c>
      <c r="G558" s="2234" t="str">
        <v>OECD via FRED：IT年均汇率（欧元单位回溯序列）</v>
      </c>
      <c r="H558" s="2234" t="str">
        <v>https://fred.stlouisfed.org/data/CCUSMA02ITA618N</v>
      </c>
      <c r="I558" s="2234" t="str">
        <v>1967-01-01—1967-12-31</v>
      </c>
      <c r="J558" s="2234" t="str">
        <v>historical_exchange_rates_1920_2026.xlsx</v>
      </c>
      <c r="K558" s="2234" t="str">
        <v>由欧元回溯单位还原当年本币；非当年实际欧元报价。 欧元回溯单位按不可撤销转换率还原；法国1960年前另乘100。
原序列单位为回溯欧元；乘不可撤销转换率还原当年本币。法国1957–1959另乘100还原旧法郎。</v>
      </c>
      <c r="L558" s="2234" t="str">
        <v>原报价已按 1 美元兑换本币表示。乘以 1936.27，还原当年币制的计价单位。</v>
      </c>
      <c r="M558" s="2234" t="str">
        <v>1967|意大利里拉（ITL）</v>
      </c>
      <c r="N558" s="2234" t="str">
        <v>意大利里拉（ITL）</v>
      </c>
      <c r="O558" s="2239" t="n">
        <v>0.3223364166</v>
      </c>
      <c r="P558" s="2234" t="str">
        <v>LCU/USD</v>
      </c>
      <c r="Q558" s="2239" t="n">
        <v>1936.27</v>
      </c>
      <c r="R558" s="2234" t="str">
        <v>A：机构统计／原始统计表</v>
      </c>
      <c r="S558" s="2234" t="str">
        <v>年度汇率!G53；原始记录!A420:M420</v>
      </c>
      <c r="T558" s="2234" t="str"/>
      <c r="U558" t="n" s="2231">
        <v>1972</v>
      </c>
      <c r="V558" t="str" s="2231">
        <v>人民币元（1955币制；CNY）</v>
      </c>
    </row>
    <row r="559" ht="15.0" customHeight="1">
      <c r="A559" s="2234" t="n">
        <v>1967</v>
      </c>
      <c r="B559" s="2234" t="str">
        <v>JPY</v>
      </c>
      <c r="C559" s="2234" t="str">
        <v>日元（JPY）</v>
      </c>
      <c r="D559" s="2234" t="str">
        <v>可用</v>
      </c>
      <c r="E559" s="2238" t="n">
        <v>362.15</v>
      </c>
      <c r="F559" s="2234" t="str">
        <v>年均</v>
      </c>
      <c r="G559" s="2234" t="str">
        <v>MeasuringWorth：日本年均汇率</v>
      </c>
      <c r="H559" s="2234" t="str">
        <v>https://www.measuringworth.com/datasets/exchangeglobal/result.php?countryE%5B%5D=Japan&amp;year_result=2016&amp;year_source=1916</v>
      </c>
      <c r="I559" s="2234" t="str">
        <v>1967-01-01—1967-12-31</v>
      </c>
      <c r="J559" s="2234" t="str">
        <v>historical_exchange_rates_1920_2026.xlsx</v>
      </c>
      <c r="K559" s="2234" t="str">
        <v>以纽约市场年度平均报价为主；保留原表精度。</v>
      </c>
      <c r="L559" s="2234" t="str">
        <v>原报价已按 1 美元兑换本币表示。</v>
      </c>
      <c r="M559" s="2234" t="str">
        <v>1967|日元（JPY）</v>
      </c>
      <c r="N559" s="2234" t="str">
        <v>日元（JPY）</v>
      </c>
      <c r="O559" s="2239" t="n">
        <v>362.15</v>
      </c>
      <c r="P559" s="2234" t="str">
        <v>LCU/USD</v>
      </c>
      <c r="Q559" s="2239" t="n">
        <v>1</v>
      </c>
      <c r="R559" s="2234" t="str">
        <v>B：学术历史汇编</v>
      </c>
      <c r="S559" s="2234" t="str">
        <v>年度汇率!H53；原始记录!A421:M421</v>
      </c>
      <c r="T559" s="2234" t="str"/>
      <c r="U559" t="n" s="2231">
        <v>1973</v>
      </c>
      <c r="V559" t="str" s="2231">
        <v>美元（USD）</v>
      </c>
    </row>
    <row r="560" ht="15.0" customHeight="1">
      <c r="A560" s="2234" t="n">
        <v>1967</v>
      </c>
      <c r="B560" s="2234" t="str">
        <v>CHF</v>
      </c>
      <c r="C560" s="2234" t="str">
        <v>瑞士法郎（CHF）</v>
      </c>
      <c r="D560" s="2234" t="str">
        <v>可用</v>
      </c>
      <c r="E560" s="2238" t="n">
        <v>4.3283166667</v>
      </c>
      <c r="F560" s="2234" t="str">
        <v>年均</v>
      </c>
      <c r="G560" s="2234" t="str">
        <v>OECD via FRED：CHF年均汇率</v>
      </c>
      <c r="H560" s="2234" t="str">
        <v>https://fred.stlouisfed.org/data/CCUSMA02CHA618N</v>
      </c>
      <c r="I560" s="2234" t="str">
        <v>1967-01-01—1967-12-31</v>
      </c>
      <c r="J560" s="2234" t="str">
        <v>historical_exchange_rates_1920_2026.xlsx</v>
      </c>
      <c r="K560" s="2234" t="str">
        <v>单位为本币／美元；中国和印度早期数据主要反映官方汇率。</v>
      </c>
      <c r="L560" s="2234" t="str">
        <v>原报价已按 1 美元兑换本币表示。</v>
      </c>
      <c r="M560" s="2234" t="str">
        <v>1967|瑞士法郎（CHF）</v>
      </c>
      <c r="N560" s="2234" t="str">
        <v>瑞士法郎（CHF）</v>
      </c>
      <c r="O560" s="2239" t="n">
        <v>4.3283166667</v>
      </c>
      <c r="P560" s="2234" t="str">
        <v>LCU/USD</v>
      </c>
      <c r="Q560" s="2239" t="n">
        <v>1</v>
      </c>
      <c r="R560" s="2234" t="str">
        <v>A：机构统计／原始统计表</v>
      </c>
      <c r="S560" s="2234" t="str">
        <v>年度汇率!I53；原始记录!A422:M422</v>
      </c>
      <c r="T560" s="2234" t="str"/>
      <c r="U560" t="n" s="2231">
        <v>1973</v>
      </c>
      <c r="V560" t="str" s="2231">
        <v>英镑（GBP）</v>
      </c>
    </row>
    <row r="561" ht="15.0" customHeight="1">
      <c r="A561" s="2234" t="n">
        <v>1967</v>
      </c>
      <c r="B561" s="2234" t="str">
        <v>INR</v>
      </c>
      <c r="C561" s="2234" t="str">
        <v>印度卢比（INR）</v>
      </c>
      <c r="D561" s="2234" t="str">
        <v>可用</v>
      </c>
      <c r="E561" s="2238" t="n">
        <v>7.5</v>
      </c>
      <c r="F561" s="2234" t="str">
        <v>年均</v>
      </c>
      <c r="G561" s="2234" t="str">
        <v>OECD via FRED：INR年均汇率</v>
      </c>
      <c r="H561" s="2234" t="str">
        <v>https://fred.stlouisfed.org/data/CCUSMA02INA618N</v>
      </c>
      <c r="I561" s="2234" t="str">
        <v>1967-01-01—1967-12-31</v>
      </c>
      <c r="J561" s="2234" t="str">
        <v>historical_exchange_rates_1920_2026.xlsx</v>
      </c>
      <c r="K561" s="2234" t="str">
        <v>单位为本币／美元；中国和印度早期数据主要反映官方汇率。</v>
      </c>
      <c r="L561" s="2234" t="str">
        <v>原报价已按 1 美元兑换本币表示。</v>
      </c>
      <c r="M561" s="2234" t="str">
        <v>1967|印度卢比（INR）</v>
      </c>
      <c r="N561" s="2234" t="str">
        <v>印度卢比（INR）</v>
      </c>
      <c r="O561" s="2239" t="n">
        <v>7.5</v>
      </c>
      <c r="P561" s="2234" t="str">
        <v>LCU/USD</v>
      </c>
      <c r="Q561" s="2239" t="n">
        <v>1</v>
      </c>
      <c r="R561" s="2234" t="str">
        <v>A：机构统计／原始统计表</v>
      </c>
      <c r="S561" s="2234" t="str">
        <v>年度汇率!J53；原始记录!A423:M423</v>
      </c>
      <c r="T561" s="2234" t="str"/>
      <c r="U561" t="n" s="2231">
        <v>1973</v>
      </c>
      <c r="V561" t="str" s="2231">
        <v>加拿大元（CAD）</v>
      </c>
    </row>
    <row r="562" ht="48.0" customHeight="1">
      <c r="A562" s="2234" t="n">
        <v>1967</v>
      </c>
      <c r="B562" s="2234" t="str">
        <v>SUR_1961</v>
      </c>
      <c r="C562" s="2234" t="str">
        <v>苏联卢布（1961币制）</v>
      </c>
      <c r="D562" s="2234" t="str">
        <v>可用</v>
      </c>
      <c r="E562" s="2238" t="n">
        <v>0.9</v>
      </c>
      <c r="F562" s="2234" t="str">
        <v>官价区间参考（非年均）</v>
      </c>
      <c r="G562" s="2234" t="str">
        <v>苏联卢布历史官价表（Wikipedia转引俄央行历史档案）</v>
      </c>
      <c r="H562" s="2234" t="str">
        <v>https://en.wikipedia.org/wiki/Soviet_ruble#Exchange_rates</v>
      </c>
      <c r="I562" s="2234" t="str">
        <v>1961-01-01—1971-12-01</v>
      </c>
      <c r="J562" s="2234" t="str">
        <v>historical_exchange_rates_1920_2026.xlsx</v>
      </c>
      <c r="K562"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562" s="2234" t="str">
        <v>原报价已按 1 美元兑换本币表示。</v>
      </c>
      <c r="M562" s="2234" t="str">
        <v>1967|苏联卢布（1961币制）</v>
      </c>
      <c r="N562" s="2234" t="str">
        <v>苏联卢布（1961币制）</v>
      </c>
      <c r="O562" s="2239" t="n">
        <v>0.9</v>
      </c>
      <c r="P562" s="2234" t="str">
        <v>LCU/USD</v>
      </c>
      <c r="Q562" s="2239" t="n">
        <v>1</v>
      </c>
      <c r="R562" s="2234" t="str">
        <v>C：二手转引（原档未复核）</v>
      </c>
      <c r="S562" s="2234" t="str">
        <v>年度汇率!K53；原始记录!A424:M424</v>
      </c>
      <c r="T562" s="2234" t="str">
        <v>官价参考，并非市场年均汇率</v>
      </c>
      <c r="U562" t="n" s="2231">
        <v>1973</v>
      </c>
      <c r="V562" t="str" s="2231">
        <v>法国法郎（FRF；1960币制）</v>
      </c>
    </row>
    <row r="563" ht="15.0" customHeight="1">
      <c r="A563" s="2234" t="n">
        <v>1967</v>
      </c>
      <c r="B563" s="2234" t="str">
        <v>CNY</v>
      </c>
      <c r="C563" s="2234" t="str">
        <v>人民币元（1955币制；CNY）</v>
      </c>
      <c r="D563" s="2234" t="str">
        <v>可用</v>
      </c>
      <c r="E563" s="2238" t="n">
        <v>2.46181</v>
      </c>
      <c r="F563" s="2234" t="str">
        <v>年均</v>
      </c>
      <c r="G563" s="2234" t="str">
        <v>OECD via FRED：CNY年均汇率</v>
      </c>
      <c r="H563" s="2234" t="str">
        <v>https://fred.stlouisfed.org/data/CCUSMA02CNA618N</v>
      </c>
      <c r="I563" s="2234" t="str">
        <v>1967-01-01—1967-12-31</v>
      </c>
      <c r="J563" s="2234" t="str">
        <v>historical_exchange_rates_1920_2026.xlsx</v>
      </c>
      <c r="K563" s="2234" t="str">
        <v>单位为本币／美元；中国和印度早期数据主要反映官方汇率。</v>
      </c>
      <c r="L563" s="2234" t="str">
        <v>原报价已按 1 美元兑换本币表示。</v>
      </c>
      <c r="M563" s="2234" t="str">
        <v>1967|人民币元（1955币制；CNY）</v>
      </c>
      <c r="N563" s="2234" t="str">
        <v>人民币元（1955币制；CNY）</v>
      </c>
      <c r="O563" s="2239" t="n">
        <v>2.46181</v>
      </c>
      <c r="P563" s="2234" t="str">
        <v>LCU/USD</v>
      </c>
      <c r="Q563" s="2239" t="n">
        <v>1</v>
      </c>
      <c r="R563" s="2234" t="str">
        <v>A：机构统计／原始统计表</v>
      </c>
      <c r="S563" s="2234" t="str">
        <v>年度汇率!L53；原始记录!A425:M425</v>
      </c>
      <c r="T563" s="2234" t="str"/>
      <c r="U563" t="n" s="2231">
        <v>1973</v>
      </c>
      <c r="V563" t="str" s="2231">
        <v>西德德国马克（DEM）</v>
      </c>
    </row>
    <row r="564" ht="15.0" customHeight="1">
      <c r="A564" s="2234" t="n">
        <v>1968</v>
      </c>
      <c r="B564" s="2234" t="str">
        <v>USD</v>
      </c>
      <c r="C564" s="2234" t="str">
        <v>美元（USD）</v>
      </c>
      <c r="D564" s="2234" t="str">
        <v>可用</v>
      </c>
      <c r="E564" s="2238" t="n">
        <v>1</v>
      </c>
      <c r="F564" s="2234" t="str">
        <v>基准恒等</v>
      </c>
      <c r="G564" s="2234" t="str">
        <v>用户提供的历史汇率表</v>
      </c>
      <c r="H564" s="2234" t="str"/>
      <c r="I564" s="2234" t="str">
        <v>1968</v>
      </c>
      <c r="J564" s="2234" t="str">
        <v>historical_exchange_rates_1920_2026.xlsx</v>
      </c>
      <c r="K564" s="2234" t="str">
        <v>1 美元等于 1 美元，无外部报价。</v>
      </c>
      <c r="L564" s="2234" t="str">
        <v>美元基准，汇率恒为 1。</v>
      </c>
      <c r="M564" s="2234" t="str">
        <v>1968|美元（USD）</v>
      </c>
      <c r="N564" s="2234" t="str">
        <v>美元（USD）</v>
      </c>
      <c r="O564" s="2239"/>
      <c r="P564" s="2234" t="str"/>
      <c r="Q564" s="2239"/>
      <c r="R564" s="2234" t="str"/>
      <c r="S564" s="2234" t="str">
        <v>年度汇率!B54</v>
      </c>
      <c r="T564" s="2234" t="str"/>
      <c r="U564" t="n" s="2231">
        <v>1973</v>
      </c>
      <c r="V564" t="str" s="2231">
        <v>意大利里拉（ITL）</v>
      </c>
    </row>
    <row r="565" ht="15.0" customHeight="1">
      <c r="A565" s="2234" t="n">
        <v>1968</v>
      </c>
      <c r="B565" s="2234" t="str">
        <v>GBP</v>
      </c>
      <c r="C565" s="2234" t="str">
        <v>英镑（GBP）</v>
      </c>
      <c r="D565" s="2234" t="str">
        <v>可用</v>
      </c>
      <c r="E565" s="2238" t="n">
        <v>0.4177686958</v>
      </c>
      <c r="F565" s="2234" t="str">
        <v>年均</v>
      </c>
      <c r="G565" s="2234" t="str">
        <v>OECD via FRED：GBP年均汇率</v>
      </c>
      <c r="H565" s="2234" t="str">
        <v>https://fred.stlouisfed.org/data/CCUSMA02GBA618N</v>
      </c>
      <c r="I565" s="2234" t="str">
        <v>1968-01-01—1968-12-31</v>
      </c>
      <c r="J565" s="2234" t="str">
        <v>historical_exchange_rates_1920_2026.xlsx</v>
      </c>
      <c r="K565" s="2234" t="str">
        <v>单位为本币／美元；中国和印度早期数据主要反映官方汇率。</v>
      </c>
      <c r="L565" s="2234" t="str">
        <v>原报价已按 1 美元兑换本币表示。</v>
      </c>
      <c r="M565" s="2234" t="str">
        <v>1968|英镑（GBP）</v>
      </c>
      <c r="N565" s="2234" t="str">
        <v>英镑（GBP）</v>
      </c>
      <c r="O565" s="2239" t="n">
        <v>0.4177686958</v>
      </c>
      <c r="P565" s="2234" t="str">
        <v>LCU/USD</v>
      </c>
      <c r="Q565" s="2239" t="n">
        <v>1</v>
      </c>
      <c r="R565" s="2234" t="str">
        <v>A：机构统计／原始统计表</v>
      </c>
      <c r="S565" s="2234" t="str">
        <v>年度汇率!C54；原始记录!A426:M426</v>
      </c>
      <c r="T565" s="2234" t="str"/>
      <c r="U565" t="n" s="2231">
        <v>1973</v>
      </c>
      <c r="V565" t="str" s="2231">
        <v>日元（JPY）</v>
      </c>
    </row>
    <row r="566" ht="15.0" customHeight="1">
      <c r="A566" s="2234" t="n">
        <v>1968</v>
      </c>
      <c r="B566" s="2234" t="str">
        <v>CAD</v>
      </c>
      <c r="C566" s="2234" t="str">
        <v>加拿大元（CAD）</v>
      </c>
      <c r="D566" s="2234" t="str">
        <v>可用</v>
      </c>
      <c r="E566" s="2238" t="n">
        <v>1.0776491667</v>
      </c>
      <c r="F566" s="2234" t="str">
        <v>年均</v>
      </c>
      <c r="G566" s="2234" t="str">
        <v>OECD via FRED：CAD年均汇率</v>
      </c>
      <c r="H566" s="2234" t="str">
        <v>https://fred.stlouisfed.org/data/CCUSMA02CAA618N</v>
      </c>
      <c r="I566" s="2234" t="str">
        <v>1968-01-01—1968-12-31</v>
      </c>
      <c r="J566" s="2234" t="str">
        <v>historical_exchange_rates_1920_2026.xlsx</v>
      </c>
      <c r="K566" s="2234" t="str">
        <v>单位为本币／美元；中国和印度早期数据主要反映官方汇率。</v>
      </c>
      <c r="L566" s="2234" t="str">
        <v>原报价已按 1 美元兑换本币表示。</v>
      </c>
      <c r="M566" s="2234" t="str">
        <v>1968|加拿大元（CAD）</v>
      </c>
      <c r="N566" s="2234" t="str">
        <v>加拿大元（CAD）</v>
      </c>
      <c r="O566" s="2239" t="n">
        <v>1.0776491667</v>
      </c>
      <c r="P566" s="2234" t="str">
        <v>LCU/USD</v>
      </c>
      <c r="Q566" s="2239" t="n">
        <v>1</v>
      </c>
      <c r="R566" s="2234" t="str">
        <v>A：机构统计／原始统计表</v>
      </c>
      <c r="S566" s="2234" t="str">
        <v>年度汇率!D54；原始记录!A427:M427</v>
      </c>
      <c r="T566" s="2234" t="str"/>
      <c r="U566" t="n" s="2231">
        <v>1973</v>
      </c>
      <c r="V566" t="str" s="2231">
        <v>瑞士法郎（CHF）</v>
      </c>
    </row>
    <row r="567" ht="36.0" customHeight="1">
      <c r="A567" s="2234" t="n">
        <v>1968</v>
      </c>
      <c r="B567" s="2234" t="str">
        <v>FRF</v>
      </c>
      <c r="C567" s="2234" t="str">
        <v>法国法郎（FRF；1960币制）</v>
      </c>
      <c r="D567" s="2234" t="str">
        <v>可用</v>
      </c>
      <c r="E567" s="2238" t="n">
        <v>4.952859999905015</v>
      </c>
      <c r="F567" s="2234" t="str">
        <v>年均</v>
      </c>
      <c r="G567" s="2234" t="str">
        <v>OECD via FRED：FR年均汇率（欧元单位回溯序列）</v>
      </c>
      <c r="H567" s="2234" t="str">
        <v>https://fred.stlouisfed.org/data/CCUSMA02FRA618N</v>
      </c>
      <c r="I567" s="2234" t="str">
        <v>1968-01-01—1968-12-31</v>
      </c>
      <c r="J567" s="2234" t="str">
        <v>historical_exchange_rates_1920_2026.xlsx</v>
      </c>
      <c r="K567" s="2234" t="str">
        <v>由欧元回溯单位还原当年本币；非当年实际欧元报价。 欧元回溯单位按不可撤销转换率还原；法国1960年前另乘100。
原序列单位为回溯欧元；乘不可撤销转换率还原当年本币。法国1957–1959另乘100还原旧法郎。</v>
      </c>
      <c r="L567" s="2234" t="str">
        <v>原报价已按 1 美元兑换本币表示。乘以 6.55957，还原当年币制的计价单位。</v>
      </c>
      <c r="M567" s="2234" t="str">
        <v>1968|法国法郎（FRF；1960币制）</v>
      </c>
      <c r="N567" s="2234" t="str">
        <v>法国法郎（FRF；1960币制）</v>
      </c>
      <c r="O567" s="2239" t="n">
        <v>0.7550586395</v>
      </c>
      <c r="P567" s="2234" t="str">
        <v>LCU/USD</v>
      </c>
      <c r="Q567" s="2239" t="n">
        <v>6.55957</v>
      </c>
      <c r="R567" s="2234" t="str">
        <v>A：机构统计／原始统计表</v>
      </c>
      <c r="S567" s="2234" t="str">
        <v>年度汇率!E54；原始记录!A428:M428</v>
      </c>
      <c r="T567" s="2234" t="str"/>
      <c r="U567" t="n" s="2231">
        <v>1973</v>
      </c>
      <c r="V567" t="str" s="2231">
        <v>印度卢比（INR）</v>
      </c>
    </row>
    <row r="568" ht="36.0" customHeight="1">
      <c r="A568" s="2234" t="n">
        <v>1968</v>
      </c>
      <c r="B568" s="2234" t="str">
        <v>DEM</v>
      </c>
      <c r="C568" s="2234" t="str">
        <v>西德德国马克（DEM）</v>
      </c>
      <c r="D568" s="2234" t="str">
        <v>可用</v>
      </c>
      <c r="E568" s="2238" t="n">
        <v>3.9919633333991915</v>
      </c>
      <c r="F568" s="2234" t="str">
        <v>年均</v>
      </c>
      <c r="G568" s="2234" t="str">
        <v>OECD via FRED：DE年均汇率（欧元单位回溯序列）</v>
      </c>
      <c r="H568" s="2234" t="str">
        <v>https://fred.stlouisfed.org/data/CCUSMA02DEA618N</v>
      </c>
      <c r="I568" s="2234" t="str">
        <v>1968-01-01—1968-12-31</v>
      </c>
      <c r="J568" s="2234" t="str">
        <v>historical_exchange_rates_1920_2026.xlsx</v>
      </c>
      <c r="K568" s="2234" t="str">
        <v>由欧元回溯单位还原当年本币；非当年实际欧元报价。 欧元回溯单位按不可撤销转换率还原；法国1960年前另乘100。
原序列单位为回溯欧元；乘不可撤销转换率还原当年本币。法国1957–1959另乘100还原旧法郎。</v>
      </c>
      <c r="L568" s="2234" t="str">
        <v>原报价已按 1 美元兑换本币表示。乘以 1.95583，还原当年币制的计价单位。</v>
      </c>
      <c r="M568" s="2234" t="str">
        <v>1968|西德德国马克（DEM）</v>
      </c>
      <c r="N568" s="2234" t="str">
        <v>西德德国马克（DEM）</v>
      </c>
      <c r="O568" s="2239" t="n">
        <v>2.0410584424</v>
      </c>
      <c r="P568" s="2234" t="str">
        <v>LCU/USD</v>
      </c>
      <c r="Q568" s="2239" t="n">
        <v>1.95583</v>
      </c>
      <c r="R568" s="2234" t="str">
        <v>A：机构统计／原始统计表</v>
      </c>
      <c r="S568" s="2234" t="str">
        <v>年度汇率!F54、年度汇率!M54；原始记录!A429:M429</v>
      </c>
      <c r="T568" s="2234" t="str"/>
      <c r="U568" t="n" s="2231">
        <v>1973</v>
      </c>
      <c r="V568" t="str" s="2231">
        <v>苏联卢布（1961币制）</v>
      </c>
    </row>
    <row r="569" ht="36.0" customHeight="1">
      <c r="A569" s="2234" t="n">
        <v>1968</v>
      </c>
      <c r="B569" s="2234" t="str">
        <v>ITL</v>
      </c>
      <c r="C569" s="2234" t="str">
        <v>意大利里拉（ITL）</v>
      </c>
      <c r="D569" s="2234" t="str">
        <v>可用</v>
      </c>
      <c r="E569" s="2238" t="n">
        <v>623.397916588223</v>
      </c>
      <c r="F569" s="2234" t="str">
        <v>年均</v>
      </c>
      <c r="G569" s="2234" t="str">
        <v>OECD via FRED：IT年均汇率（欧元单位回溯序列）</v>
      </c>
      <c r="H569" s="2234" t="str">
        <v>https://fred.stlouisfed.org/data/CCUSMA02ITA618N</v>
      </c>
      <c r="I569" s="2234" t="str">
        <v>1968-01-01—1968-12-31</v>
      </c>
      <c r="J569" s="2234" t="str">
        <v>historical_exchange_rates_1920_2026.xlsx</v>
      </c>
      <c r="K569" s="2234" t="str">
        <v>由欧元回溯单位还原当年本币；非当年实际欧元报价。 欧元回溯单位按不可撤销转换率还原；法国1960年前另乘100。
原序列单位为回溯欧元；乘不可撤销转换率还原当年本币。法国1957–1959另乘100还原旧法郎。</v>
      </c>
      <c r="L569" s="2234" t="str">
        <v>原报价已按 1 美元兑换本币表示。乘以 1936.27，还原当年币制的计价单位。</v>
      </c>
      <c r="M569" s="2234" t="str">
        <v>1968|意大利里拉（ITL）</v>
      </c>
      <c r="N569" s="2234" t="str">
        <v>意大利里拉（ITL）</v>
      </c>
      <c r="O569" s="2239" t="n">
        <v>0.3219581549</v>
      </c>
      <c r="P569" s="2234" t="str">
        <v>LCU/USD</v>
      </c>
      <c r="Q569" s="2239" t="n">
        <v>1936.27</v>
      </c>
      <c r="R569" s="2234" t="str">
        <v>A：机构统计／原始统计表</v>
      </c>
      <c r="S569" s="2234" t="str">
        <v>年度汇率!G54；原始记录!A430:M430</v>
      </c>
      <c r="T569" s="2234" t="str"/>
      <c r="U569" t="n" s="2231">
        <v>1973</v>
      </c>
      <c r="V569" t="str" s="2231">
        <v>人民币元（1955币制；CNY）</v>
      </c>
    </row>
    <row r="570" ht="15.0" customHeight="1">
      <c r="A570" s="2234" t="n">
        <v>1968</v>
      </c>
      <c r="B570" s="2234" t="str">
        <v>JPY</v>
      </c>
      <c r="C570" s="2234" t="str">
        <v>日元（JPY）</v>
      </c>
      <c r="D570" s="2234" t="str">
        <v>可用</v>
      </c>
      <c r="E570" s="2238" t="n">
        <v>360.56</v>
      </c>
      <c r="F570" s="2234" t="str">
        <v>年均</v>
      </c>
      <c r="G570" s="2234" t="str">
        <v>MeasuringWorth：日本年均汇率</v>
      </c>
      <c r="H570" s="2234" t="str">
        <v>https://www.measuringworth.com/datasets/exchangeglobal/result.php?countryE%5B%5D=Japan&amp;year_result=2016&amp;year_source=1916</v>
      </c>
      <c r="I570" s="2234" t="str">
        <v>1968-01-01—1968-12-31</v>
      </c>
      <c r="J570" s="2234" t="str">
        <v>historical_exchange_rates_1920_2026.xlsx</v>
      </c>
      <c r="K570" s="2234" t="str">
        <v>以纽约市场年度平均报价为主；保留原表精度。</v>
      </c>
      <c r="L570" s="2234" t="str">
        <v>原报价已按 1 美元兑换本币表示。</v>
      </c>
      <c r="M570" s="2234" t="str">
        <v>1968|日元（JPY）</v>
      </c>
      <c r="N570" s="2234" t="str">
        <v>日元（JPY）</v>
      </c>
      <c r="O570" s="2239" t="n">
        <v>360.56</v>
      </c>
      <c r="P570" s="2234" t="str">
        <v>LCU/USD</v>
      </c>
      <c r="Q570" s="2239" t="n">
        <v>1</v>
      </c>
      <c r="R570" s="2234" t="str">
        <v>B：学术历史汇编</v>
      </c>
      <c r="S570" s="2234" t="str">
        <v>年度汇率!H54；原始记录!A431:M431</v>
      </c>
      <c r="T570" s="2234" t="str"/>
      <c r="U570" t="n" s="2231">
        <v>1974</v>
      </c>
      <c r="V570" t="str" s="2231">
        <v>美元（USD）</v>
      </c>
    </row>
    <row r="571" ht="15.0" customHeight="1">
      <c r="A571" s="2234" t="n">
        <v>1968</v>
      </c>
      <c r="B571" s="2234" t="str">
        <v>CHF</v>
      </c>
      <c r="C571" s="2234" t="str">
        <v>瑞士法郎（CHF）</v>
      </c>
      <c r="D571" s="2234" t="str">
        <v>可用</v>
      </c>
      <c r="E571" s="2238" t="n">
        <v>4.316325</v>
      </c>
      <c r="F571" s="2234" t="str">
        <v>年均</v>
      </c>
      <c r="G571" s="2234" t="str">
        <v>OECD via FRED：CHF年均汇率</v>
      </c>
      <c r="H571" s="2234" t="str">
        <v>https://fred.stlouisfed.org/data/CCUSMA02CHA618N</v>
      </c>
      <c r="I571" s="2234" t="str">
        <v>1968-01-01—1968-12-31</v>
      </c>
      <c r="J571" s="2234" t="str">
        <v>historical_exchange_rates_1920_2026.xlsx</v>
      </c>
      <c r="K571" s="2234" t="str">
        <v>单位为本币／美元；中国和印度早期数据主要反映官方汇率。</v>
      </c>
      <c r="L571" s="2234" t="str">
        <v>原报价已按 1 美元兑换本币表示。</v>
      </c>
      <c r="M571" s="2234" t="str">
        <v>1968|瑞士法郎（CHF）</v>
      </c>
      <c r="N571" s="2234" t="str">
        <v>瑞士法郎（CHF）</v>
      </c>
      <c r="O571" s="2239" t="n">
        <v>4.316325</v>
      </c>
      <c r="P571" s="2234" t="str">
        <v>LCU/USD</v>
      </c>
      <c r="Q571" s="2239" t="n">
        <v>1</v>
      </c>
      <c r="R571" s="2234" t="str">
        <v>A：机构统计／原始统计表</v>
      </c>
      <c r="S571" s="2234" t="str">
        <v>年度汇率!I54；原始记录!A432:M432</v>
      </c>
      <c r="T571" s="2234" t="str"/>
      <c r="U571" t="n" s="2231">
        <v>1974</v>
      </c>
      <c r="V571" t="str" s="2231">
        <v>英镑（GBP）</v>
      </c>
    </row>
    <row r="572" ht="15.0" customHeight="1">
      <c r="A572" s="2234" t="n">
        <v>1968</v>
      </c>
      <c r="B572" s="2234" t="str">
        <v>INR</v>
      </c>
      <c r="C572" s="2234" t="str">
        <v>印度卢比（INR）</v>
      </c>
      <c r="D572" s="2234" t="str">
        <v>可用</v>
      </c>
      <c r="E572" s="2238" t="n">
        <v>7.5</v>
      </c>
      <c r="F572" s="2234" t="str">
        <v>年均</v>
      </c>
      <c r="G572" s="2234" t="str">
        <v>OECD via FRED：INR年均汇率</v>
      </c>
      <c r="H572" s="2234" t="str">
        <v>https://fred.stlouisfed.org/data/CCUSMA02INA618N</v>
      </c>
      <c r="I572" s="2234" t="str">
        <v>1968-01-01—1968-12-31</v>
      </c>
      <c r="J572" s="2234" t="str">
        <v>historical_exchange_rates_1920_2026.xlsx</v>
      </c>
      <c r="K572" s="2234" t="str">
        <v>单位为本币／美元；中国和印度早期数据主要反映官方汇率。</v>
      </c>
      <c r="L572" s="2234" t="str">
        <v>原报价已按 1 美元兑换本币表示。</v>
      </c>
      <c r="M572" s="2234" t="str">
        <v>1968|印度卢比（INR）</v>
      </c>
      <c r="N572" s="2234" t="str">
        <v>印度卢比（INR）</v>
      </c>
      <c r="O572" s="2239" t="n">
        <v>7.5</v>
      </c>
      <c r="P572" s="2234" t="str">
        <v>LCU/USD</v>
      </c>
      <c r="Q572" s="2239" t="n">
        <v>1</v>
      </c>
      <c r="R572" s="2234" t="str">
        <v>A：机构统计／原始统计表</v>
      </c>
      <c r="S572" s="2234" t="str">
        <v>年度汇率!J54；原始记录!A433:M433</v>
      </c>
      <c r="T572" s="2234" t="str"/>
      <c r="U572" t="n" s="2231">
        <v>1974</v>
      </c>
      <c r="V572" t="str" s="2231">
        <v>加拿大元（CAD）</v>
      </c>
    </row>
    <row r="573" ht="48.0" customHeight="1">
      <c r="A573" s="2234" t="n">
        <v>1968</v>
      </c>
      <c r="B573" s="2234" t="str">
        <v>SUR_1961</v>
      </c>
      <c r="C573" s="2234" t="str">
        <v>苏联卢布（1961币制）</v>
      </c>
      <c r="D573" s="2234" t="str">
        <v>可用</v>
      </c>
      <c r="E573" s="2238" t="n">
        <v>0.9</v>
      </c>
      <c r="F573" s="2234" t="str">
        <v>官价区间参考（非年均）</v>
      </c>
      <c r="G573" s="2234" t="str">
        <v>苏联卢布历史官价表（Wikipedia转引俄央行历史档案）</v>
      </c>
      <c r="H573" s="2234" t="str">
        <v>https://en.wikipedia.org/wiki/Soviet_ruble#Exchange_rates</v>
      </c>
      <c r="I573" s="2234" t="str">
        <v>1961-01-01—1971-12-01</v>
      </c>
      <c r="J573" s="2234" t="str">
        <v>historical_exchange_rates_1920_2026.xlsx</v>
      </c>
      <c r="K573"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573" s="2234" t="str">
        <v>原报价已按 1 美元兑换本币表示。</v>
      </c>
      <c r="M573" s="2234" t="str">
        <v>1968|苏联卢布（1961币制）</v>
      </c>
      <c r="N573" s="2234" t="str">
        <v>苏联卢布（1961币制）</v>
      </c>
      <c r="O573" s="2239" t="n">
        <v>0.9</v>
      </c>
      <c r="P573" s="2234" t="str">
        <v>LCU/USD</v>
      </c>
      <c r="Q573" s="2239" t="n">
        <v>1</v>
      </c>
      <c r="R573" s="2234" t="str">
        <v>C：二手转引（原档未复核）</v>
      </c>
      <c r="S573" s="2234" t="str">
        <v>年度汇率!K54；原始记录!A434:M434</v>
      </c>
      <c r="T573" s="2234" t="str">
        <v>官价参考，并非市场年均汇率</v>
      </c>
      <c r="U573" t="n" s="2231">
        <v>1974</v>
      </c>
      <c r="V573" t="str" s="2231">
        <v>法国法郎（FRF；1960币制）</v>
      </c>
    </row>
    <row r="574" ht="15.0" customHeight="1">
      <c r="A574" s="2234" t="n">
        <v>1968</v>
      </c>
      <c r="B574" s="2234" t="str">
        <v>CNY</v>
      </c>
      <c r="C574" s="2234" t="str">
        <v>人民币元（1955币制；CNY）</v>
      </c>
      <c r="D574" s="2234" t="str">
        <v>可用</v>
      </c>
      <c r="E574" s="2238" t="n">
        <v>2.46181</v>
      </c>
      <c r="F574" s="2234" t="str">
        <v>年均</v>
      </c>
      <c r="G574" s="2234" t="str">
        <v>OECD via FRED：CNY年均汇率</v>
      </c>
      <c r="H574" s="2234" t="str">
        <v>https://fred.stlouisfed.org/data/CCUSMA02CNA618N</v>
      </c>
      <c r="I574" s="2234" t="str">
        <v>1968-01-01—1968-12-31</v>
      </c>
      <c r="J574" s="2234" t="str">
        <v>historical_exchange_rates_1920_2026.xlsx</v>
      </c>
      <c r="K574" s="2234" t="str">
        <v>单位为本币／美元；中国和印度早期数据主要反映官方汇率。</v>
      </c>
      <c r="L574" s="2234" t="str">
        <v>原报价已按 1 美元兑换本币表示。</v>
      </c>
      <c r="M574" s="2234" t="str">
        <v>1968|人民币元（1955币制；CNY）</v>
      </c>
      <c r="N574" s="2234" t="str">
        <v>人民币元（1955币制；CNY）</v>
      </c>
      <c r="O574" s="2239" t="n">
        <v>2.46181</v>
      </c>
      <c r="P574" s="2234" t="str">
        <v>LCU/USD</v>
      </c>
      <c r="Q574" s="2239" t="n">
        <v>1</v>
      </c>
      <c r="R574" s="2234" t="str">
        <v>A：机构统计／原始统计表</v>
      </c>
      <c r="S574" s="2234" t="str">
        <v>年度汇率!L54；原始记录!A435:M435</v>
      </c>
      <c r="T574" s="2234" t="str"/>
      <c r="U574" t="n" s="2231">
        <v>1974</v>
      </c>
      <c r="V574" t="str" s="2231">
        <v>西德德国马克（DEM）</v>
      </c>
    </row>
    <row r="575" ht="15.0" customHeight="1">
      <c r="A575" s="2234" t="n">
        <v>1969</v>
      </c>
      <c r="B575" s="2234" t="str">
        <v>USD</v>
      </c>
      <c r="C575" s="2234" t="str">
        <v>美元（USD）</v>
      </c>
      <c r="D575" s="2234" t="str">
        <v>可用</v>
      </c>
      <c r="E575" s="2238" t="n">
        <v>1</v>
      </c>
      <c r="F575" s="2234" t="str">
        <v>基准恒等</v>
      </c>
      <c r="G575" s="2234" t="str">
        <v>用户提供的历史汇率表</v>
      </c>
      <c r="H575" s="2234" t="str"/>
      <c r="I575" s="2234" t="str">
        <v>1969</v>
      </c>
      <c r="J575" s="2234" t="str">
        <v>historical_exchange_rates_1920_2026.xlsx</v>
      </c>
      <c r="K575" s="2234" t="str">
        <v>1 美元等于 1 美元，无外部报价。</v>
      </c>
      <c r="L575" s="2234" t="str">
        <v>美元基准，汇率恒为 1。</v>
      </c>
      <c r="M575" s="2234" t="str">
        <v>1969|美元（USD）</v>
      </c>
      <c r="N575" s="2234" t="str">
        <v>美元（USD）</v>
      </c>
      <c r="O575" s="2239"/>
      <c r="P575" s="2234" t="str"/>
      <c r="Q575" s="2239"/>
      <c r="R575" s="2234" t="str"/>
      <c r="S575" s="2234" t="str">
        <v>年度汇率!B55</v>
      </c>
      <c r="T575" s="2234" t="str"/>
      <c r="U575" t="n" s="2231">
        <v>1974</v>
      </c>
      <c r="V575" t="str" s="2231">
        <v>意大利里拉（ITL）</v>
      </c>
    </row>
    <row r="576" ht="15.0" customHeight="1">
      <c r="A576" s="2234" t="n">
        <v>1969</v>
      </c>
      <c r="B576" s="2234" t="str">
        <v>GBP</v>
      </c>
      <c r="C576" s="2234" t="str">
        <v>英镑（GBP）</v>
      </c>
      <c r="D576" s="2234" t="str">
        <v>可用</v>
      </c>
      <c r="E576" s="2238" t="n">
        <v>0.4183513617</v>
      </c>
      <c r="F576" s="2234" t="str">
        <v>年均</v>
      </c>
      <c r="G576" s="2234" t="str">
        <v>OECD via FRED：GBP年均汇率</v>
      </c>
      <c r="H576" s="2234" t="str">
        <v>https://fred.stlouisfed.org/data/CCUSMA02GBA618N</v>
      </c>
      <c r="I576" s="2234" t="str">
        <v>1969-01-01—1969-12-31</v>
      </c>
      <c r="J576" s="2234" t="str">
        <v>historical_exchange_rates_1920_2026.xlsx</v>
      </c>
      <c r="K576" s="2234" t="str">
        <v>单位为本币／美元；中国和印度早期数据主要反映官方汇率。</v>
      </c>
      <c r="L576" s="2234" t="str">
        <v>原报价已按 1 美元兑换本币表示。</v>
      </c>
      <c r="M576" s="2234" t="str">
        <v>1969|英镑（GBP）</v>
      </c>
      <c r="N576" s="2234" t="str">
        <v>英镑（GBP）</v>
      </c>
      <c r="O576" s="2239" t="n">
        <v>0.4183513617</v>
      </c>
      <c r="P576" s="2234" t="str">
        <v>LCU/USD</v>
      </c>
      <c r="Q576" s="2239" t="n">
        <v>1</v>
      </c>
      <c r="R576" s="2234" t="str">
        <v>A：机构统计／原始统计表</v>
      </c>
      <c r="S576" s="2234" t="str">
        <v>年度汇率!C55；原始记录!A436:M436</v>
      </c>
      <c r="T576" s="2234" t="str"/>
      <c r="U576" t="n" s="2231">
        <v>1974</v>
      </c>
      <c r="V576" t="str" s="2231">
        <v>日元（JPY）</v>
      </c>
    </row>
    <row r="577" ht="15.0" customHeight="1">
      <c r="A577" s="2234" t="n">
        <v>1969</v>
      </c>
      <c r="B577" s="2234" t="str">
        <v>CAD</v>
      </c>
      <c r="C577" s="2234" t="str">
        <v>加拿大元（CAD）</v>
      </c>
      <c r="D577" s="2234" t="str">
        <v>可用</v>
      </c>
      <c r="E577" s="2238" t="n">
        <v>1.0769308333</v>
      </c>
      <c r="F577" s="2234" t="str">
        <v>年均</v>
      </c>
      <c r="G577" s="2234" t="str">
        <v>OECD via FRED：CAD年均汇率</v>
      </c>
      <c r="H577" s="2234" t="str">
        <v>https://fred.stlouisfed.org/data/CCUSMA02CAA618N</v>
      </c>
      <c r="I577" s="2234" t="str">
        <v>1969-01-01—1969-12-31</v>
      </c>
      <c r="J577" s="2234" t="str">
        <v>historical_exchange_rates_1920_2026.xlsx</v>
      </c>
      <c r="K577" s="2234" t="str">
        <v>单位为本币／美元；中国和印度早期数据主要反映官方汇率。</v>
      </c>
      <c r="L577" s="2234" t="str">
        <v>原报价已按 1 美元兑换本币表示。</v>
      </c>
      <c r="M577" s="2234" t="str">
        <v>1969|加拿大元（CAD）</v>
      </c>
      <c r="N577" s="2234" t="str">
        <v>加拿大元（CAD）</v>
      </c>
      <c r="O577" s="2239" t="n">
        <v>1.0769308333</v>
      </c>
      <c r="P577" s="2234" t="str">
        <v>LCU/USD</v>
      </c>
      <c r="Q577" s="2239" t="n">
        <v>1</v>
      </c>
      <c r="R577" s="2234" t="str">
        <v>A：机构统计／原始统计表</v>
      </c>
      <c r="S577" s="2234" t="str">
        <v>年度汇率!D55；原始记录!A437:M437</v>
      </c>
      <c r="T577" s="2234" t="str"/>
      <c r="U577" t="n" s="2231">
        <v>1974</v>
      </c>
      <c r="V577" t="str" s="2231">
        <v>瑞士法郎（CHF）</v>
      </c>
    </row>
    <row r="578" ht="36.0" customHeight="1">
      <c r="A578" s="2234" t="n">
        <v>1969</v>
      </c>
      <c r="B578" s="2234" t="str">
        <v>FRF</v>
      </c>
      <c r="C578" s="2234" t="str">
        <v>法国法郎（FRF；1960币制）</v>
      </c>
      <c r="D578" s="2234" t="str">
        <v>可用</v>
      </c>
      <c r="E578" s="2238" t="n">
        <v>5.199895833145915</v>
      </c>
      <c r="F578" s="2234" t="str">
        <v>年均</v>
      </c>
      <c r="G578" s="2234" t="str">
        <v>OECD via FRED：FR年均汇率（欧元单位回溯序列）</v>
      </c>
      <c r="H578" s="2234" t="str">
        <v>https://fred.stlouisfed.org/data/CCUSMA02FRA618N</v>
      </c>
      <c r="I578" s="2234" t="str">
        <v>1969-01-01—1969-12-31</v>
      </c>
      <c r="J578" s="2234" t="str">
        <v>historical_exchange_rates_1920_2026.xlsx</v>
      </c>
      <c r="K578" s="2234" t="str">
        <v>由欧元回溯单位还原当年本币；非当年实际欧元报价。 欧元回溯单位按不可撤销转换率还原；法国1960年前另乘100。
原序列单位为回溯欧元；乘不可撤销转换率还原当年本币。法国1957–1959另乘100还原旧法郎。</v>
      </c>
      <c r="L578" s="2234" t="str">
        <v>原报价已按 1 美元兑换本币表示。乘以 6.55957，还原当年币制的计价单位。</v>
      </c>
      <c r="M578" s="2234" t="str">
        <v>1969|法国法郎（FRF；1960币制）</v>
      </c>
      <c r="N578" s="2234" t="str">
        <v>法国法郎（FRF；1960币制）</v>
      </c>
      <c r="O578" s="2239" t="n">
        <v>0.7927190095</v>
      </c>
      <c r="P578" s="2234" t="str">
        <v>LCU/USD</v>
      </c>
      <c r="Q578" s="2239" t="n">
        <v>6.55957</v>
      </c>
      <c r="R578" s="2234" t="str">
        <v>A：机构统计／原始统计表</v>
      </c>
      <c r="S578" s="2234" t="str">
        <v>年度汇率!E55；原始记录!A438:M438</v>
      </c>
      <c r="T578" s="2234" t="str"/>
      <c r="U578" t="n" s="2231">
        <v>1974</v>
      </c>
      <c r="V578" t="str" s="2231">
        <v>印度卢比（INR）</v>
      </c>
    </row>
    <row r="579" ht="36.0" customHeight="1">
      <c r="A579" s="2234" t="n">
        <v>1969</v>
      </c>
      <c r="B579" s="2234" t="str">
        <v>DEM</v>
      </c>
      <c r="C579" s="2234" t="str">
        <v>西德德国马克（DEM）</v>
      </c>
      <c r="D579" s="2234" t="str">
        <v>可用</v>
      </c>
      <c r="E579" s="2238" t="n">
        <v>3.925083333427362</v>
      </c>
      <c r="F579" s="2234" t="str">
        <v>年均</v>
      </c>
      <c r="G579" s="2234" t="str">
        <v>OECD via FRED：DE年均汇率（欧元单位回溯序列）</v>
      </c>
      <c r="H579" s="2234" t="str">
        <v>https://fred.stlouisfed.org/data/CCUSMA02DEA618N</v>
      </c>
      <c r="I579" s="2234" t="str">
        <v>1969-01-01—1969-12-31</v>
      </c>
      <c r="J579" s="2234" t="str">
        <v>historical_exchange_rates_1920_2026.xlsx</v>
      </c>
      <c r="K579" s="2234" t="str">
        <v>由欧元回溯单位还原当年本币；非当年实际欧元报价。 欧元回溯单位按不可撤销转换率还原；法国1960年前另乘100。
原序列单位为回溯欧元；乘不可撤销转换率还原当年本币。法国1957–1959另乘100还原旧法郎。</v>
      </c>
      <c r="L579" s="2234" t="str">
        <v>原报价已按 1 美元兑换本币表示。乘以 1.95583，还原当年币制的计价单位。</v>
      </c>
      <c r="M579" s="2234" t="str">
        <v>1969|西德德国马克（DEM）</v>
      </c>
      <c r="N579" s="2234" t="str">
        <v>西德德国马克（DEM）</v>
      </c>
      <c r="O579" s="2239" t="n">
        <v>2.0068632414</v>
      </c>
      <c r="P579" s="2234" t="str">
        <v>LCU/USD</v>
      </c>
      <c r="Q579" s="2239" t="n">
        <v>1.95583</v>
      </c>
      <c r="R579" s="2234" t="str">
        <v>A：机构统计／原始统计表</v>
      </c>
      <c r="S579" s="2234" t="str">
        <v>年度汇率!F55、年度汇率!M55；原始记录!A439:M439</v>
      </c>
      <c r="T579" s="2234" t="str"/>
      <c r="U579" t="n" s="2231">
        <v>1974</v>
      </c>
      <c r="V579" t="str" s="2231">
        <v>苏联卢布（1961币制）</v>
      </c>
    </row>
    <row r="580" ht="36.0" customHeight="1">
      <c r="A580" s="2234" t="n">
        <v>1969</v>
      </c>
      <c r="B580" s="2234" t="str">
        <v>ITL</v>
      </c>
      <c r="C580" s="2234" t="str">
        <v>意大利里拉（ITL）</v>
      </c>
      <c r="D580" s="2234" t="str">
        <v>可用</v>
      </c>
      <c r="E580" s="2238" t="n">
        <v>627.319583243409</v>
      </c>
      <c r="F580" s="2234" t="str">
        <v>年均</v>
      </c>
      <c r="G580" s="2234" t="str">
        <v>OECD via FRED：IT年均汇率（欧元单位回溯序列）</v>
      </c>
      <c r="H580" s="2234" t="str">
        <v>https://fred.stlouisfed.org/data/CCUSMA02ITA618N</v>
      </c>
      <c r="I580" s="2234" t="str">
        <v>1969-01-01—1969-12-31</v>
      </c>
      <c r="J580" s="2234" t="str">
        <v>historical_exchange_rates_1920_2026.xlsx</v>
      </c>
      <c r="K580" s="2234" t="str">
        <v>由欧元回溯单位还原当年本币；非当年实际欧元报价。 欧元回溯单位按不可撤销转换率还原；法国1960年前另乘100。
原序列单位为回溯欧元；乘不可撤销转换率还原当年本币。法国1957–1959另乘100还原旧法郎。</v>
      </c>
      <c r="L580" s="2234" t="str">
        <v>原报价已按 1 美元兑换本币表示。乘以 1936.27，还原当年币制的计价单位。</v>
      </c>
      <c r="M580" s="2234" t="str">
        <v>1969|意大利里拉（ITL）</v>
      </c>
      <c r="N580" s="2234" t="str">
        <v>意大利里拉（ITL）</v>
      </c>
      <c r="O580" s="2239" t="n">
        <v>0.3239835267</v>
      </c>
      <c r="P580" s="2234" t="str">
        <v>LCU/USD</v>
      </c>
      <c r="Q580" s="2239" t="n">
        <v>1936.27</v>
      </c>
      <c r="R580" s="2234" t="str">
        <v>A：机构统计／原始统计表</v>
      </c>
      <c r="S580" s="2234" t="str">
        <v>年度汇率!G55；原始记录!A440:M440</v>
      </c>
      <c r="T580" s="2234" t="str"/>
      <c r="U580" t="n" s="2231">
        <v>1974</v>
      </c>
      <c r="V580" t="str" s="2231">
        <v>人民币元（1955币制；CNY）</v>
      </c>
    </row>
    <row r="581" ht="15.0" customHeight="1">
      <c r="A581" s="2234" t="n">
        <v>1969</v>
      </c>
      <c r="B581" s="2234" t="str">
        <v>JPY</v>
      </c>
      <c r="C581" s="2234" t="str">
        <v>日元（JPY）</v>
      </c>
      <c r="D581" s="2234" t="str">
        <v>可用</v>
      </c>
      <c r="E581" s="2238" t="n">
        <v>358.38</v>
      </c>
      <c r="F581" s="2234" t="str">
        <v>年均</v>
      </c>
      <c r="G581" s="2234" t="str">
        <v>MeasuringWorth：日本年均汇率</v>
      </c>
      <c r="H581" s="2234" t="str">
        <v>https://www.measuringworth.com/datasets/exchangeglobal/result.php?countryE%5B%5D=Japan&amp;year_result=2016&amp;year_source=1916</v>
      </c>
      <c r="I581" s="2234" t="str">
        <v>1969-01-01—1969-12-31</v>
      </c>
      <c r="J581" s="2234" t="str">
        <v>historical_exchange_rates_1920_2026.xlsx</v>
      </c>
      <c r="K581" s="2234" t="str">
        <v>以纽约市场年度平均报价为主；保留原表精度。</v>
      </c>
      <c r="L581" s="2234" t="str">
        <v>原报价已按 1 美元兑换本币表示。</v>
      </c>
      <c r="M581" s="2234" t="str">
        <v>1969|日元（JPY）</v>
      </c>
      <c r="N581" s="2234" t="str">
        <v>日元（JPY）</v>
      </c>
      <c r="O581" s="2239" t="n">
        <v>358.38</v>
      </c>
      <c r="P581" s="2234" t="str">
        <v>LCU/USD</v>
      </c>
      <c r="Q581" s="2239" t="n">
        <v>1</v>
      </c>
      <c r="R581" s="2234" t="str">
        <v>B：学术历史汇编</v>
      </c>
      <c r="S581" s="2234" t="str">
        <v>年度汇率!H55；原始记录!A441:M441</v>
      </c>
      <c r="T581" s="2234" t="str"/>
      <c r="U581" t="n" s="2231">
        <v>1975</v>
      </c>
      <c r="V581" t="str" s="2231">
        <v>美元（USD）</v>
      </c>
    </row>
    <row r="582" ht="15.0" customHeight="1">
      <c r="A582" s="2234" t="n">
        <v>1969</v>
      </c>
      <c r="B582" s="2234" t="str">
        <v>CHF</v>
      </c>
      <c r="C582" s="2234" t="str">
        <v>瑞士法郎（CHF）</v>
      </c>
      <c r="D582" s="2234" t="str">
        <v>可用</v>
      </c>
      <c r="E582" s="2238" t="n">
        <v>4.31315</v>
      </c>
      <c r="F582" s="2234" t="str">
        <v>年均</v>
      </c>
      <c r="G582" s="2234" t="str">
        <v>OECD via FRED：CHF年均汇率</v>
      </c>
      <c r="H582" s="2234" t="str">
        <v>https://fred.stlouisfed.org/data/CCUSMA02CHA618N</v>
      </c>
      <c r="I582" s="2234" t="str">
        <v>1969-01-01—1969-12-31</v>
      </c>
      <c r="J582" s="2234" t="str">
        <v>historical_exchange_rates_1920_2026.xlsx</v>
      </c>
      <c r="K582" s="2234" t="str">
        <v>单位为本币／美元；中国和印度早期数据主要反映官方汇率。</v>
      </c>
      <c r="L582" s="2234" t="str">
        <v>原报价已按 1 美元兑换本币表示。</v>
      </c>
      <c r="M582" s="2234" t="str">
        <v>1969|瑞士法郎（CHF）</v>
      </c>
      <c r="N582" s="2234" t="str">
        <v>瑞士法郎（CHF）</v>
      </c>
      <c r="O582" s="2239" t="n">
        <v>4.31315</v>
      </c>
      <c r="P582" s="2234" t="str">
        <v>LCU/USD</v>
      </c>
      <c r="Q582" s="2239" t="n">
        <v>1</v>
      </c>
      <c r="R582" s="2234" t="str">
        <v>A：机构统计／原始统计表</v>
      </c>
      <c r="S582" s="2234" t="str">
        <v>年度汇率!I55；原始记录!A442:M442</v>
      </c>
      <c r="T582" s="2234" t="str"/>
      <c r="U582" t="n" s="2231">
        <v>1975</v>
      </c>
      <c r="V582" t="str" s="2231">
        <v>英镑（GBP）</v>
      </c>
    </row>
    <row r="583" ht="15.0" customHeight="1">
      <c r="A583" s="2234" t="n">
        <v>1969</v>
      </c>
      <c r="B583" s="2234" t="str">
        <v>INR</v>
      </c>
      <c r="C583" s="2234" t="str">
        <v>印度卢比（INR）</v>
      </c>
      <c r="D583" s="2234" t="str">
        <v>可用</v>
      </c>
      <c r="E583" s="2238" t="n">
        <v>7.5</v>
      </c>
      <c r="F583" s="2234" t="str">
        <v>年均</v>
      </c>
      <c r="G583" s="2234" t="str">
        <v>OECD via FRED：INR年均汇率</v>
      </c>
      <c r="H583" s="2234" t="str">
        <v>https://fred.stlouisfed.org/data/CCUSMA02INA618N</v>
      </c>
      <c r="I583" s="2234" t="str">
        <v>1969-01-01—1969-12-31</v>
      </c>
      <c r="J583" s="2234" t="str">
        <v>historical_exchange_rates_1920_2026.xlsx</v>
      </c>
      <c r="K583" s="2234" t="str">
        <v>单位为本币／美元；中国和印度早期数据主要反映官方汇率。</v>
      </c>
      <c r="L583" s="2234" t="str">
        <v>原报价已按 1 美元兑换本币表示。</v>
      </c>
      <c r="M583" s="2234" t="str">
        <v>1969|印度卢比（INR）</v>
      </c>
      <c r="N583" s="2234" t="str">
        <v>印度卢比（INR）</v>
      </c>
      <c r="O583" s="2239" t="n">
        <v>7.5</v>
      </c>
      <c r="P583" s="2234" t="str">
        <v>LCU/USD</v>
      </c>
      <c r="Q583" s="2239" t="n">
        <v>1</v>
      </c>
      <c r="R583" s="2234" t="str">
        <v>A：机构统计／原始统计表</v>
      </c>
      <c r="S583" s="2234" t="str">
        <v>年度汇率!J55；原始记录!A443:M443</v>
      </c>
      <c r="T583" s="2234" t="str"/>
      <c r="U583" t="n" s="2231">
        <v>1975</v>
      </c>
      <c r="V583" t="str" s="2231">
        <v>加拿大元（CAD）</v>
      </c>
    </row>
    <row r="584" ht="48.0" customHeight="1">
      <c r="A584" s="2234" t="n">
        <v>1969</v>
      </c>
      <c r="B584" s="2234" t="str">
        <v>SUR_1961</v>
      </c>
      <c r="C584" s="2234" t="str">
        <v>苏联卢布（1961币制）</v>
      </c>
      <c r="D584" s="2234" t="str">
        <v>可用</v>
      </c>
      <c r="E584" s="2238" t="n">
        <v>0.9</v>
      </c>
      <c r="F584" s="2234" t="str">
        <v>官价区间参考（非年均）</v>
      </c>
      <c r="G584" s="2234" t="str">
        <v>苏联卢布历史官价表（Wikipedia转引俄央行历史档案）</v>
      </c>
      <c r="H584" s="2234" t="str">
        <v>https://en.wikipedia.org/wiki/Soviet_ruble#Exchange_rates</v>
      </c>
      <c r="I584" s="2234" t="str">
        <v>1961-01-01—1971-12-01</v>
      </c>
      <c r="J584" s="2234" t="str">
        <v>historical_exchange_rates_1920_2026.xlsx</v>
      </c>
      <c r="K584"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584" s="2234" t="str">
        <v>原报价已按 1 美元兑换本币表示。</v>
      </c>
      <c r="M584" s="2234" t="str">
        <v>1969|苏联卢布（1961币制）</v>
      </c>
      <c r="N584" s="2234" t="str">
        <v>苏联卢布（1961币制）</v>
      </c>
      <c r="O584" s="2239" t="n">
        <v>0.9</v>
      </c>
      <c r="P584" s="2234" t="str">
        <v>LCU/USD</v>
      </c>
      <c r="Q584" s="2239" t="n">
        <v>1</v>
      </c>
      <c r="R584" s="2234" t="str">
        <v>C：二手转引（原档未复核）</v>
      </c>
      <c r="S584" s="2234" t="str">
        <v>年度汇率!K55；原始记录!A444:M444</v>
      </c>
      <c r="T584" s="2234" t="str">
        <v>官价参考，并非市场年均汇率</v>
      </c>
      <c r="U584" t="n" s="2231">
        <v>1975</v>
      </c>
      <c r="V584" t="str" s="2231">
        <v>法国法郎（FRF；1960币制）</v>
      </c>
    </row>
    <row r="585" ht="15.0" customHeight="1">
      <c r="A585" s="2234" t="n">
        <v>1969</v>
      </c>
      <c r="B585" s="2234" t="str">
        <v>CNY</v>
      </c>
      <c r="C585" s="2234" t="str">
        <v>人民币元（1955币制；CNY）</v>
      </c>
      <c r="D585" s="2234" t="str">
        <v>可用</v>
      </c>
      <c r="E585" s="2238" t="n">
        <v>2.46181</v>
      </c>
      <c r="F585" s="2234" t="str">
        <v>年均</v>
      </c>
      <c r="G585" s="2234" t="str">
        <v>OECD via FRED：CNY年均汇率</v>
      </c>
      <c r="H585" s="2234" t="str">
        <v>https://fred.stlouisfed.org/data/CCUSMA02CNA618N</v>
      </c>
      <c r="I585" s="2234" t="str">
        <v>1969-01-01—1969-12-31</v>
      </c>
      <c r="J585" s="2234" t="str">
        <v>historical_exchange_rates_1920_2026.xlsx</v>
      </c>
      <c r="K585" s="2234" t="str">
        <v>单位为本币／美元；中国和印度早期数据主要反映官方汇率。</v>
      </c>
      <c r="L585" s="2234" t="str">
        <v>原报价已按 1 美元兑换本币表示。</v>
      </c>
      <c r="M585" s="2234" t="str">
        <v>1969|人民币元（1955币制；CNY）</v>
      </c>
      <c r="N585" s="2234" t="str">
        <v>人民币元（1955币制；CNY）</v>
      </c>
      <c r="O585" s="2239" t="n">
        <v>2.46181</v>
      </c>
      <c r="P585" s="2234" t="str">
        <v>LCU/USD</v>
      </c>
      <c r="Q585" s="2239" t="n">
        <v>1</v>
      </c>
      <c r="R585" s="2234" t="str">
        <v>A：机构统计／原始统计表</v>
      </c>
      <c r="S585" s="2234" t="str">
        <v>年度汇率!L55；原始记录!A445:M445</v>
      </c>
      <c r="T585" s="2234" t="str"/>
      <c r="U585" t="n" s="2231">
        <v>1975</v>
      </c>
      <c r="V585" t="str" s="2231">
        <v>西德德国马克（DEM）</v>
      </c>
    </row>
    <row r="586" ht="15.0" customHeight="1">
      <c r="A586" s="2234" t="n">
        <v>1970</v>
      </c>
      <c r="B586" s="2234" t="str">
        <v>USD</v>
      </c>
      <c r="C586" s="2234" t="str">
        <v>美元（USD）</v>
      </c>
      <c r="D586" s="2234" t="str">
        <v>可用</v>
      </c>
      <c r="E586" s="2238" t="n">
        <v>1</v>
      </c>
      <c r="F586" s="2234" t="str">
        <v>基准恒等</v>
      </c>
      <c r="G586" s="2234" t="str">
        <v>用户提供的历史汇率表</v>
      </c>
      <c r="H586" s="2234" t="str"/>
      <c r="I586" s="2234" t="str">
        <v>1970</v>
      </c>
      <c r="J586" s="2234" t="str">
        <v>historical_exchange_rates_1920_2026.xlsx</v>
      </c>
      <c r="K586" s="2234" t="str">
        <v>1 美元等于 1 美元，无外部报价。</v>
      </c>
      <c r="L586" s="2234" t="str">
        <v>美元基准，汇率恒为 1。</v>
      </c>
      <c r="M586" s="2234" t="str">
        <v>1970|美元（USD）</v>
      </c>
      <c r="N586" s="2234" t="str">
        <v>美元（USD）</v>
      </c>
      <c r="O586" s="2239"/>
      <c r="P586" s="2234" t="str"/>
      <c r="Q586" s="2239"/>
      <c r="R586" s="2234" t="str"/>
      <c r="S586" s="2234" t="str">
        <v>年度汇率!B56</v>
      </c>
      <c r="T586" s="2234" t="str"/>
      <c r="U586" t="n" s="2231">
        <v>1975</v>
      </c>
      <c r="V586" t="str" s="2231">
        <v>意大利里拉（ITL）</v>
      </c>
    </row>
    <row r="587" ht="15.0" customHeight="1">
      <c r="A587" s="2234" t="n">
        <v>1970</v>
      </c>
      <c r="B587" s="2234" t="str">
        <v>GBP</v>
      </c>
      <c r="C587" s="2234" t="str">
        <v>英镑（GBP）</v>
      </c>
      <c r="D587" s="2234" t="str">
        <v>可用</v>
      </c>
      <c r="E587" s="2238" t="n">
        <v>0.4173694433</v>
      </c>
      <c r="F587" s="2234" t="str">
        <v>年均</v>
      </c>
      <c r="G587" s="2234" t="str">
        <v>OECD via FRED：GBP年均汇率</v>
      </c>
      <c r="H587" s="2234" t="str">
        <v>https://fred.stlouisfed.org/data/CCUSMA02GBA618N</v>
      </c>
      <c r="I587" s="2234" t="str">
        <v>1970-01-01—1970-12-31</v>
      </c>
      <c r="J587" s="2234" t="str">
        <v>historical_exchange_rates_1920_2026.xlsx</v>
      </c>
      <c r="K587" s="2234" t="str">
        <v>单位为本币／美元；中国和印度早期数据主要反映官方汇率。</v>
      </c>
      <c r="L587" s="2234" t="str">
        <v>原报价已按 1 美元兑换本币表示。</v>
      </c>
      <c r="M587" s="2234" t="str">
        <v>1970|英镑（GBP）</v>
      </c>
      <c r="N587" s="2234" t="str">
        <v>英镑（GBP）</v>
      </c>
      <c r="O587" s="2239" t="n">
        <v>0.4173694433</v>
      </c>
      <c r="P587" s="2234" t="str">
        <v>LCU/USD</v>
      </c>
      <c r="Q587" s="2239" t="n">
        <v>1</v>
      </c>
      <c r="R587" s="2234" t="str">
        <v>A：机构统计／原始统计表</v>
      </c>
      <c r="S587" s="2234" t="str">
        <v>年度汇率!C56；原始记录!A446:M446</v>
      </c>
      <c r="T587" s="2234" t="str"/>
      <c r="U587" t="n" s="2231">
        <v>1975</v>
      </c>
      <c r="V587" t="str" s="2231">
        <v>日元（JPY）</v>
      </c>
    </row>
    <row r="588" ht="15.0" customHeight="1">
      <c r="A588" s="2234" t="n">
        <v>1970</v>
      </c>
      <c r="B588" s="2234" t="str">
        <v>CAD</v>
      </c>
      <c r="C588" s="2234" t="str">
        <v>加拿大元（CAD）</v>
      </c>
      <c r="D588" s="2234" t="str">
        <v>可用</v>
      </c>
      <c r="E588" s="2238" t="n">
        <v>1.0441575</v>
      </c>
      <c r="F588" s="2234" t="str">
        <v>年均</v>
      </c>
      <c r="G588" s="2234" t="str">
        <v>OECD via FRED：CAD年均汇率</v>
      </c>
      <c r="H588" s="2234" t="str">
        <v>https://fred.stlouisfed.org/data/CCUSMA02CAA618N</v>
      </c>
      <c r="I588" s="2234" t="str">
        <v>1970-01-01—1970-12-31</v>
      </c>
      <c r="J588" s="2234" t="str">
        <v>historical_exchange_rates_1920_2026.xlsx</v>
      </c>
      <c r="K588" s="2234" t="str">
        <v>单位为本币／美元；中国和印度早期数据主要反映官方汇率。</v>
      </c>
      <c r="L588" s="2234" t="str">
        <v>原报价已按 1 美元兑换本币表示。</v>
      </c>
      <c r="M588" s="2234" t="str">
        <v>1970|加拿大元（CAD）</v>
      </c>
      <c r="N588" s="2234" t="str">
        <v>加拿大元（CAD）</v>
      </c>
      <c r="O588" s="2239" t="n">
        <v>1.0441575</v>
      </c>
      <c r="P588" s="2234" t="str">
        <v>LCU/USD</v>
      </c>
      <c r="Q588" s="2239" t="n">
        <v>1</v>
      </c>
      <c r="R588" s="2234" t="str">
        <v>A：机构统计／原始统计表</v>
      </c>
      <c r="S588" s="2234" t="str">
        <v>年度汇率!D56；原始记录!A447:M447</v>
      </c>
      <c r="T588" s="2234" t="str"/>
      <c r="U588" t="n" s="2231">
        <v>1975</v>
      </c>
      <c r="V588" t="str" s="2231">
        <v>瑞士法郎（CHF）</v>
      </c>
    </row>
    <row r="589" ht="36.0" customHeight="1">
      <c r="A589" s="2234" t="n">
        <v>1970</v>
      </c>
      <c r="B589" s="2234" t="str">
        <v>FRF</v>
      </c>
      <c r="C589" s="2234" t="str">
        <v>法国法郎（FRF；1960币制）</v>
      </c>
      <c r="D589" s="2234" t="str">
        <v>可用</v>
      </c>
      <c r="E589" s="2238" t="n">
        <v>5.528858333585658</v>
      </c>
      <c r="F589" s="2234" t="str">
        <v>年均</v>
      </c>
      <c r="G589" s="2234" t="str">
        <v>OECD via FRED：FR年均汇率（欧元单位回溯序列）</v>
      </c>
      <c r="H589" s="2234" t="str">
        <v>https://fred.stlouisfed.org/data/CCUSMA02FRA618N</v>
      </c>
      <c r="I589" s="2234" t="str">
        <v>1970-01-01—1970-12-31</v>
      </c>
      <c r="J589" s="2234" t="str">
        <v>historical_exchange_rates_1920_2026.xlsx</v>
      </c>
      <c r="K589" s="2234" t="str">
        <v>由欧元回溯单位还原当年本币；非当年实际欧元报价。 欧元回溯单位按不可撤销转换率还原；法国1960年前另乘100。
原序列单位为回溯欧元；乘不可撤销转换率还原当年本币。法国1957–1959另乘100还原旧法郎。</v>
      </c>
      <c r="L589" s="2234" t="str">
        <v>原报价已按 1 美元兑换本币表示。乘以 6.55957，还原当年币制的计价单位。</v>
      </c>
      <c r="M589" s="2234" t="str">
        <v>1970|法国法郎（FRF；1960币制）</v>
      </c>
      <c r="N589" s="2234" t="str">
        <v>法国法郎（FRF；1960币制）</v>
      </c>
      <c r="O589" s="2239" t="n">
        <v>0.8428690194</v>
      </c>
      <c r="P589" s="2234" t="str">
        <v>LCU/USD</v>
      </c>
      <c r="Q589" s="2239" t="n">
        <v>6.55957</v>
      </c>
      <c r="R589" s="2234" t="str">
        <v>A：机构统计／原始统计表</v>
      </c>
      <c r="S589" s="2234" t="str">
        <v>年度汇率!E56；原始记录!A448:M448</v>
      </c>
      <c r="T589" s="2234" t="str"/>
      <c r="U589" t="n" s="2231">
        <v>1975</v>
      </c>
      <c r="V589" t="str" s="2231">
        <v>印度卢比（INR）</v>
      </c>
    </row>
    <row r="590" ht="36.0" customHeight="1">
      <c r="A590" s="2234" t="n">
        <v>1970</v>
      </c>
      <c r="B590" s="2234" t="str">
        <v>DEM</v>
      </c>
      <c r="C590" s="2234" t="str">
        <v>西德德国马克（DEM）</v>
      </c>
      <c r="D590" s="2234" t="str">
        <v>可用</v>
      </c>
      <c r="E590" s="2238" t="n">
        <v>3.646516666640529</v>
      </c>
      <c r="F590" s="2234" t="str">
        <v>年均</v>
      </c>
      <c r="G590" s="2234" t="str">
        <v>OECD via FRED：DE年均汇率（欧元单位回溯序列）</v>
      </c>
      <c r="H590" s="2234" t="str">
        <v>https://fred.stlouisfed.org/data/CCUSMA02DEA618N</v>
      </c>
      <c r="I590" s="2234" t="str">
        <v>1970-01-01—1970-12-31</v>
      </c>
      <c r="J590" s="2234" t="str">
        <v>historical_exchange_rates_1920_2026.xlsx</v>
      </c>
      <c r="K590" s="2234" t="str">
        <v>由欧元回溯单位还原当年本币；非当年实际欧元报价。 欧元回溯单位按不可撤销转换率还原；法国1960年前另乘100。
原序列单位为回溯欧元；乘不可撤销转换率还原当年本币。法国1957–1959另乘100还原旧法郎。</v>
      </c>
      <c r="L590" s="2234" t="str">
        <v>原报价已按 1 美元兑换本币表示。乘以 1.95583，还原当年币制的计价单位。</v>
      </c>
      <c r="M590" s="2234" t="str">
        <v>1970|西德德国马克（DEM）</v>
      </c>
      <c r="N590" s="2234" t="str">
        <v>西德德国马克（DEM）</v>
      </c>
      <c r="O590" s="2239" t="n">
        <v>1.8644343663</v>
      </c>
      <c r="P590" s="2234" t="str">
        <v>LCU/USD</v>
      </c>
      <c r="Q590" s="2239" t="n">
        <v>1.95583</v>
      </c>
      <c r="R590" s="2234" t="str">
        <v>A：机构统计／原始统计表</v>
      </c>
      <c r="S590" s="2234" t="str">
        <v>年度汇率!F56、年度汇率!M56；原始记录!A449:M449</v>
      </c>
      <c r="T590" s="2234" t="str"/>
      <c r="U590" t="n" s="2231">
        <v>1975</v>
      </c>
      <c r="V590" t="str" s="2231">
        <v>苏联卢布（1961币制）</v>
      </c>
    </row>
    <row r="591" ht="36.0" customHeight="1">
      <c r="A591" s="2234" t="n">
        <v>1970</v>
      </c>
      <c r="B591" s="2234" t="str">
        <v>ITL</v>
      </c>
      <c r="C591" s="2234" t="str">
        <v>意大利里拉（ITL）</v>
      </c>
      <c r="D591" s="2234" t="str">
        <v>可用</v>
      </c>
      <c r="E591" s="2238" t="n">
        <v>627.157833250046</v>
      </c>
      <c r="F591" s="2234" t="str">
        <v>年均</v>
      </c>
      <c r="G591" s="2234" t="str">
        <v>OECD via FRED：IT年均汇率（欧元单位回溯序列）</v>
      </c>
      <c r="H591" s="2234" t="str">
        <v>https://fred.stlouisfed.org/data/CCUSMA02ITA618N</v>
      </c>
      <c r="I591" s="2234" t="str">
        <v>1970-01-01—1970-12-31</v>
      </c>
      <c r="J591" s="2234" t="str">
        <v>historical_exchange_rates_1920_2026.xlsx</v>
      </c>
      <c r="K591" s="2234" t="str">
        <v>由欧元回溯单位还原当年本币；非当年实际欧元报价。 欧元回溯单位按不可撤销转换率还原；法国1960年前另乘100。
原序列单位为回溯欧元；乘不可撤销转换率还原当年本币。法国1957–1959另乘100还原旧法郎。</v>
      </c>
      <c r="L591" s="2234" t="str">
        <v>原报价已按 1 美元兑换本币表示。乘以 1936.27，还原当年币制的计价单位。</v>
      </c>
      <c r="M591" s="2234" t="str">
        <v>1970|意大利里拉（ITL）</v>
      </c>
      <c r="N591" s="2234" t="str">
        <v>意大利里拉（ITL）</v>
      </c>
      <c r="O591" s="2239" t="n">
        <v>0.3238999898</v>
      </c>
      <c r="P591" s="2234" t="str">
        <v>LCU/USD</v>
      </c>
      <c r="Q591" s="2239" t="n">
        <v>1936.27</v>
      </c>
      <c r="R591" s="2234" t="str">
        <v>A：机构统计／原始统计表</v>
      </c>
      <c r="S591" s="2234" t="str">
        <v>年度汇率!G56；原始记录!A450:M450</v>
      </c>
      <c r="T591" s="2234" t="str"/>
      <c r="U591" t="n" s="2231">
        <v>1975</v>
      </c>
      <c r="V591" t="str" s="2231">
        <v>人民币元（1955币制；CNY）</v>
      </c>
    </row>
    <row r="592" ht="15.0" customHeight="1">
      <c r="A592" s="2234" t="n">
        <v>1970</v>
      </c>
      <c r="B592" s="2234" t="str">
        <v>JPY</v>
      </c>
      <c r="C592" s="2234" t="str">
        <v>日元（JPY）</v>
      </c>
      <c r="D592" s="2234" t="str">
        <v>可用</v>
      </c>
      <c r="E592" s="2238" t="n">
        <v>358.15</v>
      </c>
      <c r="F592" s="2234" t="str">
        <v>年均</v>
      </c>
      <c r="G592" s="2234" t="str">
        <v>MeasuringWorth：日本年均汇率</v>
      </c>
      <c r="H592" s="2234" t="str">
        <v>https://www.measuringworth.com/datasets/exchangeglobal/result.php?countryE%5B%5D=Japan&amp;year_result=2016&amp;year_source=1916</v>
      </c>
      <c r="I592" s="2234" t="str">
        <v>1970-01-01—1970-12-31</v>
      </c>
      <c r="J592" s="2234" t="str">
        <v>historical_exchange_rates_1920_2026.xlsx</v>
      </c>
      <c r="K592" s="2234" t="str">
        <v>以纽约市场年度平均报价为主；保留原表精度。</v>
      </c>
      <c r="L592" s="2234" t="str">
        <v>原报价已按 1 美元兑换本币表示。</v>
      </c>
      <c r="M592" s="2234" t="str">
        <v>1970|日元（JPY）</v>
      </c>
      <c r="N592" s="2234" t="str">
        <v>日元（JPY）</v>
      </c>
      <c r="O592" s="2239" t="n">
        <v>358.15</v>
      </c>
      <c r="P592" s="2234" t="str">
        <v>LCU/USD</v>
      </c>
      <c r="Q592" s="2239" t="n">
        <v>1</v>
      </c>
      <c r="R592" s="2234" t="str">
        <v>B：学术历史汇编</v>
      </c>
      <c r="S592" s="2234" t="str">
        <v>年度汇率!H56；原始记录!A451:M451</v>
      </c>
      <c r="T592" s="2234" t="str"/>
      <c r="U592" t="n" s="2231">
        <v>1976</v>
      </c>
      <c r="V592" t="str" s="2231">
        <v>美元（USD）</v>
      </c>
    </row>
    <row r="593" ht="15.0" customHeight="1">
      <c r="A593" s="2234" t="n">
        <v>1970</v>
      </c>
      <c r="B593" s="2234" t="str">
        <v>CHF</v>
      </c>
      <c r="C593" s="2234" t="str">
        <v>瑞士法郎（CHF）</v>
      </c>
      <c r="D593" s="2234" t="str">
        <v>可用</v>
      </c>
      <c r="E593" s="2238" t="n">
        <v>4.3106416667</v>
      </c>
      <c r="F593" s="2234" t="str">
        <v>年均</v>
      </c>
      <c r="G593" s="2234" t="str">
        <v>OECD via FRED：CHF年均汇率</v>
      </c>
      <c r="H593" s="2234" t="str">
        <v>https://fred.stlouisfed.org/data/CCUSMA02CHA618N</v>
      </c>
      <c r="I593" s="2234" t="str">
        <v>1970-01-01—1970-12-31</v>
      </c>
      <c r="J593" s="2234" t="str">
        <v>historical_exchange_rates_1920_2026.xlsx</v>
      </c>
      <c r="K593" s="2234" t="str">
        <v>单位为本币／美元；中国和印度早期数据主要反映官方汇率。</v>
      </c>
      <c r="L593" s="2234" t="str">
        <v>原报价已按 1 美元兑换本币表示。</v>
      </c>
      <c r="M593" s="2234" t="str">
        <v>1970|瑞士法郎（CHF）</v>
      </c>
      <c r="N593" s="2234" t="str">
        <v>瑞士法郎（CHF）</v>
      </c>
      <c r="O593" s="2239" t="n">
        <v>4.3106416667</v>
      </c>
      <c r="P593" s="2234" t="str">
        <v>LCU/USD</v>
      </c>
      <c r="Q593" s="2239" t="n">
        <v>1</v>
      </c>
      <c r="R593" s="2234" t="str">
        <v>A：机构统计／原始统计表</v>
      </c>
      <c r="S593" s="2234" t="str">
        <v>年度汇率!I56；原始记录!A452:M452</v>
      </c>
      <c r="T593" s="2234" t="str"/>
      <c r="U593" t="n" s="2231">
        <v>1976</v>
      </c>
      <c r="V593" t="str" s="2231">
        <v>英镑（GBP）</v>
      </c>
    </row>
    <row r="594" ht="15.0" customHeight="1">
      <c r="A594" s="2234" t="n">
        <v>1970</v>
      </c>
      <c r="B594" s="2234" t="str">
        <v>INR</v>
      </c>
      <c r="C594" s="2234" t="str">
        <v>印度卢比（INR）</v>
      </c>
      <c r="D594" s="2234" t="str">
        <v>可用</v>
      </c>
      <c r="E594" s="2238" t="n">
        <v>7.5</v>
      </c>
      <c r="F594" s="2234" t="str">
        <v>年均</v>
      </c>
      <c r="G594" s="2234" t="str">
        <v>OECD via FRED：INR年均汇率</v>
      </c>
      <c r="H594" s="2234" t="str">
        <v>https://fred.stlouisfed.org/data/CCUSMA02INA618N</v>
      </c>
      <c r="I594" s="2234" t="str">
        <v>1970-01-01—1970-12-31</v>
      </c>
      <c r="J594" s="2234" t="str">
        <v>historical_exchange_rates_1920_2026.xlsx</v>
      </c>
      <c r="K594" s="2234" t="str">
        <v>单位为本币／美元；中国和印度早期数据主要反映官方汇率。</v>
      </c>
      <c r="L594" s="2234" t="str">
        <v>原报价已按 1 美元兑换本币表示。</v>
      </c>
      <c r="M594" s="2234" t="str">
        <v>1970|印度卢比（INR）</v>
      </c>
      <c r="N594" s="2234" t="str">
        <v>印度卢比（INR）</v>
      </c>
      <c r="O594" s="2239" t="n">
        <v>7.5</v>
      </c>
      <c r="P594" s="2234" t="str">
        <v>LCU/USD</v>
      </c>
      <c r="Q594" s="2239" t="n">
        <v>1</v>
      </c>
      <c r="R594" s="2234" t="str">
        <v>A：机构统计／原始统计表</v>
      </c>
      <c r="S594" s="2234" t="str">
        <v>年度汇率!J56；原始记录!A453:M453</v>
      </c>
      <c r="T594" s="2234" t="str"/>
      <c r="U594" t="n" s="2231">
        <v>1976</v>
      </c>
      <c r="V594" t="str" s="2231">
        <v>加拿大元（CAD）</v>
      </c>
    </row>
    <row r="595" ht="48.0" customHeight="1">
      <c r="A595" s="2234" t="n">
        <v>1970</v>
      </c>
      <c r="B595" s="2234" t="str">
        <v>SUR_1961</v>
      </c>
      <c r="C595" s="2234" t="str">
        <v>苏联卢布（1961币制）</v>
      </c>
      <c r="D595" s="2234" t="str">
        <v>可用</v>
      </c>
      <c r="E595" s="2238" t="n">
        <v>0.9</v>
      </c>
      <c r="F595" s="2234" t="str">
        <v>官价区间参考（非年均）</v>
      </c>
      <c r="G595" s="2234" t="str">
        <v>苏联卢布历史官价表（Wikipedia转引俄央行历史档案）</v>
      </c>
      <c r="H595" s="2234" t="str">
        <v>https://en.wikipedia.org/wiki/Soviet_ruble#Exchange_rates</v>
      </c>
      <c r="I595" s="2234" t="str">
        <v>1961-01-01—1971-12-01</v>
      </c>
      <c r="J595" s="2234" t="str">
        <v>historical_exchange_rates_1920_2026.xlsx</v>
      </c>
      <c r="K595" s="2234" t="str">
        <v>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v>
      </c>
      <c r="L595" s="2234" t="str">
        <v>原报价已按 1 美元兑换本币表示。</v>
      </c>
      <c r="M595" s="2234" t="str">
        <v>1970|苏联卢布（1961币制）</v>
      </c>
      <c r="N595" s="2234" t="str">
        <v>苏联卢布（1961币制）</v>
      </c>
      <c r="O595" s="2239" t="n">
        <v>0.9</v>
      </c>
      <c r="P595" s="2234" t="str">
        <v>LCU/USD</v>
      </c>
      <c r="Q595" s="2239" t="n">
        <v>1</v>
      </c>
      <c r="R595" s="2234" t="str">
        <v>C：二手转引（原档未复核）</v>
      </c>
      <c r="S595" s="2234" t="str">
        <v>年度汇率!K56；原始记录!A454:M454</v>
      </c>
      <c r="T595" s="2234" t="str">
        <v>官价参考，并非市场年均汇率</v>
      </c>
      <c r="U595" t="n" s="2231">
        <v>1976</v>
      </c>
      <c r="V595" t="str" s="2231">
        <v>法国法郎（FRF；1960币制）</v>
      </c>
    </row>
    <row r="596" ht="15.0" customHeight="1">
      <c r="A596" s="2234" t="n">
        <v>1970</v>
      </c>
      <c r="B596" s="2234" t="str">
        <v>CNY</v>
      </c>
      <c r="C596" s="2234" t="str">
        <v>人民币元（1955币制；CNY）</v>
      </c>
      <c r="D596" s="2234" t="str">
        <v>可用</v>
      </c>
      <c r="E596" s="2238" t="n">
        <v>2.462</v>
      </c>
      <c r="F596" s="2234" t="str">
        <v>年均</v>
      </c>
      <c r="G596" s="2234" t="str">
        <v>OECD via FRED：CNY年均汇率</v>
      </c>
      <c r="H596" s="2234" t="str">
        <v>https://fred.stlouisfed.org/data/CCUSMA02CNA618N</v>
      </c>
      <c r="I596" s="2234" t="str">
        <v>1970-01-01—1970-12-31</v>
      </c>
      <c r="J596" s="2234" t="str">
        <v>historical_exchange_rates_1920_2026.xlsx</v>
      </c>
      <c r="K596" s="2234" t="str">
        <v>单位为本币／美元；中国和印度早期数据主要反映官方汇率。</v>
      </c>
      <c r="L596" s="2234" t="str">
        <v>原报价已按 1 美元兑换本币表示。</v>
      </c>
      <c r="M596" s="2234" t="str">
        <v>1970|人民币元（1955币制；CNY）</v>
      </c>
      <c r="N596" s="2234" t="str">
        <v>人民币元（1955币制；CNY）</v>
      </c>
      <c r="O596" s="2239" t="n">
        <v>2.462</v>
      </c>
      <c r="P596" s="2234" t="str">
        <v>LCU/USD</v>
      </c>
      <c r="Q596" s="2239" t="n">
        <v>1</v>
      </c>
      <c r="R596" s="2234" t="str">
        <v>A：机构统计／原始统计表</v>
      </c>
      <c r="S596" s="2234" t="str">
        <v>年度汇率!L56；原始记录!A455:M455</v>
      </c>
      <c r="T596" s="2234" t="str"/>
      <c r="U596" t="n" s="2231">
        <v>1976</v>
      </c>
      <c r="V596" t="str" s="2231">
        <v>西德德国马克（DEM）</v>
      </c>
    </row>
    <row r="597" ht="15.0" customHeight="1">
      <c r="A597" s="2234" t="n">
        <v>1971</v>
      </c>
      <c r="B597" s="2234" t="str">
        <v>USD</v>
      </c>
      <c r="C597" s="2234" t="str">
        <v>美元（USD）</v>
      </c>
      <c r="D597" s="2234" t="str">
        <v>可用</v>
      </c>
      <c r="E597" s="2238" t="n">
        <v>1</v>
      </c>
      <c r="F597" s="2234" t="str">
        <v>基准恒等</v>
      </c>
      <c r="G597" s="2234" t="str">
        <v>用户提供的历史汇率表</v>
      </c>
      <c r="H597" s="2234" t="str"/>
      <c r="I597" s="2234" t="str">
        <v>1971</v>
      </c>
      <c r="J597" s="2234" t="str">
        <v>historical_exchange_rates_1920_2026.xlsx</v>
      </c>
      <c r="K597" s="2234" t="str">
        <v>1 美元等于 1 美元，无外部报价。</v>
      </c>
      <c r="L597" s="2234" t="str">
        <v>美元基准，汇率恒为 1。</v>
      </c>
      <c r="M597" s="2234" t="str">
        <v>1971|美元（USD）</v>
      </c>
      <c r="N597" s="2234" t="str">
        <v>美元（USD）</v>
      </c>
      <c r="O597" s="2239"/>
      <c r="P597" s="2234" t="str"/>
      <c r="Q597" s="2239"/>
      <c r="R597" s="2234" t="str"/>
      <c r="S597" s="2234" t="str">
        <v>年度汇率!B57</v>
      </c>
      <c r="T597" s="2234" t="str"/>
      <c r="U597" t="n" s="2231">
        <v>1976</v>
      </c>
      <c r="V597" t="str" s="2231">
        <v>意大利里拉（ITL）</v>
      </c>
    </row>
    <row r="598" ht="24.0" customHeight="1">
      <c r="A598" s="2234" t="n">
        <v>1971</v>
      </c>
      <c r="B598" s="2234" t="str">
        <v>GBP</v>
      </c>
      <c r="C598" s="2234" t="str">
        <v>英镑（GBP）</v>
      </c>
      <c r="D598" s="2234" t="str">
        <v>可用</v>
      </c>
      <c r="E598" s="2238" t="n">
        <v>0.40913182227313644</v>
      </c>
      <c r="F598" s="2234" t="str">
        <v>年均</v>
      </c>
      <c r="G598" s="2234" t="str">
        <v>Federal Reserve G.5A / FRED AEXUSUK</v>
      </c>
      <c r="H598" s="2234" t="str">
        <v>https://fred.stlouisfed.org/data/AEXUSUK</v>
      </c>
      <c r="I598" s="2234" t="str">
        <v>1971-01-01—1971-12-31</v>
      </c>
      <c r="J598" s="2234" t="str">
        <v>historical_exchange_rates_1920_2026.xlsx</v>
      </c>
      <c r="K598" s="2234" t="str">
        <v>反向值由原报价均值取倒数；不等于反向日度汇率的算术平均。
年均USD/GBP；主表取倒数，不等于逐日GBP/USD平均。</v>
      </c>
      <c r="L598" s="2234" t="str">
        <v>原报价为每单位本币兑美元，取原报价均值的倒数；不等于反向日度汇率的算术平均。</v>
      </c>
      <c r="M598" s="2234" t="str">
        <v>1971|英镑（GBP）</v>
      </c>
      <c r="N598" s="2234" t="str">
        <v>英镑（GBP）</v>
      </c>
      <c r="O598" s="2239" t="n">
        <v>2.4442</v>
      </c>
      <c r="P598" s="2234" t="str">
        <v>USD/LCU</v>
      </c>
      <c r="Q598" s="2239" t="n">
        <v>1</v>
      </c>
      <c r="R598" s="2234" t="str">
        <v>A：机构统计／原始统计表</v>
      </c>
      <c r="S598" s="2234" t="str">
        <v>年度汇率!C57；原始记录!A456:M456</v>
      </c>
      <c r="T598" s="2234" t="str"/>
      <c r="U598" t="n" s="2231">
        <v>1976</v>
      </c>
      <c r="V598" t="str" s="2231">
        <v>日元（JPY）</v>
      </c>
    </row>
    <row r="599" ht="15.0" customHeight="1">
      <c r="A599" s="2234" t="n">
        <v>1971</v>
      </c>
      <c r="B599" s="2234" t="str">
        <v>CAD</v>
      </c>
      <c r="C599" s="2234" t="str">
        <v>加拿大元（CAD）</v>
      </c>
      <c r="D599" s="2234" t="str">
        <v>可用</v>
      </c>
      <c r="E599" s="2238" t="n">
        <v>1.0099</v>
      </c>
      <c r="F599" s="2234" t="str">
        <v>年均</v>
      </c>
      <c r="G599" s="2234" t="str">
        <v>Federal Reserve G.5A / FRED AEXCAUS</v>
      </c>
      <c r="H599" s="2234" t="str">
        <v>https://fred.stlouisfed.org/data/AEXCAUS</v>
      </c>
      <c r="I599" s="2234" t="str">
        <v>1971-01-01—1971-12-31</v>
      </c>
      <c r="J599" s="2234" t="str">
        <v>historical_exchange_rates_1920_2026.xlsx</v>
      </c>
      <c r="K599" s="2234" t="str"/>
      <c r="L599" s="2234" t="str">
        <v>原报价已按 1 美元兑换本币表示。</v>
      </c>
      <c r="M599" s="2234" t="str">
        <v>1971|加拿大元（CAD）</v>
      </c>
      <c r="N599" s="2234" t="str">
        <v>加拿大元（CAD）</v>
      </c>
      <c r="O599" s="2239" t="n">
        <v>1.0099</v>
      </c>
      <c r="P599" s="2234" t="str">
        <v>LCU/USD</v>
      </c>
      <c r="Q599" s="2239" t="n">
        <v>1</v>
      </c>
      <c r="R599" s="2234" t="str">
        <v>A：机构统计／原始统计表</v>
      </c>
      <c r="S599" s="2234" t="str">
        <v>年度汇率!D57；原始记录!A457:M457</v>
      </c>
      <c r="T599" s="2234" t="str"/>
      <c r="U599" t="n" s="2231">
        <v>1976</v>
      </c>
      <c r="V599" t="str" s="2231">
        <v>瑞士法郎（CHF）</v>
      </c>
    </row>
    <row r="600" ht="36.0" customHeight="1">
      <c r="A600" s="2234" t="n">
        <v>1971</v>
      </c>
      <c r="B600" s="2234" t="str">
        <v>FRF</v>
      </c>
      <c r="C600" s="2234" t="str">
        <v>法国法郎（FRF；1960币制）</v>
      </c>
      <c r="D600" s="2234" t="str">
        <v>可用</v>
      </c>
      <c r="E600" s="2238" t="n">
        <v>5.510441666486862</v>
      </c>
      <c r="F600" s="2234" t="str">
        <v>年均</v>
      </c>
      <c r="G600" s="2234" t="str">
        <v>OECD via FRED：FR年均汇率（欧元单位回溯序列）</v>
      </c>
      <c r="H600" s="2234" t="str">
        <v>https://fred.stlouisfed.org/data/CCUSMA02FRA618N</v>
      </c>
      <c r="I600" s="2234" t="str">
        <v>1971-01-01—1971-12-31</v>
      </c>
      <c r="J600" s="2234" t="str">
        <v>historical_exchange_rates_1920_2026.xlsx</v>
      </c>
      <c r="K600" s="2234" t="str">
        <v>由欧元回溯单位还原当年本币；非当年实际欧元报价。 欧元回溯单位按不可撤销转换率还原；法国1960年前另乘100。
原序列单位为回溯欧元；乘不可撤销转换率还原当年本币。法国1957–1959另乘100还原旧法郎。</v>
      </c>
      <c r="L600" s="2234" t="str">
        <v>原报价已按 1 美元兑换本币表示。乘以 6.55957，还原当年币制的计价单位。</v>
      </c>
      <c r="M600" s="2234" t="str">
        <v>1971|法国法郎（FRF；1960币制）</v>
      </c>
      <c r="N600" s="2234" t="str">
        <v>法国法郎（FRF；1960币制）</v>
      </c>
      <c r="O600" s="2239" t="n">
        <v>0.8400614166</v>
      </c>
      <c r="P600" s="2234" t="str">
        <v>LCU/USD</v>
      </c>
      <c r="Q600" s="2239" t="n">
        <v>6.55957</v>
      </c>
      <c r="R600" s="2234" t="str">
        <v>A：机构统计／原始统计表</v>
      </c>
      <c r="S600" s="2234" t="str">
        <v>年度汇率!E57；原始记录!A458:M458</v>
      </c>
      <c r="T600" s="2234" t="str"/>
      <c r="U600" t="n" s="2231">
        <v>1976</v>
      </c>
      <c r="V600" t="str" s="2231">
        <v>印度卢比（INR）</v>
      </c>
    </row>
    <row r="601" ht="36.0" customHeight="1">
      <c r="A601" s="2234" t="n">
        <v>1971</v>
      </c>
      <c r="B601" s="2234" t="str">
        <v>DEM</v>
      </c>
      <c r="C601" s="2234" t="str">
        <v>西德德国马克（DEM）</v>
      </c>
      <c r="D601" s="2234" t="str">
        <v>可用</v>
      </c>
      <c r="E601" s="2238" t="n">
        <v>3.481475000024243</v>
      </c>
      <c r="F601" s="2234" t="str">
        <v>年均</v>
      </c>
      <c r="G601" s="2234" t="str">
        <v>OECD via FRED：DE年均汇率（欧元单位回溯序列）</v>
      </c>
      <c r="H601" s="2234" t="str">
        <v>https://fred.stlouisfed.org/data/CCUSMA02DEA618N</v>
      </c>
      <c r="I601" s="2234" t="str">
        <v>1971-01-01—1971-12-31</v>
      </c>
      <c r="J601" s="2234" t="str">
        <v>historical_exchange_rates_1920_2026.xlsx</v>
      </c>
      <c r="K601" s="2234" t="str">
        <v>由欧元回溯单位还原当年本币；非当年实际欧元报价。 欧元回溯单位按不可撤销转换率还原；法国1960年前另乘100。
原序列单位为回溯欧元；乘不可撤销转换率还原当年本币。法国1957–1959另乘100还原旧法郎。</v>
      </c>
      <c r="L601" s="2234" t="str">
        <v>原报价已按 1 美元兑换本币表示。乘以 1.95583，还原当年币制的计价单位。</v>
      </c>
      <c r="M601" s="2234" t="str">
        <v>1971|西德德国马克（DEM）</v>
      </c>
      <c r="N601" s="2234" t="str">
        <v>西德德国马克（DEM）</v>
      </c>
      <c r="O601" s="2239" t="n">
        <v>1.7800499021</v>
      </c>
      <c r="P601" s="2234" t="str">
        <v>LCU/USD</v>
      </c>
      <c r="Q601" s="2239" t="n">
        <v>1.95583</v>
      </c>
      <c r="R601" s="2234" t="str">
        <v>A：机构统计／原始统计表</v>
      </c>
      <c r="S601" s="2234" t="str">
        <v>年度汇率!F57、年度汇率!M57；原始记录!A459:M459</v>
      </c>
      <c r="T601" s="2234" t="str"/>
      <c r="U601" t="n" s="2231">
        <v>1976</v>
      </c>
      <c r="V601" t="str" s="2231">
        <v>苏联卢布（1961币制）</v>
      </c>
    </row>
    <row r="602" ht="36.0" customHeight="1">
      <c r="A602" s="2234" t="n">
        <v>1971</v>
      </c>
      <c r="B602" s="2234" t="str">
        <v>ITL</v>
      </c>
      <c r="C602" s="2234" t="str">
        <v>意大利里拉（ITL）</v>
      </c>
      <c r="D602" s="2234" t="str">
        <v>可用</v>
      </c>
      <c r="E602" s="2238" t="n">
        <v>618.3579167264941</v>
      </c>
      <c r="F602" s="2234" t="str">
        <v>年均</v>
      </c>
      <c r="G602" s="2234" t="str">
        <v>OECD via FRED：IT年均汇率（欧元单位回溯序列）</v>
      </c>
      <c r="H602" s="2234" t="str">
        <v>https://fred.stlouisfed.org/data/CCUSMA02ITA618N</v>
      </c>
      <c r="I602" s="2234" t="str">
        <v>1971-01-01—1971-12-31</v>
      </c>
      <c r="J602" s="2234" t="str">
        <v>historical_exchange_rates_1920_2026.xlsx</v>
      </c>
      <c r="K602" s="2234" t="str">
        <v>由欧元回溯单位还原当年本币；非当年实际欧元报价。 欧元回溯单位按不可撤销转换率还原；法国1960年前另乘100。
原序列单位为回溯欧元；乘不可撤销转换率还原当年本币。法国1957–1959另乘100还原旧法郎。</v>
      </c>
      <c r="L602" s="2234" t="str">
        <v>原报价已按 1 美元兑换本币表示。乘以 1936.27，还原当年币制的计价单位。</v>
      </c>
      <c r="M602" s="2234" t="str">
        <v>1971|意大利里拉（ITL）</v>
      </c>
      <c r="N602" s="2234" t="str">
        <v>意大利里拉（ITL）</v>
      </c>
      <c r="O602" s="2239" t="n">
        <v>0.3193552122</v>
      </c>
      <c r="P602" s="2234" t="str">
        <v>LCU/USD</v>
      </c>
      <c r="Q602" s="2239" t="n">
        <v>1936.27</v>
      </c>
      <c r="R602" s="2234" t="str">
        <v>A：机构统计／原始统计表</v>
      </c>
      <c r="S602" s="2234" t="str">
        <v>年度汇率!G57；原始记录!A460:M460</v>
      </c>
      <c r="T602" s="2234" t="str"/>
      <c r="U602" t="n" s="2231">
        <v>1976</v>
      </c>
      <c r="V602" t="str" s="2231">
        <v>人民币元（1955币制；CNY）</v>
      </c>
    </row>
    <row r="603" ht="15.0" customHeight="1">
      <c r="A603" s="2234" t="n">
        <v>1971</v>
      </c>
      <c r="B603" s="2234" t="str">
        <v>JPY</v>
      </c>
      <c r="C603" s="2234" t="str">
        <v>日元（JPY）</v>
      </c>
      <c r="D603" s="2234" t="str">
        <v>可用</v>
      </c>
      <c r="E603" s="2238" t="n">
        <v>347.7857</v>
      </c>
      <c r="F603" s="2234" t="str">
        <v>年均</v>
      </c>
      <c r="G603" s="2234" t="str">
        <v>Federal Reserve G.5A / FRED AEXJPUS</v>
      </c>
      <c r="H603" s="2234" t="str">
        <v>https://fred.stlouisfed.org/data/AEXJPUS</v>
      </c>
      <c r="I603" s="2234" t="str">
        <v>1971-01-01—1971-12-31</v>
      </c>
      <c r="J603" s="2234" t="str">
        <v>historical_exchange_rates_1920_2026.xlsx</v>
      </c>
      <c r="K603" s="2234" t="str"/>
      <c r="L603" s="2234" t="str">
        <v>原报价已按 1 美元兑换本币表示。</v>
      </c>
      <c r="M603" s="2234" t="str">
        <v>1971|日元（JPY）</v>
      </c>
      <c r="N603" s="2234" t="str">
        <v>日元（JPY）</v>
      </c>
      <c r="O603" s="2239" t="n">
        <v>347.7857</v>
      </c>
      <c r="P603" s="2234" t="str">
        <v>LCU/USD</v>
      </c>
      <c r="Q603" s="2239" t="n">
        <v>1</v>
      </c>
      <c r="R603" s="2234" t="str">
        <v>A：机构统计／原始统计表</v>
      </c>
      <c r="S603" s="2234" t="str">
        <v>年度汇率!H57；原始记录!A461:M461</v>
      </c>
      <c r="T603" s="2234" t="str"/>
      <c r="U603" t="n" s="2231">
        <v>1977</v>
      </c>
      <c r="V603" t="str" s="2231">
        <v>美元（USD）</v>
      </c>
    </row>
    <row r="604" ht="15.0" customHeight="1">
      <c r="A604" s="2234" t="n">
        <v>1971</v>
      </c>
      <c r="B604" s="2234" t="str">
        <v>CHF</v>
      </c>
      <c r="C604" s="2234" t="str">
        <v>瑞士法郎（CHF）</v>
      </c>
      <c r="D604" s="2234" t="str">
        <v>可用</v>
      </c>
      <c r="E604" s="2238" t="n">
        <v>4.1171</v>
      </c>
      <c r="F604" s="2234" t="str">
        <v>年均</v>
      </c>
      <c r="G604" s="2234" t="str">
        <v>Federal Reserve G.5A / FRED AEXSZUS</v>
      </c>
      <c r="H604" s="2234" t="str">
        <v>https://fred.stlouisfed.org/data/AEXSZUS</v>
      </c>
      <c r="I604" s="2234" t="str">
        <v>1971-01-01—1971-12-31</v>
      </c>
      <c r="J604" s="2234" t="str">
        <v>historical_exchange_rates_1920_2026.xlsx</v>
      </c>
      <c r="K604" s="2234" t="str"/>
      <c r="L604" s="2234" t="str">
        <v>原报价已按 1 美元兑换本币表示。</v>
      </c>
      <c r="M604" s="2234" t="str">
        <v>1971|瑞士法郎（CHF）</v>
      </c>
      <c r="N604" s="2234" t="str">
        <v>瑞士法郎（CHF）</v>
      </c>
      <c r="O604" s="2239" t="n">
        <v>4.1171</v>
      </c>
      <c r="P604" s="2234" t="str">
        <v>LCU/USD</v>
      </c>
      <c r="Q604" s="2239" t="n">
        <v>1</v>
      </c>
      <c r="R604" s="2234" t="str">
        <v>A：机构统计／原始统计表</v>
      </c>
      <c r="S604" s="2234" t="str">
        <v>年度汇率!I57；原始记录!A462:M462</v>
      </c>
      <c r="T604" s="2234" t="str"/>
      <c r="U604" t="n" s="2231">
        <v>1977</v>
      </c>
      <c r="V604" t="str" s="2231">
        <v>英镑（GBP）</v>
      </c>
    </row>
    <row r="605" ht="15.0" customHeight="1">
      <c r="A605" s="2234" t="n">
        <v>1971</v>
      </c>
      <c r="B605" s="2234" t="str">
        <v>INR</v>
      </c>
      <c r="C605" s="2234" t="str">
        <v>印度卢比（INR）</v>
      </c>
      <c r="D605" s="2234" t="str">
        <v>可用</v>
      </c>
      <c r="E605" s="2238" t="n">
        <v>7.49193333333333</v>
      </c>
      <c r="F605" s="2234" t="str">
        <v>年均</v>
      </c>
      <c r="G605" s="2234" t="str">
        <v>OECD via FRED：INR年均汇率</v>
      </c>
      <c r="H605" s="2234" t="str">
        <v>https://fred.stlouisfed.org/data/CCUSMA02INA618N</v>
      </c>
      <c r="I605" s="2234" t="str">
        <v>1971-01-01—1971-12-31</v>
      </c>
      <c r="J605" s="2234" t="str">
        <v>historical_exchange_rates_1920_2026.xlsx</v>
      </c>
      <c r="K605" s="2234" t="str">
        <v>单位为本币／美元；中国和印度早期数据主要反映官方汇率。</v>
      </c>
      <c r="L605" s="2234" t="str">
        <v>原报价已按 1 美元兑换本币表示。</v>
      </c>
      <c r="M605" s="2234" t="str">
        <v>1971|印度卢比（INR）</v>
      </c>
      <c r="N605" s="2234" t="str">
        <v>印度卢比（INR）</v>
      </c>
      <c r="O605" s="2239" t="n">
        <v>7.49193333333333</v>
      </c>
      <c r="P605" s="2234" t="str">
        <v>LCU/USD</v>
      </c>
      <c r="Q605" s="2239" t="n">
        <v>1</v>
      </c>
      <c r="R605" s="2234" t="str">
        <v>A：机构统计／原始统计表</v>
      </c>
      <c r="S605" s="2234" t="str">
        <v>年度汇率!J57；原始记录!A463:M463</v>
      </c>
      <c r="T605" s="2234" t="str"/>
      <c r="U605" t="n" s="2231">
        <v>1977</v>
      </c>
      <c r="V605" t="str" s="2231">
        <v>加拿大元（CAD）</v>
      </c>
    </row>
    <row r="606" ht="36.0" customHeight="1">
      <c r="A606" s="2234" t="n">
        <v>1971</v>
      </c>
      <c r="B606" s="2234" t="str">
        <v>SUR_1961</v>
      </c>
      <c r="C606" s="2234" t="str">
        <v>苏联卢布（1961币制）</v>
      </c>
      <c r="D606" s="2234" t="str">
        <v>可用</v>
      </c>
      <c r="E606" s="2238" t="n">
        <v>0.9</v>
      </c>
      <c r="F606" s="2234" t="str">
        <v>定点官价参考（非年均）</v>
      </c>
      <c r="G606" s="2234" t="str">
        <v>苏联卢布历史官价表（Wikipedia转引俄央行历史档案）</v>
      </c>
      <c r="H606" s="2234" t="str">
        <v>https://en.wikipedia.org/wiki/Soviet_ruble#Exchange_rates</v>
      </c>
      <c r="I606" s="2234" t="str">
        <v>1971-12-01</v>
      </c>
      <c r="J606" s="2234" t="str">
        <v>historical_exchange_rates_1920_2026.xlsx</v>
      </c>
      <c r="K606"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606" s="2234" t="str">
        <v>原报价已按 1 美元兑换本币表示。</v>
      </c>
      <c r="M606" s="2234" t="str">
        <v>1971|苏联卢布（1961币制）</v>
      </c>
      <c r="N606" s="2234" t="str">
        <v>苏联卢布（1961币制）</v>
      </c>
      <c r="O606" s="2239" t="n">
        <v>0.9</v>
      </c>
      <c r="P606" s="2234" t="str">
        <v>LCU/USD</v>
      </c>
      <c r="Q606" s="2239" t="n">
        <v>1</v>
      </c>
      <c r="R606" s="2234" t="str">
        <v>C：二手转引（原档未复核）</v>
      </c>
      <c r="S606" s="2234" t="str">
        <v>年度汇率!K57；原始记录!A464:M464</v>
      </c>
      <c r="T606" s="2234" t="str">
        <v>官价参考，并非市场年均汇率</v>
      </c>
      <c r="U606" t="n" s="2231">
        <v>1977</v>
      </c>
      <c r="V606" t="str" s="2231">
        <v>法国法郎（FRF；1960币制）</v>
      </c>
    </row>
    <row r="607" ht="15.0" customHeight="1">
      <c r="A607" s="2234" t="n">
        <v>1971</v>
      </c>
      <c r="B607" s="2234" t="str">
        <v>CNY</v>
      </c>
      <c r="C607" s="2234" t="str">
        <v>人民币元（1955币制；CNY）</v>
      </c>
      <c r="D607" s="2234" t="str">
        <v>可用</v>
      </c>
      <c r="E607" s="2238" t="n">
        <v>2.462</v>
      </c>
      <c r="F607" s="2234" t="str">
        <v>年均</v>
      </c>
      <c r="G607" s="2234" t="str">
        <v>OECD via FRED：CNY年均汇率</v>
      </c>
      <c r="H607" s="2234" t="str">
        <v>https://fred.stlouisfed.org/data/CCUSMA02CNA618N</v>
      </c>
      <c r="I607" s="2234" t="str">
        <v>1971-01-01—1971-12-31</v>
      </c>
      <c r="J607" s="2234" t="str">
        <v>historical_exchange_rates_1920_2026.xlsx</v>
      </c>
      <c r="K607" s="2234" t="str">
        <v>单位为本币／美元；中国和印度早期数据主要反映官方汇率。</v>
      </c>
      <c r="L607" s="2234" t="str">
        <v>原报价已按 1 美元兑换本币表示。</v>
      </c>
      <c r="M607" s="2234" t="str">
        <v>1971|人民币元（1955币制；CNY）</v>
      </c>
      <c r="N607" s="2234" t="str">
        <v>人民币元（1955币制；CNY）</v>
      </c>
      <c r="O607" s="2239" t="n">
        <v>2.462</v>
      </c>
      <c r="P607" s="2234" t="str">
        <v>LCU/USD</v>
      </c>
      <c r="Q607" s="2239" t="n">
        <v>1</v>
      </c>
      <c r="R607" s="2234" t="str">
        <v>A：机构统计／原始统计表</v>
      </c>
      <c r="S607" s="2234" t="str">
        <v>年度汇率!L57；原始记录!A465:M465</v>
      </c>
      <c r="T607" s="2234" t="str"/>
      <c r="U607" t="n" s="2231">
        <v>1977</v>
      </c>
      <c r="V607" t="str" s="2231">
        <v>西德德国马克（DEM）</v>
      </c>
    </row>
    <row r="608" ht="15.0" customHeight="1">
      <c r="A608" s="2234" t="n">
        <v>1972</v>
      </c>
      <c r="B608" s="2234" t="str">
        <v>USD</v>
      </c>
      <c r="C608" s="2234" t="str">
        <v>美元（USD）</v>
      </c>
      <c r="D608" s="2234" t="str">
        <v>可用</v>
      </c>
      <c r="E608" s="2238" t="n">
        <v>1</v>
      </c>
      <c r="F608" s="2234" t="str">
        <v>基准恒等</v>
      </c>
      <c r="G608" s="2234" t="str">
        <v>用户提供的历史汇率表</v>
      </c>
      <c r="H608" s="2234" t="str"/>
      <c r="I608" s="2234" t="str">
        <v>1972</v>
      </c>
      <c r="J608" s="2234" t="str">
        <v>historical_exchange_rates_1920_2026.xlsx</v>
      </c>
      <c r="K608" s="2234" t="str">
        <v>1 美元等于 1 美元，无外部报价。</v>
      </c>
      <c r="L608" s="2234" t="str">
        <v>美元基准，汇率恒为 1。</v>
      </c>
      <c r="M608" s="2234" t="str">
        <v>1972|美元（USD）</v>
      </c>
      <c r="N608" s="2234" t="str">
        <v>美元（USD）</v>
      </c>
      <c r="O608" s="2239"/>
      <c r="P608" s="2234" t="str"/>
      <c r="Q608" s="2239"/>
      <c r="R608" s="2234" t="str"/>
      <c r="S608" s="2234" t="str">
        <v>年度汇率!B58</v>
      </c>
      <c r="T608" s="2234" t="str"/>
      <c r="U608" t="n" s="2231">
        <v>1977</v>
      </c>
      <c r="V608" t="str" s="2231">
        <v>意大利里拉（ITL）</v>
      </c>
    </row>
    <row r="609" ht="24.0" customHeight="1">
      <c r="A609" s="2234" t="n">
        <v>1972</v>
      </c>
      <c r="B609" s="2234" t="str">
        <v>GBP</v>
      </c>
      <c r="C609" s="2234" t="str">
        <v>英镑（GBP）</v>
      </c>
      <c r="D609" s="2234" t="str">
        <v>可用</v>
      </c>
      <c r="E609" s="2238" t="n">
        <v>0.3994567388351841</v>
      </c>
      <c r="F609" s="2234" t="str">
        <v>年均</v>
      </c>
      <c r="G609" s="2234" t="str">
        <v>Federal Reserve G.5A / FRED AEXUSUK</v>
      </c>
      <c r="H609" s="2234" t="str">
        <v>https://fred.stlouisfed.org/data/AEXUSUK</v>
      </c>
      <c r="I609" s="2234" t="str">
        <v>1972-01-01—1972-12-31</v>
      </c>
      <c r="J609" s="2234" t="str">
        <v>historical_exchange_rates_1920_2026.xlsx</v>
      </c>
      <c r="K609" s="2234" t="str">
        <v>反向值由原报价均值取倒数；不等于反向日度汇率的算术平均。
年均USD/GBP；主表取倒数，不等于逐日GBP/USD平均。</v>
      </c>
      <c r="L609" s="2234" t="str">
        <v>原报价为每单位本币兑美元，取原报价均值的倒数；不等于反向日度汇率的算术平均。</v>
      </c>
      <c r="M609" s="2234" t="str">
        <v>1972|英镑（GBP）</v>
      </c>
      <c r="N609" s="2234" t="str">
        <v>英镑（GBP）</v>
      </c>
      <c r="O609" s="2239" t="n">
        <v>2.5034</v>
      </c>
      <c r="P609" s="2234" t="str">
        <v>USD/LCU</v>
      </c>
      <c r="Q609" s="2239" t="n">
        <v>1</v>
      </c>
      <c r="R609" s="2234" t="str">
        <v>A：机构统计／原始统计表</v>
      </c>
      <c r="S609" s="2234" t="str">
        <v>年度汇率!C58；原始记录!A466:M466</v>
      </c>
      <c r="T609" s="2234" t="str"/>
      <c r="U609" t="n" s="2231">
        <v>1977</v>
      </c>
      <c r="V609" t="str" s="2231">
        <v>日元（JPY）</v>
      </c>
    </row>
    <row r="610" ht="15.0" customHeight="1">
      <c r="A610" s="2234" t="n">
        <v>1972</v>
      </c>
      <c r="B610" s="2234" t="str">
        <v>CAD</v>
      </c>
      <c r="C610" s="2234" t="str">
        <v>加拿大元（CAD）</v>
      </c>
      <c r="D610" s="2234" t="str">
        <v>可用</v>
      </c>
      <c r="E610" s="2238" t="n">
        <v>0.9907</v>
      </c>
      <c r="F610" s="2234" t="str">
        <v>年均</v>
      </c>
      <c r="G610" s="2234" t="str">
        <v>Federal Reserve G.5A / FRED AEXCAUS</v>
      </c>
      <c r="H610" s="2234" t="str">
        <v>https://fred.stlouisfed.org/data/AEXCAUS</v>
      </c>
      <c r="I610" s="2234" t="str">
        <v>1972-01-01—1972-12-31</v>
      </c>
      <c r="J610" s="2234" t="str">
        <v>historical_exchange_rates_1920_2026.xlsx</v>
      </c>
      <c r="K610" s="2234" t="str"/>
      <c r="L610" s="2234" t="str">
        <v>原报价已按 1 美元兑换本币表示。</v>
      </c>
      <c r="M610" s="2234" t="str">
        <v>1972|加拿大元（CAD）</v>
      </c>
      <c r="N610" s="2234" t="str">
        <v>加拿大元（CAD）</v>
      </c>
      <c r="O610" s="2239" t="n">
        <v>0.9907</v>
      </c>
      <c r="P610" s="2234" t="str">
        <v>LCU/USD</v>
      </c>
      <c r="Q610" s="2239" t="n">
        <v>1</v>
      </c>
      <c r="R610" s="2234" t="str">
        <v>A：机构统计／原始统计表</v>
      </c>
      <c r="S610" s="2234" t="str">
        <v>年度汇率!D58；原始记录!A467:M467</v>
      </c>
      <c r="T610" s="2234" t="str"/>
      <c r="U610" t="n" s="2231">
        <v>1977</v>
      </c>
      <c r="V610" t="str" s="2231">
        <v>瑞士法郎（CHF）</v>
      </c>
    </row>
    <row r="611" ht="36.0" customHeight="1">
      <c r="A611" s="2234" t="n">
        <v>1972</v>
      </c>
      <c r="B611" s="2234" t="str">
        <v>FRF</v>
      </c>
      <c r="C611" s="2234" t="str">
        <v>法国法郎（FRF；1960币制）</v>
      </c>
      <c r="D611" s="2234" t="str">
        <v>可用</v>
      </c>
      <c r="E611" s="2238" t="n">
        <v>5.044250000001265</v>
      </c>
      <c r="F611" s="2234" t="str">
        <v>年均</v>
      </c>
      <c r="G611" s="2234" t="str">
        <v>OECD via FRED：FR年均汇率（欧元单位回溯序列）</v>
      </c>
      <c r="H611" s="2234" t="str">
        <v>https://fred.stlouisfed.org/data/CCUSMA02FRA618N</v>
      </c>
      <c r="I611" s="2234" t="str">
        <v>1972-01-01—1972-12-31</v>
      </c>
      <c r="J611" s="2234" t="str">
        <v>historical_exchange_rates_1920_2026.xlsx</v>
      </c>
      <c r="K611" s="2234" t="str">
        <v>由欧元回溯单位还原当年本币；非当年实际欧元报价。 欧元回溯单位按不可撤销转换率还原；法国1960年前另乘100。
原序列单位为回溯欧元；乘不可撤销转换率还原当年本币。法国1957–1959另乘100还原旧法郎。</v>
      </c>
      <c r="L611" s="2234" t="str">
        <v>原报价已按 1 美元兑换本币表示。乘以 6.55957，还原当年币制的计价单位。</v>
      </c>
      <c r="M611" s="2234" t="str">
        <v>1972|法国法郎（FRF；1960币制）</v>
      </c>
      <c r="N611" s="2234" t="str">
        <v>法国法郎（FRF；1960币制）</v>
      </c>
      <c r="O611" s="2239" t="n">
        <v>0.7689909552</v>
      </c>
      <c r="P611" s="2234" t="str">
        <v>LCU/USD</v>
      </c>
      <c r="Q611" s="2239" t="n">
        <v>6.55957</v>
      </c>
      <c r="R611" s="2234" t="str">
        <v>A：机构统计／原始统计表</v>
      </c>
      <c r="S611" s="2234" t="str">
        <v>年度汇率!E58；原始记录!A468:M468</v>
      </c>
      <c r="T611" s="2234" t="str"/>
      <c r="U611" t="n" s="2231">
        <v>1977</v>
      </c>
      <c r="V611" t="str" s="2231">
        <v>印度卢比（INR）</v>
      </c>
    </row>
    <row r="612" ht="36.0" customHeight="1">
      <c r="A612" s="2234" t="n">
        <v>1972</v>
      </c>
      <c r="B612" s="2234" t="str">
        <v>DEM</v>
      </c>
      <c r="C612" s="2234" t="str">
        <v>西德德国马克（DEM）</v>
      </c>
      <c r="D612" s="2234" t="str">
        <v>可用</v>
      </c>
      <c r="E612" s="2238" t="n">
        <v>3.188999999932053</v>
      </c>
      <c r="F612" s="2234" t="str">
        <v>年均</v>
      </c>
      <c r="G612" s="2234" t="str">
        <v>OECD via FRED：DE年均汇率（欧元单位回溯序列）</v>
      </c>
      <c r="H612" s="2234" t="str">
        <v>https://fred.stlouisfed.org/data/CCUSMA02DEA618N</v>
      </c>
      <c r="I612" s="2234" t="str">
        <v>1972-01-01—1972-12-31</v>
      </c>
      <c r="J612" s="2234" t="str">
        <v>historical_exchange_rates_1920_2026.xlsx</v>
      </c>
      <c r="K612" s="2234" t="str">
        <v>由欧元回溯单位还原当年本币；非当年实际欧元报价。 欧元回溯单位按不可撤销转换率还原；法国1960年前另乘100。
原序列单位为回溯欧元；乘不可撤销转换率还原当年本币。法国1957–1959另乘100还原旧法郎。</v>
      </c>
      <c r="L612" s="2234" t="str">
        <v>原报价已按 1 美元兑换本币表示。乘以 1.95583，还原当年币制的计价单位。</v>
      </c>
      <c r="M612" s="2234" t="str">
        <v>1972|西德德国马克（DEM）</v>
      </c>
      <c r="N612" s="2234" t="str">
        <v>西德德国马克（DEM）</v>
      </c>
      <c r="O612" s="2239" t="n">
        <v>1.6305098091</v>
      </c>
      <c r="P612" s="2234" t="str">
        <v>LCU/USD</v>
      </c>
      <c r="Q612" s="2239" t="n">
        <v>1.95583</v>
      </c>
      <c r="R612" s="2234" t="str">
        <v>A：机构统计／原始统计表</v>
      </c>
      <c r="S612" s="2234" t="str">
        <v>年度汇率!F58、年度汇率!M58；原始记录!A469:M469</v>
      </c>
      <c r="T612" s="2234" t="str"/>
      <c r="U612" t="n" s="2231">
        <v>1977</v>
      </c>
      <c r="V612" t="str" s="2231">
        <v>苏联卢布（1961币制）</v>
      </c>
    </row>
    <row r="613" ht="36.0" customHeight="1">
      <c r="A613" s="2234" t="n">
        <v>1972</v>
      </c>
      <c r="B613" s="2234" t="str">
        <v>ITL</v>
      </c>
      <c r="C613" s="2234" t="str">
        <v>意大利里拉（ITL）</v>
      </c>
      <c r="D613" s="2234" t="str">
        <v>可用</v>
      </c>
      <c r="E613" s="2238" t="n">
        <v>583.216749996034</v>
      </c>
      <c r="F613" s="2234" t="str">
        <v>年均</v>
      </c>
      <c r="G613" s="2234" t="str">
        <v>OECD via FRED：IT年均汇率（欧元单位回溯序列）</v>
      </c>
      <c r="H613" s="2234" t="str">
        <v>https://fred.stlouisfed.org/data/CCUSMA02ITA618N</v>
      </c>
      <c r="I613" s="2234" t="str">
        <v>1972-01-01—1972-12-31</v>
      </c>
      <c r="J613" s="2234" t="str">
        <v>historical_exchange_rates_1920_2026.xlsx</v>
      </c>
      <c r="K613" s="2234" t="str">
        <v>由欧元回溯单位还原当年本币；非当年实际欧元报价。 欧元回溯单位按不可撤销转换率还原；法国1960年前另乘100。
原序列单位为回溯欧元；乘不可撤销转换率还原当年本币。法国1957–1959另乘100还原旧法郎。</v>
      </c>
      <c r="L613" s="2234" t="str">
        <v>原报价已按 1 美元兑换本币表示。乘以 1936.27，还原当年币制的计价单位。</v>
      </c>
      <c r="M613" s="2234" t="str">
        <v>1972|意大利里拉（ITL）</v>
      </c>
      <c r="N613" s="2234" t="str">
        <v>意大利里拉（ITL）</v>
      </c>
      <c r="O613" s="2239" t="n">
        <v>0.3012063142</v>
      </c>
      <c r="P613" s="2234" t="str">
        <v>LCU/USD</v>
      </c>
      <c r="Q613" s="2239" t="n">
        <v>1936.27</v>
      </c>
      <c r="R613" s="2234" t="str">
        <v>A：机构统计／原始统计表</v>
      </c>
      <c r="S613" s="2234" t="str">
        <v>年度汇率!G58；原始记录!A470:M470</v>
      </c>
      <c r="T613" s="2234" t="str"/>
      <c r="U613" t="n" s="2231">
        <v>1977</v>
      </c>
      <c r="V613" t="str" s="2231">
        <v>人民币元（1955币制；CNY）</v>
      </c>
    </row>
    <row r="614" ht="15.0" customHeight="1">
      <c r="A614" s="2234" t="n">
        <v>1972</v>
      </c>
      <c r="B614" s="2234" t="str">
        <v>JPY</v>
      </c>
      <c r="C614" s="2234" t="str">
        <v>日元（JPY）</v>
      </c>
      <c r="D614" s="2234" t="str">
        <v>可用</v>
      </c>
      <c r="E614" s="2238" t="n">
        <v>303.125</v>
      </c>
      <c r="F614" s="2234" t="str">
        <v>年均</v>
      </c>
      <c r="G614" s="2234" t="str">
        <v>Federal Reserve G.5A / FRED AEXJPUS</v>
      </c>
      <c r="H614" s="2234" t="str">
        <v>https://fred.stlouisfed.org/data/AEXJPUS</v>
      </c>
      <c r="I614" s="2234" t="str">
        <v>1972-01-01—1972-12-31</v>
      </c>
      <c r="J614" s="2234" t="str">
        <v>historical_exchange_rates_1920_2026.xlsx</v>
      </c>
      <c r="K614" s="2234" t="str"/>
      <c r="L614" s="2234" t="str">
        <v>原报价已按 1 美元兑换本币表示。</v>
      </c>
      <c r="M614" s="2234" t="str">
        <v>1972|日元（JPY）</v>
      </c>
      <c r="N614" s="2234" t="str">
        <v>日元（JPY）</v>
      </c>
      <c r="O614" s="2239" t="n">
        <v>303.125</v>
      </c>
      <c r="P614" s="2234" t="str">
        <v>LCU/USD</v>
      </c>
      <c r="Q614" s="2239" t="n">
        <v>1</v>
      </c>
      <c r="R614" s="2234" t="str">
        <v>A：机构统计／原始统计表</v>
      </c>
      <c r="S614" s="2234" t="str">
        <v>年度汇率!H58；原始记录!A471:M471</v>
      </c>
      <c r="T614" s="2234" t="str"/>
      <c r="U614" t="n" s="2231">
        <v>1978</v>
      </c>
      <c r="V614" t="str" s="2231">
        <v>美元（USD）</v>
      </c>
    </row>
    <row r="615" ht="15.0" customHeight="1">
      <c r="A615" s="2234" t="n">
        <v>1972</v>
      </c>
      <c r="B615" s="2234" t="str">
        <v>CHF</v>
      </c>
      <c r="C615" s="2234" t="str">
        <v>瑞士法郎（CHF）</v>
      </c>
      <c r="D615" s="2234" t="str">
        <v>可用</v>
      </c>
      <c r="E615" s="2238" t="n">
        <v>3.8186</v>
      </c>
      <c r="F615" s="2234" t="str">
        <v>年均</v>
      </c>
      <c r="G615" s="2234" t="str">
        <v>Federal Reserve G.5A / FRED AEXSZUS</v>
      </c>
      <c r="H615" s="2234" t="str">
        <v>https://fred.stlouisfed.org/data/AEXSZUS</v>
      </c>
      <c r="I615" s="2234" t="str">
        <v>1972-01-01—1972-12-31</v>
      </c>
      <c r="J615" s="2234" t="str">
        <v>historical_exchange_rates_1920_2026.xlsx</v>
      </c>
      <c r="K615" s="2234" t="str"/>
      <c r="L615" s="2234" t="str">
        <v>原报价已按 1 美元兑换本币表示。</v>
      </c>
      <c r="M615" s="2234" t="str">
        <v>1972|瑞士法郎（CHF）</v>
      </c>
      <c r="N615" s="2234" t="str">
        <v>瑞士法郎（CHF）</v>
      </c>
      <c r="O615" s="2239" t="n">
        <v>3.8186</v>
      </c>
      <c r="P615" s="2234" t="str">
        <v>LCU/USD</v>
      </c>
      <c r="Q615" s="2239" t="n">
        <v>1</v>
      </c>
      <c r="R615" s="2234" t="str">
        <v>A：机构统计／原始统计表</v>
      </c>
      <c r="S615" s="2234" t="str">
        <v>年度汇率!I58；原始记录!A472:M472</v>
      </c>
      <c r="T615" s="2234" t="str"/>
      <c r="U615" t="n" s="2231">
        <v>1978</v>
      </c>
      <c r="V615" t="str" s="2231">
        <v>英镑（GBP）</v>
      </c>
    </row>
    <row r="616" ht="15.0" customHeight="1">
      <c r="A616" s="2234" t="n">
        <v>1972</v>
      </c>
      <c r="B616" s="2234" t="str">
        <v>INR</v>
      </c>
      <c r="C616" s="2234" t="str">
        <v>印度卢比（INR）</v>
      </c>
      <c r="D616" s="2234" t="str">
        <v>可用</v>
      </c>
      <c r="E616" s="2238" t="n">
        <v>7.59445833333333</v>
      </c>
      <c r="F616" s="2234" t="str">
        <v>年均</v>
      </c>
      <c r="G616" s="2234" t="str">
        <v>OECD via FRED：INR年均汇率</v>
      </c>
      <c r="H616" s="2234" t="str">
        <v>https://fred.stlouisfed.org/data/CCUSMA02INA618N</v>
      </c>
      <c r="I616" s="2234" t="str">
        <v>1972-01-01—1972-12-31</v>
      </c>
      <c r="J616" s="2234" t="str">
        <v>historical_exchange_rates_1920_2026.xlsx</v>
      </c>
      <c r="K616" s="2234" t="str">
        <v>单位为本币／美元；中国和印度早期数据主要反映官方汇率。</v>
      </c>
      <c r="L616" s="2234" t="str">
        <v>原报价已按 1 美元兑换本币表示。</v>
      </c>
      <c r="M616" s="2234" t="str">
        <v>1972|印度卢比（INR）</v>
      </c>
      <c r="N616" s="2234" t="str">
        <v>印度卢比（INR）</v>
      </c>
      <c r="O616" s="2239" t="n">
        <v>7.59445833333333</v>
      </c>
      <c r="P616" s="2234" t="str">
        <v>LCU/USD</v>
      </c>
      <c r="Q616" s="2239" t="n">
        <v>1</v>
      </c>
      <c r="R616" s="2234" t="str">
        <v>A：机构统计／原始统计表</v>
      </c>
      <c r="S616" s="2234" t="str">
        <v>年度汇率!J58；原始记录!A473:M473</v>
      </c>
      <c r="T616" s="2234" t="str"/>
      <c r="U616" t="n" s="2231">
        <v>1978</v>
      </c>
      <c r="V616" t="str" s="2231">
        <v>加拿大元（CAD）</v>
      </c>
    </row>
    <row r="617" ht="36.0" customHeight="1">
      <c r="A617" s="2234" t="n">
        <v>1972</v>
      </c>
      <c r="B617" s="2234" t="str">
        <v>SUR_1961</v>
      </c>
      <c r="C617" s="2234" t="str">
        <v>苏联卢布（1961币制）</v>
      </c>
      <c r="D617" s="2234" t="str">
        <v>可用</v>
      </c>
      <c r="E617" s="2238" t="n">
        <v>0.829</v>
      </c>
      <c r="F617" s="2234" t="str">
        <v>定点官价参考（非年均）</v>
      </c>
      <c r="G617" s="2234" t="str">
        <v>苏联卢布历史官价表（Wikipedia转引俄央行历史档案）</v>
      </c>
      <c r="H617" s="2234" t="str">
        <v>https://en.wikipedia.org/wiki/Soviet_ruble#Exchange_rates</v>
      </c>
      <c r="I617" s="2234" t="str">
        <v>1972-01-01</v>
      </c>
      <c r="J617" s="2234" t="str">
        <v>historical_exchange_rates_1920_2026.xlsx</v>
      </c>
      <c r="K617"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617" s="2234" t="str">
        <v>原报价已按 1 美元兑换本币表示。</v>
      </c>
      <c r="M617" s="2234" t="str">
        <v>1972|苏联卢布（1961币制）</v>
      </c>
      <c r="N617" s="2234" t="str">
        <v>苏联卢布（1961币制）</v>
      </c>
      <c r="O617" s="2239" t="n">
        <v>0.829</v>
      </c>
      <c r="P617" s="2234" t="str">
        <v>LCU/USD</v>
      </c>
      <c r="Q617" s="2239" t="n">
        <v>1</v>
      </c>
      <c r="R617" s="2234" t="str">
        <v>C：二手转引（原档未复核）</v>
      </c>
      <c r="S617" s="2234" t="str">
        <v>年度汇率!K58；原始记录!A474:M474</v>
      </c>
      <c r="T617" s="2234" t="str">
        <v>官价参考，并非市场年均汇率</v>
      </c>
      <c r="U617" t="n" s="2231">
        <v>1978</v>
      </c>
      <c r="V617" t="str" s="2231">
        <v>法国法郎（FRF；1960币制）</v>
      </c>
    </row>
    <row r="618" ht="15.0" customHeight="1">
      <c r="A618" s="2234" t="n">
        <v>1972</v>
      </c>
      <c r="B618" s="2234" t="str">
        <v>CNY</v>
      </c>
      <c r="C618" s="2234" t="str">
        <v>人民币元（1955币制；CNY）</v>
      </c>
      <c r="D618" s="2234" t="str">
        <v>可用</v>
      </c>
      <c r="E618" s="2238" t="n">
        <v>2.24475</v>
      </c>
      <c r="F618" s="2234" t="str">
        <v>年均</v>
      </c>
      <c r="G618" s="2234" t="str">
        <v>OECD via FRED：CNY年均汇率</v>
      </c>
      <c r="H618" s="2234" t="str">
        <v>https://fred.stlouisfed.org/data/CCUSMA02CNA618N</v>
      </c>
      <c r="I618" s="2234" t="str">
        <v>1972-01-01—1972-12-31</v>
      </c>
      <c r="J618" s="2234" t="str">
        <v>historical_exchange_rates_1920_2026.xlsx</v>
      </c>
      <c r="K618" s="2234" t="str">
        <v>单位为本币／美元；中国和印度早期数据主要反映官方汇率。</v>
      </c>
      <c r="L618" s="2234" t="str">
        <v>原报价已按 1 美元兑换本币表示。</v>
      </c>
      <c r="M618" s="2234" t="str">
        <v>1972|人民币元（1955币制；CNY）</v>
      </c>
      <c r="N618" s="2234" t="str">
        <v>人民币元（1955币制；CNY）</v>
      </c>
      <c r="O618" s="2239" t="n">
        <v>2.24475</v>
      </c>
      <c r="P618" s="2234" t="str">
        <v>LCU/USD</v>
      </c>
      <c r="Q618" s="2239" t="n">
        <v>1</v>
      </c>
      <c r="R618" s="2234" t="str">
        <v>A：机构统计／原始统计表</v>
      </c>
      <c r="S618" s="2234" t="str">
        <v>年度汇率!L58；原始记录!A475:M475</v>
      </c>
      <c r="T618" s="2234" t="str"/>
      <c r="U618" t="n" s="2231">
        <v>1978</v>
      </c>
      <c r="V618" t="str" s="2231">
        <v>西德德国马克（DEM）</v>
      </c>
    </row>
    <row r="619" ht="15.0" customHeight="1">
      <c r="A619" s="2234" t="n">
        <v>1973</v>
      </c>
      <c r="B619" s="2234" t="str">
        <v>USD</v>
      </c>
      <c r="C619" s="2234" t="str">
        <v>美元（USD）</v>
      </c>
      <c r="D619" s="2234" t="str">
        <v>可用</v>
      </c>
      <c r="E619" s="2238" t="n">
        <v>1</v>
      </c>
      <c r="F619" s="2234" t="str">
        <v>基准恒等</v>
      </c>
      <c r="G619" s="2234" t="str">
        <v>用户提供的历史汇率表</v>
      </c>
      <c r="H619" s="2234" t="str"/>
      <c r="I619" s="2234" t="str">
        <v>1973</v>
      </c>
      <c r="J619" s="2234" t="str">
        <v>historical_exchange_rates_1920_2026.xlsx</v>
      </c>
      <c r="K619" s="2234" t="str">
        <v>1 美元等于 1 美元，无外部报价。</v>
      </c>
      <c r="L619" s="2234" t="str">
        <v>美元基准，汇率恒为 1。</v>
      </c>
      <c r="M619" s="2234" t="str">
        <v>1973|美元（USD）</v>
      </c>
      <c r="N619" s="2234" t="str">
        <v>美元（USD）</v>
      </c>
      <c r="O619" s="2239"/>
      <c r="P619" s="2234" t="str"/>
      <c r="Q619" s="2239"/>
      <c r="R619" s="2234" t="str"/>
      <c r="S619" s="2234" t="str">
        <v>年度汇率!B59</v>
      </c>
      <c r="T619" s="2234" t="str"/>
      <c r="U619" t="n" s="2231">
        <v>1978</v>
      </c>
      <c r="V619" t="str" s="2231">
        <v>意大利里拉（ITL）</v>
      </c>
    </row>
    <row r="620" ht="24.0" customHeight="1">
      <c r="A620" s="2234" t="n">
        <v>1973</v>
      </c>
      <c r="B620" s="2234" t="str">
        <v>GBP</v>
      </c>
      <c r="C620" s="2234" t="str">
        <v>英镑（GBP）</v>
      </c>
      <c r="D620" s="2234" t="str">
        <v>可用</v>
      </c>
      <c r="E620" s="2238" t="n">
        <v>0.4077471967380224</v>
      </c>
      <c r="F620" s="2234" t="str">
        <v>年均</v>
      </c>
      <c r="G620" s="2234" t="str">
        <v>Federal Reserve G.5A / FRED AEXUSUK</v>
      </c>
      <c r="H620" s="2234" t="str">
        <v>https://fred.stlouisfed.org/data/AEXUSUK</v>
      </c>
      <c r="I620" s="2234" t="str">
        <v>1973-01-01—1973-12-31</v>
      </c>
      <c r="J620" s="2234" t="str">
        <v>historical_exchange_rates_1920_2026.xlsx</v>
      </c>
      <c r="K620" s="2234" t="str">
        <v>反向值由原报价均值取倒数；不等于反向日度汇率的算术平均。
年均USD/GBP；主表取倒数，不等于逐日GBP/USD平均。</v>
      </c>
      <c r="L620" s="2234" t="str">
        <v>原报价为每单位本币兑美元，取原报价均值的倒数；不等于反向日度汇率的算术平均。</v>
      </c>
      <c r="M620" s="2234" t="str">
        <v>1973|英镑（GBP）</v>
      </c>
      <c r="N620" s="2234" t="str">
        <v>英镑（GBP）</v>
      </c>
      <c r="O620" s="2239" t="n">
        <v>2.4525</v>
      </c>
      <c r="P620" s="2234" t="str">
        <v>USD/LCU</v>
      </c>
      <c r="Q620" s="2239" t="n">
        <v>1</v>
      </c>
      <c r="R620" s="2234" t="str">
        <v>A：机构统计／原始统计表</v>
      </c>
      <c r="S620" s="2234" t="str">
        <v>年度汇率!C59；原始记录!A476:M476</v>
      </c>
      <c r="T620" s="2234" t="str"/>
      <c r="U620" t="n" s="2231">
        <v>1978</v>
      </c>
      <c r="V620" t="str" s="2231">
        <v>日元（JPY）</v>
      </c>
    </row>
    <row r="621" ht="15.0" customHeight="1">
      <c r="A621" s="2234" t="n">
        <v>1973</v>
      </c>
      <c r="B621" s="2234" t="str">
        <v>CAD</v>
      </c>
      <c r="C621" s="2234" t="str">
        <v>加拿大元（CAD）</v>
      </c>
      <c r="D621" s="2234" t="str">
        <v>可用</v>
      </c>
      <c r="E621" s="2238" t="n">
        <v>1.0002</v>
      </c>
      <c r="F621" s="2234" t="str">
        <v>年均</v>
      </c>
      <c r="G621" s="2234" t="str">
        <v>Federal Reserve G.5A / FRED AEXCAUS</v>
      </c>
      <c r="H621" s="2234" t="str">
        <v>https://fred.stlouisfed.org/data/AEXCAUS</v>
      </c>
      <c r="I621" s="2234" t="str">
        <v>1973-01-01—1973-12-31</v>
      </c>
      <c r="J621" s="2234" t="str">
        <v>historical_exchange_rates_1920_2026.xlsx</v>
      </c>
      <c r="K621" s="2234" t="str"/>
      <c r="L621" s="2234" t="str">
        <v>原报价已按 1 美元兑换本币表示。</v>
      </c>
      <c r="M621" s="2234" t="str">
        <v>1973|加拿大元（CAD）</v>
      </c>
      <c r="N621" s="2234" t="str">
        <v>加拿大元（CAD）</v>
      </c>
      <c r="O621" s="2239" t="n">
        <v>1.0002</v>
      </c>
      <c r="P621" s="2234" t="str">
        <v>LCU/USD</v>
      </c>
      <c r="Q621" s="2239" t="n">
        <v>1</v>
      </c>
      <c r="R621" s="2234" t="str">
        <v>A：机构统计／原始统计表</v>
      </c>
      <c r="S621" s="2234" t="str">
        <v>年度汇率!D59；原始记录!A477:M477</v>
      </c>
      <c r="T621" s="2234" t="str"/>
      <c r="U621" t="n" s="2231">
        <v>1978</v>
      </c>
      <c r="V621" t="str" s="2231">
        <v>瑞士法郎（CHF）</v>
      </c>
    </row>
    <row r="622" ht="36.0" customHeight="1">
      <c r="A622" s="2234" t="n">
        <v>1973</v>
      </c>
      <c r="B622" s="2234" t="str">
        <v>FRF</v>
      </c>
      <c r="C622" s="2234" t="str">
        <v>法国法郎（FRF；1960币制）</v>
      </c>
      <c r="D622" s="2234" t="str">
        <v>可用</v>
      </c>
      <c r="E622" s="2238" t="n">
        <v>4.453849999850178</v>
      </c>
      <c r="F622" s="2234" t="str">
        <v>年均</v>
      </c>
      <c r="G622" s="2234" t="str">
        <v>OECD via FRED：FR年均汇率（欧元单位回溯序列）</v>
      </c>
      <c r="H622" s="2234" t="str">
        <v>https://fred.stlouisfed.org/data/CCUSMA02FRA618N</v>
      </c>
      <c r="I622" s="2234" t="str">
        <v>1973-01-01—1973-12-31</v>
      </c>
      <c r="J622" s="2234" t="str">
        <v>historical_exchange_rates_1920_2026.xlsx</v>
      </c>
      <c r="K622" s="2234" t="str">
        <v>由欧元回溯单位还原当年本币；非当年实际欧元报价。 欧元回溯单位按不可撤销转换率还原；法国1960年前另乘100。
原序列单位为回溯欧元；乘不可撤销转换率还原当年本币。法国1957–1959另乘100还原旧法郎。</v>
      </c>
      <c r="L622" s="2234" t="str">
        <v>原报价已按 1 美元兑换本币表示。乘以 6.55957，还原当年币制的计价单位。</v>
      </c>
      <c r="M622" s="2234" t="str">
        <v>1973|法国法郎（FRF；1960币制）</v>
      </c>
      <c r="N622" s="2234" t="str">
        <v>法国法郎（FRF；1960币制）</v>
      </c>
      <c r="O622" s="2239" t="n">
        <v>0.6789850554</v>
      </c>
      <c r="P622" s="2234" t="str">
        <v>LCU/USD</v>
      </c>
      <c r="Q622" s="2239" t="n">
        <v>6.55957</v>
      </c>
      <c r="R622" s="2234" t="str">
        <v>A：机构统计／原始统计表</v>
      </c>
      <c r="S622" s="2234" t="str">
        <v>年度汇率!E59；原始记录!A478:M478</v>
      </c>
      <c r="T622" s="2234" t="str"/>
      <c r="U622" t="n" s="2231">
        <v>1978</v>
      </c>
      <c r="V622" t="str" s="2231">
        <v>印度卢比（INR）</v>
      </c>
    </row>
    <row r="623" ht="36.0" customHeight="1">
      <c r="A623" s="2234" t="n">
        <v>1973</v>
      </c>
      <c r="B623" s="2234" t="str">
        <v>DEM</v>
      </c>
      <c r="C623" s="2234" t="str">
        <v>西德德国马克（DEM）</v>
      </c>
      <c r="D623" s="2234" t="str">
        <v>可用</v>
      </c>
      <c r="E623" s="2238" t="n">
        <v>2.6715833333871886</v>
      </c>
      <c r="F623" s="2234" t="str">
        <v>年均</v>
      </c>
      <c r="G623" s="2234" t="str">
        <v>OECD via FRED：DE年均汇率（欧元单位回溯序列）</v>
      </c>
      <c r="H623" s="2234" t="str">
        <v>https://fred.stlouisfed.org/data/CCUSMA02DEA618N</v>
      </c>
      <c r="I623" s="2234" t="str">
        <v>1973-01-01—1973-12-31</v>
      </c>
      <c r="J623" s="2234" t="str">
        <v>historical_exchange_rates_1920_2026.xlsx</v>
      </c>
      <c r="K623" s="2234" t="str">
        <v>由欧元回溯单位还原当年本币；非当年实际欧元报价。 欧元回溯单位按不可撤销转换率还原；法国1960年前另乘100。
原序列单位为回溯欧元；乘不可撤销转换率还原当年本币。法国1957–1959另乘100还原旧法郎。</v>
      </c>
      <c r="L623" s="2234" t="str">
        <v>原报价已按 1 美元兑换本币表示。乘以 1.95583，还原当年币制的计价单位。</v>
      </c>
      <c r="M623" s="2234" t="str">
        <v>1973|西德德国马克（DEM）</v>
      </c>
      <c r="N623" s="2234" t="str">
        <v>西德德国马克（DEM）</v>
      </c>
      <c r="O623" s="2239" t="n">
        <v>1.3659588683</v>
      </c>
      <c r="P623" s="2234" t="str">
        <v>LCU/USD</v>
      </c>
      <c r="Q623" s="2239" t="n">
        <v>1.95583</v>
      </c>
      <c r="R623" s="2234" t="str">
        <v>A：机构统计／原始统计表</v>
      </c>
      <c r="S623" s="2234" t="str">
        <v>年度汇率!F59、年度汇率!M59；原始记录!A479:M479</v>
      </c>
      <c r="T623" s="2234" t="str"/>
      <c r="U623" t="n" s="2231">
        <v>1978</v>
      </c>
      <c r="V623" t="str" s="2231">
        <v>苏联卢布（1961币制）</v>
      </c>
    </row>
    <row r="624" ht="36.0" customHeight="1">
      <c r="A624" s="2234" t="n">
        <v>1973</v>
      </c>
      <c r="B624" s="2234" t="str">
        <v>ITL</v>
      </c>
      <c r="C624" s="2234" t="str">
        <v>意大利里拉（ITL）</v>
      </c>
      <c r="D624" s="2234" t="str">
        <v>可用</v>
      </c>
      <c r="E624" s="2238" t="n">
        <v>581.990466638959</v>
      </c>
      <c r="F624" s="2234" t="str">
        <v>年均</v>
      </c>
      <c r="G624" s="2234" t="str">
        <v>OECD via FRED：IT年均汇率（欧元单位回溯序列）</v>
      </c>
      <c r="H624" s="2234" t="str">
        <v>https://fred.stlouisfed.org/data/CCUSMA02ITA618N</v>
      </c>
      <c r="I624" s="2234" t="str">
        <v>1973-01-01—1973-12-31</v>
      </c>
      <c r="J624" s="2234" t="str">
        <v>historical_exchange_rates_1920_2026.xlsx</v>
      </c>
      <c r="K624" s="2234" t="str">
        <v>由欧元回溯单位还原当年本币；非当年实际欧元报价。 欧元回溯单位按不可撤销转换率还原；法国1960年前另乘100。
原序列单位为回溯欧元；乘不可撤销转换率还原当年本币。法国1957–1959另乘100还原旧法郎。</v>
      </c>
      <c r="L624" s="2234" t="str">
        <v>原报价已按 1 美元兑换本币表示。乘以 1936.27，还原当年币制的计价单位。</v>
      </c>
      <c r="M624" s="2234" t="str">
        <v>1973|意大利里拉（ITL）</v>
      </c>
      <c r="N624" s="2234" t="str">
        <v>意大利里拉（ITL）</v>
      </c>
      <c r="O624" s="2239" t="n">
        <v>0.3005729917</v>
      </c>
      <c r="P624" s="2234" t="str">
        <v>LCU/USD</v>
      </c>
      <c r="Q624" s="2239" t="n">
        <v>1936.27</v>
      </c>
      <c r="R624" s="2234" t="str">
        <v>A：机构统计／原始统计表</v>
      </c>
      <c r="S624" s="2234" t="str">
        <v>年度汇率!G59；原始记录!A480:M480</v>
      </c>
      <c r="T624" s="2234" t="str"/>
      <c r="U624" t="n" s="2231">
        <v>1978</v>
      </c>
      <c r="V624" t="str" s="2231">
        <v>人民币元（1955币制；CNY）</v>
      </c>
    </row>
    <row r="625" ht="15.0" customHeight="1">
      <c r="A625" s="2234" t="n">
        <v>1973</v>
      </c>
      <c r="B625" s="2234" t="str">
        <v>JPY</v>
      </c>
      <c r="C625" s="2234" t="str">
        <v>日元（JPY）</v>
      </c>
      <c r="D625" s="2234" t="str">
        <v>可用</v>
      </c>
      <c r="E625" s="2238" t="n">
        <v>271.3055</v>
      </c>
      <c r="F625" s="2234" t="str">
        <v>年均</v>
      </c>
      <c r="G625" s="2234" t="str">
        <v>Federal Reserve G.5A / FRED AEXJPUS</v>
      </c>
      <c r="H625" s="2234" t="str">
        <v>https://fred.stlouisfed.org/data/AEXJPUS</v>
      </c>
      <c r="I625" s="2234" t="str">
        <v>1973-01-01—1973-12-31</v>
      </c>
      <c r="J625" s="2234" t="str">
        <v>historical_exchange_rates_1920_2026.xlsx</v>
      </c>
      <c r="K625" s="2234" t="str"/>
      <c r="L625" s="2234" t="str">
        <v>原报价已按 1 美元兑换本币表示。</v>
      </c>
      <c r="M625" s="2234" t="str">
        <v>1973|日元（JPY）</v>
      </c>
      <c r="N625" s="2234" t="str">
        <v>日元（JPY）</v>
      </c>
      <c r="O625" s="2239" t="n">
        <v>271.3055</v>
      </c>
      <c r="P625" s="2234" t="str">
        <v>LCU/USD</v>
      </c>
      <c r="Q625" s="2239" t="n">
        <v>1</v>
      </c>
      <c r="R625" s="2234" t="str">
        <v>A：机构统计／原始统计表</v>
      </c>
      <c r="S625" s="2234" t="str">
        <v>年度汇率!H59；原始记录!A481:M481</v>
      </c>
      <c r="T625" s="2234" t="str"/>
      <c r="U625" t="n" s="2231">
        <v>1979</v>
      </c>
      <c r="V625" t="str" s="2231">
        <v>美元（USD）</v>
      </c>
    </row>
    <row r="626" ht="15.0" customHeight="1">
      <c r="A626" s="2234" t="n">
        <v>1973</v>
      </c>
      <c r="B626" s="2234" t="str">
        <v>CHF</v>
      </c>
      <c r="C626" s="2234" t="str">
        <v>瑞士法郎（CHF）</v>
      </c>
      <c r="D626" s="2234" t="str">
        <v>可用</v>
      </c>
      <c r="E626" s="2238" t="n">
        <v>3.1688</v>
      </c>
      <c r="F626" s="2234" t="str">
        <v>年均</v>
      </c>
      <c r="G626" s="2234" t="str">
        <v>Federal Reserve G.5A / FRED AEXSZUS</v>
      </c>
      <c r="H626" s="2234" t="str">
        <v>https://fred.stlouisfed.org/data/AEXSZUS</v>
      </c>
      <c r="I626" s="2234" t="str">
        <v>1973-01-01—1973-12-31</v>
      </c>
      <c r="J626" s="2234" t="str">
        <v>historical_exchange_rates_1920_2026.xlsx</v>
      </c>
      <c r="K626" s="2234" t="str"/>
      <c r="L626" s="2234" t="str">
        <v>原报价已按 1 美元兑换本币表示。</v>
      </c>
      <c r="M626" s="2234" t="str">
        <v>1973|瑞士法郎（CHF）</v>
      </c>
      <c r="N626" s="2234" t="str">
        <v>瑞士法郎（CHF）</v>
      </c>
      <c r="O626" s="2239" t="n">
        <v>3.1688</v>
      </c>
      <c r="P626" s="2234" t="str">
        <v>LCU/USD</v>
      </c>
      <c r="Q626" s="2239" t="n">
        <v>1</v>
      </c>
      <c r="R626" s="2234" t="str">
        <v>A：机构统计／原始统计表</v>
      </c>
      <c r="S626" s="2234" t="str">
        <v>年度汇率!I59；原始记录!A482:M482</v>
      </c>
      <c r="T626" s="2234" t="str"/>
      <c r="U626" t="n" s="2231">
        <v>1979</v>
      </c>
      <c r="V626" t="str" s="2231">
        <v>英镑（GBP）</v>
      </c>
    </row>
    <row r="627" ht="15.0" customHeight="1">
      <c r="A627" s="2234" t="n">
        <v>1973</v>
      </c>
      <c r="B627" s="2234" t="str">
        <v>INR</v>
      </c>
      <c r="C627" s="2234" t="str">
        <v>印度卢比（INR）</v>
      </c>
      <c r="D627" s="2234" t="str">
        <v>可用</v>
      </c>
      <c r="E627" s="2238" t="n">
        <v>7.6541</v>
      </c>
      <c r="F627" s="2234" t="str">
        <v>年均</v>
      </c>
      <c r="G627" s="2234" t="str">
        <v>Federal Reserve G.5A / FRED AEXINUS</v>
      </c>
      <c r="H627" s="2234" t="str">
        <v>https://fred.stlouisfed.org/data/AEXINUS</v>
      </c>
      <c r="I627" s="2234" t="str">
        <v>1973-01-01—1973-12-31</v>
      </c>
      <c r="J627" s="2234" t="str">
        <v>historical_exchange_rates_1920_2026.xlsx</v>
      </c>
      <c r="K627" s="2234" t="str"/>
      <c r="L627" s="2234" t="str">
        <v>原报价已按 1 美元兑换本币表示。</v>
      </c>
      <c r="M627" s="2234" t="str">
        <v>1973|印度卢比（INR）</v>
      </c>
      <c r="N627" s="2234" t="str">
        <v>印度卢比（INR）</v>
      </c>
      <c r="O627" s="2239" t="n">
        <v>7.6541</v>
      </c>
      <c r="P627" s="2234" t="str">
        <v>LCU/USD</v>
      </c>
      <c r="Q627" s="2239" t="n">
        <v>1</v>
      </c>
      <c r="R627" s="2234" t="str">
        <v>A：机构统计／原始统计表</v>
      </c>
      <c r="S627" s="2234" t="str">
        <v>年度汇率!J59；原始记录!A483:M483</v>
      </c>
      <c r="T627" s="2234" t="str"/>
      <c r="U627" t="n" s="2231">
        <v>1979</v>
      </c>
      <c r="V627" t="str" s="2231">
        <v>加拿大元（CAD）</v>
      </c>
    </row>
    <row r="628" ht="36.0" customHeight="1">
      <c r="A628" s="2234" t="n">
        <v>1973</v>
      </c>
      <c r="B628" s="2234" t="str">
        <v>SUR_1961</v>
      </c>
      <c r="C628" s="2234" t="str">
        <v>苏联卢布（1961币制）</v>
      </c>
      <c r="D628" s="2234" t="str">
        <v>可用</v>
      </c>
      <c r="E628" s="2238" t="n">
        <v>0.826</v>
      </c>
      <c r="F628" s="2234" t="str">
        <v>定点官价参考（非年均）</v>
      </c>
      <c r="G628" s="2234" t="str">
        <v>苏联卢布历史官价表（Wikipedia转引俄央行历史档案）</v>
      </c>
      <c r="H628" s="2234" t="str">
        <v>https://en.wikipedia.org/wiki/Soviet_ruble#Exchange_rates</v>
      </c>
      <c r="I628" s="2234" t="str">
        <v>1973-01-01</v>
      </c>
      <c r="J628" s="2234" t="str">
        <v>historical_exchange_rates_1920_2026.xlsx</v>
      </c>
      <c r="K628"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628" s="2234" t="str">
        <v>原报价已按 1 美元兑换本币表示。</v>
      </c>
      <c r="M628" s="2234" t="str">
        <v>1973|苏联卢布（1961币制）</v>
      </c>
      <c r="N628" s="2234" t="str">
        <v>苏联卢布（1961币制）</v>
      </c>
      <c r="O628" s="2239" t="n">
        <v>0.826</v>
      </c>
      <c r="P628" s="2234" t="str">
        <v>LCU/USD</v>
      </c>
      <c r="Q628" s="2239" t="n">
        <v>1</v>
      </c>
      <c r="R628" s="2234" t="str">
        <v>C：二手转引（原档未复核）</v>
      </c>
      <c r="S628" s="2234" t="str">
        <v>年度汇率!K59；原始记录!A484:M484</v>
      </c>
      <c r="T628" s="2234" t="str">
        <v>官价参考，并非市场年均汇率</v>
      </c>
      <c r="U628" t="n" s="2231">
        <v>1979</v>
      </c>
      <c r="V628" t="str" s="2231">
        <v>法国法郎（FRF；1960币制）</v>
      </c>
    </row>
    <row r="629" ht="15.0" customHeight="1">
      <c r="A629" s="2234" t="n">
        <v>1973</v>
      </c>
      <c r="B629" s="2234" t="str">
        <v>CNY</v>
      </c>
      <c r="C629" s="2234" t="str">
        <v>人民币元（1955币制；CNY）</v>
      </c>
      <c r="D629" s="2234" t="str">
        <v>可用</v>
      </c>
      <c r="E629" s="2238" t="n">
        <v>1.98925</v>
      </c>
      <c r="F629" s="2234" t="str">
        <v>年均</v>
      </c>
      <c r="G629" s="2234" t="str">
        <v>OECD via FRED：CNY年均汇率</v>
      </c>
      <c r="H629" s="2234" t="str">
        <v>https://fred.stlouisfed.org/data/CCUSMA02CNA618N</v>
      </c>
      <c r="I629" s="2234" t="str">
        <v>1973-01-01—1973-12-31</v>
      </c>
      <c r="J629" s="2234" t="str">
        <v>historical_exchange_rates_1920_2026.xlsx</v>
      </c>
      <c r="K629" s="2234" t="str">
        <v>单位为本币／美元；中国和印度早期数据主要反映官方汇率。</v>
      </c>
      <c r="L629" s="2234" t="str">
        <v>原报价已按 1 美元兑换本币表示。</v>
      </c>
      <c r="M629" s="2234" t="str">
        <v>1973|人民币元（1955币制；CNY）</v>
      </c>
      <c r="N629" s="2234" t="str">
        <v>人民币元（1955币制；CNY）</v>
      </c>
      <c r="O629" s="2239" t="n">
        <v>1.98925</v>
      </c>
      <c r="P629" s="2234" t="str">
        <v>LCU/USD</v>
      </c>
      <c r="Q629" s="2239" t="n">
        <v>1</v>
      </c>
      <c r="R629" s="2234" t="str">
        <v>A：机构统计／原始统计表</v>
      </c>
      <c r="S629" s="2234" t="str">
        <v>年度汇率!L59；原始记录!A485:M485</v>
      </c>
      <c r="T629" s="2234" t="str"/>
      <c r="U629" t="n" s="2231">
        <v>1979</v>
      </c>
      <c r="V629" t="str" s="2231">
        <v>西德德国马克（DEM）</v>
      </c>
    </row>
    <row r="630" ht="15.0" customHeight="1">
      <c r="A630" s="2234" t="n">
        <v>1974</v>
      </c>
      <c r="B630" s="2234" t="str">
        <v>USD</v>
      </c>
      <c r="C630" s="2234" t="str">
        <v>美元（USD）</v>
      </c>
      <c r="D630" s="2234" t="str">
        <v>可用</v>
      </c>
      <c r="E630" s="2238" t="n">
        <v>1</v>
      </c>
      <c r="F630" s="2234" t="str">
        <v>基准恒等</v>
      </c>
      <c r="G630" s="2234" t="str">
        <v>用户提供的历史汇率表</v>
      </c>
      <c r="H630" s="2234" t="str"/>
      <c r="I630" s="2234" t="str">
        <v>1974</v>
      </c>
      <c r="J630" s="2234" t="str">
        <v>historical_exchange_rates_1920_2026.xlsx</v>
      </c>
      <c r="K630" s="2234" t="str">
        <v>1 美元等于 1 美元，无外部报价。</v>
      </c>
      <c r="L630" s="2234" t="str">
        <v>美元基准，汇率恒为 1。</v>
      </c>
      <c r="M630" s="2234" t="str">
        <v>1974|美元（USD）</v>
      </c>
      <c r="N630" s="2234" t="str">
        <v>美元（USD）</v>
      </c>
      <c r="O630" s="2239"/>
      <c r="P630" s="2234" t="str"/>
      <c r="Q630" s="2239"/>
      <c r="R630" s="2234" t="str"/>
      <c r="S630" s="2234" t="str">
        <v>年度汇率!B60</v>
      </c>
      <c r="T630" s="2234" t="str"/>
      <c r="U630" t="n" s="2231">
        <v>1979</v>
      </c>
      <c r="V630" t="str" s="2231">
        <v>意大利里拉（ITL）</v>
      </c>
    </row>
    <row r="631" ht="24.0" customHeight="1">
      <c r="A631" s="2234" t="n">
        <v>1974</v>
      </c>
      <c r="B631" s="2234" t="str">
        <v>GBP</v>
      </c>
      <c r="C631" s="2234" t="str">
        <v>英镑（GBP）</v>
      </c>
      <c r="D631" s="2234" t="str">
        <v>可用</v>
      </c>
      <c r="E631" s="2238" t="n">
        <v>0.4272956458573687</v>
      </c>
      <c r="F631" s="2234" t="str">
        <v>年均</v>
      </c>
      <c r="G631" s="2234" t="str">
        <v>Federal Reserve G.5A / FRED AEXUSUK</v>
      </c>
      <c r="H631" s="2234" t="str">
        <v>https://fred.stlouisfed.org/data/AEXUSUK</v>
      </c>
      <c r="I631" s="2234" t="str">
        <v>1974-01-01—1974-12-31</v>
      </c>
      <c r="J631" s="2234" t="str">
        <v>historical_exchange_rates_1920_2026.xlsx</v>
      </c>
      <c r="K631" s="2234" t="str">
        <v>反向值由原报价均值取倒数；不等于反向日度汇率的算术平均。
年均USD/GBP；主表取倒数，不等于逐日GBP/USD平均。</v>
      </c>
      <c r="L631" s="2234" t="str">
        <v>原报价为每单位本币兑美元，取原报价均值的倒数；不等于反向日度汇率的算术平均。</v>
      </c>
      <c r="M631" s="2234" t="str">
        <v>1974|英镑（GBP）</v>
      </c>
      <c r="N631" s="2234" t="str">
        <v>英镑（GBP）</v>
      </c>
      <c r="O631" s="2239" t="n">
        <v>2.3403</v>
      </c>
      <c r="P631" s="2234" t="str">
        <v>USD/LCU</v>
      </c>
      <c r="Q631" s="2239" t="n">
        <v>1</v>
      </c>
      <c r="R631" s="2234" t="str">
        <v>A：机构统计／原始统计表</v>
      </c>
      <c r="S631" s="2234" t="str">
        <v>年度汇率!C60；原始记录!A486:M486</v>
      </c>
      <c r="T631" s="2234" t="str"/>
      <c r="U631" t="n" s="2231">
        <v>1979</v>
      </c>
      <c r="V631" t="str" s="2231">
        <v>日元（JPY）</v>
      </c>
    </row>
    <row r="632" ht="15.0" customHeight="1">
      <c r="A632" s="2234" t="n">
        <v>1974</v>
      </c>
      <c r="B632" s="2234" t="str">
        <v>CAD</v>
      </c>
      <c r="C632" s="2234" t="str">
        <v>加拿大元（CAD）</v>
      </c>
      <c r="D632" s="2234" t="str">
        <v>可用</v>
      </c>
      <c r="E632" s="2238" t="n">
        <v>0.978</v>
      </c>
      <c r="F632" s="2234" t="str">
        <v>年均</v>
      </c>
      <c r="G632" s="2234" t="str">
        <v>Federal Reserve G.5A / FRED AEXCAUS</v>
      </c>
      <c r="H632" s="2234" t="str">
        <v>https://fred.stlouisfed.org/data/AEXCAUS</v>
      </c>
      <c r="I632" s="2234" t="str">
        <v>1974-01-01—1974-12-31</v>
      </c>
      <c r="J632" s="2234" t="str">
        <v>historical_exchange_rates_1920_2026.xlsx</v>
      </c>
      <c r="K632" s="2234" t="str"/>
      <c r="L632" s="2234" t="str">
        <v>原报价已按 1 美元兑换本币表示。</v>
      </c>
      <c r="M632" s="2234" t="str">
        <v>1974|加拿大元（CAD）</v>
      </c>
      <c r="N632" s="2234" t="str">
        <v>加拿大元（CAD）</v>
      </c>
      <c r="O632" s="2239" t="n">
        <v>0.978</v>
      </c>
      <c r="P632" s="2234" t="str">
        <v>LCU/USD</v>
      </c>
      <c r="Q632" s="2239" t="n">
        <v>1</v>
      </c>
      <c r="R632" s="2234" t="str">
        <v>A：机构统计／原始统计表</v>
      </c>
      <c r="S632" s="2234" t="str">
        <v>年度汇率!D60；原始记录!A487:M487</v>
      </c>
      <c r="T632" s="2234" t="str"/>
      <c r="U632" t="n" s="2231">
        <v>1979</v>
      </c>
      <c r="V632" t="str" s="2231">
        <v>瑞士法郎（CHF）</v>
      </c>
    </row>
    <row r="633" ht="36.0" customHeight="1">
      <c r="A633" s="2234" t="n">
        <v>1974</v>
      </c>
      <c r="B633" s="2234" t="str">
        <v>FRF</v>
      </c>
      <c r="C633" s="2234" t="str">
        <v>法国法郎（FRF；1960币制）</v>
      </c>
      <c r="D633" s="2234" t="str">
        <v>可用</v>
      </c>
      <c r="E633" s="2238" t="n">
        <v>4.809241666400749</v>
      </c>
      <c r="F633" s="2234" t="str">
        <v>年均</v>
      </c>
      <c r="G633" s="2234" t="str">
        <v>OECD via FRED：FR年均汇率（欧元单位回溯序列）</v>
      </c>
      <c r="H633" s="2234" t="str">
        <v>https://fred.stlouisfed.org/data/CCUSMA02FRA618N</v>
      </c>
      <c r="I633" s="2234" t="str">
        <v>1974-01-01—1974-12-31</v>
      </c>
      <c r="J633" s="2234" t="str">
        <v>historical_exchange_rates_1920_2026.xlsx</v>
      </c>
      <c r="K633" s="2234" t="str">
        <v>由欧元回溯单位还原当年本币；非当年实际欧元报价。 欧元回溯单位按不可撤销转换率还原；法国1960年前另乘100。
原序列单位为回溯欧元；乘不可撤销转换率还原当年本币。法国1957–1959另乘100还原旧法郎。</v>
      </c>
      <c r="L633" s="2234" t="str">
        <v>原报价已按 1 美元兑换本币表示。乘以 6.55957，还原当年币制的计价单位。</v>
      </c>
      <c r="M633" s="2234" t="str">
        <v>1974|法国法郎（FRF；1960币制）</v>
      </c>
      <c r="N633" s="2234" t="str">
        <v>法国法郎（FRF；1960币制）</v>
      </c>
      <c r="O633" s="2239" t="n">
        <v>0.7331641657</v>
      </c>
      <c r="P633" s="2234" t="str">
        <v>LCU/USD</v>
      </c>
      <c r="Q633" s="2239" t="n">
        <v>6.55957</v>
      </c>
      <c r="R633" s="2234" t="str">
        <v>A：机构统计／原始统计表</v>
      </c>
      <c r="S633" s="2234" t="str">
        <v>年度汇率!E60；原始记录!A488:M488</v>
      </c>
      <c r="T633" s="2234" t="str"/>
      <c r="U633" t="n" s="2231">
        <v>1979</v>
      </c>
      <c r="V633" t="str" s="2231">
        <v>印度卢比（INR）</v>
      </c>
    </row>
    <row r="634" ht="36.0" customHeight="1">
      <c r="A634" s="2234" t="n">
        <v>1974</v>
      </c>
      <c r="B634" s="2234" t="str">
        <v>DEM</v>
      </c>
      <c r="C634" s="2234" t="str">
        <v>西德德国马克（DEM）</v>
      </c>
      <c r="D634" s="2234" t="str">
        <v>可用</v>
      </c>
      <c r="E634" s="2238" t="n">
        <v>2.586391666744464</v>
      </c>
      <c r="F634" s="2234" t="str">
        <v>年均</v>
      </c>
      <c r="G634" s="2234" t="str">
        <v>OECD via FRED：DE年均汇率（欧元单位回溯序列）</v>
      </c>
      <c r="H634" s="2234" t="str">
        <v>https://fred.stlouisfed.org/data/CCUSMA02DEA618N</v>
      </c>
      <c r="I634" s="2234" t="str">
        <v>1974-01-01—1974-12-31</v>
      </c>
      <c r="J634" s="2234" t="str">
        <v>historical_exchange_rates_1920_2026.xlsx</v>
      </c>
      <c r="K634" s="2234" t="str">
        <v>由欧元回溯单位还原当年本币；非当年实际欧元报价。 欧元回溯单位按不可撤销转换率还原；法国1960年前另乘100。
原序列单位为回溯欧元；乘不可撤销转换率还原当年本币。法国1957–1959另乘100还原旧法郎。</v>
      </c>
      <c r="L634" s="2234" t="str">
        <v>原报价已按 1 美元兑换本币表示。乘以 1.95583，还原当年币制的计价单位。</v>
      </c>
      <c r="M634" s="2234" t="str">
        <v>1974|西德德国马克（DEM）</v>
      </c>
      <c r="N634" s="2234" t="str">
        <v>西德德国马克（DEM）</v>
      </c>
      <c r="O634" s="2239" t="n">
        <v>1.3224010608</v>
      </c>
      <c r="P634" s="2234" t="str">
        <v>LCU/USD</v>
      </c>
      <c r="Q634" s="2239" t="n">
        <v>1.95583</v>
      </c>
      <c r="R634" s="2234" t="str">
        <v>A：机构统计／原始统计表</v>
      </c>
      <c r="S634" s="2234" t="str">
        <v>年度汇率!F60、年度汇率!M60；原始记录!A489:M489</v>
      </c>
      <c r="T634" s="2234" t="str"/>
      <c r="U634" t="n" s="2231">
        <v>1979</v>
      </c>
      <c r="V634" t="str" s="2231">
        <v>苏联卢布（1961币制）</v>
      </c>
    </row>
    <row r="635" ht="36.0" customHeight="1">
      <c r="A635" s="2234" t="n">
        <v>1974</v>
      </c>
      <c r="B635" s="2234" t="str">
        <v>ITL</v>
      </c>
      <c r="C635" s="2234" t="str">
        <v>意大利里拉（ITL）</v>
      </c>
      <c r="D635" s="2234" t="str">
        <v>可用</v>
      </c>
      <c r="E635" s="2238" t="n">
        <v>650.322216611158</v>
      </c>
      <c r="F635" s="2234" t="str">
        <v>年均</v>
      </c>
      <c r="G635" s="2234" t="str">
        <v>OECD via FRED：IT年均汇率（欧元单位回溯序列）</v>
      </c>
      <c r="H635" s="2234" t="str">
        <v>https://fred.stlouisfed.org/data/CCUSMA02ITA618N</v>
      </c>
      <c r="I635" s="2234" t="str">
        <v>1974-01-01—1974-12-31</v>
      </c>
      <c r="J635" s="2234" t="str">
        <v>historical_exchange_rates_1920_2026.xlsx</v>
      </c>
      <c r="K635" s="2234" t="str">
        <v>由欧元回溯单位还原当年本币；非当年实际欧元报价。 欧元回溯单位按不可撤销转换率还原；法国1960年前另乘100。
原序列单位为回溯欧元；乘不可撤销转换率还原当年本币。法国1957–1959另乘100还原旧法郎。</v>
      </c>
      <c r="L635" s="2234" t="str">
        <v>原报价已按 1 美元兑换本币表示。乘以 1936.27，还原当年币制的计价单位。</v>
      </c>
      <c r="M635" s="2234" t="str">
        <v>1974|意大利里拉（ITL）</v>
      </c>
      <c r="N635" s="2234" t="str">
        <v>意大利里拉（ITL）</v>
      </c>
      <c r="O635" s="2239" t="n">
        <v>0.3358633954</v>
      </c>
      <c r="P635" s="2234" t="str">
        <v>LCU/USD</v>
      </c>
      <c r="Q635" s="2239" t="n">
        <v>1936.27</v>
      </c>
      <c r="R635" s="2234" t="str">
        <v>A：机构统计／原始统计表</v>
      </c>
      <c r="S635" s="2234" t="str">
        <v>年度汇率!G60；原始记录!A490:M490</v>
      </c>
      <c r="T635" s="2234" t="str"/>
      <c r="U635" t="n" s="2231">
        <v>1979</v>
      </c>
      <c r="V635" t="str" s="2231">
        <v>人民币元（1955币制；CNY）</v>
      </c>
    </row>
    <row r="636" ht="15.0" customHeight="1">
      <c r="A636" s="2234" t="n">
        <v>1974</v>
      </c>
      <c r="B636" s="2234" t="str">
        <v>JPY</v>
      </c>
      <c r="C636" s="2234" t="str">
        <v>日元（JPY）</v>
      </c>
      <c r="D636" s="2234" t="str">
        <v>可用</v>
      </c>
      <c r="E636" s="2238" t="n">
        <v>291.8446</v>
      </c>
      <c r="F636" s="2234" t="str">
        <v>年均</v>
      </c>
      <c r="G636" s="2234" t="str">
        <v>Federal Reserve G.5A / FRED AEXJPUS</v>
      </c>
      <c r="H636" s="2234" t="str">
        <v>https://fred.stlouisfed.org/data/AEXJPUS</v>
      </c>
      <c r="I636" s="2234" t="str">
        <v>1974-01-01—1974-12-31</v>
      </c>
      <c r="J636" s="2234" t="str">
        <v>historical_exchange_rates_1920_2026.xlsx</v>
      </c>
      <c r="K636" s="2234" t="str"/>
      <c r="L636" s="2234" t="str">
        <v>原报价已按 1 美元兑换本币表示。</v>
      </c>
      <c r="M636" s="2234" t="str">
        <v>1974|日元（JPY）</v>
      </c>
      <c r="N636" s="2234" t="str">
        <v>日元（JPY）</v>
      </c>
      <c r="O636" s="2239" t="n">
        <v>291.8446</v>
      </c>
      <c r="P636" s="2234" t="str">
        <v>LCU/USD</v>
      </c>
      <c r="Q636" s="2239" t="n">
        <v>1</v>
      </c>
      <c r="R636" s="2234" t="str">
        <v>A：机构统计／原始统计表</v>
      </c>
      <c r="S636" s="2234" t="str">
        <v>年度汇率!H60；原始记录!A491:M491</v>
      </c>
      <c r="T636" s="2234" t="str"/>
      <c r="U636" t="n" s="2231">
        <v>1980</v>
      </c>
      <c r="V636" t="str" s="2231">
        <v>美元（USD）</v>
      </c>
    </row>
    <row r="637" ht="15.0" customHeight="1">
      <c r="A637" s="2234" t="n">
        <v>1974</v>
      </c>
      <c r="B637" s="2234" t="str">
        <v>CHF</v>
      </c>
      <c r="C637" s="2234" t="str">
        <v>瑞士法郎（CHF）</v>
      </c>
      <c r="D637" s="2234" t="str">
        <v>可用</v>
      </c>
      <c r="E637" s="2238" t="n">
        <v>2.9805</v>
      </c>
      <c r="F637" s="2234" t="str">
        <v>年均</v>
      </c>
      <c r="G637" s="2234" t="str">
        <v>Federal Reserve G.5A / FRED AEXSZUS</v>
      </c>
      <c r="H637" s="2234" t="str">
        <v>https://fred.stlouisfed.org/data/AEXSZUS</v>
      </c>
      <c r="I637" s="2234" t="str">
        <v>1974-01-01—1974-12-31</v>
      </c>
      <c r="J637" s="2234" t="str">
        <v>historical_exchange_rates_1920_2026.xlsx</v>
      </c>
      <c r="K637" s="2234" t="str"/>
      <c r="L637" s="2234" t="str">
        <v>原报价已按 1 美元兑换本币表示。</v>
      </c>
      <c r="M637" s="2234" t="str">
        <v>1974|瑞士法郎（CHF）</v>
      </c>
      <c r="N637" s="2234" t="str">
        <v>瑞士法郎（CHF）</v>
      </c>
      <c r="O637" s="2239" t="n">
        <v>2.9805</v>
      </c>
      <c r="P637" s="2234" t="str">
        <v>LCU/USD</v>
      </c>
      <c r="Q637" s="2239" t="n">
        <v>1</v>
      </c>
      <c r="R637" s="2234" t="str">
        <v>A：机构统计／原始统计表</v>
      </c>
      <c r="S637" s="2234" t="str">
        <v>年度汇率!I60；原始记录!A492:M492</v>
      </c>
      <c r="T637" s="2234" t="str"/>
      <c r="U637" t="n" s="2231">
        <v>1980</v>
      </c>
      <c r="V637" t="str" s="2231">
        <v>英镑（GBP）</v>
      </c>
    </row>
    <row r="638" ht="15.0" customHeight="1">
      <c r="A638" s="2234" t="n">
        <v>1974</v>
      </c>
      <c r="B638" s="2234" t="str">
        <v>INR</v>
      </c>
      <c r="C638" s="2234" t="str">
        <v>印度卢比（INR）</v>
      </c>
      <c r="D638" s="2234" t="str">
        <v>可用</v>
      </c>
      <c r="E638" s="2238" t="n">
        <v>8.0289</v>
      </c>
      <c r="F638" s="2234" t="str">
        <v>年均</v>
      </c>
      <c r="G638" s="2234" t="str">
        <v>Federal Reserve G.5A / FRED AEXINUS</v>
      </c>
      <c r="H638" s="2234" t="str">
        <v>https://fred.stlouisfed.org/data/AEXINUS</v>
      </c>
      <c r="I638" s="2234" t="str">
        <v>1974-01-01—1974-12-31</v>
      </c>
      <c r="J638" s="2234" t="str">
        <v>historical_exchange_rates_1920_2026.xlsx</v>
      </c>
      <c r="K638" s="2234" t="str"/>
      <c r="L638" s="2234" t="str">
        <v>原报价已按 1 美元兑换本币表示。</v>
      </c>
      <c r="M638" s="2234" t="str">
        <v>1974|印度卢比（INR）</v>
      </c>
      <c r="N638" s="2234" t="str">
        <v>印度卢比（INR）</v>
      </c>
      <c r="O638" s="2239" t="n">
        <v>8.0289</v>
      </c>
      <c r="P638" s="2234" t="str">
        <v>LCU/USD</v>
      </c>
      <c r="Q638" s="2239" t="n">
        <v>1</v>
      </c>
      <c r="R638" s="2234" t="str">
        <v>A：机构统计／原始统计表</v>
      </c>
      <c r="S638" s="2234" t="str">
        <v>年度汇率!J60；原始记录!A493:M493</v>
      </c>
      <c r="T638" s="2234" t="str"/>
      <c r="U638" t="n" s="2231">
        <v>1980</v>
      </c>
      <c r="V638" t="str" s="2231">
        <v>加拿大元（CAD）</v>
      </c>
    </row>
    <row r="639" ht="36.0" customHeight="1">
      <c r="A639" s="2234" t="n">
        <v>1974</v>
      </c>
      <c r="B639" s="2234" t="str">
        <v>SUR_1961</v>
      </c>
      <c r="C639" s="2234" t="str">
        <v>苏联卢布（1961币制）</v>
      </c>
      <c r="D639" s="2234" t="str">
        <v>可用</v>
      </c>
      <c r="E639" s="2238" t="n">
        <v>0.7536</v>
      </c>
      <c r="F639" s="2234" t="str">
        <v>定点官价参考（非年均）</v>
      </c>
      <c r="G639" s="2234" t="str">
        <v>苏联卢布历史官价表（Wikipedia转引俄央行历史档案）</v>
      </c>
      <c r="H639" s="2234" t="str">
        <v>https://en.wikipedia.org/wiki/Soviet_ruble#Exchange_rates</v>
      </c>
      <c r="I639" s="2234" t="str">
        <v>1974-01-01</v>
      </c>
      <c r="J639" s="2234" t="str">
        <v>historical_exchange_rates_1920_2026.xlsx</v>
      </c>
      <c r="K639"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639" s="2234" t="str">
        <v>原报价已按 1 美元兑换本币表示。</v>
      </c>
      <c r="M639" s="2234" t="str">
        <v>1974|苏联卢布（1961币制）</v>
      </c>
      <c r="N639" s="2234" t="str">
        <v>苏联卢布（1961币制）</v>
      </c>
      <c r="O639" s="2239" t="n">
        <v>0.7536</v>
      </c>
      <c r="P639" s="2234" t="str">
        <v>LCU/USD</v>
      </c>
      <c r="Q639" s="2239" t="n">
        <v>1</v>
      </c>
      <c r="R639" s="2234" t="str">
        <v>C：二手转引（原档未复核）</v>
      </c>
      <c r="S639" s="2234" t="str">
        <v>年度汇率!K60；原始记录!A494:M494</v>
      </c>
      <c r="T639" s="2234" t="str">
        <v>官价参考，并非市场年均汇率</v>
      </c>
      <c r="U639" t="n" s="2231">
        <v>1980</v>
      </c>
      <c r="V639" t="str" s="2231">
        <v>法国法郎（FRF；1960币制）</v>
      </c>
    </row>
    <row r="640" ht="15.0" customHeight="1">
      <c r="A640" s="2234" t="n">
        <v>1974</v>
      </c>
      <c r="B640" s="2234" t="str">
        <v>CNY</v>
      </c>
      <c r="C640" s="2234" t="str">
        <v>人民币元（1955币制；CNY）</v>
      </c>
      <c r="D640" s="2234" t="str">
        <v>可用</v>
      </c>
      <c r="E640" s="2238" t="n">
        <v>1.96116666666667</v>
      </c>
      <c r="F640" s="2234" t="str">
        <v>年均</v>
      </c>
      <c r="G640" s="2234" t="str">
        <v>OECD via FRED：CNY年均汇率</v>
      </c>
      <c r="H640" s="2234" t="str">
        <v>https://fred.stlouisfed.org/data/CCUSMA02CNA618N</v>
      </c>
      <c r="I640" s="2234" t="str">
        <v>1974-01-01—1974-12-31</v>
      </c>
      <c r="J640" s="2234" t="str">
        <v>historical_exchange_rates_1920_2026.xlsx</v>
      </c>
      <c r="K640" s="2234" t="str">
        <v>单位为本币／美元；中国和印度早期数据主要反映官方汇率。</v>
      </c>
      <c r="L640" s="2234" t="str">
        <v>原报价已按 1 美元兑换本币表示。</v>
      </c>
      <c r="M640" s="2234" t="str">
        <v>1974|人民币元（1955币制；CNY）</v>
      </c>
      <c r="N640" s="2234" t="str">
        <v>人民币元（1955币制；CNY）</v>
      </c>
      <c r="O640" s="2239" t="n">
        <v>1.96116666666667</v>
      </c>
      <c r="P640" s="2234" t="str">
        <v>LCU/USD</v>
      </c>
      <c r="Q640" s="2239" t="n">
        <v>1</v>
      </c>
      <c r="R640" s="2234" t="str">
        <v>A：机构统计／原始统计表</v>
      </c>
      <c r="S640" s="2234" t="str">
        <v>年度汇率!L60；原始记录!A495:M495</v>
      </c>
      <c r="T640" s="2234" t="str"/>
      <c r="U640" t="n" s="2231">
        <v>1980</v>
      </c>
      <c r="V640" t="str" s="2231">
        <v>西德德国马克（DEM）</v>
      </c>
    </row>
    <row r="641" ht="15.0" customHeight="1">
      <c r="A641" s="2234" t="n">
        <v>1975</v>
      </c>
      <c r="B641" s="2234" t="str">
        <v>USD</v>
      </c>
      <c r="C641" s="2234" t="str">
        <v>美元（USD）</v>
      </c>
      <c r="D641" s="2234" t="str">
        <v>可用</v>
      </c>
      <c r="E641" s="2238" t="n">
        <v>1</v>
      </c>
      <c r="F641" s="2234" t="str">
        <v>基准恒等</v>
      </c>
      <c r="G641" s="2234" t="str">
        <v>用户提供的历史汇率表</v>
      </c>
      <c r="H641" s="2234" t="str"/>
      <c r="I641" s="2234" t="str">
        <v>1975</v>
      </c>
      <c r="J641" s="2234" t="str">
        <v>historical_exchange_rates_1920_2026.xlsx</v>
      </c>
      <c r="K641" s="2234" t="str">
        <v>1 美元等于 1 美元，无外部报价。</v>
      </c>
      <c r="L641" s="2234" t="str">
        <v>美元基准，汇率恒为 1。</v>
      </c>
      <c r="M641" s="2234" t="str">
        <v>1975|美元（USD）</v>
      </c>
      <c r="N641" s="2234" t="str">
        <v>美元（USD）</v>
      </c>
      <c r="O641" s="2239"/>
      <c r="P641" s="2234" t="str"/>
      <c r="Q641" s="2239"/>
      <c r="R641" s="2234" t="str"/>
      <c r="S641" s="2234" t="str">
        <v>年度汇率!B61</v>
      </c>
      <c r="T641" s="2234" t="str"/>
      <c r="U641" t="n" s="2231">
        <v>1980</v>
      </c>
      <c r="V641" t="str" s="2231">
        <v>意大利里拉（ITL）</v>
      </c>
    </row>
    <row r="642" ht="24.0" customHeight="1">
      <c r="A642" s="2234" t="n">
        <v>1975</v>
      </c>
      <c r="B642" s="2234" t="str">
        <v>GBP</v>
      </c>
      <c r="C642" s="2234" t="str">
        <v>英镑（GBP）</v>
      </c>
      <c r="D642" s="2234" t="str">
        <v>可用</v>
      </c>
      <c r="E642" s="2238" t="n">
        <v>0.45010577485709147</v>
      </c>
      <c r="F642" s="2234" t="str">
        <v>年均</v>
      </c>
      <c r="G642" s="2234" t="str">
        <v>Federal Reserve G.5A / FRED AEXUSUK</v>
      </c>
      <c r="H642" s="2234" t="str">
        <v>https://fred.stlouisfed.org/data/AEXUSUK</v>
      </c>
      <c r="I642" s="2234" t="str">
        <v>1975-01-01—1975-12-31</v>
      </c>
      <c r="J642" s="2234" t="str">
        <v>historical_exchange_rates_1920_2026.xlsx</v>
      </c>
      <c r="K642" s="2234" t="str">
        <v>反向值由原报价均值取倒数；不等于反向日度汇率的算术平均。
年均USD/GBP；主表取倒数，不等于逐日GBP/USD平均。</v>
      </c>
      <c r="L642" s="2234" t="str">
        <v>原报价为每单位本币兑美元，取原报价均值的倒数；不等于反向日度汇率的算术平均。</v>
      </c>
      <c r="M642" s="2234" t="str">
        <v>1975|英镑（GBP）</v>
      </c>
      <c r="N642" s="2234" t="str">
        <v>英镑（GBP）</v>
      </c>
      <c r="O642" s="2239" t="n">
        <v>2.2217</v>
      </c>
      <c r="P642" s="2234" t="str">
        <v>USD/LCU</v>
      </c>
      <c r="Q642" s="2239" t="n">
        <v>1</v>
      </c>
      <c r="R642" s="2234" t="str">
        <v>A：机构统计／原始统计表</v>
      </c>
      <c r="S642" s="2234" t="str">
        <v>年度汇率!C61；原始记录!A496:M496</v>
      </c>
      <c r="T642" s="2234" t="str"/>
      <c r="U642" t="n" s="2231">
        <v>1980</v>
      </c>
      <c r="V642" t="str" s="2231">
        <v>日元（JPY）</v>
      </c>
    </row>
    <row r="643" ht="15.0" customHeight="1">
      <c r="A643" s="2234" t="n">
        <v>1975</v>
      </c>
      <c r="B643" s="2234" t="str">
        <v>CAD</v>
      </c>
      <c r="C643" s="2234" t="str">
        <v>加拿大元（CAD）</v>
      </c>
      <c r="D643" s="2234" t="str">
        <v>可用</v>
      </c>
      <c r="E643" s="2238" t="n">
        <v>1.0175</v>
      </c>
      <c r="F643" s="2234" t="str">
        <v>年均</v>
      </c>
      <c r="G643" s="2234" t="str">
        <v>Federal Reserve G.5A / FRED AEXCAUS</v>
      </c>
      <c r="H643" s="2234" t="str">
        <v>https://fred.stlouisfed.org/data/AEXCAUS</v>
      </c>
      <c r="I643" s="2234" t="str">
        <v>1975-01-01—1975-12-31</v>
      </c>
      <c r="J643" s="2234" t="str">
        <v>historical_exchange_rates_1920_2026.xlsx</v>
      </c>
      <c r="K643" s="2234" t="str"/>
      <c r="L643" s="2234" t="str">
        <v>原报价已按 1 美元兑换本币表示。</v>
      </c>
      <c r="M643" s="2234" t="str">
        <v>1975|加拿大元（CAD）</v>
      </c>
      <c r="N643" s="2234" t="str">
        <v>加拿大元（CAD）</v>
      </c>
      <c r="O643" s="2239" t="n">
        <v>1.0175</v>
      </c>
      <c r="P643" s="2234" t="str">
        <v>LCU/USD</v>
      </c>
      <c r="Q643" s="2239" t="n">
        <v>1</v>
      </c>
      <c r="R643" s="2234" t="str">
        <v>A：机构统计／原始统计表</v>
      </c>
      <c r="S643" s="2234" t="str">
        <v>年度汇率!D61；原始记录!A497:M497</v>
      </c>
      <c r="T643" s="2234" t="str"/>
      <c r="U643" t="n" s="2231">
        <v>1980</v>
      </c>
      <c r="V643" t="str" s="2231">
        <v>瑞士法郎（CHF）</v>
      </c>
    </row>
    <row r="644" ht="36.0" customHeight="1">
      <c r="A644" s="2234" t="n">
        <v>1975</v>
      </c>
      <c r="B644" s="2234" t="str">
        <v>FRF</v>
      </c>
      <c r="C644" s="2234" t="str">
        <v>法国法郎（FRF；1960币制）</v>
      </c>
      <c r="D644" s="2234" t="str">
        <v>可用</v>
      </c>
      <c r="E644" s="2238" t="n">
        <v>4.287224999831703</v>
      </c>
      <c r="F644" s="2234" t="str">
        <v>年均</v>
      </c>
      <c r="G644" s="2234" t="str">
        <v>OECD via FRED：FR年均汇率（欧元单位回溯序列）</v>
      </c>
      <c r="H644" s="2234" t="str">
        <v>https://fred.stlouisfed.org/data/CCUSMA02FRA618N</v>
      </c>
      <c r="I644" s="2234" t="str">
        <v>1975-01-01—1975-12-31</v>
      </c>
      <c r="J644" s="2234" t="str">
        <v>historical_exchange_rates_1920_2026.xlsx</v>
      </c>
      <c r="K644" s="2234" t="str">
        <v>由欧元回溯单位还原当年本币；非当年实际欧元报价。 欧元回溯单位按不可撤销转换率还原；法国1960年前另乘100。
原序列单位为回溯欧元；乘不可撤销转换率还原当年本币。法国1957–1959另乘100还原旧法郎。</v>
      </c>
      <c r="L644" s="2234" t="str">
        <v>原报价已按 1 美元兑换本币表示。乘以 6.55957，还原当年币制的计价单位。</v>
      </c>
      <c r="M644" s="2234" t="str">
        <v>1975|法国法郎（FRF；1960币制）</v>
      </c>
      <c r="N644" s="2234" t="str">
        <v>法国法郎（FRF；1960币制）</v>
      </c>
      <c r="O644" s="2239" t="n">
        <v>0.6535832379</v>
      </c>
      <c r="P644" s="2234" t="str">
        <v>LCU/USD</v>
      </c>
      <c r="Q644" s="2239" t="n">
        <v>6.55957</v>
      </c>
      <c r="R644" s="2234" t="str">
        <v>A：机构统计／原始统计表</v>
      </c>
      <c r="S644" s="2234" t="str">
        <v>年度汇率!E61；原始记录!A498:M498</v>
      </c>
      <c r="T644" s="2234" t="str"/>
      <c r="U644" t="n" s="2231">
        <v>1980</v>
      </c>
      <c r="V644" t="str" s="2231">
        <v>印度卢比（INR）</v>
      </c>
    </row>
    <row r="645" ht="36.0" customHeight="1">
      <c r="A645" s="2234" t="n">
        <v>1975</v>
      </c>
      <c r="B645" s="2234" t="str">
        <v>DEM</v>
      </c>
      <c r="C645" s="2234" t="str">
        <v>西德德国马克（DEM）</v>
      </c>
      <c r="D645" s="2234" t="str">
        <v>可用</v>
      </c>
      <c r="E645" s="2238" t="n">
        <v>2.460366666603162</v>
      </c>
      <c r="F645" s="2234" t="str">
        <v>年均</v>
      </c>
      <c r="G645" s="2234" t="str">
        <v>OECD via FRED：DE年均汇率（欧元单位回溯序列）</v>
      </c>
      <c r="H645" s="2234" t="str">
        <v>https://fred.stlouisfed.org/data/CCUSMA02DEA618N</v>
      </c>
      <c r="I645" s="2234" t="str">
        <v>1975-01-01—1975-12-31</v>
      </c>
      <c r="J645" s="2234" t="str">
        <v>historical_exchange_rates_1920_2026.xlsx</v>
      </c>
      <c r="K645" s="2234" t="str">
        <v>由欧元回溯单位还原当年本币；非当年实际欧元报价。 欧元回溯单位按不可撤销转换率还原；法国1960年前另乘100。
原序列单位为回溯欧元；乘不可撤销转换率还原当年本币。法国1957–1959另乘100还原旧法郎。</v>
      </c>
      <c r="L645" s="2234" t="str">
        <v>原报价已按 1 美元兑换本币表示。乘以 1.95583，还原当年币制的计价单位。</v>
      </c>
      <c r="M645" s="2234" t="str">
        <v>1975|西德德国马克（DEM）</v>
      </c>
      <c r="N645" s="2234" t="str">
        <v>西德德国马克（DEM）</v>
      </c>
      <c r="O645" s="2239" t="n">
        <v>1.2579655014</v>
      </c>
      <c r="P645" s="2234" t="str">
        <v>LCU/USD</v>
      </c>
      <c r="Q645" s="2239" t="n">
        <v>1.95583</v>
      </c>
      <c r="R645" s="2234" t="str">
        <v>A：机构统计／原始统计表</v>
      </c>
      <c r="S645" s="2234" t="str">
        <v>年度汇率!F61、年度汇率!M61；原始记录!A499:M499</v>
      </c>
      <c r="T645" s="2234" t="str"/>
      <c r="U645" t="n" s="2231">
        <v>1980</v>
      </c>
      <c r="V645" t="str" s="2231">
        <v>苏联卢布（1961币制）</v>
      </c>
    </row>
    <row r="646" ht="36.0" customHeight="1">
      <c r="A646" s="2234" t="n">
        <v>1975</v>
      </c>
      <c r="B646" s="2234" t="str">
        <v>ITL</v>
      </c>
      <c r="C646" s="2234" t="str">
        <v>意大利里拉（ITL）</v>
      </c>
      <c r="D646" s="2234" t="str">
        <v>可用</v>
      </c>
      <c r="E646" s="2238" t="n">
        <v>652.7194999124031</v>
      </c>
      <c r="F646" s="2234" t="str">
        <v>年均</v>
      </c>
      <c r="G646" s="2234" t="str">
        <v>OECD via FRED：IT年均汇率（欧元单位回溯序列）</v>
      </c>
      <c r="H646" s="2234" t="str">
        <v>https://fred.stlouisfed.org/data/CCUSMA02ITA618N</v>
      </c>
      <c r="I646" s="2234" t="str">
        <v>1975-01-01—1975-12-31</v>
      </c>
      <c r="J646" s="2234" t="str">
        <v>historical_exchange_rates_1920_2026.xlsx</v>
      </c>
      <c r="K646" s="2234" t="str">
        <v>由欧元回溯单位还原当年本币；非当年实际欧元报价。 欧元回溯单位按不可撤销转换率还原；法国1960年前另乘100。
原序列单位为回溯欧元；乘不可撤销转换率还原当年本币。法国1957–1959另乘100还原旧法郎。</v>
      </c>
      <c r="L646" s="2234" t="str">
        <v>原报价已按 1 美元兑换本币表示。乘以 1936.27，还原当年币制的计价单位。</v>
      </c>
      <c r="M646" s="2234" t="str">
        <v>1975|意大利里拉（ITL）</v>
      </c>
      <c r="N646" s="2234" t="str">
        <v>意大利里拉（ITL）</v>
      </c>
      <c r="O646" s="2239" t="n">
        <v>0.3371014889</v>
      </c>
      <c r="P646" s="2234" t="str">
        <v>LCU/USD</v>
      </c>
      <c r="Q646" s="2239" t="n">
        <v>1936.27</v>
      </c>
      <c r="R646" s="2234" t="str">
        <v>A：机构统计／原始统计表</v>
      </c>
      <c r="S646" s="2234" t="str">
        <v>年度汇率!G61；原始记录!A500:M500</v>
      </c>
      <c r="T646" s="2234" t="str"/>
      <c r="U646" t="n" s="2231">
        <v>1980</v>
      </c>
      <c r="V646" t="str" s="2231">
        <v>人民币元（1955币制；CNY）</v>
      </c>
    </row>
    <row r="647" ht="15.0" customHeight="1">
      <c r="A647" s="2234" t="n">
        <v>1975</v>
      </c>
      <c r="B647" s="2234" t="str">
        <v>JPY</v>
      </c>
      <c r="C647" s="2234" t="str">
        <v>日元（JPY）</v>
      </c>
      <c r="D647" s="2234" t="str">
        <v>可用</v>
      </c>
      <c r="E647" s="2238" t="n">
        <v>296.7849</v>
      </c>
      <c r="F647" s="2234" t="str">
        <v>年均</v>
      </c>
      <c r="G647" s="2234" t="str">
        <v>Federal Reserve G.5A / FRED AEXJPUS</v>
      </c>
      <c r="H647" s="2234" t="str">
        <v>https://fred.stlouisfed.org/data/AEXJPUS</v>
      </c>
      <c r="I647" s="2234" t="str">
        <v>1975-01-01—1975-12-31</v>
      </c>
      <c r="J647" s="2234" t="str">
        <v>historical_exchange_rates_1920_2026.xlsx</v>
      </c>
      <c r="K647" s="2234" t="str"/>
      <c r="L647" s="2234" t="str">
        <v>原报价已按 1 美元兑换本币表示。</v>
      </c>
      <c r="M647" s="2234" t="str">
        <v>1975|日元（JPY）</v>
      </c>
      <c r="N647" s="2234" t="str">
        <v>日元（JPY）</v>
      </c>
      <c r="O647" s="2239" t="n">
        <v>296.7849</v>
      </c>
      <c r="P647" s="2234" t="str">
        <v>LCU/USD</v>
      </c>
      <c r="Q647" s="2239" t="n">
        <v>1</v>
      </c>
      <c r="R647" s="2234" t="str">
        <v>A：机构统计／原始统计表</v>
      </c>
      <c r="S647" s="2234" t="str">
        <v>年度汇率!H61；原始记录!A501:M501</v>
      </c>
      <c r="T647" s="2234" t="str"/>
      <c r="U647" t="n" s="2231">
        <v>1981</v>
      </c>
      <c r="V647" t="str" s="2231">
        <v>美元（USD）</v>
      </c>
    </row>
    <row r="648" ht="15.0" customHeight="1">
      <c r="A648" s="2234" t="n">
        <v>1975</v>
      </c>
      <c r="B648" s="2234" t="str">
        <v>CHF</v>
      </c>
      <c r="C648" s="2234" t="str">
        <v>瑞士法郎（CHF）</v>
      </c>
      <c r="D648" s="2234" t="str">
        <v>可用</v>
      </c>
      <c r="E648" s="2238" t="n">
        <v>2.5839</v>
      </c>
      <c r="F648" s="2234" t="str">
        <v>年均</v>
      </c>
      <c r="G648" s="2234" t="str">
        <v>Federal Reserve G.5A / FRED AEXSZUS</v>
      </c>
      <c r="H648" s="2234" t="str">
        <v>https://fred.stlouisfed.org/data/AEXSZUS</v>
      </c>
      <c r="I648" s="2234" t="str">
        <v>1975-01-01—1975-12-31</v>
      </c>
      <c r="J648" s="2234" t="str">
        <v>historical_exchange_rates_1920_2026.xlsx</v>
      </c>
      <c r="K648" s="2234" t="str"/>
      <c r="L648" s="2234" t="str">
        <v>原报价已按 1 美元兑换本币表示。</v>
      </c>
      <c r="M648" s="2234" t="str">
        <v>1975|瑞士法郎（CHF）</v>
      </c>
      <c r="N648" s="2234" t="str">
        <v>瑞士法郎（CHF）</v>
      </c>
      <c r="O648" s="2239" t="n">
        <v>2.5839</v>
      </c>
      <c r="P648" s="2234" t="str">
        <v>LCU/USD</v>
      </c>
      <c r="Q648" s="2239" t="n">
        <v>1</v>
      </c>
      <c r="R648" s="2234" t="str">
        <v>A：机构统计／原始统计表</v>
      </c>
      <c r="S648" s="2234" t="str">
        <v>年度汇率!I61；原始记录!A502:M502</v>
      </c>
      <c r="T648" s="2234" t="str"/>
      <c r="U648" t="n" s="2231">
        <v>1981</v>
      </c>
      <c r="V648" t="str" s="2231">
        <v>英镑（GBP）</v>
      </c>
    </row>
    <row r="649" ht="15.0" customHeight="1">
      <c r="A649" s="2234" t="n">
        <v>1975</v>
      </c>
      <c r="B649" s="2234" t="str">
        <v>INR</v>
      </c>
      <c r="C649" s="2234" t="str">
        <v>印度卢比（INR）</v>
      </c>
      <c r="D649" s="2234" t="str">
        <v>可用</v>
      </c>
      <c r="E649" s="2238" t="n">
        <v>8.4086</v>
      </c>
      <c r="F649" s="2234" t="str">
        <v>年均</v>
      </c>
      <c r="G649" s="2234" t="str">
        <v>Federal Reserve G.5A / FRED AEXINUS</v>
      </c>
      <c r="H649" s="2234" t="str">
        <v>https://fred.stlouisfed.org/data/AEXINUS</v>
      </c>
      <c r="I649" s="2234" t="str">
        <v>1975-01-01—1975-12-31</v>
      </c>
      <c r="J649" s="2234" t="str">
        <v>historical_exchange_rates_1920_2026.xlsx</v>
      </c>
      <c r="K649" s="2234" t="str"/>
      <c r="L649" s="2234" t="str">
        <v>原报价已按 1 美元兑换本币表示。</v>
      </c>
      <c r="M649" s="2234" t="str">
        <v>1975|印度卢比（INR）</v>
      </c>
      <c r="N649" s="2234" t="str">
        <v>印度卢比（INR）</v>
      </c>
      <c r="O649" s="2239" t="n">
        <v>8.4086</v>
      </c>
      <c r="P649" s="2234" t="str">
        <v>LCU/USD</v>
      </c>
      <c r="Q649" s="2239" t="n">
        <v>1</v>
      </c>
      <c r="R649" s="2234" t="str">
        <v>A：机构统计／原始统计表</v>
      </c>
      <c r="S649" s="2234" t="str">
        <v>年度汇率!J61；原始记录!A503:M503</v>
      </c>
      <c r="T649" s="2234" t="str"/>
      <c r="U649" t="n" s="2231">
        <v>1981</v>
      </c>
      <c r="V649" t="str" s="2231">
        <v>加拿大元（CAD）</v>
      </c>
    </row>
    <row r="650" ht="36.0" customHeight="1">
      <c r="A650" s="2234" t="n">
        <v>1975</v>
      </c>
      <c r="B650" s="2234" t="str">
        <v>SUR_1961</v>
      </c>
      <c r="C650" s="2234" t="str">
        <v>苏联卢布（1961币制）</v>
      </c>
      <c r="D650" s="2234" t="str">
        <v>可用</v>
      </c>
      <c r="E650" s="2238" t="n">
        <v>0.73</v>
      </c>
      <c r="F650" s="2234" t="str">
        <v>定点官价参考（非年均）</v>
      </c>
      <c r="G650" s="2234" t="str">
        <v>苏联卢布历史官价表（Wikipedia转引俄央行历史档案）</v>
      </c>
      <c r="H650" s="2234" t="str">
        <v>https://en.wikipedia.org/wiki/Soviet_ruble#Exchange_rates</v>
      </c>
      <c r="I650" s="2234" t="str">
        <v>1975-01-01</v>
      </c>
      <c r="J650" s="2234" t="str">
        <v>historical_exchange_rates_1920_2026.xlsx</v>
      </c>
      <c r="K650"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650" s="2234" t="str">
        <v>原报价已按 1 美元兑换本币表示。</v>
      </c>
      <c r="M650" s="2234" t="str">
        <v>1975|苏联卢布（1961币制）</v>
      </c>
      <c r="N650" s="2234" t="str">
        <v>苏联卢布（1961币制）</v>
      </c>
      <c r="O650" s="2239" t="n">
        <v>0.73</v>
      </c>
      <c r="P650" s="2234" t="str">
        <v>LCU/USD</v>
      </c>
      <c r="Q650" s="2239" t="n">
        <v>1</v>
      </c>
      <c r="R650" s="2234" t="str">
        <v>C：二手转引（原档未复核）</v>
      </c>
      <c r="S650" s="2234" t="str">
        <v>年度汇率!K61；原始记录!A504:M504</v>
      </c>
      <c r="T650" s="2234" t="str">
        <v>官价参考，并非市场年均汇率</v>
      </c>
      <c r="U650" t="n" s="2231">
        <v>1981</v>
      </c>
      <c r="V650" t="str" s="2231">
        <v>法国法郎（FRF；1960币制）</v>
      </c>
    </row>
    <row r="651" ht="15.0" customHeight="1">
      <c r="A651" s="2234" t="n">
        <v>1975</v>
      </c>
      <c r="B651" s="2234" t="str">
        <v>CNY</v>
      </c>
      <c r="C651" s="2234" t="str">
        <v>人民币元（1955币制；CNY）</v>
      </c>
      <c r="D651" s="2234" t="str">
        <v>可用</v>
      </c>
      <c r="E651" s="2238" t="n">
        <v>1.85983333333333</v>
      </c>
      <c r="F651" s="2234" t="str">
        <v>年均</v>
      </c>
      <c r="G651" s="2234" t="str">
        <v>OECD via FRED：CNY年均汇率</v>
      </c>
      <c r="H651" s="2234" t="str">
        <v>https://fred.stlouisfed.org/data/CCUSMA02CNA618N</v>
      </c>
      <c r="I651" s="2234" t="str">
        <v>1975-01-01—1975-12-31</v>
      </c>
      <c r="J651" s="2234" t="str">
        <v>historical_exchange_rates_1920_2026.xlsx</v>
      </c>
      <c r="K651" s="2234" t="str">
        <v>单位为本币／美元；中国和印度早期数据主要反映官方汇率。</v>
      </c>
      <c r="L651" s="2234" t="str">
        <v>原报价已按 1 美元兑换本币表示。</v>
      </c>
      <c r="M651" s="2234" t="str">
        <v>1975|人民币元（1955币制；CNY）</v>
      </c>
      <c r="N651" s="2234" t="str">
        <v>人民币元（1955币制；CNY）</v>
      </c>
      <c r="O651" s="2239" t="n">
        <v>1.85983333333333</v>
      </c>
      <c r="P651" s="2234" t="str">
        <v>LCU/USD</v>
      </c>
      <c r="Q651" s="2239" t="n">
        <v>1</v>
      </c>
      <c r="R651" s="2234" t="str">
        <v>A：机构统计／原始统计表</v>
      </c>
      <c r="S651" s="2234" t="str">
        <v>年度汇率!L61；原始记录!A505:M505</v>
      </c>
      <c r="T651" s="2234" t="str"/>
      <c r="U651" t="n" s="2231">
        <v>1981</v>
      </c>
      <c r="V651" t="str" s="2231">
        <v>西德德国马克（DEM）</v>
      </c>
    </row>
    <row r="652" ht="15.0" customHeight="1">
      <c r="A652" s="2234" t="n">
        <v>1976</v>
      </c>
      <c r="B652" s="2234" t="str">
        <v>USD</v>
      </c>
      <c r="C652" s="2234" t="str">
        <v>美元（USD）</v>
      </c>
      <c r="D652" s="2234" t="str">
        <v>可用</v>
      </c>
      <c r="E652" s="2238" t="n">
        <v>1</v>
      </c>
      <c r="F652" s="2234" t="str">
        <v>基准恒等</v>
      </c>
      <c r="G652" s="2234" t="str">
        <v>用户提供的历史汇率表</v>
      </c>
      <c r="H652" s="2234" t="str"/>
      <c r="I652" s="2234" t="str">
        <v>1976</v>
      </c>
      <c r="J652" s="2234" t="str">
        <v>historical_exchange_rates_1920_2026.xlsx</v>
      </c>
      <c r="K652" s="2234" t="str">
        <v>1 美元等于 1 美元，无外部报价。</v>
      </c>
      <c r="L652" s="2234" t="str">
        <v>美元基准，汇率恒为 1。</v>
      </c>
      <c r="M652" s="2234" t="str">
        <v>1976|美元（USD）</v>
      </c>
      <c r="N652" s="2234" t="str">
        <v>美元（USD）</v>
      </c>
      <c r="O652" s="2239"/>
      <c r="P652" s="2234" t="str"/>
      <c r="Q652" s="2239"/>
      <c r="R652" s="2234" t="str"/>
      <c r="S652" s="2234" t="str">
        <v>年度汇率!B62</v>
      </c>
      <c r="T652" s="2234" t="str"/>
      <c r="U652" t="n" s="2231">
        <v>1981</v>
      </c>
      <c r="V652" t="str" s="2231">
        <v>意大利里拉（ITL）</v>
      </c>
    </row>
    <row r="653" ht="24.0" customHeight="1">
      <c r="A653" s="2234" t="n">
        <v>1976</v>
      </c>
      <c r="B653" s="2234" t="str">
        <v>GBP</v>
      </c>
      <c r="C653" s="2234" t="str">
        <v>英镑（GBP）</v>
      </c>
      <c r="D653" s="2234" t="str">
        <v>可用</v>
      </c>
      <c r="E653" s="2238" t="n">
        <v>0.5540780141843972</v>
      </c>
      <c r="F653" s="2234" t="str">
        <v>年均</v>
      </c>
      <c r="G653" s="2234" t="str">
        <v>Federal Reserve G.5A / FRED AEXUSUK</v>
      </c>
      <c r="H653" s="2234" t="str">
        <v>https://fred.stlouisfed.org/data/AEXUSUK</v>
      </c>
      <c r="I653" s="2234" t="str">
        <v>1976-01-01—1976-12-31</v>
      </c>
      <c r="J653" s="2234" t="str">
        <v>historical_exchange_rates_1920_2026.xlsx</v>
      </c>
      <c r="K653" s="2234" t="str">
        <v>反向值由原报价均值取倒数；不等于反向日度汇率的算术平均。
年均USD/GBP；主表取倒数，不等于逐日GBP/USD平均。</v>
      </c>
      <c r="L653" s="2234" t="str">
        <v>原报价为每单位本币兑美元，取原报价均值的倒数；不等于反向日度汇率的算术平均。</v>
      </c>
      <c r="M653" s="2234" t="str">
        <v>1976|英镑（GBP）</v>
      </c>
      <c r="N653" s="2234" t="str">
        <v>英镑（GBP）</v>
      </c>
      <c r="O653" s="2239" t="n">
        <v>1.8048</v>
      </c>
      <c r="P653" s="2234" t="str">
        <v>USD/LCU</v>
      </c>
      <c r="Q653" s="2239" t="n">
        <v>1</v>
      </c>
      <c r="R653" s="2234" t="str">
        <v>A：机构统计／原始统计表</v>
      </c>
      <c r="S653" s="2234" t="str">
        <v>年度汇率!C62；原始记录!A506:M506</v>
      </c>
      <c r="T653" s="2234" t="str"/>
      <c r="U653" t="n" s="2231">
        <v>1981</v>
      </c>
      <c r="V653" t="str" s="2231">
        <v>日元（JPY）</v>
      </c>
    </row>
    <row r="654" ht="15.0" customHeight="1">
      <c r="A654" s="2234" t="n">
        <v>1976</v>
      </c>
      <c r="B654" s="2234" t="str">
        <v>CAD</v>
      </c>
      <c r="C654" s="2234" t="str">
        <v>加拿大元（CAD）</v>
      </c>
      <c r="D654" s="2234" t="str">
        <v>可用</v>
      </c>
      <c r="E654" s="2238" t="n">
        <v>0.9863</v>
      </c>
      <c r="F654" s="2234" t="str">
        <v>年均</v>
      </c>
      <c r="G654" s="2234" t="str">
        <v>Federal Reserve G.5A / FRED AEXCAUS</v>
      </c>
      <c r="H654" s="2234" t="str">
        <v>https://fred.stlouisfed.org/data/AEXCAUS</v>
      </c>
      <c r="I654" s="2234" t="str">
        <v>1976-01-01—1976-12-31</v>
      </c>
      <c r="J654" s="2234" t="str">
        <v>historical_exchange_rates_1920_2026.xlsx</v>
      </c>
      <c r="K654" s="2234" t="str"/>
      <c r="L654" s="2234" t="str">
        <v>原报价已按 1 美元兑换本币表示。</v>
      </c>
      <c r="M654" s="2234" t="str">
        <v>1976|加拿大元（CAD）</v>
      </c>
      <c r="N654" s="2234" t="str">
        <v>加拿大元（CAD）</v>
      </c>
      <c r="O654" s="2239" t="n">
        <v>0.9863</v>
      </c>
      <c r="P654" s="2234" t="str">
        <v>LCU/USD</v>
      </c>
      <c r="Q654" s="2239" t="n">
        <v>1</v>
      </c>
      <c r="R654" s="2234" t="str">
        <v>A：机构统计／原始统计表</v>
      </c>
      <c r="S654" s="2234" t="str">
        <v>年度汇率!D62；原始记录!A507:M507</v>
      </c>
      <c r="T654" s="2234" t="str"/>
      <c r="U654" t="n" s="2231">
        <v>1981</v>
      </c>
      <c r="V654" t="str" s="2231">
        <v>瑞士法郎（CHF）</v>
      </c>
    </row>
    <row r="655" ht="36.0" customHeight="1">
      <c r="A655" s="2234" t="n">
        <v>1976</v>
      </c>
      <c r="B655" s="2234" t="str">
        <v>FRF</v>
      </c>
      <c r="C655" s="2234" t="str">
        <v>法国法郎（FRF；1960币制）</v>
      </c>
      <c r="D655" s="2234" t="str">
        <v>可用</v>
      </c>
      <c r="E655" s="2238" t="n">
        <v>4.780333333110959</v>
      </c>
      <c r="F655" s="2234" t="str">
        <v>年均</v>
      </c>
      <c r="G655" s="2234" t="str">
        <v>OECD via FRED：FR年均汇率（欧元单位回溯序列）</v>
      </c>
      <c r="H655" s="2234" t="str">
        <v>https://fred.stlouisfed.org/data/CCUSMA02FRA618N</v>
      </c>
      <c r="I655" s="2234" t="str">
        <v>1976-01-01—1976-12-31</v>
      </c>
      <c r="J655" s="2234" t="str">
        <v>historical_exchange_rates_1920_2026.xlsx</v>
      </c>
      <c r="K655" s="2234" t="str">
        <v>由欧元回溯单位还原当年本币；非当年实际欧元报价。 欧元回溯单位按不可撤销转换率还原；法国1960年前另乘100。
原序列单位为回溯欧元；乘不可撤销转换率还原当年本币。法国1957–1959另乘100还原旧法郎。</v>
      </c>
      <c r="L655" s="2234" t="str">
        <v>原报价已按 1 美元兑换本币表示。乘以 6.55957，还原当年币制的计价单位。</v>
      </c>
      <c r="M655" s="2234" t="str">
        <v>1976|法国法郎（FRF；1960币制）</v>
      </c>
      <c r="N655" s="2234" t="str">
        <v>法国法郎（FRF；1960币制）</v>
      </c>
      <c r="O655" s="2239" t="n">
        <v>0.7287571187</v>
      </c>
      <c r="P655" s="2234" t="str">
        <v>LCU/USD</v>
      </c>
      <c r="Q655" s="2239" t="n">
        <v>6.55957</v>
      </c>
      <c r="R655" s="2234" t="str">
        <v>A：机构统计／原始统计表</v>
      </c>
      <c r="S655" s="2234" t="str">
        <v>年度汇率!E62；原始记录!A508:M508</v>
      </c>
      <c r="T655" s="2234" t="str"/>
      <c r="U655" t="n" s="2231">
        <v>1981</v>
      </c>
      <c r="V655" t="str" s="2231">
        <v>印度卢比（INR）</v>
      </c>
    </row>
    <row r="656" ht="36.0" customHeight="1">
      <c r="A656" s="2234" t="n">
        <v>1976</v>
      </c>
      <c r="B656" s="2234" t="str">
        <v>DEM</v>
      </c>
      <c r="C656" s="2234" t="str">
        <v>西德德国马克（DEM）</v>
      </c>
      <c r="D656" s="2234" t="str">
        <v>可用</v>
      </c>
      <c r="E656" s="2238" t="n">
        <v>2.518591666637096</v>
      </c>
      <c r="F656" s="2234" t="str">
        <v>年均</v>
      </c>
      <c r="G656" s="2234" t="str">
        <v>OECD via FRED：DE年均汇率（欧元单位回溯序列）</v>
      </c>
      <c r="H656" s="2234" t="str">
        <v>https://fred.stlouisfed.org/data/CCUSMA02DEA618N</v>
      </c>
      <c r="I656" s="2234" t="str">
        <v>1976-01-01—1976-12-31</v>
      </c>
      <c r="J656" s="2234" t="str">
        <v>historical_exchange_rates_1920_2026.xlsx</v>
      </c>
      <c r="K656" s="2234" t="str">
        <v>由欧元回溯单位还原当年本币；非当年实际欧元报价。 欧元回溯单位按不可撤销转换率还原；法国1960年前另乘100。
原序列单位为回溯欧元；乘不可撤销转换率还原当年本币。法国1957–1959另乘100还原旧法郎。</v>
      </c>
      <c r="L656" s="2234" t="str">
        <v>原报价已按 1 美元兑换本币表示。乘以 1.95583，还原当年币制的计价单位。</v>
      </c>
      <c r="M656" s="2234" t="str">
        <v>1976|西德德国马克（DEM）</v>
      </c>
      <c r="N656" s="2234" t="str">
        <v>西德德国马克（DEM）</v>
      </c>
      <c r="O656" s="2239" t="n">
        <v>1.2877354712</v>
      </c>
      <c r="P656" s="2234" t="str">
        <v>LCU/USD</v>
      </c>
      <c r="Q656" s="2239" t="n">
        <v>1.95583</v>
      </c>
      <c r="R656" s="2234" t="str">
        <v>A：机构统计／原始统计表</v>
      </c>
      <c r="S656" s="2234" t="str">
        <v>年度汇率!F62、年度汇率!M62；原始记录!A509:M509</v>
      </c>
      <c r="T656" s="2234" t="str"/>
      <c r="U656" t="n" s="2231">
        <v>1981</v>
      </c>
      <c r="V656" t="str" s="2231">
        <v>苏联卢布（1961币制）</v>
      </c>
    </row>
    <row r="657" ht="36.0" customHeight="1">
      <c r="A657" s="2234" t="n">
        <v>1976</v>
      </c>
      <c r="B657" s="2234" t="str">
        <v>ITL</v>
      </c>
      <c r="C657" s="2234" t="str">
        <v>意大利里拉（ITL）</v>
      </c>
      <c r="D657" s="2234" t="str">
        <v>可用</v>
      </c>
      <c r="E657" s="2238" t="n">
        <v>832.1362333578489</v>
      </c>
      <c r="F657" s="2234" t="str">
        <v>年均</v>
      </c>
      <c r="G657" s="2234" t="str">
        <v>OECD via FRED：IT年均汇率（欧元单位回溯序列）</v>
      </c>
      <c r="H657" s="2234" t="str">
        <v>https://fred.stlouisfed.org/data/CCUSMA02ITA618N</v>
      </c>
      <c r="I657" s="2234" t="str">
        <v>1976-01-01—1976-12-31</v>
      </c>
      <c r="J657" s="2234" t="str">
        <v>historical_exchange_rates_1920_2026.xlsx</v>
      </c>
      <c r="K657" s="2234" t="str">
        <v>由欧元回溯单位还原当年本币；非当年实际欧元报价。 欧元回溯单位按不可撤销转换率还原；法国1960年前另乘100。
原序列单位为回溯欧元；乘不可撤销转换率还原当年本币。法国1957–1959另乘100还原旧法郎。</v>
      </c>
      <c r="L657" s="2234" t="str">
        <v>原报价已按 1 美元兑换本币表示。乘以 1936.27，还原当年币制的计价单位。</v>
      </c>
      <c r="M657" s="2234" t="str">
        <v>1976|意大利里拉（ITL）</v>
      </c>
      <c r="N657" s="2234" t="str">
        <v>意大利里拉（ITL）</v>
      </c>
      <c r="O657" s="2239" t="n">
        <v>0.4297624987</v>
      </c>
      <c r="P657" s="2234" t="str">
        <v>LCU/USD</v>
      </c>
      <c r="Q657" s="2239" t="n">
        <v>1936.27</v>
      </c>
      <c r="R657" s="2234" t="str">
        <v>A：机构统计／原始统计表</v>
      </c>
      <c r="S657" s="2234" t="str">
        <v>年度汇率!G62；原始记录!A510:M510</v>
      </c>
      <c r="T657" s="2234" t="str"/>
      <c r="U657" t="n" s="2231">
        <v>1981</v>
      </c>
      <c r="V657" t="str" s="2231">
        <v>人民币元（1955币制；CNY）</v>
      </c>
    </row>
    <row r="658" ht="15.0" customHeight="1">
      <c r="A658" s="2234" t="n">
        <v>1976</v>
      </c>
      <c r="B658" s="2234" t="str">
        <v>JPY</v>
      </c>
      <c r="C658" s="2234" t="str">
        <v>日元（JPY）</v>
      </c>
      <c r="D658" s="2234" t="str">
        <v>可用</v>
      </c>
      <c r="E658" s="2238" t="n">
        <v>296.4544</v>
      </c>
      <c r="F658" s="2234" t="str">
        <v>年均</v>
      </c>
      <c r="G658" s="2234" t="str">
        <v>Federal Reserve G.5A / FRED AEXJPUS</v>
      </c>
      <c r="H658" s="2234" t="str">
        <v>https://fred.stlouisfed.org/data/AEXJPUS</v>
      </c>
      <c r="I658" s="2234" t="str">
        <v>1976-01-01—1976-12-31</v>
      </c>
      <c r="J658" s="2234" t="str">
        <v>historical_exchange_rates_1920_2026.xlsx</v>
      </c>
      <c r="K658" s="2234" t="str"/>
      <c r="L658" s="2234" t="str">
        <v>原报价已按 1 美元兑换本币表示。</v>
      </c>
      <c r="M658" s="2234" t="str">
        <v>1976|日元（JPY）</v>
      </c>
      <c r="N658" s="2234" t="str">
        <v>日元（JPY）</v>
      </c>
      <c r="O658" s="2239" t="n">
        <v>296.4544</v>
      </c>
      <c r="P658" s="2234" t="str">
        <v>LCU/USD</v>
      </c>
      <c r="Q658" s="2239" t="n">
        <v>1</v>
      </c>
      <c r="R658" s="2234" t="str">
        <v>A：机构统计／原始统计表</v>
      </c>
      <c r="S658" s="2234" t="str">
        <v>年度汇率!H62；原始记录!A511:M511</v>
      </c>
      <c r="T658" s="2234" t="str"/>
      <c r="U658" t="n" s="2231">
        <v>1982</v>
      </c>
      <c r="V658" t="str" s="2231">
        <v>美元（USD）</v>
      </c>
    </row>
    <row r="659" ht="15.0" customHeight="1">
      <c r="A659" s="2234" t="n">
        <v>1976</v>
      </c>
      <c r="B659" s="2234" t="str">
        <v>CHF</v>
      </c>
      <c r="C659" s="2234" t="str">
        <v>瑞士法郎（CHF）</v>
      </c>
      <c r="D659" s="2234" t="str">
        <v>可用</v>
      </c>
      <c r="E659" s="2238" t="n">
        <v>2.5002</v>
      </c>
      <c r="F659" s="2234" t="str">
        <v>年均</v>
      </c>
      <c r="G659" s="2234" t="str">
        <v>Federal Reserve G.5A / FRED AEXSZUS</v>
      </c>
      <c r="H659" s="2234" t="str">
        <v>https://fred.stlouisfed.org/data/AEXSZUS</v>
      </c>
      <c r="I659" s="2234" t="str">
        <v>1976-01-01—1976-12-31</v>
      </c>
      <c r="J659" s="2234" t="str">
        <v>historical_exchange_rates_1920_2026.xlsx</v>
      </c>
      <c r="K659" s="2234" t="str"/>
      <c r="L659" s="2234" t="str">
        <v>原报价已按 1 美元兑换本币表示。</v>
      </c>
      <c r="M659" s="2234" t="str">
        <v>1976|瑞士法郎（CHF）</v>
      </c>
      <c r="N659" s="2234" t="str">
        <v>瑞士法郎（CHF）</v>
      </c>
      <c r="O659" s="2239" t="n">
        <v>2.5002</v>
      </c>
      <c r="P659" s="2234" t="str">
        <v>LCU/USD</v>
      </c>
      <c r="Q659" s="2239" t="n">
        <v>1</v>
      </c>
      <c r="R659" s="2234" t="str">
        <v>A：机构统计／原始统计表</v>
      </c>
      <c r="S659" s="2234" t="str">
        <v>年度汇率!I62；原始记录!A512:M512</v>
      </c>
      <c r="T659" s="2234" t="str"/>
      <c r="U659" t="n" s="2231">
        <v>1982</v>
      </c>
      <c r="V659" t="str" s="2231">
        <v>英镑（GBP）</v>
      </c>
    </row>
    <row r="660" ht="15.0" customHeight="1">
      <c r="A660" s="2234" t="n">
        <v>1976</v>
      </c>
      <c r="B660" s="2234" t="str">
        <v>INR</v>
      </c>
      <c r="C660" s="2234" t="str">
        <v>印度卢比（INR）</v>
      </c>
      <c r="D660" s="2234" t="str">
        <v>可用</v>
      </c>
      <c r="E660" s="2238" t="n">
        <v>8.9715</v>
      </c>
      <c r="F660" s="2234" t="str">
        <v>年均</v>
      </c>
      <c r="G660" s="2234" t="str">
        <v>Federal Reserve G.5A / FRED AEXINUS</v>
      </c>
      <c r="H660" s="2234" t="str">
        <v>https://fred.stlouisfed.org/data/AEXINUS</v>
      </c>
      <c r="I660" s="2234" t="str">
        <v>1976-01-01—1976-12-31</v>
      </c>
      <c r="J660" s="2234" t="str">
        <v>historical_exchange_rates_1920_2026.xlsx</v>
      </c>
      <c r="K660" s="2234" t="str"/>
      <c r="L660" s="2234" t="str">
        <v>原报价已按 1 美元兑换本币表示。</v>
      </c>
      <c r="M660" s="2234" t="str">
        <v>1976|印度卢比（INR）</v>
      </c>
      <c r="N660" s="2234" t="str">
        <v>印度卢比（INR）</v>
      </c>
      <c r="O660" s="2239" t="n">
        <v>8.9715</v>
      </c>
      <c r="P660" s="2234" t="str">
        <v>LCU/USD</v>
      </c>
      <c r="Q660" s="2239" t="n">
        <v>1</v>
      </c>
      <c r="R660" s="2234" t="str">
        <v>A：机构统计／原始统计表</v>
      </c>
      <c r="S660" s="2234" t="str">
        <v>年度汇率!J62；原始记录!A513:M513</v>
      </c>
      <c r="T660" s="2234" t="str"/>
      <c r="U660" t="n" s="2231">
        <v>1982</v>
      </c>
      <c r="V660" t="str" s="2231">
        <v>加拿大元（CAD）</v>
      </c>
    </row>
    <row r="661" ht="36.0" customHeight="1">
      <c r="A661" s="2234" t="n">
        <v>1976</v>
      </c>
      <c r="B661" s="2234" t="str">
        <v>SUR_1961</v>
      </c>
      <c r="C661" s="2234" t="str">
        <v>苏联卢布（1961币制）</v>
      </c>
      <c r="D661" s="2234" t="str">
        <v>可用</v>
      </c>
      <c r="E661" s="2238" t="n">
        <v>0.758</v>
      </c>
      <c r="F661" s="2234" t="str">
        <v>定点官价参考（非年均）</v>
      </c>
      <c r="G661" s="2234" t="str">
        <v>苏联卢布历史官价表（Wikipedia转引俄央行历史档案）</v>
      </c>
      <c r="H661" s="2234" t="str">
        <v>https://en.wikipedia.org/wiki/Soviet_ruble#Exchange_rates</v>
      </c>
      <c r="I661" s="2234" t="str">
        <v>1976-01-01</v>
      </c>
      <c r="J661" s="2234" t="str">
        <v>historical_exchange_rates_1920_2026.xlsx</v>
      </c>
      <c r="K661"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661" s="2234" t="str">
        <v>原报价已按 1 美元兑换本币表示。</v>
      </c>
      <c r="M661" s="2234" t="str">
        <v>1976|苏联卢布（1961币制）</v>
      </c>
      <c r="N661" s="2234" t="str">
        <v>苏联卢布（1961币制）</v>
      </c>
      <c r="O661" s="2239" t="n">
        <v>0.758</v>
      </c>
      <c r="P661" s="2234" t="str">
        <v>LCU/USD</v>
      </c>
      <c r="Q661" s="2239" t="n">
        <v>1</v>
      </c>
      <c r="R661" s="2234" t="str">
        <v>C：二手转引（原档未复核）</v>
      </c>
      <c r="S661" s="2234" t="str">
        <v>年度汇率!K62；原始记录!A514:M514</v>
      </c>
      <c r="T661" s="2234" t="str">
        <v>官价参考，并非市场年均汇率</v>
      </c>
      <c r="U661" t="n" s="2231">
        <v>1982</v>
      </c>
      <c r="V661" t="str" s="2231">
        <v>法国法郎（FRF；1960币制）</v>
      </c>
    </row>
    <row r="662" ht="15.0" customHeight="1">
      <c r="A662" s="2234" t="n">
        <v>1976</v>
      </c>
      <c r="B662" s="2234" t="str">
        <v>CNY</v>
      </c>
      <c r="C662" s="2234" t="str">
        <v>人民币元（1955币制；CNY）</v>
      </c>
      <c r="D662" s="2234" t="str">
        <v>可用</v>
      </c>
      <c r="E662" s="2238" t="n">
        <v>1.9415</v>
      </c>
      <c r="F662" s="2234" t="str">
        <v>年均</v>
      </c>
      <c r="G662" s="2234" t="str">
        <v>OECD via FRED：CNY年均汇率</v>
      </c>
      <c r="H662" s="2234" t="str">
        <v>https://fred.stlouisfed.org/data/CCUSMA02CNA618N</v>
      </c>
      <c r="I662" s="2234" t="str">
        <v>1976-01-01—1976-12-31</v>
      </c>
      <c r="J662" s="2234" t="str">
        <v>historical_exchange_rates_1920_2026.xlsx</v>
      </c>
      <c r="K662" s="2234" t="str">
        <v>单位为本币／美元；中国和印度早期数据主要反映官方汇率。</v>
      </c>
      <c r="L662" s="2234" t="str">
        <v>原报价已按 1 美元兑换本币表示。</v>
      </c>
      <c r="M662" s="2234" t="str">
        <v>1976|人民币元（1955币制；CNY）</v>
      </c>
      <c r="N662" s="2234" t="str">
        <v>人民币元（1955币制；CNY）</v>
      </c>
      <c r="O662" s="2239" t="n">
        <v>1.9415</v>
      </c>
      <c r="P662" s="2234" t="str">
        <v>LCU/USD</v>
      </c>
      <c r="Q662" s="2239" t="n">
        <v>1</v>
      </c>
      <c r="R662" s="2234" t="str">
        <v>A：机构统计／原始统计表</v>
      </c>
      <c r="S662" s="2234" t="str">
        <v>年度汇率!L62；原始记录!A515:M515</v>
      </c>
      <c r="T662" s="2234" t="str"/>
      <c r="U662" t="n" s="2231">
        <v>1982</v>
      </c>
      <c r="V662" t="str" s="2231">
        <v>西德德国马克（DEM）</v>
      </c>
    </row>
    <row r="663" ht="15.0" customHeight="1">
      <c r="A663" s="2234" t="n">
        <v>1977</v>
      </c>
      <c r="B663" s="2234" t="str">
        <v>USD</v>
      </c>
      <c r="C663" s="2234" t="str">
        <v>美元（USD）</v>
      </c>
      <c r="D663" s="2234" t="str">
        <v>可用</v>
      </c>
      <c r="E663" s="2238" t="n">
        <v>1</v>
      </c>
      <c r="F663" s="2234" t="str">
        <v>基准恒等</v>
      </c>
      <c r="G663" s="2234" t="str">
        <v>用户提供的历史汇率表</v>
      </c>
      <c r="H663" s="2234" t="str"/>
      <c r="I663" s="2234" t="str">
        <v>1977</v>
      </c>
      <c r="J663" s="2234" t="str">
        <v>historical_exchange_rates_1920_2026.xlsx</v>
      </c>
      <c r="K663" s="2234" t="str">
        <v>1 美元等于 1 美元，无外部报价。</v>
      </c>
      <c r="L663" s="2234" t="str">
        <v>美元基准，汇率恒为 1。</v>
      </c>
      <c r="M663" s="2234" t="str">
        <v>1977|美元（USD）</v>
      </c>
      <c r="N663" s="2234" t="str">
        <v>美元（USD）</v>
      </c>
      <c r="O663" s="2239"/>
      <c r="P663" s="2234" t="str"/>
      <c r="Q663" s="2239"/>
      <c r="R663" s="2234" t="str"/>
      <c r="S663" s="2234" t="str">
        <v>年度汇率!B63</v>
      </c>
      <c r="T663" s="2234" t="str"/>
      <c r="U663" t="n" s="2231">
        <v>1982</v>
      </c>
      <c r="V663" t="str" s="2231">
        <v>意大利里拉（ITL）</v>
      </c>
    </row>
    <row r="664" ht="24.0" customHeight="1">
      <c r="A664" s="2234" t="n">
        <v>1977</v>
      </c>
      <c r="B664" s="2234" t="str">
        <v>GBP</v>
      </c>
      <c r="C664" s="2234" t="str">
        <v>英镑（GBP）</v>
      </c>
      <c r="D664" s="2234" t="str">
        <v>可用</v>
      </c>
      <c r="E664" s="2238" t="n">
        <v>0.5730987449137487</v>
      </c>
      <c r="F664" s="2234" t="str">
        <v>年均</v>
      </c>
      <c r="G664" s="2234" t="str">
        <v>Federal Reserve G.5A / FRED AEXUSUK</v>
      </c>
      <c r="H664" s="2234" t="str">
        <v>https://fred.stlouisfed.org/data/AEXUSUK</v>
      </c>
      <c r="I664" s="2234" t="str">
        <v>1977-01-01—1977-12-31</v>
      </c>
      <c r="J664" s="2234" t="str">
        <v>historical_exchange_rates_1920_2026.xlsx</v>
      </c>
      <c r="K664" s="2234" t="str">
        <v>反向值由原报价均值取倒数；不等于反向日度汇率的算术平均。
年均USD/GBP；主表取倒数，不等于逐日GBP/USD平均。</v>
      </c>
      <c r="L664" s="2234" t="str">
        <v>原报价为每单位本币兑美元，取原报价均值的倒数；不等于反向日度汇率的算术平均。</v>
      </c>
      <c r="M664" s="2234" t="str">
        <v>1977|英镑（GBP）</v>
      </c>
      <c r="N664" s="2234" t="str">
        <v>英镑（GBP）</v>
      </c>
      <c r="O664" s="2239" t="n">
        <v>1.7449</v>
      </c>
      <c r="P664" s="2234" t="str">
        <v>USD/LCU</v>
      </c>
      <c r="Q664" s="2239" t="n">
        <v>1</v>
      </c>
      <c r="R664" s="2234" t="str">
        <v>A：机构统计／原始统计表</v>
      </c>
      <c r="S664" s="2234" t="str">
        <v>年度汇率!C63；原始记录!A516:M516</v>
      </c>
      <c r="T664" s="2234" t="str"/>
      <c r="U664" t="n" s="2231">
        <v>1982</v>
      </c>
      <c r="V664" t="str" s="2231">
        <v>日元（JPY）</v>
      </c>
    </row>
    <row r="665" ht="15.0" customHeight="1">
      <c r="A665" s="2234" t="n">
        <v>1977</v>
      </c>
      <c r="B665" s="2234" t="str">
        <v>CAD</v>
      </c>
      <c r="C665" s="2234" t="str">
        <v>加拿大元（CAD）</v>
      </c>
      <c r="D665" s="2234" t="str">
        <v>可用</v>
      </c>
      <c r="E665" s="2238" t="n">
        <v>1.0633</v>
      </c>
      <c r="F665" s="2234" t="str">
        <v>年均</v>
      </c>
      <c r="G665" s="2234" t="str">
        <v>Federal Reserve G.5A / FRED AEXCAUS</v>
      </c>
      <c r="H665" s="2234" t="str">
        <v>https://fred.stlouisfed.org/data/AEXCAUS</v>
      </c>
      <c r="I665" s="2234" t="str">
        <v>1977-01-01—1977-12-31</v>
      </c>
      <c r="J665" s="2234" t="str">
        <v>historical_exchange_rates_1920_2026.xlsx</v>
      </c>
      <c r="K665" s="2234" t="str"/>
      <c r="L665" s="2234" t="str">
        <v>原报价已按 1 美元兑换本币表示。</v>
      </c>
      <c r="M665" s="2234" t="str">
        <v>1977|加拿大元（CAD）</v>
      </c>
      <c r="N665" s="2234" t="str">
        <v>加拿大元（CAD）</v>
      </c>
      <c r="O665" s="2239" t="n">
        <v>1.0633</v>
      </c>
      <c r="P665" s="2234" t="str">
        <v>LCU/USD</v>
      </c>
      <c r="Q665" s="2239" t="n">
        <v>1</v>
      </c>
      <c r="R665" s="2234" t="str">
        <v>A：机构统计／原始统计表</v>
      </c>
      <c r="S665" s="2234" t="str">
        <v>年度汇率!D63；原始记录!A517:M517</v>
      </c>
      <c r="T665" s="2234" t="str"/>
      <c r="U665" t="n" s="2231">
        <v>1982</v>
      </c>
      <c r="V665" t="str" s="2231">
        <v>瑞士法郎（CHF）</v>
      </c>
    </row>
    <row r="666" ht="36.0" customHeight="1">
      <c r="A666" s="2234" t="n">
        <v>1977</v>
      </c>
      <c r="B666" s="2234" t="str">
        <v>FRF</v>
      </c>
      <c r="C666" s="2234" t="str">
        <v>法国法郎（FRF；1960币制）</v>
      </c>
      <c r="D666" s="2234" t="str">
        <v>可用</v>
      </c>
      <c r="E666" s="2238" t="n">
        <v>4.913508333303862</v>
      </c>
      <c r="F666" s="2234" t="str">
        <v>年均</v>
      </c>
      <c r="G666" s="2234" t="str">
        <v>OECD via FRED：FR年均汇率（欧元单位回溯序列）</v>
      </c>
      <c r="H666" s="2234" t="str">
        <v>https://fred.stlouisfed.org/data/CCUSMA02FRA618N</v>
      </c>
      <c r="I666" s="2234" t="str">
        <v>1977-01-01—1977-12-31</v>
      </c>
      <c r="J666" s="2234" t="str">
        <v>historical_exchange_rates_1920_2026.xlsx</v>
      </c>
      <c r="K666" s="2234" t="str">
        <v>由欧元回溯单位还原当年本币；非当年实际欧元报价。 欧元回溯单位按不可撤销转换率还原；法国1960年前另乘100。
原序列单位为回溯欧元；乘不可撤销转换率还原当年本币。法国1957–1959另乘100还原旧法郎。</v>
      </c>
      <c r="L666" s="2234" t="str">
        <v>原报价已按 1 美元兑换本币表示。乘以 6.55957，还原当年币制的计价单位。</v>
      </c>
      <c r="M666" s="2234" t="str">
        <v>1977|法国法郎（FRF；1960币制）</v>
      </c>
      <c r="N666" s="2234" t="str">
        <v>法国法郎（FRF；1960币制）</v>
      </c>
      <c r="O666" s="2239" t="n">
        <v>0.7490595166</v>
      </c>
      <c r="P666" s="2234" t="str">
        <v>LCU/USD</v>
      </c>
      <c r="Q666" s="2239" t="n">
        <v>6.55957</v>
      </c>
      <c r="R666" s="2234" t="str">
        <v>A：机构统计／原始统计表</v>
      </c>
      <c r="S666" s="2234" t="str">
        <v>年度汇率!E63；原始记录!A518:M518</v>
      </c>
      <c r="T666" s="2234" t="str"/>
      <c r="U666" t="n" s="2231">
        <v>1982</v>
      </c>
      <c r="V666" t="str" s="2231">
        <v>印度卢比（INR）</v>
      </c>
    </row>
    <row r="667" ht="36.0" customHeight="1">
      <c r="A667" s="2234" t="n">
        <v>1977</v>
      </c>
      <c r="B667" s="2234" t="str">
        <v>DEM</v>
      </c>
      <c r="C667" s="2234" t="str">
        <v>西德德国马克（DEM）</v>
      </c>
      <c r="D667" s="2234" t="str">
        <v>可用</v>
      </c>
      <c r="E667" s="2238" t="n">
        <v>2.322274999990322</v>
      </c>
      <c r="F667" s="2234" t="str">
        <v>年均</v>
      </c>
      <c r="G667" s="2234" t="str">
        <v>OECD via FRED：DE年均汇率（欧元单位回溯序列）</v>
      </c>
      <c r="H667" s="2234" t="str">
        <v>https://fred.stlouisfed.org/data/CCUSMA02DEA618N</v>
      </c>
      <c r="I667" s="2234" t="str">
        <v>1977-01-01—1977-12-31</v>
      </c>
      <c r="J667" s="2234" t="str">
        <v>historical_exchange_rates_1920_2026.xlsx</v>
      </c>
      <c r="K667" s="2234" t="str">
        <v>由欧元回溯单位还原当年本币；非当年实际欧元报价。 欧元回溯单位按不可撤销转换率还原；法国1960年前另乘100。
原序列单位为回溯欧元；乘不可撤销转换率还原当年本币。法国1957–1959另乘100还原旧法郎。</v>
      </c>
      <c r="L667" s="2234" t="str">
        <v>原报价已按 1 美元兑换本币表示。乘以 1.95583，还原当年币制的计价单位。</v>
      </c>
      <c r="M667" s="2234" t="str">
        <v>1977|西德德国马克（DEM）</v>
      </c>
      <c r="N667" s="2234" t="str">
        <v>西德德国马克（DEM）</v>
      </c>
      <c r="O667" s="2239" t="n">
        <v>1.1873603534</v>
      </c>
      <c r="P667" s="2234" t="str">
        <v>LCU/USD</v>
      </c>
      <c r="Q667" s="2239" t="n">
        <v>1.95583</v>
      </c>
      <c r="R667" s="2234" t="str">
        <v>A：机构统计／原始统计表</v>
      </c>
      <c r="S667" s="2234" t="str">
        <v>年度汇率!F63、年度汇率!M63；原始记录!A519:M519</v>
      </c>
      <c r="T667" s="2234" t="str"/>
      <c r="U667" t="n" s="2231">
        <v>1982</v>
      </c>
      <c r="V667" t="str" s="2231">
        <v>苏联卢布（1961币制）</v>
      </c>
    </row>
    <row r="668" ht="36.0" customHeight="1">
      <c r="A668" s="2234" t="n">
        <v>1977</v>
      </c>
      <c r="B668" s="2234" t="str">
        <v>ITL</v>
      </c>
      <c r="C668" s="2234" t="str">
        <v>意大利里拉（ITL）</v>
      </c>
      <c r="D668" s="2234" t="str">
        <v>可用</v>
      </c>
      <c r="E668" s="2238" t="n">
        <v>882.350775066404</v>
      </c>
      <c r="F668" s="2234" t="str">
        <v>年均</v>
      </c>
      <c r="G668" s="2234" t="str">
        <v>OECD via FRED：IT年均汇率（欧元单位回溯序列）</v>
      </c>
      <c r="H668" s="2234" t="str">
        <v>https://fred.stlouisfed.org/data/CCUSMA02ITA618N</v>
      </c>
      <c r="I668" s="2234" t="str">
        <v>1977-01-01—1977-12-31</v>
      </c>
      <c r="J668" s="2234" t="str">
        <v>historical_exchange_rates_1920_2026.xlsx</v>
      </c>
      <c r="K668" s="2234" t="str">
        <v>由欧元回溯单位还原当年本币；非当年实际欧元报价。 欧元回溯单位按不可撤销转换率还原；法国1960年前另乘100。
原序列单位为回溯欧元；乘不可撤销转换率还原当年本币。法国1957–1959另乘100还原旧法郎。</v>
      </c>
      <c r="L668" s="2234" t="str">
        <v>原报价已按 1 美元兑换本币表示。乘以 1936.27，还原当年币制的计价单位。</v>
      </c>
      <c r="M668" s="2234" t="str">
        <v>1977|意大利里拉（ITL）</v>
      </c>
      <c r="N668" s="2234" t="str">
        <v>意大利里拉（ITL）</v>
      </c>
      <c r="O668" s="2239" t="n">
        <v>0.4556961452</v>
      </c>
      <c r="P668" s="2234" t="str">
        <v>LCU/USD</v>
      </c>
      <c r="Q668" s="2239" t="n">
        <v>1936.27</v>
      </c>
      <c r="R668" s="2234" t="str">
        <v>A：机构统计／原始统计表</v>
      </c>
      <c r="S668" s="2234" t="str">
        <v>年度汇率!G63；原始记录!A520:M520</v>
      </c>
      <c r="T668" s="2234" t="str"/>
      <c r="U668" t="n" s="2231">
        <v>1982</v>
      </c>
      <c r="V668" t="str" s="2231">
        <v>人民币元（1955币制；CNY）</v>
      </c>
    </row>
    <row r="669" ht="15.0" customHeight="1">
      <c r="A669" s="2234" t="n">
        <v>1977</v>
      </c>
      <c r="B669" s="2234" t="str">
        <v>JPY</v>
      </c>
      <c r="C669" s="2234" t="str">
        <v>日元（JPY）</v>
      </c>
      <c r="D669" s="2234" t="str">
        <v>可用</v>
      </c>
      <c r="E669" s="2238" t="n">
        <v>268.6194</v>
      </c>
      <c r="F669" s="2234" t="str">
        <v>年均</v>
      </c>
      <c r="G669" s="2234" t="str">
        <v>Federal Reserve G.5A / FRED AEXJPUS</v>
      </c>
      <c r="H669" s="2234" t="str">
        <v>https://fred.stlouisfed.org/data/AEXJPUS</v>
      </c>
      <c r="I669" s="2234" t="str">
        <v>1977-01-01—1977-12-31</v>
      </c>
      <c r="J669" s="2234" t="str">
        <v>historical_exchange_rates_1920_2026.xlsx</v>
      </c>
      <c r="K669" s="2234" t="str"/>
      <c r="L669" s="2234" t="str">
        <v>原报价已按 1 美元兑换本币表示。</v>
      </c>
      <c r="M669" s="2234" t="str">
        <v>1977|日元（JPY）</v>
      </c>
      <c r="N669" s="2234" t="str">
        <v>日元（JPY）</v>
      </c>
      <c r="O669" s="2239" t="n">
        <v>268.6194</v>
      </c>
      <c r="P669" s="2234" t="str">
        <v>LCU/USD</v>
      </c>
      <c r="Q669" s="2239" t="n">
        <v>1</v>
      </c>
      <c r="R669" s="2234" t="str">
        <v>A：机构统计／原始统计表</v>
      </c>
      <c r="S669" s="2234" t="str">
        <v>年度汇率!H63；原始记录!A521:M521</v>
      </c>
      <c r="T669" s="2234" t="str"/>
      <c r="U669" t="n" s="2231">
        <v>1983</v>
      </c>
      <c r="V669" t="str" s="2231">
        <v>美元（USD）</v>
      </c>
    </row>
    <row r="670" ht="15.0" customHeight="1">
      <c r="A670" s="2234" t="n">
        <v>1977</v>
      </c>
      <c r="B670" s="2234" t="str">
        <v>CHF</v>
      </c>
      <c r="C670" s="2234" t="str">
        <v>瑞士法郎（CHF）</v>
      </c>
      <c r="D670" s="2234" t="str">
        <v>可用</v>
      </c>
      <c r="E670" s="2238" t="n">
        <v>2.4065</v>
      </c>
      <c r="F670" s="2234" t="str">
        <v>年均</v>
      </c>
      <c r="G670" s="2234" t="str">
        <v>Federal Reserve G.5A / FRED AEXSZUS</v>
      </c>
      <c r="H670" s="2234" t="str">
        <v>https://fred.stlouisfed.org/data/AEXSZUS</v>
      </c>
      <c r="I670" s="2234" t="str">
        <v>1977-01-01—1977-12-31</v>
      </c>
      <c r="J670" s="2234" t="str">
        <v>historical_exchange_rates_1920_2026.xlsx</v>
      </c>
      <c r="K670" s="2234" t="str"/>
      <c r="L670" s="2234" t="str">
        <v>原报价已按 1 美元兑换本币表示。</v>
      </c>
      <c r="M670" s="2234" t="str">
        <v>1977|瑞士法郎（CHF）</v>
      </c>
      <c r="N670" s="2234" t="str">
        <v>瑞士法郎（CHF）</v>
      </c>
      <c r="O670" s="2239" t="n">
        <v>2.4065</v>
      </c>
      <c r="P670" s="2234" t="str">
        <v>LCU/USD</v>
      </c>
      <c r="Q670" s="2239" t="n">
        <v>1</v>
      </c>
      <c r="R670" s="2234" t="str">
        <v>A：机构统计／原始统计表</v>
      </c>
      <c r="S670" s="2234" t="str">
        <v>年度汇率!I63；原始记录!A522:M522</v>
      </c>
      <c r="T670" s="2234" t="str"/>
      <c r="U670" t="n" s="2231">
        <v>1983</v>
      </c>
      <c r="V670" t="str" s="2231">
        <v>英镑（GBP）</v>
      </c>
    </row>
    <row r="671" ht="15.0" customHeight="1">
      <c r="A671" s="2234" t="n">
        <v>1977</v>
      </c>
      <c r="B671" s="2234" t="str">
        <v>INR</v>
      </c>
      <c r="C671" s="2234" t="str">
        <v>印度卢比（INR）</v>
      </c>
      <c r="D671" s="2234" t="str">
        <v>可用</v>
      </c>
      <c r="E671" s="2238" t="n">
        <v>8.7683</v>
      </c>
      <c r="F671" s="2234" t="str">
        <v>年均</v>
      </c>
      <c r="G671" s="2234" t="str">
        <v>Federal Reserve G.5A / FRED AEXINUS</v>
      </c>
      <c r="H671" s="2234" t="str">
        <v>https://fred.stlouisfed.org/data/AEXINUS</v>
      </c>
      <c r="I671" s="2234" t="str">
        <v>1977-01-01—1977-12-31</v>
      </c>
      <c r="J671" s="2234" t="str">
        <v>historical_exchange_rates_1920_2026.xlsx</v>
      </c>
      <c r="K671" s="2234" t="str"/>
      <c r="L671" s="2234" t="str">
        <v>原报价已按 1 美元兑换本币表示。</v>
      </c>
      <c r="M671" s="2234" t="str">
        <v>1977|印度卢比（INR）</v>
      </c>
      <c r="N671" s="2234" t="str">
        <v>印度卢比（INR）</v>
      </c>
      <c r="O671" s="2239" t="n">
        <v>8.7683</v>
      </c>
      <c r="P671" s="2234" t="str">
        <v>LCU/USD</v>
      </c>
      <c r="Q671" s="2239" t="n">
        <v>1</v>
      </c>
      <c r="R671" s="2234" t="str">
        <v>A：机构统计／原始统计表</v>
      </c>
      <c r="S671" s="2234" t="str">
        <v>年度汇率!J63；原始记录!A523:M523</v>
      </c>
      <c r="T671" s="2234" t="str"/>
      <c r="U671" t="n" s="2231">
        <v>1983</v>
      </c>
      <c r="V671" t="str" s="2231">
        <v>加拿大元（CAD）</v>
      </c>
    </row>
    <row r="672" ht="36.0" customHeight="1">
      <c r="A672" s="2234" t="n">
        <v>1977</v>
      </c>
      <c r="B672" s="2234" t="str">
        <v>SUR_1961</v>
      </c>
      <c r="C672" s="2234" t="str">
        <v>苏联卢布（1961币制）</v>
      </c>
      <c r="D672" s="2234" t="str">
        <v>可用</v>
      </c>
      <c r="E672" s="2238" t="n">
        <v>0.742</v>
      </c>
      <c r="F672" s="2234" t="str">
        <v>定点官价参考（非年均）</v>
      </c>
      <c r="G672" s="2234" t="str">
        <v>苏联卢布历史官价表（Wikipedia转引俄央行历史档案）</v>
      </c>
      <c r="H672" s="2234" t="str">
        <v>https://en.wikipedia.org/wiki/Soviet_ruble#Exchange_rates</v>
      </c>
      <c r="I672" s="2234" t="str">
        <v>1977-01-01</v>
      </c>
      <c r="J672" s="2234" t="str">
        <v>historical_exchange_rates_1920_2026.xlsx</v>
      </c>
      <c r="K672"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672" s="2234" t="str">
        <v>原报价已按 1 美元兑换本币表示。</v>
      </c>
      <c r="M672" s="2234" t="str">
        <v>1977|苏联卢布（1961币制）</v>
      </c>
      <c r="N672" s="2234" t="str">
        <v>苏联卢布（1961币制）</v>
      </c>
      <c r="O672" s="2239" t="n">
        <v>0.742</v>
      </c>
      <c r="P672" s="2234" t="str">
        <v>LCU/USD</v>
      </c>
      <c r="Q672" s="2239" t="n">
        <v>1</v>
      </c>
      <c r="R672" s="2234" t="str">
        <v>C：二手转引（原档未复核）</v>
      </c>
      <c r="S672" s="2234" t="str">
        <v>年度汇率!K63；原始记录!A524:M524</v>
      </c>
      <c r="T672" s="2234" t="str">
        <v>官价参考，并非市场年均汇率</v>
      </c>
      <c r="U672" t="n" s="2231">
        <v>1983</v>
      </c>
      <c r="V672" t="str" s="2231">
        <v>法国法郎（FRF；1960币制）</v>
      </c>
    </row>
    <row r="673" ht="15.0" customHeight="1">
      <c r="A673" s="2234" t="n">
        <v>1977</v>
      </c>
      <c r="B673" s="2234" t="str">
        <v>CNY</v>
      </c>
      <c r="C673" s="2234" t="str">
        <v>人民币元（1955币制；CNY）</v>
      </c>
      <c r="D673" s="2234" t="str">
        <v>可用</v>
      </c>
      <c r="E673" s="2238" t="n">
        <v>1.83808333333333</v>
      </c>
      <c r="F673" s="2234" t="str">
        <v>年均</v>
      </c>
      <c r="G673" s="2234" t="str">
        <v>OECD via FRED：CNY年均汇率</v>
      </c>
      <c r="H673" s="2234" t="str">
        <v>https://fred.stlouisfed.org/data/CCUSMA02CNA618N</v>
      </c>
      <c r="I673" s="2234" t="str">
        <v>1977-01-01—1977-12-31</v>
      </c>
      <c r="J673" s="2234" t="str">
        <v>historical_exchange_rates_1920_2026.xlsx</v>
      </c>
      <c r="K673" s="2234" t="str">
        <v>单位为本币／美元；中国和印度早期数据主要反映官方汇率。</v>
      </c>
      <c r="L673" s="2234" t="str">
        <v>原报价已按 1 美元兑换本币表示。</v>
      </c>
      <c r="M673" s="2234" t="str">
        <v>1977|人民币元（1955币制；CNY）</v>
      </c>
      <c r="N673" s="2234" t="str">
        <v>人民币元（1955币制；CNY）</v>
      </c>
      <c r="O673" s="2239" t="n">
        <v>1.83808333333333</v>
      </c>
      <c r="P673" s="2234" t="str">
        <v>LCU/USD</v>
      </c>
      <c r="Q673" s="2239" t="n">
        <v>1</v>
      </c>
      <c r="R673" s="2234" t="str">
        <v>A：机构统计／原始统计表</v>
      </c>
      <c r="S673" s="2234" t="str">
        <v>年度汇率!L63；原始记录!A525:M525</v>
      </c>
      <c r="T673" s="2234" t="str"/>
      <c r="U673" t="n" s="2231">
        <v>1983</v>
      </c>
      <c r="V673" t="str" s="2231">
        <v>西德德国马克（DEM）</v>
      </c>
    </row>
    <row r="674" ht="15.0" customHeight="1">
      <c r="A674" s="2234" t="n">
        <v>1978</v>
      </c>
      <c r="B674" s="2234" t="str">
        <v>USD</v>
      </c>
      <c r="C674" s="2234" t="str">
        <v>美元（USD）</v>
      </c>
      <c r="D674" s="2234" t="str">
        <v>可用</v>
      </c>
      <c r="E674" s="2238" t="n">
        <v>1</v>
      </c>
      <c r="F674" s="2234" t="str">
        <v>基准恒等</v>
      </c>
      <c r="G674" s="2234" t="str">
        <v>用户提供的历史汇率表</v>
      </c>
      <c r="H674" s="2234" t="str"/>
      <c r="I674" s="2234" t="str">
        <v>1978</v>
      </c>
      <c r="J674" s="2234" t="str">
        <v>historical_exchange_rates_1920_2026.xlsx</v>
      </c>
      <c r="K674" s="2234" t="str">
        <v>1 美元等于 1 美元，无外部报价。</v>
      </c>
      <c r="L674" s="2234" t="str">
        <v>美元基准，汇率恒为 1。</v>
      </c>
      <c r="M674" s="2234" t="str">
        <v>1978|美元（USD）</v>
      </c>
      <c r="N674" s="2234" t="str">
        <v>美元（USD）</v>
      </c>
      <c r="O674" s="2239"/>
      <c r="P674" s="2234" t="str"/>
      <c r="Q674" s="2239"/>
      <c r="R674" s="2234" t="str"/>
      <c r="S674" s="2234" t="str">
        <v>年度汇率!B64</v>
      </c>
      <c r="T674" s="2234" t="str"/>
      <c r="U674" t="n" s="2231">
        <v>1983</v>
      </c>
      <c r="V674" t="str" s="2231">
        <v>意大利里拉（ITL）</v>
      </c>
    </row>
    <row r="675" ht="24.0" customHeight="1">
      <c r="A675" s="2234" t="n">
        <v>1978</v>
      </c>
      <c r="B675" s="2234" t="str">
        <v>GBP</v>
      </c>
      <c r="C675" s="2234" t="str">
        <v>英镑（GBP）</v>
      </c>
      <c r="D675" s="2234" t="str">
        <v>可用</v>
      </c>
      <c r="E675" s="2238" t="n">
        <v>0.5212677231025855</v>
      </c>
      <c r="F675" s="2234" t="str">
        <v>年均</v>
      </c>
      <c r="G675" s="2234" t="str">
        <v>Federal Reserve G.5A / FRED AEXUSUK</v>
      </c>
      <c r="H675" s="2234" t="str">
        <v>https://fred.stlouisfed.org/data/AEXUSUK</v>
      </c>
      <c r="I675" s="2234" t="str">
        <v>1978-01-01—1978-12-31</v>
      </c>
      <c r="J675" s="2234" t="str">
        <v>historical_exchange_rates_1920_2026.xlsx</v>
      </c>
      <c r="K675" s="2234" t="str">
        <v>反向值由原报价均值取倒数；不等于反向日度汇率的算术平均。
年均USD/GBP；主表取倒数，不等于逐日GBP/USD平均。</v>
      </c>
      <c r="L675" s="2234" t="str">
        <v>原报价为每单位本币兑美元，取原报价均值的倒数；不等于反向日度汇率的算术平均。</v>
      </c>
      <c r="M675" s="2234" t="str">
        <v>1978|英镑（GBP）</v>
      </c>
      <c r="N675" s="2234" t="str">
        <v>英镑（GBP）</v>
      </c>
      <c r="O675" s="2239" t="n">
        <v>1.9184</v>
      </c>
      <c r="P675" s="2234" t="str">
        <v>USD/LCU</v>
      </c>
      <c r="Q675" s="2239" t="n">
        <v>1</v>
      </c>
      <c r="R675" s="2234" t="str">
        <v>A：机构统计／原始统计表</v>
      </c>
      <c r="S675" s="2234" t="str">
        <v>年度汇率!C64；原始记录!A526:M526</v>
      </c>
      <c r="T675" s="2234" t="str"/>
      <c r="U675" t="n" s="2231">
        <v>1983</v>
      </c>
      <c r="V675" t="str" s="2231">
        <v>日元（JPY）</v>
      </c>
    </row>
    <row r="676" ht="15.0" customHeight="1">
      <c r="A676" s="2234" t="n">
        <v>1978</v>
      </c>
      <c r="B676" s="2234" t="str">
        <v>CAD</v>
      </c>
      <c r="C676" s="2234" t="str">
        <v>加拿大元（CAD）</v>
      </c>
      <c r="D676" s="2234" t="str">
        <v>可用</v>
      </c>
      <c r="E676" s="2238" t="n">
        <v>1.1405</v>
      </c>
      <c r="F676" s="2234" t="str">
        <v>年均</v>
      </c>
      <c r="G676" s="2234" t="str">
        <v>Federal Reserve G.5A / FRED AEXCAUS</v>
      </c>
      <c r="H676" s="2234" t="str">
        <v>https://fred.stlouisfed.org/data/AEXCAUS</v>
      </c>
      <c r="I676" s="2234" t="str">
        <v>1978-01-01—1978-12-31</v>
      </c>
      <c r="J676" s="2234" t="str">
        <v>historical_exchange_rates_1920_2026.xlsx</v>
      </c>
      <c r="K676" s="2234" t="str"/>
      <c r="L676" s="2234" t="str">
        <v>原报价已按 1 美元兑换本币表示。</v>
      </c>
      <c r="M676" s="2234" t="str">
        <v>1978|加拿大元（CAD）</v>
      </c>
      <c r="N676" s="2234" t="str">
        <v>加拿大元（CAD）</v>
      </c>
      <c r="O676" s="2239" t="n">
        <v>1.1405</v>
      </c>
      <c r="P676" s="2234" t="str">
        <v>LCU/USD</v>
      </c>
      <c r="Q676" s="2239" t="n">
        <v>1</v>
      </c>
      <c r="R676" s="2234" t="str">
        <v>A：机构统计／原始统计表</v>
      </c>
      <c r="S676" s="2234" t="str">
        <v>年度汇率!D64；原始记录!A527:M527</v>
      </c>
      <c r="T676" s="2234" t="str"/>
      <c r="U676" t="n" s="2231">
        <v>1983</v>
      </c>
      <c r="V676" t="str" s="2231">
        <v>瑞士法郎（CHF）</v>
      </c>
    </row>
    <row r="677" ht="36.0" customHeight="1">
      <c r="A677" s="2234" t="n">
        <v>1978</v>
      </c>
      <c r="B677" s="2234" t="str">
        <v>FRF</v>
      </c>
      <c r="C677" s="2234" t="str">
        <v>法国法郎（FRF；1960币制）</v>
      </c>
      <c r="D677" s="2234" t="str">
        <v>可用</v>
      </c>
      <c r="E677" s="2238" t="n">
        <v>4.511833333296233</v>
      </c>
      <c r="F677" s="2234" t="str">
        <v>年均</v>
      </c>
      <c r="G677" s="2234" t="str">
        <v>OECD via FRED：FR年均汇率（欧元单位回溯序列）</v>
      </c>
      <c r="H677" s="2234" t="str">
        <v>https://fred.stlouisfed.org/data/CCUSMA02FRA618N</v>
      </c>
      <c r="I677" s="2234" t="str">
        <v>1978-01-01—1978-12-31</v>
      </c>
      <c r="J677" s="2234" t="str">
        <v>historical_exchange_rates_1920_2026.xlsx</v>
      </c>
      <c r="K677" s="2234" t="str">
        <v>由欧元回溯单位还原当年本币；非当年实际欧元报价。 欧元回溯单位按不可撤销转换率还原；法国1960年前另乘100。
原序列单位为回溯欧元；乘不可撤销转换率还原当年本币。法国1957–1959另乘100还原旧法郎。</v>
      </c>
      <c r="L677" s="2234" t="str">
        <v>原报价已按 1 美元兑换本币表示。乘以 6.55957，还原当年币制的计价单位。</v>
      </c>
      <c r="M677" s="2234" t="str">
        <v>1978|法国法郎（FRF；1960币制）</v>
      </c>
      <c r="N677" s="2234" t="str">
        <v>法国法郎（FRF；1960币制）</v>
      </c>
      <c r="O677" s="2239" t="n">
        <v>0.6878245576</v>
      </c>
      <c r="P677" s="2234" t="str">
        <v>LCU/USD</v>
      </c>
      <c r="Q677" s="2239" t="n">
        <v>6.55957</v>
      </c>
      <c r="R677" s="2234" t="str">
        <v>A：机构统计／原始统计表</v>
      </c>
      <c r="S677" s="2234" t="str">
        <v>年度汇率!E64；原始记录!A528:M528</v>
      </c>
      <c r="T677" s="2234" t="str"/>
      <c r="U677" t="n" s="2231">
        <v>1983</v>
      </c>
      <c r="V677" t="str" s="2231">
        <v>印度卢比（INR）</v>
      </c>
    </row>
    <row r="678" ht="36.0" customHeight="1">
      <c r="A678" s="2234" t="n">
        <v>1978</v>
      </c>
      <c r="B678" s="2234" t="str">
        <v>DEM</v>
      </c>
      <c r="C678" s="2234" t="str">
        <v>西德德国马克（DEM）</v>
      </c>
      <c r="D678" s="2234" t="str">
        <v>可用</v>
      </c>
      <c r="E678" s="2238" t="n">
        <v>2.0086916666800296</v>
      </c>
      <c r="F678" s="2234" t="str">
        <v>年均</v>
      </c>
      <c r="G678" s="2234" t="str">
        <v>OECD via FRED：DE年均汇率（欧元单位回溯序列）</v>
      </c>
      <c r="H678" s="2234" t="str">
        <v>https://fred.stlouisfed.org/data/CCUSMA02DEA618N</v>
      </c>
      <c r="I678" s="2234" t="str">
        <v>1978-01-01—1978-12-31</v>
      </c>
      <c r="J678" s="2234" t="str">
        <v>historical_exchange_rates_1920_2026.xlsx</v>
      </c>
      <c r="K678" s="2234" t="str">
        <v>由欧元回溯单位还原当年本币；非当年实际欧元报价。 欧元回溯单位按不可撤销转换率还原；法国1960年前另乘100。
原序列单位为回溯欧元；乘不可撤销转换率还原当年本币。法国1957–1959另乘100还原旧法郎。</v>
      </c>
      <c r="L678" s="2234" t="str">
        <v>原报价已按 1 美元兑换本币表示。乘以 1.95583，还原当年币制的计价单位。</v>
      </c>
      <c r="M678" s="2234" t="str">
        <v>1978|西德德国马克（DEM）</v>
      </c>
      <c r="N678" s="2234" t="str">
        <v>西德德国马克（DEM）</v>
      </c>
      <c r="O678" s="2239" t="n">
        <v>1.027027741</v>
      </c>
      <c r="P678" s="2234" t="str">
        <v>LCU/USD</v>
      </c>
      <c r="Q678" s="2239" t="n">
        <v>1.95583</v>
      </c>
      <c r="R678" s="2234" t="str">
        <v>A：机构统计／原始统计表</v>
      </c>
      <c r="S678" s="2234" t="str">
        <v>年度汇率!F64、年度汇率!M64；原始记录!A529:M529</v>
      </c>
      <c r="T678" s="2234" t="str"/>
      <c r="U678" t="n" s="2231">
        <v>1983</v>
      </c>
      <c r="V678" t="str" s="2231">
        <v>苏联卢布（1961币制）</v>
      </c>
    </row>
    <row r="679" ht="36.0" customHeight="1">
      <c r="A679" s="2234" t="n">
        <v>1978</v>
      </c>
      <c r="B679" s="2234" t="str">
        <v>ITL</v>
      </c>
      <c r="C679" s="2234" t="str">
        <v>意大利里拉（ITL）</v>
      </c>
      <c r="D679" s="2234" t="str">
        <v>可用</v>
      </c>
      <c r="E679" s="2238" t="n">
        <v>848.72613333809</v>
      </c>
      <c r="F679" s="2234" t="str">
        <v>年均</v>
      </c>
      <c r="G679" s="2234" t="str">
        <v>OECD via FRED：IT年均汇率（欧元单位回溯序列）</v>
      </c>
      <c r="H679" s="2234" t="str">
        <v>https://fred.stlouisfed.org/data/CCUSMA02ITA618N</v>
      </c>
      <c r="I679" s="2234" t="str">
        <v>1978-01-01—1978-12-31</v>
      </c>
      <c r="J679" s="2234" t="str">
        <v>historical_exchange_rates_1920_2026.xlsx</v>
      </c>
      <c r="K679" s="2234" t="str">
        <v>由欧元回溯单位还原当年本币；非当年实际欧元报价。 欧元回溯单位按不可撤销转换率还原；法国1960年前另乘100。
原序列单位为回溯欧元；乘不可撤销转换率还原当年本币。法国1957–1959另乘100还原旧法郎。</v>
      </c>
      <c r="L679" s="2234" t="str">
        <v>原报价已按 1 美元兑换本币表示。乘以 1936.27，还原当年币制的计价单位。</v>
      </c>
      <c r="M679" s="2234" t="str">
        <v>1978|意大利里拉（ITL）</v>
      </c>
      <c r="N679" s="2234" t="str">
        <v>意大利里拉（ITL）</v>
      </c>
      <c r="O679" s="2239" t="n">
        <v>0.438330467</v>
      </c>
      <c r="P679" s="2234" t="str">
        <v>LCU/USD</v>
      </c>
      <c r="Q679" s="2239" t="n">
        <v>1936.27</v>
      </c>
      <c r="R679" s="2234" t="str">
        <v>A：机构统计／原始统计表</v>
      </c>
      <c r="S679" s="2234" t="str">
        <v>年度汇率!G64；原始记录!A530:M530</v>
      </c>
      <c r="T679" s="2234" t="str"/>
      <c r="U679" t="n" s="2231">
        <v>1983</v>
      </c>
      <c r="V679" t="str" s="2231">
        <v>人民币元（1955币制；CNY）</v>
      </c>
    </row>
    <row r="680" ht="15.0" customHeight="1">
      <c r="A680" s="2234" t="n">
        <v>1978</v>
      </c>
      <c r="B680" s="2234" t="str">
        <v>JPY</v>
      </c>
      <c r="C680" s="2234" t="str">
        <v>日元（JPY）</v>
      </c>
      <c r="D680" s="2234" t="str">
        <v>可用</v>
      </c>
      <c r="E680" s="2238" t="n">
        <v>210.3854</v>
      </c>
      <c r="F680" s="2234" t="str">
        <v>年均</v>
      </c>
      <c r="G680" s="2234" t="str">
        <v>Federal Reserve G.5A / FRED AEXJPUS</v>
      </c>
      <c r="H680" s="2234" t="str">
        <v>https://fred.stlouisfed.org/data/AEXJPUS</v>
      </c>
      <c r="I680" s="2234" t="str">
        <v>1978-01-01—1978-12-31</v>
      </c>
      <c r="J680" s="2234" t="str">
        <v>historical_exchange_rates_1920_2026.xlsx</v>
      </c>
      <c r="K680" s="2234" t="str"/>
      <c r="L680" s="2234" t="str">
        <v>原报价已按 1 美元兑换本币表示。</v>
      </c>
      <c r="M680" s="2234" t="str">
        <v>1978|日元（JPY）</v>
      </c>
      <c r="N680" s="2234" t="str">
        <v>日元（JPY）</v>
      </c>
      <c r="O680" s="2239" t="n">
        <v>210.3854</v>
      </c>
      <c r="P680" s="2234" t="str">
        <v>LCU/USD</v>
      </c>
      <c r="Q680" s="2239" t="n">
        <v>1</v>
      </c>
      <c r="R680" s="2234" t="str">
        <v>A：机构统计／原始统计表</v>
      </c>
      <c r="S680" s="2234" t="str">
        <v>年度汇率!H64；原始记录!A531:M531</v>
      </c>
      <c r="T680" s="2234" t="str"/>
      <c r="U680" t="n" s="2231">
        <v>1984</v>
      </c>
      <c r="V680" t="str" s="2231">
        <v>美元（USD）</v>
      </c>
    </row>
    <row r="681" ht="15.0" customHeight="1">
      <c r="A681" s="2234" t="n">
        <v>1978</v>
      </c>
      <c r="B681" s="2234" t="str">
        <v>CHF</v>
      </c>
      <c r="C681" s="2234" t="str">
        <v>瑞士法郎（CHF）</v>
      </c>
      <c r="D681" s="2234" t="str">
        <v>可用</v>
      </c>
      <c r="E681" s="2238" t="n">
        <v>1.7907</v>
      </c>
      <c r="F681" s="2234" t="str">
        <v>年均</v>
      </c>
      <c r="G681" s="2234" t="str">
        <v>Federal Reserve G.5A / FRED AEXSZUS</v>
      </c>
      <c r="H681" s="2234" t="str">
        <v>https://fred.stlouisfed.org/data/AEXSZUS</v>
      </c>
      <c r="I681" s="2234" t="str">
        <v>1978-01-01—1978-12-31</v>
      </c>
      <c r="J681" s="2234" t="str">
        <v>historical_exchange_rates_1920_2026.xlsx</v>
      </c>
      <c r="K681" s="2234" t="str"/>
      <c r="L681" s="2234" t="str">
        <v>原报价已按 1 美元兑换本币表示。</v>
      </c>
      <c r="M681" s="2234" t="str">
        <v>1978|瑞士法郎（CHF）</v>
      </c>
      <c r="N681" s="2234" t="str">
        <v>瑞士法郎（CHF）</v>
      </c>
      <c r="O681" s="2239" t="n">
        <v>1.7907</v>
      </c>
      <c r="P681" s="2234" t="str">
        <v>LCU/USD</v>
      </c>
      <c r="Q681" s="2239" t="n">
        <v>1</v>
      </c>
      <c r="R681" s="2234" t="str">
        <v>A：机构统计／原始统计表</v>
      </c>
      <c r="S681" s="2234" t="str">
        <v>年度汇率!I64；原始记录!A532:M532</v>
      </c>
      <c r="T681" s="2234" t="str"/>
      <c r="U681" t="n" s="2231">
        <v>1984</v>
      </c>
      <c r="V681" t="str" s="2231">
        <v>英镑（GBP）</v>
      </c>
    </row>
    <row r="682" ht="15.0" customHeight="1">
      <c r="A682" s="2234" t="n">
        <v>1978</v>
      </c>
      <c r="B682" s="2234" t="str">
        <v>INR</v>
      </c>
      <c r="C682" s="2234" t="str">
        <v>印度卢比（INR）</v>
      </c>
      <c r="D682" s="2234" t="str">
        <v>可用</v>
      </c>
      <c r="E682" s="2238" t="n">
        <v>8.1979</v>
      </c>
      <c r="F682" s="2234" t="str">
        <v>年均</v>
      </c>
      <c r="G682" s="2234" t="str">
        <v>Federal Reserve G.5A / FRED AEXINUS</v>
      </c>
      <c r="H682" s="2234" t="str">
        <v>https://fred.stlouisfed.org/data/AEXINUS</v>
      </c>
      <c r="I682" s="2234" t="str">
        <v>1978-01-01—1978-12-31</v>
      </c>
      <c r="J682" s="2234" t="str">
        <v>historical_exchange_rates_1920_2026.xlsx</v>
      </c>
      <c r="K682" s="2234" t="str"/>
      <c r="L682" s="2234" t="str">
        <v>原报价已按 1 美元兑换本币表示。</v>
      </c>
      <c r="M682" s="2234" t="str">
        <v>1978|印度卢比（INR）</v>
      </c>
      <c r="N682" s="2234" t="str">
        <v>印度卢比（INR）</v>
      </c>
      <c r="O682" s="2239" t="n">
        <v>8.1979</v>
      </c>
      <c r="P682" s="2234" t="str">
        <v>LCU/USD</v>
      </c>
      <c r="Q682" s="2239" t="n">
        <v>1</v>
      </c>
      <c r="R682" s="2234" t="str">
        <v>A：机构统计／原始统计表</v>
      </c>
      <c r="S682" s="2234" t="str">
        <v>年度汇率!J64；原始记录!A533:M533</v>
      </c>
      <c r="T682" s="2234" t="str"/>
      <c r="U682" t="n" s="2231">
        <v>1984</v>
      </c>
      <c r="V682" t="str" s="2231">
        <v>加拿大元（CAD）</v>
      </c>
    </row>
    <row r="683" ht="36.0" customHeight="1">
      <c r="A683" s="2234" t="n">
        <v>1978</v>
      </c>
      <c r="B683" s="2234" t="str">
        <v>SUR_1961</v>
      </c>
      <c r="C683" s="2234" t="str">
        <v>苏联卢布（1961币制）</v>
      </c>
      <c r="D683" s="2234" t="str">
        <v>可用</v>
      </c>
      <c r="E683" s="2238" t="n">
        <v>0.706</v>
      </c>
      <c r="F683" s="2234" t="str">
        <v>定点官价参考（非年均）</v>
      </c>
      <c r="G683" s="2234" t="str">
        <v>苏联卢布历史官价表（Wikipedia转引俄央行历史档案）</v>
      </c>
      <c r="H683" s="2234" t="str">
        <v>https://en.wikipedia.org/wiki/Soviet_ruble#Exchange_rates</v>
      </c>
      <c r="I683" s="2234" t="str">
        <v>1978-01-01</v>
      </c>
      <c r="J683" s="2234" t="str">
        <v>historical_exchange_rates_1920_2026.xlsx</v>
      </c>
      <c r="K683"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683" s="2234" t="str">
        <v>原报价已按 1 美元兑换本币表示。</v>
      </c>
      <c r="M683" s="2234" t="str">
        <v>1978|苏联卢布（1961币制）</v>
      </c>
      <c r="N683" s="2234" t="str">
        <v>苏联卢布（1961币制）</v>
      </c>
      <c r="O683" s="2239" t="n">
        <v>0.706</v>
      </c>
      <c r="P683" s="2234" t="str">
        <v>LCU/USD</v>
      </c>
      <c r="Q683" s="2239" t="n">
        <v>1</v>
      </c>
      <c r="R683" s="2234" t="str">
        <v>C：二手转引（原档未复核）</v>
      </c>
      <c r="S683" s="2234" t="str">
        <v>年度汇率!K64；原始记录!A534:M534</v>
      </c>
      <c r="T683" s="2234" t="str">
        <v>官价参考，并非市场年均汇率</v>
      </c>
      <c r="U683" t="n" s="2231">
        <v>1984</v>
      </c>
      <c r="V683" t="str" s="2231">
        <v>法国法郎（FRF；1960币制）</v>
      </c>
    </row>
    <row r="684" ht="15.0" customHeight="1">
      <c r="A684" s="2234" t="n">
        <v>1978</v>
      </c>
      <c r="B684" s="2234" t="str">
        <v>CNY</v>
      </c>
      <c r="C684" s="2234" t="str">
        <v>人民币元（1955币制；CNY）</v>
      </c>
      <c r="D684" s="2234" t="str">
        <v>可用</v>
      </c>
      <c r="E684" s="2238" t="n">
        <v>1.68358333333333</v>
      </c>
      <c r="F684" s="2234" t="str">
        <v>年均</v>
      </c>
      <c r="G684" s="2234" t="str">
        <v>OECD via FRED：CNY年均汇率</v>
      </c>
      <c r="H684" s="2234" t="str">
        <v>https://fred.stlouisfed.org/data/CCUSMA02CNA618N</v>
      </c>
      <c r="I684" s="2234" t="str">
        <v>1978-01-01—1978-12-31</v>
      </c>
      <c r="J684" s="2234" t="str">
        <v>historical_exchange_rates_1920_2026.xlsx</v>
      </c>
      <c r="K684" s="2234" t="str">
        <v>单位为本币／美元；中国和印度早期数据主要反映官方汇率。</v>
      </c>
      <c r="L684" s="2234" t="str">
        <v>原报价已按 1 美元兑换本币表示。</v>
      </c>
      <c r="M684" s="2234" t="str">
        <v>1978|人民币元（1955币制；CNY）</v>
      </c>
      <c r="N684" s="2234" t="str">
        <v>人民币元（1955币制；CNY）</v>
      </c>
      <c r="O684" s="2239" t="n">
        <v>1.68358333333333</v>
      </c>
      <c r="P684" s="2234" t="str">
        <v>LCU/USD</v>
      </c>
      <c r="Q684" s="2239" t="n">
        <v>1</v>
      </c>
      <c r="R684" s="2234" t="str">
        <v>A：机构统计／原始统计表</v>
      </c>
      <c r="S684" s="2234" t="str">
        <v>年度汇率!L64；原始记录!A535:M535</v>
      </c>
      <c r="T684" s="2234" t="str"/>
      <c r="U684" t="n" s="2231">
        <v>1984</v>
      </c>
      <c r="V684" t="str" s="2231">
        <v>西德德国马克（DEM）</v>
      </c>
    </row>
    <row r="685" ht="15.0" customHeight="1">
      <c r="A685" s="2234" t="n">
        <v>1979</v>
      </c>
      <c r="B685" s="2234" t="str">
        <v>USD</v>
      </c>
      <c r="C685" s="2234" t="str">
        <v>美元（USD）</v>
      </c>
      <c r="D685" s="2234" t="str">
        <v>可用</v>
      </c>
      <c r="E685" s="2238" t="n">
        <v>1</v>
      </c>
      <c r="F685" s="2234" t="str">
        <v>基准恒等</v>
      </c>
      <c r="G685" s="2234" t="str">
        <v>用户提供的历史汇率表</v>
      </c>
      <c r="H685" s="2234" t="str"/>
      <c r="I685" s="2234" t="str">
        <v>1979</v>
      </c>
      <c r="J685" s="2234" t="str">
        <v>historical_exchange_rates_1920_2026.xlsx</v>
      </c>
      <c r="K685" s="2234" t="str">
        <v>1 美元等于 1 美元，无外部报价。</v>
      </c>
      <c r="L685" s="2234" t="str">
        <v>美元基准，汇率恒为 1。</v>
      </c>
      <c r="M685" s="2234" t="str">
        <v>1979|美元（USD）</v>
      </c>
      <c r="N685" s="2234" t="str">
        <v>美元（USD）</v>
      </c>
      <c r="O685" s="2239"/>
      <c r="P685" s="2234" t="str"/>
      <c r="Q685" s="2239"/>
      <c r="R685" s="2234" t="str"/>
      <c r="S685" s="2234" t="str">
        <v>年度汇率!B65</v>
      </c>
      <c r="T685" s="2234" t="str"/>
      <c r="U685" t="n" s="2231">
        <v>1984</v>
      </c>
      <c r="V685" t="str" s="2231">
        <v>意大利里拉（ITL）</v>
      </c>
    </row>
    <row r="686" ht="24.0" customHeight="1">
      <c r="A686" s="2234" t="n">
        <v>1979</v>
      </c>
      <c r="B686" s="2234" t="str">
        <v>GBP</v>
      </c>
      <c r="C686" s="2234" t="str">
        <v>英镑（GBP）</v>
      </c>
      <c r="D686" s="2234" t="str">
        <v>可用</v>
      </c>
      <c r="E686" s="2238" t="n">
        <v>0.4711647191858274</v>
      </c>
      <c r="F686" s="2234" t="str">
        <v>年均</v>
      </c>
      <c r="G686" s="2234" t="str">
        <v>Federal Reserve G.5A / FRED AEXUSUK</v>
      </c>
      <c r="H686" s="2234" t="str">
        <v>https://fred.stlouisfed.org/data/AEXUSUK</v>
      </c>
      <c r="I686" s="2234" t="str">
        <v>1979-01-01—1979-12-31</v>
      </c>
      <c r="J686" s="2234" t="str">
        <v>historical_exchange_rates_1920_2026.xlsx</v>
      </c>
      <c r="K686" s="2234" t="str">
        <v>反向值由原报价均值取倒数；不等于反向日度汇率的算术平均。
年均USD/GBP；主表取倒数，不等于逐日GBP/USD平均。</v>
      </c>
      <c r="L686" s="2234" t="str">
        <v>原报价为每单位本币兑美元，取原报价均值的倒数；不等于反向日度汇率的算术平均。</v>
      </c>
      <c r="M686" s="2234" t="str">
        <v>1979|英镑（GBP）</v>
      </c>
      <c r="N686" s="2234" t="str">
        <v>英镑（GBP）</v>
      </c>
      <c r="O686" s="2239" t="n">
        <v>2.1224</v>
      </c>
      <c r="P686" s="2234" t="str">
        <v>USD/LCU</v>
      </c>
      <c r="Q686" s="2239" t="n">
        <v>1</v>
      </c>
      <c r="R686" s="2234" t="str">
        <v>A：机构统计／原始统计表</v>
      </c>
      <c r="S686" s="2234" t="str">
        <v>年度汇率!C65；原始记录!A536:M536</v>
      </c>
      <c r="T686" s="2234" t="str"/>
      <c r="U686" t="n" s="2231">
        <v>1984</v>
      </c>
      <c r="V686" t="str" s="2231">
        <v>日元（JPY）</v>
      </c>
    </row>
    <row r="687" ht="15.0" customHeight="1">
      <c r="A687" s="2234" t="n">
        <v>1979</v>
      </c>
      <c r="B687" s="2234" t="str">
        <v>CAD</v>
      </c>
      <c r="C687" s="2234" t="str">
        <v>加拿大元（CAD）</v>
      </c>
      <c r="D687" s="2234" t="str">
        <v>可用</v>
      </c>
      <c r="E687" s="2238" t="n">
        <v>1.1713</v>
      </c>
      <c r="F687" s="2234" t="str">
        <v>年均</v>
      </c>
      <c r="G687" s="2234" t="str">
        <v>Federal Reserve G.5A / FRED AEXCAUS</v>
      </c>
      <c r="H687" s="2234" t="str">
        <v>https://fred.stlouisfed.org/data/AEXCAUS</v>
      </c>
      <c r="I687" s="2234" t="str">
        <v>1979-01-01—1979-12-31</v>
      </c>
      <c r="J687" s="2234" t="str">
        <v>historical_exchange_rates_1920_2026.xlsx</v>
      </c>
      <c r="K687" s="2234" t="str"/>
      <c r="L687" s="2234" t="str">
        <v>原报价已按 1 美元兑换本币表示。</v>
      </c>
      <c r="M687" s="2234" t="str">
        <v>1979|加拿大元（CAD）</v>
      </c>
      <c r="N687" s="2234" t="str">
        <v>加拿大元（CAD）</v>
      </c>
      <c r="O687" s="2239" t="n">
        <v>1.1713</v>
      </c>
      <c r="P687" s="2234" t="str">
        <v>LCU/USD</v>
      </c>
      <c r="Q687" s="2239" t="n">
        <v>1</v>
      </c>
      <c r="R687" s="2234" t="str">
        <v>A：机构统计／原始统计表</v>
      </c>
      <c r="S687" s="2234" t="str">
        <v>年度汇率!D65；原始记录!A537:M537</v>
      </c>
      <c r="T687" s="2234" t="str"/>
      <c r="U687" t="n" s="2231">
        <v>1984</v>
      </c>
      <c r="V687" t="str" s="2231">
        <v>瑞士法郎（CHF）</v>
      </c>
    </row>
    <row r="688" ht="36.0" customHeight="1">
      <c r="A688" s="2234" t="n">
        <v>1979</v>
      </c>
      <c r="B688" s="2234" t="str">
        <v>FRF</v>
      </c>
      <c r="C688" s="2234" t="str">
        <v>法国法郎（FRF；1960币制）</v>
      </c>
      <c r="D688" s="2234" t="str">
        <v>可用</v>
      </c>
      <c r="E688" s="2238" t="n">
        <v>4.254616666960272</v>
      </c>
      <c r="F688" s="2234" t="str">
        <v>年均</v>
      </c>
      <c r="G688" s="2234" t="str">
        <v>OECD via FRED：FR年均汇率（欧元单位回溯序列）</v>
      </c>
      <c r="H688" s="2234" t="str">
        <v>https://fred.stlouisfed.org/data/CCUSMA02FRA618N</v>
      </c>
      <c r="I688" s="2234" t="str">
        <v>1979-01-01—1979-12-31</v>
      </c>
      <c r="J688" s="2234" t="str">
        <v>historical_exchange_rates_1920_2026.xlsx</v>
      </c>
      <c r="K688" s="2234" t="str">
        <v>由欧元回溯单位还原当年本币；非当年实际欧元报价。 欧元回溯单位按不可撤销转换率还原；法国1960年前另乘100。
原序列单位为回溯欧元；乘不可撤销转换率还原当年本币。法国1957–1959另乘100还原旧法郎。</v>
      </c>
      <c r="L688" s="2234" t="str">
        <v>原报价已按 1 美元兑换本币表示。乘以 6.55957，还原当年币制的计价单位。</v>
      </c>
      <c r="M688" s="2234" t="str">
        <v>1979|法国法郎（FRF；1960币制）</v>
      </c>
      <c r="N688" s="2234" t="str">
        <v>法国法郎（FRF；1960币制）</v>
      </c>
      <c r="O688" s="2239" t="n">
        <v>0.6486121296</v>
      </c>
      <c r="P688" s="2234" t="str">
        <v>LCU/USD</v>
      </c>
      <c r="Q688" s="2239" t="n">
        <v>6.55957</v>
      </c>
      <c r="R688" s="2234" t="str">
        <v>A：机构统计／原始统计表</v>
      </c>
      <c r="S688" s="2234" t="str">
        <v>年度汇率!E65；原始记录!A538:M538</v>
      </c>
      <c r="T688" s="2234" t="str"/>
      <c r="U688" t="n" s="2231">
        <v>1984</v>
      </c>
      <c r="V688" t="str" s="2231">
        <v>印度卢比（INR）</v>
      </c>
    </row>
    <row r="689" ht="36.0" customHeight="1">
      <c r="A689" s="2234" t="n">
        <v>1979</v>
      </c>
      <c r="B689" s="2234" t="str">
        <v>DEM</v>
      </c>
      <c r="C689" s="2234" t="str">
        <v>西德德国马克（DEM）</v>
      </c>
      <c r="D689" s="2234" t="str">
        <v>可用</v>
      </c>
      <c r="E689" s="2238" t="n">
        <v>1.8328749999070608</v>
      </c>
      <c r="F689" s="2234" t="str">
        <v>年均</v>
      </c>
      <c r="G689" s="2234" t="str">
        <v>OECD via FRED：DE年均汇率（欧元单位回溯序列）</v>
      </c>
      <c r="H689" s="2234" t="str">
        <v>https://fred.stlouisfed.org/data/CCUSMA02DEA618N</v>
      </c>
      <c r="I689" s="2234" t="str">
        <v>1979-01-01—1979-12-31</v>
      </c>
      <c r="J689" s="2234" t="str">
        <v>historical_exchange_rates_1920_2026.xlsx</v>
      </c>
      <c r="K689" s="2234" t="str">
        <v>由欧元回溯单位还原当年本币；非当年实际欧元报价。 欧元回溯单位按不可撤销转换率还原；法国1960年前另乘100。
原序列单位为回溯欧元；乘不可撤销转换率还原当年本币。法国1957–1959另乘100还原旧法郎。</v>
      </c>
      <c r="L689" s="2234" t="str">
        <v>原报价已按 1 美元兑换本币表示。乘以 1.95583，还原当年币制的计价单位。</v>
      </c>
      <c r="M689" s="2234" t="str">
        <v>1979|西德德国马克（DEM）</v>
      </c>
      <c r="N689" s="2234" t="str">
        <v>西德德国马克（DEM）</v>
      </c>
      <c r="O689" s="2239" t="n">
        <v>0.9371341067</v>
      </c>
      <c r="P689" s="2234" t="str">
        <v>LCU/USD</v>
      </c>
      <c r="Q689" s="2239" t="n">
        <v>1.95583</v>
      </c>
      <c r="R689" s="2234" t="str">
        <v>A：机构统计／原始统计表</v>
      </c>
      <c r="S689" s="2234" t="str">
        <v>年度汇率!F65、年度汇率!M65；原始记录!A539:M539</v>
      </c>
      <c r="T689" s="2234" t="str"/>
      <c r="U689" t="n" s="2231">
        <v>1984</v>
      </c>
      <c r="V689" t="str" s="2231">
        <v>苏联卢布（1961币制）</v>
      </c>
    </row>
    <row r="690" ht="36.0" customHeight="1">
      <c r="A690" s="2234" t="n">
        <v>1979</v>
      </c>
      <c r="B690" s="2234" t="str">
        <v>ITL</v>
      </c>
      <c r="C690" s="2234" t="str">
        <v>意大利里拉（ITL）</v>
      </c>
      <c r="D690" s="2234" t="str">
        <v>可用</v>
      </c>
      <c r="E690" s="2238" t="n">
        <v>830.924008289109</v>
      </c>
      <c r="F690" s="2234" t="str">
        <v>年均</v>
      </c>
      <c r="G690" s="2234" t="str">
        <v>OECD via FRED：IT年均汇率（欧元单位回溯序列）</v>
      </c>
      <c r="H690" s="2234" t="str">
        <v>https://fred.stlouisfed.org/data/CCUSMA02ITA618N</v>
      </c>
      <c r="I690" s="2234" t="str">
        <v>1979-01-01—1979-12-31</v>
      </c>
      <c r="J690" s="2234" t="str">
        <v>historical_exchange_rates_1920_2026.xlsx</v>
      </c>
      <c r="K690" s="2234" t="str">
        <v>由欧元回溯单位还原当年本币；非当年实际欧元报价。 欧元回溯单位按不可撤销转换率还原；法国1960年前另乘100。
原序列单位为回溯欧元；乘不可撤销转换率还原当年本币。法国1957–1959另乘100还原旧法郎。</v>
      </c>
      <c r="L690" s="2234" t="str">
        <v>原报价已按 1 美元兑换本币表示。乘以 1936.27，还原当年币制的计价单位。</v>
      </c>
      <c r="M690" s="2234" t="str">
        <v>1979|意大利里拉（ITL）</v>
      </c>
      <c r="N690" s="2234" t="str">
        <v>意大利里拉（ITL）</v>
      </c>
      <c r="O690" s="2239" t="n">
        <v>0.4291364367</v>
      </c>
      <c r="P690" s="2234" t="str">
        <v>LCU/USD</v>
      </c>
      <c r="Q690" s="2239" t="n">
        <v>1936.27</v>
      </c>
      <c r="R690" s="2234" t="str">
        <v>A：机构统计／原始统计表</v>
      </c>
      <c r="S690" s="2234" t="str">
        <v>年度汇率!G65；原始记录!A540:M540</v>
      </c>
      <c r="T690" s="2234" t="str"/>
      <c r="U690" t="n" s="2231">
        <v>1984</v>
      </c>
      <c r="V690" t="str" s="2231">
        <v>人民币元（1955币制；CNY）</v>
      </c>
    </row>
    <row r="691" ht="15.0" customHeight="1">
      <c r="A691" s="2234" t="n">
        <v>1979</v>
      </c>
      <c r="B691" s="2234" t="str">
        <v>JPY</v>
      </c>
      <c r="C691" s="2234" t="str">
        <v>日元（JPY）</v>
      </c>
      <c r="D691" s="2234" t="str">
        <v>可用</v>
      </c>
      <c r="E691" s="2238" t="n">
        <v>219.0168</v>
      </c>
      <c r="F691" s="2234" t="str">
        <v>年均</v>
      </c>
      <c r="G691" s="2234" t="str">
        <v>Federal Reserve G.5A / FRED AEXJPUS</v>
      </c>
      <c r="H691" s="2234" t="str">
        <v>https://fred.stlouisfed.org/data/AEXJPUS</v>
      </c>
      <c r="I691" s="2234" t="str">
        <v>1979-01-01—1979-12-31</v>
      </c>
      <c r="J691" s="2234" t="str">
        <v>historical_exchange_rates_1920_2026.xlsx</v>
      </c>
      <c r="K691" s="2234" t="str"/>
      <c r="L691" s="2234" t="str">
        <v>原报价已按 1 美元兑换本币表示。</v>
      </c>
      <c r="M691" s="2234" t="str">
        <v>1979|日元（JPY）</v>
      </c>
      <c r="N691" s="2234" t="str">
        <v>日元（JPY）</v>
      </c>
      <c r="O691" s="2239" t="n">
        <v>219.0168</v>
      </c>
      <c r="P691" s="2234" t="str">
        <v>LCU/USD</v>
      </c>
      <c r="Q691" s="2239" t="n">
        <v>1</v>
      </c>
      <c r="R691" s="2234" t="str">
        <v>A：机构统计／原始统计表</v>
      </c>
      <c r="S691" s="2234" t="str">
        <v>年度汇率!H65；原始记录!A541:M541</v>
      </c>
      <c r="T691" s="2234" t="str"/>
      <c r="U691" t="n" s="2231">
        <v>1985</v>
      </c>
      <c r="V691" t="str" s="2231">
        <v>美元（USD）</v>
      </c>
    </row>
    <row r="692" ht="15.0" customHeight="1">
      <c r="A692" s="2234" t="n">
        <v>1979</v>
      </c>
      <c r="B692" s="2234" t="str">
        <v>CHF</v>
      </c>
      <c r="C692" s="2234" t="str">
        <v>瑞士法郎（CHF）</v>
      </c>
      <c r="D692" s="2234" t="str">
        <v>可用</v>
      </c>
      <c r="E692" s="2238" t="n">
        <v>1.6644</v>
      </c>
      <c r="F692" s="2234" t="str">
        <v>年均</v>
      </c>
      <c r="G692" s="2234" t="str">
        <v>Federal Reserve G.5A / FRED AEXSZUS</v>
      </c>
      <c r="H692" s="2234" t="str">
        <v>https://fred.stlouisfed.org/data/AEXSZUS</v>
      </c>
      <c r="I692" s="2234" t="str">
        <v>1979-01-01—1979-12-31</v>
      </c>
      <c r="J692" s="2234" t="str">
        <v>historical_exchange_rates_1920_2026.xlsx</v>
      </c>
      <c r="K692" s="2234" t="str"/>
      <c r="L692" s="2234" t="str">
        <v>原报价已按 1 美元兑换本币表示。</v>
      </c>
      <c r="M692" s="2234" t="str">
        <v>1979|瑞士法郎（CHF）</v>
      </c>
      <c r="N692" s="2234" t="str">
        <v>瑞士法郎（CHF）</v>
      </c>
      <c r="O692" s="2239" t="n">
        <v>1.6644</v>
      </c>
      <c r="P692" s="2234" t="str">
        <v>LCU/USD</v>
      </c>
      <c r="Q692" s="2239" t="n">
        <v>1</v>
      </c>
      <c r="R692" s="2234" t="str">
        <v>A：机构统计／原始统计表</v>
      </c>
      <c r="S692" s="2234" t="str">
        <v>年度汇率!I65；原始记录!A542:M542</v>
      </c>
      <c r="T692" s="2234" t="str"/>
      <c r="U692" t="n" s="2231">
        <v>1985</v>
      </c>
      <c r="V692" t="str" s="2231">
        <v>英镑（GBP）</v>
      </c>
    </row>
    <row r="693" ht="15.0" customHeight="1">
      <c r="A693" s="2234" t="n">
        <v>1979</v>
      </c>
      <c r="B693" s="2234" t="str">
        <v>INR</v>
      </c>
      <c r="C693" s="2234" t="str">
        <v>印度卢比（INR）</v>
      </c>
      <c r="D693" s="2234" t="str">
        <v>可用</v>
      </c>
      <c r="E693" s="2238" t="n">
        <v>8.1564</v>
      </c>
      <c r="F693" s="2234" t="str">
        <v>年均</v>
      </c>
      <c r="G693" s="2234" t="str">
        <v>Federal Reserve G.5A / FRED AEXINUS</v>
      </c>
      <c r="H693" s="2234" t="str">
        <v>https://fred.stlouisfed.org/data/AEXINUS</v>
      </c>
      <c r="I693" s="2234" t="str">
        <v>1979-01-01—1979-12-31</v>
      </c>
      <c r="J693" s="2234" t="str">
        <v>historical_exchange_rates_1920_2026.xlsx</v>
      </c>
      <c r="K693" s="2234" t="str"/>
      <c r="L693" s="2234" t="str">
        <v>原报价已按 1 美元兑换本币表示。</v>
      </c>
      <c r="M693" s="2234" t="str">
        <v>1979|印度卢比（INR）</v>
      </c>
      <c r="N693" s="2234" t="str">
        <v>印度卢比（INR）</v>
      </c>
      <c r="O693" s="2239" t="n">
        <v>8.1564</v>
      </c>
      <c r="P693" s="2234" t="str">
        <v>LCU/USD</v>
      </c>
      <c r="Q693" s="2239" t="n">
        <v>1</v>
      </c>
      <c r="R693" s="2234" t="str">
        <v>A：机构统计／原始统计表</v>
      </c>
      <c r="S693" s="2234" t="str">
        <v>年度汇率!J65；原始记录!A543:M543</v>
      </c>
      <c r="T693" s="2234" t="str"/>
      <c r="U693" t="n" s="2231">
        <v>1985</v>
      </c>
      <c r="V693" t="str" s="2231">
        <v>加拿大元（CAD）</v>
      </c>
    </row>
    <row r="694" ht="36.0" customHeight="1">
      <c r="A694" s="2234" t="n">
        <v>1979</v>
      </c>
      <c r="B694" s="2234" t="str">
        <v>SUR_1961</v>
      </c>
      <c r="C694" s="2234" t="str">
        <v>苏联卢布（1961币制）</v>
      </c>
      <c r="D694" s="2234" t="str">
        <v>可用</v>
      </c>
      <c r="E694" s="2238" t="n">
        <v>0.659</v>
      </c>
      <c r="F694" s="2234" t="str">
        <v>定点官价参考（非年均）</v>
      </c>
      <c r="G694" s="2234" t="str">
        <v>苏联卢布历史官价表（Wikipedia转引俄央行历史档案）</v>
      </c>
      <c r="H694" s="2234" t="str">
        <v>https://en.wikipedia.org/wiki/Soviet_ruble#Exchange_rates</v>
      </c>
      <c r="I694" s="2234" t="str">
        <v>1979-01-01</v>
      </c>
      <c r="J694" s="2234" t="str">
        <v>historical_exchange_rates_1920_2026.xlsx</v>
      </c>
      <c r="K694"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694" s="2234" t="str">
        <v>原报价已按 1 美元兑换本币表示。</v>
      </c>
      <c r="M694" s="2234" t="str">
        <v>1979|苏联卢布（1961币制）</v>
      </c>
      <c r="N694" s="2234" t="str">
        <v>苏联卢布（1961币制）</v>
      </c>
      <c r="O694" s="2239" t="n">
        <v>0.659</v>
      </c>
      <c r="P694" s="2234" t="str">
        <v>LCU/USD</v>
      </c>
      <c r="Q694" s="2239" t="n">
        <v>1</v>
      </c>
      <c r="R694" s="2234" t="str">
        <v>C：二手转引（原档未复核）</v>
      </c>
      <c r="S694" s="2234" t="str">
        <v>年度汇率!K65；原始记录!A544:M544</v>
      </c>
      <c r="T694" s="2234" t="str">
        <v>官价参考，并非市场年均汇率</v>
      </c>
      <c r="U694" t="n" s="2231">
        <v>1985</v>
      </c>
      <c r="V694" t="str" s="2231">
        <v>法国法郎（FRF；1960币制）</v>
      </c>
    </row>
    <row r="695" ht="15.0" customHeight="1">
      <c r="A695" s="2234" t="n">
        <v>1979</v>
      </c>
      <c r="B695" s="2234" t="str">
        <v>CNY</v>
      </c>
      <c r="C695" s="2234" t="str">
        <v>人民币元（1955币制；CNY）</v>
      </c>
      <c r="D695" s="2234" t="str">
        <v>可用</v>
      </c>
      <c r="E695" s="2238" t="n">
        <v>1.55516666666667</v>
      </c>
      <c r="F695" s="2234" t="str">
        <v>年均</v>
      </c>
      <c r="G695" s="2234" t="str">
        <v>OECD via FRED：CNY年均汇率</v>
      </c>
      <c r="H695" s="2234" t="str">
        <v>https://fred.stlouisfed.org/data/CCUSMA02CNA618N</v>
      </c>
      <c r="I695" s="2234" t="str">
        <v>1979-01-01—1979-12-31</v>
      </c>
      <c r="J695" s="2234" t="str">
        <v>historical_exchange_rates_1920_2026.xlsx</v>
      </c>
      <c r="K695" s="2234" t="str">
        <v>单位为本币／美元；中国和印度早期数据主要反映官方汇率。</v>
      </c>
      <c r="L695" s="2234" t="str">
        <v>原报价已按 1 美元兑换本币表示。</v>
      </c>
      <c r="M695" s="2234" t="str">
        <v>1979|人民币元（1955币制；CNY）</v>
      </c>
      <c r="N695" s="2234" t="str">
        <v>人民币元（1955币制；CNY）</v>
      </c>
      <c r="O695" s="2239" t="n">
        <v>1.55516666666667</v>
      </c>
      <c r="P695" s="2234" t="str">
        <v>LCU/USD</v>
      </c>
      <c r="Q695" s="2239" t="n">
        <v>1</v>
      </c>
      <c r="R695" s="2234" t="str">
        <v>A：机构统计／原始统计表</v>
      </c>
      <c r="S695" s="2234" t="str">
        <v>年度汇率!L65；原始记录!A545:M545</v>
      </c>
      <c r="T695" s="2234" t="str"/>
      <c r="U695" t="n" s="2231">
        <v>1985</v>
      </c>
      <c r="V695" t="str" s="2231">
        <v>西德德国马克（DEM）</v>
      </c>
    </row>
    <row r="696" ht="15.0" customHeight="1">
      <c r="A696" s="2234" t="n">
        <v>1980</v>
      </c>
      <c r="B696" s="2234" t="str">
        <v>USD</v>
      </c>
      <c r="C696" s="2234" t="str">
        <v>美元（USD）</v>
      </c>
      <c r="D696" s="2234" t="str">
        <v>可用</v>
      </c>
      <c r="E696" s="2238" t="n">
        <v>1</v>
      </c>
      <c r="F696" s="2234" t="str">
        <v>基准恒等</v>
      </c>
      <c r="G696" s="2234" t="str">
        <v>用户提供的历史汇率表</v>
      </c>
      <c r="H696" s="2234" t="str"/>
      <c r="I696" s="2234" t="str">
        <v>1980</v>
      </c>
      <c r="J696" s="2234" t="str">
        <v>historical_exchange_rates_1920_2026.xlsx</v>
      </c>
      <c r="K696" s="2234" t="str">
        <v>1 美元等于 1 美元，无外部报价。</v>
      </c>
      <c r="L696" s="2234" t="str">
        <v>美元基准，汇率恒为 1。</v>
      </c>
      <c r="M696" s="2234" t="str">
        <v>1980|美元（USD）</v>
      </c>
      <c r="N696" s="2234" t="str">
        <v>美元（USD）</v>
      </c>
      <c r="O696" s="2239"/>
      <c r="P696" s="2234" t="str"/>
      <c r="Q696" s="2239"/>
      <c r="R696" s="2234" t="str"/>
      <c r="S696" s="2234" t="str">
        <v>年度汇率!B66</v>
      </c>
      <c r="T696" s="2234" t="str"/>
      <c r="U696" t="n" s="2231">
        <v>1985</v>
      </c>
      <c r="V696" t="str" s="2231">
        <v>意大利里拉（ITL）</v>
      </c>
    </row>
    <row r="697" ht="24.0" customHeight="1">
      <c r="A697" s="2234" t="n">
        <v>1980</v>
      </c>
      <c r="B697" s="2234" t="str">
        <v>GBP</v>
      </c>
      <c r="C697" s="2234" t="str">
        <v>英镑（GBP）</v>
      </c>
      <c r="D697" s="2234" t="str">
        <v>可用</v>
      </c>
      <c r="E697" s="2238" t="n">
        <v>0.4301815366084487</v>
      </c>
      <c r="F697" s="2234" t="str">
        <v>年均</v>
      </c>
      <c r="G697" s="2234" t="str">
        <v>Federal Reserve G.5A / FRED AEXUSUK</v>
      </c>
      <c r="H697" s="2234" t="str">
        <v>https://fred.stlouisfed.org/data/AEXUSUK</v>
      </c>
      <c r="I697" s="2234" t="str">
        <v>1980-01-01—1980-12-31</v>
      </c>
      <c r="J697" s="2234" t="str">
        <v>historical_exchange_rates_1920_2026.xlsx</v>
      </c>
      <c r="K697" s="2234" t="str">
        <v>反向值由原报价均值取倒数；不等于反向日度汇率的算术平均。
年均USD/GBP；主表取倒数，不等于逐日GBP/USD平均。</v>
      </c>
      <c r="L697" s="2234" t="str">
        <v>原报价为每单位本币兑美元，取原报价均值的倒数；不等于反向日度汇率的算术平均。</v>
      </c>
      <c r="M697" s="2234" t="str">
        <v>1980|英镑（GBP）</v>
      </c>
      <c r="N697" s="2234" t="str">
        <v>英镑（GBP）</v>
      </c>
      <c r="O697" s="2239" t="n">
        <v>2.3246</v>
      </c>
      <c r="P697" s="2234" t="str">
        <v>USD/LCU</v>
      </c>
      <c r="Q697" s="2239" t="n">
        <v>1</v>
      </c>
      <c r="R697" s="2234" t="str">
        <v>A：机构统计／原始统计表</v>
      </c>
      <c r="S697" s="2234" t="str">
        <v>年度汇率!C66；原始记录!A546:M546</v>
      </c>
      <c r="T697" s="2234" t="str"/>
      <c r="U697" t="n" s="2231">
        <v>1985</v>
      </c>
      <c r="V697" t="str" s="2231">
        <v>日元（JPY）</v>
      </c>
    </row>
    <row r="698" ht="15.0" customHeight="1">
      <c r="A698" s="2234" t="n">
        <v>1980</v>
      </c>
      <c r="B698" s="2234" t="str">
        <v>CAD</v>
      </c>
      <c r="C698" s="2234" t="str">
        <v>加拿大元（CAD）</v>
      </c>
      <c r="D698" s="2234" t="str">
        <v>可用</v>
      </c>
      <c r="E698" s="2238" t="n">
        <v>1.1693</v>
      </c>
      <c r="F698" s="2234" t="str">
        <v>年均</v>
      </c>
      <c r="G698" s="2234" t="str">
        <v>Federal Reserve G.5A / FRED AEXCAUS</v>
      </c>
      <c r="H698" s="2234" t="str">
        <v>https://fred.stlouisfed.org/data/AEXCAUS</v>
      </c>
      <c r="I698" s="2234" t="str">
        <v>1980-01-01—1980-12-31</v>
      </c>
      <c r="J698" s="2234" t="str">
        <v>historical_exchange_rates_1920_2026.xlsx</v>
      </c>
      <c r="K698" s="2234" t="str"/>
      <c r="L698" s="2234" t="str">
        <v>原报价已按 1 美元兑换本币表示。</v>
      </c>
      <c r="M698" s="2234" t="str">
        <v>1980|加拿大元（CAD）</v>
      </c>
      <c r="N698" s="2234" t="str">
        <v>加拿大元（CAD）</v>
      </c>
      <c r="O698" s="2239" t="n">
        <v>1.1693</v>
      </c>
      <c r="P698" s="2234" t="str">
        <v>LCU/USD</v>
      </c>
      <c r="Q698" s="2239" t="n">
        <v>1</v>
      </c>
      <c r="R698" s="2234" t="str">
        <v>A：机构统计／原始统计表</v>
      </c>
      <c r="S698" s="2234" t="str">
        <v>年度汇率!D66；原始记录!A547:M547</v>
      </c>
      <c r="T698" s="2234" t="str"/>
      <c r="U698" t="n" s="2231">
        <v>1985</v>
      </c>
      <c r="V698" t="str" s="2231">
        <v>瑞士法郎（CHF）</v>
      </c>
    </row>
    <row r="699" ht="36.0" customHeight="1">
      <c r="A699" s="2234" t="n">
        <v>1980</v>
      </c>
      <c r="B699" s="2234" t="str">
        <v>FRF</v>
      </c>
      <c r="C699" s="2234" t="str">
        <v>法国法郎（FRF；1960币制）</v>
      </c>
      <c r="D699" s="2234" t="str">
        <v>可用</v>
      </c>
      <c r="E699" s="2238" t="n">
        <v>4.226133333458438</v>
      </c>
      <c r="F699" s="2234" t="str">
        <v>年均</v>
      </c>
      <c r="G699" s="2234" t="str">
        <v>OECD via FRED：FR年均汇率（欧元单位回溯序列）</v>
      </c>
      <c r="H699" s="2234" t="str">
        <v>https://fred.stlouisfed.org/data/CCUSMA02FRA618N</v>
      </c>
      <c r="I699" s="2234" t="str">
        <v>1980-01-01—1980-12-31</v>
      </c>
      <c r="J699" s="2234" t="str">
        <v>historical_exchange_rates_1920_2026.xlsx</v>
      </c>
      <c r="K699" s="2234" t="str">
        <v>由欧元回溯单位还原当年本币；非当年实际欧元报价。 欧元回溯单位按不可撤销转换率还原；法国1960年前另乘100。
原序列单位为回溯欧元；乘不可撤销转换率还原当年本币。法国1957–1959另乘100还原旧法郎。</v>
      </c>
      <c r="L699" s="2234" t="str">
        <v>原报价已按 1 美元兑换本币表示。乘以 6.55957，还原当年币制的计价单位。</v>
      </c>
      <c r="M699" s="2234" t="str">
        <v>1980|法国法郎（FRF；1960币制）</v>
      </c>
      <c r="N699" s="2234" t="str">
        <v>法国法郎（FRF；1960币制）</v>
      </c>
      <c r="O699" s="2239" t="n">
        <v>0.6442698734</v>
      </c>
      <c r="P699" s="2234" t="str">
        <v>LCU/USD</v>
      </c>
      <c r="Q699" s="2239" t="n">
        <v>6.55957</v>
      </c>
      <c r="R699" s="2234" t="str">
        <v>A：机构统计／原始统计表</v>
      </c>
      <c r="S699" s="2234" t="str">
        <v>年度汇率!E66；原始记录!A548:M548</v>
      </c>
      <c r="T699" s="2234" t="str"/>
      <c r="U699" t="n" s="2231">
        <v>1985</v>
      </c>
      <c r="V699" t="str" s="2231">
        <v>印度卢比（INR）</v>
      </c>
    </row>
    <row r="700" ht="36.0" customHeight="1">
      <c r="A700" s="2234" t="n">
        <v>1980</v>
      </c>
      <c r="B700" s="2234" t="str">
        <v>DEM</v>
      </c>
      <c r="C700" s="2234" t="str">
        <v>西德德国马克（DEM）</v>
      </c>
      <c r="D700" s="2234" t="str">
        <v>可用</v>
      </c>
      <c r="E700" s="2238" t="n">
        <v>1.817208333381359</v>
      </c>
      <c r="F700" s="2234" t="str">
        <v>年均</v>
      </c>
      <c r="G700" s="2234" t="str">
        <v>OECD via FRED：DE年均汇率（欧元单位回溯序列）</v>
      </c>
      <c r="H700" s="2234" t="str">
        <v>https://fred.stlouisfed.org/data/CCUSMA02DEA618N</v>
      </c>
      <c r="I700" s="2234" t="str">
        <v>1980-01-01—1980-12-31</v>
      </c>
      <c r="J700" s="2234" t="str">
        <v>historical_exchange_rates_1920_2026.xlsx</v>
      </c>
      <c r="K700" s="2234" t="str">
        <v>由欧元回溯单位还原当年本币；非当年实际欧元报价。 欧元回溯单位按不可撤销转换率还原；法国1960年前另乘100。
原序列单位为回溯欧元；乘不可撤销转换率还原当年本币。法国1957–1959另乘100还原旧法郎。</v>
      </c>
      <c r="L700" s="2234" t="str">
        <v>原报价已按 1 美元兑换本币表示。乘以 1.95583，还原当年币制的计价单位。</v>
      </c>
      <c r="M700" s="2234" t="str">
        <v>1980|西德德国马克（DEM）</v>
      </c>
      <c r="N700" s="2234" t="str">
        <v>西德德国马克（DEM）</v>
      </c>
      <c r="O700" s="2239" t="n">
        <v>0.9291238673</v>
      </c>
      <c r="P700" s="2234" t="str">
        <v>LCU/USD</v>
      </c>
      <c r="Q700" s="2239" t="n">
        <v>1.95583</v>
      </c>
      <c r="R700" s="2234" t="str">
        <v>A：机构统计／原始统计表</v>
      </c>
      <c r="S700" s="2234" t="str">
        <v>年度汇率!F66、年度汇率!M66；原始记录!A549:M549</v>
      </c>
      <c r="T700" s="2234" t="str"/>
      <c r="U700" t="n" s="2231">
        <v>1985</v>
      </c>
      <c r="V700" t="str" s="2231">
        <v>苏联卢布（1961币制）</v>
      </c>
    </row>
    <row r="701" ht="36.0" customHeight="1">
      <c r="A701" s="2234" t="n">
        <v>1980</v>
      </c>
      <c r="B701" s="2234" t="str">
        <v>ITL</v>
      </c>
      <c r="C701" s="2234" t="str">
        <v>意大利里拉（ITL）</v>
      </c>
      <c r="D701" s="2234" t="str">
        <v>可用</v>
      </c>
      <c r="E701" s="2238" t="n">
        <v>856.438849940429</v>
      </c>
      <c r="F701" s="2234" t="str">
        <v>年均</v>
      </c>
      <c r="G701" s="2234" t="str">
        <v>OECD via FRED：IT年均汇率（欧元单位回溯序列）</v>
      </c>
      <c r="H701" s="2234" t="str">
        <v>https://fred.stlouisfed.org/data/CCUSMA02ITA618N</v>
      </c>
      <c r="I701" s="2234" t="str">
        <v>1980-01-01—1980-12-31</v>
      </c>
      <c r="J701" s="2234" t="str">
        <v>historical_exchange_rates_1920_2026.xlsx</v>
      </c>
      <c r="K701" s="2234" t="str">
        <v>由欧元回溯单位还原当年本币；非当年实际欧元报价。 欧元回溯单位按不可撤销转换率还原；法国1960年前另乘100。
原序列单位为回溯欧元；乘不可撤销转换率还原当年本币。法国1957–1959另乘100还原旧法郎。</v>
      </c>
      <c r="L701" s="2234" t="str">
        <v>原报价已按 1 美元兑换本币表示。乘以 1936.27，还原当年币制的计价单位。</v>
      </c>
      <c r="M701" s="2234" t="str">
        <v>1980|意大利里拉（ITL）</v>
      </c>
      <c r="N701" s="2234" t="str">
        <v>意大利里拉（ITL）</v>
      </c>
      <c r="O701" s="2239" t="n">
        <v>0.4423137527</v>
      </c>
      <c r="P701" s="2234" t="str">
        <v>LCU/USD</v>
      </c>
      <c r="Q701" s="2239" t="n">
        <v>1936.27</v>
      </c>
      <c r="R701" s="2234" t="str">
        <v>A：机构统计／原始统计表</v>
      </c>
      <c r="S701" s="2234" t="str">
        <v>年度汇率!G66；原始记录!A550:M550</v>
      </c>
      <c r="T701" s="2234" t="str"/>
      <c r="U701" t="n" s="2231">
        <v>1985</v>
      </c>
      <c r="V701" t="str" s="2231">
        <v>人民币元（1955币制；CNY）</v>
      </c>
    </row>
    <row r="702" ht="15.0" customHeight="1">
      <c r="A702" s="2234" t="n">
        <v>1980</v>
      </c>
      <c r="B702" s="2234" t="str">
        <v>JPY</v>
      </c>
      <c r="C702" s="2234" t="str">
        <v>日元（JPY）</v>
      </c>
      <c r="D702" s="2234" t="str">
        <v>可用</v>
      </c>
      <c r="E702" s="2238" t="n">
        <v>226.6309</v>
      </c>
      <c r="F702" s="2234" t="str">
        <v>年均</v>
      </c>
      <c r="G702" s="2234" t="str">
        <v>Federal Reserve G.5A / FRED AEXJPUS</v>
      </c>
      <c r="H702" s="2234" t="str">
        <v>https://fred.stlouisfed.org/data/AEXJPUS</v>
      </c>
      <c r="I702" s="2234" t="str">
        <v>1980-01-01—1980-12-31</v>
      </c>
      <c r="J702" s="2234" t="str">
        <v>historical_exchange_rates_1920_2026.xlsx</v>
      </c>
      <c r="K702" s="2234" t="str"/>
      <c r="L702" s="2234" t="str">
        <v>原报价已按 1 美元兑换本币表示。</v>
      </c>
      <c r="M702" s="2234" t="str">
        <v>1980|日元（JPY）</v>
      </c>
      <c r="N702" s="2234" t="str">
        <v>日元（JPY）</v>
      </c>
      <c r="O702" s="2239" t="n">
        <v>226.6309</v>
      </c>
      <c r="P702" s="2234" t="str">
        <v>LCU/USD</v>
      </c>
      <c r="Q702" s="2239" t="n">
        <v>1</v>
      </c>
      <c r="R702" s="2234" t="str">
        <v>A：机构统计／原始统计表</v>
      </c>
      <c r="S702" s="2234" t="str">
        <v>年度汇率!H66；原始记录!A551:M551</v>
      </c>
      <c r="T702" s="2234" t="str"/>
      <c r="U702" t="n" s="2231">
        <v>1986</v>
      </c>
      <c r="V702" t="str" s="2231">
        <v>美元（USD）</v>
      </c>
    </row>
    <row r="703" ht="15.0" customHeight="1">
      <c r="A703" s="2234" t="n">
        <v>1980</v>
      </c>
      <c r="B703" s="2234" t="str">
        <v>CHF</v>
      </c>
      <c r="C703" s="2234" t="str">
        <v>瑞士法郎（CHF）</v>
      </c>
      <c r="D703" s="2234" t="str">
        <v>可用</v>
      </c>
      <c r="E703" s="2238" t="n">
        <v>1.6772</v>
      </c>
      <c r="F703" s="2234" t="str">
        <v>年均</v>
      </c>
      <c r="G703" s="2234" t="str">
        <v>Federal Reserve G.5A / FRED AEXSZUS</v>
      </c>
      <c r="H703" s="2234" t="str">
        <v>https://fred.stlouisfed.org/data/AEXSZUS</v>
      </c>
      <c r="I703" s="2234" t="str">
        <v>1980-01-01—1980-12-31</v>
      </c>
      <c r="J703" s="2234" t="str">
        <v>historical_exchange_rates_1920_2026.xlsx</v>
      </c>
      <c r="K703" s="2234" t="str"/>
      <c r="L703" s="2234" t="str">
        <v>原报价已按 1 美元兑换本币表示。</v>
      </c>
      <c r="M703" s="2234" t="str">
        <v>1980|瑞士法郎（CHF）</v>
      </c>
      <c r="N703" s="2234" t="str">
        <v>瑞士法郎（CHF）</v>
      </c>
      <c r="O703" s="2239" t="n">
        <v>1.6772</v>
      </c>
      <c r="P703" s="2234" t="str">
        <v>LCU/USD</v>
      </c>
      <c r="Q703" s="2239" t="n">
        <v>1</v>
      </c>
      <c r="R703" s="2234" t="str">
        <v>A：机构统计／原始统计表</v>
      </c>
      <c r="S703" s="2234" t="str">
        <v>年度汇率!I66；原始记录!A552:M552</v>
      </c>
      <c r="T703" s="2234" t="str"/>
      <c r="U703" t="n" s="2231">
        <v>1986</v>
      </c>
      <c r="V703" t="str" s="2231">
        <v>英镑（GBP）</v>
      </c>
    </row>
    <row r="704" ht="15.0" customHeight="1">
      <c r="A704" s="2234" t="n">
        <v>1980</v>
      </c>
      <c r="B704" s="2234" t="str">
        <v>INR</v>
      </c>
      <c r="C704" s="2234" t="str">
        <v>印度卢比（INR）</v>
      </c>
      <c r="D704" s="2234" t="str">
        <v>可用</v>
      </c>
      <c r="E704" s="2238" t="n">
        <v>7.8868</v>
      </c>
      <c r="F704" s="2234" t="str">
        <v>年均</v>
      </c>
      <c r="G704" s="2234" t="str">
        <v>Federal Reserve G.5A / FRED AEXINUS</v>
      </c>
      <c r="H704" s="2234" t="str">
        <v>https://fred.stlouisfed.org/data/AEXINUS</v>
      </c>
      <c r="I704" s="2234" t="str">
        <v>1980-01-01—1980-12-31</v>
      </c>
      <c r="J704" s="2234" t="str">
        <v>historical_exchange_rates_1920_2026.xlsx</v>
      </c>
      <c r="K704" s="2234" t="str"/>
      <c r="L704" s="2234" t="str">
        <v>原报价已按 1 美元兑换本币表示。</v>
      </c>
      <c r="M704" s="2234" t="str">
        <v>1980|印度卢比（INR）</v>
      </c>
      <c r="N704" s="2234" t="str">
        <v>印度卢比（INR）</v>
      </c>
      <c r="O704" s="2239" t="n">
        <v>7.8868</v>
      </c>
      <c r="P704" s="2234" t="str">
        <v>LCU/USD</v>
      </c>
      <c r="Q704" s="2239" t="n">
        <v>1</v>
      </c>
      <c r="R704" s="2234" t="str">
        <v>A：机构统计／原始统计表</v>
      </c>
      <c r="S704" s="2234" t="str">
        <v>年度汇率!J66；原始记录!A553:M553</v>
      </c>
      <c r="T704" s="2234" t="str"/>
      <c r="U704" t="n" s="2231">
        <v>1986</v>
      </c>
      <c r="V704" t="str" s="2231">
        <v>加拿大元（CAD）</v>
      </c>
    </row>
    <row r="705" ht="36.0" customHeight="1">
      <c r="A705" s="2234" t="n">
        <v>1980</v>
      </c>
      <c r="B705" s="2234" t="str">
        <v>SUR_1961</v>
      </c>
      <c r="C705" s="2234" t="str">
        <v>苏联卢布（1961币制）</v>
      </c>
      <c r="D705" s="2234" t="str">
        <v>可用</v>
      </c>
      <c r="E705" s="2238" t="n">
        <v>0.6395</v>
      </c>
      <c r="F705" s="2234" t="str">
        <v>定点官价参考（非年均）</v>
      </c>
      <c r="G705" s="2234" t="str">
        <v>苏联卢布历史官价表（Wikipedia转引俄央行历史档案）</v>
      </c>
      <c r="H705" s="2234" t="str">
        <v>https://en.wikipedia.org/wiki/Soviet_ruble#Exchange_rates</v>
      </c>
      <c r="I705" s="2234" t="str">
        <v>1980-01-03</v>
      </c>
      <c r="J705" s="2234" t="str">
        <v>historical_exchange_rates_1920_2026.xlsx</v>
      </c>
      <c r="K705"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705" s="2234" t="str">
        <v>原报价已按 1 美元兑换本币表示。</v>
      </c>
      <c r="M705" s="2234" t="str">
        <v>1980|苏联卢布（1961币制）</v>
      </c>
      <c r="N705" s="2234" t="str">
        <v>苏联卢布（1961币制）</v>
      </c>
      <c r="O705" s="2239" t="n">
        <v>0.6395</v>
      </c>
      <c r="P705" s="2234" t="str">
        <v>LCU/USD</v>
      </c>
      <c r="Q705" s="2239" t="n">
        <v>1</v>
      </c>
      <c r="R705" s="2234" t="str">
        <v>C：二手转引（原档未复核）</v>
      </c>
      <c r="S705" s="2234" t="str">
        <v>年度汇率!K66；原始记录!A554:M554</v>
      </c>
      <c r="T705" s="2234" t="str">
        <v>官价参考，并非市场年均汇率</v>
      </c>
      <c r="U705" t="n" s="2231">
        <v>1986</v>
      </c>
      <c r="V705" t="str" s="2231">
        <v>法国法郎（FRF；1960币制）</v>
      </c>
    </row>
    <row r="706" ht="15.0" customHeight="1">
      <c r="A706" s="2234" t="n">
        <v>1980</v>
      </c>
      <c r="B706" s="2234" t="str">
        <v>CNY</v>
      </c>
      <c r="C706" s="2234" t="str">
        <v>人民币元（1955币制；CNY）</v>
      </c>
      <c r="D706" s="2234" t="str">
        <v>可用</v>
      </c>
      <c r="E706" s="2238" t="n">
        <v>1.4985</v>
      </c>
      <c r="F706" s="2234" t="str">
        <v>年均</v>
      </c>
      <c r="G706" s="2234" t="str">
        <v>OECD via FRED：CNY年均汇率</v>
      </c>
      <c r="H706" s="2234" t="str">
        <v>https://fred.stlouisfed.org/data/CCUSMA02CNA618N</v>
      </c>
      <c r="I706" s="2234" t="str">
        <v>1980-01-01—1980-12-31</v>
      </c>
      <c r="J706" s="2234" t="str">
        <v>historical_exchange_rates_1920_2026.xlsx</v>
      </c>
      <c r="K706" s="2234" t="str">
        <v>单位为本币／美元；中国和印度早期数据主要反映官方汇率。</v>
      </c>
      <c r="L706" s="2234" t="str">
        <v>原报价已按 1 美元兑换本币表示。</v>
      </c>
      <c r="M706" s="2234" t="str">
        <v>1980|人民币元（1955币制；CNY）</v>
      </c>
      <c r="N706" s="2234" t="str">
        <v>人民币元（1955币制；CNY）</v>
      </c>
      <c r="O706" s="2239" t="n">
        <v>1.4985</v>
      </c>
      <c r="P706" s="2234" t="str">
        <v>LCU/USD</v>
      </c>
      <c r="Q706" s="2239" t="n">
        <v>1</v>
      </c>
      <c r="R706" s="2234" t="str">
        <v>A：机构统计／原始统计表</v>
      </c>
      <c r="S706" s="2234" t="str">
        <v>年度汇率!L66；原始记录!A555:M555</v>
      </c>
      <c r="T706" s="2234" t="str"/>
      <c r="U706" t="n" s="2231">
        <v>1986</v>
      </c>
      <c r="V706" t="str" s="2231">
        <v>西德德国马克（DEM）</v>
      </c>
    </row>
    <row r="707" ht="15.0" customHeight="1">
      <c r="A707" s="2234" t="n">
        <v>1981</v>
      </c>
      <c r="B707" s="2234" t="str">
        <v>USD</v>
      </c>
      <c r="C707" s="2234" t="str">
        <v>美元（USD）</v>
      </c>
      <c r="D707" s="2234" t="str">
        <v>可用</v>
      </c>
      <c r="E707" s="2238" t="n">
        <v>1</v>
      </c>
      <c r="F707" s="2234" t="str">
        <v>基准恒等</v>
      </c>
      <c r="G707" s="2234" t="str">
        <v>用户提供的历史汇率表</v>
      </c>
      <c r="H707" s="2234" t="str"/>
      <c r="I707" s="2234" t="str">
        <v>1981</v>
      </c>
      <c r="J707" s="2234" t="str">
        <v>historical_exchange_rates_1920_2026.xlsx</v>
      </c>
      <c r="K707" s="2234" t="str">
        <v>1 美元等于 1 美元，无外部报价。</v>
      </c>
      <c r="L707" s="2234" t="str">
        <v>美元基准，汇率恒为 1。</v>
      </c>
      <c r="M707" s="2234" t="str">
        <v>1981|美元（USD）</v>
      </c>
      <c r="N707" s="2234" t="str">
        <v>美元（USD）</v>
      </c>
      <c r="O707" s="2239"/>
      <c r="P707" s="2234" t="str"/>
      <c r="Q707" s="2239"/>
      <c r="R707" s="2234" t="str"/>
      <c r="S707" s="2234" t="str">
        <v>年度汇率!B67</v>
      </c>
      <c r="T707" s="2234" t="str"/>
      <c r="U707" t="n" s="2231">
        <v>1986</v>
      </c>
      <c r="V707" t="str" s="2231">
        <v>意大利里拉（ITL）</v>
      </c>
    </row>
    <row r="708" ht="24.0" customHeight="1">
      <c r="A708" s="2234" t="n">
        <v>1981</v>
      </c>
      <c r="B708" s="2234" t="str">
        <v>GBP</v>
      </c>
      <c r="C708" s="2234" t="str">
        <v>英镑（GBP）</v>
      </c>
      <c r="D708" s="2234" t="str">
        <v>可用</v>
      </c>
      <c r="E708" s="2238" t="n">
        <v>0.49399792520871405</v>
      </c>
      <c r="F708" s="2234" t="str">
        <v>年均</v>
      </c>
      <c r="G708" s="2234" t="str">
        <v>Federal Reserve G.5A / FRED AEXUSUK</v>
      </c>
      <c r="H708" s="2234" t="str">
        <v>https://fred.stlouisfed.org/data/AEXUSUK</v>
      </c>
      <c r="I708" s="2234" t="str">
        <v>1981-01-01—1981-12-31</v>
      </c>
      <c r="J708" s="2234" t="str">
        <v>historical_exchange_rates_1920_2026.xlsx</v>
      </c>
      <c r="K708" s="2234" t="str">
        <v>反向值由原报价均值取倒数；不等于反向日度汇率的算术平均。
年均USD/GBP；主表取倒数，不等于逐日GBP/USD平均。</v>
      </c>
      <c r="L708" s="2234" t="str">
        <v>原报价为每单位本币兑美元，取原报价均值的倒数；不等于反向日度汇率的算术平均。</v>
      </c>
      <c r="M708" s="2234" t="str">
        <v>1981|英镑（GBP）</v>
      </c>
      <c r="N708" s="2234" t="str">
        <v>英镑（GBP）</v>
      </c>
      <c r="O708" s="2239" t="n">
        <v>2.0243</v>
      </c>
      <c r="P708" s="2234" t="str">
        <v>USD/LCU</v>
      </c>
      <c r="Q708" s="2239" t="n">
        <v>1</v>
      </c>
      <c r="R708" s="2234" t="str">
        <v>A：机构统计／原始统计表</v>
      </c>
      <c r="S708" s="2234" t="str">
        <v>年度汇率!C67；原始记录!A556:M556</v>
      </c>
      <c r="T708" s="2234" t="str"/>
      <c r="U708" t="n" s="2231">
        <v>1986</v>
      </c>
      <c r="V708" t="str" s="2231">
        <v>日元（JPY）</v>
      </c>
    </row>
    <row r="709" ht="15.0" customHeight="1">
      <c r="A709" s="2234" t="n">
        <v>1981</v>
      </c>
      <c r="B709" s="2234" t="str">
        <v>CAD</v>
      </c>
      <c r="C709" s="2234" t="str">
        <v>加拿大元（CAD）</v>
      </c>
      <c r="D709" s="2234" t="str">
        <v>可用</v>
      </c>
      <c r="E709" s="2238" t="n">
        <v>1.199</v>
      </c>
      <c r="F709" s="2234" t="str">
        <v>年均</v>
      </c>
      <c r="G709" s="2234" t="str">
        <v>Federal Reserve G.5A / FRED AEXCAUS</v>
      </c>
      <c r="H709" s="2234" t="str">
        <v>https://fred.stlouisfed.org/data/AEXCAUS</v>
      </c>
      <c r="I709" s="2234" t="str">
        <v>1981-01-01—1981-12-31</v>
      </c>
      <c r="J709" s="2234" t="str">
        <v>historical_exchange_rates_1920_2026.xlsx</v>
      </c>
      <c r="K709" s="2234" t="str"/>
      <c r="L709" s="2234" t="str">
        <v>原报价已按 1 美元兑换本币表示。</v>
      </c>
      <c r="M709" s="2234" t="str">
        <v>1981|加拿大元（CAD）</v>
      </c>
      <c r="N709" s="2234" t="str">
        <v>加拿大元（CAD）</v>
      </c>
      <c r="O709" s="2239" t="n">
        <v>1.199</v>
      </c>
      <c r="P709" s="2234" t="str">
        <v>LCU/USD</v>
      </c>
      <c r="Q709" s="2239" t="n">
        <v>1</v>
      </c>
      <c r="R709" s="2234" t="str">
        <v>A：机构统计／原始统计表</v>
      </c>
      <c r="S709" s="2234" t="str">
        <v>年度汇率!D67；原始记录!A557:M557</v>
      </c>
      <c r="T709" s="2234" t="str"/>
      <c r="U709" t="n" s="2231">
        <v>1986</v>
      </c>
      <c r="V709" t="str" s="2231">
        <v>瑞士法郎（CHF）</v>
      </c>
    </row>
    <row r="710" ht="36.0" customHeight="1">
      <c r="A710" s="2234" t="n">
        <v>1981</v>
      </c>
      <c r="B710" s="2234" t="str">
        <v>FRF</v>
      </c>
      <c r="C710" s="2234" t="str">
        <v>法国法郎（FRF；1960币制）</v>
      </c>
      <c r="D710" s="2234" t="str">
        <v>可用</v>
      </c>
      <c r="E710" s="2238" t="n">
        <v>5.434366666397231</v>
      </c>
      <c r="F710" s="2234" t="str">
        <v>年均</v>
      </c>
      <c r="G710" s="2234" t="str">
        <v>OECD via FRED：FR年均汇率（欧元单位回溯序列）</v>
      </c>
      <c r="H710" s="2234" t="str">
        <v>https://fred.stlouisfed.org/data/CCUSMA02FRA618N</v>
      </c>
      <c r="I710" s="2234" t="str">
        <v>1981-01-01—1981-12-31</v>
      </c>
      <c r="J710" s="2234" t="str">
        <v>historical_exchange_rates_1920_2026.xlsx</v>
      </c>
      <c r="K710" s="2234" t="str">
        <v>由欧元回溯单位还原当年本币；非当年实际欧元报价。 欧元回溯单位按不可撤销转换率还原；法国1960年前另乘100。
原序列单位为回溯欧元；乘不可撤销转换率还原当年本币。法国1957–1959另乘100还原旧法郎。</v>
      </c>
      <c r="L710" s="2234" t="str">
        <v>原报价已按 1 美元兑换本币表示。乘以 6.55957，还原当年币制的计价单位。</v>
      </c>
      <c r="M710" s="2234" t="str">
        <v>1981|法国法郎（FRF；1960币制）</v>
      </c>
      <c r="N710" s="2234" t="str">
        <v>法国法郎（FRF；1960币制）</v>
      </c>
      <c r="O710" s="2239" t="n">
        <v>0.8284638576</v>
      </c>
      <c r="P710" s="2234" t="str">
        <v>LCU/USD</v>
      </c>
      <c r="Q710" s="2239" t="n">
        <v>6.55957</v>
      </c>
      <c r="R710" s="2234" t="str">
        <v>A：机构统计／原始统计表</v>
      </c>
      <c r="S710" s="2234" t="str">
        <v>年度汇率!E67；原始记录!A558:M558</v>
      </c>
      <c r="T710" s="2234" t="str"/>
      <c r="U710" t="n" s="2231">
        <v>1986</v>
      </c>
      <c r="V710" t="str" s="2231">
        <v>印度卢比（INR）</v>
      </c>
    </row>
    <row r="711" ht="36.0" customHeight="1">
      <c r="A711" s="2234" t="n">
        <v>1981</v>
      </c>
      <c r="B711" s="2234" t="str">
        <v>DEM</v>
      </c>
      <c r="C711" s="2234" t="str">
        <v>西德德国马克（DEM）</v>
      </c>
      <c r="D711" s="2234" t="str">
        <v>可用</v>
      </c>
      <c r="E711" s="2238" t="n">
        <v>2.259275000020367</v>
      </c>
      <c r="F711" s="2234" t="str">
        <v>年均</v>
      </c>
      <c r="G711" s="2234" t="str">
        <v>OECD via FRED：DE年均汇率（欧元单位回溯序列）</v>
      </c>
      <c r="H711" s="2234" t="str">
        <v>https://fred.stlouisfed.org/data/CCUSMA02DEA618N</v>
      </c>
      <c r="I711" s="2234" t="str">
        <v>1981-01-01—1981-12-31</v>
      </c>
      <c r="J711" s="2234" t="str">
        <v>historical_exchange_rates_1920_2026.xlsx</v>
      </c>
      <c r="K711" s="2234" t="str">
        <v>由欧元回溯单位还原当年本币；非当年实际欧元报价。 欧元回溯单位按不可撤销转换率还原；法国1960年前另乘100。
原序列单位为回溯欧元；乘不可撤销转换率还原当年本币。法国1957–1959另乘100还原旧法郎。</v>
      </c>
      <c r="L711" s="2234" t="str">
        <v>原报价已按 1 美元兑换本币表示。乘以 1.95583，还原当年币制的计价单位。</v>
      </c>
      <c r="M711" s="2234" t="str">
        <v>1981|西德德国马克（DEM）</v>
      </c>
      <c r="N711" s="2234" t="str">
        <v>西德德国马克（DEM）</v>
      </c>
      <c r="O711" s="2239" t="n">
        <v>1.1551489649</v>
      </c>
      <c r="P711" s="2234" t="str">
        <v>LCU/USD</v>
      </c>
      <c r="Q711" s="2239" t="n">
        <v>1.95583</v>
      </c>
      <c r="R711" s="2234" t="str">
        <v>A：机构统计／原始统计表</v>
      </c>
      <c r="S711" s="2234" t="str">
        <v>年度汇率!F67、年度汇率!M67；原始记录!A559:M559</v>
      </c>
      <c r="T711" s="2234" t="str"/>
      <c r="U711" t="n" s="2231">
        <v>1986</v>
      </c>
      <c r="V711" t="str" s="2231">
        <v>苏联卢布（1961币制）</v>
      </c>
    </row>
    <row r="712" ht="36.0" customHeight="1">
      <c r="A712" s="2234" t="n">
        <v>1981</v>
      </c>
      <c r="B712" s="2234" t="str">
        <v>ITL</v>
      </c>
      <c r="C712" s="2234" t="str">
        <v>意大利里拉（ITL）</v>
      </c>
      <c r="D712" s="2234" t="str">
        <v>可用</v>
      </c>
      <c r="E712" s="2238" t="n">
        <v>1136.548300032089</v>
      </c>
      <c r="F712" s="2234" t="str">
        <v>年均</v>
      </c>
      <c r="G712" s="2234" t="str">
        <v>OECD via FRED：IT年均汇率（欧元单位回溯序列）</v>
      </c>
      <c r="H712" s="2234" t="str">
        <v>https://fred.stlouisfed.org/data/CCUSMA02ITA618N</v>
      </c>
      <c r="I712" s="2234" t="str">
        <v>1981-01-01—1981-12-31</v>
      </c>
      <c r="J712" s="2234" t="str">
        <v>historical_exchange_rates_1920_2026.xlsx</v>
      </c>
      <c r="K712" s="2234" t="str">
        <v>由欧元回溯单位还原当年本币；非当年实际欧元报价。 欧元回溯单位按不可撤销转换率还原；法国1960年前另乘100。
原序列单位为回溯欧元；乘不可撤销转换率还原当年本币。法国1957–1959另乘100还原旧法郎。</v>
      </c>
      <c r="L712" s="2234" t="str">
        <v>原报价已按 1 美元兑换本币表示。乘以 1936.27，还原当年币制的计价单位。</v>
      </c>
      <c r="M712" s="2234" t="str">
        <v>1981|意大利里拉（ITL）</v>
      </c>
      <c r="N712" s="2234" t="str">
        <v>意大利里拉（ITL）</v>
      </c>
      <c r="O712" s="2239" t="n">
        <v>0.5869782107</v>
      </c>
      <c r="P712" s="2234" t="str">
        <v>LCU/USD</v>
      </c>
      <c r="Q712" s="2239" t="n">
        <v>1936.27</v>
      </c>
      <c r="R712" s="2234" t="str">
        <v>A：机构统计／原始统计表</v>
      </c>
      <c r="S712" s="2234" t="str">
        <v>年度汇率!G67；原始记录!A560:M560</v>
      </c>
      <c r="T712" s="2234" t="str"/>
      <c r="U712" t="n" s="2231">
        <v>1986</v>
      </c>
      <c r="V712" t="str" s="2231">
        <v>人民币元（1955币制；CNY）</v>
      </c>
    </row>
    <row r="713" ht="15.0" customHeight="1">
      <c r="A713" s="2234" t="n">
        <v>1981</v>
      </c>
      <c r="B713" s="2234" t="str">
        <v>JPY</v>
      </c>
      <c r="C713" s="2234" t="str">
        <v>日元（JPY）</v>
      </c>
      <c r="D713" s="2234" t="str">
        <v>可用</v>
      </c>
      <c r="E713" s="2238" t="n">
        <v>220.6281</v>
      </c>
      <c r="F713" s="2234" t="str">
        <v>年均</v>
      </c>
      <c r="G713" s="2234" t="str">
        <v>Federal Reserve G.5A / FRED AEXJPUS</v>
      </c>
      <c r="H713" s="2234" t="str">
        <v>https://fred.stlouisfed.org/data/AEXJPUS</v>
      </c>
      <c r="I713" s="2234" t="str">
        <v>1981-01-01—1981-12-31</v>
      </c>
      <c r="J713" s="2234" t="str">
        <v>historical_exchange_rates_1920_2026.xlsx</v>
      </c>
      <c r="K713" s="2234" t="str"/>
      <c r="L713" s="2234" t="str">
        <v>原报价已按 1 美元兑换本币表示。</v>
      </c>
      <c r="M713" s="2234" t="str">
        <v>1981|日元（JPY）</v>
      </c>
      <c r="N713" s="2234" t="str">
        <v>日元（JPY）</v>
      </c>
      <c r="O713" s="2239" t="n">
        <v>220.6281</v>
      </c>
      <c r="P713" s="2234" t="str">
        <v>LCU/USD</v>
      </c>
      <c r="Q713" s="2239" t="n">
        <v>1</v>
      </c>
      <c r="R713" s="2234" t="str">
        <v>A：机构统计／原始统计表</v>
      </c>
      <c r="S713" s="2234" t="str">
        <v>年度汇率!H67；原始记录!A561:M561</v>
      </c>
      <c r="T713" s="2234" t="str"/>
      <c r="U713" t="n" s="2231">
        <v>1987</v>
      </c>
      <c r="V713" t="str" s="2231">
        <v>美元（USD）</v>
      </c>
    </row>
    <row r="714" ht="15.0" customHeight="1">
      <c r="A714" s="2234" t="n">
        <v>1981</v>
      </c>
      <c r="B714" s="2234" t="str">
        <v>CHF</v>
      </c>
      <c r="C714" s="2234" t="str">
        <v>瑞士法郎（CHF）</v>
      </c>
      <c r="D714" s="2234" t="str">
        <v>可用</v>
      </c>
      <c r="E714" s="2238" t="n">
        <v>1.9675</v>
      </c>
      <c r="F714" s="2234" t="str">
        <v>年均</v>
      </c>
      <c r="G714" s="2234" t="str">
        <v>Federal Reserve G.5A / FRED AEXSZUS</v>
      </c>
      <c r="H714" s="2234" t="str">
        <v>https://fred.stlouisfed.org/data/AEXSZUS</v>
      </c>
      <c r="I714" s="2234" t="str">
        <v>1981-01-01—1981-12-31</v>
      </c>
      <c r="J714" s="2234" t="str">
        <v>historical_exchange_rates_1920_2026.xlsx</v>
      </c>
      <c r="K714" s="2234" t="str"/>
      <c r="L714" s="2234" t="str">
        <v>原报价已按 1 美元兑换本币表示。</v>
      </c>
      <c r="M714" s="2234" t="str">
        <v>1981|瑞士法郎（CHF）</v>
      </c>
      <c r="N714" s="2234" t="str">
        <v>瑞士法郎（CHF）</v>
      </c>
      <c r="O714" s="2239" t="n">
        <v>1.9675</v>
      </c>
      <c r="P714" s="2234" t="str">
        <v>LCU/USD</v>
      </c>
      <c r="Q714" s="2239" t="n">
        <v>1</v>
      </c>
      <c r="R714" s="2234" t="str">
        <v>A：机构统计／原始统计表</v>
      </c>
      <c r="S714" s="2234" t="str">
        <v>年度汇率!I67；原始记录!A562:M562</v>
      </c>
      <c r="T714" s="2234" t="str"/>
      <c r="U714" t="n" s="2231">
        <v>1987</v>
      </c>
      <c r="V714" t="str" s="2231">
        <v>英镑（GBP）</v>
      </c>
    </row>
    <row r="715" ht="15.0" customHeight="1">
      <c r="A715" s="2234" t="n">
        <v>1981</v>
      </c>
      <c r="B715" s="2234" t="str">
        <v>INR</v>
      </c>
      <c r="C715" s="2234" t="str">
        <v>印度卢比（INR）</v>
      </c>
      <c r="D715" s="2234" t="str">
        <v>可用</v>
      </c>
      <c r="E715" s="2238" t="n">
        <v>8.6807</v>
      </c>
      <c r="F715" s="2234" t="str">
        <v>年均</v>
      </c>
      <c r="G715" s="2234" t="str">
        <v>Federal Reserve G.5A / FRED AEXINUS</v>
      </c>
      <c r="H715" s="2234" t="str">
        <v>https://fred.stlouisfed.org/data/AEXINUS</v>
      </c>
      <c r="I715" s="2234" t="str">
        <v>1981-01-01—1981-12-31</v>
      </c>
      <c r="J715" s="2234" t="str">
        <v>historical_exchange_rates_1920_2026.xlsx</v>
      </c>
      <c r="K715" s="2234" t="str"/>
      <c r="L715" s="2234" t="str">
        <v>原报价已按 1 美元兑换本币表示。</v>
      </c>
      <c r="M715" s="2234" t="str">
        <v>1981|印度卢比（INR）</v>
      </c>
      <c r="N715" s="2234" t="str">
        <v>印度卢比（INR）</v>
      </c>
      <c r="O715" s="2239" t="n">
        <v>8.6807</v>
      </c>
      <c r="P715" s="2234" t="str">
        <v>LCU/USD</v>
      </c>
      <c r="Q715" s="2239" t="n">
        <v>1</v>
      </c>
      <c r="R715" s="2234" t="str">
        <v>A：机构统计／原始统计表</v>
      </c>
      <c r="S715" s="2234" t="str">
        <v>年度汇率!J67；原始记录!A563:M563</v>
      </c>
      <c r="T715" s="2234" t="str"/>
      <c r="U715" t="n" s="2231">
        <v>1987</v>
      </c>
      <c r="V715" t="str" s="2231">
        <v>加拿大元（CAD）</v>
      </c>
    </row>
    <row r="716" ht="36.0" customHeight="1">
      <c r="A716" s="2234" t="n">
        <v>1981</v>
      </c>
      <c r="B716" s="2234" t="str">
        <v>SUR_1961</v>
      </c>
      <c r="C716" s="2234" t="str">
        <v>苏联卢布（1961币制）</v>
      </c>
      <c r="D716" s="2234" t="str">
        <v>可用</v>
      </c>
      <c r="E716" s="2238" t="n">
        <v>0.675</v>
      </c>
      <c r="F716" s="2234" t="str">
        <v>定点官价参考（非年均）</v>
      </c>
      <c r="G716" s="2234" t="str">
        <v>苏联卢布历史官价表（Wikipedia转引俄央行历史档案）</v>
      </c>
      <c r="H716" s="2234" t="str">
        <v>https://en.wikipedia.org/wiki/Soviet_ruble#Exchange_rates</v>
      </c>
      <c r="I716" s="2234" t="str">
        <v>1981-01-01</v>
      </c>
      <c r="J716" s="2234" t="str">
        <v>historical_exchange_rates_1920_2026.xlsx</v>
      </c>
      <c r="K716"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716" s="2234" t="str">
        <v>原报价已按 1 美元兑换本币表示。</v>
      </c>
      <c r="M716" s="2234" t="str">
        <v>1981|苏联卢布（1961币制）</v>
      </c>
      <c r="N716" s="2234" t="str">
        <v>苏联卢布（1961币制）</v>
      </c>
      <c r="O716" s="2239" t="n">
        <v>0.675</v>
      </c>
      <c r="P716" s="2234" t="str">
        <v>LCU/USD</v>
      </c>
      <c r="Q716" s="2239" t="n">
        <v>1</v>
      </c>
      <c r="R716" s="2234" t="str">
        <v>C：二手转引（原档未复核）</v>
      </c>
      <c r="S716" s="2234" t="str">
        <v>年度汇率!K67；原始记录!A564:M564</v>
      </c>
      <c r="T716" s="2234" t="str">
        <v>官价参考，并非市场年均汇率</v>
      </c>
      <c r="U716" t="n" s="2231">
        <v>1987</v>
      </c>
      <c r="V716" t="str" s="2231">
        <v>法国法郎（FRF；1960币制）</v>
      </c>
    </row>
    <row r="717" ht="15.0" customHeight="1">
      <c r="A717" s="2234" t="n">
        <v>1981</v>
      </c>
      <c r="B717" s="2234" t="str">
        <v>CNY</v>
      </c>
      <c r="C717" s="2234" t="str">
        <v>人民币元（1955币制；CNY）</v>
      </c>
      <c r="D717" s="2234" t="str">
        <v>可用</v>
      </c>
      <c r="E717" s="2238" t="n">
        <v>1.71</v>
      </c>
      <c r="F717" s="2234" t="str">
        <v>年均</v>
      </c>
      <c r="G717" s="2234" t="str">
        <v>Federal Reserve G.5A / FRED AEXCHUS</v>
      </c>
      <c r="H717" s="2234" t="str">
        <v>https://fred.stlouisfed.org/data/AEXCHUS</v>
      </c>
      <c r="I717" s="2234" t="str">
        <v>1981-01-01—1981-12-31</v>
      </c>
      <c r="J717" s="2234" t="str">
        <v>historical_exchange_rates_1920_2026.xlsx</v>
      </c>
      <c r="K717" s="2234" t="str"/>
      <c r="L717" s="2234" t="str">
        <v>原报价已按 1 美元兑换本币表示。</v>
      </c>
      <c r="M717" s="2234" t="str">
        <v>1981|人民币元（1955币制；CNY）</v>
      </c>
      <c r="N717" s="2234" t="str">
        <v>人民币元（1955币制；CNY）</v>
      </c>
      <c r="O717" s="2239" t="n">
        <v>1.71</v>
      </c>
      <c r="P717" s="2234" t="str">
        <v>LCU/USD</v>
      </c>
      <c r="Q717" s="2239" t="n">
        <v>1</v>
      </c>
      <c r="R717" s="2234" t="str">
        <v>A：机构统计／原始统计表</v>
      </c>
      <c r="S717" s="2234" t="str">
        <v>年度汇率!L67；原始记录!A565:M565</v>
      </c>
      <c r="T717" s="2234" t="str"/>
      <c r="U717" t="n" s="2231">
        <v>1987</v>
      </c>
      <c r="V717" t="str" s="2231">
        <v>西德德国马克（DEM）</v>
      </c>
    </row>
    <row r="718" ht="15.0" customHeight="1">
      <c r="A718" s="2234" t="n">
        <v>1982</v>
      </c>
      <c r="B718" s="2234" t="str">
        <v>USD</v>
      </c>
      <c r="C718" s="2234" t="str">
        <v>美元（USD）</v>
      </c>
      <c r="D718" s="2234" t="str">
        <v>可用</v>
      </c>
      <c r="E718" s="2238" t="n">
        <v>1</v>
      </c>
      <c r="F718" s="2234" t="str">
        <v>基准恒等</v>
      </c>
      <c r="G718" s="2234" t="str">
        <v>用户提供的历史汇率表</v>
      </c>
      <c r="H718" s="2234" t="str"/>
      <c r="I718" s="2234" t="str">
        <v>1982</v>
      </c>
      <c r="J718" s="2234" t="str">
        <v>historical_exchange_rates_1920_2026.xlsx</v>
      </c>
      <c r="K718" s="2234" t="str">
        <v>1 美元等于 1 美元，无外部报价。</v>
      </c>
      <c r="L718" s="2234" t="str">
        <v>美元基准，汇率恒为 1。</v>
      </c>
      <c r="M718" s="2234" t="str">
        <v>1982|美元（USD）</v>
      </c>
      <c r="N718" s="2234" t="str">
        <v>美元（USD）</v>
      </c>
      <c r="O718" s="2239"/>
      <c r="P718" s="2234" t="str"/>
      <c r="Q718" s="2239"/>
      <c r="R718" s="2234" t="str"/>
      <c r="S718" s="2234" t="str">
        <v>年度汇率!B68</v>
      </c>
      <c r="T718" s="2234" t="str"/>
      <c r="U718" t="n" s="2231">
        <v>1987</v>
      </c>
      <c r="V718" t="str" s="2231">
        <v>意大利里拉（ITL）</v>
      </c>
    </row>
    <row r="719" ht="24.0" customHeight="1">
      <c r="A719" s="2234" t="n">
        <v>1982</v>
      </c>
      <c r="B719" s="2234" t="str">
        <v>GBP</v>
      </c>
      <c r="C719" s="2234" t="str">
        <v>英镑（GBP）</v>
      </c>
      <c r="D719" s="2234" t="str">
        <v>可用</v>
      </c>
      <c r="E719" s="2238" t="n">
        <v>0.5720823798627003</v>
      </c>
      <c r="F719" s="2234" t="str">
        <v>年均</v>
      </c>
      <c r="G719" s="2234" t="str">
        <v>Federal Reserve G.5A / FRED AEXUSUK</v>
      </c>
      <c r="H719" s="2234" t="str">
        <v>https://fred.stlouisfed.org/data/AEXUSUK</v>
      </c>
      <c r="I719" s="2234" t="str">
        <v>1982-01-01—1982-12-31</v>
      </c>
      <c r="J719" s="2234" t="str">
        <v>historical_exchange_rates_1920_2026.xlsx</v>
      </c>
      <c r="K719" s="2234" t="str">
        <v>反向值由原报价均值取倒数；不等于反向日度汇率的算术平均。
年均USD/GBP；主表取倒数，不等于逐日GBP/USD平均。</v>
      </c>
      <c r="L719" s="2234" t="str">
        <v>原报价为每单位本币兑美元，取原报价均值的倒数；不等于反向日度汇率的算术平均。</v>
      </c>
      <c r="M719" s="2234" t="str">
        <v>1982|英镑（GBP）</v>
      </c>
      <c r="N719" s="2234" t="str">
        <v>英镑（GBP）</v>
      </c>
      <c r="O719" s="2239" t="n">
        <v>1.748</v>
      </c>
      <c r="P719" s="2234" t="str">
        <v>USD/LCU</v>
      </c>
      <c r="Q719" s="2239" t="n">
        <v>1</v>
      </c>
      <c r="R719" s="2234" t="str">
        <v>A：机构统计／原始统计表</v>
      </c>
      <c r="S719" s="2234" t="str">
        <v>年度汇率!C68；原始记录!A566:M566</v>
      </c>
      <c r="T719" s="2234" t="str"/>
      <c r="U719" t="n" s="2231">
        <v>1987</v>
      </c>
      <c r="V719" t="str" s="2231">
        <v>日元（JPY）</v>
      </c>
    </row>
    <row r="720" ht="15.0" customHeight="1">
      <c r="A720" s="2234" t="n">
        <v>1982</v>
      </c>
      <c r="B720" s="2234" t="str">
        <v>CAD</v>
      </c>
      <c r="C720" s="2234" t="str">
        <v>加拿大元（CAD）</v>
      </c>
      <c r="D720" s="2234" t="str">
        <v>可用</v>
      </c>
      <c r="E720" s="2238" t="n">
        <v>1.2344</v>
      </c>
      <c r="F720" s="2234" t="str">
        <v>年均</v>
      </c>
      <c r="G720" s="2234" t="str">
        <v>Federal Reserve G.5A / FRED AEXCAUS</v>
      </c>
      <c r="H720" s="2234" t="str">
        <v>https://fred.stlouisfed.org/data/AEXCAUS</v>
      </c>
      <c r="I720" s="2234" t="str">
        <v>1982-01-01—1982-12-31</v>
      </c>
      <c r="J720" s="2234" t="str">
        <v>historical_exchange_rates_1920_2026.xlsx</v>
      </c>
      <c r="K720" s="2234" t="str"/>
      <c r="L720" s="2234" t="str">
        <v>原报价已按 1 美元兑换本币表示。</v>
      </c>
      <c r="M720" s="2234" t="str">
        <v>1982|加拿大元（CAD）</v>
      </c>
      <c r="N720" s="2234" t="str">
        <v>加拿大元（CAD）</v>
      </c>
      <c r="O720" s="2239" t="n">
        <v>1.2344</v>
      </c>
      <c r="P720" s="2234" t="str">
        <v>LCU/USD</v>
      </c>
      <c r="Q720" s="2239" t="n">
        <v>1</v>
      </c>
      <c r="R720" s="2234" t="str">
        <v>A：机构统计／原始统计表</v>
      </c>
      <c r="S720" s="2234" t="str">
        <v>年度汇率!D68；原始记录!A567:M567</v>
      </c>
      <c r="T720" s="2234" t="str"/>
      <c r="U720" t="n" s="2231">
        <v>1987</v>
      </c>
      <c r="V720" t="str" s="2231">
        <v>瑞士法郎（CHF）</v>
      </c>
    </row>
    <row r="721" ht="36.0" customHeight="1">
      <c r="A721" s="2234" t="n">
        <v>1982</v>
      </c>
      <c r="B721" s="2234" t="str">
        <v>FRF</v>
      </c>
      <c r="C721" s="2234" t="str">
        <v>法国法郎（FRF；1960币制）</v>
      </c>
      <c r="D721" s="2234" t="str">
        <v>可用</v>
      </c>
      <c r="E721" s="2238" t="n">
        <v>6.5720583330473366</v>
      </c>
      <c r="F721" s="2234" t="str">
        <v>年均</v>
      </c>
      <c r="G721" s="2234" t="str">
        <v>OECD via FRED：FR年均汇率（欧元单位回溯序列）</v>
      </c>
      <c r="H721" s="2234" t="str">
        <v>https://fred.stlouisfed.org/data/CCUSMA02FRA618N</v>
      </c>
      <c r="I721" s="2234" t="str">
        <v>1982-01-01—1982-12-31</v>
      </c>
      <c r="J721" s="2234" t="str">
        <v>historical_exchange_rates_1920_2026.xlsx</v>
      </c>
      <c r="K721" s="2234" t="str">
        <v>由欧元回溯单位还原当年本币；非当年实际欧元报价。 欧元回溯单位按不可撤销转换率还原；法国1960年前另乘100。
原序列单位为回溯欧元；乘不可撤销转换率还原当年本币。法国1957–1959另乘100还原旧法郎。</v>
      </c>
      <c r="L721" s="2234" t="str">
        <v>原报价已按 1 美元兑换本币表示。乘以 6.55957，还原当年币制的计价单位。</v>
      </c>
      <c r="M721" s="2234" t="str">
        <v>1982|法国法郎（FRF；1960币制）</v>
      </c>
      <c r="N721" s="2234" t="str">
        <v>法国法郎（FRF；1960币制）</v>
      </c>
      <c r="O721" s="2239" t="n">
        <v>1.0019038341</v>
      </c>
      <c r="P721" s="2234" t="str">
        <v>LCU/USD</v>
      </c>
      <c r="Q721" s="2239" t="n">
        <v>6.55957</v>
      </c>
      <c r="R721" s="2234" t="str">
        <v>A：机构统计／原始统计表</v>
      </c>
      <c r="S721" s="2234" t="str">
        <v>年度汇率!E68；原始记录!A568:M568</v>
      </c>
      <c r="T721" s="2234" t="str"/>
      <c r="U721" t="n" s="2231">
        <v>1987</v>
      </c>
      <c r="V721" t="str" s="2231">
        <v>印度卢比（INR）</v>
      </c>
    </row>
    <row r="722" ht="36.0" customHeight="1">
      <c r="A722" s="2234" t="n">
        <v>1982</v>
      </c>
      <c r="B722" s="2234" t="str">
        <v>DEM</v>
      </c>
      <c r="C722" s="2234" t="str">
        <v>西德德国马克（DEM）</v>
      </c>
      <c r="D722" s="2234" t="str">
        <v>可用</v>
      </c>
      <c r="E722" s="2238" t="n">
        <v>2.426674999996414</v>
      </c>
      <c r="F722" s="2234" t="str">
        <v>年均</v>
      </c>
      <c r="G722" s="2234" t="str">
        <v>OECD via FRED：DE年均汇率（欧元单位回溯序列）</v>
      </c>
      <c r="H722" s="2234" t="str">
        <v>https://fred.stlouisfed.org/data/CCUSMA02DEA618N</v>
      </c>
      <c r="I722" s="2234" t="str">
        <v>1982-01-01—1982-12-31</v>
      </c>
      <c r="J722" s="2234" t="str">
        <v>historical_exchange_rates_1920_2026.xlsx</v>
      </c>
      <c r="K722" s="2234" t="str">
        <v>由欧元回溯单位还原当年本币；非当年实际欧元报价。 欧元回溯单位按不可撤销转换率还原；法国1960年前另乘100。
原序列单位为回溯欧元；乘不可撤销转换率还原当年本币。法国1957–1959另乘100还原旧法郎。</v>
      </c>
      <c r="L722" s="2234" t="str">
        <v>原报价已按 1 美元兑换本币表示。乘以 1.95583，还原当年币制的计价单位。</v>
      </c>
      <c r="M722" s="2234" t="str">
        <v>1982|西德德国马克（DEM）</v>
      </c>
      <c r="N722" s="2234" t="str">
        <v>西德德国马克（DEM）</v>
      </c>
      <c r="O722" s="2239" t="n">
        <v>1.2407392258</v>
      </c>
      <c r="P722" s="2234" t="str">
        <v>LCU/USD</v>
      </c>
      <c r="Q722" s="2239" t="n">
        <v>1.95583</v>
      </c>
      <c r="R722" s="2234" t="str">
        <v>A：机构统计／原始统计表</v>
      </c>
      <c r="S722" s="2234" t="str">
        <v>年度汇率!F68、年度汇率!M68；原始记录!A569:M569</v>
      </c>
      <c r="T722" s="2234" t="str"/>
      <c r="U722" t="n" s="2231">
        <v>1987</v>
      </c>
      <c r="V722" t="str" s="2231">
        <v>苏联卢布（1961币制）</v>
      </c>
    </row>
    <row r="723" ht="36.0" customHeight="1">
      <c r="A723" s="2234" t="n">
        <v>1982</v>
      </c>
      <c r="B723" s="2234" t="str">
        <v>ITL</v>
      </c>
      <c r="C723" s="2234" t="str">
        <v>意大利里拉（ITL）</v>
      </c>
      <c r="D723" s="2234" t="str">
        <v>可用</v>
      </c>
      <c r="E723" s="2238" t="n">
        <v>1352.661041669917</v>
      </c>
      <c r="F723" s="2234" t="str">
        <v>年均</v>
      </c>
      <c r="G723" s="2234" t="str">
        <v>OECD via FRED：IT年均汇率（欧元单位回溯序列）</v>
      </c>
      <c r="H723" s="2234" t="str">
        <v>https://fred.stlouisfed.org/data/CCUSMA02ITA618N</v>
      </c>
      <c r="I723" s="2234" t="str">
        <v>1982-01-01—1982-12-31</v>
      </c>
      <c r="J723" s="2234" t="str">
        <v>historical_exchange_rates_1920_2026.xlsx</v>
      </c>
      <c r="K723" s="2234" t="str">
        <v>由欧元回溯单位还原当年本币；非当年实际欧元报价。 欧元回溯单位按不可撤销转换率还原；法国1960年前另乘100。
原序列单位为回溯欧元；乘不可撤销转换率还原当年本币。法国1957–1959另乘100还原旧法郎。</v>
      </c>
      <c r="L723" s="2234" t="str">
        <v>原报价已按 1 美元兑换本币表示。乘以 1936.27，还原当年币制的计价单位。</v>
      </c>
      <c r="M723" s="2234" t="str">
        <v>1982|意大利里拉（ITL）</v>
      </c>
      <c r="N723" s="2234" t="str">
        <v>意大利里拉（ITL）</v>
      </c>
      <c r="O723" s="2239" t="n">
        <v>0.6985911271</v>
      </c>
      <c r="P723" s="2234" t="str">
        <v>LCU/USD</v>
      </c>
      <c r="Q723" s="2239" t="n">
        <v>1936.27</v>
      </c>
      <c r="R723" s="2234" t="str">
        <v>A：机构统计／原始统计表</v>
      </c>
      <c r="S723" s="2234" t="str">
        <v>年度汇率!G68；原始记录!A570:M570</v>
      </c>
      <c r="T723" s="2234" t="str"/>
      <c r="U723" t="n" s="2231">
        <v>1987</v>
      </c>
      <c r="V723" t="str" s="2231">
        <v>人民币元（1955币制；CNY）</v>
      </c>
    </row>
    <row r="724" ht="15.0" customHeight="1">
      <c r="A724" s="2234" t="n">
        <v>1982</v>
      </c>
      <c r="B724" s="2234" t="str">
        <v>JPY</v>
      </c>
      <c r="C724" s="2234" t="str">
        <v>日元（JPY）</v>
      </c>
      <c r="D724" s="2234" t="str">
        <v>可用</v>
      </c>
      <c r="E724" s="2238" t="n">
        <v>249.0601</v>
      </c>
      <c r="F724" s="2234" t="str">
        <v>年均</v>
      </c>
      <c r="G724" s="2234" t="str">
        <v>Federal Reserve G.5A / FRED AEXJPUS</v>
      </c>
      <c r="H724" s="2234" t="str">
        <v>https://fred.stlouisfed.org/data/AEXJPUS</v>
      </c>
      <c r="I724" s="2234" t="str">
        <v>1982-01-01—1982-12-31</v>
      </c>
      <c r="J724" s="2234" t="str">
        <v>historical_exchange_rates_1920_2026.xlsx</v>
      </c>
      <c r="K724" s="2234" t="str"/>
      <c r="L724" s="2234" t="str">
        <v>原报价已按 1 美元兑换本币表示。</v>
      </c>
      <c r="M724" s="2234" t="str">
        <v>1982|日元（JPY）</v>
      </c>
      <c r="N724" s="2234" t="str">
        <v>日元（JPY）</v>
      </c>
      <c r="O724" s="2239" t="n">
        <v>249.0601</v>
      </c>
      <c r="P724" s="2234" t="str">
        <v>LCU/USD</v>
      </c>
      <c r="Q724" s="2239" t="n">
        <v>1</v>
      </c>
      <c r="R724" s="2234" t="str">
        <v>A：机构统计／原始统计表</v>
      </c>
      <c r="S724" s="2234" t="str">
        <v>年度汇率!H68；原始记录!A571:M571</v>
      </c>
      <c r="T724" s="2234" t="str"/>
      <c r="U724" t="n" s="2231">
        <v>1988</v>
      </c>
      <c r="V724" t="str" s="2231">
        <v>美元（USD）</v>
      </c>
    </row>
    <row r="725" ht="15.0" customHeight="1">
      <c r="A725" s="2234" t="n">
        <v>1982</v>
      </c>
      <c r="B725" s="2234" t="str">
        <v>CHF</v>
      </c>
      <c r="C725" s="2234" t="str">
        <v>瑞士法郎（CHF）</v>
      </c>
      <c r="D725" s="2234" t="str">
        <v>可用</v>
      </c>
      <c r="E725" s="2238" t="n">
        <v>2.0319</v>
      </c>
      <c r="F725" s="2234" t="str">
        <v>年均</v>
      </c>
      <c r="G725" s="2234" t="str">
        <v>Federal Reserve G.5A / FRED AEXSZUS</v>
      </c>
      <c r="H725" s="2234" t="str">
        <v>https://fred.stlouisfed.org/data/AEXSZUS</v>
      </c>
      <c r="I725" s="2234" t="str">
        <v>1982-01-01—1982-12-31</v>
      </c>
      <c r="J725" s="2234" t="str">
        <v>historical_exchange_rates_1920_2026.xlsx</v>
      </c>
      <c r="K725" s="2234" t="str"/>
      <c r="L725" s="2234" t="str">
        <v>原报价已按 1 美元兑换本币表示。</v>
      </c>
      <c r="M725" s="2234" t="str">
        <v>1982|瑞士法郎（CHF）</v>
      </c>
      <c r="N725" s="2234" t="str">
        <v>瑞士法郎（CHF）</v>
      </c>
      <c r="O725" s="2239" t="n">
        <v>2.0319</v>
      </c>
      <c r="P725" s="2234" t="str">
        <v>LCU/USD</v>
      </c>
      <c r="Q725" s="2239" t="n">
        <v>1</v>
      </c>
      <c r="R725" s="2234" t="str">
        <v>A：机构统计／原始统计表</v>
      </c>
      <c r="S725" s="2234" t="str">
        <v>年度汇率!I68；原始记录!A572:M572</v>
      </c>
      <c r="T725" s="2234" t="str"/>
      <c r="U725" t="n" s="2231">
        <v>1988</v>
      </c>
      <c r="V725" t="str" s="2231">
        <v>英镑（GBP）</v>
      </c>
    </row>
    <row r="726" ht="15.0" customHeight="1">
      <c r="A726" s="2234" t="n">
        <v>1982</v>
      </c>
      <c r="B726" s="2234" t="str">
        <v>INR</v>
      </c>
      <c r="C726" s="2234" t="str">
        <v>印度卢比（INR）</v>
      </c>
      <c r="D726" s="2234" t="str">
        <v>可用</v>
      </c>
      <c r="E726" s="2238" t="n">
        <v>9.4847</v>
      </c>
      <c r="F726" s="2234" t="str">
        <v>年均</v>
      </c>
      <c r="G726" s="2234" t="str">
        <v>Federal Reserve G.5A / FRED AEXINUS</v>
      </c>
      <c r="H726" s="2234" t="str">
        <v>https://fred.stlouisfed.org/data/AEXINUS</v>
      </c>
      <c r="I726" s="2234" t="str">
        <v>1982-01-01—1982-12-31</v>
      </c>
      <c r="J726" s="2234" t="str">
        <v>historical_exchange_rates_1920_2026.xlsx</v>
      </c>
      <c r="K726" s="2234" t="str"/>
      <c r="L726" s="2234" t="str">
        <v>原报价已按 1 美元兑换本币表示。</v>
      </c>
      <c r="M726" s="2234" t="str">
        <v>1982|印度卢比（INR）</v>
      </c>
      <c r="N726" s="2234" t="str">
        <v>印度卢比（INR）</v>
      </c>
      <c r="O726" s="2239" t="n">
        <v>9.4847</v>
      </c>
      <c r="P726" s="2234" t="str">
        <v>LCU/USD</v>
      </c>
      <c r="Q726" s="2239" t="n">
        <v>1</v>
      </c>
      <c r="R726" s="2234" t="str">
        <v>A：机构统计／原始统计表</v>
      </c>
      <c r="S726" s="2234" t="str">
        <v>年度汇率!J68；原始记录!A573:M573</v>
      </c>
      <c r="T726" s="2234" t="str"/>
      <c r="U726" t="n" s="2231">
        <v>1988</v>
      </c>
      <c r="V726" t="str" s="2231">
        <v>加拿大元（CAD）</v>
      </c>
    </row>
    <row r="727" ht="36.0" customHeight="1">
      <c r="A727" s="2234" t="n">
        <v>1982</v>
      </c>
      <c r="B727" s="2234" t="str">
        <v>SUR_1961</v>
      </c>
      <c r="C727" s="2234" t="str">
        <v>苏联卢布（1961币制）</v>
      </c>
      <c r="D727" s="2234" t="str">
        <v>可用</v>
      </c>
      <c r="E727" s="2238" t="n">
        <v>0.708</v>
      </c>
      <c r="F727" s="2234" t="str">
        <v>定点官价参考（非年均）</v>
      </c>
      <c r="G727" s="2234" t="str">
        <v>苏联卢布历史官价表（Wikipedia转引俄央行历史档案）</v>
      </c>
      <c r="H727" s="2234" t="str">
        <v>https://en.wikipedia.org/wiki/Soviet_ruble#Exchange_rates</v>
      </c>
      <c r="I727" s="2234" t="str">
        <v>1982-01-01</v>
      </c>
      <c r="J727" s="2234" t="str">
        <v>historical_exchange_rates_1920_2026.xlsx</v>
      </c>
      <c r="K727"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727" s="2234" t="str">
        <v>原报价已按 1 美元兑换本币表示。</v>
      </c>
      <c r="M727" s="2234" t="str">
        <v>1982|苏联卢布（1961币制）</v>
      </c>
      <c r="N727" s="2234" t="str">
        <v>苏联卢布（1961币制）</v>
      </c>
      <c r="O727" s="2239" t="n">
        <v>0.708</v>
      </c>
      <c r="P727" s="2234" t="str">
        <v>LCU/USD</v>
      </c>
      <c r="Q727" s="2239" t="n">
        <v>1</v>
      </c>
      <c r="R727" s="2234" t="str">
        <v>C：二手转引（原档未复核）</v>
      </c>
      <c r="S727" s="2234" t="str">
        <v>年度汇率!K68；原始记录!A574:M574</v>
      </c>
      <c r="T727" s="2234" t="str">
        <v>官价参考，并非市场年均汇率</v>
      </c>
      <c r="U727" t="n" s="2231">
        <v>1988</v>
      </c>
      <c r="V727" t="str" s="2231">
        <v>法国法郎（FRF；1960币制）</v>
      </c>
    </row>
    <row r="728" ht="15.0" customHeight="1">
      <c r="A728" s="2234" t="n">
        <v>1982</v>
      </c>
      <c r="B728" s="2234" t="str">
        <v>CNY</v>
      </c>
      <c r="C728" s="2234" t="str">
        <v>人民币元（1955币制；CNY）</v>
      </c>
      <c r="D728" s="2234" t="str">
        <v>可用</v>
      </c>
      <c r="E728" s="2238" t="n">
        <v>1.8979</v>
      </c>
      <c r="F728" s="2234" t="str">
        <v>年均</v>
      </c>
      <c r="G728" s="2234" t="str">
        <v>Federal Reserve G.5A / FRED AEXCHUS</v>
      </c>
      <c r="H728" s="2234" t="str">
        <v>https://fred.stlouisfed.org/data/AEXCHUS</v>
      </c>
      <c r="I728" s="2234" t="str">
        <v>1982-01-01—1982-12-31</v>
      </c>
      <c r="J728" s="2234" t="str">
        <v>historical_exchange_rates_1920_2026.xlsx</v>
      </c>
      <c r="K728" s="2234" t="str"/>
      <c r="L728" s="2234" t="str">
        <v>原报价已按 1 美元兑换本币表示。</v>
      </c>
      <c r="M728" s="2234" t="str">
        <v>1982|人民币元（1955币制；CNY）</v>
      </c>
      <c r="N728" s="2234" t="str">
        <v>人民币元（1955币制；CNY）</v>
      </c>
      <c r="O728" s="2239" t="n">
        <v>1.8979</v>
      </c>
      <c r="P728" s="2234" t="str">
        <v>LCU/USD</v>
      </c>
      <c r="Q728" s="2239" t="n">
        <v>1</v>
      </c>
      <c r="R728" s="2234" t="str">
        <v>A：机构统计／原始统计表</v>
      </c>
      <c r="S728" s="2234" t="str">
        <v>年度汇率!L68；原始记录!A575:M575</v>
      </c>
      <c r="T728" s="2234" t="str"/>
      <c r="U728" t="n" s="2231">
        <v>1988</v>
      </c>
      <c r="V728" t="str" s="2231">
        <v>西德德国马克（DEM）</v>
      </c>
    </row>
    <row r="729" ht="15.0" customHeight="1">
      <c r="A729" s="2234" t="n">
        <v>1983</v>
      </c>
      <c r="B729" s="2234" t="str">
        <v>USD</v>
      </c>
      <c r="C729" s="2234" t="str">
        <v>美元（USD）</v>
      </c>
      <c r="D729" s="2234" t="str">
        <v>可用</v>
      </c>
      <c r="E729" s="2238" t="n">
        <v>1</v>
      </c>
      <c r="F729" s="2234" t="str">
        <v>基准恒等</v>
      </c>
      <c r="G729" s="2234" t="str">
        <v>用户提供的历史汇率表</v>
      </c>
      <c r="H729" s="2234" t="str"/>
      <c r="I729" s="2234" t="str">
        <v>1983</v>
      </c>
      <c r="J729" s="2234" t="str">
        <v>historical_exchange_rates_1920_2026.xlsx</v>
      </c>
      <c r="K729" s="2234" t="str">
        <v>1 美元等于 1 美元，无外部报价。</v>
      </c>
      <c r="L729" s="2234" t="str">
        <v>美元基准，汇率恒为 1。</v>
      </c>
      <c r="M729" s="2234" t="str">
        <v>1983|美元（USD）</v>
      </c>
      <c r="N729" s="2234" t="str">
        <v>美元（USD）</v>
      </c>
      <c r="O729" s="2239"/>
      <c r="P729" s="2234" t="str"/>
      <c r="Q729" s="2239"/>
      <c r="R729" s="2234" t="str"/>
      <c r="S729" s="2234" t="str">
        <v>年度汇率!B69</v>
      </c>
      <c r="T729" s="2234" t="str"/>
      <c r="U729" t="n" s="2231">
        <v>1988</v>
      </c>
      <c r="V729" t="str" s="2231">
        <v>意大利里拉（ITL）</v>
      </c>
    </row>
    <row r="730" ht="24.0" customHeight="1">
      <c r="A730" s="2234" t="n">
        <v>1983</v>
      </c>
      <c r="B730" s="2234" t="str">
        <v>GBP</v>
      </c>
      <c r="C730" s="2234" t="str">
        <v>英镑（GBP）</v>
      </c>
      <c r="D730" s="2234" t="str">
        <v>可用</v>
      </c>
      <c r="E730" s="2238" t="n">
        <v>0.6596741209842337</v>
      </c>
      <c r="F730" s="2234" t="str">
        <v>年均</v>
      </c>
      <c r="G730" s="2234" t="str">
        <v>Federal Reserve G.5A / FRED AEXUSUK</v>
      </c>
      <c r="H730" s="2234" t="str">
        <v>https://fred.stlouisfed.org/data/AEXUSUK</v>
      </c>
      <c r="I730" s="2234" t="str">
        <v>1983-01-01—1983-12-31</v>
      </c>
      <c r="J730" s="2234" t="str">
        <v>historical_exchange_rates_1920_2026.xlsx</v>
      </c>
      <c r="K730" s="2234" t="str">
        <v>反向值由原报价均值取倒数；不等于反向日度汇率的算术平均。
年均USD/GBP；主表取倒数，不等于逐日GBP/USD平均。</v>
      </c>
      <c r="L730" s="2234" t="str">
        <v>原报价为每单位本币兑美元，取原报价均值的倒数；不等于反向日度汇率的算术平均。</v>
      </c>
      <c r="M730" s="2234" t="str">
        <v>1983|英镑（GBP）</v>
      </c>
      <c r="N730" s="2234" t="str">
        <v>英镑（GBP）</v>
      </c>
      <c r="O730" s="2239" t="n">
        <v>1.5159</v>
      </c>
      <c r="P730" s="2234" t="str">
        <v>USD/LCU</v>
      </c>
      <c r="Q730" s="2239" t="n">
        <v>1</v>
      </c>
      <c r="R730" s="2234" t="str">
        <v>A：机构统计／原始统计表</v>
      </c>
      <c r="S730" s="2234" t="str">
        <v>年度汇率!C69；原始记录!A576:M576</v>
      </c>
      <c r="T730" s="2234" t="str"/>
      <c r="U730" t="n" s="2231">
        <v>1988</v>
      </c>
      <c r="V730" t="str" s="2231">
        <v>日元（JPY）</v>
      </c>
    </row>
    <row r="731" ht="15.0" customHeight="1">
      <c r="A731" s="2234" t="n">
        <v>1983</v>
      </c>
      <c r="B731" s="2234" t="str">
        <v>CAD</v>
      </c>
      <c r="C731" s="2234" t="str">
        <v>加拿大元（CAD）</v>
      </c>
      <c r="D731" s="2234" t="str">
        <v>可用</v>
      </c>
      <c r="E731" s="2238" t="n">
        <v>1.2325</v>
      </c>
      <c r="F731" s="2234" t="str">
        <v>年均</v>
      </c>
      <c r="G731" s="2234" t="str">
        <v>Federal Reserve G.5A / FRED AEXCAUS</v>
      </c>
      <c r="H731" s="2234" t="str">
        <v>https://fred.stlouisfed.org/data/AEXCAUS</v>
      </c>
      <c r="I731" s="2234" t="str">
        <v>1983-01-01—1983-12-31</v>
      </c>
      <c r="J731" s="2234" t="str">
        <v>historical_exchange_rates_1920_2026.xlsx</v>
      </c>
      <c r="K731" s="2234" t="str"/>
      <c r="L731" s="2234" t="str">
        <v>原报价已按 1 美元兑换本币表示。</v>
      </c>
      <c r="M731" s="2234" t="str">
        <v>1983|加拿大元（CAD）</v>
      </c>
      <c r="N731" s="2234" t="str">
        <v>加拿大元（CAD）</v>
      </c>
      <c r="O731" s="2239" t="n">
        <v>1.2325</v>
      </c>
      <c r="P731" s="2234" t="str">
        <v>LCU/USD</v>
      </c>
      <c r="Q731" s="2239" t="n">
        <v>1</v>
      </c>
      <c r="R731" s="2234" t="str">
        <v>A：机构统计／原始统计表</v>
      </c>
      <c r="S731" s="2234" t="str">
        <v>年度汇率!D69；原始记录!A577:M577</v>
      </c>
      <c r="T731" s="2234" t="str"/>
      <c r="U731" t="n" s="2231">
        <v>1988</v>
      </c>
      <c r="V731" t="str" s="2231">
        <v>瑞士法郎（CHF）</v>
      </c>
    </row>
    <row r="732" ht="36.0" customHeight="1">
      <c r="A732" s="2234" t="n">
        <v>1983</v>
      </c>
      <c r="B732" s="2234" t="str">
        <v>FRF</v>
      </c>
      <c r="C732" s="2234" t="str">
        <v>法国法郎（FRF；1960币制）</v>
      </c>
      <c r="D732" s="2234" t="str">
        <v>可用</v>
      </c>
      <c r="E732" s="2238" t="n">
        <v>7.621291666909378</v>
      </c>
      <c r="F732" s="2234" t="str">
        <v>年均</v>
      </c>
      <c r="G732" s="2234" t="str">
        <v>OECD via FRED：FR年均汇率（欧元单位回溯序列）</v>
      </c>
      <c r="H732" s="2234" t="str">
        <v>https://fred.stlouisfed.org/data/CCUSMA02FRA618N</v>
      </c>
      <c r="I732" s="2234" t="str">
        <v>1983-01-01—1983-12-31</v>
      </c>
      <c r="J732" s="2234" t="str">
        <v>historical_exchange_rates_1920_2026.xlsx</v>
      </c>
      <c r="K732" s="2234" t="str">
        <v>由欧元回溯单位还原当年本币；非当年实际欧元报价。 欧元回溯单位按不可撤销转换率还原；法国1960年前另乘100。
原序列单位为回溯欧元；乘不可撤销转换率还原当年本币。法国1957–1959另乘100还原旧法郎。</v>
      </c>
      <c r="L732" s="2234" t="str">
        <v>原报价已按 1 美元兑换本币表示。乘以 6.55957，还原当年币制的计价单位。</v>
      </c>
      <c r="M732" s="2234" t="str">
        <v>1983|法国法郎（FRF；1960币制）</v>
      </c>
      <c r="N732" s="2234" t="str">
        <v>法国法郎（FRF；1960币制）</v>
      </c>
      <c r="O732" s="2239" t="n">
        <v>1.1618584247</v>
      </c>
      <c r="P732" s="2234" t="str">
        <v>LCU/USD</v>
      </c>
      <c r="Q732" s="2239" t="n">
        <v>6.55957</v>
      </c>
      <c r="R732" s="2234" t="str">
        <v>A：机构统计／原始统计表</v>
      </c>
      <c r="S732" s="2234" t="str">
        <v>年度汇率!E69；原始记录!A578:M578</v>
      </c>
      <c r="T732" s="2234" t="str"/>
      <c r="U732" t="n" s="2231">
        <v>1988</v>
      </c>
      <c r="V732" t="str" s="2231">
        <v>印度卢比（INR）</v>
      </c>
    </row>
    <row r="733" ht="36.0" customHeight="1">
      <c r="A733" s="2234" t="n">
        <v>1983</v>
      </c>
      <c r="B733" s="2234" t="str">
        <v>DEM</v>
      </c>
      <c r="C733" s="2234" t="str">
        <v>西德德国马克（DEM）</v>
      </c>
      <c r="D733" s="2234" t="str">
        <v>可用</v>
      </c>
      <c r="E733" s="2238" t="n">
        <v>2.553366666698512</v>
      </c>
      <c r="F733" s="2234" t="str">
        <v>年均</v>
      </c>
      <c r="G733" s="2234" t="str">
        <v>OECD via FRED：DE年均汇率（欧元单位回溯序列）</v>
      </c>
      <c r="H733" s="2234" t="str">
        <v>https://fred.stlouisfed.org/data/CCUSMA02DEA618N</v>
      </c>
      <c r="I733" s="2234" t="str">
        <v>1983-01-01—1983-12-31</v>
      </c>
      <c r="J733" s="2234" t="str">
        <v>historical_exchange_rates_1920_2026.xlsx</v>
      </c>
      <c r="K733" s="2234" t="str">
        <v>由欧元回溯单位还原当年本币；非当年实际欧元报价。 欧元回溯单位按不可撤销转换率还原；法国1960年前另乘100。
原序列单位为回溯欧元；乘不可撤销转换率还原当年本币。法国1957–1959另乘100还原旧法郎。</v>
      </c>
      <c r="L733" s="2234" t="str">
        <v>原报价已按 1 美元兑换本币表示。乘以 1.95583，还原当年币制的计价单位。</v>
      </c>
      <c r="M733" s="2234" t="str">
        <v>1983|西德德国马克（DEM）</v>
      </c>
      <c r="N733" s="2234" t="str">
        <v>西德德国马克（DEM）</v>
      </c>
      <c r="O733" s="2239" t="n">
        <v>1.3055156464</v>
      </c>
      <c r="P733" s="2234" t="str">
        <v>LCU/USD</v>
      </c>
      <c r="Q733" s="2239" t="n">
        <v>1.95583</v>
      </c>
      <c r="R733" s="2234" t="str">
        <v>A：机构统计／原始统计表</v>
      </c>
      <c r="S733" s="2234" t="str">
        <v>年度汇率!F69、年度汇率!M69；原始记录!A579:M579</v>
      </c>
      <c r="T733" s="2234" t="str"/>
      <c r="U733" t="n" s="2231">
        <v>1988</v>
      </c>
      <c r="V733" t="str" s="2231">
        <v>苏联卢布（1961币制）</v>
      </c>
    </row>
    <row r="734" ht="36.0" customHeight="1">
      <c r="A734" s="2234" t="n">
        <v>1983</v>
      </c>
      <c r="B734" s="2234" t="str">
        <v>ITL</v>
      </c>
      <c r="C734" s="2234" t="str">
        <v>意大利里拉（ITL）</v>
      </c>
      <c r="D734" s="2234" t="str">
        <v>可用</v>
      </c>
      <c r="E734" s="2238" t="n">
        <v>1518.944700096019</v>
      </c>
      <c r="F734" s="2234" t="str">
        <v>年均</v>
      </c>
      <c r="G734" s="2234" t="str">
        <v>OECD via FRED：IT年均汇率（欧元单位回溯序列）</v>
      </c>
      <c r="H734" s="2234" t="str">
        <v>https://fred.stlouisfed.org/data/CCUSMA02ITA618N</v>
      </c>
      <c r="I734" s="2234" t="str">
        <v>1983-01-01—1983-12-31</v>
      </c>
      <c r="J734" s="2234" t="str">
        <v>historical_exchange_rates_1920_2026.xlsx</v>
      </c>
      <c r="K734" s="2234" t="str">
        <v>由欧元回溯单位还原当年本币；非当年实际欧元报价。 欧元回溯单位按不可撤销转换率还原；法国1960年前另乘100。
原序列单位为回溯欧元；乘不可撤销转换率还原当年本币。法国1957–1959另乘100还原旧法郎。</v>
      </c>
      <c r="L734" s="2234" t="str">
        <v>原报价已按 1 美元兑换本币表示。乘以 1936.27，还原当年币制的计价单位。</v>
      </c>
      <c r="M734" s="2234" t="str">
        <v>1983|意大利里拉（ITL）</v>
      </c>
      <c r="N734" s="2234" t="str">
        <v>意大利里拉（ITL）</v>
      </c>
      <c r="O734" s="2239" t="n">
        <v>0.7844694697</v>
      </c>
      <c r="P734" s="2234" t="str">
        <v>LCU/USD</v>
      </c>
      <c r="Q734" s="2239" t="n">
        <v>1936.27</v>
      </c>
      <c r="R734" s="2234" t="str">
        <v>A：机构统计／原始统计表</v>
      </c>
      <c r="S734" s="2234" t="str">
        <v>年度汇率!G69；原始记录!A580:M580</v>
      </c>
      <c r="T734" s="2234" t="str"/>
      <c r="U734" t="n" s="2231">
        <v>1988</v>
      </c>
      <c r="V734" t="str" s="2231">
        <v>人民币元（1955币制；CNY）</v>
      </c>
    </row>
    <row r="735" ht="15.0" customHeight="1">
      <c r="A735" s="2234" t="n">
        <v>1983</v>
      </c>
      <c r="B735" s="2234" t="str">
        <v>JPY</v>
      </c>
      <c r="C735" s="2234" t="str">
        <v>日元（JPY）</v>
      </c>
      <c r="D735" s="2234" t="str">
        <v>可用</v>
      </c>
      <c r="E735" s="2238" t="n">
        <v>237.5535</v>
      </c>
      <c r="F735" s="2234" t="str">
        <v>年均</v>
      </c>
      <c r="G735" s="2234" t="str">
        <v>Federal Reserve G.5A / FRED AEXJPUS</v>
      </c>
      <c r="H735" s="2234" t="str">
        <v>https://fred.stlouisfed.org/data/AEXJPUS</v>
      </c>
      <c r="I735" s="2234" t="str">
        <v>1983-01-01—1983-12-31</v>
      </c>
      <c r="J735" s="2234" t="str">
        <v>historical_exchange_rates_1920_2026.xlsx</v>
      </c>
      <c r="K735" s="2234" t="str"/>
      <c r="L735" s="2234" t="str">
        <v>原报价已按 1 美元兑换本币表示。</v>
      </c>
      <c r="M735" s="2234" t="str">
        <v>1983|日元（JPY）</v>
      </c>
      <c r="N735" s="2234" t="str">
        <v>日元（JPY）</v>
      </c>
      <c r="O735" s="2239" t="n">
        <v>237.5535</v>
      </c>
      <c r="P735" s="2234" t="str">
        <v>LCU/USD</v>
      </c>
      <c r="Q735" s="2239" t="n">
        <v>1</v>
      </c>
      <c r="R735" s="2234" t="str">
        <v>A：机构统计／原始统计表</v>
      </c>
      <c r="S735" s="2234" t="str">
        <v>年度汇率!H69；原始记录!A581:M581</v>
      </c>
      <c r="T735" s="2234" t="str"/>
      <c r="U735" t="n" s="2231">
        <v>1989</v>
      </c>
      <c r="V735" t="str" s="2231">
        <v>美元（USD）</v>
      </c>
    </row>
    <row r="736" ht="15.0" customHeight="1">
      <c r="A736" s="2234" t="n">
        <v>1983</v>
      </c>
      <c r="B736" s="2234" t="str">
        <v>CHF</v>
      </c>
      <c r="C736" s="2234" t="str">
        <v>瑞士法郎（CHF）</v>
      </c>
      <c r="D736" s="2234" t="str">
        <v>可用</v>
      </c>
      <c r="E736" s="2238" t="n">
        <v>2.1007</v>
      </c>
      <c r="F736" s="2234" t="str">
        <v>年均</v>
      </c>
      <c r="G736" s="2234" t="str">
        <v>Federal Reserve G.5A / FRED AEXSZUS</v>
      </c>
      <c r="H736" s="2234" t="str">
        <v>https://fred.stlouisfed.org/data/AEXSZUS</v>
      </c>
      <c r="I736" s="2234" t="str">
        <v>1983-01-01—1983-12-31</v>
      </c>
      <c r="J736" s="2234" t="str">
        <v>historical_exchange_rates_1920_2026.xlsx</v>
      </c>
      <c r="K736" s="2234" t="str"/>
      <c r="L736" s="2234" t="str">
        <v>原报价已按 1 美元兑换本币表示。</v>
      </c>
      <c r="M736" s="2234" t="str">
        <v>1983|瑞士法郎（CHF）</v>
      </c>
      <c r="N736" s="2234" t="str">
        <v>瑞士法郎（CHF）</v>
      </c>
      <c r="O736" s="2239" t="n">
        <v>2.1007</v>
      </c>
      <c r="P736" s="2234" t="str">
        <v>LCU/USD</v>
      </c>
      <c r="Q736" s="2239" t="n">
        <v>1</v>
      </c>
      <c r="R736" s="2234" t="str">
        <v>A：机构统计／原始统计表</v>
      </c>
      <c r="S736" s="2234" t="str">
        <v>年度汇率!I69；原始记录!A582:M582</v>
      </c>
      <c r="T736" s="2234" t="str"/>
      <c r="U736" t="n" s="2231">
        <v>1989</v>
      </c>
      <c r="V736" t="str" s="2231">
        <v>英镑（GBP）</v>
      </c>
    </row>
    <row r="737" ht="15.0" customHeight="1">
      <c r="A737" s="2234" t="n">
        <v>1983</v>
      </c>
      <c r="B737" s="2234" t="str">
        <v>INR</v>
      </c>
      <c r="C737" s="2234" t="str">
        <v>印度卢比（INR）</v>
      </c>
      <c r="D737" s="2234" t="str">
        <v>可用</v>
      </c>
      <c r="E737" s="2238" t="n">
        <v>10.1041</v>
      </c>
      <c r="F737" s="2234" t="str">
        <v>年均</v>
      </c>
      <c r="G737" s="2234" t="str">
        <v>Federal Reserve G.5A / FRED AEXINUS</v>
      </c>
      <c r="H737" s="2234" t="str">
        <v>https://fred.stlouisfed.org/data/AEXINUS</v>
      </c>
      <c r="I737" s="2234" t="str">
        <v>1983-01-01—1983-12-31</v>
      </c>
      <c r="J737" s="2234" t="str">
        <v>historical_exchange_rates_1920_2026.xlsx</v>
      </c>
      <c r="K737" s="2234" t="str"/>
      <c r="L737" s="2234" t="str">
        <v>原报价已按 1 美元兑换本币表示。</v>
      </c>
      <c r="M737" s="2234" t="str">
        <v>1983|印度卢比（INR）</v>
      </c>
      <c r="N737" s="2234" t="str">
        <v>印度卢比（INR）</v>
      </c>
      <c r="O737" s="2239" t="n">
        <v>10.1041</v>
      </c>
      <c r="P737" s="2234" t="str">
        <v>LCU/USD</v>
      </c>
      <c r="Q737" s="2239" t="n">
        <v>1</v>
      </c>
      <c r="R737" s="2234" t="str">
        <v>A：机构统计／原始统计表</v>
      </c>
      <c r="S737" s="2234" t="str">
        <v>年度汇率!J69；原始记录!A583:M583</v>
      </c>
      <c r="T737" s="2234" t="str"/>
      <c r="U737" t="n" s="2231">
        <v>1989</v>
      </c>
      <c r="V737" t="str" s="2231">
        <v>加拿大元（CAD）</v>
      </c>
    </row>
    <row r="738" ht="36.0" customHeight="1">
      <c r="A738" s="2234" t="n">
        <v>1983</v>
      </c>
      <c r="B738" s="2234" t="str">
        <v>SUR_1961</v>
      </c>
      <c r="C738" s="2234" t="str">
        <v>苏联卢布（1961币制）</v>
      </c>
      <c r="D738" s="2234" t="str">
        <v>可用</v>
      </c>
      <c r="E738" s="2238" t="n">
        <v>0.707</v>
      </c>
      <c r="F738" s="2234" t="str">
        <v>定点官价参考（非年均）</v>
      </c>
      <c r="G738" s="2234" t="str">
        <v>苏联卢布历史官价表（Wikipedia转引俄央行历史档案）</v>
      </c>
      <c r="H738" s="2234" t="str">
        <v>https://en.wikipedia.org/wiki/Soviet_ruble#Exchange_rates</v>
      </c>
      <c r="I738" s="2234" t="str">
        <v>1983-01-13</v>
      </c>
      <c r="J738" s="2234" t="str">
        <v>historical_exchange_rates_1920_2026.xlsx</v>
      </c>
      <c r="K738"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738" s="2234" t="str">
        <v>原报价已按 1 美元兑换本币表示。</v>
      </c>
      <c r="M738" s="2234" t="str">
        <v>1983|苏联卢布（1961币制）</v>
      </c>
      <c r="N738" s="2234" t="str">
        <v>苏联卢布（1961币制）</v>
      </c>
      <c r="O738" s="2239" t="n">
        <v>0.707</v>
      </c>
      <c r="P738" s="2234" t="str">
        <v>LCU/USD</v>
      </c>
      <c r="Q738" s="2239" t="n">
        <v>1</v>
      </c>
      <c r="R738" s="2234" t="str">
        <v>C：二手转引（原档未复核）</v>
      </c>
      <c r="S738" s="2234" t="str">
        <v>年度汇率!K69；原始记录!A584:M584</v>
      </c>
      <c r="T738" s="2234" t="str">
        <v>官价参考，并非市场年均汇率</v>
      </c>
      <c r="U738" t="n" s="2231">
        <v>1989</v>
      </c>
      <c r="V738" t="str" s="2231">
        <v>法国法郎（FRF；1960币制）</v>
      </c>
    </row>
    <row r="739" ht="15.0" customHeight="1">
      <c r="A739" s="2234" t="n">
        <v>1983</v>
      </c>
      <c r="B739" s="2234" t="str">
        <v>CNY</v>
      </c>
      <c r="C739" s="2234" t="str">
        <v>人民币元（1955币制；CNY）</v>
      </c>
      <c r="D739" s="2234" t="str">
        <v>可用</v>
      </c>
      <c r="E739" s="2238" t="n">
        <v>1.981</v>
      </c>
      <c r="F739" s="2234" t="str">
        <v>年均</v>
      </c>
      <c r="G739" s="2234" t="str">
        <v>Federal Reserve G.5A / FRED AEXCHUS</v>
      </c>
      <c r="H739" s="2234" t="str">
        <v>https://fred.stlouisfed.org/data/AEXCHUS</v>
      </c>
      <c r="I739" s="2234" t="str">
        <v>1983-01-01—1983-12-31</v>
      </c>
      <c r="J739" s="2234" t="str">
        <v>historical_exchange_rates_1920_2026.xlsx</v>
      </c>
      <c r="K739" s="2234" t="str"/>
      <c r="L739" s="2234" t="str">
        <v>原报价已按 1 美元兑换本币表示。</v>
      </c>
      <c r="M739" s="2234" t="str">
        <v>1983|人民币元（1955币制；CNY）</v>
      </c>
      <c r="N739" s="2234" t="str">
        <v>人民币元（1955币制；CNY）</v>
      </c>
      <c r="O739" s="2239" t="n">
        <v>1.981</v>
      </c>
      <c r="P739" s="2234" t="str">
        <v>LCU/USD</v>
      </c>
      <c r="Q739" s="2239" t="n">
        <v>1</v>
      </c>
      <c r="R739" s="2234" t="str">
        <v>A：机构统计／原始统计表</v>
      </c>
      <c r="S739" s="2234" t="str">
        <v>年度汇率!L69；原始记录!A585:M585</v>
      </c>
      <c r="T739" s="2234" t="str"/>
      <c r="U739" t="n" s="2231">
        <v>1989</v>
      </c>
      <c r="V739" t="str" s="2231">
        <v>西德德国马克（DEM）</v>
      </c>
    </row>
    <row r="740" ht="15.0" customHeight="1">
      <c r="A740" s="2234" t="n">
        <v>1984</v>
      </c>
      <c r="B740" s="2234" t="str">
        <v>USD</v>
      </c>
      <c r="C740" s="2234" t="str">
        <v>美元（USD）</v>
      </c>
      <c r="D740" s="2234" t="str">
        <v>可用</v>
      </c>
      <c r="E740" s="2238" t="n">
        <v>1</v>
      </c>
      <c r="F740" s="2234" t="str">
        <v>基准恒等</v>
      </c>
      <c r="G740" s="2234" t="str">
        <v>用户提供的历史汇率表</v>
      </c>
      <c r="H740" s="2234" t="str"/>
      <c r="I740" s="2234" t="str">
        <v>1984</v>
      </c>
      <c r="J740" s="2234" t="str">
        <v>historical_exchange_rates_1920_2026.xlsx</v>
      </c>
      <c r="K740" s="2234" t="str">
        <v>1 美元等于 1 美元，无外部报价。</v>
      </c>
      <c r="L740" s="2234" t="str">
        <v>美元基准，汇率恒为 1。</v>
      </c>
      <c r="M740" s="2234" t="str">
        <v>1984|美元（USD）</v>
      </c>
      <c r="N740" s="2234" t="str">
        <v>美元（USD）</v>
      </c>
      <c r="O740" s="2239"/>
      <c r="P740" s="2234" t="str"/>
      <c r="Q740" s="2239"/>
      <c r="R740" s="2234" t="str"/>
      <c r="S740" s="2234" t="str">
        <v>年度汇率!B70</v>
      </c>
      <c r="T740" s="2234" t="str"/>
      <c r="U740" t="n" s="2231">
        <v>1989</v>
      </c>
      <c r="V740" t="str" s="2231">
        <v>意大利里拉（ITL）</v>
      </c>
    </row>
    <row r="741" ht="24.0" customHeight="1">
      <c r="A741" s="2234" t="n">
        <v>1984</v>
      </c>
      <c r="B741" s="2234" t="str">
        <v>GBP</v>
      </c>
      <c r="C741" s="2234" t="str">
        <v>英镑（GBP）</v>
      </c>
      <c r="D741" s="2234" t="str">
        <v>可用</v>
      </c>
      <c r="E741" s="2238" t="n">
        <v>0.7480550568521843</v>
      </c>
      <c r="F741" s="2234" t="str">
        <v>年均</v>
      </c>
      <c r="G741" s="2234" t="str">
        <v>Federal Reserve G.5A / FRED AEXUSUK</v>
      </c>
      <c r="H741" s="2234" t="str">
        <v>https://fred.stlouisfed.org/data/AEXUSUK</v>
      </c>
      <c r="I741" s="2234" t="str">
        <v>1984-01-01—1984-12-31</v>
      </c>
      <c r="J741" s="2234" t="str">
        <v>historical_exchange_rates_1920_2026.xlsx</v>
      </c>
      <c r="K741" s="2234" t="str">
        <v>反向值由原报价均值取倒数；不等于反向日度汇率的算术平均。
年均USD/GBP；主表取倒数，不等于逐日GBP/USD平均。</v>
      </c>
      <c r="L741" s="2234" t="str">
        <v>原报价为每单位本币兑美元，取原报价均值的倒数；不等于反向日度汇率的算术平均。</v>
      </c>
      <c r="M741" s="2234" t="str">
        <v>1984|英镑（GBP）</v>
      </c>
      <c r="N741" s="2234" t="str">
        <v>英镑（GBP）</v>
      </c>
      <c r="O741" s="2239" t="n">
        <v>1.3368</v>
      </c>
      <c r="P741" s="2234" t="str">
        <v>USD/LCU</v>
      </c>
      <c r="Q741" s="2239" t="n">
        <v>1</v>
      </c>
      <c r="R741" s="2234" t="str">
        <v>A：机构统计／原始统计表</v>
      </c>
      <c r="S741" s="2234" t="str">
        <v>年度汇率!C70；原始记录!A586:M586</v>
      </c>
      <c r="T741" s="2234" t="str"/>
      <c r="U741" t="n" s="2231">
        <v>1989</v>
      </c>
      <c r="V741" t="str" s="2231">
        <v>日元（JPY）</v>
      </c>
    </row>
    <row r="742" ht="15.0" customHeight="1">
      <c r="A742" s="2234" t="n">
        <v>1984</v>
      </c>
      <c r="B742" s="2234" t="str">
        <v>CAD</v>
      </c>
      <c r="C742" s="2234" t="str">
        <v>加拿大元（CAD）</v>
      </c>
      <c r="D742" s="2234" t="str">
        <v>可用</v>
      </c>
      <c r="E742" s="2238" t="n">
        <v>1.2952</v>
      </c>
      <c r="F742" s="2234" t="str">
        <v>年均</v>
      </c>
      <c r="G742" s="2234" t="str">
        <v>Federal Reserve G.5A / FRED AEXCAUS</v>
      </c>
      <c r="H742" s="2234" t="str">
        <v>https://fred.stlouisfed.org/data/AEXCAUS</v>
      </c>
      <c r="I742" s="2234" t="str">
        <v>1984-01-01—1984-12-31</v>
      </c>
      <c r="J742" s="2234" t="str">
        <v>historical_exchange_rates_1920_2026.xlsx</v>
      </c>
      <c r="K742" s="2234" t="str"/>
      <c r="L742" s="2234" t="str">
        <v>原报价已按 1 美元兑换本币表示。</v>
      </c>
      <c r="M742" s="2234" t="str">
        <v>1984|加拿大元（CAD）</v>
      </c>
      <c r="N742" s="2234" t="str">
        <v>加拿大元（CAD）</v>
      </c>
      <c r="O742" s="2239" t="n">
        <v>1.2952</v>
      </c>
      <c r="P742" s="2234" t="str">
        <v>LCU/USD</v>
      </c>
      <c r="Q742" s="2239" t="n">
        <v>1</v>
      </c>
      <c r="R742" s="2234" t="str">
        <v>A：机构统计／原始统计表</v>
      </c>
      <c r="S742" s="2234" t="str">
        <v>年度汇率!D70；原始记录!A587:M587</v>
      </c>
      <c r="T742" s="2234" t="str"/>
      <c r="U742" t="n" s="2231">
        <v>1989</v>
      </c>
      <c r="V742" t="str" s="2231">
        <v>瑞士法郎（CHF）</v>
      </c>
    </row>
    <row r="743" ht="36.0" customHeight="1">
      <c r="A743" s="2234" t="n">
        <v>1984</v>
      </c>
      <c r="B743" s="2234" t="str">
        <v>FRF</v>
      </c>
      <c r="C743" s="2234" t="str">
        <v>法国法郎（FRF；1960币制）</v>
      </c>
      <c r="D743" s="2234" t="str">
        <v>可用</v>
      </c>
      <c r="E743" s="2238" t="n">
        <v>8.739441666751881</v>
      </c>
      <c r="F743" s="2234" t="str">
        <v>年均</v>
      </c>
      <c r="G743" s="2234" t="str">
        <v>OECD via FRED：FR年均汇率（欧元单位回溯序列）</v>
      </c>
      <c r="H743" s="2234" t="str">
        <v>https://fred.stlouisfed.org/data/CCUSMA02FRA618N</v>
      </c>
      <c r="I743" s="2234" t="str">
        <v>1984-01-01—1984-12-31</v>
      </c>
      <c r="J743" s="2234" t="str">
        <v>historical_exchange_rates_1920_2026.xlsx</v>
      </c>
      <c r="K743" s="2234" t="str">
        <v>由欧元回溯单位还原当年本币；非当年实际欧元报价。 欧元回溯单位按不可撤销转换率还原；法国1960年前另乘100。
原序列单位为回溯欧元；乘不可撤销转换率还原当年本币。法国1957–1959另乘100还原旧法郎。</v>
      </c>
      <c r="L743" s="2234" t="str">
        <v>原报价已按 1 美元兑换本币表示。乘以 6.55957，还原当年币制的计价单位。</v>
      </c>
      <c r="M743" s="2234" t="str">
        <v>1984|法国法郎（FRF；1960币制）</v>
      </c>
      <c r="N743" s="2234" t="str">
        <v>法国法郎（FRF；1960币制）</v>
      </c>
      <c r="O743" s="2239" t="n">
        <v>1.3323192933</v>
      </c>
      <c r="P743" s="2234" t="str">
        <v>LCU/USD</v>
      </c>
      <c r="Q743" s="2239" t="n">
        <v>6.55957</v>
      </c>
      <c r="R743" s="2234" t="str">
        <v>A：机构统计／原始统计表</v>
      </c>
      <c r="S743" s="2234" t="str">
        <v>年度汇率!E70；原始记录!A588:M588</v>
      </c>
      <c r="T743" s="2234" t="str"/>
      <c r="U743" t="n" s="2231">
        <v>1989</v>
      </c>
      <c r="V743" t="str" s="2231">
        <v>印度卢比（INR）</v>
      </c>
    </row>
    <row r="744" ht="36.0" customHeight="1">
      <c r="A744" s="2234" t="n">
        <v>1984</v>
      </c>
      <c r="B744" s="2234" t="str">
        <v>DEM</v>
      </c>
      <c r="C744" s="2234" t="str">
        <v>西德德国马克（DEM）</v>
      </c>
      <c r="D744" s="2234" t="str">
        <v>可用</v>
      </c>
      <c r="E744" s="2238" t="n">
        <v>2.8464333333340712</v>
      </c>
      <c r="F744" s="2234" t="str">
        <v>年均</v>
      </c>
      <c r="G744" s="2234" t="str">
        <v>OECD via FRED：DE年均汇率（欧元单位回溯序列）</v>
      </c>
      <c r="H744" s="2234" t="str">
        <v>https://fred.stlouisfed.org/data/CCUSMA02DEA618N</v>
      </c>
      <c r="I744" s="2234" t="str">
        <v>1984-01-01—1984-12-31</v>
      </c>
      <c r="J744" s="2234" t="str">
        <v>historical_exchange_rates_1920_2026.xlsx</v>
      </c>
      <c r="K744" s="2234" t="str">
        <v>由欧元回溯单位还原当年本币；非当年实际欧元报价。 欧元回溯单位按不可撤销转换率还原；法国1960年前另乘100。
原序列单位为回溯欧元；乘不可撤销转换率还原当年本币。法国1957–1959另乘100还原旧法郎。</v>
      </c>
      <c r="L744" s="2234" t="str">
        <v>原报价已按 1 美元兑换本币表示。乘以 1.95583，还原当年币制的计价单位。</v>
      </c>
      <c r="M744" s="2234" t="str">
        <v>1984|西德德国马克（DEM）</v>
      </c>
      <c r="N744" s="2234" t="str">
        <v>西德德国马克（DEM）</v>
      </c>
      <c r="O744" s="2239" t="n">
        <v>1.4553582537</v>
      </c>
      <c r="P744" s="2234" t="str">
        <v>LCU/USD</v>
      </c>
      <c r="Q744" s="2239" t="n">
        <v>1.95583</v>
      </c>
      <c r="R744" s="2234" t="str">
        <v>A：机构统计／原始统计表</v>
      </c>
      <c r="S744" s="2234" t="str">
        <v>年度汇率!F70、年度汇率!M70；原始记录!A589:M589</v>
      </c>
      <c r="T744" s="2234" t="str"/>
      <c r="U744" t="n" s="2231">
        <v>1989</v>
      </c>
      <c r="V744" t="str" s="2231">
        <v>苏联卢布（1961币制）</v>
      </c>
    </row>
    <row r="745" ht="36.0" customHeight="1">
      <c r="A745" s="2234" t="n">
        <v>1984</v>
      </c>
      <c r="B745" s="2234" t="str">
        <v>ITL</v>
      </c>
      <c r="C745" s="2234" t="str">
        <v>意大利里拉（ITL）</v>
      </c>
      <c r="D745" s="2234" t="str">
        <v>可用</v>
      </c>
      <c r="E745" s="2238" t="n">
        <v>1756.734349951623</v>
      </c>
      <c r="F745" s="2234" t="str">
        <v>年均</v>
      </c>
      <c r="G745" s="2234" t="str">
        <v>OECD via FRED：IT年均汇率（欧元单位回溯序列）</v>
      </c>
      <c r="H745" s="2234" t="str">
        <v>https://fred.stlouisfed.org/data/CCUSMA02ITA618N</v>
      </c>
      <c r="I745" s="2234" t="str">
        <v>1984-01-01—1984-12-31</v>
      </c>
      <c r="J745" s="2234" t="str">
        <v>historical_exchange_rates_1920_2026.xlsx</v>
      </c>
      <c r="K745" s="2234" t="str">
        <v>由欧元回溯单位还原当年本币；非当年实际欧元报价。 欧元回溯单位按不可撤销转换率还原；法国1960年前另乘100。
原序列单位为回溯欧元；乘不可撤销转换率还原当年本币。法国1957–1959另乘100还原旧法郎。</v>
      </c>
      <c r="L745" s="2234" t="str">
        <v>原报价已按 1 美元兑换本币表示。乘以 1936.27，还原当年币制的计价单位。</v>
      </c>
      <c r="M745" s="2234" t="str">
        <v>1984|意大利里拉（ITL）</v>
      </c>
      <c r="N745" s="2234" t="str">
        <v>意大利里拉（ITL）</v>
      </c>
      <c r="O745" s="2239" t="n">
        <v>0.9072775749</v>
      </c>
      <c r="P745" s="2234" t="str">
        <v>LCU/USD</v>
      </c>
      <c r="Q745" s="2239" t="n">
        <v>1936.27</v>
      </c>
      <c r="R745" s="2234" t="str">
        <v>A：机构统计／原始统计表</v>
      </c>
      <c r="S745" s="2234" t="str">
        <v>年度汇率!G70；原始记录!A590:M590</v>
      </c>
      <c r="T745" s="2234" t="str"/>
      <c r="U745" t="n" s="2231">
        <v>1989</v>
      </c>
      <c r="V745" t="str" s="2231">
        <v>人民币元（1955币制；CNY）</v>
      </c>
    </row>
    <row r="746" ht="15.0" customHeight="1">
      <c r="A746" s="2234" t="n">
        <v>1984</v>
      </c>
      <c r="B746" s="2234" t="str">
        <v>JPY</v>
      </c>
      <c r="C746" s="2234" t="str">
        <v>日元（JPY）</v>
      </c>
      <c r="D746" s="2234" t="str">
        <v>可用</v>
      </c>
      <c r="E746" s="2238" t="n">
        <v>237.4622</v>
      </c>
      <c r="F746" s="2234" t="str">
        <v>年均</v>
      </c>
      <c r="G746" s="2234" t="str">
        <v>Federal Reserve G.5A / FRED AEXJPUS</v>
      </c>
      <c r="H746" s="2234" t="str">
        <v>https://fred.stlouisfed.org/data/AEXJPUS</v>
      </c>
      <c r="I746" s="2234" t="str">
        <v>1984-01-01—1984-12-31</v>
      </c>
      <c r="J746" s="2234" t="str">
        <v>historical_exchange_rates_1920_2026.xlsx</v>
      </c>
      <c r="K746" s="2234" t="str"/>
      <c r="L746" s="2234" t="str">
        <v>原报价已按 1 美元兑换本币表示。</v>
      </c>
      <c r="M746" s="2234" t="str">
        <v>1984|日元（JPY）</v>
      </c>
      <c r="N746" s="2234" t="str">
        <v>日元（JPY）</v>
      </c>
      <c r="O746" s="2239" t="n">
        <v>237.4622</v>
      </c>
      <c r="P746" s="2234" t="str">
        <v>LCU/USD</v>
      </c>
      <c r="Q746" s="2239" t="n">
        <v>1</v>
      </c>
      <c r="R746" s="2234" t="str">
        <v>A：机构统计／原始统计表</v>
      </c>
      <c r="S746" s="2234" t="str">
        <v>年度汇率!H70；原始记录!A591:M591</v>
      </c>
      <c r="T746" s="2234" t="str"/>
      <c r="U746" t="n" s="2231">
        <v>1990</v>
      </c>
      <c r="V746" t="str" s="2231">
        <v>美元（USD）</v>
      </c>
    </row>
    <row r="747" ht="15.0" customHeight="1">
      <c r="A747" s="2234" t="n">
        <v>1984</v>
      </c>
      <c r="B747" s="2234" t="str">
        <v>CHF</v>
      </c>
      <c r="C747" s="2234" t="str">
        <v>瑞士法郎（CHF）</v>
      </c>
      <c r="D747" s="2234" t="str">
        <v>可用</v>
      </c>
      <c r="E747" s="2238" t="n">
        <v>2.35</v>
      </c>
      <c r="F747" s="2234" t="str">
        <v>年均</v>
      </c>
      <c r="G747" s="2234" t="str">
        <v>Federal Reserve G.5A / FRED AEXSZUS</v>
      </c>
      <c r="H747" s="2234" t="str">
        <v>https://fred.stlouisfed.org/data/AEXSZUS</v>
      </c>
      <c r="I747" s="2234" t="str">
        <v>1984-01-01—1984-12-31</v>
      </c>
      <c r="J747" s="2234" t="str">
        <v>historical_exchange_rates_1920_2026.xlsx</v>
      </c>
      <c r="K747" s="2234" t="str"/>
      <c r="L747" s="2234" t="str">
        <v>原报价已按 1 美元兑换本币表示。</v>
      </c>
      <c r="M747" s="2234" t="str">
        <v>1984|瑞士法郎（CHF）</v>
      </c>
      <c r="N747" s="2234" t="str">
        <v>瑞士法郎（CHF）</v>
      </c>
      <c r="O747" s="2239" t="n">
        <v>2.35</v>
      </c>
      <c r="P747" s="2234" t="str">
        <v>LCU/USD</v>
      </c>
      <c r="Q747" s="2239" t="n">
        <v>1</v>
      </c>
      <c r="R747" s="2234" t="str">
        <v>A：机构统计／原始统计表</v>
      </c>
      <c r="S747" s="2234" t="str">
        <v>年度汇率!I70；原始记录!A592:M592</v>
      </c>
      <c r="T747" s="2234" t="str"/>
      <c r="U747" t="n" s="2231">
        <v>1990</v>
      </c>
      <c r="V747" t="str" s="2231">
        <v>英镑（GBP）</v>
      </c>
    </row>
    <row r="748" ht="15.0" customHeight="1">
      <c r="A748" s="2234" t="n">
        <v>1984</v>
      </c>
      <c r="B748" s="2234" t="str">
        <v>INR</v>
      </c>
      <c r="C748" s="2234" t="str">
        <v>印度卢比（INR）</v>
      </c>
      <c r="D748" s="2234" t="str">
        <v>可用</v>
      </c>
      <c r="E748" s="2238" t="n">
        <v>11.3465</v>
      </c>
      <c r="F748" s="2234" t="str">
        <v>年均</v>
      </c>
      <c r="G748" s="2234" t="str">
        <v>Federal Reserve G.5A / FRED AEXINUS</v>
      </c>
      <c r="H748" s="2234" t="str">
        <v>https://fred.stlouisfed.org/data/AEXINUS</v>
      </c>
      <c r="I748" s="2234" t="str">
        <v>1984-01-01—1984-12-31</v>
      </c>
      <c r="J748" s="2234" t="str">
        <v>historical_exchange_rates_1920_2026.xlsx</v>
      </c>
      <c r="K748" s="2234" t="str"/>
      <c r="L748" s="2234" t="str">
        <v>原报价已按 1 美元兑换本币表示。</v>
      </c>
      <c r="M748" s="2234" t="str">
        <v>1984|印度卢比（INR）</v>
      </c>
      <c r="N748" s="2234" t="str">
        <v>印度卢比（INR）</v>
      </c>
      <c r="O748" s="2239" t="n">
        <v>11.3465</v>
      </c>
      <c r="P748" s="2234" t="str">
        <v>LCU/USD</v>
      </c>
      <c r="Q748" s="2239" t="n">
        <v>1</v>
      </c>
      <c r="R748" s="2234" t="str">
        <v>A：机构统计／原始统计表</v>
      </c>
      <c r="S748" s="2234" t="str">
        <v>年度汇率!J70；原始记录!A593:M593</v>
      </c>
      <c r="T748" s="2234" t="str"/>
      <c r="U748" t="n" s="2231">
        <v>1990</v>
      </c>
      <c r="V748" t="str" s="2231">
        <v>加拿大元（CAD）</v>
      </c>
    </row>
    <row r="749" ht="36.0" customHeight="1">
      <c r="A749" s="2234" t="n">
        <v>1984</v>
      </c>
      <c r="B749" s="2234" t="str">
        <v>SUR_1961</v>
      </c>
      <c r="C749" s="2234" t="str">
        <v>苏联卢布（1961币制）</v>
      </c>
      <c r="D749" s="2234" t="str">
        <v>可用</v>
      </c>
      <c r="E749" s="2238" t="n">
        <v>0.791</v>
      </c>
      <c r="F749" s="2234" t="str">
        <v>定点官价参考（非年均）</v>
      </c>
      <c r="G749" s="2234" t="str">
        <v>苏联卢布历史官价表（Wikipedia转引俄央行历史档案）</v>
      </c>
      <c r="H749" s="2234" t="str">
        <v>https://en.wikipedia.org/wiki/Soviet_ruble#Exchange_rates</v>
      </c>
      <c r="I749" s="2234" t="str">
        <v>1984-01-01</v>
      </c>
      <c r="J749" s="2234" t="str">
        <v>historical_exchange_rates_1920_2026.xlsx</v>
      </c>
      <c r="K749"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749" s="2234" t="str">
        <v>原报价已按 1 美元兑换本币表示。</v>
      </c>
      <c r="M749" s="2234" t="str">
        <v>1984|苏联卢布（1961币制）</v>
      </c>
      <c r="N749" s="2234" t="str">
        <v>苏联卢布（1961币制）</v>
      </c>
      <c r="O749" s="2239" t="n">
        <v>0.791</v>
      </c>
      <c r="P749" s="2234" t="str">
        <v>LCU/USD</v>
      </c>
      <c r="Q749" s="2239" t="n">
        <v>1</v>
      </c>
      <c r="R749" s="2234" t="str">
        <v>C：二手转引（原档未复核）</v>
      </c>
      <c r="S749" s="2234" t="str">
        <v>年度汇率!K70；原始记录!A594:M594</v>
      </c>
      <c r="T749" s="2234" t="str">
        <v>官价参考，并非市场年均汇率</v>
      </c>
      <c r="U749" t="n" s="2231">
        <v>1990</v>
      </c>
      <c r="V749" t="str" s="2231">
        <v>法国法郎（FRF；1960币制）</v>
      </c>
    </row>
    <row r="750" ht="15.0" customHeight="1">
      <c r="A750" s="2234" t="n">
        <v>1984</v>
      </c>
      <c r="B750" s="2234" t="str">
        <v>CNY</v>
      </c>
      <c r="C750" s="2234" t="str">
        <v>人民币元（1955币制；CNY）</v>
      </c>
      <c r="D750" s="2234" t="str">
        <v>可用</v>
      </c>
      <c r="E750" s="2238" t="n">
        <v>2.3303</v>
      </c>
      <c r="F750" s="2234" t="str">
        <v>年均</v>
      </c>
      <c r="G750" s="2234" t="str">
        <v>Federal Reserve G.5A / FRED AEXCHUS</v>
      </c>
      <c r="H750" s="2234" t="str">
        <v>https://fred.stlouisfed.org/data/AEXCHUS</v>
      </c>
      <c r="I750" s="2234" t="str">
        <v>1984-01-01—1984-12-31</v>
      </c>
      <c r="J750" s="2234" t="str">
        <v>historical_exchange_rates_1920_2026.xlsx</v>
      </c>
      <c r="K750" s="2234" t="str"/>
      <c r="L750" s="2234" t="str">
        <v>原报价已按 1 美元兑换本币表示。</v>
      </c>
      <c r="M750" s="2234" t="str">
        <v>1984|人民币元（1955币制；CNY）</v>
      </c>
      <c r="N750" s="2234" t="str">
        <v>人民币元（1955币制；CNY）</v>
      </c>
      <c r="O750" s="2239" t="n">
        <v>2.3303</v>
      </c>
      <c r="P750" s="2234" t="str">
        <v>LCU/USD</v>
      </c>
      <c r="Q750" s="2239" t="n">
        <v>1</v>
      </c>
      <c r="R750" s="2234" t="str">
        <v>A：机构统计／原始统计表</v>
      </c>
      <c r="S750" s="2234" t="str">
        <v>年度汇率!L70；原始记录!A595:M595</v>
      </c>
      <c r="T750" s="2234" t="str"/>
      <c r="U750" t="n" s="2231">
        <v>1990</v>
      </c>
      <c r="V750" t="str" s="2231">
        <v>德国马克（DEM）</v>
      </c>
    </row>
    <row r="751" ht="15.0" customHeight="1">
      <c r="A751" s="2234" t="n">
        <v>1985</v>
      </c>
      <c r="B751" s="2234" t="str">
        <v>USD</v>
      </c>
      <c r="C751" s="2234" t="str">
        <v>美元（USD）</v>
      </c>
      <c r="D751" s="2234" t="str">
        <v>可用</v>
      </c>
      <c r="E751" s="2238" t="n">
        <v>1</v>
      </c>
      <c r="F751" s="2234" t="str">
        <v>基准恒等</v>
      </c>
      <c r="G751" s="2234" t="str">
        <v>用户提供的历史汇率表</v>
      </c>
      <c r="H751" s="2234" t="str"/>
      <c r="I751" s="2234" t="str">
        <v>1985</v>
      </c>
      <c r="J751" s="2234" t="str">
        <v>historical_exchange_rates_1920_2026.xlsx</v>
      </c>
      <c r="K751" s="2234" t="str">
        <v>1 美元等于 1 美元，无外部报价。</v>
      </c>
      <c r="L751" s="2234" t="str">
        <v>美元基准，汇率恒为 1。</v>
      </c>
      <c r="M751" s="2234" t="str">
        <v>1985|美元（USD）</v>
      </c>
      <c r="N751" s="2234" t="str">
        <v>美元（USD）</v>
      </c>
      <c r="O751" s="2239"/>
      <c r="P751" s="2234" t="str"/>
      <c r="Q751" s="2239"/>
      <c r="R751" s="2234" t="str"/>
      <c r="S751" s="2234" t="str">
        <v>年度汇率!B71</v>
      </c>
      <c r="T751" s="2234" t="str"/>
      <c r="U751" t="n" s="2231">
        <v>1990</v>
      </c>
      <c r="V751" t="str" s="2231">
        <v>意大利里拉（ITL）</v>
      </c>
    </row>
    <row r="752" ht="24.0" customHeight="1">
      <c r="A752" s="2234" t="n">
        <v>1985</v>
      </c>
      <c r="B752" s="2234" t="str">
        <v>GBP</v>
      </c>
      <c r="C752" s="2234" t="str">
        <v>英镑（GBP）</v>
      </c>
      <c r="D752" s="2234" t="str">
        <v>可用</v>
      </c>
      <c r="E752" s="2238" t="n">
        <v>0.7707723138584861</v>
      </c>
      <c r="F752" s="2234" t="str">
        <v>年均</v>
      </c>
      <c r="G752" s="2234" t="str">
        <v>Federal Reserve G.5A / FRED AEXUSUK</v>
      </c>
      <c r="H752" s="2234" t="str">
        <v>https://fred.stlouisfed.org/data/AEXUSUK</v>
      </c>
      <c r="I752" s="2234" t="str">
        <v>1985-01-01—1985-12-31</v>
      </c>
      <c r="J752" s="2234" t="str">
        <v>historical_exchange_rates_1920_2026.xlsx</v>
      </c>
      <c r="K752" s="2234" t="str">
        <v>反向值由原报价均值取倒数；不等于反向日度汇率的算术平均。
年均USD/GBP；主表取倒数，不等于逐日GBP/USD平均。</v>
      </c>
      <c r="L752" s="2234" t="str">
        <v>原报价为每单位本币兑美元，取原报价均值的倒数；不等于反向日度汇率的算术平均。</v>
      </c>
      <c r="M752" s="2234" t="str">
        <v>1985|英镑（GBP）</v>
      </c>
      <c r="N752" s="2234" t="str">
        <v>英镑（GBP）</v>
      </c>
      <c r="O752" s="2239" t="n">
        <v>1.2974</v>
      </c>
      <c r="P752" s="2234" t="str">
        <v>USD/LCU</v>
      </c>
      <c r="Q752" s="2239" t="n">
        <v>1</v>
      </c>
      <c r="R752" s="2234" t="str">
        <v>A：机构统计／原始统计表</v>
      </c>
      <c r="S752" s="2234" t="str">
        <v>年度汇率!C71；原始记录!A596:M596</v>
      </c>
      <c r="T752" s="2234" t="str"/>
      <c r="U752" t="n" s="2231">
        <v>1990</v>
      </c>
      <c r="V752" t="str" s="2231">
        <v>日元（JPY）</v>
      </c>
    </row>
    <row r="753" ht="15.0" customHeight="1">
      <c r="A753" s="2234" t="n">
        <v>1985</v>
      </c>
      <c r="B753" s="2234" t="str">
        <v>CAD</v>
      </c>
      <c r="C753" s="2234" t="str">
        <v>加拿大元（CAD）</v>
      </c>
      <c r="D753" s="2234" t="str">
        <v>可用</v>
      </c>
      <c r="E753" s="2238" t="n">
        <v>1.3659</v>
      </c>
      <c r="F753" s="2234" t="str">
        <v>年均</v>
      </c>
      <c r="G753" s="2234" t="str">
        <v>Federal Reserve G.5A / FRED AEXCAUS</v>
      </c>
      <c r="H753" s="2234" t="str">
        <v>https://fred.stlouisfed.org/data/AEXCAUS</v>
      </c>
      <c r="I753" s="2234" t="str">
        <v>1985-01-01—1985-12-31</v>
      </c>
      <c r="J753" s="2234" t="str">
        <v>historical_exchange_rates_1920_2026.xlsx</v>
      </c>
      <c r="K753" s="2234" t="str"/>
      <c r="L753" s="2234" t="str">
        <v>原报价已按 1 美元兑换本币表示。</v>
      </c>
      <c r="M753" s="2234" t="str">
        <v>1985|加拿大元（CAD）</v>
      </c>
      <c r="N753" s="2234" t="str">
        <v>加拿大元（CAD）</v>
      </c>
      <c r="O753" s="2239" t="n">
        <v>1.3659</v>
      </c>
      <c r="P753" s="2234" t="str">
        <v>LCU/USD</v>
      </c>
      <c r="Q753" s="2239" t="n">
        <v>1</v>
      </c>
      <c r="R753" s="2234" t="str">
        <v>A：机构统计／原始统计表</v>
      </c>
      <c r="S753" s="2234" t="str">
        <v>年度汇率!D71；原始记录!A597:M597</v>
      </c>
      <c r="T753" s="2234" t="str"/>
      <c r="U753" t="n" s="2231">
        <v>1990</v>
      </c>
      <c r="V753" t="str" s="2231">
        <v>瑞士法郎（CHF）</v>
      </c>
    </row>
    <row r="754" ht="36.0" customHeight="1">
      <c r="A754" s="2234" t="n">
        <v>1985</v>
      </c>
      <c r="B754" s="2234" t="str">
        <v>FRF</v>
      </c>
      <c r="C754" s="2234" t="str">
        <v>法国法郎（FRF；1960币制）</v>
      </c>
      <c r="D754" s="2234" t="str">
        <v>可用</v>
      </c>
      <c r="E754" s="2238" t="n">
        <v>8.984158333189301</v>
      </c>
      <c r="F754" s="2234" t="str">
        <v>年均</v>
      </c>
      <c r="G754" s="2234" t="str">
        <v>OECD via FRED：FR年均汇率（欧元单位回溯序列）</v>
      </c>
      <c r="H754" s="2234" t="str">
        <v>https://fred.stlouisfed.org/data/CCUSMA02FRA618N</v>
      </c>
      <c r="I754" s="2234" t="str">
        <v>1985-01-01—1985-12-31</v>
      </c>
      <c r="J754" s="2234" t="str">
        <v>historical_exchange_rates_1920_2026.xlsx</v>
      </c>
      <c r="K754" s="2234" t="str">
        <v>由欧元回溯单位还原当年本币；非当年实际欧元报价。 欧元回溯单位按不可撤销转换率还原；法国1960年前另乘100。
原序列单位为回溯欧元；乘不可撤销转换率还原当年本币。法国1957–1959另乘100还原旧法郎。</v>
      </c>
      <c r="L754" s="2234" t="str">
        <v>原报价已按 1 美元兑换本币表示。乘以 6.55957，还原当年币制的计价单位。</v>
      </c>
      <c r="M754" s="2234" t="str">
        <v>1985|法国法郎（FRF；1960币制）</v>
      </c>
      <c r="N754" s="2234" t="str">
        <v>法国法郎（FRF；1960币制）</v>
      </c>
      <c r="O754" s="2239" t="n">
        <v>1.3696261086</v>
      </c>
      <c r="P754" s="2234" t="str">
        <v>LCU/USD</v>
      </c>
      <c r="Q754" s="2239" t="n">
        <v>6.55957</v>
      </c>
      <c r="R754" s="2234" t="str">
        <v>A：机构统计／原始统计表</v>
      </c>
      <c r="S754" s="2234" t="str">
        <v>年度汇率!E71；原始记录!A598:M598</v>
      </c>
      <c r="T754" s="2234" t="str"/>
      <c r="U754" t="n" s="2231">
        <v>1990</v>
      </c>
      <c r="V754" t="str" s="2231">
        <v>印度卢比（INR）</v>
      </c>
    </row>
    <row r="755" ht="36.0" customHeight="1">
      <c r="A755" s="2234" t="n">
        <v>1985</v>
      </c>
      <c r="B755" s="2234" t="str">
        <v>DEM</v>
      </c>
      <c r="C755" s="2234" t="str">
        <v>西德德国马克（DEM）</v>
      </c>
      <c r="D755" s="2234" t="str">
        <v>可用</v>
      </c>
      <c r="E755" s="2238" t="n">
        <v>2.9437833332666887</v>
      </c>
      <c r="F755" s="2234" t="str">
        <v>年均</v>
      </c>
      <c r="G755" s="2234" t="str">
        <v>OECD via FRED：DE年均汇率（欧元单位回溯序列）</v>
      </c>
      <c r="H755" s="2234" t="str">
        <v>https://fred.stlouisfed.org/data/CCUSMA02DEA618N</v>
      </c>
      <c r="I755" s="2234" t="str">
        <v>1985-01-01—1985-12-31</v>
      </c>
      <c r="J755" s="2234" t="str">
        <v>historical_exchange_rates_1920_2026.xlsx</v>
      </c>
      <c r="K755" s="2234" t="str">
        <v>由欧元回溯单位还原当年本币；非当年实际欧元报价。 欧元回溯单位按不可撤销转换率还原；法国1960年前另乘100。
原序列单位为回溯欧元；乘不可撤销转换率还原当年本币。法国1957–1959另乘100还原旧法郎。</v>
      </c>
      <c r="L755" s="2234" t="str">
        <v>原报价已按 1 美元兑换本币表示。乘以 1.95583，还原当年币制的计价单位。</v>
      </c>
      <c r="M755" s="2234" t="str">
        <v>1985|西德德国马克（DEM）</v>
      </c>
      <c r="N755" s="2234" t="str">
        <v>西德德国马克（DEM）</v>
      </c>
      <c r="O755" s="2239" t="n">
        <v>1.5051325183</v>
      </c>
      <c r="P755" s="2234" t="str">
        <v>LCU/USD</v>
      </c>
      <c r="Q755" s="2239" t="n">
        <v>1.95583</v>
      </c>
      <c r="R755" s="2234" t="str">
        <v>A：机构统计／原始统计表</v>
      </c>
      <c r="S755" s="2234" t="str">
        <v>年度汇率!F71、年度汇率!M71；原始记录!A599:M599</v>
      </c>
      <c r="T755" s="2234" t="str"/>
      <c r="U755" t="n" s="2231">
        <v>1990</v>
      </c>
      <c r="V755" t="str" s="2231">
        <v>苏联卢布（1961币制）</v>
      </c>
    </row>
    <row r="756" ht="36.0" customHeight="1">
      <c r="A756" s="2234" t="n">
        <v>1985</v>
      </c>
      <c r="B756" s="2234" t="str">
        <v>ITL</v>
      </c>
      <c r="C756" s="2234" t="str">
        <v>意大利里拉（ITL）</v>
      </c>
      <c r="D756" s="2234" t="str">
        <v>可用</v>
      </c>
      <c r="E756" s="2238" t="n">
        <v>1909.416833308936</v>
      </c>
      <c r="F756" s="2234" t="str">
        <v>年均</v>
      </c>
      <c r="G756" s="2234" t="str">
        <v>OECD via FRED：IT年均汇率（欧元单位回溯序列）</v>
      </c>
      <c r="H756" s="2234" t="str">
        <v>https://fred.stlouisfed.org/data/CCUSMA02ITA618N</v>
      </c>
      <c r="I756" s="2234" t="str">
        <v>1985-01-01—1985-12-31</v>
      </c>
      <c r="J756" s="2234" t="str">
        <v>historical_exchange_rates_1920_2026.xlsx</v>
      </c>
      <c r="K756" s="2234" t="str">
        <v>由欧元回溯单位还原当年本币；非当年实际欧元报价。 欧元回溯单位按不可撤销转换率还原；法国1960年前另乘100。
原序列单位为回溯欧元；乘不可撤销转换率还原当年本币。法国1957–1959另乘100还原旧法郎。</v>
      </c>
      <c r="L756" s="2234" t="str">
        <v>原报价已按 1 美元兑换本币表示。乘以 1936.27，还原当年币制的计价单位。</v>
      </c>
      <c r="M756" s="2234" t="str">
        <v>1985|意大利里拉（ITL）</v>
      </c>
      <c r="N756" s="2234" t="str">
        <v>意大利里拉（ITL）</v>
      </c>
      <c r="O756" s="2239" t="n">
        <v>0.9861314968</v>
      </c>
      <c r="P756" s="2234" t="str">
        <v>LCU/USD</v>
      </c>
      <c r="Q756" s="2239" t="n">
        <v>1936.27</v>
      </c>
      <c r="R756" s="2234" t="str">
        <v>A：机构统计／原始统计表</v>
      </c>
      <c r="S756" s="2234" t="str">
        <v>年度汇率!G71；原始记录!A600:M600</v>
      </c>
      <c r="T756" s="2234" t="str"/>
      <c r="U756" t="n" s="2231">
        <v>1990</v>
      </c>
      <c r="V756" t="str" s="2231">
        <v>人民币元（1955币制；CNY）</v>
      </c>
    </row>
    <row r="757" ht="15.0" customHeight="1">
      <c r="A757" s="2234" t="n">
        <v>1985</v>
      </c>
      <c r="B757" s="2234" t="str">
        <v>JPY</v>
      </c>
      <c r="C757" s="2234" t="str">
        <v>日元（JPY）</v>
      </c>
      <c r="D757" s="2234" t="str">
        <v>可用</v>
      </c>
      <c r="E757" s="2238" t="n">
        <v>238.4673</v>
      </c>
      <c r="F757" s="2234" t="str">
        <v>年均</v>
      </c>
      <c r="G757" s="2234" t="str">
        <v>Federal Reserve G.5A / FRED AEXJPUS</v>
      </c>
      <c r="H757" s="2234" t="str">
        <v>https://fred.stlouisfed.org/data/AEXJPUS</v>
      </c>
      <c r="I757" s="2234" t="str">
        <v>1985-01-01—1985-12-31</v>
      </c>
      <c r="J757" s="2234" t="str">
        <v>historical_exchange_rates_1920_2026.xlsx</v>
      </c>
      <c r="K757" s="2234" t="str"/>
      <c r="L757" s="2234" t="str">
        <v>原报价已按 1 美元兑换本币表示。</v>
      </c>
      <c r="M757" s="2234" t="str">
        <v>1985|日元（JPY）</v>
      </c>
      <c r="N757" s="2234" t="str">
        <v>日元（JPY）</v>
      </c>
      <c r="O757" s="2239" t="n">
        <v>238.4673</v>
      </c>
      <c r="P757" s="2234" t="str">
        <v>LCU/USD</v>
      </c>
      <c r="Q757" s="2239" t="n">
        <v>1</v>
      </c>
      <c r="R757" s="2234" t="str">
        <v>A：机构统计／原始统计表</v>
      </c>
      <c r="S757" s="2234" t="str">
        <v>年度汇率!H71；原始记录!A601:M601</v>
      </c>
      <c r="T757" s="2234" t="str"/>
      <c r="U757" t="n" s="2231">
        <v>1991</v>
      </c>
      <c r="V757" t="str" s="2231">
        <v>美元（USD）</v>
      </c>
    </row>
    <row r="758" ht="15.0" customHeight="1">
      <c r="A758" s="2234" t="n">
        <v>1985</v>
      </c>
      <c r="B758" s="2234" t="str">
        <v>CHF</v>
      </c>
      <c r="C758" s="2234" t="str">
        <v>瑞士法郎（CHF）</v>
      </c>
      <c r="D758" s="2234" t="str">
        <v>可用</v>
      </c>
      <c r="E758" s="2238" t="n">
        <v>2.4552</v>
      </c>
      <c r="F758" s="2234" t="str">
        <v>年均</v>
      </c>
      <c r="G758" s="2234" t="str">
        <v>Federal Reserve G.5A / FRED AEXSZUS</v>
      </c>
      <c r="H758" s="2234" t="str">
        <v>https://fred.stlouisfed.org/data/AEXSZUS</v>
      </c>
      <c r="I758" s="2234" t="str">
        <v>1985-01-01—1985-12-31</v>
      </c>
      <c r="J758" s="2234" t="str">
        <v>historical_exchange_rates_1920_2026.xlsx</v>
      </c>
      <c r="K758" s="2234" t="str"/>
      <c r="L758" s="2234" t="str">
        <v>原报价已按 1 美元兑换本币表示。</v>
      </c>
      <c r="M758" s="2234" t="str">
        <v>1985|瑞士法郎（CHF）</v>
      </c>
      <c r="N758" s="2234" t="str">
        <v>瑞士法郎（CHF）</v>
      </c>
      <c r="O758" s="2239" t="n">
        <v>2.4552</v>
      </c>
      <c r="P758" s="2234" t="str">
        <v>LCU/USD</v>
      </c>
      <c r="Q758" s="2239" t="n">
        <v>1</v>
      </c>
      <c r="R758" s="2234" t="str">
        <v>A：机构统计／原始统计表</v>
      </c>
      <c r="S758" s="2234" t="str">
        <v>年度汇率!I71；原始记录!A602:M602</v>
      </c>
      <c r="T758" s="2234" t="str"/>
      <c r="U758" t="n" s="2231">
        <v>1991</v>
      </c>
      <c r="V758" t="str" s="2231">
        <v>英镑（GBP）</v>
      </c>
    </row>
    <row r="759" ht="15.0" customHeight="1">
      <c r="A759" s="2234" t="n">
        <v>1985</v>
      </c>
      <c r="B759" s="2234" t="str">
        <v>INR</v>
      </c>
      <c r="C759" s="2234" t="str">
        <v>印度卢比（INR）</v>
      </c>
      <c r="D759" s="2234" t="str">
        <v>可用</v>
      </c>
      <c r="E759" s="2238" t="n">
        <v>12.3318</v>
      </c>
      <c r="F759" s="2234" t="str">
        <v>年均</v>
      </c>
      <c r="G759" s="2234" t="str">
        <v>Federal Reserve G.5A / FRED AEXINUS</v>
      </c>
      <c r="H759" s="2234" t="str">
        <v>https://fred.stlouisfed.org/data/AEXINUS</v>
      </c>
      <c r="I759" s="2234" t="str">
        <v>1985-01-01—1985-12-31</v>
      </c>
      <c r="J759" s="2234" t="str">
        <v>historical_exchange_rates_1920_2026.xlsx</v>
      </c>
      <c r="K759" s="2234" t="str"/>
      <c r="L759" s="2234" t="str">
        <v>原报价已按 1 美元兑换本币表示。</v>
      </c>
      <c r="M759" s="2234" t="str">
        <v>1985|印度卢比（INR）</v>
      </c>
      <c r="N759" s="2234" t="str">
        <v>印度卢比（INR）</v>
      </c>
      <c r="O759" s="2239" t="n">
        <v>12.3318</v>
      </c>
      <c r="P759" s="2234" t="str">
        <v>LCU/USD</v>
      </c>
      <c r="Q759" s="2239" t="n">
        <v>1</v>
      </c>
      <c r="R759" s="2234" t="str">
        <v>A：机构统计／原始统计表</v>
      </c>
      <c r="S759" s="2234" t="str">
        <v>年度汇率!J71；原始记录!A603:M603</v>
      </c>
      <c r="T759" s="2234" t="str"/>
      <c r="U759" t="n" s="2231">
        <v>1991</v>
      </c>
      <c r="V759" t="str" s="2231">
        <v>加拿大元（CAD）</v>
      </c>
    </row>
    <row r="760" ht="36.0" customHeight="1">
      <c r="A760" s="2234" t="n">
        <v>1985</v>
      </c>
      <c r="B760" s="2234" t="str">
        <v>SUR_1961</v>
      </c>
      <c r="C760" s="2234" t="str">
        <v>苏联卢布（1961币制）</v>
      </c>
      <c r="D760" s="2234" t="str">
        <v>可用</v>
      </c>
      <c r="E760" s="2238" t="n">
        <v>0.92</v>
      </c>
      <c r="F760" s="2234" t="str">
        <v>定点官价参考（非年均）</v>
      </c>
      <c r="G760" s="2234" t="str">
        <v>苏联卢布历史官价表（Wikipedia转引俄央行历史档案）</v>
      </c>
      <c r="H760" s="2234" t="str">
        <v>https://en.wikipedia.org/wiki/Soviet_ruble#Exchange_rates</v>
      </c>
      <c r="I760" s="2234" t="str">
        <v>1985-02-28</v>
      </c>
      <c r="J760" s="2234" t="str">
        <v>historical_exchange_rates_1920_2026.xlsx</v>
      </c>
      <c r="K760"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760" s="2234" t="str">
        <v>原报价已按 1 美元兑换本币表示。</v>
      </c>
      <c r="M760" s="2234" t="str">
        <v>1985|苏联卢布（1961币制）</v>
      </c>
      <c r="N760" s="2234" t="str">
        <v>苏联卢布（1961币制）</v>
      </c>
      <c r="O760" s="2239" t="n">
        <v>0.92</v>
      </c>
      <c r="P760" s="2234" t="str">
        <v>LCU/USD</v>
      </c>
      <c r="Q760" s="2239" t="n">
        <v>1</v>
      </c>
      <c r="R760" s="2234" t="str">
        <v>C：二手转引（原档未复核）</v>
      </c>
      <c r="S760" s="2234" t="str">
        <v>年度汇率!K71；原始记录!A604:M604</v>
      </c>
      <c r="T760" s="2234" t="str">
        <v>官价参考，并非市场年均汇率</v>
      </c>
      <c r="U760" t="n" s="2231">
        <v>1991</v>
      </c>
      <c r="V760" t="str" s="2231">
        <v>法国法郎（FRF；1960币制）</v>
      </c>
    </row>
    <row r="761" ht="15.0" customHeight="1">
      <c r="A761" s="2234" t="n">
        <v>1985</v>
      </c>
      <c r="B761" s="2234" t="str">
        <v>CNY</v>
      </c>
      <c r="C761" s="2234" t="str">
        <v>人民币元（1955币制；CNY）</v>
      </c>
      <c r="D761" s="2234" t="str">
        <v>可用</v>
      </c>
      <c r="E761" s="2238" t="n">
        <v>2.9434</v>
      </c>
      <c r="F761" s="2234" t="str">
        <v>年均</v>
      </c>
      <c r="G761" s="2234" t="str">
        <v>Federal Reserve G.5A / FRED AEXCHUS</v>
      </c>
      <c r="H761" s="2234" t="str">
        <v>https://fred.stlouisfed.org/data/AEXCHUS</v>
      </c>
      <c r="I761" s="2234" t="str">
        <v>1985-01-01—1985-12-31</v>
      </c>
      <c r="J761" s="2234" t="str">
        <v>historical_exchange_rates_1920_2026.xlsx</v>
      </c>
      <c r="K761" s="2234" t="str"/>
      <c r="L761" s="2234" t="str">
        <v>原报价已按 1 美元兑换本币表示。</v>
      </c>
      <c r="M761" s="2234" t="str">
        <v>1985|人民币元（1955币制；CNY）</v>
      </c>
      <c r="N761" s="2234" t="str">
        <v>人民币元（1955币制；CNY）</v>
      </c>
      <c r="O761" s="2239" t="n">
        <v>2.9434</v>
      </c>
      <c r="P761" s="2234" t="str">
        <v>LCU/USD</v>
      </c>
      <c r="Q761" s="2239" t="n">
        <v>1</v>
      </c>
      <c r="R761" s="2234" t="str">
        <v>A：机构统计／原始统计表</v>
      </c>
      <c r="S761" s="2234" t="str">
        <v>年度汇率!L71；原始记录!A605:M605</v>
      </c>
      <c r="T761" s="2234" t="str"/>
      <c r="U761" t="n" s="2231">
        <v>1991</v>
      </c>
      <c r="V761" t="str" s="2231">
        <v>德国马克（DEM）</v>
      </c>
    </row>
    <row r="762" ht="15.0" customHeight="1">
      <c r="A762" s="2234" t="n">
        <v>1986</v>
      </c>
      <c r="B762" s="2234" t="str">
        <v>USD</v>
      </c>
      <c r="C762" s="2234" t="str">
        <v>美元（USD）</v>
      </c>
      <c r="D762" s="2234" t="str">
        <v>可用</v>
      </c>
      <c r="E762" s="2238" t="n">
        <v>1</v>
      </c>
      <c r="F762" s="2234" t="str">
        <v>基准恒等</v>
      </c>
      <c r="G762" s="2234" t="str">
        <v>用户提供的历史汇率表</v>
      </c>
      <c r="H762" s="2234" t="str"/>
      <c r="I762" s="2234" t="str">
        <v>1986</v>
      </c>
      <c r="J762" s="2234" t="str">
        <v>historical_exchange_rates_1920_2026.xlsx</v>
      </c>
      <c r="K762" s="2234" t="str">
        <v>1 美元等于 1 美元，无外部报价。</v>
      </c>
      <c r="L762" s="2234" t="str">
        <v>美元基准，汇率恒为 1。</v>
      </c>
      <c r="M762" s="2234" t="str">
        <v>1986|美元（USD）</v>
      </c>
      <c r="N762" s="2234" t="str">
        <v>美元（USD）</v>
      </c>
      <c r="O762" s="2239"/>
      <c r="P762" s="2234" t="str"/>
      <c r="Q762" s="2239"/>
      <c r="R762" s="2234" t="str"/>
      <c r="S762" s="2234" t="str">
        <v>年度汇率!B72</v>
      </c>
      <c r="T762" s="2234" t="str"/>
      <c r="U762" t="n" s="2231">
        <v>1991</v>
      </c>
      <c r="V762" t="str" s="2231">
        <v>意大利里拉（ITL）</v>
      </c>
    </row>
    <row r="763" ht="24.0" customHeight="1">
      <c r="A763" s="2234" t="n">
        <v>1986</v>
      </c>
      <c r="B763" s="2234" t="str">
        <v>GBP</v>
      </c>
      <c r="C763" s="2234" t="str">
        <v>英镑（GBP）</v>
      </c>
      <c r="D763" s="2234" t="str">
        <v>可用</v>
      </c>
      <c r="E763" s="2238" t="n">
        <v>0.6813381481229134</v>
      </c>
      <c r="F763" s="2234" t="str">
        <v>年均</v>
      </c>
      <c r="G763" s="2234" t="str">
        <v>Federal Reserve G.5A / FRED AEXUSUK</v>
      </c>
      <c r="H763" s="2234" t="str">
        <v>https://fred.stlouisfed.org/data/AEXUSUK</v>
      </c>
      <c r="I763" s="2234" t="str">
        <v>1986-01-01—1986-12-31</v>
      </c>
      <c r="J763" s="2234" t="str">
        <v>historical_exchange_rates_1920_2026.xlsx</v>
      </c>
      <c r="K763" s="2234" t="str">
        <v>反向值由原报价均值取倒数；不等于反向日度汇率的算术平均。
年均USD/GBP；主表取倒数，不等于逐日GBP/USD平均。</v>
      </c>
      <c r="L763" s="2234" t="str">
        <v>原报价为每单位本币兑美元，取原报价均值的倒数；不等于反向日度汇率的算术平均。</v>
      </c>
      <c r="M763" s="2234" t="str">
        <v>1986|英镑（GBP）</v>
      </c>
      <c r="N763" s="2234" t="str">
        <v>英镑（GBP）</v>
      </c>
      <c r="O763" s="2239" t="n">
        <v>1.4677</v>
      </c>
      <c r="P763" s="2234" t="str">
        <v>USD/LCU</v>
      </c>
      <c r="Q763" s="2239" t="n">
        <v>1</v>
      </c>
      <c r="R763" s="2234" t="str">
        <v>A：机构统计／原始统计表</v>
      </c>
      <c r="S763" s="2234" t="str">
        <v>年度汇率!C72；原始记录!A606:M606</v>
      </c>
      <c r="T763" s="2234" t="str"/>
      <c r="U763" t="n" s="2231">
        <v>1991</v>
      </c>
      <c r="V763" t="str" s="2231">
        <v>日元（JPY）</v>
      </c>
    </row>
    <row r="764" ht="15.0" customHeight="1">
      <c r="A764" s="2234" t="n">
        <v>1986</v>
      </c>
      <c r="B764" s="2234" t="str">
        <v>CAD</v>
      </c>
      <c r="C764" s="2234" t="str">
        <v>加拿大元（CAD）</v>
      </c>
      <c r="D764" s="2234" t="str">
        <v>可用</v>
      </c>
      <c r="E764" s="2238" t="n">
        <v>1.3896</v>
      </c>
      <c r="F764" s="2234" t="str">
        <v>年均</v>
      </c>
      <c r="G764" s="2234" t="str">
        <v>Federal Reserve G.5A / FRED AEXCAUS</v>
      </c>
      <c r="H764" s="2234" t="str">
        <v>https://fred.stlouisfed.org/data/AEXCAUS</v>
      </c>
      <c r="I764" s="2234" t="str">
        <v>1986-01-01—1986-12-31</v>
      </c>
      <c r="J764" s="2234" t="str">
        <v>historical_exchange_rates_1920_2026.xlsx</v>
      </c>
      <c r="K764" s="2234" t="str"/>
      <c r="L764" s="2234" t="str">
        <v>原报价已按 1 美元兑换本币表示。</v>
      </c>
      <c r="M764" s="2234" t="str">
        <v>1986|加拿大元（CAD）</v>
      </c>
      <c r="N764" s="2234" t="str">
        <v>加拿大元（CAD）</v>
      </c>
      <c r="O764" s="2239" t="n">
        <v>1.3896</v>
      </c>
      <c r="P764" s="2234" t="str">
        <v>LCU/USD</v>
      </c>
      <c r="Q764" s="2239" t="n">
        <v>1</v>
      </c>
      <c r="R764" s="2234" t="str">
        <v>A：机构统计／原始统计表</v>
      </c>
      <c r="S764" s="2234" t="str">
        <v>年度汇率!D72；原始记录!A607:M607</v>
      </c>
      <c r="T764" s="2234" t="str"/>
      <c r="U764" t="n" s="2231">
        <v>1991</v>
      </c>
      <c r="V764" t="str" s="2231">
        <v>瑞士法郎（CHF）</v>
      </c>
    </row>
    <row r="765" ht="36.0" customHeight="1">
      <c r="A765" s="2234" t="n">
        <v>1986</v>
      </c>
      <c r="B765" s="2234" t="str">
        <v>FRF</v>
      </c>
      <c r="C765" s="2234" t="str">
        <v>法国法郎（FRF；1960币制）</v>
      </c>
      <c r="D765" s="2234" t="str">
        <v>可用</v>
      </c>
      <c r="E765" s="2238" t="n">
        <v>6.926941666376715</v>
      </c>
      <c r="F765" s="2234" t="str">
        <v>年均</v>
      </c>
      <c r="G765" s="2234" t="str">
        <v>OECD via FRED：FR年均汇率（欧元单位回溯序列）</v>
      </c>
      <c r="H765" s="2234" t="str">
        <v>https://fred.stlouisfed.org/data/CCUSMA02FRA618N</v>
      </c>
      <c r="I765" s="2234" t="str">
        <v>1986-01-01—1986-12-31</v>
      </c>
      <c r="J765" s="2234" t="str">
        <v>historical_exchange_rates_1920_2026.xlsx</v>
      </c>
      <c r="K765" s="2234" t="str">
        <v>由欧元回溯单位还原当年本币；非当年实际欧元报价。 欧元回溯单位按不可撤销转换率还原；法国1960年前另乘100。
原序列单位为回溯欧元；乘不可撤销转换率还原当年本币。法国1957–1959另乘100还原旧法郎。</v>
      </c>
      <c r="L765" s="2234" t="str">
        <v>原报价已按 1 美元兑换本币表示。乘以 6.55957，还原当年币制的计价单位。</v>
      </c>
      <c r="M765" s="2234" t="str">
        <v>1986|法国法郎（FRF；1960币制）</v>
      </c>
      <c r="N765" s="2234" t="str">
        <v>法国法郎（FRF；1960币制）</v>
      </c>
      <c r="O765" s="2239" t="n">
        <v>1.0560054495</v>
      </c>
      <c r="P765" s="2234" t="str">
        <v>LCU/USD</v>
      </c>
      <c r="Q765" s="2239" t="n">
        <v>6.55957</v>
      </c>
      <c r="R765" s="2234" t="str">
        <v>A：机构统计／原始统计表</v>
      </c>
      <c r="S765" s="2234" t="str">
        <v>年度汇率!E72；原始记录!A608:M608</v>
      </c>
      <c r="T765" s="2234" t="str"/>
      <c r="U765" t="n" s="2231">
        <v>1991</v>
      </c>
      <c r="V765" t="str" s="2231">
        <v>印度卢比（INR）</v>
      </c>
    </row>
    <row r="766" ht="36.0" customHeight="1">
      <c r="A766" s="2234" t="n">
        <v>1986</v>
      </c>
      <c r="B766" s="2234" t="str">
        <v>DEM</v>
      </c>
      <c r="C766" s="2234" t="str">
        <v>西德德国马克（DEM）</v>
      </c>
      <c r="D766" s="2234" t="str">
        <v>可用</v>
      </c>
      <c r="E766" s="2238" t="n">
        <v>2.171941666669698</v>
      </c>
      <c r="F766" s="2234" t="str">
        <v>年均</v>
      </c>
      <c r="G766" s="2234" t="str">
        <v>OECD via FRED：DE年均汇率（欧元单位回溯序列）</v>
      </c>
      <c r="H766" s="2234" t="str">
        <v>https://fred.stlouisfed.org/data/CCUSMA02DEA618N</v>
      </c>
      <c r="I766" s="2234" t="str">
        <v>1986-01-01—1986-12-31</v>
      </c>
      <c r="J766" s="2234" t="str">
        <v>historical_exchange_rates_1920_2026.xlsx</v>
      </c>
      <c r="K766" s="2234" t="str">
        <v>由欧元回溯单位还原当年本币；非当年实际欧元报价。 欧元回溯单位按不可撤销转换率还原；法国1960年前另乘100。
原序列单位为回溯欧元；乘不可撤销转换率还原当年本币。法国1957–1959另乘100还原旧法郎。</v>
      </c>
      <c r="L766" s="2234" t="str">
        <v>原报价已按 1 美元兑换本币表示。乘以 1.95583，还原当年币制的计价单位。</v>
      </c>
      <c r="M766" s="2234" t="str">
        <v>1986|西德德国马克（DEM）</v>
      </c>
      <c r="N766" s="2234" t="str">
        <v>西德德国马克（DEM）</v>
      </c>
      <c r="O766" s="2239" t="n">
        <v>1.1104961406</v>
      </c>
      <c r="P766" s="2234" t="str">
        <v>LCU/USD</v>
      </c>
      <c r="Q766" s="2239" t="n">
        <v>1.95583</v>
      </c>
      <c r="R766" s="2234" t="str">
        <v>A：机构统计／原始统计表</v>
      </c>
      <c r="S766" s="2234" t="str">
        <v>年度汇率!F72、年度汇率!M72；原始记录!A609:M609</v>
      </c>
      <c r="T766" s="2234" t="str"/>
      <c r="U766" t="n" s="2231">
        <v>1991</v>
      </c>
      <c r="V766" t="str" s="2231">
        <v>苏联卢布（1961币制）</v>
      </c>
    </row>
    <row r="767" ht="36.0" customHeight="1">
      <c r="A767" s="2234" t="n">
        <v>1986</v>
      </c>
      <c r="B767" s="2234" t="str">
        <v>ITL</v>
      </c>
      <c r="C767" s="2234" t="str">
        <v>意大利里拉（ITL）</v>
      </c>
      <c r="D767" s="2234" t="str">
        <v>可用</v>
      </c>
      <c r="E767" s="2238" t="n">
        <v>1491.048633405072</v>
      </c>
      <c r="F767" s="2234" t="str">
        <v>年均</v>
      </c>
      <c r="G767" s="2234" t="str">
        <v>OECD via FRED：IT年均汇率（欧元单位回溯序列）</v>
      </c>
      <c r="H767" s="2234" t="str">
        <v>https://fred.stlouisfed.org/data/CCUSMA02ITA618N</v>
      </c>
      <c r="I767" s="2234" t="str">
        <v>1986-01-01—1986-12-31</v>
      </c>
      <c r="J767" s="2234" t="str">
        <v>historical_exchange_rates_1920_2026.xlsx</v>
      </c>
      <c r="K767" s="2234" t="str">
        <v>由欧元回溯单位还原当年本币；非当年实际欧元报价。 欧元回溯单位按不可撤销转换率还原；法国1960年前另乘100。
原序列单位为回溯欧元；乘不可撤销转换率还原当年本币。法国1957–1959另乘100还原旧法郎。</v>
      </c>
      <c r="L767" s="2234" t="str">
        <v>原报价已按 1 美元兑换本币表示。乘以 1936.27，还原当年币制的计价单位。</v>
      </c>
      <c r="M767" s="2234" t="str">
        <v>1986|意大利里拉（ITL）</v>
      </c>
      <c r="N767" s="2234" t="str">
        <v>意大利里拉（ITL）</v>
      </c>
      <c r="O767" s="2239" t="n">
        <v>0.7700623536</v>
      </c>
      <c r="P767" s="2234" t="str">
        <v>LCU/USD</v>
      </c>
      <c r="Q767" s="2239" t="n">
        <v>1936.27</v>
      </c>
      <c r="R767" s="2234" t="str">
        <v>A：机构统计／原始统计表</v>
      </c>
      <c r="S767" s="2234" t="str">
        <v>年度汇率!G72；原始记录!A610:M610</v>
      </c>
      <c r="T767" s="2234" t="str"/>
      <c r="U767" t="n" s="2231">
        <v>1991</v>
      </c>
      <c r="V767" t="str" s="2231">
        <v>人民币元（1955币制；CNY）</v>
      </c>
    </row>
    <row r="768" ht="15.0" customHeight="1">
      <c r="A768" s="2234" t="n">
        <v>1986</v>
      </c>
      <c r="B768" s="2234" t="str">
        <v>JPY</v>
      </c>
      <c r="C768" s="2234" t="str">
        <v>日元（JPY）</v>
      </c>
      <c r="D768" s="2234" t="str">
        <v>可用</v>
      </c>
      <c r="E768" s="2238" t="n">
        <v>168.3496</v>
      </c>
      <c r="F768" s="2234" t="str">
        <v>年均</v>
      </c>
      <c r="G768" s="2234" t="str">
        <v>Federal Reserve G.5A / FRED AEXJPUS</v>
      </c>
      <c r="H768" s="2234" t="str">
        <v>https://fred.stlouisfed.org/data/AEXJPUS</v>
      </c>
      <c r="I768" s="2234" t="str">
        <v>1986-01-01—1986-12-31</v>
      </c>
      <c r="J768" s="2234" t="str">
        <v>historical_exchange_rates_1920_2026.xlsx</v>
      </c>
      <c r="K768" s="2234" t="str"/>
      <c r="L768" s="2234" t="str">
        <v>原报价已按 1 美元兑换本币表示。</v>
      </c>
      <c r="M768" s="2234" t="str">
        <v>1986|日元（JPY）</v>
      </c>
      <c r="N768" s="2234" t="str">
        <v>日元（JPY）</v>
      </c>
      <c r="O768" s="2239" t="n">
        <v>168.3496</v>
      </c>
      <c r="P768" s="2234" t="str">
        <v>LCU/USD</v>
      </c>
      <c r="Q768" s="2239" t="n">
        <v>1</v>
      </c>
      <c r="R768" s="2234" t="str">
        <v>A：机构统计／原始统计表</v>
      </c>
      <c r="S768" s="2234" t="str">
        <v>年度汇率!H72；原始记录!A611:M611</v>
      </c>
      <c r="T768" s="2234" t="str"/>
      <c r="U768" t="n" s="2231">
        <v>1992</v>
      </c>
      <c r="V768" t="str" s="2231">
        <v>美元（USD）</v>
      </c>
    </row>
    <row r="769" ht="15.0" customHeight="1">
      <c r="A769" s="2234" t="n">
        <v>1986</v>
      </c>
      <c r="B769" s="2234" t="str">
        <v>CHF</v>
      </c>
      <c r="C769" s="2234" t="str">
        <v>瑞士法郎（CHF）</v>
      </c>
      <c r="D769" s="2234" t="str">
        <v>可用</v>
      </c>
      <c r="E769" s="2238" t="n">
        <v>1.7979</v>
      </c>
      <c r="F769" s="2234" t="str">
        <v>年均</v>
      </c>
      <c r="G769" s="2234" t="str">
        <v>Federal Reserve G.5A / FRED AEXSZUS</v>
      </c>
      <c r="H769" s="2234" t="str">
        <v>https://fred.stlouisfed.org/data/AEXSZUS</v>
      </c>
      <c r="I769" s="2234" t="str">
        <v>1986-01-01—1986-12-31</v>
      </c>
      <c r="J769" s="2234" t="str">
        <v>historical_exchange_rates_1920_2026.xlsx</v>
      </c>
      <c r="K769" s="2234" t="str"/>
      <c r="L769" s="2234" t="str">
        <v>原报价已按 1 美元兑换本币表示。</v>
      </c>
      <c r="M769" s="2234" t="str">
        <v>1986|瑞士法郎（CHF）</v>
      </c>
      <c r="N769" s="2234" t="str">
        <v>瑞士法郎（CHF）</v>
      </c>
      <c r="O769" s="2239" t="n">
        <v>1.7979</v>
      </c>
      <c r="P769" s="2234" t="str">
        <v>LCU/USD</v>
      </c>
      <c r="Q769" s="2239" t="n">
        <v>1</v>
      </c>
      <c r="R769" s="2234" t="str">
        <v>A：机构统计／原始统计表</v>
      </c>
      <c r="S769" s="2234" t="str">
        <v>年度汇率!I72；原始记录!A612:M612</v>
      </c>
      <c r="T769" s="2234" t="str"/>
      <c r="U769" t="n" s="2231">
        <v>1992</v>
      </c>
      <c r="V769" t="str" s="2231">
        <v>英镑（GBP）</v>
      </c>
    </row>
    <row r="770" ht="15.0" customHeight="1">
      <c r="A770" s="2234" t="n">
        <v>1986</v>
      </c>
      <c r="B770" s="2234" t="str">
        <v>INR</v>
      </c>
      <c r="C770" s="2234" t="str">
        <v>印度卢比（INR）</v>
      </c>
      <c r="D770" s="2234" t="str">
        <v>可用</v>
      </c>
      <c r="E770" s="2238" t="n">
        <v>12.5967</v>
      </c>
      <c r="F770" s="2234" t="str">
        <v>年均</v>
      </c>
      <c r="G770" s="2234" t="str">
        <v>Federal Reserve G.5A / FRED AEXINUS</v>
      </c>
      <c r="H770" s="2234" t="str">
        <v>https://fred.stlouisfed.org/data/AEXINUS</v>
      </c>
      <c r="I770" s="2234" t="str">
        <v>1986-01-01—1986-12-31</v>
      </c>
      <c r="J770" s="2234" t="str">
        <v>historical_exchange_rates_1920_2026.xlsx</v>
      </c>
      <c r="K770" s="2234" t="str"/>
      <c r="L770" s="2234" t="str">
        <v>原报价已按 1 美元兑换本币表示。</v>
      </c>
      <c r="M770" s="2234" t="str">
        <v>1986|印度卢比（INR）</v>
      </c>
      <c r="N770" s="2234" t="str">
        <v>印度卢比（INR）</v>
      </c>
      <c r="O770" s="2239" t="n">
        <v>12.5967</v>
      </c>
      <c r="P770" s="2234" t="str">
        <v>LCU/USD</v>
      </c>
      <c r="Q770" s="2239" t="n">
        <v>1</v>
      </c>
      <c r="R770" s="2234" t="str">
        <v>A：机构统计／原始统计表</v>
      </c>
      <c r="S770" s="2234" t="str">
        <v>年度汇率!J72；原始记录!A613:M613</v>
      </c>
      <c r="T770" s="2234" t="str"/>
      <c r="U770" t="n" s="2231">
        <v>1992</v>
      </c>
      <c r="V770" t="str" s="2231">
        <v>加拿大元（CAD）</v>
      </c>
    </row>
    <row r="771" ht="36.0" customHeight="1">
      <c r="A771" s="2234" t="n">
        <v>1986</v>
      </c>
      <c r="B771" s="2234" t="str">
        <v>SUR_1961</v>
      </c>
      <c r="C771" s="2234" t="str">
        <v>苏联卢布（1961币制）</v>
      </c>
      <c r="D771" s="2234" t="str">
        <v>可用</v>
      </c>
      <c r="E771" s="2238" t="n">
        <v>0.7585</v>
      </c>
      <c r="F771" s="2234" t="str">
        <v>定点官价参考（非年均）</v>
      </c>
      <c r="G771" s="2234" t="str">
        <v>苏联卢布历史官价表（Wikipedia转引俄央行历史档案）</v>
      </c>
      <c r="H771" s="2234" t="str">
        <v>https://en.wikipedia.org/wiki/Soviet_ruble#Exchange_rates</v>
      </c>
      <c r="I771" s="2234" t="str">
        <v>1986-01-01</v>
      </c>
      <c r="J771" s="2234" t="str">
        <v>historical_exchange_rates_1920_2026.xlsx</v>
      </c>
      <c r="K771"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771" s="2234" t="str">
        <v>原报价已按 1 美元兑换本币表示。</v>
      </c>
      <c r="M771" s="2234" t="str">
        <v>1986|苏联卢布（1961币制）</v>
      </c>
      <c r="N771" s="2234" t="str">
        <v>苏联卢布（1961币制）</v>
      </c>
      <c r="O771" s="2239" t="n">
        <v>0.7585</v>
      </c>
      <c r="P771" s="2234" t="str">
        <v>LCU/USD</v>
      </c>
      <c r="Q771" s="2239" t="n">
        <v>1</v>
      </c>
      <c r="R771" s="2234" t="str">
        <v>C：二手转引（原档未复核）</v>
      </c>
      <c r="S771" s="2234" t="str">
        <v>年度汇率!K72；原始记录!A614:M614</v>
      </c>
      <c r="T771" s="2234" t="str">
        <v>官价参考，并非市场年均汇率</v>
      </c>
      <c r="U771" t="n" s="2231">
        <v>1992</v>
      </c>
      <c r="V771" t="str" s="2231">
        <v>法国法郎（FRF；1960币制）</v>
      </c>
    </row>
    <row r="772" ht="15.0" customHeight="1">
      <c r="A772" s="2234" t="n">
        <v>1986</v>
      </c>
      <c r="B772" s="2234" t="str">
        <v>CNY</v>
      </c>
      <c r="C772" s="2234" t="str">
        <v>人民币元（1955币制；CNY）</v>
      </c>
      <c r="D772" s="2234" t="str">
        <v>可用</v>
      </c>
      <c r="E772" s="2238" t="n">
        <v>3.4616</v>
      </c>
      <c r="F772" s="2234" t="str">
        <v>年均</v>
      </c>
      <c r="G772" s="2234" t="str">
        <v>Federal Reserve G.5A / FRED AEXCHUS</v>
      </c>
      <c r="H772" s="2234" t="str">
        <v>https://fred.stlouisfed.org/data/AEXCHUS</v>
      </c>
      <c r="I772" s="2234" t="str">
        <v>1986-01-01—1986-12-31</v>
      </c>
      <c r="J772" s="2234" t="str">
        <v>historical_exchange_rates_1920_2026.xlsx</v>
      </c>
      <c r="K772" s="2234" t="str"/>
      <c r="L772" s="2234" t="str">
        <v>原报价已按 1 美元兑换本币表示。</v>
      </c>
      <c r="M772" s="2234" t="str">
        <v>1986|人民币元（1955币制；CNY）</v>
      </c>
      <c r="N772" s="2234" t="str">
        <v>人民币元（1955币制；CNY）</v>
      </c>
      <c r="O772" s="2239" t="n">
        <v>3.4616</v>
      </c>
      <c r="P772" s="2234" t="str">
        <v>LCU/USD</v>
      </c>
      <c r="Q772" s="2239" t="n">
        <v>1</v>
      </c>
      <c r="R772" s="2234" t="str">
        <v>A：机构统计／原始统计表</v>
      </c>
      <c r="S772" s="2234" t="str">
        <v>年度汇率!L72；原始记录!A615:M615</v>
      </c>
      <c r="T772" s="2234" t="str"/>
      <c r="U772" t="n" s="2231">
        <v>1992</v>
      </c>
      <c r="V772" t="str" s="2231">
        <v>德国马克（DEM）</v>
      </c>
    </row>
    <row r="773" ht="15.0" customHeight="1">
      <c r="A773" s="2234" t="n">
        <v>1987</v>
      </c>
      <c r="B773" s="2234" t="str">
        <v>USD</v>
      </c>
      <c r="C773" s="2234" t="str">
        <v>美元（USD）</v>
      </c>
      <c r="D773" s="2234" t="str">
        <v>可用</v>
      </c>
      <c r="E773" s="2238" t="n">
        <v>1</v>
      </c>
      <c r="F773" s="2234" t="str">
        <v>基准恒等</v>
      </c>
      <c r="G773" s="2234" t="str">
        <v>用户提供的历史汇率表</v>
      </c>
      <c r="H773" s="2234" t="str"/>
      <c r="I773" s="2234" t="str">
        <v>1987</v>
      </c>
      <c r="J773" s="2234" t="str">
        <v>historical_exchange_rates_1920_2026.xlsx</v>
      </c>
      <c r="K773" s="2234" t="str">
        <v>1 美元等于 1 美元，无外部报价。</v>
      </c>
      <c r="L773" s="2234" t="str">
        <v>美元基准，汇率恒为 1。</v>
      </c>
      <c r="M773" s="2234" t="str">
        <v>1987|美元（USD）</v>
      </c>
      <c r="N773" s="2234" t="str">
        <v>美元（USD）</v>
      </c>
      <c r="O773" s="2239"/>
      <c r="P773" s="2234" t="str"/>
      <c r="Q773" s="2239"/>
      <c r="R773" s="2234" t="str"/>
      <c r="S773" s="2234" t="str">
        <v>年度汇率!B73</v>
      </c>
      <c r="T773" s="2234" t="str"/>
      <c r="U773" t="n" s="2231">
        <v>1992</v>
      </c>
      <c r="V773" t="str" s="2231">
        <v>意大利里拉（ITL）</v>
      </c>
    </row>
    <row r="774" ht="24.0" customHeight="1">
      <c r="A774" s="2234" t="n">
        <v>1987</v>
      </c>
      <c r="B774" s="2234" t="str">
        <v>GBP</v>
      </c>
      <c r="C774" s="2234" t="str">
        <v>英镑（GBP）</v>
      </c>
      <c r="D774" s="2234" t="str">
        <v>可用</v>
      </c>
      <c r="E774" s="2238" t="n">
        <v>0.6098304671301379</v>
      </c>
      <c r="F774" s="2234" t="str">
        <v>年均</v>
      </c>
      <c r="G774" s="2234" t="str">
        <v>Federal Reserve G.5A / FRED AEXUSUK</v>
      </c>
      <c r="H774" s="2234" t="str">
        <v>https://fred.stlouisfed.org/data/AEXUSUK</v>
      </c>
      <c r="I774" s="2234" t="str">
        <v>1987-01-01—1987-12-31</v>
      </c>
      <c r="J774" s="2234" t="str">
        <v>historical_exchange_rates_1920_2026.xlsx</v>
      </c>
      <c r="K774" s="2234" t="str">
        <v>反向值由原报价均值取倒数；不等于反向日度汇率的算术平均。
年均USD/GBP；主表取倒数，不等于逐日GBP/USD平均。</v>
      </c>
      <c r="L774" s="2234" t="str">
        <v>原报价为每单位本币兑美元，取原报价均值的倒数；不等于反向日度汇率的算术平均。</v>
      </c>
      <c r="M774" s="2234" t="str">
        <v>1987|英镑（GBP）</v>
      </c>
      <c r="N774" s="2234" t="str">
        <v>英镑（GBP）</v>
      </c>
      <c r="O774" s="2239" t="n">
        <v>1.6398</v>
      </c>
      <c r="P774" s="2234" t="str">
        <v>USD/LCU</v>
      </c>
      <c r="Q774" s="2239" t="n">
        <v>1</v>
      </c>
      <c r="R774" s="2234" t="str">
        <v>A：机构统计／原始统计表</v>
      </c>
      <c r="S774" s="2234" t="str">
        <v>年度汇率!C73；原始记录!A616:M616</v>
      </c>
      <c r="T774" s="2234" t="str"/>
      <c r="U774" t="n" s="2231">
        <v>1992</v>
      </c>
      <c r="V774" t="str" s="2231">
        <v>日元（JPY）</v>
      </c>
    </row>
    <row r="775" ht="15.0" customHeight="1">
      <c r="A775" s="2234" t="n">
        <v>1987</v>
      </c>
      <c r="B775" s="2234" t="str">
        <v>CAD</v>
      </c>
      <c r="C775" s="2234" t="str">
        <v>加拿大元（CAD）</v>
      </c>
      <c r="D775" s="2234" t="str">
        <v>可用</v>
      </c>
      <c r="E775" s="2238" t="n">
        <v>1.3259</v>
      </c>
      <c r="F775" s="2234" t="str">
        <v>年均</v>
      </c>
      <c r="G775" s="2234" t="str">
        <v>Federal Reserve G.5A / FRED AEXCAUS</v>
      </c>
      <c r="H775" s="2234" t="str">
        <v>https://fred.stlouisfed.org/data/AEXCAUS</v>
      </c>
      <c r="I775" s="2234" t="str">
        <v>1987-01-01—1987-12-31</v>
      </c>
      <c r="J775" s="2234" t="str">
        <v>historical_exchange_rates_1920_2026.xlsx</v>
      </c>
      <c r="K775" s="2234" t="str"/>
      <c r="L775" s="2234" t="str">
        <v>原报价已按 1 美元兑换本币表示。</v>
      </c>
      <c r="M775" s="2234" t="str">
        <v>1987|加拿大元（CAD）</v>
      </c>
      <c r="N775" s="2234" t="str">
        <v>加拿大元（CAD）</v>
      </c>
      <c r="O775" s="2239" t="n">
        <v>1.3259</v>
      </c>
      <c r="P775" s="2234" t="str">
        <v>LCU/USD</v>
      </c>
      <c r="Q775" s="2239" t="n">
        <v>1</v>
      </c>
      <c r="R775" s="2234" t="str">
        <v>A：机构统计／原始统计表</v>
      </c>
      <c r="S775" s="2234" t="str">
        <v>年度汇率!D73；原始记录!A617:M617</v>
      </c>
      <c r="T775" s="2234" t="str"/>
      <c r="U775" t="n" s="2231">
        <v>1992</v>
      </c>
      <c r="V775" t="str" s="2231">
        <v>瑞士法郎（CHF）</v>
      </c>
    </row>
    <row r="776" ht="36.0" customHeight="1">
      <c r="A776" s="2234" t="n">
        <v>1987</v>
      </c>
      <c r="B776" s="2234" t="str">
        <v>FRF</v>
      </c>
      <c r="C776" s="2234" t="str">
        <v>法国法郎（FRF；1960币制）</v>
      </c>
      <c r="D776" s="2234" t="str">
        <v>可用</v>
      </c>
      <c r="E776" s="2238" t="n">
        <v>6.008725000000927</v>
      </c>
      <c r="F776" s="2234" t="str">
        <v>年均</v>
      </c>
      <c r="G776" s="2234" t="str">
        <v>OECD via FRED：FR年均汇率（欧元单位回溯序列）</v>
      </c>
      <c r="H776" s="2234" t="str">
        <v>https://fred.stlouisfed.org/data/CCUSMA02FRA618N</v>
      </c>
      <c r="I776" s="2234" t="str">
        <v>1987-01-01—1987-12-31</v>
      </c>
      <c r="J776" s="2234" t="str">
        <v>historical_exchange_rates_1920_2026.xlsx</v>
      </c>
      <c r="K776" s="2234" t="str">
        <v>由欧元回溯单位还原当年本币；非当年实际欧元报价。 欧元回溯单位按不可撤销转换率还原；法国1960年前另乘100。
原序列单位为回溯欧元；乘不可撤销转换率还原当年本币。法国1957–1959另乘100还原旧法郎。</v>
      </c>
      <c r="L776" s="2234" t="str">
        <v>原报价已按 1 美元兑换本币表示。乘以 6.55957，还原当年币制的计价单位。</v>
      </c>
      <c r="M776" s="2234" t="str">
        <v>1987|法国法郎（FRF；1960币制）</v>
      </c>
      <c r="N776" s="2234" t="str">
        <v>法国法郎（FRF；1960币制）</v>
      </c>
      <c r="O776" s="2239" t="n">
        <v>0.9160242211</v>
      </c>
      <c r="P776" s="2234" t="str">
        <v>LCU/USD</v>
      </c>
      <c r="Q776" s="2239" t="n">
        <v>6.55957</v>
      </c>
      <c r="R776" s="2234" t="str">
        <v>A：机构统计／原始统计表</v>
      </c>
      <c r="S776" s="2234" t="str">
        <v>年度汇率!E73；原始记录!A618:M618</v>
      </c>
      <c r="T776" s="2234" t="str"/>
      <c r="U776" t="n" s="2231">
        <v>1992</v>
      </c>
      <c r="V776" t="str" s="2231">
        <v>印度卢比（INR）</v>
      </c>
    </row>
    <row r="777" ht="36.0" customHeight="1">
      <c r="A777" s="2234" t="n">
        <v>1987</v>
      </c>
      <c r="B777" s="2234" t="str">
        <v>DEM</v>
      </c>
      <c r="C777" s="2234" t="str">
        <v>西德德国马克（DEM）</v>
      </c>
      <c r="D777" s="2234" t="str">
        <v>可用</v>
      </c>
      <c r="E777" s="2238" t="n">
        <v>1.797350000062541</v>
      </c>
      <c r="F777" s="2234" t="str">
        <v>年均</v>
      </c>
      <c r="G777" s="2234" t="str">
        <v>OECD via FRED：DE年均汇率（欧元单位回溯序列）</v>
      </c>
      <c r="H777" s="2234" t="str">
        <v>https://fred.stlouisfed.org/data/CCUSMA02DEA618N</v>
      </c>
      <c r="I777" s="2234" t="str">
        <v>1987-01-01—1987-12-31</v>
      </c>
      <c r="J777" s="2234" t="str">
        <v>historical_exchange_rates_1920_2026.xlsx</v>
      </c>
      <c r="K777" s="2234" t="str">
        <v>由欧元回溯单位还原当年本币；非当年实际欧元报价。 欧元回溯单位按不可撤销转换率还原；法国1960年前另乘100。
原序列单位为回溯欧元；乘不可撤销转换率还原当年本币。法国1957–1959另乘100还原旧法郎。</v>
      </c>
      <c r="L777" s="2234" t="str">
        <v>原报价已按 1 美元兑换本币表示。乘以 1.95583，还原当年币制的计价单位。</v>
      </c>
      <c r="M777" s="2234" t="str">
        <v>1987|西德德国马克（DEM）</v>
      </c>
      <c r="N777" s="2234" t="str">
        <v>西德德国马克（DEM）</v>
      </c>
      <c r="O777" s="2239" t="n">
        <v>0.9189704627</v>
      </c>
      <c r="P777" s="2234" t="str">
        <v>LCU/USD</v>
      </c>
      <c r="Q777" s="2239" t="n">
        <v>1.95583</v>
      </c>
      <c r="R777" s="2234" t="str">
        <v>A：机构统计／原始统计表</v>
      </c>
      <c r="S777" s="2234" t="str">
        <v>年度汇率!F73、年度汇率!M73；原始记录!A619:M619</v>
      </c>
      <c r="T777" s="2234" t="str"/>
      <c r="U777" t="n" s="2231">
        <v>1992</v>
      </c>
      <c r="V777" t="str" s="2231">
        <v>俄罗斯旧卢布（RUR）</v>
      </c>
    </row>
    <row r="778" ht="36.0" customHeight="1">
      <c r="A778" s="2234" t="n">
        <v>1987</v>
      </c>
      <c r="B778" s="2234" t="str">
        <v>ITL</v>
      </c>
      <c r="C778" s="2234" t="str">
        <v>意大利里拉（ITL）</v>
      </c>
      <c r="D778" s="2234" t="str">
        <v>可用</v>
      </c>
      <c r="E778" s="2238" t="n">
        <v>1296.973133248702</v>
      </c>
      <c r="F778" s="2234" t="str">
        <v>年均</v>
      </c>
      <c r="G778" s="2234" t="str">
        <v>OECD via FRED：IT年均汇率（欧元单位回溯序列）</v>
      </c>
      <c r="H778" s="2234" t="str">
        <v>https://fred.stlouisfed.org/data/CCUSMA02ITA618N</v>
      </c>
      <c r="I778" s="2234" t="str">
        <v>1987-01-01—1987-12-31</v>
      </c>
      <c r="J778" s="2234" t="str">
        <v>historical_exchange_rates_1920_2026.xlsx</v>
      </c>
      <c r="K778" s="2234" t="str">
        <v>由欧元回溯单位还原当年本币；非当年实际欧元报价。 欧元回溯单位按不可撤销转换率还原；法国1960年前另乘100。
原序列单位为回溯欧元；乘不可撤销转换率还原当年本币。法国1957–1959另乘100还原旧法郎。</v>
      </c>
      <c r="L778" s="2234" t="str">
        <v>原报价已按 1 美元兑换本币表示。乘以 1936.27，还原当年币制的计价单位。</v>
      </c>
      <c r="M778" s="2234" t="str">
        <v>1987|意大利里拉（ITL）</v>
      </c>
      <c r="N778" s="2234" t="str">
        <v>意大利里拉（ITL）</v>
      </c>
      <c r="O778" s="2239" t="n">
        <v>0.6698307226</v>
      </c>
      <c r="P778" s="2234" t="str">
        <v>LCU/USD</v>
      </c>
      <c r="Q778" s="2239" t="n">
        <v>1936.27</v>
      </c>
      <c r="R778" s="2234" t="str">
        <v>A：机构统计／原始统计表</v>
      </c>
      <c r="S778" s="2234" t="str">
        <v>年度汇率!G73；原始记录!A620:M620</v>
      </c>
      <c r="T778" s="2234" t="str"/>
      <c r="U778" t="n" s="2231">
        <v>1992</v>
      </c>
      <c r="V778" t="str" s="2231">
        <v>人民币元（1955币制；CNY）</v>
      </c>
    </row>
    <row r="779" ht="15.0" customHeight="1">
      <c r="A779" s="2234" t="n">
        <v>1987</v>
      </c>
      <c r="B779" s="2234" t="str">
        <v>JPY</v>
      </c>
      <c r="C779" s="2234" t="str">
        <v>日元（JPY）</v>
      </c>
      <c r="D779" s="2234" t="str">
        <v>可用</v>
      </c>
      <c r="E779" s="2238" t="n">
        <v>144.6023</v>
      </c>
      <c r="F779" s="2234" t="str">
        <v>年均</v>
      </c>
      <c r="G779" s="2234" t="str">
        <v>Federal Reserve G.5A / FRED AEXJPUS</v>
      </c>
      <c r="H779" s="2234" t="str">
        <v>https://fred.stlouisfed.org/data/AEXJPUS</v>
      </c>
      <c r="I779" s="2234" t="str">
        <v>1987-01-01—1987-12-31</v>
      </c>
      <c r="J779" s="2234" t="str">
        <v>historical_exchange_rates_1920_2026.xlsx</v>
      </c>
      <c r="K779" s="2234" t="str"/>
      <c r="L779" s="2234" t="str">
        <v>原报价已按 1 美元兑换本币表示。</v>
      </c>
      <c r="M779" s="2234" t="str">
        <v>1987|日元（JPY）</v>
      </c>
      <c r="N779" s="2234" t="str">
        <v>日元（JPY）</v>
      </c>
      <c r="O779" s="2239" t="n">
        <v>144.6023</v>
      </c>
      <c r="P779" s="2234" t="str">
        <v>LCU/USD</v>
      </c>
      <c r="Q779" s="2239" t="n">
        <v>1</v>
      </c>
      <c r="R779" s="2234" t="str">
        <v>A：机构统计／原始统计表</v>
      </c>
      <c r="S779" s="2234" t="str">
        <v>年度汇率!H73；原始记录!A621:M621</v>
      </c>
      <c r="T779" s="2234" t="str"/>
      <c r="U779" t="n" s="2231">
        <v>1993</v>
      </c>
      <c r="V779" t="str" s="2231">
        <v>美元（USD）</v>
      </c>
    </row>
    <row r="780" ht="15.0" customHeight="1">
      <c r="A780" s="2234" t="n">
        <v>1987</v>
      </c>
      <c r="B780" s="2234" t="str">
        <v>CHF</v>
      </c>
      <c r="C780" s="2234" t="str">
        <v>瑞士法郎（CHF）</v>
      </c>
      <c r="D780" s="2234" t="str">
        <v>可用</v>
      </c>
      <c r="E780" s="2238" t="n">
        <v>1.4918</v>
      </c>
      <c r="F780" s="2234" t="str">
        <v>年均</v>
      </c>
      <c r="G780" s="2234" t="str">
        <v>Federal Reserve G.5A / FRED AEXSZUS</v>
      </c>
      <c r="H780" s="2234" t="str">
        <v>https://fred.stlouisfed.org/data/AEXSZUS</v>
      </c>
      <c r="I780" s="2234" t="str">
        <v>1987-01-01—1987-12-31</v>
      </c>
      <c r="J780" s="2234" t="str">
        <v>historical_exchange_rates_1920_2026.xlsx</v>
      </c>
      <c r="K780" s="2234" t="str"/>
      <c r="L780" s="2234" t="str">
        <v>原报价已按 1 美元兑换本币表示。</v>
      </c>
      <c r="M780" s="2234" t="str">
        <v>1987|瑞士法郎（CHF）</v>
      </c>
      <c r="N780" s="2234" t="str">
        <v>瑞士法郎（CHF）</v>
      </c>
      <c r="O780" s="2239" t="n">
        <v>1.4918</v>
      </c>
      <c r="P780" s="2234" t="str">
        <v>LCU/USD</v>
      </c>
      <c r="Q780" s="2239" t="n">
        <v>1</v>
      </c>
      <c r="R780" s="2234" t="str">
        <v>A：机构统计／原始统计表</v>
      </c>
      <c r="S780" s="2234" t="str">
        <v>年度汇率!I73；原始记录!A622:M622</v>
      </c>
      <c r="T780" s="2234" t="str"/>
      <c r="U780" t="n" s="2231">
        <v>1993</v>
      </c>
      <c r="V780" t="str" s="2231">
        <v>英镑（GBP）</v>
      </c>
    </row>
    <row r="781" ht="15.0" customHeight="1">
      <c r="A781" s="2234" t="n">
        <v>1987</v>
      </c>
      <c r="B781" s="2234" t="str">
        <v>INR</v>
      </c>
      <c r="C781" s="2234" t="str">
        <v>印度卢比（INR）</v>
      </c>
      <c r="D781" s="2234" t="str">
        <v>可用</v>
      </c>
      <c r="E781" s="2238" t="n">
        <v>12.9469</v>
      </c>
      <c r="F781" s="2234" t="str">
        <v>年均</v>
      </c>
      <c r="G781" s="2234" t="str">
        <v>Federal Reserve G.5A / FRED AEXINUS</v>
      </c>
      <c r="H781" s="2234" t="str">
        <v>https://fred.stlouisfed.org/data/AEXINUS</v>
      </c>
      <c r="I781" s="2234" t="str">
        <v>1987-01-01—1987-12-31</v>
      </c>
      <c r="J781" s="2234" t="str">
        <v>historical_exchange_rates_1920_2026.xlsx</v>
      </c>
      <c r="K781" s="2234" t="str"/>
      <c r="L781" s="2234" t="str">
        <v>原报价已按 1 美元兑换本币表示。</v>
      </c>
      <c r="M781" s="2234" t="str">
        <v>1987|印度卢比（INR）</v>
      </c>
      <c r="N781" s="2234" t="str">
        <v>印度卢比（INR）</v>
      </c>
      <c r="O781" s="2239" t="n">
        <v>12.9469</v>
      </c>
      <c r="P781" s="2234" t="str">
        <v>LCU/USD</v>
      </c>
      <c r="Q781" s="2239" t="n">
        <v>1</v>
      </c>
      <c r="R781" s="2234" t="str">
        <v>A：机构统计／原始统计表</v>
      </c>
      <c r="S781" s="2234" t="str">
        <v>年度汇率!J73；原始记录!A623:M623</v>
      </c>
      <c r="T781" s="2234" t="str"/>
      <c r="U781" t="n" s="2231">
        <v>1993</v>
      </c>
      <c r="V781" t="str" s="2231">
        <v>加拿大元（CAD）</v>
      </c>
    </row>
    <row r="782" ht="36.0" customHeight="1">
      <c r="A782" s="2234" t="n">
        <v>1987</v>
      </c>
      <c r="B782" s="2234" t="str">
        <v>SUR_1961</v>
      </c>
      <c r="C782" s="2234" t="str">
        <v>苏联卢布（1961币制）</v>
      </c>
      <c r="D782" s="2234" t="str">
        <v>可用</v>
      </c>
      <c r="E782" s="2238" t="n">
        <v>0.67</v>
      </c>
      <c r="F782" s="2234" t="str">
        <v>定点官价参考（非年均）</v>
      </c>
      <c r="G782" s="2234" t="str">
        <v>苏联卢布历史官价表（Wikipedia转引俄央行历史档案）</v>
      </c>
      <c r="H782" s="2234" t="str">
        <v>https://en.wikipedia.org/wiki/Soviet_ruble#Exchange_rates</v>
      </c>
      <c r="I782" s="2234" t="str">
        <v>1987-01-01</v>
      </c>
      <c r="J782" s="2234" t="str">
        <v>historical_exchange_rates_1920_2026.xlsx</v>
      </c>
      <c r="K782"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782" s="2234" t="str">
        <v>原报价已按 1 美元兑换本币表示。</v>
      </c>
      <c r="M782" s="2234" t="str">
        <v>1987|苏联卢布（1961币制）</v>
      </c>
      <c r="N782" s="2234" t="str">
        <v>苏联卢布（1961币制）</v>
      </c>
      <c r="O782" s="2239" t="n">
        <v>0.67</v>
      </c>
      <c r="P782" s="2234" t="str">
        <v>LCU/USD</v>
      </c>
      <c r="Q782" s="2239" t="n">
        <v>1</v>
      </c>
      <c r="R782" s="2234" t="str">
        <v>C：二手转引（原档未复核）</v>
      </c>
      <c r="S782" s="2234" t="str">
        <v>年度汇率!K73；原始记录!A624:M624</v>
      </c>
      <c r="T782" s="2234" t="str">
        <v>官价参考，并非市场年均汇率</v>
      </c>
      <c r="U782" t="n" s="2231">
        <v>1993</v>
      </c>
      <c r="V782" t="str" s="2231">
        <v>法国法郎（FRF；1960币制）</v>
      </c>
    </row>
    <row r="783" ht="15.0" customHeight="1">
      <c r="A783" s="2234" t="n">
        <v>1987</v>
      </c>
      <c r="B783" s="2234" t="str">
        <v>CNY</v>
      </c>
      <c r="C783" s="2234" t="str">
        <v>人民币元（1955币制；CNY）</v>
      </c>
      <c r="D783" s="2234" t="str">
        <v>可用</v>
      </c>
      <c r="E783" s="2238" t="n">
        <v>3.7314</v>
      </c>
      <c r="F783" s="2234" t="str">
        <v>年均</v>
      </c>
      <c r="G783" s="2234" t="str">
        <v>Federal Reserve G.5A / FRED AEXCHUS</v>
      </c>
      <c r="H783" s="2234" t="str">
        <v>https://fred.stlouisfed.org/data/AEXCHUS</v>
      </c>
      <c r="I783" s="2234" t="str">
        <v>1987-01-01—1987-12-31</v>
      </c>
      <c r="J783" s="2234" t="str">
        <v>historical_exchange_rates_1920_2026.xlsx</v>
      </c>
      <c r="K783" s="2234" t="str"/>
      <c r="L783" s="2234" t="str">
        <v>原报价已按 1 美元兑换本币表示。</v>
      </c>
      <c r="M783" s="2234" t="str">
        <v>1987|人民币元（1955币制；CNY）</v>
      </c>
      <c r="N783" s="2234" t="str">
        <v>人民币元（1955币制；CNY）</v>
      </c>
      <c r="O783" s="2239" t="n">
        <v>3.7314</v>
      </c>
      <c r="P783" s="2234" t="str">
        <v>LCU/USD</v>
      </c>
      <c r="Q783" s="2239" t="n">
        <v>1</v>
      </c>
      <c r="R783" s="2234" t="str">
        <v>A：机构统计／原始统计表</v>
      </c>
      <c r="S783" s="2234" t="str">
        <v>年度汇率!L73；原始记录!A625:M625</v>
      </c>
      <c r="T783" s="2234" t="str"/>
      <c r="U783" t="n" s="2231">
        <v>1993</v>
      </c>
      <c r="V783" t="str" s="2231">
        <v>德国马克（DEM）</v>
      </c>
    </row>
    <row r="784" ht="15.0" customHeight="1">
      <c r="A784" s="2234" t="n">
        <v>1988</v>
      </c>
      <c r="B784" s="2234" t="str">
        <v>USD</v>
      </c>
      <c r="C784" s="2234" t="str">
        <v>美元（USD）</v>
      </c>
      <c r="D784" s="2234" t="str">
        <v>可用</v>
      </c>
      <c r="E784" s="2238" t="n">
        <v>1</v>
      </c>
      <c r="F784" s="2234" t="str">
        <v>基准恒等</v>
      </c>
      <c r="G784" s="2234" t="str">
        <v>用户提供的历史汇率表</v>
      </c>
      <c r="H784" s="2234" t="str"/>
      <c r="I784" s="2234" t="str">
        <v>1988</v>
      </c>
      <c r="J784" s="2234" t="str">
        <v>historical_exchange_rates_1920_2026.xlsx</v>
      </c>
      <c r="K784" s="2234" t="str">
        <v>1 美元等于 1 美元，无外部报价。</v>
      </c>
      <c r="L784" s="2234" t="str">
        <v>美元基准，汇率恒为 1。</v>
      </c>
      <c r="M784" s="2234" t="str">
        <v>1988|美元（USD）</v>
      </c>
      <c r="N784" s="2234" t="str">
        <v>美元（USD）</v>
      </c>
      <c r="O784" s="2239"/>
      <c r="P784" s="2234" t="str"/>
      <c r="Q784" s="2239"/>
      <c r="R784" s="2234" t="str"/>
      <c r="S784" s="2234" t="str">
        <v>年度汇率!B74</v>
      </c>
      <c r="T784" s="2234" t="str"/>
      <c r="U784" t="n" s="2231">
        <v>1993</v>
      </c>
      <c r="V784" t="str" s="2231">
        <v>意大利里拉（ITL）</v>
      </c>
    </row>
    <row r="785" ht="24.0" customHeight="1">
      <c r="A785" s="2234" t="n">
        <v>1988</v>
      </c>
      <c r="B785" s="2234" t="str">
        <v>GBP</v>
      </c>
      <c r="C785" s="2234" t="str">
        <v>英镑（GBP）</v>
      </c>
      <c r="D785" s="2234" t="str">
        <v>可用</v>
      </c>
      <c r="E785" s="2238" t="n">
        <v>0.5613877505192837</v>
      </c>
      <c r="F785" s="2234" t="str">
        <v>年均</v>
      </c>
      <c r="G785" s="2234" t="str">
        <v>Federal Reserve G.5A / FRED AEXUSUK</v>
      </c>
      <c r="H785" s="2234" t="str">
        <v>https://fred.stlouisfed.org/data/AEXUSUK</v>
      </c>
      <c r="I785" s="2234" t="str">
        <v>1988-01-01—1988-12-31</v>
      </c>
      <c r="J785" s="2234" t="str">
        <v>historical_exchange_rates_1920_2026.xlsx</v>
      </c>
      <c r="K785" s="2234" t="str">
        <v>反向值由原报价均值取倒数；不等于反向日度汇率的算术平均。
年均USD/GBP；主表取倒数，不等于逐日GBP/USD平均。</v>
      </c>
      <c r="L785" s="2234" t="str">
        <v>原报价为每单位本币兑美元，取原报价均值的倒数；不等于反向日度汇率的算术平均。</v>
      </c>
      <c r="M785" s="2234" t="str">
        <v>1988|英镑（GBP）</v>
      </c>
      <c r="N785" s="2234" t="str">
        <v>英镑（GBP）</v>
      </c>
      <c r="O785" s="2239" t="n">
        <v>1.7813</v>
      </c>
      <c r="P785" s="2234" t="str">
        <v>USD/LCU</v>
      </c>
      <c r="Q785" s="2239" t="n">
        <v>1</v>
      </c>
      <c r="R785" s="2234" t="str">
        <v>A：机构统计／原始统计表</v>
      </c>
      <c r="S785" s="2234" t="str">
        <v>年度汇率!C74；原始记录!A626:M626</v>
      </c>
      <c r="T785" s="2234" t="str"/>
      <c r="U785" t="n" s="2231">
        <v>1993</v>
      </c>
      <c r="V785" t="str" s="2231">
        <v>日元（JPY）</v>
      </c>
    </row>
    <row r="786" ht="15.0" customHeight="1">
      <c r="A786" s="2234" t="n">
        <v>1988</v>
      </c>
      <c r="B786" s="2234" t="str">
        <v>CAD</v>
      </c>
      <c r="C786" s="2234" t="str">
        <v>加拿大元（CAD）</v>
      </c>
      <c r="D786" s="2234" t="str">
        <v>可用</v>
      </c>
      <c r="E786" s="2238" t="n">
        <v>1.2306</v>
      </c>
      <c r="F786" s="2234" t="str">
        <v>年均</v>
      </c>
      <c r="G786" s="2234" t="str">
        <v>Federal Reserve G.5A / FRED AEXCAUS</v>
      </c>
      <c r="H786" s="2234" t="str">
        <v>https://fred.stlouisfed.org/data/AEXCAUS</v>
      </c>
      <c r="I786" s="2234" t="str">
        <v>1988-01-01—1988-12-31</v>
      </c>
      <c r="J786" s="2234" t="str">
        <v>historical_exchange_rates_1920_2026.xlsx</v>
      </c>
      <c r="K786" s="2234" t="str"/>
      <c r="L786" s="2234" t="str">
        <v>原报价已按 1 美元兑换本币表示。</v>
      </c>
      <c r="M786" s="2234" t="str">
        <v>1988|加拿大元（CAD）</v>
      </c>
      <c r="N786" s="2234" t="str">
        <v>加拿大元（CAD）</v>
      </c>
      <c r="O786" s="2239" t="n">
        <v>1.2306</v>
      </c>
      <c r="P786" s="2234" t="str">
        <v>LCU/USD</v>
      </c>
      <c r="Q786" s="2239" t="n">
        <v>1</v>
      </c>
      <c r="R786" s="2234" t="str">
        <v>A：机构统计／原始统计表</v>
      </c>
      <c r="S786" s="2234" t="str">
        <v>年度汇率!D74；原始记录!A627:M627</v>
      </c>
      <c r="T786" s="2234" t="str"/>
      <c r="U786" t="n" s="2231">
        <v>1993</v>
      </c>
      <c r="V786" t="str" s="2231">
        <v>瑞士法郎（CHF）</v>
      </c>
    </row>
    <row r="787" ht="36.0" customHeight="1">
      <c r="A787" s="2234" t="n">
        <v>1988</v>
      </c>
      <c r="B787" s="2234" t="str">
        <v>FRF</v>
      </c>
      <c r="C787" s="2234" t="str">
        <v>法国法郎（FRF；1960币制）</v>
      </c>
      <c r="D787" s="2234" t="str">
        <v>可用</v>
      </c>
      <c r="E787" s="2238" t="n">
        <v>5.957024999943033</v>
      </c>
      <c r="F787" s="2234" t="str">
        <v>年均</v>
      </c>
      <c r="G787" s="2234" t="str">
        <v>OECD via FRED：FR年均汇率（欧元单位回溯序列）</v>
      </c>
      <c r="H787" s="2234" t="str">
        <v>https://fred.stlouisfed.org/data/CCUSMA02FRA618N</v>
      </c>
      <c r="I787" s="2234" t="str">
        <v>1988-01-01—1988-12-31</v>
      </c>
      <c r="J787" s="2234" t="str">
        <v>historical_exchange_rates_1920_2026.xlsx</v>
      </c>
      <c r="K787" s="2234" t="str">
        <v>由欧元回溯单位还原当年本币；非当年实际欧元报价。 欧元回溯单位按不可撤销转换率还原；法国1960年前另乘100。
原序列单位为回溯欧元；乘不可撤销转换率还原当年本币。法国1957–1959另乘100还原旧法郎。</v>
      </c>
      <c r="L787" s="2234" t="str">
        <v>原报价已按 1 美元兑换本币表示。乘以 6.55957，还原当年币制的计价单位。</v>
      </c>
      <c r="M787" s="2234" t="str">
        <v>1988|法国法郎（FRF；1960币制）</v>
      </c>
      <c r="N787" s="2234" t="str">
        <v>法国法郎（FRF；1960币制）</v>
      </c>
      <c r="O787" s="2239" t="n">
        <v>0.9081426069</v>
      </c>
      <c r="P787" s="2234" t="str">
        <v>LCU/USD</v>
      </c>
      <c r="Q787" s="2239" t="n">
        <v>6.55957</v>
      </c>
      <c r="R787" s="2234" t="str">
        <v>A：机构统计／原始统计表</v>
      </c>
      <c r="S787" s="2234" t="str">
        <v>年度汇率!E74；原始记录!A628:M628</v>
      </c>
      <c r="T787" s="2234" t="str"/>
      <c r="U787" t="n" s="2231">
        <v>1993</v>
      </c>
      <c r="V787" t="str" s="2231">
        <v>印度卢比（INR）</v>
      </c>
    </row>
    <row r="788" ht="36.0" customHeight="1">
      <c r="A788" s="2234" t="n">
        <v>1988</v>
      </c>
      <c r="B788" s="2234" t="str">
        <v>DEM</v>
      </c>
      <c r="C788" s="2234" t="str">
        <v>西德德国马克（DEM）</v>
      </c>
      <c r="D788" s="2234" t="str">
        <v>可用</v>
      </c>
      <c r="E788" s="2238" t="n">
        <v>1.756150000072876</v>
      </c>
      <c r="F788" s="2234" t="str">
        <v>年均</v>
      </c>
      <c r="G788" s="2234" t="str">
        <v>OECD via FRED：DE年均汇率（欧元单位回溯序列）</v>
      </c>
      <c r="H788" s="2234" t="str">
        <v>https://fred.stlouisfed.org/data/CCUSMA02DEA618N</v>
      </c>
      <c r="I788" s="2234" t="str">
        <v>1988-01-01—1988-12-31</v>
      </c>
      <c r="J788" s="2234" t="str">
        <v>historical_exchange_rates_1920_2026.xlsx</v>
      </c>
      <c r="K788" s="2234" t="str">
        <v>由欧元回溯单位还原当年本币；非当年实际欧元报价。 欧元回溯单位按不可撤销转换率还原；法国1960年前另乘100。
原序列单位为回溯欧元；乘不可撤销转换率还原当年本币。法国1957–1959另乘100还原旧法郎。</v>
      </c>
      <c r="L788" s="2234" t="str">
        <v>原报价已按 1 美元兑换本币表示。乘以 1.95583，还原当年币制的计价单位。</v>
      </c>
      <c r="M788" s="2234" t="str">
        <v>1988|西德德国马克（DEM）</v>
      </c>
      <c r="N788" s="2234" t="str">
        <v>西德德国马克（DEM）</v>
      </c>
      <c r="O788" s="2239" t="n">
        <v>0.8979052372</v>
      </c>
      <c r="P788" s="2234" t="str">
        <v>LCU/USD</v>
      </c>
      <c r="Q788" s="2239" t="n">
        <v>1.95583</v>
      </c>
      <c r="R788" s="2234" t="str">
        <v>A：机构统计／原始统计表</v>
      </c>
      <c r="S788" s="2234" t="str">
        <v>年度汇率!F74、年度汇率!M74；原始记录!A629:M629</v>
      </c>
      <c r="T788" s="2234" t="str"/>
      <c r="U788" t="n" s="2231">
        <v>1993</v>
      </c>
      <c r="V788" t="str" s="2231">
        <v>俄罗斯旧卢布（RUR）</v>
      </c>
    </row>
    <row r="789" ht="36.0" customHeight="1">
      <c r="A789" s="2234" t="n">
        <v>1988</v>
      </c>
      <c r="B789" s="2234" t="str">
        <v>ITL</v>
      </c>
      <c r="C789" s="2234" t="str">
        <v>意大利里拉（ITL）</v>
      </c>
      <c r="D789" s="2234" t="str">
        <v>可用</v>
      </c>
      <c r="E789" s="2238" t="n">
        <v>1301.7060666344491</v>
      </c>
      <c r="F789" s="2234" t="str">
        <v>年均</v>
      </c>
      <c r="G789" s="2234" t="str">
        <v>OECD via FRED：IT年均汇率（欧元单位回溯序列）</v>
      </c>
      <c r="H789" s="2234" t="str">
        <v>https://fred.stlouisfed.org/data/CCUSMA02ITA618N</v>
      </c>
      <c r="I789" s="2234" t="str">
        <v>1988-01-01—1988-12-31</v>
      </c>
      <c r="J789" s="2234" t="str">
        <v>historical_exchange_rates_1920_2026.xlsx</v>
      </c>
      <c r="K789" s="2234" t="str">
        <v>由欧元回溯单位还原当年本币；非当年实际欧元报价。 欧元回溯单位按不可撤销转换率还原；法国1960年前另乘100。
原序列单位为回溯欧元；乘不可撤销转换率还原当年本币。法国1957–1959另乘100还原旧法郎。</v>
      </c>
      <c r="L789" s="2234" t="str">
        <v>原报价已按 1 美元兑换本币表示。乘以 1936.27，还原当年币制的计价单位。</v>
      </c>
      <c r="M789" s="2234" t="str">
        <v>1988|意大利里拉（ITL）</v>
      </c>
      <c r="N789" s="2234" t="str">
        <v>意大利里拉（ITL）</v>
      </c>
      <c r="O789" s="2239" t="n">
        <v>0.6722750787</v>
      </c>
      <c r="P789" s="2234" t="str">
        <v>LCU/USD</v>
      </c>
      <c r="Q789" s="2239" t="n">
        <v>1936.27</v>
      </c>
      <c r="R789" s="2234" t="str">
        <v>A：机构统计／原始统计表</v>
      </c>
      <c r="S789" s="2234" t="str">
        <v>年度汇率!G74；原始记录!A630:M630</v>
      </c>
      <c r="T789" s="2234" t="str"/>
      <c r="U789" t="n" s="2231">
        <v>1993</v>
      </c>
      <c r="V789" t="str" s="2231">
        <v>人民币元（1955币制；CNY）</v>
      </c>
    </row>
    <row r="790" ht="15.0" customHeight="1">
      <c r="A790" s="2234" t="n">
        <v>1988</v>
      </c>
      <c r="B790" s="2234" t="str">
        <v>JPY</v>
      </c>
      <c r="C790" s="2234" t="str">
        <v>日元（JPY）</v>
      </c>
      <c r="D790" s="2234" t="str">
        <v>可用</v>
      </c>
      <c r="E790" s="2238" t="n">
        <v>128.1742</v>
      </c>
      <c r="F790" s="2234" t="str">
        <v>年均</v>
      </c>
      <c r="G790" s="2234" t="str">
        <v>Federal Reserve G.5A / FRED AEXJPUS</v>
      </c>
      <c r="H790" s="2234" t="str">
        <v>https://fred.stlouisfed.org/data/AEXJPUS</v>
      </c>
      <c r="I790" s="2234" t="str">
        <v>1988-01-01—1988-12-31</v>
      </c>
      <c r="J790" s="2234" t="str">
        <v>historical_exchange_rates_1920_2026.xlsx</v>
      </c>
      <c r="K790" s="2234" t="str"/>
      <c r="L790" s="2234" t="str">
        <v>原报价已按 1 美元兑换本币表示。</v>
      </c>
      <c r="M790" s="2234" t="str">
        <v>1988|日元（JPY）</v>
      </c>
      <c r="N790" s="2234" t="str">
        <v>日元（JPY）</v>
      </c>
      <c r="O790" s="2239" t="n">
        <v>128.1742</v>
      </c>
      <c r="P790" s="2234" t="str">
        <v>LCU/USD</v>
      </c>
      <c r="Q790" s="2239" t="n">
        <v>1</v>
      </c>
      <c r="R790" s="2234" t="str">
        <v>A：机构统计／原始统计表</v>
      </c>
      <c r="S790" s="2234" t="str">
        <v>年度汇率!H74；原始记录!A631:M631</v>
      </c>
      <c r="T790" s="2234" t="str"/>
      <c r="U790" t="n" s="2231">
        <v>1994</v>
      </c>
      <c r="V790" t="str" s="2231">
        <v>美元（USD）</v>
      </c>
    </row>
    <row r="791" ht="15.0" customHeight="1">
      <c r="A791" s="2234" t="n">
        <v>1988</v>
      </c>
      <c r="B791" s="2234" t="str">
        <v>CHF</v>
      </c>
      <c r="C791" s="2234" t="str">
        <v>瑞士法郎（CHF）</v>
      </c>
      <c r="D791" s="2234" t="str">
        <v>可用</v>
      </c>
      <c r="E791" s="2238" t="n">
        <v>1.4643</v>
      </c>
      <c r="F791" s="2234" t="str">
        <v>年均</v>
      </c>
      <c r="G791" s="2234" t="str">
        <v>Federal Reserve G.5A / FRED AEXSZUS</v>
      </c>
      <c r="H791" s="2234" t="str">
        <v>https://fred.stlouisfed.org/data/AEXSZUS</v>
      </c>
      <c r="I791" s="2234" t="str">
        <v>1988-01-01—1988-12-31</v>
      </c>
      <c r="J791" s="2234" t="str">
        <v>historical_exchange_rates_1920_2026.xlsx</v>
      </c>
      <c r="K791" s="2234" t="str"/>
      <c r="L791" s="2234" t="str">
        <v>原报价已按 1 美元兑换本币表示。</v>
      </c>
      <c r="M791" s="2234" t="str">
        <v>1988|瑞士法郎（CHF）</v>
      </c>
      <c r="N791" s="2234" t="str">
        <v>瑞士法郎（CHF）</v>
      </c>
      <c r="O791" s="2239" t="n">
        <v>1.4643</v>
      </c>
      <c r="P791" s="2234" t="str">
        <v>LCU/USD</v>
      </c>
      <c r="Q791" s="2239" t="n">
        <v>1</v>
      </c>
      <c r="R791" s="2234" t="str">
        <v>A：机构统计／原始统计表</v>
      </c>
      <c r="S791" s="2234" t="str">
        <v>年度汇率!I74；原始记录!A632:M632</v>
      </c>
      <c r="T791" s="2234" t="str"/>
      <c r="U791" t="n" s="2231">
        <v>1994</v>
      </c>
      <c r="V791" t="str" s="2231">
        <v>英镑（GBP）</v>
      </c>
    </row>
    <row r="792" ht="15.0" customHeight="1">
      <c r="A792" s="2234" t="n">
        <v>1988</v>
      </c>
      <c r="B792" s="2234" t="str">
        <v>INR</v>
      </c>
      <c r="C792" s="2234" t="str">
        <v>印度卢比（INR）</v>
      </c>
      <c r="D792" s="2234" t="str">
        <v>可用</v>
      </c>
      <c r="E792" s="2238" t="n">
        <v>13.8995</v>
      </c>
      <c r="F792" s="2234" t="str">
        <v>年均</v>
      </c>
      <c r="G792" s="2234" t="str">
        <v>Federal Reserve G.5A / FRED AEXINUS</v>
      </c>
      <c r="H792" s="2234" t="str">
        <v>https://fred.stlouisfed.org/data/AEXINUS</v>
      </c>
      <c r="I792" s="2234" t="str">
        <v>1988-01-01—1988-12-31</v>
      </c>
      <c r="J792" s="2234" t="str">
        <v>historical_exchange_rates_1920_2026.xlsx</v>
      </c>
      <c r="K792" s="2234" t="str"/>
      <c r="L792" s="2234" t="str">
        <v>原报价已按 1 美元兑换本币表示。</v>
      </c>
      <c r="M792" s="2234" t="str">
        <v>1988|印度卢比（INR）</v>
      </c>
      <c r="N792" s="2234" t="str">
        <v>印度卢比（INR）</v>
      </c>
      <c r="O792" s="2239" t="n">
        <v>13.8995</v>
      </c>
      <c r="P792" s="2234" t="str">
        <v>LCU/USD</v>
      </c>
      <c r="Q792" s="2239" t="n">
        <v>1</v>
      </c>
      <c r="R792" s="2234" t="str">
        <v>A：机构统计／原始统计表</v>
      </c>
      <c r="S792" s="2234" t="str">
        <v>年度汇率!J74；原始记录!A633:M633</v>
      </c>
      <c r="T792" s="2234" t="str"/>
      <c r="U792" t="n" s="2231">
        <v>1994</v>
      </c>
      <c r="V792" t="str" s="2231">
        <v>加拿大元（CAD）</v>
      </c>
    </row>
    <row r="793" ht="36.0" customHeight="1">
      <c r="A793" s="2234" t="n">
        <v>1988</v>
      </c>
      <c r="B793" s="2234" t="str">
        <v>SUR_1961</v>
      </c>
      <c r="C793" s="2234" t="str">
        <v>苏联卢布（1961币制）</v>
      </c>
      <c r="D793" s="2234" t="str">
        <v>可用</v>
      </c>
      <c r="E793" s="2238" t="n">
        <v>0.5804</v>
      </c>
      <c r="F793" s="2234" t="str">
        <v>定点官价参考（非年均）</v>
      </c>
      <c r="G793" s="2234" t="str">
        <v>苏联卢布历史官价表（Wikipedia转引俄央行历史档案）</v>
      </c>
      <c r="H793" s="2234" t="str">
        <v>https://en.wikipedia.org/wiki/Soviet_ruble#Exchange_rates</v>
      </c>
      <c r="I793" s="2234" t="str">
        <v>1988-01-06</v>
      </c>
      <c r="J793" s="2234" t="str">
        <v>historical_exchange_rates_1920_2026.xlsx</v>
      </c>
      <c r="K793"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793" s="2234" t="str">
        <v>原报价已按 1 美元兑换本币表示。</v>
      </c>
      <c r="M793" s="2234" t="str">
        <v>1988|苏联卢布（1961币制）</v>
      </c>
      <c r="N793" s="2234" t="str">
        <v>苏联卢布（1961币制）</v>
      </c>
      <c r="O793" s="2239" t="n">
        <v>0.5804</v>
      </c>
      <c r="P793" s="2234" t="str">
        <v>LCU/USD</v>
      </c>
      <c r="Q793" s="2239" t="n">
        <v>1</v>
      </c>
      <c r="R793" s="2234" t="str">
        <v>C：二手转引（原档未复核）</v>
      </c>
      <c r="S793" s="2234" t="str">
        <v>年度汇率!K74；原始记录!A634:M634</v>
      </c>
      <c r="T793" s="2234" t="str">
        <v>官价参考，并非市场年均汇率</v>
      </c>
      <c r="U793" t="n" s="2231">
        <v>1994</v>
      </c>
      <c r="V793" t="str" s="2231">
        <v>法国法郎（FRF；1960币制）</v>
      </c>
    </row>
    <row r="794" ht="15.0" customHeight="1">
      <c r="A794" s="2234" t="n">
        <v>1988</v>
      </c>
      <c r="B794" s="2234" t="str">
        <v>CNY</v>
      </c>
      <c r="C794" s="2234" t="str">
        <v>人民币元（1955币制；CNY）</v>
      </c>
      <c r="D794" s="2234" t="str">
        <v>可用</v>
      </c>
      <c r="E794" s="2238" t="n">
        <v>3.7314</v>
      </c>
      <c r="F794" s="2234" t="str">
        <v>年均</v>
      </c>
      <c r="G794" s="2234" t="str">
        <v>Federal Reserve G.5A / FRED AEXCHUS</v>
      </c>
      <c r="H794" s="2234" t="str">
        <v>https://fred.stlouisfed.org/data/AEXCHUS</v>
      </c>
      <c r="I794" s="2234" t="str">
        <v>1988-01-01—1988-12-31</v>
      </c>
      <c r="J794" s="2234" t="str">
        <v>historical_exchange_rates_1920_2026.xlsx</v>
      </c>
      <c r="K794" s="2234" t="str"/>
      <c r="L794" s="2234" t="str">
        <v>原报价已按 1 美元兑换本币表示。</v>
      </c>
      <c r="M794" s="2234" t="str">
        <v>1988|人民币元（1955币制；CNY）</v>
      </c>
      <c r="N794" s="2234" t="str">
        <v>人民币元（1955币制；CNY）</v>
      </c>
      <c r="O794" s="2239" t="n">
        <v>3.7314</v>
      </c>
      <c r="P794" s="2234" t="str">
        <v>LCU/USD</v>
      </c>
      <c r="Q794" s="2239" t="n">
        <v>1</v>
      </c>
      <c r="R794" s="2234" t="str">
        <v>A：机构统计／原始统计表</v>
      </c>
      <c r="S794" s="2234" t="str">
        <v>年度汇率!L74；原始记录!A635:M635</v>
      </c>
      <c r="T794" s="2234" t="str"/>
      <c r="U794" t="n" s="2231">
        <v>1994</v>
      </c>
      <c r="V794" t="str" s="2231">
        <v>德国马克（DEM）</v>
      </c>
    </row>
    <row r="795" ht="15.0" customHeight="1">
      <c r="A795" s="2234" t="n">
        <v>1989</v>
      </c>
      <c r="B795" s="2234" t="str">
        <v>USD</v>
      </c>
      <c r="C795" s="2234" t="str">
        <v>美元（USD）</v>
      </c>
      <c r="D795" s="2234" t="str">
        <v>可用</v>
      </c>
      <c r="E795" s="2238" t="n">
        <v>1</v>
      </c>
      <c r="F795" s="2234" t="str">
        <v>基准恒等</v>
      </c>
      <c r="G795" s="2234" t="str">
        <v>用户提供的历史汇率表</v>
      </c>
      <c r="H795" s="2234" t="str"/>
      <c r="I795" s="2234" t="str">
        <v>1989</v>
      </c>
      <c r="J795" s="2234" t="str">
        <v>historical_exchange_rates_1920_2026.xlsx</v>
      </c>
      <c r="K795" s="2234" t="str">
        <v>1 美元等于 1 美元，无外部报价。</v>
      </c>
      <c r="L795" s="2234" t="str">
        <v>美元基准，汇率恒为 1。</v>
      </c>
      <c r="M795" s="2234" t="str">
        <v>1989|美元（USD）</v>
      </c>
      <c r="N795" s="2234" t="str">
        <v>美元（USD）</v>
      </c>
      <c r="O795" s="2239"/>
      <c r="P795" s="2234" t="str"/>
      <c r="Q795" s="2239"/>
      <c r="R795" s="2234" t="str"/>
      <c r="S795" s="2234" t="str">
        <v>年度汇率!B75</v>
      </c>
      <c r="T795" s="2234" t="str"/>
      <c r="U795" t="n" s="2231">
        <v>1994</v>
      </c>
      <c r="V795" t="str" s="2231">
        <v>意大利里拉（ITL）</v>
      </c>
    </row>
    <row r="796" ht="24.0" customHeight="1">
      <c r="A796" s="2234" t="n">
        <v>1989</v>
      </c>
      <c r="B796" s="2234" t="str">
        <v>GBP</v>
      </c>
      <c r="C796" s="2234" t="str">
        <v>英镑（GBP）</v>
      </c>
      <c r="D796" s="2234" t="str">
        <v>可用</v>
      </c>
      <c r="E796" s="2238" t="n">
        <v>0.6104260774020266</v>
      </c>
      <c r="F796" s="2234" t="str">
        <v>年均</v>
      </c>
      <c r="G796" s="2234" t="str">
        <v>Federal Reserve G.5A / FRED AEXUSUK</v>
      </c>
      <c r="H796" s="2234" t="str">
        <v>https://fred.stlouisfed.org/data/AEXUSUK</v>
      </c>
      <c r="I796" s="2234" t="str">
        <v>1989-01-01—1989-12-31</v>
      </c>
      <c r="J796" s="2234" t="str">
        <v>historical_exchange_rates_1920_2026.xlsx</v>
      </c>
      <c r="K796" s="2234" t="str">
        <v>反向值由原报价均值取倒数；不等于反向日度汇率的算术平均。
年均USD/GBP；主表取倒数，不等于逐日GBP/USD平均。</v>
      </c>
      <c r="L796" s="2234" t="str">
        <v>原报价为每单位本币兑美元，取原报价均值的倒数；不等于反向日度汇率的算术平均。</v>
      </c>
      <c r="M796" s="2234" t="str">
        <v>1989|英镑（GBP）</v>
      </c>
      <c r="N796" s="2234" t="str">
        <v>英镑（GBP）</v>
      </c>
      <c r="O796" s="2239" t="n">
        <v>1.6382</v>
      </c>
      <c r="P796" s="2234" t="str">
        <v>USD/LCU</v>
      </c>
      <c r="Q796" s="2239" t="n">
        <v>1</v>
      </c>
      <c r="R796" s="2234" t="str">
        <v>A：机构统计／原始统计表</v>
      </c>
      <c r="S796" s="2234" t="str">
        <v>年度汇率!C75；原始记录!A636:M636</v>
      </c>
      <c r="T796" s="2234" t="str"/>
      <c r="U796" t="n" s="2231">
        <v>1994</v>
      </c>
      <c r="V796" t="str" s="2231">
        <v>日元（JPY）</v>
      </c>
    </row>
    <row r="797" ht="15.0" customHeight="1">
      <c r="A797" s="2234" t="n">
        <v>1989</v>
      </c>
      <c r="B797" s="2234" t="str">
        <v>CAD</v>
      </c>
      <c r="C797" s="2234" t="str">
        <v>加拿大元（CAD）</v>
      </c>
      <c r="D797" s="2234" t="str">
        <v>可用</v>
      </c>
      <c r="E797" s="2238" t="n">
        <v>1.1842</v>
      </c>
      <c r="F797" s="2234" t="str">
        <v>年均</v>
      </c>
      <c r="G797" s="2234" t="str">
        <v>Federal Reserve G.5A / FRED AEXCAUS</v>
      </c>
      <c r="H797" s="2234" t="str">
        <v>https://fred.stlouisfed.org/data/AEXCAUS</v>
      </c>
      <c r="I797" s="2234" t="str">
        <v>1989-01-01—1989-12-31</v>
      </c>
      <c r="J797" s="2234" t="str">
        <v>historical_exchange_rates_1920_2026.xlsx</v>
      </c>
      <c r="K797" s="2234" t="str"/>
      <c r="L797" s="2234" t="str">
        <v>原报价已按 1 美元兑换本币表示。</v>
      </c>
      <c r="M797" s="2234" t="str">
        <v>1989|加拿大元（CAD）</v>
      </c>
      <c r="N797" s="2234" t="str">
        <v>加拿大元（CAD）</v>
      </c>
      <c r="O797" s="2239" t="n">
        <v>1.1842</v>
      </c>
      <c r="P797" s="2234" t="str">
        <v>LCU/USD</v>
      </c>
      <c r="Q797" s="2239" t="n">
        <v>1</v>
      </c>
      <c r="R797" s="2234" t="str">
        <v>A：机构统计／原始统计表</v>
      </c>
      <c r="S797" s="2234" t="str">
        <v>年度汇率!D75；原始记录!A637:M637</v>
      </c>
      <c r="T797" s="2234" t="str"/>
      <c r="U797" t="n" s="2231">
        <v>1994</v>
      </c>
      <c r="V797" t="str" s="2231">
        <v>瑞士法郎（CHF）</v>
      </c>
    </row>
    <row r="798" ht="36.0" customHeight="1">
      <c r="A798" s="2234" t="n">
        <v>1989</v>
      </c>
      <c r="B798" s="2234" t="str">
        <v>FRF</v>
      </c>
      <c r="C798" s="2234" t="str">
        <v>法国法郎（FRF；1960币制）</v>
      </c>
      <c r="D798" s="2234" t="str">
        <v>可用</v>
      </c>
      <c r="E798" s="2238" t="n">
        <v>6.380158333098889</v>
      </c>
      <c r="F798" s="2234" t="str">
        <v>年均</v>
      </c>
      <c r="G798" s="2234" t="str">
        <v>OECD via FRED：FR年均汇率（欧元单位回溯序列）</v>
      </c>
      <c r="H798" s="2234" t="str">
        <v>https://fred.stlouisfed.org/data/CCUSMA02FRA618N</v>
      </c>
      <c r="I798" s="2234" t="str">
        <v>1989-01-01—1989-12-31</v>
      </c>
      <c r="J798" s="2234" t="str">
        <v>historical_exchange_rates_1920_2026.xlsx</v>
      </c>
      <c r="K798" s="2234" t="str">
        <v>由欧元回溯单位还原当年本币；非当年实际欧元报价。 欧元回溯单位按不可撤销转换率还原；法国1960年前另乘100。
原序列单位为回溯欧元；乘不可撤销转换率还原当年本币。法国1957–1959另乘100还原旧法郎。</v>
      </c>
      <c r="L798" s="2234" t="str">
        <v>原报价已按 1 美元兑换本币表示。乘以 6.55957，还原当年币制的计价单位。</v>
      </c>
      <c r="M798" s="2234" t="str">
        <v>1989|法国法郎（FRF；1960币制）</v>
      </c>
      <c r="N798" s="2234" t="str">
        <v>法国法郎（FRF；1960币制）</v>
      </c>
      <c r="O798" s="2239" t="n">
        <v>0.9726488677</v>
      </c>
      <c r="P798" s="2234" t="str">
        <v>LCU/USD</v>
      </c>
      <c r="Q798" s="2239" t="n">
        <v>6.55957</v>
      </c>
      <c r="R798" s="2234" t="str">
        <v>A：机构统计／原始统计表</v>
      </c>
      <c r="S798" s="2234" t="str">
        <v>年度汇率!E75；原始记录!A638:M638</v>
      </c>
      <c r="T798" s="2234" t="str"/>
      <c r="U798" t="n" s="2231">
        <v>1994</v>
      </c>
      <c r="V798" t="str" s="2231">
        <v>印度卢比（INR）</v>
      </c>
    </row>
    <row r="799" ht="36.0" customHeight="1">
      <c r="A799" s="2234" t="n">
        <v>1989</v>
      </c>
      <c r="B799" s="2234" t="str">
        <v>DEM</v>
      </c>
      <c r="C799" s="2234" t="str">
        <v>西德德国马克（DEM）</v>
      </c>
      <c r="D799" s="2234" t="str">
        <v>可用</v>
      </c>
      <c r="E799" s="2238" t="n">
        <v>1.879983333299033</v>
      </c>
      <c r="F799" s="2234" t="str">
        <v>年均</v>
      </c>
      <c r="G799" s="2234" t="str">
        <v>OECD via FRED：DE年均汇率（欧元单位回溯序列）</v>
      </c>
      <c r="H799" s="2234" t="str">
        <v>https://fred.stlouisfed.org/data/CCUSMA02DEA618N</v>
      </c>
      <c r="I799" s="2234" t="str">
        <v>1989-01-01—1989-12-31</v>
      </c>
      <c r="J799" s="2234" t="str">
        <v>historical_exchange_rates_1920_2026.xlsx</v>
      </c>
      <c r="K799" s="2234" t="str">
        <v>由欧元回溯单位还原当年本币；非当年实际欧元报价。 欧元回溯单位按不可撤销转换率还原；法国1960年前另乘100。
原序列单位为回溯欧元；乘不可撤销转换率还原当年本币。法国1957–1959另乘100还原旧法郎。</v>
      </c>
      <c r="L799" s="2234" t="str">
        <v>原报价已按 1 美元兑换本币表示。乘以 1.95583，还原当年币制的计价单位。</v>
      </c>
      <c r="M799" s="2234" t="str">
        <v>1989|西德德国马克（DEM）</v>
      </c>
      <c r="N799" s="2234" t="str">
        <v>西德德国马克（DEM）</v>
      </c>
      <c r="O799" s="2239" t="n">
        <v>0.9612202151</v>
      </c>
      <c r="P799" s="2234" t="str">
        <v>LCU/USD</v>
      </c>
      <c r="Q799" s="2239" t="n">
        <v>1.95583</v>
      </c>
      <c r="R799" s="2234" t="str">
        <v>A：机构统计／原始统计表</v>
      </c>
      <c r="S799" s="2234" t="str">
        <v>年度汇率!F75、年度汇率!M75；原始记录!A639:M639</v>
      </c>
      <c r="T799" s="2234" t="str"/>
      <c r="U799" t="n" s="2231">
        <v>1994</v>
      </c>
      <c r="V799" t="str" s="2231">
        <v>俄罗斯旧卢布（RUR）</v>
      </c>
    </row>
    <row r="800" ht="36.0" customHeight="1">
      <c r="A800" s="2234" t="n">
        <v>1989</v>
      </c>
      <c r="B800" s="2234" t="str">
        <v>ITL</v>
      </c>
      <c r="C800" s="2234" t="str">
        <v>意大利里拉（ITL）</v>
      </c>
      <c r="D800" s="2234" t="str">
        <v>可用</v>
      </c>
      <c r="E800" s="2238" t="n">
        <v>1371.6875333623</v>
      </c>
      <c r="F800" s="2234" t="str">
        <v>年均</v>
      </c>
      <c r="G800" s="2234" t="str">
        <v>OECD via FRED：IT年均汇率（欧元单位回溯序列）</v>
      </c>
      <c r="H800" s="2234" t="str">
        <v>https://fred.stlouisfed.org/data/CCUSMA02ITA618N</v>
      </c>
      <c r="I800" s="2234" t="str">
        <v>1989-01-01—1989-12-31</v>
      </c>
      <c r="J800" s="2234" t="str">
        <v>historical_exchange_rates_1920_2026.xlsx</v>
      </c>
      <c r="K800" s="2234" t="str">
        <v>由欧元回溯单位还原当年本币；非当年实际欧元报价。 欧元回溯单位按不可撤销转换率还原；法国1960年前另乘100。
原序列单位为回溯欧元；乘不可撤销转换率还原当年本币。法国1957–1959另乘100还原旧法郎。</v>
      </c>
      <c r="L800" s="2234" t="str">
        <v>原报价已按 1 美元兑换本币表示。乘以 1936.27，还原当年币制的计价单位。</v>
      </c>
      <c r="M800" s="2234" t="str">
        <v>1989|意大利里拉（ITL）</v>
      </c>
      <c r="N800" s="2234" t="str">
        <v>意大利里拉（ITL）</v>
      </c>
      <c r="O800" s="2239" t="n">
        <v>0.70841749</v>
      </c>
      <c r="P800" s="2234" t="str">
        <v>LCU/USD</v>
      </c>
      <c r="Q800" s="2239" t="n">
        <v>1936.27</v>
      </c>
      <c r="R800" s="2234" t="str">
        <v>A：机构统计／原始统计表</v>
      </c>
      <c r="S800" s="2234" t="str">
        <v>年度汇率!G75；原始记录!A640:M640</v>
      </c>
      <c r="T800" s="2234" t="str"/>
      <c r="U800" t="n" s="2231">
        <v>1994</v>
      </c>
      <c r="V800" t="str" s="2231">
        <v>人民币元（1955币制；CNY）</v>
      </c>
    </row>
    <row r="801" ht="15.0" customHeight="1">
      <c r="A801" s="2234" t="n">
        <v>1989</v>
      </c>
      <c r="B801" s="2234" t="str">
        <v>JPY</v>
      </c>
      <c r="C801" s="2234" t="str">
        <v>日元（JPY）</v>
      </c>
      <c r="D801" s="2234" t="str">
        <v>可用</v>
      </c>
      <c r="E801" s="2238" t="n">
        <v>138.0738</v>
      </c>
      <c r="F801" s="2234" t="str">
        <v>年均</v>
      </c>
      <c r="G801" s="2234" t="str">
        <v>Federal Reserve G.5A / FRED AEXJPUS</v>
      </c>
      <c r="H801" s="2234" t="str">
        <v>https://fred.stlouisfed.org/data/AEXJPUS</v>
      </c>
      <c r="I801" s="2234" t="str">
        <v>1989-01-01—1989-12-31</v>
      </c>
      <c r="J801" s="2234" t="str">
        <v>historical_exchange_rates_1920_2026.xlsx</v>
      </c>
      <c r="K801" s="2234" t="str"/>
      <c r="L801" s="2234" t="str">
        <v>原报价已按 1 美元兑换本币表示。</v>
      </c>
      <c r="M801" s="2234" t="str">
        <v>1989|日元（JPY）</v>
      </c>
      <c r="N801" s="2234" t="str">
        <v>日元（JPY）</v>
      </c>
      <c r="O801" s="2239" t="n">
        <v>138.0738</v>
      </c>
      <c r="P801" s="2234" t="str">
        <v>LCU/USD</v>
      </c>
      <c r="Q801" s="2239" t="n">
        <v>1</v>
      </c>
      <c r="R801" s="2234" t="str">
        <v>A：机构统计／原始统计表</v>
      </c>
      <c r="S801" s="2234" t="str">
        <v>年度汇率!H75；原始记录!A641:M641</v>
      </c>
      <c r="T801" s="2234" t="str"/>
      <c r="U801" t="n" s="2231">
        <v>1995</v>
      </c>
      <c r="V801" t="str" s="2231">
        <v>美元（USD）</v>
      </c>
    </row>
    <row r="802" ht="15.0" customHeight="1">
      <c r="A802" s="2234" t="n">
        <v>1989</v>
      </c>
      <c r="B802" s="2234" t="str">
        <v>CHF</v>
      </c>
      <c r="C802" s="2234" t="str">
        <v>瑞士法郎（CHF）</v>
      </c>
      <c r="D802" s="2234" t="str">
        <v>可用</v>
      </c>
      <c r="E802" s="2238" t="n">
        <v>1.6369</v>
      </c>
      <c r="F802" s="2234" t="str">
        <v>年均</v>
      </c>
      <c r="G802" s="2234" t="str">
        <v>Federal Reserve G.5A / FRED AEXSZUS</v>
      </c>
      <c r="H802" s="2234" t="str">
        <v>https://fred.stlouisfed.org/data/AEXSZUS</v>
      </c>
      <c r="I802" s="2234" t="str">
        <v>1989-01-01—1989-12-31</v>
      </c>
      <c r="J802" s="2234" t="str">
        <v>historical_exchange_rates_1920_2026.xlsx</v>
      </c>
      <c r="K802" s="2234" t="str"/>
      <c r="L802" s="2234" t="str">
        <v>原报价已按 1 美元兑换本币表示。</v>
      </c>
      <c r="M802" s="2234" t="str">
        <v>1989|瑞士法郎（CHF）</v>
      </c>
      <c r="N802" s="2234" t="str">
        <v>瑞士法郎（CHF）</v>
      </c>
      <c r="O802" s="2239" t="n">
        <v>1.6369</v>
      </c>
      <c r="P802" s="2234" t="str">
        <v>LCU/USD</v>
      </c>
      <c r="Q802" s="2239" t="n">
        <v>1</v>
      </c>
      <c r="R802" s="2234" t="str">
        <v>A：机构统计／原始统计表</v>
      </c>
      <c r="S802" s="2234" t="str">
        <v>年度汇率!I75；原始记录!A642:M642</v>
      </c>
      <c r="T802" s="2234" t="str"/>
      <c r="U802" t="n" s="2231">
        <v>1995</v>
      </c>
      <c r="V802" t="str" s="2231">
        <v>英镑（GBP）</v>
      </c>
    </row>
    <row r="803" ht="15.0" customHeight="1">
      <c r="A803" s="2234" t="n">
        <v>1989</v>
      </c>
      <c r="B803" s="2234" t="str">
        <v>INR</v>
      </c>
      <c r="C803" s="2234" t="str">
        <v>印度卢比（INR）</v>
      </c>
      <c r="D803" s="2234" t="str">
        <v>可用</v>
      </c>
      <c r="E803" s="2238" t="n">
        <v>16.2131</v>
      </c>
      <c r="F803" s="2234" t="str">
        <v>年均</v>
      </c>
      <c r="G803" s="2234" t="str">
        <v>Federal Reserve G.5A / FRED AEXINUS</v>
      </c>
      <c r="H803" s="2234" t="str">
        <v>https://fred.stlouisfed.org/data/AEXINUS</v>
      </c>
      <c r="I803" s="2234" t="str">
        <v>1989-01-01—1989-12-31</v>
      </c>
      <c r="J803" s="2234" t="str">
        <v>historical_exchange_rates_1920_2026.xlsx</v>
      </c>
      <c r="K803" s="2234" t="str"/>
      <c r="L803" s="2234" t="str">
        <v>原报价已按 1 美元兑换本币表示。</v>
      </c>
      <c r="M803" s="2234" t="str">
        <v>1989|印度卢比（INR）</v>
      </c>
      <c r="N803" s="2234" t="str">
        <v>印度卢比（INR）</v>
      </c>
      <c r="O803" s="2239" t="n">
        <v>16.2131</v>
      </c>
      <c r="P803" s="2234" t="str">
        <v>LCU/USD</v>
      </c>
      <c r="Q803" s="2239" t="n">
        <v>1</v>
      </c>
      <c r="R803" s="2234" t="str">
        <v>A：机构统计／原始统计表</v>
      </c>
      <c r="S803" s="2234" t="str">
        <v>年度汇率!J75；原始记录!A643:M643</v>
      </c>
      <c r="T803" s="2234" t="str"/>
      <c r="U803" t="n" s="2231">
        <v>1995</v>
      </c>
      <c r="V803" t="str" s="2231">
        <v>加拿大元（CAD）</v>
      </c>
    </row>
    <row r="804" ht="36.0" customHeight="1">
      <c r="A804" s="2234" t="n">
        <v>1989</v>
      </c>
      <c r="B804" s="2234" t="str">
        <v>SUR_1961</v>
      </c>
      <c r="C804" s="2234" t="str">
        <v>苏联卢布（1961币制）</v>
      </c>
      <c r="D804" s="2234" t="str">
        <v>可用</v>
      </c>
      <c r="E804" s="2238" t="n">
        <v>0.6059</v>
      </c>
      <c r="F804" s="2234" t="str">
        <v>定点官价参考（非年均）</v>
      </c>
      <c r="G804" s="2234" t="str">
        <v>苏联卢布历史官价表（Wikipedia转引俄央行历史档案）</v>
      </c>
      <c r="H804" s="2234" t="str">
        <v>https://en.wikipedia.org/wiki/Soviet_ruble#Exchange_rates</v>
      </c>
      <c r="I804" s="2234" t="str">
        <v>1989-01-04</v>
      </c>
      <c r="J804" s="2234" t="str">
        <v>historical_exchange_rates_1920_2026.xlsx</v>
      </c>
      <c r="K804"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804" s="2234" t="str">
        <v>原报价已按 1 美元兑换本币表示。</v>
      </c>
      <c r="M804" s="2234" t="str">
        <v>1989|苏联卢布（1961币制）</v>
      </c>
      <c r="N804" s="2234" t="str">
        <v>苏联卢布（1961币制）</v>
      </c>
      <c r="O804" s="2239" t="n">
        <v>0.6059</v>
      </c>
      <c r="P804" s="2234" t="str">
        <v>LCU/USD</v>
      </c>
      <c r="Q804" s="2239" t="n">
        <v>1</v>
      </c>
      <c r="R804" s="2234" t="str">
        <v>C：二手转引（原档未复核）</v>
      </c>
      <c r="S804" s="2234" t="str">
        <v>年度汇率!K75；原始记录!A644:M644</v>
      </c>
      <c r="T804" s="2234" t="str">
        <v>官价参考，并非市场年均汇率</v>
      </c>
      <c r="U804" t="n" s="2231">
        <v>1995</v>
      </c>
      <c r="V804" t="str" s="2231">
        <v>法国法郎（FRF；1960币制）</v>
      </c>
    </row>
    <row r="805" ht="15.0" customHeight="1">
      <c r="A805" s="2234" t="n">
        <v>1989</v>
      </c>
      <c r="B805" s="2234" t="str">
        <v>CNY</v>
      </c>
      <c r="C805" s="2234" t="str">
        <v>人民币元（1955币制；CNY）</v>
      </c>
      <c r="D805" s="2234" t="str">
        <v>可用</v>
      </c>
      <c r="E805" s="2238" t="n">
        <v>3.7673</v>
      </c>
      <c r="F805" s="2234" t="str">
        <v>年均</v>
      </c>
      <c r="G805" s="2234" t="str">
        <v>Federal Reserve G.5A / FRED AEXCHUS</v>
      </c>
      <c r="H805" s="2234" t="str">
        <v>https://fred.stlouisfed.org/data/AEXCHUS</v>
      </c>
      <c r="I805" s="2234" t="str">
        <v>1989-01-01—1989-12-31</v>
      </c>
      <c r="J805" s="2234" t="str">
        <v>historical_exchange_rates_1920_2026.xlsx</v>
      </c>
      <c r="K805" s="2234" t="str"/>
      <c r="L805" s="2234" t="str">
        <v>原报价已按 1 美元兑换本币表示。</v>
      </c>
      <c r="M805" s="2234" t="str">
        <v>1989|人民币元（1955币制；CNY）</v>
      </c>
      <c r="N805" s="2234" t="str">
        <v>人民币元（1955币制；CNY）</v>
      </c>
      <c r="O805" s="2239" t="n">
        <v>3.7673</v>
      </c>
      <c r="P805" s="2234" t="str">
        <v>LCU/USD</v>
      </c>
      <c r="Q805" s="2239" t="n">
        <v>1</v>
      </c>
      <c r="R805" s="2234" t="str">
        <v>A：机构统计／原始统计表</v>
      </c>
      <c r="S805" s="2234" t="str">
        <v>年度汇率!L75；原始记录!A645:M645</v>
      </c>
      <c r="T805" s="2234" t="str"/>
      <c r="U805" t="n" s="2231">
        <v>1995</v>
      </c>
      <c r="V805" t="str" s="2231">
        <v>德国马克（DEM）</v>
      </c>
    </row>
    <row r="806" ht="15.0" customHeight="1">
      <c r="A806" s="2234" t="n">
        <v>1990</v>
      </c>
      <c r="B806" s="2234" t="str">
        <v>USD</v>
      </c>
      <c r="C806" s="2234" t="str">
        <v>美元（USD）</v>
      </c>
      <c r="D806" s="2234" t="str">
        <v>可用</v>
      </c>
      <c r="E806" s="2238" t="n">
        <v>1</v>
      </c>
      <c r="F806" s="2234" t="str">
        <v>基准恒等</v>
      </c>
      <c r="G806" s="2234" t="str">
        <v>用户提供的历史汇率表</v>
      </c>
      <c r="H806" s="2234" t="str"/>
      <c r="I806" s="2234" t="str">
        <v>1990</v>
      </c>
      <c r="J806" s="2234" t="str">
        <v>historical_exchange_rates_1920_2026.xlsx</v>
      </c>
      <c r="K806" s="2234" t="str">
        <v>1 美元等于 1 美元，无外部报价。</v>
      </c>
      <c r="L806" s="2234" t="str">
        <v>美元基准，汇率恒为 1。</v>
      </c>
      <c r="M806" s="2234" t="str">
        <v>1990|美元（USD）</v>
      </c>
      <c r="N806" s="2234" t="str">
        <v>美元（USD）</v>
      </c>
      <c r="O806" s="2239"/>
      <c r="P806" s="2234" t="str"/>
      <c r="Q806" s="2239"/>
      <c r="R806" s="2234" t="str"/>
      <c r="S806" s="2234" t="str">
        <v>年度汇率!B76</v>
      </c>
      <c r="T806" s="2234" t="str"/>
      <c r="U806" t="n" s="2231">
        <v>1995</v>
      </c>
      <c r="V806" t="str" s="2231">
        <v>意大利里拉（ITL）</v>
      </c>
    </row>
    <row r="807" ht="24.0" customHeight="1">
      <c r="A807" s="2234" t="n">
        <v>1990</v>
      </c>
      <c r="B807" s="2234" t="str">
        <v>GBP</v>
      </c>
      <c r="C807" s="2234" t="str">
        <v>英镑（GBP）</v>
      </c>
      <c r="D807" s="2234" t="str">
        <v>可用</v>
      </c>
      <c r="E807" s="2238" t="n">
        <v>0.5605066980550417</v>
      </c>
      <c r="F807" s="2234" t="str">
        <v>年均</v>
      </c>
      <c r="G807" s="2234" t="str">
        <v>Federal Reserve G.5A / FRED AEXUSUK</v>
      </c>
      <c r="H807" s="2234" t="str">
        <v>https://fred.stlouisfed.org/data/AEXUSUK</v>
      </c>
      <c r="I807" s="2234" t="str">
        <v>1990-01-01—1990-12-31</v>
      </c>
      <c r="J807" s="2234" t="str">
        <v>historical_exchange_rates_1920_2026.xlsx</v>
      </c>
      <c r="K807" s="2234" t="str">
        <v>反向值由原报价均值取倒数；不等于反向日度汇率的算术平均。
年均USD/GBP；主表取倒数，不等于逐日GBP/USD平均。</v>
      </c>
      <c r="L807" s="2234" t="str">
        <v>原报价为每单位本币兑美元，取原报价均值的倒数；不等于反向日度汇率的算术平均。</v>
      </c>
      <c r="M807" s="2234" t="str">
        <v>1990|英镑（GBP）</v>
      </c>
      <c r="N807" s="2234" t="str">
        <v>英镑（GBP）</v>
      </c>
      <c r="O807" s="2239" t="n">
        <v>1.7841</v>
      </c>
      <c r="P807" s="2234" t="str">
        <v>USD/LCU</v>
      </c>
      <c r="Q807" s="2239" t="n">
        <v>1</v>
      </c>
      <c r="R807" s="2234" t="str">
        <v>A：机构统计／原始统计表</v>
      </c>
      <c r="S807" s="2234" t="str">
        <v>年度汇率!C76；原始记录!A646:M646</v>
      </c>
      <c r="T807" s="2234" t="str"/>
      <c r="U807" t="n" s="2231">
        <v>1995</v>
      </c>
      <c r="V807" t="str" s="2231">
        <v>日元（JPY）</v>
      </c>
    </row>
    <row r="808" ht="15.0" customHeight="1">
      <c r="A808" s="2234" t="n">
        <v>1990</v>
      </c>
      <c r="B808" s="2234" t="str">
        <v>CAD</v>
      </c>
      <c r="C808" s="2234" t="str">
        <v>加拿大元（CAD）</v>
      </c>
      <c r="D808" s="2234" t="str">
        <v>可用</v>
      </c>
      <c r="E808" s="2238" t="n">
        <v>1.1668</v>
      </c>
      <c r="F808" s="2234" t="str">
        <v>年均</v>
      </c>
      <c r="G808" s="2234" t="str">
        <v>Federal Reserve G.5A / FRED AEXCAUS</v>
      </c>
      <c r="H808" s="2234" t="str">
        <v>https://fred.stlouisfed.org/data/AEXCAUS</v>
      </c>
      <c r="I808" s="2234" t="str">
        <v>1990-01-01—1990-12-31</v>
      </c>
      <c r="J808" s="2234" t="str">
        <v>historical_exchange_rates_1920_2026.xlsx</v>
      </c>
      <c r="K808" s="2234" t="str"/>
      <c r="L808" s="2234" t="str">
        <v>原报价已按 1 美元兑换本币表示。</v>
      </c>
      <c r="M808" s="2234" t="str">
        <v>1990|加拿大元（CAD）</v>
      </c>
      <c r="N808" s="2234" t="str">
        <v>加拿大元（CAD）</v>
      </c>
      <c r="O808" s="2239" t="n">
        <v>1.1668</v>
      </c>
      <c r="P808" s="2234" t="str">
        <v>LCU/USD</v>
      </c>
      <c r="Q808" s="2239" t="n">
        <v>1</v>
      </c>
      <c r="R808" s="2234" t="str">
        <v>A：机构统计／原始统计表</v>
      </c>
      <c r="S808" s="2234" t="str">
        <v>年度汇率!D76；原始记录!A647:M647</v>
      </c>
      <c r="T808" s="2234" t="str"/>
      <c r="U808" t="n" s="2231">
        <v>1995</v>
      </c>
      <c r="V808" t="str" s="2231">
        <v>瑞士法郎（CHF）</v>
      </c>
    </row>
    <row r="809" ht="36.0" customHeight="1">
      <c r="A809" s="2234" t="n">
        <v>1990</v>
      </c>
      <c r="B809" s="2234" t="str">
        <v>FRF</v>
      </c>
      <c r="C809" s="2234" t="str">
        <v>法国法郎（FRF；1960币制）</v>
      </c>
      <c r="D809" s="2234" t="str">
        <v>可用</v>
      </c>
      <c r="E809" s="2238" t="n">
        <v>5.445949999842077</v>
      </c>
      <c r="F809" s="2234" t="str">
        <v>年均</v>
      </c>
      <c r="G809" s="2234" t="str">
        <v>OECD via FRED：FR年均汇率（欧元单位回溯序列）</v>
      </c>
      <c r="H809" s="2234" t="str">
        <v>https://fred.stlouisfed.org/data/CCUSMA02FRA618N</v>
      </c>
      <c r="I809" s="2234" t="str">
        <v>1990-01-01—1990-12-31</v>
      </c>
      <c r="J809" s="2234" t="str">
        <v>historical_exchange_rates_1920_2026.xlsx</v>
      </c>
      <c r="K809" s="2234" t="str">
        <v>由欧元回溯单位还原当年本币；非当年实际欧元报价。 欧元回溯单位按不可撤销转换率还原；法国1960年前另乘100。
原序列单位为回溯欧元；乘不可撤销转换率还原当年本币。法国1957–1959另乘100还原旧法郎。</v>
      </c>
      <c r="L809" s="2234" t="str">
        <v>原报价已按 1 美元兑换本币表示。乘以 6.55957，还原当年币制的计价单位。</v>
      </c>
      <c r="M809" s="2234" t="str">
        <v>1990|法国法郎（FRF；1960币制）</v>
      </c>
      <c r="N809" s="2234" t="str">
        <v>法国法郎（FRF；1960币制）</v>
      </c>
      <c r="O809" s="2239" t="n">
        <v>0.8302297254</v>
      </c>
      <c r="P809" s="2234" t="str">
        <v>LCU/USD</v>
      </c>
      <c r="Q809" s="2239" t="n">
        <v>6.55957</v>
      </c>
      <c r="R809" s="2234" t="str">
        <v>A：机构统计／原始统计表</v>
      </c>
      <c r="S809" s="2234" t="str">
        <v>年度汇率!E76；原始记录!A648:M648</v>
      </c>
      <c r="T809" s="2234" t="str"/>
      <c r="U809" t="n" s="2231">
        <v>1995</v>
      </c>
      <c r="V809" t="str" s="2231">
        <v>印度卢比（INR）</v>
      </c>
    </row>
    <row r="810" ht="36.0" customHeight="1">
      <c r="A810" s="2234" t="n">
        <v>1990</v>
      </c>
      <c r="B810" s="2234" t="str">
        <v>DEM</v>
      </c>
      <c r="C810" s="2234" t="str">
        <v>德国马克（DEM）</v>
      </c>
      <c r="D810" s="2234" t="str">
        <v>可用</v>
      </c>
      <c r="E810" s="2238" t="n">
        <v>1.615874999945355</v>
      </c>
      <c r="F810" s="2234" t="str">
        <v>年均</v>
      </c>
      <c r="G810" s="2234" t="str">
        <v>OECD via FRED：DE年均汇率（欧元单位回溯序列）</v>
      </c>
      <c r="H810" s="2234" t="str">
        <v>https://fred.stlouisfed.org/data/CCUSMA02DEA618N</v>
      </c>
      <c r="I810" s="2234" t="str">
        <v>1990-01-01—1990-12-31</v>
      </c>
      <c r="J810" s="2234" t="str">
        <v>historical_exchange_rates_1920_2026.xlsx</v>
      </c>
      <c r="K810" s="2234" t="str">
        <v>由欧元回溯单位还原当年本币；非当年实际欧元报价。 欧元回溯单位按不可撤销转换率还原；法国1960年前另乘100。
原序列单位为回溯欧元；乘不可撤销转换率还原当年本币。法国1957–1959另乘100还原旧法郎。</v>
      </c>
      <c r="L810" s="2234" t="str">
        <v>原报价已按 1 美元兑换本币表示。乘以 1.95583，还原当年币制的计价单位。</v>
      </c>
      <c r="M810" s="2234" t="str">
        <v>1990|德国马克（DEM）</v>
      </c>
      <c r="N810" s="2234" t="str">
        <v>德国马克（DEM）</v>
      </c>
      <c r="O810" s="2239" t="n">
        <v>0.8261837685</v>
      </c>
      <c r="P810" s="2234" t="str">
        <v>LCU/USD</v>
      </c>
      <c r="Q810" s="2239" t="n">
        <v>1.95583</v>
      </c>
      <c r="R810" s="2234" t="str">
        <v>A：机构统计／原始统计表</v>
      </c>
      <c r="S810" s="2234" t="str">
        <v>年度汇率!F76、年度汇率!M76；原始记录!A649:M649</v>
      </c>
      <c r="T810" s="2234" t="str"/>
      <c r="U810" t="n" s="2231">
        <v>1995</v>
      </c>
      <c r="V810" t="str" s="2231">
        <v>俄罗斯旧卢布（RUR）</v>
      </c>
    </row>
    <row r="811" ht="36.0" customHeight="1">
      <c r="A811" s="2234" t="n">
        <v>1990</v>
      </c>
      <c r="B811" s="2234" t="str">
        <v>ITL</v>
      </c>
      <c r="C811" s="2234" t="str">
        <v>意大利里拉（ITL）</v>
      </c>
      <c r="D811" s="2234" t="str">
        <v>可用</v>
      </c>
      <c r="E811" s="2238" t="n">
        <v>1198.375325009961</v>
      </c>
      <c r="F811" s="2234" t="str">
        <v>年均</v>
      </c>
      <c r="G811" s="2234" t="str">
        <v>OECD via FRED：IT年均汇率（欧元单位回溯序列）</v>
      </c>
      <c r="H811" s="2234" t="str">
        <v>https://fred.stlouisfed.org/data/CCUSMA02ITA618N</v>
      </c>
      <c r="I811" s="2234" t="str">
        <v>1990-01-01—1990-12-31</v>
      </c>
      <c r="J811" s="2234" t="str">
        <v>historical_exchange_rates_1920_2026.xlsx</v>
      </c>
      <c r="K811" s="2234" t="str">
        <v>由欧元回溯单位还原当年本币；非当年实际欧元报价。 欧元回溯单位按不可撤销转换率还原；法国1960年前另乘100。
原序列单位为回溯欧元；乘不可撤销转换率还原当年本币。法国1957–1959另乘100还原旧法郎。</v>
      </c>
      <c r="L811" s="2234" t="str">
        <v>原报价已按 1 美元兑换本币表示。乘以 1936.27，还原当年币制的计价单位。</v>
      </c>
      <c r="M811" s="2234" t="str">
        <v>1990|意大利里拉（ITL）</v>
      </c>
      <c r="N811" s="2234" t="str">
        <v>意大利里拉（ITL）</v>
      </c>
      <c r="O811" s="2239" t="n">
        <v>0.6189092043</v>
      </c>
      <c r="P811" s="2234" t="str">
        <v>LCU/USD</v>
      </c>
      <c r="Q811" s="2239" t="n">
        <v>1936.27</v>
      </c>
      <c r="R811" s="2234" t="str">
        <v>A：机构统计／原始统计表</v>
      </c>
      <c r="S811" s="2234" t="str">
        <v>年度汇率!G76；原始记录!A650:M650</v>
      </c>
      <c r="T811" s="2234" t="str"/>
      <c r="U811" t="n" s="2231">
        <v>1995</v>
      </c>
      <c r="V811" t="str" s="2231">
        <v>人民币元（1955币制；CNY）</v>
      </c>
    </row>
    <row r="812" ht="15.0" customHeight="1">
      <c r="A812" s="2234" t="n">
        <v>1990</v>
      </c>
      <c r="B812" s="2234" t="str">
        <v>JPY</v>
      </c>
      <c r="C812" s="2234" t="str">
        <v>日元（JPY）</v>
      </c>
      <c r="D812" s="2234" t="str">
        <v>可用</v>
      </c>
      <c r="E812" s="2238" t="n">
        <v>144.9987</v>
      </c>
      <c r="F812" s="2234" t="str">
        <v>年均</v>
      </c>
      <c r="G812" s="2234" t="str">
        <v>Federal Reserve G.5A / FRED AEXJPUS</v>
      </c>
      <c r="H812" s="2234" t="str">
        <v>https://fred.stlouisfed.org/data/AEXJPUS</v>
      </c>
      <c r="I812" s="2234" t="str">
        <v>1990-01-01—1990-12-31</v>
      </c>
      <c r="J812" s="2234" t="str">
        <v>historical_exchange_rates_1920_2026.xlsx</v>
      </c>
      <c r="K812" s="2234" t="str"/>
      <c r="L812" s="2234" t="str">
        <v>原报价已按 1 美元兑换本币表示。</v>
      </c>
      <c r="M812" s="2234" t="str">
        <v>1990|日元（JPY）</v>
      </c>
      <c r="N812" s="2234" t="str">
        <v>日元（JPY）</v>
      </c>
      <c r="O812" s="2239" t="n">
        <v>144.9987</v>
      </c>
      <c r="P812" s="2234" t="str">
        <v>LCU/USD</v>
      </c>
      <c r="Q812" s="2239" t="n">
        <v>1</v>
      </c>
      <c r="R812" s="2234" t="str">
        <v>A：机构统计／原始统计表</v>
      </c>
      <c r="S812" s="2234" t="str">
        <v>年度汇率!H76；原始记录!A651:M651</v>
      </c>
      <c r="T812" s="2234" t="str"/>
      <c r="U812" t="n" s="2231">
        <v>1996</v>
      </c>
      <c r="V812" t="str" s="2231">
        <v>美元（USD）</v>
      </c>
    </row>
    <row r="813" ht="15.0" customHeight="1">
      <c r="A813" s="2234" t="n">
        <v>1990</v>
      </c>
      <c r="B813" s="2234" t="str">
        <v>CHF</v>
      </c>
      <c r="C813" s="2234" t="str">
        <v>瑞士法郎（CHF）</v>
      </c>
      <c r="D813" s="2234" t="str">
        <v>可用</v>
      </c>
      <c r="E813" s="2238" t="n">
        <v>1.3901</v>
      </c>
      <c r="F813" s="2234" t="str">
        <v>年均</v>
      </c>
      <c r="G813" s="2234" t="str">
        <v>Federal Reserve G.5A / FRED AEXSZUS</v>
      </c>
      <c r="H813" s="2234" t="str">
        <v>https://fred.stlouisfed.org/data/AEXSZUS</v>
      </c>
      <c r="I813" s="2234" t="str">
        <v>1990-01-01—1990-12-31</v>
      </c>
      <c r="J813" s="2234" t="str">
        <v>historical_exchange_rates_1920_2026.xlsx</v>
      </c>
      <c r="K813" s="2234" t="str"/>
      <c r="L813" s="2234" t="str">
        <v>原报价已按 1 美元兑换本币表示。</v>
      </c>
      <c r="M813" s="2234" t="str">
        <v>1990|瑞士法郎（CHF）</v>
      </c>
      <c r="N813" s="2234" t="str">
        <v>瑞士法郎（CHF）</v>
      </c>
      <c r="O813" s="2239" t="n">
        <v>1.3901</v>
      </c>
      <c r="P813" s="2234" t="str">
        <v>LCU/USD</v>
      </c>
      <c r="Q813" s="2239" t="n">
        <v>1</v>
      </c>
      <c r="R813" s="2234" t="str">
        <v>A：机构统计／原始统计表</v>
      </c>
      <c r="S813" s="2234" t="str">
        <v>年度汇率!I76；原始记录!A652:M652</v>
      </c>
      <c r="T813" s="2234" t="str"/>
      <c r="U813" t="n" s="2231">
        <v>1996</v>
      </c>
      <c r="V813" t="str" s="2231">
        <v>英镑（GBP）</v>
      </c>
    </row>
    <row r="814" ht="15.0" customHeight="1">
      <c r="A814" s="2234" t="n">
        <v>1990</v>
      </c>
      <c r="B814" s="2234" t="str">
        <v>INR</v>
      </c>
      <c r="C814" s="2234" t="str">
        <v>印度卢比（INR）</v>
      </c>
      <c r="D814" s="2234" t="str">
        <v>可用</v>
      </c>
      <c r="E814" s="2238" t="n">
        <v>17.4922</v>
      </c>
      <c r="F814" s="2234" t="str">
        <v>年均</v>
      </c>
      <c r="G814" s="2234" t="str">
        <v>Federal Reserve G.5A / FRED AEXINUS</v>
      </c>
      <c r="H814" s="2234" t="str">
        <v>https://fred.stlouisfed.org/data/AEXINUS</v>
      </c>
      <c r="I814" s="2234" t="str">
        <v>1990-01-01—1990-12-31</v>
      </c>
      <c r="J814" s="2234" t="str">
        <v>historical_exchange_rates_1920_2026.xlsx</v>
      </c>
      <c r="K814" s="2234" t="str"/>
      <c r="L814" s="2234" t="str">
        <v>原报价已按 1 美元兑换本币表示。</v>
      </c>
      <c r="M814" s="2234" t="str">
        <v>1990|印度卢比（INR）</v>
      </c>
      <c r="N814" s="2234" t="str">
        <v>印度卢比（INR）</v>
      </c>
      <c r="O814" s="2239" t="n">
        <v>17.4922</v>
      </c>
      <c r="P814" s="2234" t="str">
        <v>LCU/USD</v>
      </c>
      <c r="Q814" s="2239" t="n">
        <v>1</v>
      </c>
      <c r="R814" s="2234" t="str">
        <v>A：机构统计／原始统计表</v>
      </c>
      <c r="S814" s="2234" t="str">
        <v>年度汇率!J76；原始记录!A653:M653</v>
      </c>
      <c r="T814" s="2234" t="str"/>
      <c r="U814" t="n" s="2231">
        <v>1996</v>
      </c>
      <c r="V814" t="str" s="2231">
        <v>加拿大元（CAD）</v>
      </c>
    </row>
    <row r="815" ht="36.0" customHeight="1">
      <c r="A815" s="2234" t="n">
        <v>1990</v>
      </c>
      <c r="B815" s="2234" t="str">
        <v>SUR_1961</v>
      </c>
      <c r="C815" s="2234" t="str">
        <v>苏联卢布（1961币制）</v>
      </c>
      <c r="D815" s="2234" t="str">
        <v>可用</v>
      </c>
      <c r="E815" s="2238" t="n">
        <v>0.6072</v>
      </c>
      <c r="F815" s="2234" t="str">
        <v>定点官价参考（非年均）</v>
      </c>
      <c r="G815" s="2234" t="str">
        <v>苏联卢布历史官价表（Wikipedia转引俄央行历史档案）</v>
      </c>
      <c r="H815" s="2234" t="str">
        <v>https://en.wikipedia.org/wiki/Soviet_ruble#Exchange_rates</v>
      </c>
      <c r="I815" s="2234" t="str">
        <v>1990-01-03</v>
      </c>
      <c r="J815" s="2234" t="str">
        <v>historical_exchange_rates_1920_2026.xlsx</v>
      </c>
      <c r="K815"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815" s="2234" t="str">
        <v>原报价已按 1 美元兑换本币表示。</v>
      </c>
      <c r="M815" s="2234" t="str">
        <v>1990|苏联卢布（1961币制）</v>
      </c>
      <c r="N815" s="2234" t="str">
        <v>苏联卢布（1961币制）</v>
      </c>
      <c r="O815" s="2239" t="n">
        <v>0.6072</v>
      </c>
      <c r="P815" s="2234" t="str">
        <v>LCU/USD</v>
      </c>
      <c r="Q815" s="2239" t="n">
        <v>1</v>
      </c>
      <c r="R815" s="2234" t="str">
        <v>C：二手转引（原档未复核）</v>
      </c>
      <c r="S815" s="2234" t="str">
        <v>年度汇率!K76；原始记录!A654:M654</v>
      </c>
      <c r="T815" s="2234" t="str">
        <v>官价参考，并非市场年均汇率</v>
      </c>
      <c r="U815" t="n" s="2231">
        <v>1996</v>
      </c>
      <c r="V815" t="str" s="2231">
        <v>法国法郎（FRF；1960币制）</v>
      </c>
    </row>
    <row r="816" ht="15.0" customHeight="1">
      <c r="A816" s="2234" t="n">
        <v>1990</v>
      </c>
      <c r="B816" s="2234" t="str">
        <v>CNY</v>
      </c>
      <c r="C816" s="2234" t="str">
        <v>人民币元（1955币制；CNY）</v>
      </c>
      <c r="D816" s="2234" t="str">
        <v>可用</v>
      </c>
      <c r="E816" s="2238" t="n">
        <v>4.7921</v>
      </c>
      <c r="F816" s="2234" t="str">
        <v>年均</v>
      </c>
      <c r="G816" s="2234" t="str">
        <v>Federal Reserve G.5A / FRED AEXCHUS</v>
      </c>
      <c r="H816" s="2234" t="str">
        <v>https://fred.stlouisfed.org/data/AEXCHUS</v>
      </c>
      <c r="I816" s="2234" t="str">
        <v>1990-01-01—1990-12-31</v>
      </c>
      <c r="J816" s="2234" t="str">
        <v>historical_exchange_rates_1920_2026.xlsx</v>
      </c>
      <c r="K816" s="2234" t="str"/>
      <c r="L816" s="2234" t="str">
        <v>原报价已按 1 美元兑换本币表示。</v>
      </c>
      <c r="M816" s="2234" t="str">
        <v>1990|人民币元（1955币制；CNY）</v>
      </c>
      <c r="N816" s="2234" t="str">
        <v>人民币元（1955币制；CNY）</v>
      </c>
      <c r="O816" s="2239" t="n">
        <v>4.7921</v>
      </c>
      <c r="P816" s="2234" t="str">
        <v>LCU/USD</v>
      </c>
      <c r="Q816" s="2239" t="n">
        <v>1</v>
      </c>
      <c r="R816" s="2234" t="str">
        <v>A：机构统计／原始统计表</v>
      </c>
      <c r="S816" s="2234" t="str">
        <v>年度汇率!L76；原始记录!A655:M655</v>
      </c>
      <c r="T816" s="2234" t="str"/>
      <c r="U816" t="n" s="2231">
        <v>1996</v>
      </c>
      <c r="V816" t="str" s="2231">
        <v>德国马克（DEM）</v>
      </c>
    </row>
    <row r="817" ht="15.0" customHeight="1">
      <c r="A817" s="2234" t="n">
        <v>1991</v>
      </c>
      <c r="B817" s="2234" t="str">
        <v>USD</v>
      </c>
      <c r="C817" s="2234" t="str">
        <v>美元（USD）</v>
      </c>
      <c r="D817" s="2234" t="str">
        <v>可用</v>
      </c>
      <c r="E817" s="2238" t="n">
        <v>1</v>
      </c>
      <c r="F817" s="2234" t="str">
        <v>基准恒等</v>
      </c>
      <c r="G817" s="2234" t="str">
        <v>用户提供的历史汇率表</v>
      </c>
      <c r="H817" s="2234" t="str"/>
      <c r="I817" s="2234" t="str">
        <v>1991</v>
      </c>
      <c r="J817" s="2234" t="str">
        <v>historical_exchange_rates_1920_2026.xlsx</v>
      </c>
      <c r="K817" s="2234" t="str">
        <v>1 美元等于 1 美元，无外部报价。</v>
      </c>
      <c r="L817" s="2234" t="str">
        <v>美元基准，汇率恒为 1。</v>
      </c>
      <c r="M817" s="2234" t="str">
        <v>1991|美元（USD）</v>
      </c>
      <c r="N817" s="2234" t="str">
        <v>美元（USD）</v>
      </c>
      <c r="O817" s="2239"/>
      <c r="P817" s="2234" t="str"/>
      <c r="Q817" s="2239"/>
      <c r="R817" s="2234" t="str"/>
      <c r="S817" s="2234" t="str">
        <v>年度汇率!B77</v>
      </c>
      <c r="T817" s="2234" t="str"/>
      <c r="U817" t="n" s="2231">
        <v>1996</v>
      </c>
      <c r="V817" t="str" s="2231">
        <v>意大利里拉（ITL）</v>
      </c>
    </row>
    <row r="818" ht="24.0" customHeight="1">
      <c r="A818" s="2234" t="n">
        <v>1991</v>
      </c>
      <c r="B818" s="2234" t="str">
        <v>GBP</v>
      </c>
      <c r="C818" s="2234" t="str">
        <v>英镑（GBP）</v>
      </c>
      <c r="D818" s="2234" t="str">
        <v>可用</v>
      </c>
      <c r="E818" s="2238" t="n">
        <v>0.5658028742786013</v>
      </c>
      <c r="F818" s="2234" t="str">
        <v>年均</v>
      </c>
      <c r="G818" s="2234" t="str">
        <v>Federal Reserve G.5A / FRED AEXUSUK</v>
      </c>
      <c r="H818" s="2234" t="str">
        <v>https://fred.stlouisfed.org/data/AEXUSUK</v>
      </c>
      <c r="I818" s="2234" t="str">
        <v>1991-01-01—1991-12-31</v>
      </c>
      <c r="J818" s="2234" t="str">
        <v>historical_exchange_rates_1920_2026.xlsx</v>
      </c>
      <c r="K818" s="2234" t="str">
        <v>反向值由原报价均值取倒数；不等于反向日度汇率的算术平均。
年均USD/GBP；主表取倒数，不等于逐日GBP/USD平均。</v>
      </c>
      <c r="L818" s="2234" t="str">
        <v>原报价为每单位本币兑美元，取原报价均值的倒数；不等于反向日度汇率的算术平均。</v>
      </c>
      <c r="M818" s="2234" t="str">
        <v>1991|英镑（GBP）</v>
      </c>
      <c r="N818" s="2234" t="str">
        <v>英镑（GBP）</v>
      </c>
      <c r="O818" s="2239" t="n">
        <v>1.7674</v>
      </c>
      <c r="P818" s="2234" t="str">
        <v>USD/LCU</v>
      </c>
      <c r="Q818" s="2239" t="n">
        <v>1</v>
      </c>
      <c r="R818" s="2234" t="str">
        <v>A：机构统计／原始统计表</v>
      </c>
      <c r="S818" s="2234" t="str">
        <v>年度汇率!C77；原始记录!A656:M656</v>
      </c>
      <c r="T818" s="2234" t="str"/>
      <c r="U818" t="n" s="2231">
        <v>1996</v>
      </c>
      <c r="V818" t="str" s="2231">
        <v>日元（JPY）</v>
      </c>
    </row>
    <row r="819" ht="15.0" customHeight="1">
      <c r="A819" s="2234" t="n">
        <v>1991</v>
      </c>
      <c r="B819" s="2234" t="str">
        <v>CAD</v>
      </c>
      <c r="C819" s="2234" t="str">
        <v>加拿大元（CAD）</v>
      </c>
      <c r="D819" s="2234" t="str">
        <v>可用</v>
      </c>
      <c r="E819" s="2238" t="n">
        <v>1.146</v>
      </c>
      <c r="F819" s="2234" t="str">
        <v>年均</v>
      </c>
      <c r="G819" s="2234" t="str">
        <v>Federal Reserve G.5A / FRED AEXCAUS</v>
      </c>
      <c r="H819" s="2234" t="str">
        <v>https://fred.stlouisfed.org/data/AEXCAUS</v>
      </c>
      <c r="I819" s="2234" t="str">
        <v>1991-01-01—1991-12-31</v>
      </c>
      <c r="J819" s="2234" t="str">
        <v>historical_exchange_rates_1920_2026.xlsx</v>
      </c>
      <c r="K819" s="2234" t="str"/>
      <c r="L819" s="2234" t="str">
        <v>原报价已按 1 美元兑换本币表示。</v>
      </c>
      <c r="M819" s="2234" t="str">
        <v>1991|加拿大元（CAD）</v>
      </c>
      <c r="N819" s="2234" t="str">
        <v>加拿大元（CAD）</v>
      </c>
      <c r="O819" s="2239" t="n">
        <v>1.146</v>
      </c>
      <c r="P819" s="2234" t="str">
        <v>LCU/USD</v>
      </c>
      <c r="Q819" s="2239" t="n">
        <v>1</v>
      </c>
      <c r="R819" s="2234" t="str">
        <v>A：机构统计／原始统计表</v>
      </c>
      <c r="S819" s="2234" t="str">
        <v>年度汇率!D77；原始记录!A657:M657</v>
      </c>
      <c r="T819" s="2234" t="str"/>
      <c r="U819" t="n" s="2231">
        <v>1996</v>
      </c>
      <c r="V819" t="str" s="2231">
        <v>瑞士法郎（CHF）</v>
      </c>
    </row>
    <row r="820" ht="36.0" customHeight="1">
      <c r="A820" s="2234" t="n">
        <v>1991</v>
      </c>
      <c r="B820" s="2234" t="str">
        <v>FRF</v>
      </c>
      <c r="C820" s="2234" t="str">
        <v>法国法郎（FRF；1960币制）</v>
      </c>
      <c r="D820" s="2234" t="str">
        <v>可用</v>
      </c>
      <c r="E820" s="2238" t="n">
        <v>5.640850000107273</v>
      </c>
      <c r="F820" s="2234" t="str">
        <v>年均</v>
      </c>
      <c r="G820" s="2234" t="str">
        <v>OECD via FRED：FR年均汇率（欧元单位回溯序列）</v>
      </c>
      <c r="H820" s="2234" t="str">
        <v>https://fred.stlouisfed.org/data/CCUSMA02FRA618N</v>
      </c>
      <c r="I820" s="2234" t="str">
        <v>1991-01-01—1991-12-31</v>
      </c>
      <c r="J820" s="2234" t="str">
        <v>historical_exchange_rates_1920_2026.xlsx</v>
      </c>
      <c r="K820" s="2234" t="str">
        <v>由欧元回溯单位还原当年本币；非当年实际欧元报价。 欧元回溯单位按不可撤销转换率还原；法国1960年前另乘100。
原序列单位为回溯欧元；乘不可撤销转换率还原当年本币。法国1957–1959另乘100还原旧法郎。</v>
      </c>
      <c r="L820" s="2234" t="str">
        <v>原报价已按 1 美元兑换本币表示。乘以 6.55957，还原当年币制的计价单位。</v>
      </c>
      <c r="M820" s="2234" t="str">
        <v>1991|法国法郎（FRF；1960币制）</v>
      </c>
      <c r="N820" s="2234" t="str">
        <v>法国法郎（FRF；1960币制）</v>
      </c>
      <c r="O820" s="2239" t="n">
        <v>0.8599420389</v>
      </c>
      <c r="P820" s="2234" t="str">
        <v>LCU/USD</v>
      </c>
      <c r="Q820" s="2239" t="n">
        <v>6.55957</v>
      </c>
      <c r="R820" s="2234" t="str">
        <v>A：机构统计／原始统计表</v>
      </c>
      <c r="S820" s="2234" t="str">
        <v>年度汇率!E77；原始记录!A658:M658</v>
      </c>
      <c r="T820" s="2234" t="str"/>
      <c r="U820" t="n" s="2231">
        <v>1996</v>
      </c>
      <c r="V820" t="str" s="2231">
        <v>印度卢比（INR）</v>
      </c>
    </row>
    <row r="821" ht="36.0" customHeight="1">
      <c r="A821" s="2234" t="n">
        <v>1991</v>
      </c>
      <c r="B821" s="2234" t="str">
        <v>DEM</v>
      </c>
      <c r="C821" s="2234" t="str">
        <v>德国马克（DEM）</v>
      </c>
      <c r="D821" s="2234" t="str">
        <v>可用</v>
      </c>
      <c r="E821" s="2238" t="n">
        <v>1.6588083333451389</v>
      </c>
      <c r="F821" s="2234" t="str">
        <v>年均</v>
      </c>
      <c r="G821" s="2234" t="str">
        <v>OECD via FRED：DE年均汇率（欧元单位回溯序列）</v>
      </c>
      <c r="H821" s="2234" t="str">
        <v>https://fred.stlouisfed.org/data/CCUSMA02DEA618N</v>
      </c>
      <c r="I821" s="2234" t="str">
        <v>1991-01-01—1991-12-31</v>
      </c>
      <c r="J821" s="2234" t="str">
        <v>historical_exchange_rates_1920_2026.xlsx</v>
      </c>
      <c r="K821" s="2234" t="str">
        <v>由欧元回溯单位还原当年本币；非当年实际欧元报价。 欧元回溯单位按不可撤销转换率还原；法国1960年前另乘100。
原序列单位为回溯欧元；乘不可撤销转换率还原当年本币。法国1957–1959另乘100还原旧法郎。</v>
      </c>
      <c r="L821" s="2234" t="str">
        <v>原报价已按 1 美元兑换本币表示。乘以 1.95583，还原当年币制的计价单位。</v>
      </c>
      <c r="M821" s="2234" t="str">
        <v>1991|德国马克（DEM）</v>
      </c>
      <c r="N821" s="2234" t="str">
        <v>德国马克（DEM）</v>
      </c>
      <c r="O821" s="2239" t="n">
        <v>0.8481352333</v>
      </c>
      <c r="P821" s="2234" t="str">
        <v>LCU/USD</v>
      </c>
      <c r="Q821" s="2239" t="n">
        <v>1.95583</v>
      </c>
      <c r="R821" s="2234" t="str">
        <v>A：机构统计／原始统计表</v>
      </c>
      <c r="S821" s="2234" t="str">
        <v>年度汇率!F77、年度汇率!M77；原始记录!A659:M659</v>
      </c>
      <c r="T821" s="2234" t="str"/>
      <c r="U821" t="n" s="2231">
        <v>1996</v>
      </c>
      <c r="V821" t="str" s="2231">
        <v>俄罗斯旧卢布（RUR）</v>
      </c>
    </row>
    <row r="822" ht="36.0" customHeight="1">
      <c r="A822" s="2234" t="n">
        <v>1991</v>
      </c>
      <c r="B822" s="2234" t="str">
        <v>ITL</v>
      </c>
      <c r="C822" s="2234" t="str">
        <v>意大利里拉（ITL）</v>
      </c>
      <c r="D822" s="2234" t="str">
        <v>可用</v>
      </c>
      <c r="E822" s="2238" t="n">
        <v>1240.6457999295292</v>
      </c>
      <c r="F822" s="2234" t="str">
        <v>年均</v>
      </c>
      <c r="G822" s="2234" t="str">
        <v>OECD via FRED：IT年均汇率（欧元单位回溯序列）</v>
      </c>
      <c r="H822" s="2234" t="str">
        <v>https://fred.stlouisfed.org/data/CCUSMA02ITA618N</v>
      </c>
      <c r="I822" s="2234" t="str">
        <v>1991-01-01—1991-12-31</v>
      </c>
      <c r="J822" s="2234" t="str">
        <v>historical_exchange_rates_1920_2026.xlsx</v>
      </c>
      <c r="K822" s="2234" t="str">
        <v>由欧元回溯单位还原当年本币；非当年实际欧元报价。 欧元回溯单位按不可撤销转换率还原；法国1960年前另乘100。
原序列单位为回溯欧元；乘不可撤销转换率还原当年本币。法国1957–1959另乘100还原旧法郎。</v>
      </c>
      <c r="L822" s="2234" t="str">
        <v>原报价已按 1 美元兑换本币表示。乘以 1936.27，还原当年币制的计价单位。</v>
      </c>
      <c r="M822" s="2234" t="str">
        <v>1991|意大利里拉（ITL）</v>
      </c>
      <c r="N822" s="2234" t="str">
        <v>意大利里拉（ITL）</v>
      </c>
      <c r="O822" s="2239" t="n">
        <v>0.6407400827</v>
      </c>
      <c r="P822" s="2234" t="str">
        <v>LCU/USD</v>
      </c>
      <c r="Q822" s="2239" t="n">
        <v>1936.27</v>
      </c>
      <c r="R822" s="2234" t="str">
        <v>A：机构统计／原始统计表</v>
      </c>
      <c r="S822" s="2234" t="str">
        <v>年度汇率!G77；原始记录!A660:M660</v>
      </c>
      <c r="T822" s="2234" t="str"/>
      <c r="U822" t="n" s="2231">
        <v>1996</v>
      </c>
      <c r="V822" t="str" s="2231">
        <v>人民币元（1955币制；CNY）</v>
      </c>
    </row>
    <row r="823" ht="15.0" customHeight="1">
      <c r="A823" s="2234" t="n">
        <v>1991</v>
      </c>
      <c r="B823" s="2234" t="str">
        <v>JPY</v>
      </c>
      <c r="C823" s="2234" t="str">
        <v>日元（JPY）</v>
      </c>
      <c r="D823" s="2234" t="str">
        <v>可用</v>
      </c>
      <c r="E823" s="2238" t="n">
        <v>134.5909</v>
      </c>
      <c r="F823" s="2234" t="str">
        <v>年均</v>
      </c>
      <c r="G823" s="2234" t="str">
        <v>Federal Reserve G.5A / FRED AEXJPUS</v>
      </c>
      <c r="H823" s="2234" t="str">
        <v>https://fred.stlouisfed.org/data/AEXJPUS</v>
      </c>
      <c r="I823" s="2234" t="str">
        <v>1991-01-01—1991-12-31</v>
      </c>
      <c r="J823" s="2234" t="str">
        <v>historical_exchange_rates_1920_2026.xlsx</v>
      </c>
      <c r="K823" s="2234" t="str"/>
      <c r="L823" s="2234" t="str">
        <v>原报价已按 1 美元兑换本币表示。</v>
      </c>
      <c r="M823" s="2234" t="str">
        <v>1991|日元（JPY）</v>
      </c>
      <c r="N823" s="2234" t="str">
        <v>日元（JPY）</v>
      </c>
      <c r="O823" s="2239" t="n">
        <v>134.5909</v>
      </c>
      <c r="P823" s="2234" t="str">
        <v>LCU/USD</v>
      </c>
      <c r="Q823" s="2239" t="n">
        <v>1</v>
      </c>
      <c r="R823" s="2234" t="str">
        <v>A：机构统计／原始统计表</v>
      </c>
      <c r="S823" s="2234" t="str">
        <v>年度汇率!H77；原始记录!A661:M661</v>
      </c>
      <c r="T823" s="2234" t="str"/>
      <c r="U823" t="n" s="2231">
        <v>1997</v>
      </c>
      <c r="V823" t="str" s="2231">
        <v>美元（USD）</v>
      </c>
    </row>
    <row r="824" ht="15.0" customHeight="1">
      <c r="A824" s="2234" t="n">
        <v>1991</v>
      </c>
      <c r="B824" s="2234" t="str">
        <v>CHF</v>
      </c>
      <c r="C824" s="2234" t="str">
        <v>瑞士法郎（CHF）</v>
      </c>
      <c r="D824" s="2234" t="str">
        <v>可用</v>
      </c>
      <c r="E824" s="2238" t="n">
        <v>1.4356</v>
      </c>
      <c r="F824" s="2234" t="str">
        <v>年均</v>
      </c>
      <c r="G824" s="2234" t="str">
        <v>Federal Reserve G.5A / FRED AEXSZUS</v>
      </c>
      <c r="H824" s="2234" t="str">
        <v>https://fred.stlouisfed.org/data/AEXSZUS</v>
      </c>
      <c r="I824" s="2234" t="str">
        <v>1991-01-01—1991-12-31</v>
      </c>
      <c r="J824" s="2234" t="str">
        <v>historical_exchange_rates_1920_2026.xlsx</v>
      </c>
      <c r="K824" s="2234" t="str"/>
      <c r="L824" s="2234" t="str">
        <v>原报价已按 1 美元兑换本币表示。</v>
      </c>
      <c r="M824" s="2234" t="str">
        <v>1991|瑞士法郎（CHF）</v>
      </c>
      <c r="N824" s="2234" t="str">
        <v>瑞士法郎（CHF）</v>
      </c>
      <c r="O824" s="2239" t="n">
        <v>1.4356</v>
      </c>
      <c r="P824" s="2234" t="str">
        <v>LCU/USD</v>
      </c>
      <c r="Q824" s="2239" t="n">
        <v>1</v>
      </c>
      <c r="R824" s="2234" t="str">
        <v>A：机构统计／原始统计表</v>
      </c>
      <c r="S824" s="2234" t="str">
        <v>年度汇率!I77；原始记录!A662:M662</v>
      </c>
      <c r="T824" s="2234" t="str"/>
      <c r="U824" t="n" s="2231">
        <v>1997</v>
      </c>
      <c r="V824" t="str" s="2231">
        <v>英镑（GBP）</v>
      </c>
    </row>
    <row r="825" ht="15.0" customHeight="1">
      <c r="A825" s="2234" t="n">
        <v>1991</v>
      </c>
      <c r="B825" s="2234" t="str">
        <v>INR</v>
      </c>
      <c r="C825" s="2234" t="str">
        <v>印度卢比（INR）</v>
      </c>
      <c r="D825" s="2234" t="str">
        <v>可用</v>
      </c>
      <c r="E825" s="2238" t="n">
        <v>22.7116</v>
      </c>
      <c r="F825" s="2234" t="str">
        <v>年均</v>
      </c>
      <c r="G825" s="2234" t="str">
        <v>Federal Reserve G.5A / FRED AEXINUS</v>
      </c>
      <c r="H825" s="2234" t="str">
        <v>https://fred.stlouisfed.org/data/AEXINUS</v>
      </c>
      <c r="I825" s="2234" t="str">
        <v>1991-01-01—1991-12-31</v>
      </c>
      <c r="J825" s="2234" t="str">
        <v>historical_exchange_rates_1920_2026.xlsx</v>
      </c>
      <c r="K825" s="2234" t="str"/>
      <c r="L825" s="2234" t="str">
        <v>原报价已按 1 美元兑换本币表示。</v>
      </c>
      <c r="M825" s="2234" t="str">
        <v>1991|印度卢比（INR）</v>
      </c>
      <c r="N825" s="2234" t="str">
        <v>印度卢比（INR）</v>
      </c>
      <c r="O825" s="2239" t="n">
        <v>22.7116</v>
      </c>
      <c r="P825" s="2234" t="str">
        <v>LCU/USD</v>
      </c>
      <c r="Q825" s="2239" t="n">
        <v>1</v>
      </c>
      <c r="R825" s="2234" t="str">
        <v>A：机构统计／原始统计表</v>
      </c>
      <c r="S825" s="2234" t="str">
        <v>年度汇率!J77；原始记录!A663:M663</v>
      </c>
      <c r="T825" s="2234" t="str"/>
      <c r="U825" t="n" s="2231">
        <v>1997</v>
      </c>
      <c r="V825" t="str" s="2231">
        <v>加拿大元（CAD）</v>
      </c>
    </row>
    <row r="826" ht="36.0" customHeight="1">
      <c r="A826" s="2234" t="n">
        <v>1991</v>
      </c>
      <c r="B826" s="2234" t="str">
        <v>SUR_1961</v>
      </c>
      <c r="C826" s="2234" t="str">
        <v>苏联卢布（1961币制）</v>
      </c>
      <c r="D826" s="2234" t="str">
        <v>可用</v>
      </c>
      <c r="E826" s="2238" t="n">
        <v>0.5605</v>
      </c>
      <c r="F826" s="2234" t="str">
        <v>定点官价参考（非年均）</v>
      </c>
      <c r="G826" s="2234" t="str">
        <v>苏联卢布历史官价表（Wikipedia转引俄央行历史档案）</v>
      </c>
      <c r="H826" s="2234" t="str">
        <v>https://en.wikipedia.org/wiki/Soviet_ruble#Exchange_rates</v>
      </c>
      <c r="I826" s="2234" t="str">
        <v>1991-01-02</v>
      </c>
      <c r="J826" s="2234" t="str">
        <v>historical_exchange_rates_1920_2026.xlsx</v>
      </c>
      <c r="K826"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826" s="2234" t="str">
        <v>原报价已按 1 美元兑换本币表示。</v>
      </c>
      <c r="M826" s="2234" t="str">
        <v>1991|苏联卢布（1961币制）</v>
      </c>
      <c r="N826" s="2234" t="str">
        <v>苏联卢布（1961币制）</v>
      </c>
      <c r="O826" s="2239" t="n">
        <v>0.5605</v>
      </c>
      <c r="P826" s="2234" t="str">
        <v>LCU/USD</v>
      </c>
      <c r="Q826" s="2239" t="n">
        <v>1</v>
      </c>
      <c r="R826" s="2234" t="str">
        <v>C：二手转引（原档未复核）</v>
      </c>
      <c r="S826" s="2234" t="str">
        <v>年度汇率!K77；原始记录!A664:M664</v>
      </c>
      <c r="T826" s="2234" t="str">
        <v>官价参考，并非市场年均汇率</v>
      </c>
      <c r="U826" t="n" s="2231">
        <v>1997</v>
      </c>
      <c r="V826" t="str" s="2231">
        <v>法国法郎（FRF；1960币制）</v>
      </c>
    </row>
    <row r="827" ht="15.0" customHeight="1">
      <c r="A827" s="2234" t="n">
        <v>1991</v>
      </c>
      <c r="B827" s="2234" t="str">
        <v>CNY</v>
      </c>
      <c r="C827" s="2234" t="str">
        <v>人民币元（1955币制；CNY）</v>
      </c>
      <c r="D827" s="2234" t="str">
        <v>可用</v>
      </c>
      <c r="E827" s="2238" t="n">
        <v>5.3337</v>
      </c>
      <c r="F827" s="2234" t="str">
        <v>年均</v>
      </c>
      <c r="G827" s="2234" t="str">
        <v>Federal Reserve G.5A / FRED AEXCHUS</v>
      </c>
      <c r="H827" s="2234" t="str">
        <v>https://fred.stlouisfed.org/data/AEXCHUS</v>
      </c>
      <c r="I827" s="2234" t="str">
        <v>1991-01-01—1991-12-31</v>
      </c>
      <c r="J827" s="2234" t="str">
        <v>historical_exchange_rates_1920_2026.xlsx</v>
      </c>
      <c r="K827" s="2234" t="str"/>
      <c r="L827" s="2234" t="str">
        <v>原报价已按 1 美元兑换本币表示。</v>
      </c>
      <c r="M827" s="2234" t="str">
        <v>1991|人民币元（1955币制；CNY）</v>
      </c>
      <c r="N827" s="2234" t="str">
        <v>人民币元（1955币制；CNY）</v>
      </c>
      <c r="O827" s="2239" t="n">
        <v>5.3337</v>
      </c>
      <c r="P827" s="2234" t="str">
        <v>LCU/USD</v>
      </c>
      <c r="Q827" s="2239" t="n">
        <v>1</v>
      </c>
      <c r="R827" s="2234" t="str">
        <v>A：机构统计／原始统计表</v>
      </c>
      <c r="S827" s="2234" t="str">
        <v>年度汇率!L77；原始记录!A665:M665</v>
      </c>
      <c r="T827" s="2234" t="str"/>
      <c r="U827" t="n" s="2231">
        <v>1997</v>
      </c>
      <c r="V827" t="str" s="2231">
        <v>德国马克（DEM）</v>
      </c>
    </row>
    <row r="828" ht="15.0" customHeight="1">
      <c r="A828" s="2234" t="n">
        <v>1992</v>
      </c>
      <c r="B828" s="2234" t="str">
        <v>USD</v>
      </c>
      <c r="C828" s="2234" t="str">
        <v>美元（USD）</v>
      </c>
      <c r="D828" s="2234" t="str">
        <v>可用</v>
      </c>
      <c r="E828" s="2238" t="n">
        <v>1</v>
      </c>
      <c r="F828" s="2234" t="str">
        <v>基准恒等</v>
      </c>
      <c r="G828" s="2234" t="str">
        <v>用户提供的历史汇率表</v>
      </c>
      <c r="H828" s="2234" t="str"/>
      <c r="I828" s="2234" t="str">
        <v>1992</v>
      </c>
      <c r="J828" s="2234" t="str">
        <v>historical_exchange_rates_1920_2026.xlsx</v>
      </c>
      <c r="K828" s="2234" t="str">
        <v>1 美元等于 1 美元，无外部报价。</v>
      </c>
      <c r="L828" s="2234" t="str">
        <v>美元基准，汇率恒为 1。</v>
      </c>
      <c r="M828" s="2234" t="str">
        <v>1992|美元（USD）</v>
      </c>
      <c r="N828" s="2234" t="str">
        <v>美元（USD）</v>
      </c>
      <c r="O828" s="2239"/>
      <c r="P828" s="2234" t="str"/>
      <c r="Q828" s="2239"/>
      <c r="R828" s="2234" t="str"/>
      <c r="S828" s="2234" t="str">
        <v>年度汇率!B78</v>
      </c>
      <c r="T828" s="2234" t="str"/>
      <c r="U828" t="n" s="2231">
        <v>1997</v>
      </c>
      <c r="V828" t="str" s="2231">
        <v>意大利里拉（ITL）</v>
      </c>
    </row>
    <row r="829" ht="24.0" customHeight="1">
      <c r="A829" s="2234" t="n">
        <v>1992</v>
      </c>
      <c r="B829" s="2234" t="str">
        <v>GBP</v>
      </c>
      <c r="C829" s="2234" t="str">
        <v>英镑（GBP）</v>
      </c>
      <c r="D829" s="2234" t="str">
        <v>可用</v>
      </c>
      <c r="E829" s="2238" t="n">
        <v>0.5661552397667441</v>
      </c>
      <c r="F829" s="2234" t="str">
        <v>年均</v>
      </c>
      <c r="G829" s="2234" t="str">
        <v>Federal Reserve G.5A / FRED AEXUSUK</v>
      </c>
      <c r="H829" s="2234" t="str">
        <v>https://fred.stlouisfed.org/data/AEXUSUK</v>
      </c>
      <c r="I829" s="2234" t="str">
        <v>1992-01-01—1992-12-31</v>
      </c>
      <c r="J829" s="2234" t="str">
        <v>historical_exchange_rates_1920_2026.xlsx</v>
      </c>
      <c r="K829" s="2234" t="str">
        <v>反向值由原报价均值取倒数；不等于反向日度汇率的算术平均。
年均USD/GBP；主表取倒数，不等于逐日GBP/USD平均。</v>
      </c>
      <c r="L829" s="2234" t="str">
        <v>原报价为每单位本币兑美元，取原报价均值的倒数；不等于反向日度汇率的算术平均。</v>
      </c>
      <c r="M829" s="2234" t="str">
        <v>1992|英镑（GBP）</v>
      </c>
      <c r="N829" s="2234" t="str">
        <v>英镑（GBP）</v>
      </c>
      <c r="O829" s="2239" t="n">
        <v>1.7663</v>
      </c>
      <c r="P829" s="2234" t="str">
        <v>USD/LCU</v>
      </c>
      <c r="Q829" s="2239" t="n">
        <v>1</v>
      </c>
      <c r="R829" s="2234" t="str">
        <v>A：机构统计／原始统计表</v>
      </c>
      <c r="S829" s="2234" t="str">
        <v>年度汇率!C78；原始记录!A666:M666</v>
      </c>
      <c r="T829" s="2234" t="str"/>
      <c r="U829" t="n" s="2231">
        <v>1997</v>
      </c>
      <c r="V829" t="str" s="2231">
        <v>日元（JPY）</v>
      </c>
    </row>
    <row r="830" ht="15.0" customHeight="1">
      <c r="A830" s="2234" t="n">
        <v>1992</v>
      </c>
      <c r="B830" s="2234" t="str">
        <v>CAD</v>
      </c>
      <c r="C830" s="2234" t="str">
        <v>加拿大元（CAD）</v>
      </c>
      <c r="D830" s="2234" t="str">
        <v>可用</v>
      </c>
      <c r="E830" s="2238" t="n">
        <v>1.2085</v>
      </c>
      <c r="F830" s="2234" t="str">
        <v>年均</v>
      </c>
      <c r="G830" s="2234" t="str">
        <v>Federal Reserve G.5A / FRED AEXCAUS</v>
      </c>
      <c r="H830" s="2234" t="str">
        <v>https://fred.stlouisfed.org/data/AEXCAUS</v>
      </c>
      <c r="I830" s="2234" t="str">
        <v>1992-01-01—1992-12-31</v>
      </c>
      <c r="J830" s="2234" t="str">
        <v>historical_exchange_rates_1920_2026.xlsx</v>
      </c>
      <c r="K830" s="2234" t="str"/>
      <c r="L830" s="2234" t="str">
        <v>原报价已按 1 美元兑换本币表示。</v>
      </c>
      <c r="M830" s="2234" t="str">
        <v>1992|加拿大元（CAD）</v>
      </c>
      <c r="N830" s="2234" t="str">
        <v>加拿大元（CAD）</v>
      </c>
      <c r="O830" s="2239" t="n">
        <v>1.2085</v>
      </c>
      <c r="P830" s="2234" t="str">
        <v>LCU/USD</v>
      </c>
      <c r="Q830" s="2239" t="n">
        <v>1</v>
      </c>
      <c r="R830" s="2234" t="str">
        <v>A：机构统计／原始统计表</v>
      </c>
      <c r="S830" s="2234" t="str">
        <v>年度汇率!D78；原始记录!A667:M667</v>
      </c>
      <c r="T830" s="2234" t="str"/>
      <c r="U830" t="n" s="2231">
        <v>1997</v>
      </c>
      <c r="V830" t="str" s="2231">
        <v>瑞士法郎（CHF）</v>
      </c>
    </row>
    <row r="831" ht="36.0" customHeight="1">
      <c r="A831" s="2234" t="n">
        <v>1992</v>
      </c>
      <c r="B831" s="2234" t="str">
        <v>FRF</v>
      </c>
      <c r="C831" s="2234" t="str">
        <v>法国法郎（FRF；1960币制）</v>
      </c>
      <c r="D831" s="2234" t="str">
        <v>可用</v>
      </c>
      <c r="E831" s="2238" t="n">
        <v>5.293699999674125</v>
      </c>
      <c r="F831" s="2234" t="str">
        <v>年均</v>
      </c>
      <c r="G831" s="2234" t="str">
        <v>OECD via FRED：FR年均汇率（欧元单位回溯序列）</v>
      </c>
      <c r="H831" s="2234" t="str">
        <v>https://fred.stlouisfed.org/data/CCUSMA02FRA618N</v>
      </c>
      <c r="I831" s="2234" t="str">
        <v>1992-01-01—1992-12-31</v>
      </c>
      <c r="J831" s="2234" t="str">
        <v>historical_exchange_rates_1920_2026.xlsx</v>
      </c>
      <c r="K831" s="2234" t="str">
        <v>由欧元回溯单位还原当年本币；非当年实际欧元报价。 欧元回溯单位按不可撤销转换率还原；法国1960年前另乘100。
原序列单位为回溯欧元；乘不可撤销转换率还原当年本币。法国1957–1959另乘100还原旧法郎。</v>
      </c>
      <c r="L831" s="2234" t="str">
        <v>原报价已按 1 美元兑换本币表示。乘以 6.55957，还原当年币制的计价单位。</v>
      </c>
      <c r="M831" s="2234" t="str">
        <v>1992|法国法郎（FRF；1960币制）</v>
      </c>
      <c r="N831" s="2234" t="str">
        <v>法国法郎（FRF；1960币制）</v>
      </c>
      <c r="O831" s="2239" t="n">
        <v>0.8070193625</v>
      </c>
      <c r="P831" s="2234" t="str">
        <v>LCU/USD</v>
      </c>
      <c r="Q831" s="2239" t="n">
        <v>6.55957</v>
      </c>
      <c r="R831" s="2234" t="str">
        <v>A：机构统计／原始统计表</v>
      </c>
      <c r="S831" s="2234" t="str">
        <v>年度汇率!E78；原始记录!A668:M668</v>
      </c>
      <c r="T831" s="2234" t="str"/>
      <c r="U831" t="n" s="2231">
        <v>1997</v>
      </c>
      <c r="V831" t="str" s="2231">
        <v>印度卢比（INR）</v>
      </c>
    </row>
    <row r="832" ht="36.0" customHeight="1">
      <c r="A832" s="2234" t="n">
        <v>1992</v>
      </c>
      <c r="B832" s="2234" t="str">
        <v>DEM</v>
      </c>
      <c r="C832" s="2234" t="str">
        <v>德国马克（DEM）</v>
      </c>
      <c r="D832" s="2234" t="str">
        <v>可用</v>
      </c>
      <c r="E832" s="2238" t="n">
        <v>1.5619499999326538</v>
      </c>
      <c r="F832" s="2234" t="str">
        <v>年均</v>
      </c>
      <c r="G832" s="2234" t="str">
        <v>OECD via FRED：DE年均汇率（欧元单位回溯序列）</v>
      </c>
      <c r="H832" s="2234" t="str">
        <v>https://fred.stlouisfed.org/data/CCUSMA02DEA618N</v>
      </c>
      <c r="I832" s="2234" t="str">
        <v>1992-01-01—1992-12-31</v>
      </c>
      <c r="J832" s="2234" t="str">
        <v>historical_exchange_rates_1920_2026.xlsx</v>
      </c>
      <c r="K832" s="2234" t="str">
        <v>由欧元回溯单位还原当年本币；非当年实际欧元报价。 欧元回溯单位按不可撤销转换率还原；法国1960年前另乘100。
原序列单位为回溯欧元；乘不可撤销转换率还原当年本币。法国1957–1959另乘100还原旧法郎。</v>
      </c>
      <c r="L832" s="2234" t="str">
        <v>原报价已按 1 美元兑换本币表示。乘以 1.95583，还原当年币制的计价单位。</v>
      </c>
      <c r="M832" s="2234" t="str">
        <v>1992|德国马克（DEM）</v>
      </c>
      <c r="N832" s="2234" t="str">
        <v>德国马克（DEM）</v>
      </c>
      <c r="O832" s="2239" t="n">
        <v>0.7986123538</v>
      </c>
      <c r="P832" s="2234" t="str">
        <v>LCU/USD</v>
      </c>
      <c r="Q832" s="2239" t="n">
        <v>1.95583</v>
      </c>
      <c r="R832" s="2234" t="str">
        <v>A：机构统计／原始统计表</v>
      </c>
      <c r="S832" s="2234" t="str">
        <v>年度汇率!F78、年度汇率!M78；原始记录!A669:M669</v>
      </c>
      <c r="T832" s="2234" t="str"/>
      <c r="U832" t="n" s="2231">
        <v>1997</v>
      </c>
      <c r="V832" t="str" s="2231">
        <v>俄罗斯旧卢布（RUR）</v>
      </c>
    </row>
    <row r="833" ht="36.0" customHeight="1">
      <c r="A833" s="2234" t="n">
        <v>1992</v>
      </c>
      <c r="B833" s="2234" t="str">
        <v>ITL</v>
      </c>
      <c r="C833" s="2234" t="str">
        <v>意大利里拉（ITL）</v>
      </c>
      <c r="D833" s="2234" t="str">
        <v>可用</v>
      </c>
      <c r="E833" s="2238" t="n">
        <v>1232.026925038231</v>
      </c>
      <c r="F833" s="2234" t="str">
        <v>年均</v>
      </c>
      <c r="G833" s="2234" t="str">
        <v>OECD via FRED：IT年均汇率（欧元单位回溯序列）</v>
      </c>
      <c r="H833" s="2234" t="str">
        <v>https://fred.stlouisfed.org/data/CCUSMA02ITA618N</v>
      </c>
      <c r="I833" s="2234" t="str">
        <v>1992-01-01—1992-12-31</v>
      </c>
      <c r="J833" s="2234" t="str">
        <v>historical_exchange_rates_1920_2026.xlsx</v>
      </c>
      <c r="K833" s="2234" t="str">
        <v>由欧元回溯单位还原当年本币；非当年实际欧元报价。 欧元回溯单位按不可撤销转换率还原；法国1960年前另乘100。
原序列单位为回溯欧元；乘不可撤销转换率还原当年本币。法国1957–1959另乘100还原旧法郎。</v>
      </c>
      <c r="L833" s="2234" t="str">
        <v>原报价已按 1 美元兑换本币表示。乘以 1936.27，还原当年币制的计价单位。</v>
      </c>
      <c r="M833" s="2234" t="str">
        <v>1992|意大利里拉（ITL）</v>
      </c>
      <c r="N833" s="2234" t="str">
        <v>意大利里拉（ITL）</v>
      </c>
      <c r="O833" s="2239" t="n">
        <v>0.6362888053</v>
      </c>
      <c r="P833" s="2234" t="str">
        <v>LCU/USD</v>
      </c>
      <c r="Q833" s="2239" t="n">
        <v>1936.27</v>
      </c>
      <c r="R833" s="2234" t="str">
        <v>A：机构统计／原始统计表</v>
      </c>
      <c r="S833" s="2234" t="str">
        <v>年度汇率!G78；原始记录!A670:M670</v>
      </c>
      <c r="T833" s="2234" t="str"/>
      <c r="U833" t="n" s="2231">
        <v>1997</v>
      </c>
      <c r="V833" t="str" s="2231">
        <v>人民币元（1955币制；CNY）</v>
      </c>
    </row>
    <row r="834" ht="15.0" customHeight="1">
      <c r="A834" s="2234" t="n">
        <v>1992</v>
      </c>
      <c r="B834" s="2234" t="str">
        <v>JPY</v>
      </c>
      <c r="C834" s="2234" t="str">
        <v>日元（JPY）</v>
      </c>
      <c r="D834" s="2234" t="str">
        <v>可用</v>
      </c>
      <c r="E834" s="2238" t="n">
        <v>126.7801</v>
      </c>
      <c r="F834" s="2234" t="str">
        <v>年均</v>
      </c>
      <c r="G834" s="2234" t="str">
        <v>Federal Reserve G.5A / FRED AEXJPUS</v>
      </c>
      <c r="H834" s="2234" t="str">
        <v>https://fred.stlouisfed.org/data/AEXJPUS</v>
      </c>
      <c r="I834" s="2234" t="str">
        <v>1992-01-01—1992-12-31</v>
      </c>
      <c r="J834" s="2234" t="str">
        <v>historical_exchange_rates_1920_2026.xlsx</v>
      </c>
      <c r="K834" s="2234" t="str"/>
      <c r="L834" s="2234" t="str">
        <v>原报价已按 1 美元兑换本币表示。</v>
      </c>
      <c r="M834" s="2234" t="str">
        <v>1992|日元（JPY）</v>
      </c>
      <c r="N834" s="2234" t="str">
        <v>日元（JPY）</v>
      </c>
      <c r="O834" s="2239" t="n">
        <v>126.7801</v>
      </c>
      <c r="P834" s="2234" t="str">
        <v>LCU/USD</v>
      </c>
      <c r="Q834" s="2239" t="n">
        <v>1</v>
      </c>
      <c r="R834" s="2234" t="str">
        <v>A：机构统计／原始统计表</v>
      </c>
      <c r="S834" s="2234" t="str">
        <v>年度汇率!H78；原始记录!A671:M671</v>
      </c>
      <c r="T834" s="2234" t="str"/>
      <c r="U834" t="n" s="2231">
        <v>1998</v>
      </c>
      <c r="V834" t="str" s="2231">
        <v>美元（USD）</v>
      </c>
    </row>
    <row r="835" ht="15.0" customHeight="1">
      <c r="A835" s="2234" t="n">
        <v>1992</v>
      </c>
      <c r="B835" s="2234" t="str">
        <v>CHF</v>
      </c>
      <c r="C835" s="2234" t="str">
        <v>瑞士法郎（CHF）</v>
      </c>
      <c r="D835" s="2234" t="str">
        <v>可用</v>
      </c>
      <c r="E835" s="2238" t="n">
        <v>1.4064</v>
      </c>
      <c r="F835" s="2234" t="str">
        <v>年均</v>
      </c>
      <c r="G835" s="2234" t="str">
        <v>Federal Reserve G.5A / FRED AEXSZUS</v>
      </c>
      <c r="H835" s="2234" t="str">
        <v>https://fred.stlouisfed.org/data/AEXSZUS</v>
      </c>
      <c r="I835" s="2234" t="str">
        <v>1992-01-01—1992-12-31</v>
      </c>
      <c r="J835" s="2234" t="str">
        <v>historical_exchange_rates_1920_2026.xlsx</v>
      </c>
      <c r="K835" s="2234" t="str"/>
      <c r="L835" s="2234" t="str">
        <v>原报价已按 1 美元兑换本币表示。</v>
      </c>
      <c r="M835" s="2234" t="str">
        <v>1992|瑞士法郎（CHF）</v>
      </c>
      <c r="N835" s="2234" t="str">
        <v>瑞士法郎（CHF）</v>
      </c>
      <c r="O835" s="2239" t="n">
        <v>1.4064</v>
      </c>
      <c r="P835" s="2234" t="str">
        <v>LCU/USD</v>
      </c>
      <c r="Q835" s="2239" t="n">
        <v>1</v>
      </c>
      <c r="R835" s="2234" t="str">
        <v>A：机构统计／原始统计表</v>
      </c>
      <c r="S835" s="2234" t="str">
        <v>年度汇率!I78；原始记录!A672:M672</v>
      </c>
      <c r="T835" s="2234" t="str"/>
      <c r="U835" t="n" s="2231">
        <v>1998</v>
      </c>
      <c r="V835" t="str" s="2231">
        <v>英镑（GBP）</v>
      </c>
    </row>
    <row r="836" ht="15.0" customHeight="1">
      <c r="A836" s="2234" t="n">
        <v>1992</v>
      </c>
      <c r="B836" s="2234" t="str">
        <v>INR</v>
      </c>
      <c r="C836" s="2234" t="str">
        <v>印度卢比（INR）</v>
      </c>
      <c r="D836" s="2234" t="str">
        <v>可用</v>
      </c>
      <c r="E836" s="2238" t="n">
        <v>28.1558</v>
      </c>
      <c r="F836" s="2234" t="str">
        <v>年均</v>
      </c>
      <c r="G836" s="2234" t="str">
        <v>Federal Reserve G.5A / FRED AEXINUS</v>
      </c>
      <c r="H836" s="2234" t="str">
        <v>https://fred.stlouisfed.org/data/AEXINUS</v>
      </c>
      <c r="I836" s="2234" t="str">
        <v>1992-01-01—1992-12-31</v>
      </c>
      <c r="J836" s="2234" t="str">
        <v>historical_exchange_rates_1920_2026.xlsx</v>
      </c>
      <c r="K836" s="2234" t="str"/>
      <c r="L836" s="2234" t="str">
        <v>原报价已按 1 美元兑换本币表示。</v>
      </c>
      <c r="M836" s="2234" t="str">
        <v>1992|印度卢比（INR）</v>
      </c>
      <c r="N836" s="2234" t="str">
        <v>印度卢比（INR）</v>
      </c>
      <c r="O836" s="2239" t="n">
        <v>28.1558</v>
      </c>
      <c r="P836" s="2234" t="str">
        <v>LCU/USD</v>
      </c>
      <c r="Q836" s="2239" t="n">
        <v>1</v>
      </c>
      <c r="R836" s="2234" t="str">
        <v>A：机构统计／原始统计表</v>
      </c>
      <c r="S836" s="2234" t="str">
        <v>年度汇率!J78；原始记录!A673:M673</v>
      </c>
      <c r="T836" s="2234" t="str"/>
      <c r="U836" t="n" s="2231">
        <v>1998</v>
      </c>
      <c r="V836" t="str" s="2231">
        <v>加拿大元（CAD）</v>
      </c>
    </row>
    <row r="837" ht="36.0" customHeight="1">
      <c r="A837" s="2234" t="n">
        <v>1992</v>
      </c>
      <c r="B837" s="2234" t="str">
        <v>RUR</v>
      </c>
      <c r="C837" s="2234" t="str">
        <v>俄罗斯旧卢布（RUR）</v>
      </c>
      <c r="D837" s="2234" t="str">
        <v>可用</v>
      </c>
      <c r="E837" s="2238" t="n">
        <v>0.5549</v>
      </c>
      <c r="F837" s="2234" t="str">
        <v>定点官价参考（非年均）</v>
      </c>
      <c r="G837" s="2234" t="str">
        <v>苏联卢布历史官价表（Wikipedia转引俄央行历史档案）</v>
      </c>
      <c r="H837" s="2234" t="str">
        <v>https://en.wikipedia.org/wiki/Soviet_ruble#Exchange_rates</v>
      </c>
      <c r="I837" s="2234" t="str">
        <v>1992-01-01</v>
      </c>
      <c r="J837" s="2234" t="str">
        <v>historical_exchange_rates_1920_2026.xlsx</v>
      </c>
      <c r="K837" s="2234" t="str">
        <v>选取源表该年最早列出的日期，不代表该年平均、全年固定价或统一可成交价；原档案未复核。
二手转引，原俄央行历史页面本次无法访问。数值均为当时卢布／美元；区间官价与定点报价不是可自由兑换的市场年均价。</v>
      </c>
      <c r="L837" s="2234" t="str">
        <v>原报价已按 1 美元兑换本币表示。</v>
      </c>
      <c r="M837" s="2234" t="str">
        <v>1992|俄罗斯旧卢布（RUR）</v>
      </c>
      <c r="N837" s="2234" t="str">
        <v>俄罗斯旧卢布（RUR）</v>
      </c>
      <c r="O837" s="2239" t="n">
        <v>0.5549</v>
      </c>
      <c r="P837" s="2234" t="str">
        <v>LCU/USD</v>
      </c>
      <c r="Q837" s="2239" t="n">
        <v>1</v>
      </c>
      <c r="R837" s="2234" t="str">
        <v>C：二手转引（原档未复核）</v>
      </c>
      <c r="S837" s="2234" t="str">
        <v>年度汇率!K78；原始记录!A674:M674</v>
      </c>
      <c r="T837" s="2234" t="str">
        <v>官价参考，并非市场年均汇率</v>
      </c>
      <c r="U837" t="n" s="2231">
        <v>1998</v>
      </c>
      <c r="V837" t="str" s="2231">
        <v>法国法郎（FRF；1960币制）</v>
      </c>
    </row>
    <row r="838" ht="15.0" customHeight="1">
      <c r="A838" s="2234" t="n">
        <v>1992</v>
      </c>
      <c r="B838" s="2234" t="str">
        <v>CNY</v>
      </c>
      <c r="C838" s="2234" t="str">
        <v>人民币元（1955币制；CNY）</v>
      </c>
      <c r="D838" s="2234" t="str">
        <v>可用</v>
      </c>
      <c r="E838" s="2238" t="n">
        <v>5.5206</v>
      </c>
      <c r="F838" s="2234" t="str">
        <v>年均</v>
      </c>
      <c r="G838" s="2234" t="str">
        <v>Federal Reserve G.5A / FRED AEXCHUS</v>
      </c>
      <c r="H838" s="2234" t="str">
        <v>https://fred.stlouisfed.org/data/AEXCHUS</v>
      </c>
      <c r="I838" s="2234" t="str">
        <v>1992-01-01—1992-12-31</v>
      </c>
      <c r="J838" s="2234" t="str">
        <v>historical_exchange_rates_1920_2026.xlsx</v>
      </c>
      <c r="K838" s="2234" t="str"/>
      <c r="L838" s="2234" t="str">
        <v>原报价已按 1 美元兑换本币表示。</v>
      </c>
      <c r="M838" s="2234" t="str">
        <v>1992|人民币元（1955币制；CNY）</v>
      </c>
      <c r="N838" s="2234" t="str">
        <v>人民币元（1955币制；CNY）</v>
      </c>
      <c r="O838" s="2239" t="n">
        <v>5.5206</v>
      </c>
      <c r="P838" s="2234" t="str">
        <v>LCU/USD</v>
      </c>
      <c r="Q838" s="2239" t="n">
        <v>1</v>
      </c>
      <c r="R838" s="2234" t="str">
        <v>A：机构统计／原始统计表</v>
      </c>
      <c r="S838" s="2234" t="str">
        <v>年度汇率!L78；原始记录!A675:M675</v>
      </c>
      <c r="T838" s="2234" t="str"/>
      <c r="U838" t="n" s="2231">
        <v>1998</v>
      </c>
      <c r="V838" t="str" s="2231">
        <v>德国马克（DEM）</v>
      </c>
    </row>
    <row r="839" ht="15.0" customHeight="1">
      <c r="A839" s="2234" t="n">
        <v>1993</v>
      </c>
      <c r="B839" s="2234" t="str">
        <v>USD</v>
      </c>
      <c r="C839" s="2234" t="str">
        <v>美元（USD）</v>
      </c>
      <c r="D839" s="2234" t="str">
        <v>可用</v>
      </c>
      <c r="E839" s="2238" t="n">
        <v>1</v>
      </c>
      <c r="F839" s="2234" t="str">
        <v>基准恒等</v>
      </c>
      <c r="G839" s="2234" t="str">
        <v>用户提供的历史汇率表</v>
      </c>
      <c r="H839" s="2234" t="str"/>
      <c r="I839" s="2234" t="str">
        <v>1993</v>
      </c>
      <c r="J839" s="2234" t="str">
        <v>historical_exchange_rates_1920_2026.xlsx</v>
      </c>
      <c r="K839" s="2234" t="str">
        <v>1 美元等于 1 美元，无外部报价。</v>
      </c>
      <c r="L839" s="2234" t="str">
        <v>美元基准，汇率恒为 1。</v>
      </c>
      <c r="M839" s="2234" t="str">
        <v>1993|美元（USD）</v>
      </c>
      <c r="N839" s="2234" t="str">
        <v>美元（USD）</v>
      </c>
      <c r="O839" s="2239"/>
      <c r="P839" s="2234" t="str"/>
      <c r="Q839" s="2239"/>
      <c r="R839" s="2234" t="str"/>
      <c r="S839" s="2234" t="str">
        <v>年度汇率!B79</v>
      </c>
      <c r="T839" s="2234" t="str"/>
      <c r="U839" t="n" s="2231">
        <v>1998</v>
      </c>
      <c r="V839" t="str" s="2231">
        <v>意大利里拉（ITL）</v>
      </c>
    </row>
    <row r="840" ht="24.0" customHeight="1">
      <c r="A840" s="2234" t="n">
        <v>1993</v>
      </c>
      <c r="B840" s="2234" t="str">
        <v>GBP</v>
      </c>
      <c r="C840" s="2234" t="str">
        <v>英镑（GBP）</v>
      </c>
      <c r="D840" s="2234" t="str">
        <v>可用</v>
      </c>
      <c r="E840" s="2238" t="n">
        <v>0.6659563132658497</v>
      </c>
      <c r="F840" s="2234" t="str">
        <v>年均</v>
      </c>
      <c r="G840" s="2234" t="str">
        <v>Federal Reserve G.5A / FRED AEXUSUK</v>
      </c>
      <c r="H840" s="2234" t="str">
        <v>https://fred.stlouisfed.org/data/AEXUSUK</v>
      </c>
      <c r="I840" s="2234" t="str">
        <v>1993-01-01—1993-12-31</v>
      </c>
      <c r="J840" s="2234" t="str">
        <v>historical_exchange_rates_1920_2026.xlsx</v>
      </c>
      <c r="K840" s="2234" t="str">
        <v>反向值由原报价均值取倒数；不等于反向日度汇率的算术平均。
年均USD/GBP；主表取倒数，不等于逐日GBP/USD平均。</v>
      </c>
      <c r="L840" s="2234" t="str">
        <v>原报价为每单位本币兑美元，取原报价均值的倒数；不等于反向日度汇率的算术平均。</v>
      </c>
      <c r="M840" s="2234" t="str">
        <v>1993|英镑（GBP）</v>
      </c>
      <c r="N840" s="2234" t="str">
        <v>英镑（GBP）</v>
      </c>
      <c r="O840" s="2239" t="n">
        <v>1.5016</v>
      </c>
      <c r="P840" s="2234" t="str">
        <v>USD/LCU</v>
      </c>
      <c r="Q840" s="2239" t="n">
        <v>1</v>
      </c>
      <c r="R840" s="2234" t="str">
        <v>A：机构统计／原始统计表</v>
      </c>
      <c r="S840" s="2234" t="str">
        <v>年度汇率!C79；原始记录!A676:M676</v>
      </c>
      <c r="T840" s="2234" t="str"/>
      <c r="U840" t="n" s="2231">
        <v>1998</v>
      </c>
      <c r="V840" t="str" s="2231">
        <v>日元（JPY）</v>
      </c>
    </row>
    <row r="841" ht="15.0" customHeight="1">
      <c r="A841" s="2234" t="n">
        <v>1993</v>
      </c>
      <c r="B841" s="2234" t="str">
        <v>CAD</v>
      </c>
      <c r="C841" s="2234" t="str">
        <v>加拿大元（CAD）</v>
      </c>
      <c r="D841" s="2234" t="str">
        <v>可用</v>
      </c>
      <c r="E841" s="2238" t="n">
        <v>1.2902</v>
      </c>
      <c r="F841" s="2234" t="str">
        <v>年均</v>
      </c>
      <c r="G841" s="2234" t="str">
        <v>Federal Reserve G.5A / FRED AEXCAUS</v>
      </c>
      <c r="H841" s="2234" t="str">
        <v>https://fred.stlouisfed.org/data/AEXCAUS</v>
      </c>
      <c r="I841" s="2234" t="str">
        <v>1993-01-01—1993-12-31</v>
      </c>
      <c r="J841" s="2234" t="str">
        <v>historical_exchange_rates_1920_2026.xlsx</v>
      </c>
      <c r="K841" s="2234" t="str"/>
      <c r="L841" s="2234" t="str">
        <v>原报价已按 1 美元兑换本币表示。</v>
      </c>
      <c r="M841" s="2234" t="str">
        <v>1993|加拿大元（CAD）</v>
      </c>
      <c r="N841" s="2234" t="str">
        <v>加拿大元（CAD）</v>
      </c>
      <c r="O841" s="2239" t="n">
        <v>1.2902</v>
      </c>
      <c r="P841" s="2234" t="str">
        <v>LCU/USD</v>
      </c>
      <c r="Q841" s="2239" t="n">
        <v>1</v>
      </c>
      <c r="R841" s="2234" t="str">
        <v>A：机构统计／原始统计表</v>
      </c>
      <c r="S841" s="2234" t="str">
        <v>年度汇率!D79；原始记录!A677:M677</v>
      </c>
      <c r="T841" s="2234" t="str"/>
      <c r="U841" t="n" s="2231">
        <v>1998</v>
      </c>
      <c r="V841" t="str" s="2231">
        <v>瑞士法郎（CHF）</v>
      </c>
    </row>
    <row r="842" ht="36.0" customHeight="1">
      <c r="A842" s="2234" t="n">
        <v>1993</v>
      </c>
      <c r="B842" s="2234" t="str">
        <v>FRF</v>
      </c>
      <c r="C842" s="2234" t="str">
        <v>法国法郎（FRF；1960币制）</v>
      </c>
      <c r="D842" s="2234" t="str">
        <v>可用</v>
      </c>
      <c r="E842" s="2238" t="n">
        <v>5.6623166665332265</v>
      </c>
      <c r="F842" s="2234" t="str">
        <v>年均</v>
      </c>
      <c r="G842" s="2234" t="str">
        <v>OECD via FRED：FR年均汇率（欧元单位回溯序列）</v>
      </c>
      <c r="H842" s="2234" t="str">
        <v>https://fred.stlouisfed.org/data/CCUSMA02FRA618N</v>
      </c>
      <c r="I842" s="2234" t="str">
        <v>1993-01-01—1993-12-31</v>
      </c>
      <c r="J842" s="2234" t="str">
        <v>historical_exchange_rates_1920_2026.xlsx</v>
      </c>
      <c r="K842" s="2234" t="str">
        <v>由欧元回溯单位还原当年本币；非当年实际欧元报价。 欧元回溯单位按不可撤销转换率还原；法国1960年前另乘100。
原序列单位为回溯欧元；乘不可撤销转换率还原当年本币。法国1957–1959另乘100还原旧法郎。</v>
      </c>
      <c r="L842" s="2234" t="str">
        <v>原报价已按 1 美元兑换本币表示。乘以 6.55957，还原当年币制的计价单位。</v>
      </c>
      <c r="M842" s="2234" t="str">
        <v>1993|法国法郎（FRF；1960币制）</v>
      </c>
      <c r="N842" s="2234" t="str">
        <v>法国法郎（FRF；1960币制）</v>
      </c>
      <c r="O842" s="2239" t="n">
        <v>0.8632146111</v>
      </c>
      <c r="P842" s="2234" t="str">
        <v>LCU/USD</v>
      </c>
      <c r="Q842" s="2239" t="n">
        <v>6.55957</v>
      </c>
      <c r="R842" s="2234" t="str">
        <v>A：机构统计／原始统计表</v>
      </c>
      <c r="S842" s="2234" t="str">
        <v>年度汇率!E79；原始记录!A678:M678</v>
      </c>
      <c r="T842" s="2234" t="str"/>
      <c r="U842" t="n" s="2231">
        <v>1998</v>
      </c>
      <c r="V842" t="str" s="2231">
        <v>印度卢比（INR）</v>
      </c>
    </row>
    <row r="843" ht="36.0" customHeight="1">
      <c r="A843" s="2234" t="n">
        <v>1993</v>
      </c>
      <c r="B843" s="2234" t="str">
        <v>DEM</v>
      </c>
      <c r="C843" s="2234" t="str">
        <v>德国马克（DEM）</v>
      </c>
      <c r="D843" s="2234" t="str">
        <v>可用</v>
      </c>
      <c r="E843" s="2238" t="n">
        <v>1.6533083332406568</v>
      </c>
      <c r="F843" s="2234" t="str">
        <v>年均</v>
      </c>
      <c r="G843" s="2234" t="str">
        <v>OECD via FRED：DE年均汇率（欧元单位回溯序列）</v>
      </c>
      <c r="H843" s="2234" t="str">
        <v>https://fred.stlouisfed.org/data/CCUSMA02DEA618N</v>
      </c>
      <c r="I843" s="2234" t="str">
        <v>1993-01-01—1993-12-31</v>
      </c>
      <c r="J843" s="2234" t="str">
        <v>historical_exchange_rates_1920_2026.xlsx</v>
      </c>
      <c r="K843" s="2234" t="str">
        <v>由欧元回溯单位还原当年本币；非当年实际欧元报价。 欧元回溯单位按不可撤销转换率还原；法国1960年前另乘100。
原序列单位为回溯欧元；乘不可撤销转换率还原当年本币。法国1957–1959另乘100还原旧法郎。</v>
      </c>
      <c r="L843" s="2234" t="str">
        <v>原报价已按 1 美元兑换本币表示。乘以 1.95583，还原当年币制的计价单位。</v>
      </c>
      <c r="M843" s="2234" t="str">
        <v>1993|德国马克（DEM）</v>
      </c>
      <c r="N843" s="2234" t="str">
        <v>德国马克（DEM）</v>
      </c>
      <c r="O843" s="2239" t="n">
        <v>0.8453231279</v>
      </c>
      <c r="P843" s="2234" t="str">
        <v>LCU/USD</v>
      </c>
      <c r="Q843" s="2239" t="n">
        <v>1.95583</v>
      </c>
      <c r="R843" s="2234" t="str">
        <v>A：机构统计／原始统计表</v>
      </c>
      <c r="S843" s="2234" t="str">
        <v>年度汇率!F79、年度汇率!M79；原始记录!A679:M679</v>
      </c>
      <c r="T843" s="2234" t="str"/>
      <c r="U843" t="n" s="2231">
        <v>1998</v>
      </c>
      <c r="V843" t="str" s="2231">
        <v>俄罗斯卢布（RUB；1998币制）</v>
      </c>
    </row>
    <row r="844" ht="36.0" customHeight="1">
      <c r="A844" s="2234" t="n">
        <v>1993</v>
      </c>
      <c r="B844" s="2234" t="str">
        <v>ITL</v>
      </c>
      <c r="C844" s="2234" t="str">
        <v>意大利里拉（ITL）</v>
      </c>
      <c r="D844" s="2234" t="str">
        <v>可用</v>
      </c>
      <c r="E844" s="2238" t="n">
        <v>1571.658166695064</v>
      </c>
      <c r="F844" s="2234" t="str">
        <v>年均</v>
      </c>
      <c r="G844" s="2234" t="str">
        <v>OECD via FRED：IT年均汇率（欧元单位回溯序列）</v>
      </c>
      <c r="H844" s="2234" t="str">
        <v>https://fred.stlouisfed.org/data/CCUSMA02ITA618N</v>
      </c>
      <c r="I844" s="2234" t="str">
        <v>1993-01-01—1993-12-31</v>
      </c>
      <c r="J844" s="2234" t="str">
        <v>historical_exchange_rates_1920_2026.xlsx</v>
      </c>
      <c r="K844" s="2234" t="str">
        <v>由欧元回溯单位还原当年本币；非当年实际欧元报价。 欧元回溯单位按不可撤销转换率还原；法国1960年前另乘100。
原序列单位为回溯欧元；乘不可撤销转换率还原当年本币。法国1957–1959另乘100还原旧法郎。</v>
      </c>
      <c r="L844" s="2234" t="str">
        <v>原报价已按 1 美元兑换本币表示。乘以 1936.27，还原当年币制的计价单位。</v>
      </c>
      <c r="M844" s="2234" t="str">
        <v>1993|意大利里拉（ITL）</v>
      </c>
      <c r="N844" s="2234" t="str">
        <v>意大利里拉（ITL）</v>
      </c>
      <c r="O844" s="2239" t="n">
        <v>0.8116937032</v>
      </c>
      <c r="P844" s="2234" t="str">
        <v>LCU/USD</v>
      </c>
      <c r="Q844" s="2239" t="n">
        <v>1936.27</v>
      </c>
      <c r="R844" s="2234" t="str">
        <v>A：机构统计／原始统计表</v>
      </c>
      <c r="S844" s="2234" t="str">
        <v>年度汇率!G79；原始记录!A680:M680</v>
      </c>
      <c r="T844" s="2234" t="str"/>
      <c r="U844" t="n" s="2231">
        <v>1998</v>
      </c>
      <c r="V844" t="str" s="2231">
        <v>人民币元（1955币制；CNY）</v>
      </c>
    </row>
    <row r="845" ht="15.0" customHeight="1">
      <c r="A845" s="2234" t="n">
        <v>1993</v>
      </c>
      <c r="B845" s="2234" t="str">
        <v>JPY</v>
      </c>
      <c r="C845" s="2234" t="str">
        <v>日元（JPY）</v>
      </c>
      <c r="D845" s="2234" t="str">
        <v>可用</v>
      </c>
      <c r="E845" s="2238" t="n">
        <v>111.0755</v>
      </c>
      <c r="F845" s="2234" t="str">
        <v>年均</v>
      </c>
      <c r="G845" s="2234" t="str">
        <v>Federal Reserve G.5A / FRED AEXJPUS</v>
      </c>
      <c r="H845" s="2234" t="str">
        <v>https://fred.stlouisfed.org/data/AEXJPUS</v>
      </c>
      <c r="I845" s="2234" t="str">
        <v>1993-01-01—1993-12-31</v>
      </c>
      <c r="J845" s="2234" t="str">
        <v>historical_exchange_rates_1920_2026.xlsx</v>
      </c>
      <c r="K845" s="2234" t="str"/>
      <c r="L845" s="2234" t="str">
        <v>原报价已按 1 美元兑换本币表示。</v>
      </c>
      <c r="M845" s="2234" t="str">
        <v>1993|日元（JPY）</v>
      </c>
      <c r="N845" s="2234" t="str">
        <v>日元（JPY）</v>
      </c>
      <c r="O845" s="2239" t="n">
        <v>111.0755</v>
      </c>
      <c r="P845" s="2234" t="str">
        <v>LCU/USD</v>
      </c>
      <c r="Q845" s="2239" t="n">
        <v>1</v>
      </c>
      <c r="R845" s="2234" t="str">
        <v>A：机构统计／原始统计表</v>
      </c>
      <c r="S845" s="2234" t="str">
        <v>年度汇率!H79；原始记录!A681:M681</v>
      </c>
      <c r="T845" s="2234" t="str"/>
      <c r="U845" t="n" s="2231">
        <v>1999</v>
      </c>
      <c r="V845" t="str" s="2231">
        <v>美元（USD）</v>
      </c>
    </row>
    <row r="846" ht="15.0" customHeight="1">
      <c r="A846" s="2234" t="n">
        <v>1993</v>
      </c>
      <c r="B846" s="2234" t="str">
        <v>CHF</v>
      </c>
      <c r="C846" s="2234" t="str">
        <v>瑞士法郎（CHF）</v>
      </c>
      <c r="D846" s="2234" t="str">
        <v>可用</v>
      </c>
      <c r="E846" s="2238" t="n">
        <v>1.4781</v>
      </c>
      <c r="F846" s="2234" t="str">
        <v>年均</v>
      </c>
      <c r="G846" s="2234" t="str">
        <v>Federal Reserve G.5A / FRED AEXSZUS</v>
      </c>
      <c r="H846" s="2234" t="str">
        <v>https://fred.stlouisfed.org/data/AEXSZUS</v>
      </c>
      <c r="I846" s="2234" t="str">
        <v>1993-01-01—1993-12-31</v>
      </c>
      <c r="J846" s="2234" t="str">
        <v>historical_exchange_rates_1920_2026.xlsx</v>
      </c>
      <c r="K846" s="2234" t="str"/>
      <c r="L846" s="2234" t="str">
        <v>原报价已按 1 美元兑换本币表示。</v>
      </c>
      <c r="M846" s="2234" t="str">
        <v>1993|瑞士法郎（CHF）</v>
      </c>
      <c r="N846" s="2234" t="str">
        <v>瑞士法郎（CHF）</v>
      </c>
      <c r="O846" s="2239" t="n">
        <v>1.4781</v>
      </c>
      <c r="P846" s="2234" t="str">
        <v>LCU/USD</v>
      </c>
      <c r="Q846" s="2239" t="n">
        <v>1</v>
      </c>
      <c r="R846" s="2234" t="str">
        <v>A：机构统计／原始统计表</v>
      </c>
      <c r="S846" s="2234" t="str">
        <v>年度汇率!I79；原始记录!A682:M682</v>
      </c>
      <c r="T846" s="2234" t="str"/>
      <c r="U846" t="n" s="2231">
        <v>1999</v>
      </c>
      <c r="V846" t="str" s="2231">
        <v>英镑（GBP）</v>
      </c>
    </row>
    <row r="847" ht="15.0" customHeight="1">
      <c r="A847" s="2234" t="n">
        <v>1993</v>
      </c>
      <c r="B847" s="2234" t="str">
        <v>INR</v>
      </c>
      <c r="C847" s="2234" t="str">
        <v>印度卢比（INR）</v>
      </c>
      <c r="D847" s="2234" t="str">
        <v>可用</v>
      </c>
      <c r="E847" s="2238" t="n">
        <v>31.2911</v>
      </c>
      <c r="F847" s="2234" t="str">
        <v>年均</v>
      </c>
      <c r="G847" s="2234" t="str">
        <v>Federal Reserve G.5A / FRED AEXINUS</v>
      </c>
      <c r="H847" s="2234" t="str">
        <v>https://fred.stlouisfed.org/data/AEXINUS</v>
      </c>
      <c r="I847" s="2234" t="str">
        <v>1993-01-01—1993-12-31</v>
      </c>
      <c r="J847" s="2234" t="str">
        <v>historical_exchange_rates_1920_2026.xlsx</v>
      </c>
      <c r="K847" s="2234" t="str"/>
      <c r="L847" s="2234" t="str">
        <v>原报价已按 1 美元兑换本币表示。</v>
      </c>
      <c r="M847" s="2234" t="str">
        <v>1993|印度卢比（INR）</v>
      </c>
      <c r="N847" s="2234" t="str">
        <v>印度卢比（INR）</v>
      </c>
      <c r="O847" s="2239" t="n">
        <v>31.2911</v>
      </c>
      <c r="P847" s="2234" t="str">
        <v>LCU/USD</v>
      </c>
      <c r="Q847" s="2239" t="n">
        <v>1</v>
      </c>
      <c r="R847" s="2234" t="str">
        <v>A：机构统计／原始统计表</v>
      </c>
      <c r="S847" s="2234" t="str">
        <v>年度汇率!J79；原始记录!A683:M683</v>
      </c>
      <c r="T847" s="2234" t="str"/>
      <c r="U847" t="n" s="2231">
        <v>1999</v>
      </c>
      <c r="V847" t="str" s="2231">
        <v>加拿大元（CAD）</v>
      </c>
    </row>
    <row r="848" ht="24.0" customHeight="1">
      <c r="A848" s="2234" t="n">
        <v>1993</v>
      </c>
      <c r="B848" s="2234" t="str">
        <v>RUR</v>
      </c>
      <c r="C848" s="2234" t="str">
        <v>俄罗斯旧卢布（RUR）</v>
      </c>
      <c r="D848" s="2234" t="str">
        <v>可用</v>
      </c>
      <c r="E848" s="2238" t="n">
        <v>973.208815631083</v>
      </c>
      <c r="F848" s="2234" t="str">
        <v>年均</v>
      </c>
      <c r="G848" s="2234" t="str">
        <v>OECD Main Economic Indicators / FRED CCUSMA02RUA618N</v>
      </c>
      <c r="H848" s="2234" t="str">
        <v>https://fred.stlouisfed.org/data/CCUSMA02RUA618N</v>
      </c>
      <c r="I848" s="2234" t="str">
        <v>1993-01-01—1993-12-31</v>
      </c>
      <c r="J848" s="2234" t="str">
        <v>historical_exchange_rates_1920_2026.xlsx</v>
      </c>
      <c r="K848" s="2234" t="str">
        <v>源数据以1998年新卢布回溯表示，乘1000还原旧卢布；不是当年1美元不足1卢布。
原表1993—1997年以1998年新卢布回溯表示；本表乘1000还原当年的旧卢布。</v>
      </c>
      <c r="L848" s="2234" t="str">
        <v>原报价已按 1 美元兑换本币表示。乘以 1000，还原当年币制的计价单位。</v>
      </c>
      <c r="M848" s="2234" t="str">
        <v>1993|俄罗斯旧卢布（RUR）</v>
      </c>
      <c r="N848" s="2234" t="str">
        <v>俄罗斯旧卢布（RUR）</v>
      </c>
      <c r="O848" s="2239" t="n">
        <v>0.973208815631083</v>
      </c>
      <c r="P848" s="2234" t="str">
        <v>LCU/USD</v>
      </c>
      <c r="Q848" s="2239" t="n">
        <v>1000</v>
      </c>
      <c r="R848" s="2234" t="str">
        <v>A：机构统计／原始统计表</v>
      </c>
      <c r="S848" s="2234" t="str">
        <v>年度汇率!K79；原始记录!A684:M684</v>
      </c>
      <c r="T848" s="2234" t="str"/>
      <c r="U848" t="n" s="2231">
        <v>1999</v>
      </c>
      <c r="V848" t="str" s="2231">
        <v>日元（JPY）</v>
      </c>
    </row>
    <row r="849" ht="15.0" customHeight="1">
      <c r="A849" s="2234" t="n">
        <v>1993</v>
      </c>
      <c r="B849" s="2234" t="str">
        <v>CNY</v>
      </c>
      <c r="C849" s="2234" t="str">
        <v>人民币元（1955币制；CNY）</v>
      </c>
      <c r="D849" s="2234" t="str">
        <v>可用</v>
      </c>
      <c r="E849" s="2238" t="n">
        <v>5.7795</v>
      </c>
      <c r="F849" s="2234" t="str">
        <v>年均</v>
      </c>
      <c r="G849" s="2234" t="str">
        <v>Federal Reserve G.5A / FRED AEXCHUS</v>
      </c>
      <c r="H849" s="2234" t="str">
        <v>https://fred.stlouisfed.org/data/AEXCHUS</v>
      </c>
      <c r="I849" s="2234" t="str">
        <v>1993-01-01—1993-12-31</v>
      </c>
      <c r="J849" s="2234" t="str">
        <v>historical_exchange_rates_1920_2026.xlsx</v>
      </c>
      <c r="K849" s="2234" t="str"/>
      <c r="L849" s="2234" t="str">
        <v>原报价已按 1 美元兑换本币表示。</v>
      </c>
      <c r="M849" s="2234" t="str">
        <v>1993|人民币元（1955币制；CNY）</v>
      </c>
      <c r="N849" s="2234" t="str">
        <v>人民币元（1955币制；CNY）</v>
      </c>
      <c r="O849" s="2239" t="n">
        <v>5.7795</v>
      </c>
      <c r="P849" s="2234" t="str">
        <v>LCU/USD</v>
      </c>
      <c r="Q849" s="2239" t="n">
        <v>1</v>
      </c>
      <c r="R849" s="2234" t="str">
        <v>A：机构统计／原始统计表</v>
      </c>
      <c r="S849" s="2234" t="str">
        <v>年度汇率!L79；原始记录!A685:M685</v>
      </c>
      <c r="T849" s="2234" t="str"/>
      <c r="U849" t="n" s="2231">
        <v>1999</v>
      </c>
      <c r="V849" t="str" s="2231">
        <v>瑞士法郎（CHF）</v>
      </c>
    </row>
    <row r="850" ht="15.0" customHeight="1">
      <c r="A850" s="2234" t="n">
        <v>1994</v>
      </c>
      <c r="B850" s="2234" t="str">
        <v>USD</v>
      </c>
      <c r="C850" s="2234" t="str">
        <v>美元（USD）</v>
      </c>
      <c r="D850" s="2234" t="str">
        <v>可用</v>
      </c>
      <c r="E850" s="2238" t="n">
        <v>1</v>
      </c>
      <c r="F850" s="2234" t="str">
        <v>基准恒等</v>
      </c>
      <c r="G850" s="2234" t="str">
        <v>用户提供的历史汇率表</v>
      </c>
      <c r="H850" s="2234" t="str"/>
      <c r="I850" s="2234" t="str">
        <v>1994</v>
      </c>
      <c r="J850" s="2234" t="str">
        <v>historical_exchange_rates_1920_2026.xlsx</v>
      </c>
      <c r="K850" s="2234" t="str">
        <v>1 美元等于 1 美元，无外部报价。</v>
      </c>
      <c r="L850" s="2234" t="str">
        <v>美元基准，汇率恒为 1。</v>
      </c>
      <c r="M850" s="2234" t="str">
        <v>1994|美元（USD）</v>
      </c>
      <c r="N850" s="2234" t="str">
        <v>美元（USD）</v>
      </c>
      <c r="O850" s="2239"/>
      <c r="P850" s="2234" t="str"/>
      <c r="Q850" s="2239"/>
      <c r="R850" s="2234" t="str"/>
      <c r="S850" s="2234" t="str">
        <v>年度汇率!B80</v>
      </c>
      <c r="T850" s="2234" t="str"/>
      <c r="U850" t="n" s="2231">
        <v>1999</v>
      </c>
      <c r="V850" t="str" s="2231">
        <v>印度卢比（INR）</v>
      </c>
    </row>
    <row r="851" ht="24.0" customHeight="1">
      <c r="A851" s="2234" t="n">
        <v>1994</v>
      </c>
      <c r="B851" s="2234" t="str">
        <v>GBP</v>
      </c>
      <c r="C851" s="2234" t="str">
        <v>英镑（GBP）</v>
      </c>
      <c r="D851" s="2234" t="str">
        <v>可用</v>
      </c>
      <c r="E851" s="2238" t="n">
        <v>0.6527841242900972</v>
      </c>
      <c r="F851" s="2234" t="str">
        <v>年均</v>
      </c>
      <c r="G851" s="2234" t="str">
        <v>Federal Reserve G.5A / FRED AEXUSUK</v>
      </c>
      <c r="H851" s="2234" t="str">
        <v>https://fred.stlouisfed.org/data/AEXUSUK</v>
      </c>
      <c r="I851" s="2234" t="str">
        <v>1994-01-01—1994-12-31</v>
      </c>
      <c r="J851" s="2234" t="str">
        <v>historical_exchange_rates_1920_2026.xlsx</v>
      </c>
      <c r="K851" s="2234" t="str">
        <v>反向值由原报价均值取倒数；不等于反向日度汇率的算术平均。
年均USD/GBP；主表取倒数，不等于逐日GBP/USD平均。</v>
      </c>
      <c r="L851" s="2234" t="str">
        <v>原报价为每单位本币兑美元，取原报价均值的倒数；不等于反向日度汇率的算术平均。</v>
      </c>
      <c r="M851" s="2234" t="str">
        <v>1994|英镑（GBP）</v>
      </c>
      <c r="N851" s="2234" t="str">
        <v>英镑（GBP）</v>
      </c>
      <c r="O851" s="2239" t="n">
        <v>1.5319</v>
      </c>
      <c r="P851" s="2234" t="str">
        <v>USD/LCU</v>
      </c>
      <c r="Q851" s="2239" t="n">
        <v>1</v>
      </c>
      <c r="R851" s="2234" t="str">
        <v>A：机构统计／原始统计表</v>
      </c>
      <c r="S851" s="2234" t="str">
        <v>年度汇率!C80；原始记录!A686:M686</v>
      </c>
      <c r="T851" s="2234" t="str"/>
      <c r="U851" t="n" s="2231">
        <v>1999</v>
      </c>
      <c r="V851" t="str" s="2231">
        <v>俄罗斯卢布（RUB；1998币制）</v>
      </c>
    </row>
    <row r="852" ht="15.0" customHeight="1">
      <c r="A852" s="2234" t="n">
        <v>1994</v>
      </c>
      <c r="B852" s="2234" t="str">
        <v>CAD</v>
      </c>
      <c r="C852" s="2234" t="str">
        <v>加拿大元（CAD）</v>
      </c>
      <c r="D852" s="2234" t="str">
        <v>可用</v>
      </c>
      <c r="E852" s="2238" t="n">
        <v>1.3664</v>
      </c>
      <c r="F852" s="2234" t="str">
        <v>年均</v>
      </c>
      <c r="G852" s="2234" t="str">
        <v>Federal Reserve G.5A / FRED AEXCAUS</v>
      </c>
      <c r="H852" s="2234" t="str">
        <v>https://fred.stlouisfed.org/data/AEXCAUS</v>
      </c>
      <c r="I852" s="2234" t="str">
        <v>1994-01-01—1994-12-31</v>
      </c>
      <c r="J852" s="2234" t="str">
        <v>historical_exchange_rates_1920_2026.xlsx</v>
      </c>
      <c r="K852" s="2234" t="str"/>
      <c r="L852" s="2234" t="str">
        <v>原报价已按 1 美元兑换本币表示。</v>
      </c>
      <c r="M852" s="2234" t="str">
        <v>1994|加拿大元（CAD）</v>
      </c>
      <c r="N852" s="2234" t="str">
        <v>加拿大元（CAD）</v>
      </c>
      <c r="O852" s="2239" t="n">
        <v>1.3664</v>
      </c>
      <c r="P852" s="2234" t="str">
        <v>LCU/USD</v>
      </c>
      <c r="Q852" s="2239" t="n">
        <v>1</v>
      </c>
      <c r="R852" s="2234" t="str">
        <v>A：机构统计／原始统计表</v>
      </c>
      <c r="S852" s="2234" t="str">
        <v>年度汇率!D80；原始记录!A687:M687</v>
      </c>
      <c r="T852" s="2234" t="str"/>
      <c r="U852" t="n" s="2231">
        <v>1999</v>
      </c>
      <c r="V852" t="str" s="2231">
        <v>人民币元（1955币制；CNY）</v>
      </c>
    </row>
    <row r="853" ht="36.0" customHeight="1">
      <c r="A853" s="2234" t="n">
        <v>1994</v>
      </c>
      <c r="B853" s="2234" t="str">
        <v>FRF</v>
      </c>
      <c r="C853" s="2234" t="str">
        <v>法国法郎（FRF；1960币制）</v>
      </c>
      <c r="D853" s="2234" t="str">
        <v>可用</v>
      </c>
      <c r="E853" s="2238" t="n">
        <v>5.552058333586262</v>
      </c>
      <c r="F853" s="2234" t="str">
        <v>年均</v>
      </c>
      <c r="G853" s="2234" t="str">
        <v>OECD via FRED：FR年均汇率（欧元单位回溯序列）</v>
      </c>
      <c r="H853" s="2234" t="str">
        <v>https://fred.stlouisfed.org/data/CCUSMA02FRA618N</v>
      </c>
      <c r="I853" s="2234" t="str">
        <v>1994-01-01—1994-12-31</v>
      </c>
      <c r="J853" s="2234" t="str">
        <v>historical_exchange_rates_1920_2026.xlsx</v>
      </c>
      <c r="K853" s="2234" t="str">
        <v>由欧元回溯单位还原当年本币；非当年实际欧元报价。 欧元回溯单位按不可撤销转换率还原；法国1960年前另乘100。
原序列单位为回溯欧元；乘不可撤销转换率还原当年本币。法国1957–1959另乘100还原旧法郎。</v>
      </c>
      <c r="L853" s="2234" t="str">
        <v>原报价已按 1 美元兑换本币表示。乘以 6.55957，还原当年币制的计价单位。</v>
      </c>
      <c r="M853" s="2234" t="str">
        <v>1994|法国法郎（FRF；1960币制）</v>
      </c>
      <c r="N853" s="2234" t="str">
        <v>法国法郎（FRF；1960币制）</v>
      </c>
      <c r="O853" s="2239" t="n">
        <v>0.8464058366</v>
      </c>
      <c r="P853" s="2234" t="str">
        <v>LCU/USD</v>
      </c>
      <c r="Q853" s="2239" t="n">
        <v>6.55957</v>
      </c>
      <c r="R853" s="2234" t="str">
        <v>A：机构统计／原始统计表</v>
      </c>
      <c r="S853" s="2234" t="str">
        <v>年度汇率!E80；原始记录!A688:M688</v>
      </c>
      <c r="T853" s="2234" t="str"/>
      <c r="U853" t="n" s="2231">
        <v>1999</v>
      </c>
      <c r="V853" t="str" s="2231">
        <v>欧元（EUR）</v>
      </c>
    </row>
    <row r="854" ht="36.0" customHeight="1">
      <c r="A854" s="2234" t="n">
        <v>1994</v>
      </c>
      <c r="B854" s="2234" t="str">
        <v>DEM</v>
      </c>
      <c r="C854" s="2234" t="str">
        <v>德国马克（DEM）</v>
      </c>
      <c r="D854" s="2234" t="str">
        <v>可用</v>
      </c>
      <c r="E854" s="2238" t="n">
        <v>1.6229250000188291</v>
      </c>
      <c r="F854" s="2234" t="str">
        <v>年均</v>
      </c>
      <c r="G854" s="2234" t="str">
        <v>OECD via FRED：DE年均汇率（欧元单位回溯序列）</v>
      </c>
      <c r="H854" s="2234" t="str">
        <v>https://fred.stlouisfed.org/data/CCUSMA02DEA618N</v>
      </c>
      <c r="I854" s="2234" t="str">
        <v>1994-01-01—1994-12-31</v>
      </c>
      <c r="J854" s="2234" t="str">
        <v>historical_exchange_rates_1920_2026.xlsx</v>
      </c>
      <c r="K854" s="2234" t="str">
        <v>由欧元回溯单位还原当年本币；非当年实际欧元报价。 欧元回溯单位按不可撤销转换率还原；法国1960年前另乘100。
原序列单位为回溯欧元；乘不可撤销转换率还原当年本币。法国1957–1959另乘100还原旧法郎。</v>
      </c>
      <c r="L854" s="2234" t="str">
        <v>原报价已按 1 美元兑换本币表示。乘以 1.95583，还原当年币制的计价单位。</v>
      </c>
      <c r="M854" s="2234" t="str">
        <v>1994|德国马克（DEM）</v>
      </c>
      <c r="N854" s="2234" t="str">
        <v>德国马克（DEM）</v>
      </c>
      <c r="O854" s="2239" t="n">
        <v>0.8297883763</v>
      </c>
      <c r="P854" s="2234" t="str">
        <v>LCU/USD</v>
      </c>
      <c r="Q854" s="2239" t="n">
        <v>1.95583</v>
      </c>
      <c r="R854" s="2234" t="str">
        <v>A：机构统计／原始统计表</v>
      </c>
      <c r="S854" s="2234" t="str">
        <v>年度汇率!F80、年度汇率!M80；原始记录!A689:M689</v>
      </c>
      <c r="T854" s="2234" t="str"/>
      <c r="U854" t="n" s="2231">
        <v>2000</v>
      </c>
      <c r="V854" t="str" s="2231">
        <v>美元（USD）</v>
      </c>
    </row>
    <row r="855" ht="36.0" customHeight="1">
      <c r="A855" s="2234" t="n">
        <v>1994</v>
      </c>
      <c r="B855" s="2234" t="str">
        <v>ITL</v>
      </c>
      <c r="C855" s="2234" t="str">
        <v>意大利里拉（ITL）</v>
      </c>
      <c r="D855" s="2234" t="str">
        <v>可用</v>
      </c>
      <c r="E855" s="2238" t="n">
        <v>1612.663725024009</v>
      </c>
      <c r="F855" s="2234" t="str">
        <v>年均</v>
      </c>
      <c r="G855" s="2234" t="str">
        <v>OECD via FRED：IT年均汇率（欧元单位回溯序列）</v>
      </c>
      <c r="H855" s="2234" t="str">
        <v>https://fred.stlouisfed.org/data/CCUSMA02ITA618N</v>
      </c>
      <c r="I855" s="2234" t="str">
        <v>1994-01-01—1994-12-31</v>
      </c>
      <c r="J855" s="2234" t="str">
        <v>historical_exchange_rates_1920_2026.xlsx</v>
      </c>
      <c r="K855" s="2234" t="str">
        <v>由欧元回溯单位还原当年本币；非当年实际欧元报价。 欧元回溯单位按不可撤销转换率还原；法国1960年前另乘100。
原序列单位为回溯欧元；乘不可撤销转换率还原当年本币。法国1957–1959另乘100还原旧法郎。</v>
      </c>
      <c r="L855" s="2234" t="str">
        <v>原报价已按 1 美元兑换本币表示。乘以 1936.27，还原当年币制的计价单位。</v>
      </c>
      <c r="M855" s="2234" t="str">
        <v>1994|意大利里拉（ITL）</v>
      </c>
      <c r="N855" s="2234" t="str">
        <v>意大利里拉（ITL）</v>
      </c>
      <c r="O855" s="2239" t="n">
        <v>0.8328713067</v>
      </c>
      <c r="P855" s="2234" t="str">
        <v>LCU/USD</v>
      </c>
      <c r="Q855" s="2239" t="n">
        <v>1936.27</v>
      </c>
      <c r="R855" s="2234" t="str">
        <v>A：机构统计／原始统计表</v>
      </c>
      <c r="S855" s="2234" t="str">
        <v>年度汇率!G80；原始记录!A690:M690</v>
      </c>
      <c r="T855" s="2234" t="str"/>
      <c r="U855" t="n" s="2231">
        <v>2000</v>
      </c>
      <c r="V855" t="str" s="2231">
        <v>英镑（GBP）</v>
      </c>
    </row>
    <row r="856" ht="15.0" customHeight="1">
      <c r="A856" s="2234" t="n">
        <v>1994</v>
      </c>
      <c r="B856" s="2234" t="str">
        <v>JPY</v>
      </c>
      <c r="C856" s="2234" t="str">
        <v>日元（JPY）</v>
      </c>
      <c r="D856" s="2234" t="str">
        <v>可用</v>
      </c>
      <c r="E856" s="2238" t="n">
        <v>102.179</v>
      </c>
      <c r="F856" s="2234" t="str">
        <v>年均</v>
      </c>
      <c r="G856" s="2234" t="str">
        <v>Federal Reserve G.5A / FRED AEXJPUS</v>
      </c>
      <c r="H856" s="2234" t="str">
        <v>https://fred.stlouisfed.org/data/AEXJPUS</v>
      </c>
      <c r="I856" s="2234" t="str">
        <v>1994-01-01—1994-12-31</v>
      </c>
      <c r="J856" s="2234" t="str">
        <v>historical_exchange_rates_1920_2026.xlsx</v>
      </c>
      <c r="K856" s="2234" t="str"/>
      <c r="L856" s="2234" t="str">
        <v>原报价已按 1 美元兑换本币表示。</v>
      </c>
      <c r="M856" s="2234" t="str">
        <v>1994|日元（JPY）</v>
      </c>
      <c r="N856" s="2234" t="str">
        <v>日元（JPY）</v>
      </c>
      <c r="O856" s="2239" t="n">
        <v>102.179</v>
      </c>
      <c r="P856" s="2234" t="str">
        <v>LCU/USD</v>
      </c>
      <c r="Q856" s="2239" t="n">
        <v>1</v>
      </c>
      <c r="R856" s="2234" t="str">
        <v>A：机构统计／原始统计表</v>
      </c>
      <c r="S856" s="2234" t="str">
        <v>年度汇率!H80；原始记录!A691:M691</v>
      </c>
      <c r="T856" s="2234" t="str"/>
      <c r="U856" t="n" s="2231">
        <v>2000</v>
      </c>
      <c r="V856" t="str" s="2231">
        <v>加拿大元（CAD）</v>
      </c>
    </row>
    <row r="857" ht="15.0" customHeight="1">
      <c r="A857" s="2234" t="n">
        <v>1994</v>
      </c>
      <c r="B857" s="2234" t="str">
        <v>CHF</v>
      </c>
      <c r="C857" s="2234" t="str">
        <v>瑞士法郎（CHF）</v>
      </c>
      <c r="D857" s="2234" t="str">
        <v>可用</v>
      </c>
      <c r="E857" s="2238" t="n">
        <v>1.3667</v>
      </c>
      <c r="F857" s="2234" t="str">
        <v>年均</v>
      </c>
      <c r="G857" s="2234" t="str">
        <v>Federal Reserve G.5A / FRED AEXSZUS</v>
      </c>
      <c r="H857" s="2234" t="str">
        <v>https://fred.stlouisfed.org/data/AEXSZUS</v>
      </c>
      <c r="I857" s="2234" t="str">
        <v>1994-01-01—1994-12-31</v>
      </c>
      <c r="J857" s="2234" t="str">
        <v>historical_exchange_rates_1920_2026.xlsx</v>
      </c>
      <c r="K857" s="2234" t="str"/>
      <c r="L857" s="2234" t="str">
        <v>原报价已按 1 美元兑换本币表示。</v>
      </c>
      <c r="M857" s="2234" t="str">
        <v>1994|瑞士法郎（CHF）</v>
      </c>
      <c r="N857" s="2234" t="str">
        <v>瑞士法郎（CHF）</v>
      </c>
      <c r="O857" s="2239" t="n">
        <v>1.3667</v>
      </c>
      <c r="P857" s="2234" t="str">
        <v>LCU/USD</v>
      </c>
      <c r="Q857" s="2239" t="n">
        <v>1</v>
      </c>
      <c r="R857" s="2234" t="str">
        <v>A：机构统计／原始统计表</v>
      </c>
      <c r="S857" s="2234" t="str">
        <v>年度汇率!I80；原始记录!A692:M692</v>
      </c>
      <c r="T857" s="2234" t="str"/>
      <c r="U857" t="n" s="2231">
        <v>2000</v>
      </c>
      <c r="V857" t="str" s="2231">
        <v>日元（JPY）</v>
      </c>
    </row>
    <row r="858" ht="15.0" customHeight="1">
      <c r="A858" s="2234" t="n">
        <v>1994</v>
      </c>
      <c r="B858" s="2234" t="str">
        <v>INR</v>
      </c>
      <c r="C858" s="2234" t="str">
        <v>印度卢比（INR）</v>
      </c>
      <c r="D858" s="2234" t="str">
        <v>可用</v>
      </c>
      <c r="E858" s="2238" t="n">
        <v>31.3939</v>
      </c>
      <c r="F858" s="2234" t="str">
        <v>年均</v>
      </c>
      <c r="G858" s="2234" t="str">
        <v>Federal Reserve G.5A / FRED AEXINUS</v>
      </c>
      <c r="H858" s="2234" t="str">
        <v>https://fred.stlouisfed.org/data/AEXINUS</v>
      </c>
      <c r="I858" s="2234" t="str">
        <v>1994-01-01—1994-12-31</v>
      </c>
      <c r="J858" s="2234" t="str">
        <v>historical_exchange_rates_1920_2026.xlsx</v>
      </c>
      <c r="K858" s="2234" t="str"/>
      <c r="L858" s="2234" t="str">
        <v>原报价已按 1 美元兑换本币表示。</v>
      </c>
      <c r="M858" s="2234" t="str">
        <v>1994|印度卢比（INR）</v>
      </c>
      <c r="N858" s="2234" t="str">
        <v>印度卢比（INR）</v>
      </c>
      <c r="O858" s="2239" t="n">
        <v>31.3939</v>
      </c>
      <c r="P858" s="2234" t="str">
        <v>LCU/USD</v>
      </c>
      <c r="Q858" s="2239" t="n">
        <v>1</v>
      </c>
      <c r="R858" s="2234" t="str">
        <v>A：机构统计／原始统计表</v>
      </c>
      <c r="S858" s="2234" t="str">
        <v>年度汇率!J80；原始记录!A693:M693</v>
      </c>
      <c r="T858" s="2234" t="str"/>
      <c r="U858" t="n" s="2231">
        <v>2000</v>
      </c>
      <c r="V858" t="str" s="2231">
        <v>瑞士法郎（CHF）</v>
      </c>
    </row>
    <row r="859" ht="24.0" customHeight="1">
      <c r="A859" s="2234" t="n">
        <v>1994</v>
      </c>
      <c r="B859" s="2234" t="str">
        <v>RUR</v>
      </c>
      <c r="C859" s="2234" t="str">
        <v>俄罗斯旧卢布（RUR）</v>
      </c>
      <c r="D859" s="2234" t="str">
        <v>可用</v>
      </c>
      <c r="E859" s="2238" t="n">
        <v>2204.0725331000003</v>
      </c>
      <c r="F859" s="2234" t="str">
        <v>年均</v>
      </c>
      <c r="G859" s="2234" t="str">
        <v>OECD Main Economic Indicators / FRED CCUSMA02RUA618N</v>
      </c>
      <c r="H859" s="2234" t="str">
        <v>https://fred.stlouisfed.org/data/CCUSMA02RUA618N</v>
      </c>
      <c r="I859" s="2234" t="str">
        <v>1994-01-01—1994-12-31</v>
      </c>
      <c r="J859" s="2234" t="str">
        <v>historical_exchange_rates_1920_2026.xlsx</v>
      </c>
      <c r="K859" s="2234" t="str">
        <v>源数据以1998年新卢布回溯表示，乘1000还原旧卢布；不是当年1美元不足1卢布。
原表1993—1997年以1998年新卢布回溯表示；本表乘1000还原当年的旧卢布。</v>
      </c>
      <c r="L859" s="2234" t="str">
        <v>原报价已按 1 美元兑换本币表示。乘以 1000，还原当年币制的计价单位。</v>
      </c>
      <c r="M859" s="2234" t="str">
        <v>1994|俄罗斯旧卢布（RUR）</v>
      </c>
      <c r="N859" s="2234" t="str">
        <v>俄罗斯旧卢布（RUR）</v>
      </c>
      <c r="O859" s="2239" t="n">
        <v>2.2040725331</v>
      </c>
      <c r="P859" s="2234" t="str">
        <v>LCU/USD</v>
      </c>
      <c r="Q859" s="2239" t="n">
        <v>1000</v>
      </c>
      <c r="R859" s="2234" t="str">
        <v>A：机构统计／原始统计表</v>
      </c>
      <c r="S859" s="2234" t="str">
        <v>年度汇率!K80；原始记录!A694:M694</v>
      </c>
      <c r="T859" s="2234" t="str"/>
      <c r="U859" t="n" s="2231">
        <v>2000</v>
      </c>
      <c r="V859" t="str" s="2231">
        <v>印度卢比（INR）</v>
      </c>
    </row>
    <row r="860" ht="15.0" customHeight="1">
      <c r="A860" s="2234" t="n">
        <v>1994</v>
      </c>
      <c r="B860" s="2234" t="str">
        <v>CNY</v>
      </c>
      <c r="C860" s="2234" t="str">
        <v>人民币元（1955币制；CNY）</v>
      </c>
      <c r="D860" s="2234" t="str">
        <v>可用</v>
      </c>
      <c r="E860" s="2238" t="n">
        <v>8.6397</v>
      </c>
      <c r="F860" s="2234" t="str">
        <v>年均</v>
      </c>
      <c r="G860" s="2234" t="str">
        <v>Federal Reserve G.5A / FRED AEXCHUS</v>
      </c>
      <c r="H860" s="2234" t="str">
        <v>https://fred.stlouisfed.org/data/AEXCHUS</v>
      </c>
      <c r="I860" s="2234" t="str">
        <v>1994-01-01—1994-12-31</v>
      </c>
      <c r="J860" s="2234" t="str">
        <v>historical_exchange_rates_1920_2026.xlsx</v>
      </c>
      <c r="K860" s="2234" t="str"/>
      <c r="L860" s="2234" t="str">
        <v>原报价已按 1 美元兑换本币表示。</v>
      </c>
      <c r="M860" s="2234" t="str">
        <v>1994|人民币元（1955币制；CNY）</v>
      </c>
      <c r="N860" s="2234" t="str">
        <v>人民币元（1955币制；CNY）</v>
      </c>
      <c r="O860" s="2239" t="n">
        <v>8.6397</v>
      </c>
      <c r="P860" s="2234" t="str">
        <v>LCU/USD</v>
      </c>
      <c r="Q860" s="2239" t="n">
        <v>1</v>
      </c>
      <c r="R860" s="2234" t="str">
        <v>A：机构统计／原始统计表</v>
      </c>
      <c r="S860" s="2234" t="str">
        <v>年度汇率!L80；原始记录!A695:M695</v>
      </c>
      <c r="T860" s="2234" t="str"/>
      <c r="U860" t="n" s="2231">
        <v>2000</v>
      </c>
      <c r="V860" t="str" s="2231">
        <v>俄罗斯卢布（RUB；1998币制）</v>
      </c>
    </row>
    <row r="861" ht="15.0" customHeight="1">
      <c r="A861" s="2234" t="n">
        <v>1995</v>
      </c>
      <c r="B861" s="2234" t="str">
        <v>USD</v>
      </c>
      <c r="C861" s="2234" t="str">
        <v>美元（USD）</v>
      </c>
      <c r="D861" s="2234" t="str">
        <v>可用</v>
      </c>
      <c r="E861" s="2238" t="n">
        <v>1</v>
      </c>
      <c r="F861" s="2234" t="str">
        <v>基准恒等</v>
      </c>
      <c r="G861" s="2234" t="str">
        <v>用户提供的历史汇率表</v>
      </c>
      <c r="H861" s="2234" t="str"/>
      <c r="I861" s="2234" t="str">
        <v>1995</v>
      </c>
      <c r="J861" s="2234" t="str">
        <v>historical_exchange_rates_1920_2026.xlsx</v>
      </c>
      <c r="K861" s="2234" t="str">
        <v>1 美元等于 1 美元，无外部报价。</v>
      </c>
      <c r="L861" s="2234" t="str">
        <v>美元基准，汇率恒为 1。</v>
      </c>
      <c r="M861" s="2234" t="str">
        <v>1995|美元（USD）</v>
      </c>
      <c r="N861" s="2234" t="str">
        <v>美元（USD）</v>
      </c>
      <c r="O861" s="2239"/>
      <c r="P861" s="2234" t="str"/>
      <c r="Q861" s="2239"/>
      <c r="R861" s="2234" t="str"/>
      <c r="S861" s="2234" t="str">
        <v>年度汇率!B81</v>
      </c>
      <c r="T861" s="2234" t="str"/>
      <c r="U861" t="n" s="2231">
        <v>2000</v>
      </c>
      <c r="V861" t="str" s="2231">
        <v>人民币元（1955币制；CNY）</v>
      </c>
    </row>
    <row r="862" ht="24.0" customHeight="1">
      <c r="A862" s="2234" t="n">
        <v>1995</v>
      </c>
      <c r="B862" s="2234" t="str">
        <v>GBP</v>
      </c>
      <c r="C862" s="2234" t="str">
        <v>英镑（GBP）</v>
      </c>
      <c r="D862" s="2234" t="str">
        <v>可用</v>
      </c>
      <c r="E862" s="2238" t="n">
        <v>0.6335128286347799</v>
      </c>
      <c r="F862" s="2234" t="str">
        <v>年均</v>
      </c>
      <c r="G862" s="2234" t="str">
        <v>Federal Reserve G.5A / FRED AEXUSUK</v>
      </c>
      <c r="H862" s="2234" t="str">
        <v>https://fred.stlouisfed.org/data/AEXUSUK</v>
      </c>
      <c r="I862" s="2234" t="str">
        <v>1995-01-01—1995-12-31</v>
      </c>
      <c r="J862" s="2234" t="str">
        <v>historical_exchange_rates_1920_2026.xlsx</v>
      </c>
      <c r="K862" s="2234" t="str">
        <v>反向值由原报价均值取倒数；不等于反向日度汇率的算术平均。
年均USD/GBP；主表取倒数，不等于逐日GBP/USD平均。</v>
      </c>
      <c r="L862" s="2234" t="str">
        <v>原报价为每单位本币兑美元，取原报价均值的倒数；不等于反向日度汇率的算术平均。</v>
      </c>
      <c r="M862" s="2234" t="str">
        <v>1995|英镑（GBP）</v>
      </c>
      <c r="N862" s="2234" t="str">
        <v>英镑（GBP）</v>
      </c>
      <c r="O862" s="2239" t="n">
        <v>1.5785</v>
      </c>
      <c r="P862" s="2234" t="str">
        <v>USD/LCU</v>
      </c>
      <c r="Q862" s="2239" t="n">
        <v>1</v>
      </c>
      <c r="R862" s="2234" t="str">
        <v>A：机构统计／原始统计表</v>
      </c>
      <c r="S862" s="2234" t="str">
        <v>年度汇率!C81；原始记录!A696:M696</v>
      </c>
      <c r="T862" s="2234" t="str"/>
      <c r="U862" t="n" s="2231">
        <v>2000</v>
      </c>
      <c r="V862" t="str" s="2231">
        <v>欧元（EUR）</v>
      </c>
    </row>
    <row r="863" ht="15.0" customHeight="1">
      <c r="A863" s="2234" t="n">
        <v>1995</v>
      </c>
      <c r="B863" s="2234" t="str">
        <v>CAD</v>
      </c>
      <c r="C863" s="2234" t="str">
        <v>加拿大元（CAD）</v>
      </c>
      <c r="D863" s="2234" t="str">
        <v>可用</v>
      </c>
      <c r="E863" s="2238" t="n">
        <v>1.3725</v>
      </c>
      <c r="F863" s="2234" t="str">
        <v>年均</v>
      </c>
      <c r="G863" s="2234" t="str">
        <v>Federal Reserve G.5A / FRED AEXCAUS</v>
      </c>
      <c r="H863" s="2234" t="str">
        <v>https://fred.stlouisfed.org/data/AEXCAUS</v>
      </c>
      <c r="I863" s="2234" t="str">
        <v>1995-01-01—1995-12-31</v>
      </c>
      <c r="J863" s="2234" t="str">
        <v>historical_exchange_rates_1920_2026.xlsx</v>
      </c>
      <c r="K863" s="2234" t="str"/>
      <c r="L863" s="2234" t="str">
        <v>原报价已按 1 美元兑换本币表示。</v>
      </c>
      <c r="M863" s="2234" t="str">
        <v>1995|加拿大元（CAD）</v>
      </c>
      <c r="N863" s="2234" t="str">
        <v>加拿大元（CAD）</v>
      </c>
      <c r="O863" s="2239" t="n">
        <v>1.3725</v>
      </c>
      <c r="P863" s="2234" t="str">
        <v>LCU/USD</v>
      </c>
      <c r="Q863" s="2239" t="n">
        <v>1</v>
      </c>
      <c r="R863" s="2234" t="str">
        <v>A：机构统计／原始统计表</v>
      </c>
      <c r="S863" s="2234" t="str">
        <v>年度汇率!D81；原始记录!A697:M697</v>
      </c>
      <c r="T863" s="2234" t="str"/>
      <c r="U863" t="n" s="2231">
        <v>2001</v>
      </c>
      <c r="V863" t="str" s="2231">
        <v>美元（USD）</v>
      </c>
    </row>
    <row r="864" ht="36.0" customHeight="1">
      <c r="A864" s="2234" t="n">
        <v>1995</v>
      </c>
      <c r="B864" s="2234" t="str">
        <v>FRF</v>
      </c>
      <c r="C864" s="2234" t="str">
        <v>法国法郎（FRF；1960币制）</v>
      </c>
      <c r="D864" s="2234" t="str">
        <v>可用</v>
      </c>
      <c r="E864" s="2238" t="n">
        <v>4.99081666636872</v>
      </c>
      <c r="F864" s="2234" t="str">
        <v>年均</v>
      </c>
      <c r="G864" s="2234" t="str">
        <v>OECD via FRED：FR年均汇率（欧元单位回溯序列）</v>
      </c>
      <c r="H864" s="2234" t="str">
        <v>https://fred.stlouisfed.org/data/CCUSMA02FRA618N</v>
      </c>
      <c r="I864" s="2234" t="str">
        <v>1995-01-01—1995-12-31</v>
      </c>
      <c r="J864" s="2234" t="str">
        <v>historical_exchange_rates_1920_2026.xlsx</v>
      </c>
      <c r="K864" s="2234" t="str">
        <v>由欧元回溯单位还原当年本币；非当年实际欧元报价。 欧元回溯单位按不可撤销转换率还原；法国1960年前另乘100。
原序列单位为回溯欧元；乘不可撤销转换率还原当年本币。法国1957–1959另乘100还原旧法郎。</v>
      </c>
      <c r="L864" s="2234" t="str">
        <v>原报价已按 1 美元兑换本币表示。乘以 6.55957，还原当年币制的计价单位。</v>
      </c>
      <c r="M864" s="2234" t="str">
        <v>1995|法国法郎（FRF；1960币制）</v>
      </c>
      <c r="N864" s="2234" t="str">
        <v>法国法郎（FRF；1960币制）</v>
      </c>
      <c r="O864" s="2239" t="n">
        <v>0.760845096</v>
      </c>
      <c r="P864" s="2234" t="str">
        <v>LCU/USD</v>
      </c>
      <c r="Q864" s="2239" t="n">
        <v>6.55957</v>
      </c>
      <c r="R864" s="2234" t="str">
        <v>A：机构统计／原始统计表</v>
      </c>
      <c r="S864" s="2234" t="str">
        <v>年度汇率!E81；原始记录!A698:M698</v>
      </c>
      <c r="T864" s="2234" t="str"/>
      <c r="U864" t="n" s="2231">
        <v>2001</v>
      </c>
      <c r="V864" t="str" s="2231">
        <v>英镑（GBP）</v>
      </c>
    </row>
    <row r="865" ht="36.0" customHeight="1">
      <c r="A865" s="2234" t="n">
        <v>1995</v>
      </c>
      <c r="B865" s="2234" t="str">
        <v>DEM</v>
      </c>
      <c r="C865" s="2234" t="str">
        <v>德国马克（DEM）</v>
      </c>
      <c r="D865" s="2234" t="str">
        <v>可用</v>
      </c>
      <c r="E865" s="2238" t="n">
        <v>1.433016666694959</v>
      </c>
      <c r="F865" s="2234" t="str">
        <v>年均</v>
      </c>
      <c r="G865" s="2234" t="str">
        <v>OECD via FRED：DE年均汇率（欧元单位回溯序列）</v>
      </c>
      <c r="H865" s="2234" t="str">
        <v>https://fred.stlouisfed.org/data/CCUSMA02DEA618N</v>
      </c>
      <c r="I865" s="2234" t="str">
        <v>1995-01-01—1995-12-31</v>
      </c>
      <c r="J865" s="2234" t="str">
        <v>historical_exchange_rates_1920_2026.xlsx</v>
      </c>
      <c r="K865" s="2234" t="str">
        <v>由欧元回溯单位还原当年本币；非当年实际欧元报价。 欧元回溯单位按不可撤销转换率还原；法国1960年前另乘100。
原序列单位为回溯欧元；乘不可撤销转换率还原当年本币。法国1957–1959另乘100还原旧法郎。</v>
      </c>
      <c r="L865" s="2234" t="str">
        <v>原报价已按 1 美元兑换本币表示。乘以 1.95583，还原当年币制的计价单位。</v>
      </c>
      <c r="M865" s="2234" t="str">
        <v>1995|德国马克（DEM）</v>
      </c>
      <c r="N865" s="2234" t="str">
        <v>德国马克（DEM）</v>
      </c>
      <c r="O865" s="2239" t="n">
        <v>0.7326897873</v>
      </c>
      <c r="P865" s="2234" t="str">
        <v>LCU/USD</v>
      </c>
      <c r="Q865" s="2239" t="n">
        <v>1.95583</v>
      </c>
      <c r="R865" s="2234" t="str">
        <v>A：机构统计／原始统计表</v>
      </c>
      <c r="S865" s="2234" t="str">
        <v>年度汇率!F81、年度汇率!M81；原始记录!A699:M699</v>
      </c>
      <c r="T865" s="2234" t="str"/>
      <c r="U865" t="n" s="2231">
        <v>2001</v>
      </c>
      <c r="V865" t="str" s="2231">
        <v>加拿大元（CAD）</v>
      </c>
    </row>
    <row r="866" ht="36.0" customHeight="1">
      <c r="A866" s="2234" t="n">
        <v>1995</v>
      </c>
      <c r="B866" s="2234" t="str">
        <v>ITL</v>
      </c>
      <c r="C866" s="2234" t="str">
        <v>意大利里拉（ITL）</v>
      </c>
      <c r="D866" s="2234" t="str">
        <v>可用</v>
      </c>
      <c r="E866" s="2238" t="n">
        <v>1629.034841597156</v>
      </c>
      <c r="F866" s="2234" t="str">
        <v>年均</v>
      </c>
      <c r="G866" s="2234" t="str">
        <v>OECD via FRED：IT年均汇率（欧元单位回溯序列）</v>
      </c>
      <c r="H866" s="2234" t="str">
        <v>https://fred.stlouisfed.org/data/CCUSMA02ITA618N</v>
      </c>
      <c r="I866" s="2234" t="str">
        <v>1995-01-01—1995-12-31</v>
      </c>
      <c r="J866" s="2234" t="str">
        <v>historical_exchange_rates_1920_2026.xlsx</v>
      </c>
      <c r="K866" s="2234" t="str">
        <v>由欧元回溯单位还原当年本币；非当年实际欧元报价。 欧元回溯单位按不可撤销转换率还原；法国1960年前另乘100。
原序列单位为回溯欧元；乘不可撤销转换率还原当年本币。法国1957–1959另乘100还原旧法郎。</v>
      </c>
      <c r="L866" s="2234" t="str">
        <v>原报价已按 1 美元兑换本币表示。乘以 1936.27，还原当年币制的计价单位。</v>
      </c>
      <c r="M866" s="2234" t="str">
        <v>1995|意大利里拉（ITL）</v>
      </c>
      <c r="N866" s="2234" t="str">
        <v>意大利里拉（ITL）</v>
      </c>
      <c r="O866" s="2239" t="n">
        <v>0.8413262828</v>
      </c>
      <c r="P866" s="2234" t="str">
        <v>LCU/USD</v>
      </c>
      <c r="Q866" s="2239" t="n">
        <v>1936.27</v>
      </c>
      <c r="R866" s="2234" t="str">
        <v>A：机构统计／原始统计表</v>
      </c>
      <c r="S866" s="2234" t="str">
        <v>年度汇率!G81；原始记录!A700:M700</v>
      </c>
      <c r="T866" s="2234" t="str"/>
      <c r="U866" t="n" s="2231">
        <v>2001</v>
      </c>
      <c r="V866" t="str" s="2231">
        <v>日元（JPY）</v>
      </c>
    </row>
    <row r="867" ht="15.0" customHeight="1">
      <c r="A867" s="2234" t="n">
        <v>1995</v>
      </c>
      <c r="B867" s="2234" t="str">
        <v>JPY</v>
      </c>
      <c r="C867" s="2234" t="str">
        <v>日元（JPY）</v>
      </c>
      <c r="D867" s="2234" t="str">
        <v>可用</v>
      </c>
      <c r="E867" s="2238" t="n">
        <v>93.9649</v>
      </c>
      <c r="F867" s="2234" t="str">
        <v>年均</v>
      </c>
      <c r="G867" s="2234" t="str">
        <v>Federal Reserve G.5A / FRED AEXJPUS</v>
      </c>
      <c r="H867" s="2234" t="str">
        <v>https://fred.stlouisfed.org/data/AEXJPUS</v>
      </c>
      <c r="I867" s="2234" t="str">
        <v>1995-01-01—1995-12-31</v>
      </c>
      <c r="J867" s="2234" t="str">
        <v>historical_exchange_rates_1920_2026.xlsx</v>
      </c>
      <c r="K867" s="2234" t="str"/>
      <c r="L867" s="2234" t="str">
        <v>原报价已按 1 美元兑换本币表示。</v>
      </c>
      <c r="M867" s="2234" t="str">
        <v>1995|日元（JPY）</v>
      </c>
      <c r="N867" s="2234" t="str">
        <v>日元（JPY）</v>
      </c>
      <c r="O867" s="2239" t="n">
        <v>93.9649</v>
      </c>
      <c r="P867" s="2234" t="str">
        <v>LCU/USD</v>
      </c>
      <c r="Q867" s="2239" t="n">
        <v>1</v>
      </c>
      <c r="R867" s="2234" t="str">
        <v>A：机构统计／原始统计表</v>
      </c>
      <c r="S867" s="2234" t="str">
        <v>年度汇率!H81；原始记录!A701:M701</v>
      </c>
      <c r="T867" s="2234" t="str"/>
      <c r="U867" t="n" s="2231">
        <v>2001</v>
      </c>
      <c r="V867" t="str" s="2231">
        <v>瑞士法郎（CHF）</v>
      </c>
    </row>
    <row r="868" ht="15.0" customHeight="1">
      <c r="A868" s="2234" t="n">
        <v>1995</v>
      </c>
      <c r="B868" s="2234" t="str">
        <v>CHF</v>
      </c>
      <c r="C868" s="2234" t="str">
        <v>瑞士法郎（CHF）</v>
      </c>
      <c r="D868" s="2234" t="str">
        <v>可用</v>
      </c>
      <c r="E868" s="2238" t="n">
        <v>1.1812</v>
      </c>
      <c r="F868" s="2234" t="str">
        <v>年均</v>
      </c>
      <c r="G868" s="2234" t="str">
        <v>Federal Reserve G.5A / FRED AEXSZUS</v>
      </c>
      <c r="H868" s="2234" t="str">
        <v>https://fred.stlouisfed.org/data/AEXSZUS</v>
      </c>
      <c r="I868" s="2234" t="str">
        <v>1995-01-01—1995-12-31</v>
      </c>
      <c r="J868" s="2234" t="str">
        <v>historical_exchange_rates_1920_2026.xlsx</v>
      </c>
      <c r="K868" s="2234" t="str"/>
      <c r="L868" s="2234" t="str">
        <v>原报价已按 1 美元兑换本币表示。</v>
      </c>
      <c r="M868" s="2234" t="str">
        <v>1995|瑞士法郎（CHF）</v>
      </c>
      <c r="N868" s="2234" t="str">
        <v>瑞士法郎（CHF）</v>
      </c>
      <c r="O868" s="2239" t="n">
        <v>1.1812</v>
      </c>
      <c r="P868" s="2234" t="str">
        <v>LCU/USD</v>
      </c>
      <c r="Q868" s="2239" t="n">
        <v>1</v>
      </c>
      <c r="R868" s="2234" t="str">
        <v>A：机构统计／原始统计表</v>
      </c>
      <c r="S868" s="2234" t="str">
        <v>年度汇率!I81；原始记录!A702:M702</v>
      </c>
      <c r="T868" s="2234" t="str"/>
      <c r="U868" t="n" s="2231">
        <v>2001</v>
      </c>
      <c r="V868" t="str" s="2231">
        <v>印度卢比（INR）</v>
      </c>
    </row>
    <row r="869" ht="15.0" customHeight="1">
      <c r="A869" s="2234" t="n">
        <v>1995</v>
      </c>
      <c r="B869" s="2234" t="str">
        <v>INR</v>
      </c>
      <c r="C869" s="2234" t="str">
        <v>印度卢比（INR）</v>
      </c>
      <c r="D869" s="2234" t="str">
        <v>可用</v>
      </c>
      <c r="E869" s="2238" t="n">
        <v>32.4181</v>
      </c>
      <c r="F869" s="2234" t="str">
        <v>年均</v>
      </c>
      <c r="G869" s="2234" t="str">
        <v>Federal Reserve G.5A / FRED AEXINUS</v>
      </c>
      <c r="H869" s="2234" t="str">
        <v>https://fred.stlouisfed.org/data/AEXINUS</v>
      </c>
      <c r="I869" s="2234" t="str">
        <v>1995-01-01—1995-12-31</v>
      </c>
      <c r="J869" s="2234" t="str">
        <v>historical_exchange_rates_1920_2026.xlsx</v>
      </c>
      <c r="K869" s="2234" t="str"/>
      <c r="L869" s="2234" t="str">
        <v>原报价已按 1 美元兑换本币表示。</v>
      </c>
      <c r="M869" s="2234" t="str">
        <v>1995|印度卢比（INR）</v>
      </c>
      <c r="N869" s="2234" t="str">
        <v>印度卢比（INR）</v>
      </c>
      <c r="O869" s="2239" t="n">
        <v>32.4181</v>
      </c>
      <c r="P869" s="2234" t="str">
        <v>LCU/USD</v>
      </c>
      <c r="Q869" s="2239" t="n">
        <v>1</v>
      </c>
      <c r="R869" s="2234" t="str">
        <v>A：机构统计／原始统计表</v>
      </c>
      <c r="S869" s="2234" t="str">
        <v>年度汇率!J81；原始记录!A703:M703</v>
      </c>
      <c r="T869" s="2234" t="str"/>
      <c r="U869" t="n" s="2231">
        <v>2001</v>
      </c>
      <c r="V869" t="str" s="2231">
        <v>俄罗斯卢布（RUB；1998币制）</v>
      </c>
    </row>
    <row r="870" ht="24.0" customHeight="1">
      <c r="A870" s="2234" t="n">
        <v>1995</v>
      </c>
      <c r="B870" s="2234" t="str">
        <v>RUR</v>
      </c>
      <c r="C870" s="2234" t="str">
        <v>俄罗斯旧卢布（RUR）</v>
      </c>
      <c r="D870" s="2234" t="str">
        <v>可用</v>
      </c>
      <c r="E870" s="2238" t="n">
        <v>4560.50023843709</v>
      </c>
      <c r="F870" s="2234" t="str">
        <v>年均</v>
      </c>
      <c r="G870" s="2234" t="str">
        <v>OECD Main Economic Indicators / FRED CCUSMA02RUA618N</v>
      </c>
      <c r="H870" s="2234" t="str">
        <v>https://fred.stlouisfed.org/data/CCUSMA02RUA618N</v>
      </c>
      <c r="I870" s="2234" t="str">
        <v>1995-01-01—1995-12-31</v>
      </c>
      <c r="J870" s="2234" t="str">
        <v>historical_exchange_rates_1920_2026.xlsx</v>
      </c>
      <c r="K870" s="2234" t="str">
        <v>源数据以1998年新卢布回溯表示，乘1000还原旧卢布；不是当年1美元不足1卢布。
原表1993—1997年以1998年新卢布回溯表示；本表乘1000还原当年的旧卢布。</v>
      </c>
      <c r="L870" s="2234" t="str">
        <v>原报价已按 1 美元兑换本币表示。乘以 1000，还原当年币制的计价单位。</v>
      </c>
      <c r="M870" s="2234" t="str">
        <v>1995|俄罗斯旧卢布（RUR）</v>
      </c>
      <c r="N870" s="2234" t="str">
        <v>俄罗斯旧卢布（RUR）</v>
      </c>
      <c r="O870" s="2239" t="n">
        <v>4.56050023843709</v>
      </c>
      <c r="P870" s="2234" t="str">
        <v>LCU/USD</v>
      </c>
      <c r="Q870" s="2239" t="n">
        <v>1000</v>
      </c>
      <c r="R870" s="2234" t="str">
        <v>A：机构统计／原始统计表</v>
      </c>
      <c r="S870" s="2234" t="str">
        <v>年度汇率!K81；原始记录!A704:M704</v>
      </c>
      <c r="T870" s="2234" t="str"/>
      <c r="U870" t="n" s="2231">
        <v>2001</v>
      </c>
      <c r="V870" t="str" s="2231">
        <v>人民币元（1955币制；CNY）</v>
      </c>
    </row>
    <row r="871" ht="15.0" customHeight="1">
      <c r="A871" s="2234" t="n">
        <v>1995</v>
      </c>
      <c r="B871" s="2234" t="str">
        <v>CNY</v>
      </c>
      <c r="C871" s="2234" t="str">
        <v>人民币元（1955币制；CNY）</v>
      </c>
      <c r="D871" s="2234" t="str">
        <v>可用</v>
      </c>
      <c r="E871" s="2238" t="n">
        <v>8.37</v>
      </c>
      <c r="F871" s="2234" t="str">
        <v>年均</v>
      </c>
      <c r="G871" s="2234" t="str">
        <v>Federal Reserve G.5A / FRED AEXCHUS</v>
      </c>
      <c r="H871" s="2234" t="str">
        <v>https://fred.stlouisfed.org/data/AEXCHUS</v>
      </c>
      <c r="I871" s="2234" t="str">
        <v>1995-01-01—1995-12-31</v>
      </c>
      <c r="J871" s="2234" t="str">
        <v>historical_exchange_rates_1920_2026.xlsx</v>
      </c>
      <c r="K871" s="2234" t="str"/>
      <c r="L871" s="2234" t="str">
        <v>原报价已按 1 美元兑换本币表示。</v>
      </c>
      <c r="M871" s="2234" t="str">
        <v>1995|人民币元（1955币制；CNY）</v>
      </c>
      <c r="N871" s="2234" t="str">
        <v>人民币元（1955币制；CNY）</v>
      </c>
      <c r="O871" s="2239" t="n">
        <v>8.37</v>
      </c>
      <c r="P871" s="2234" t="str">
        <v>LCU/USD</v>
      </c>
      <c r="Q871" s="2239" t="n">
        <v>1</v>
      </c>
      <c r="R871" s="2234" t="str">
        <v>A：机构统计／原始统计表</v>
      </c>
      <c r="S871" s="2234" t="str">
        <v>年度汇率!L81；原始记录!A705:M705</v>
      </c>
      <c r="T871" s="2234" t="str"/>
      <c r="U871" t="n" s="2231">
        <v>2001</v>
      </c>
      <c r="V871" t="str" s="2231">
        <v>欧元（EUR）</v>
      </c>
    </row>
    <row r="872" ht="15.0" customHeight="1">
      <c r="A872" s="2234" t="n">
        <v>1996</v>
      </c>
      <c r="B872" s="2234" t="str">
        <v>USD</v>
      </c>
      <c r="C872" s="2234" t="str">
        <v>美元（USD）</v>
      </c>
      <c r="D872" s="2234" t="str">
        <v>可用</v>
      </c>
      <c r="E872" s="2238" t="n">
        <v>1</v>
      </c>
      <c r="F872" s="2234" t="str">
        <v>基准恒等</v>
      </c>
      <c r="G872" s="2234" t="str">
        <v>用户提供的历史汇率表</v>
      </c>
      <c r="H872" s="2234" t="str"/>
      <c r="I872" s="2234" t="str">
        <v>1996</v>
      </c>
      <c r="J872" s="2234" t="str">
        <v>historical_exchange_rates_1920_2026.xlsx</v>
      </c>
      <c r="K872" s="2234" t="str">
        <v>1 美元等于 1 美元，无外部报价。</v>
      </c>
      <c r="L872" s="2234" t="str">
        <v>美元基准，汇率恒为 1。</v>
      </c>
      <c r="M872" s="2234" t="str">
        <v>1996|美元（USD）</v>
      </c>
      <c r="N872" s="2234" t="str">
        <v>美元（USD）</v>
      </c>
      <c r="O872" s="2239"/>
      <c r="P872" s="2234" t="str"/>
      <c r="Q872" s="2239"/>
      <c r="R872" s="2234" t="str"/>
      <c r="S872" s="2234" t="str">
        <v>年度汇率!B82</v>
      </c>
      <c r="T872" s="2234" t="str"/>
      <c r="U872" t="n" s="2231">
        <v>2002</v>
      </c>
      <c r="V872" t="str" s="2231">
        <v>美元（USD）</v>
      </c>
    </row>
    <row r="873" ht="24.0" customHeight="1">
      <c r="A873" s="2234" t="n">
        <v>1996</v>
      </c>
      <c r="B873" s="2234" t="str">
        <v>GBP</v>
      </c>
      <c r="C873" s="2234" t="str">
        <v>英镑（GBP）</v>
      </c>
      <c r="D873" s="2234" t="str">
        <v>可用</v>
      </c>
      <c r="E873" s="2238" t="n">
        <v>0.6407381303261357</v>
      </c>
      <c r="F873" s="2234" t="str">
        <v>年均</v>
      </c>
      <c r="G873" s="2234" t="str">
        <v>Federal Reserve G.5A / FRED AEXUSUK</v>
      </c>
      <c r="H873" s="2234" t="str">
        <v>https://fred.stlouisfed.org/data/AEXUSUK</v>
      </c>
      <c r="I873" s="2234" t="str">
        <v>1996-01-01—1996-12-31</v>
      </c>
      <c r="J873" s="2234" t="str">
        <v>historical_exchange_rates_1920_2026.xlsx</v>
      </c>
      <c r="K873" s="2234" t="str">
        <v>反向值由原报价均值取倒数；不等于反向日度汇率的算术平均。
年均USD/GBP；主表取倒数，不等于逐日GBP/USD平均。</v>
      </c>
      <c r="L873" s="2234" t="str">
        <v>原报价为每单位本币兑美元，取原报价均值的倒数；不等于反向日度汇率的算术平均。</v>
      </c>
      <c r="M873" s="2234" t="str">
        <v>1996|英镑（GBP）</v>
      </c>
      <c r="N873" s="2234" t="str">
        <v>英镑（GBP）</v>
      </c>
      <c r="O873" s="2239" t="n">
        <v>1.5607</v>
      </c>
      <c r="P873" s="2234" t="str">
        <v>USD/LCU</v>
      </c>
      <c r="Q873" s="2239" t="n">
        <v>1</v>
      </c>
      <c r="R873" s="2234" t="str">
        <v>A：机构统计／原始统计表</v>
      </c>
      <c r="S873" s="2234" t="str">
        <v>年度汇率!C82；原始记录!A706:M706</v>
      </c>
      <c r="T873" s="2234" t="str"/>
      <c r="U873" t="n" s="2231">
        <v>2002</v>
      </c>
      <c r="V873" t="str" s="2231">
        <v>英镑（GBP）</v>
      </c>
    </row>
    <row r="874" ht="15.0" customHeight="1">
      <c r="A874" s="2234" t="n">
        <v>1996</v>
      </c>
      <c r="B874" s="2234" t="str">
        <v>CAD</v>
      </c>
      <c r="C874" s="2234" t="str">
        <v>加拿大元（CAD）</v>
      </c>
      <c r="D874" s="2234" t="str">
        <v>可用</v>
      </c>
      <c r="E874" s="2238" t="n">
        <v>1.3638</v>
      </c>
      <c r="F874" s="2234" t="str">
        <v>年均</v>
      </c>
      <c r="G874" s="2234" t="str">
        <v>Federal Reserve G.5A / FRED AEXCAUS</v>
      </c>
      <c r="H874" s="2234" t="str">
        <v>https://fred.stlouisfed.org/data/AEXCAUS</v>
      </c>
      <c r="I874" s="2234" t="str">
        <v>1996-01-01—1996-12-31</v>
      </c>
      <c r="J874" s="2234" t="str">
        <v>historical_exchange_rates_1920_2026.xlsx</v>
      </c>
      <c r="K874" s="2234" t="str"/>
      <c r="L874" s="2234" t="str">
        <v>原报价已按 1 美元兑换本币表示。</v>
      </c>
      <c r="M874" s="2234" t="str">
        <v>1996|加拿大元（CAD）</v>
      </c>
      <c r="N874" s="2234" t="str">
        <v>加拿大元（CAD）</v>
      </c>
      <c r="O874" s="2239" t="n">
        <v>1.3638</v>
      </c>
      <c r="P874" s="2234" t="str">
        <v>LCU/USD</v>
      </c>
      <c r="Q874" s="2239" t="n">
        <v>1</v>
      </c>
      <c r="R874" s="2234" t="str">
        <v>A：机构统计／原始统计表</v>
      </c>
      <c r="S874" s="2234" t="str">
        <v>年度汇率!D82；原始记录!A707:M707</v>
      </c>
      <c r="T874" s="2234" t="str"/>
      <c r="U874" t="n" s="2231">
        <v>2002</v>
      </c>
      <c r="V874" t="str" s="2231">
        <v>加拿大元（CAD）</v>
      </c>
    </row>
    <row r="875" ht="36.0" customHeight="1">
      <c r="A875" s="2234" t="n">
        <v>1996</v>
      </c>
      <c r="B875" s="2234" t="str">
        <v>FRF</v>
      </c>
      <c r="C875" s="2234" t="str">
        <v>法国法郎（FRF；1960币制）</v>
      </c>
      <c r="D875" s="2234" t="str">
        <v>可用</v>
      </c>
      <c r="E875" s="2238" t="n">
        <v>5.115800000110569</v>
      </c>
      <c r="F875" s="2234" t="str">
        <v>年均</v>
      </c>
      <c r="G875" s="2234" t="str">
        <v>OECD via FRED：FR年均汇率（欧元单位回溯序列）</v>
      </c>
      <c r="H875" s="2234" t="str">
        <v>https://fred.stlouisfed.org/data/CCUSMA02FRA618N</v>
      </c>
      <c r="I875" s="2234" t="str">
        <v>1996-01-01—1996-12-31</v>
      </c>
      <c r="J875" s="2234" t="str">
        <v>historical_exchange_rates_1920_2026.xlsx</v>
      </c>
      <c r="K875" s="2234" t="str">
        <v>由欧元回溯单位还原当年本币；非当年实际欧元报价。 欧元回溯单位按不可撤销转换率还原；法国1960年前另乘100。
原序列单位为回溯欧元；乘不可撤销转换率还原当年本币。法国1957–1959另乘100还原旧法郎。</v>
      </c>
      <c r="L875" s="2234" t="str">
        <v>原报价已按 1 美元兑换本币表示。乘以 6.55957，还原当年币制的计价单位。</v>
      </c>
      <c r="M875" s="2234" t="str">
        <v>1996|法国法郎（FRF；1960币制）</v>
      </c>
      <c r="N875" s="2234" t="str">
        <v>法国法郎（FRF；1960币制）</v>
      </c>
      <c r="O875" s="2239" t="n">
        <v>0.7798986824</v>
      </c>
      <c r="P875" s="2234" t="str">
        <v>LCU/USD</v>
      </c>
      <c r="Q875" s="2239" t="n">
        <v>6.55957</v>
      </c>
      <c r="R875" s="2234" t="str">
        <v>A：机构统计／原始统计表</v>
      </c>
      <c r="S875" s="2234" t="str">
        <v>年度汇率!E82；原始记录!A708:M708</v>
      </c>
      <c r="T875" s="2234" t="str"/>
      <c r="U875" t="n" s="2231">
        <v>2002</v>
      </c>
      <c r="V875" t="str" s="2231">
        <v>日元（JPY）</v>
      </c>
    </row>
    <row r="876" ht="36.0" customHeight="1">
      <c r="A876" s="2234" t="n">
        <v>1996</v>
      </c>
      <c r="B876" s="2234" t="str">
        <v>DEM</v>
      </c>
      <c r="C876" s="2234" t="str">
        <v>德国马克（DEM）</v>
      </c>
      <c r="D876" s="2234" t="str">
        <v>可用</v>
      </c>
      <c r="E876" s="2238" t="n">
        <v>1.504691666724807</v>
      </c>
      <c r="F876" s="2234" t="str">
        <v>年均</v>
      </c>
      <c r="G876" s="2234" t="str">
        <v>OECD via FRED：DE年均汇率（欧元单位回溯序列）</v>
      </c>
      <c r="H876" s="2234" t="str">
        <v>https://fred.stlouisfed.org/data/CCUSMA02DEA618N</v>
      </c>
      <c r="I876" s="2234" t="str">
        <v>1996-01-01—1996-12-31</v>
      </c>
      <c r="J876" s="2234" t="str">
        <v>historical_exchange_rates_1920_2026.xlsx</v>
      </c>
      <c r="K876" s="2234" t="str">
        <v>由欧元回溯单位还原当年本币；非当年实际欧元报价。 欧元回溯单位按不可撤销转换率还原；法国1960年前另乘100。
原序列单位为回溯欧元；乘不可撤销转换率还原当年本币。法国1957–1959另乘100还原旧法郎。</v>
      </c>
      <c r="L876" s="2234" t="str">
        <v>原报价已按 1 美元兑换本币表示。乘以 1.95583，还原当年币制的计价单位。</v>
      </c>
      <c r="M876" s="2234" t="str">
        <v>1996|德国马克（DEM）</v>
      </c>
      <c r="N876" s="2234" t="str">
        <v>德国马克（DEM）</v>
      </c>
      <c r="O876" s="2239" t="n">
        <v>0.7693366329</v>
      </c>
      <c r="P876" s="2234" t="str">
        <v>LCU/USD</v>
      </c>
      <c r="Q876" s="2239" t="n">
        <v>1.95583</v>
      </c>
      <c r="R876" s="2234" t="str">
        <v>A：机构统计／原始统计表</v>
      </c>
      <c r="S876" s="2234" t="str">
        <v>年度汇率!F82、年度汇率!M82；原始记录!A709:M709</v>
      </c>
      <c r="T876" s="2234" t="str"/>
      <c r="U876" t="n" s="2231">
        <v>2002</v>
      </c>
      <c r="V876" t="str" s="2231">
        <v>瑞士法郎（CHF）</v>
      </c>
    </row>
    <row r="877" ht="36.0" customHeight="1">
      <c r="A877" s="2234" t="n">
        <v>1996</v>
      </c>
      <c r="B877" s="2234" t="str">
        <v>ITL</v>
      </c>
      <c r="C877" s="2234" t="str">
        <v>意大利里拉（ITL）</v>
      </c>
      <c r="D877" s="2234" t="str">
        <v>可用</v>
      </c>
      <c r="E877" s="2238" t="n">
        <v>1543.044224997212</v>
      </c>
      <c r="F877" s="2234" t="str">
        <v>年均</v>
      </c>
      <c r="G877" s="2234" t="str">
        <v>OECD via FRED：IT年均汇率（欧元单位回溯序列）</v>
      </c>
      <c r="H877" s="2234" t="str">
        <v>https://fred.stlouisfed.org/data/CCUSMA02ITA618N</v>
      </c>
      <c r="I877" s="2234" t="str">
        <v>1996-01-01—1996-12-31</v>
      </c>
      <c r="J877" s="2234" t="str">
        <v>historical_exchange_rates_1920_2026.xlsx</v>
      </c>
      <c r="K877" s="2234" t="str">
        <v>由欧元回溯单位还原当年本币；非当年实际欧元报价。 欧元回溯单位按不可撤销转换率还原；法国1960年前另乘100。
原序列单位为回溯欧元；乘不可撤销转换率还原当年本币。法国1957–1959另乘100还原旧法郎。</v>
      </c>
      <c r="L877" s="2234" t="str">
        <v>原报价已按 1 美元兑换本币表示。乘以 1936.27，还原当年币制的计价单位。</v>
      </c>
      <c r="M877" s="2234" t="str">
        <v>1996|意大利里拉（ITL）</v>
      </c>
      <c r="N877" s="2234" t="str">
        <v>意大利里拉（ITL）</v>
      </c>
      <c r="O877" s="2239" t="n">
        <v>0.7969158356</v>
      </c>
      <c r="P877" s="2234" t="str">
        <v>LCU/USD</v>
      </c>
      <c r="Q877" s="2239" t="n">
        <v>1936.27</v>
      </c>
      <c r="R877" s="2234" t="str">
        <v>A：机构统计／原始统计表</v>
      </c>
      <c r="S877" s="2234" t="str">
        <v>年度汇率!G82；原始记录!A710:M710</v>
      </c>
      <c r="T877" s="2234" t="str"/>
      <c r="U877" t="n" s="2231">
        <v>2002</v>
      </c>
      <c r="V877" t="str" s="2231">
        <v>印度卢比（INR）</v>
      </c>
    </row>
    <row r="878" ht="15.0" customHeight="1">
      <c r="A878" s="2234" t="n">
        <v>1996</v>
      </c>
      <c r="B878" s="2234" t="str">
        <v>JPY</v>
      </c>
      <c r="C878" s="2234" t="str">
        <v>日元（JPY）</v>
      </c>
      <c r="D878" s="2234" t="str">
        <v>可用</v>
      </c>
      <c r="E878" s="2238" t="n">
        <v>108.78</v>
      </c>
      <c r="F878" s="2234" t="str">
        <v>年均</v>
      </c>
      <c r="G878" s="2234" t="str">
        <v>Federal Reserve G.5A / FRED AEXJPUS</v>
      </c>
      <c r="H878" s="2234" t="str">
        <v>https://fred.stlouisfed.org/data/AEXJPUS</v>
      </c>
      <c r="I878" s="2234" t="str">
        <v>1996-01-01—1996-12-31</v>
      </c>
      <c r="J878" s="2234" t="str">
        <v>historical_exchange_rates_1920_2026.xlsx</v>
      </c>
      <c r="K878" s="2234" t="str"/>
      <c r="L878" s="2234" t="str">
        <v>原报价已按 1 美元兑换本币表示。</v>
      </c>
      <c r="M878" s="2234" t="str">
        <v>1996|日元（JPY）</v>
      </c>
      <c r="N878" s="2234" t="str">
        <v>日元（JPY）</v>
      </c>
      <c r="O878" s="2239" t="n">
        <v>108.78</v>
      </c>
      <c r="P878" s="2234" t="str">
        <v>LCU/USD</v>
      </c>
      <c r="Q878" s="2239" t="n">
        <v>1</v>
      </c>
      <c r="R878" s="2234" t="str">
        <v>A：机构统计／原始统计表</v>
      </c>
      <c r="S878" s="2234" t="str">
        <v>年度汇率!H82；原始记录!A711:M711</v>
      </c>
      <c r="T878" s="2234" t="str"/>
      <c r="U878" t="n" s="2231">
        <v>2002</v>
      </c>
      <c r="V878" t="str" s="2231">
        <v>俄罗斯卢布（RUB；1998币制）</v>
      </c>
    </row>
    <row r="879" ht="15.0" customHeight="1">
      <c r="A879" s="2234" t="n">
        <v>1996</v>
      </c>
      <c r="B879" s="2234" t="str">
        <v>CHF</v>
      </c>
      <c r="C879" s="2234" t="str">
        <v>瑞士法郎（CHF）</v>
      </c>
      <c r="D879" s="2234" t="str">
        <v>可用</v>
      </c>
      <c r="E879" s="2238" t="n">
        <v>1.2361</v>
      </c>
      <c r="F879" s="2234" t="str">
        <v>年均</v>
      </c>
      <c r="G879" s="2234" t="str">
        <v>Federal Reserve G.5A / FRED AEXSZUS</v>
      </c>
      <c r="H879" s="2234" t="str">
        <v>https://fred.stlouisfed.org/data/AEXSZUS</v>
      </c>
      <c r="I879" s="2234" t="str">
        <v>1996-01-01—1996-12-31</v>
      </c>
      <c r="J879" s="2234" t="str">
        <v>historical_exchange_rates_1920_2026.xlsx</v>
      </c>
      <c r="K879" s="2234" t="str"/>
      <c r="L879" s="2234" t="str">
        <v>原报价已按 1 美元兑换本币表示。</v>
      </c>
      <c r="M879" s="2234" t="str">
        <v>1996|瑞士法郎（CHF）</v>
      </c>
      <c r="N879" s="2234" t="str">
        <v>瑞士法郎（CHF）</v>
      </c>
      <c r="O879" s="2239" t="n">
        <v>1.2361</v>
      </c>
      <c r="P879" s="2234" t="str">
        <v>LCU/USD</v>
      </c>
      <c r="Q879" s="2239" t="n">
        <v>1</v>
      </c>
      <c r="R879" s="2234" t="str">
        <v>A：机构统计／原始统计表</v>
      </c>
      <c r="S879" s="2234" t="str">
        <v>年度汇率!I82；原始记录!A712:M712</v>
      </c>
      <c r="T879" s="2234" t="str"/>
      <c r="U879" t="n" s="2231">
        <v>2002</v>
      </c>
      <c r="V879" t="str" s="2231">
        <v>人民币元（1955币制；CNY）</v>
      </c>
    </row>
    <row r="880" ht="15.0" customHeight="1">
      <c r="A880" s="2234" t="n">
        <v>1996</v>
      </c>
      <c r="B880" s="2234" t="str">
        <v>INR</v>
      </c>
      <c r="C880" s="2234" t="str">
        <v>印度卢比（INR）</v>
      </c>
      <c r="D880" s="2234" t="str">
        <v>可用</v>
      </c>
      <c r="E880" s="2238" t="n">
        <v>35.506</v>
      </c>
      <c r="F880" s="2234" t="str">
        <v>年均</v>
      </c>
      <c r="G880" s="2234" t="str">
        <v>Federal Reserve G.5A / FRED AEXINUS</v>
      </c>
      <c r="H880" s="2234" t="str">
        <v>https://fred.stlouisfed.org/data/AEXINUS</v>
      </c>
      <c r="I880" s="2234" t="str">
        <v>1996-01-01—1996-12-31</v>
      </c>
      <c r="J880" s="2234" t="str">
        <v>historical_exchange_rates_1920_2026.xlsx</v>
      </c>
      <c r="K880" s="2234" t="str"/>
      <c r="L880" s="2234" t="str">
        <v>原报价已按 1 美元兑换本币表示。</v>
      </c>
      <c r="M880" s="2234" t="str">
        <v>1996|印度卢比（INR）</v>
      </c>
      <c r="N880" s="2234" t="str">
        <v>印度卢比（INR）</v>
      </c>
      <c r="O880" s="2239" t="n">
        <v>35.506</v>
      </c>
      <c r="P880" s="2234" t="str">
        <v>LCU/USD</v>
      </c>
      <c r="Q880" s="2239" t="n">
        <v>1</v>
      </c>
      <c r="R880" s="2234" t="str">
        <v>A：机构统计／原始统计表</v>
      </c>
      <c r="S880" s="2234" t="str">
        <v>年度汇率!J82；原始记录!A713:M713</v>
      </c>
      <c r="T880" s="2234" t="str"/>
      <c r="U880" t="n" s="2231">
        <v>2002</v>
      </c>
      <c r="V880" t="str" s="2231">
        <v>欧元（EUR）</v>
      </c>
    </row>
    <row r="881" ht="24.0" customHeight="1">
      <c r="A881" s="2234" t="n">
        <v>1996</v>
      </c>
      <c r="B881" s="2234" t="str">
        <v>RUR</v>
      </c>
      <c r="C881" s="2234" t="str">
        <v>俄罗斯旧卢布（RUR）</v>
      </c>
      <c r="D881" s="2234" t="str">
        <v>可用</v>
      </c>
      <c r="E881" s="2238" t="n">
        <v>5125.47236845057</v>
      </c>
      <c r="F881" s="2234" t="str">
        <v>年均</v>
      </c>
      <c r="G881" s="2234" t="str">
        <v>OECD Main Economic Indicators / FRED CCUSMA02RUA618N</v>
      </c>
      <c r="H881" s="2234" t="str">
        <v>https://fred.stlouisfed.org/data/CCUSMA02RUA618N</v>
      </c>
      <c r="I881" s="2234" t="str">
        <v>1996-01-01—1996-12-31</v>
      </c>
      <c r="J881" s="2234" t="str">
        <v>historical_exchange_rates_1920_2026.xlsx</v>
      </c>
      <c r="K881" s="2234" t="str">
        <v>源数据以1998年新卢布回溯表示，乘1000还原旧卢布；不是当年1美元不足1卢布。
原表1993—1997年以1998年新卢布回溯表示；本表乘1000还原当年的旧卢布。</v>
      </c>
      <c r="L881" s="2234" t="str">
        <v>原报价已按 1 美元兑换本币表示。乘以 1000，还原当年币制的计价单位。</v>
      </c>
      <c r="M881" s="2234" t="str">
        <v>1996|俄罗斯旧卢布（RUR）</v>
      </c>
      <c r="N881" s="2234" t="str">
        <v>俄罗斯旧卢布（RUR）</v>
      </c>
      <c r="O881" s="2239" t="n">
        <v>5.12547236845057</v>
      </c>
      <c r="P881" s="2234" t="str">
        <v>LCU/USD</v>
      </c>
      <c r="Q881" s="2239" t="n">
        <v>1000</v>
      </c>
      <c r="R881" s="2234" t="str">
        <v>A：机构统计／原始统计表</v>
      </c>
      <c r="S881" s="2234" t="str">
        <v>年度汇率!K82；原始记录!A714:M714</v>
      </c>
      <c r="T881" s="2234" t="str"/>
      <c r="U881" t="n" s="2231">
        <v>2003</v>
      </c>
      <c r="V881" t="str" s="2231">
        <v>美元（USD）</v>
      </c>
    </row>
    <row r="882" ht="15.0" customHeight="1">
      <c r="A882" s="2234" t="n">
        <v>1996</v>
      </c>
      <c r="B882" s="2234" t="str">
        <v>CNY</v>
      </c>
      <c r="C882" s="2234" t="str">
        <v>人民币元（1955币制；CNY）</v>
      </c>
      <c r="D882" s="2234" t="str">
        <v>可用</v>
      </c>
      <c r="E882" s="2238" t="n">
        <v>8.3389</v>
      </c>
      <c r="F882" s="2234" t="str">
        <v>年均</v>
      </c>
      <c r="G882" s="2234" t="str">
        <v>Federal Reserve G.5A / FRED AEXCHUS</v>
      </c>
      <c r="H882" s="2234" t="str">
        <v>https://fred.stlouisfed.org/data/AEXCHUS</v>
      </c>
      <c r="I882" s="2234" t="str">
        <v>1996-01-01—1996-12-31</v>
      </c>
      <c r="J882" s="2234" t="str">
        <v>historical_exchange_rates_1920_2026.xlsx</v>
      </c>
      <c r="K882" s="2234" t="str"/>
      <c r="L882" s="2234" t="str">
        <v>原报价已按 1 美元兑换本币表示。</v>
      </c>
      <c r="M882" s="2234" t="str">
        <v>1996|人民币元（1955币制；CNY）</v>
      </c>
      <c r="N882" s="2234" t="str">
        <v>人民币元（1955币制；CNY）</v>
      </c>
      <c r="O882" s="2239" t="n">
        <v>8.3389</v>
      </c>
      <c r="P882" s="2234" t="str">
        <v>LCU/USD</v>
      </c>
      <c r="Q882" s="2239" t="n">
        <v>1</v>
      </c>
      <c r="R882" s="2234" t="str">
        <v>A：机构统计／原始统计表</v>
      </c>
      <c r="S882" s="2234" t="str">
        <v>年度汇率!L82；原始记录!A715:M715</v>
      </c>
      <c r="T882" s="2234" t="str"/>
      <c r="U882" t="n" s="2231">
        <v>2003</v>
      </c>
      <c r="V882" t="str" s="2231">
        <v>英镑（GBP）</v>
      </c>
    </row>
    <row r="883" ht="15.0" customHeight="1">
      <c r="A883" s="2234" t="n">
        <v>1997</v>
      </c>
      <c r="B883" s="2234" t="str">
        <v>USD</v>
      </c>
      <c r="C883" s="2234" t="str">
        <v>美元（USD）</v>
      </c>
      <c r="D883" s="2234" t="str">
        <v>可用</v>
      </c>
      <c r="E883" s="2238" t="n">
        <v>1</v>
      </c>
      <c r="F883" s="2234" t="str">
        <v>基准恒等</v>
      </c>
      <c r="G883" s="2234" t="str">
        <v>用户提供的历史汇率表</v>
      </c>
      <c r="H883" s="2234" t="str"/>
      <c r="I883" s="2234" t="str">
        <v>1997</v>
      </c>
      <c r="J883" s="2234" t="str">
        <v>historical_exchange_rates_1920_2026.xlsx</v>
      </c>
      <c r="K883" s="2234" t="str">
        <v>1 美元等于 1 美元，无外部报价。</v>
      </c>
      <c r="L883" s="2234" t="str">
        <v>美元基准，汇率恒为 1。</v>
      </c>
      <c r="M883" s="2234" t="str">
        <v>1997|美元（USD）</v>
      </c>
      <c r="N883" s="2234" t="str">
        <v>美元（USD）</v>
      </c>
      <c r="O883" s="2239"/>
      <c r="P883" s="2234" t="str"/>
      <c r="Q883" s="2239"/>
      <c r="R883" s="2234" t="str"/>
      <c r="S883" s="2234" t="str">
        <v>年度汇率!B83</v>
      </c>
      <c r="T883" s="2234" t="str"/>
      <c r="U883" t="n" s="2231">
        <v>2003</v>
      </c>
      <c r="V883" t="str" s="2231">
        <v>加拿大元（CAD）</v>
      </c>
    </row>
    <row r="884" ht="24.0" customHeight="1">
      <c r="A884" s="2234" t="n">
        <v>1997</v>
      </c>
      <c r="B884" s="2234" t="str">
        <v>GBP</v>
      </c>
      <c r="C884" s="2234" t="str">
        <v>英镑（GBP）</v>
      </c>
      <c r="D884" s="2234" t="str">
        <v>可用</v>
      </c>
      <c r="E884" s="2238" t="n">
        <v>0.6106497313141183</v>
      </c>
      <c r="F884" s="2234" t="str">
        <v>年均</v>
      </c>
      <c r="G884" s="2234" t="str">
        <v>Federal Reserve G.5A / FRED AEXUSUK</v>
      </c>
      <c r="H884" s="2234" t="str">
        <v>https://fred.stlouisfed.org/data/AEXUSUK</v>
      </c>
      <c r="I884" s="2234" t="str">
        <v>1997-01-01—1997-12-31</v>
      </c>
      <c r="J884" s="2234" t="str">
        <v>historical_exchange_rates_1920_2026.xlsx</v>
      </c>
      <c r="K884" s="2234" t="str">
        <v>反向值由原报价均值取倒数；不等于反向日度汇率的算术平均。
年均USD/GBP；主表取倒数，不等于逐日GBP/USD平均。</v>
      </c>
      <c r="L884" s="2234" t="str">
        <v>原报价为每单位本币兑美元，取原报价均值的倒数；不等于反向日度汇率的算术平均。</v>
      </c>
      <c r="M884" s="2234" t="str">
        <v>1997|英镑（GBP）</v>
      </c>
      <c r="N884" s="2234" t="str">
        <v>英镑（GBP）</v>
      </c>
      <c r="O884" s="2239" t="n">
        <v>1.6376</v>
      </c>
      <c r="P884" s="2234" t="str">
        <v>USD/LCU</v>
      </c>
      <c r="Q884" s="2239" t="n">
        <v>1</v>
      </c>
      <c r="R884" s="2234" t="str">
        <v>A：机构统计／原始统计表</v>
      </c>
      <c r="S884" s="2234" t="str">
        <v>年度汇率!C83；原始记录!A716:M716</v>
      </c>
      <c r="T884" s="2234" t="str"/>
      <c r="U884" t="n" s="2231">
        <v>2003</v>
      </c>
      <c r="V884" t="str" s="2231">
        <v>日元（JPY）</v>
      </c>
    </row>
    <row r="885" ht="15.0" customHeight="1">
      <c r="A885" s="2234" t="n">
        <v>1997</v>
      </c>
      <c r="B885" s="2234" t="str">
        <v>CAD</v>
      </c>
      <c r="C885" s="2234" t="str">
        <v>加拿大元（CAD）</v>
      </c>
      <c r="D885" s="2234" t="str">
        <v>可用</v>
      </c>
      <c r="E885" s="2238" t="n">
        <v>1.3849</v>
      </c>
      <c r="F885" s="2234" t="str">
        <v>年均</v>
      </c>
      <c r="G885" s="2234" t="str">
        <v>Federal Reserve G.5A / FRED AEXCAUS</v>
      </c>
      <c r="H885" s="2234" t="str">
        <v>https://fred.stlouisfed.org/data/AEXCAUS</v>
      </c>
      <c r="I885" s="2234" t="str">
        <v>1997-01-01—1997-12-31</v>
      </c>
      <c r="J885" s="2234" t="str">
        <v>historical_exchange_rates_1920_2026.xlsx</v>
      </c>
      <c r="K885" s="2234" t="str"/>
      <c r="L885" s="2234" t="str">
        <v>原报价已按 1 美元兑换本币表示。</v>
      </c>
      <c r="M885" s="2234" t="str">
        <v>1997|加拿大元（CAD）</v>
      </c>
      <c r="N885" s="2234" t="str">
        <v>加拿大元（CAD）</v>
      </c>
      <c r="O885" s="2239" t="n">
        <v>1.3849</v>
      </c>
      <c r="P885" s="2234" t="str">
        <v>LCU/USD</v>
      </c>
      <c r="Q885" s="2239" t="n">
        <v>1</v>
      </c>
      <c r="R885" s="2234" t="str">
        <v>A：机构统计／原始统计表</v>
      </c>
      <c r="S885" s="2234" t="str">
        <v>年度汇率!D83；原始记录!A717:M717</v>
      </c>
      <c r="T885" s="2234" t="str"/>
      <c r="U885" t="n" s="2231">
        <v>2003</v>
      </c>
      <c r="V885" t="str" s="2231">
        <v>瑞士法郎（CHF）</v>
      </c>
    </row>
    <row r="886" ht="36.0" customHeight="1">
      <c r="A886" s="2234" t="n">
        <v>1997</v>
      </c>
      <c r="B886" s="2234" t="str">
        <v>FRF</v>
      </c>
      <c r="C886" s="2234" t="str">
        <v>法国法郎（FRF；1960币制）</v>
      </c>
      <c r="D886" s="2234" t="str">
        <v>可用</v>
      </c>
      <c r="E886" s="2238" t="n">
        <v>5.837316666424687</v>
      </c>
      <c r="F886" s="2234" t="str">
        <v>年均</v>
      </c>
      <c r="G886" s="2234" t="str">
        <v>OECD via FRED：FR年均汇率（欧元单位回溯序列）</v>
      </c>
      <c r="H886" s="2234" t="str">
        <v>https://fred.stlouisfed.org/data/CCUSMA02FRA618N</v>
      </c>
      <c r="I886" s="2234" t="str">
        <v>1997-01-01—1997-12-31</v>
      </c>
      <c r="J886" s="2234" t="str">
        <v>historical_exchange_rates_1920_2026.xlsx</v>
      </c>
      <c r="K886" s="2234" t="str">
        <v>由欧元回溯单位还原当年本币；非当年实际欧元报价。 欧元回溯单位按不可撤销转换率还原；法国1960年前另乘100。
原序列单位为回溯欧元；乘不可撤销转换率还原当年本币。法国1957–1959另乘100还原旧法郎。</v>
      </c>
      <c r="L886" s="2234" t="str">
        <v>原报价已按 1 美元兑换本币表示。乘以 6.55957，还原当年币制的计价单位。</v>
      </c>
      <c r="M886" s="2234" t="str">
        <v>1997|法国法郎（FRF；1960币制）</v>
      </c>
      <c r="N886" s="2234" t="str">
        <v>法国法郎（FRF；1960币制）</v>
      </c>
      <c r="O886" s="2239" t="n">
        <v>0.8898931891</v>
      </c>
      <c r="P886" s="2234" t="str">
        <v>LCU/USD</v>
      </c>
      <c r="Q886" s="2239" t="n">
        <v>6.55957</v>
      </c>
      <c r="R886" s="2234" t="str">
        <v>A：机构统计／原始统计表</v>
      </c>
      <c r="S886" s="2234" t="str">
        <v>年度汇率!E83；原始记录!A718:M718</v>
      </c>
      <c r="T886" s="2234" t="str"/>
      <c r="U886" t="n" s="2231">
        <v>2003</v>
      </c>
      <c r="V886" t="str" s="2231">
        <v>印度卢比（INR）</v>
      </c>
    </row>
    <row r="887" ht="36.0" customHeight="1">
      <c r="A887" s="2234" t="n">
        <v>1997</v>
      </c>
      <c r="B887" s="2234" t="str">
        <v>DEM</v>
      </c>
      <c r="C887" s="2234" t="str">
        <v>德国马克（DEM）</v>
      </c>
      <c r="D887" s="2234" t="str">
        <v>可用</v>
      </c>
      <c r="E887" s="2238" t="n">
        <v>1.7341500000461139</v>
      </c>
      <c r="F887" s="2234" t="str">
        <v>年均</v>
      </c>
      <c r="G887" s="2234" t="str">
        <v>OECD via FRED：DE年均汇率（欧元单位回溯序列）</v>
      </c>
      <c r="H887" s="2234" t="str">
        <v>https://fred.stlouisfed.org/data/CCUSMA02DEA618N</v>
      </c>
      <c r="I887" s="2234" t="str">
        <v>1997-01-01—1997-12-31</v>
      </c>
      <c r="J887" s="2234" t="str">
        <v>historical_exchange_rates_1920_2026.xlsx</v>
      </c>
      <c r="K887" s="2234" t="str">
        <v>由欧元回溯单位还原当年本币；非当年实际欧元报价。 欧元回溯单位按不可撤销转换率还原；法国1960年前另乘100。
原序列单位为回溯欧元；乘不可撤销转换率还原当年本币。法国1957–1959另乘100还原旧法郎。</v>
      </c>
      <c r="L887" s="2234" t="str">
        <v>原报价已按 1 美元兑换本币表示。乘以 1.95583，还原当年币制的计价单位。</v>
      </c>
      <c r="M887" s="2234" t="str">
        <v>1997|德国马克（DEM）</v>
      </c>
      <c r="N887" s="2234" t="str">
        <v>德国马克（DEM）</v>
      </c>
      <c r="O887" s="2239" t="n">
        <v>0.8866568158</v>
      </c>
      <c r="P887" s="2234" t="str">
        <v>LCU/USD</v>
      </c>
      <c r="Q887" s="2239" t="n">
        <v>1.95583</v>
      </c>
      <c r="R887" s="2234" t="str">
        <v>A：机构统计／原始统计表</v>
      </c>
      <c r="S887" s="2234" t="str">
        <v>年度汇率!F83、年度汇率!M83；原始记录!A719:M719</v>
      </c>
      <c r="T887" s="2234" t="str"/>
      <c r="U887" t="n" s="2231">
        <v>2003</v>
      </c>
      <c r="V887" t="str" s="2231">
        <v>俄罗斯卢布（RUB；1998币制）</v>
      </c>
    </row>
    <row r="888" ht="36.0" customHeight="1">
      <c r="A888" s="2234" t="n">
        <v>1997</v>
      </c>
      <c r="B888" s="2234" t="str">
        <v>ITL</v>
      </c>
      <c r="C888" s="2234" t="str">
        <v>意大利里拉（ITL）</v>
      </c>
      <c r="D888" s="2234" t="str">
        <v>可用</v>
      </c>
      <c r="E888" s="2238" t="n">
        <v>1702.761416587497</v>
      </c>
      <c r="F888" s="2234" t="str">
        <v>年均</v>
      </c>
      <c r="G888" s="2234" t="str">
        <v>OECD via FRED：IT年均汇率（欧元单位回溯序列）</v>
      </c>
      <c r="H888" s="2234" t="str">
        <v>https://fred.stlouisfed.org/data/CCUSMA02ITA618N</v>
      </c>
      <c r="I888" s="2234" t="str">
        <v>1997-01-01—1997-12-31</v>
      </c>
      <c r="J888" s="2234" t="str">
        <v>historical_exchange_rates_1920_2026.xlsx</v>
      </c>
      <c r="K888" s="2234" t="str">
        <v>由欧元回溯单位还原当年本币；非当年实际欧元报价。 欧元回溯单位按不可撤销转换率还原；法国1960年前另乘100。
原序列单位为回溯欧元；乘不可撤销转换率还原当年本币。法国1957–1959另乘100还原旧法郎。</v>
      </c>
      <c r="L888" s="2234" t="str">
        <v>原报价已按 1 美元兑换本币表示。乘以 1936.27，还原当年币制的计价单位。</v>
      </c>
      <c r="M888" s="2234" t="str">
        <v>1997|意大利里拉（ITL）</v>
      </c>
      <c r="N888" s="2234" t="str">
        <v>意大利里拉（ITL）</v>
      </c>
      <c r="O888" s="2239" t="n">
        <v>0.8794028811</v>
      </c>
      <c r="P888" s="2234" t="str">
        <v>LCU/USD</v>
      </c>
      <c r="Q888" s="2239" t="n">
        <v>1936.27</v>
      </c>
      <c r="R888" s="2234" t="str">
        <v>A：机构统计／原始统计表</v>
      </c>
      <c r="S888" s="2234" t="str">
        <v>年度汇率!G83；原始记录!A720:M720</v>
      </c>
      <c r="T888" s="2234" t="str"/>
      <c r="U888" t="n" s="2231">
        <v>2003</v>
      </c>
      <c r="V888" t="str" s="2231">
        <v>人民币元（1955币制；CNY）</v>
      </c>
    </row>
    <row r="889" ht="15.0" customHeight="1">
      <c r="A889" s="2234" t="n">
        <v>1997</v>
      </c>
      <c r="B889" s="2234" t="str">
        <v>JPY</v>
      </c>
      <c r="C889" s="2234" t="str">
        <v>日元（JPY）</v>
      </c>
      <c r="D889" s="2234" t="str">
        <v>可用</v>
      </c>
      <c r="E889" s="2238" t="n">
        <v>121.0581</v>
      </c>
      <c r="F889" s="2234" t="str">
        <v>年均</v>
      </c>
      <c r="G889" s="2234" t="str">
        <v>Federal Reserve G.5A / FRED AEXJPUS</v>
      </c>
      <c r="H889" s="2234" t="str">
        <v>https://fred.stlouisfed.org/data/AEXJPUS</v>
      </c>
      <c r="I889" s="2234" t="str">
        <v>1997-01-01—1997-12-31</v>
      </c>
      <c r="J889" s="2234" t="str">
        <v>historical_exchange_rates_1920_2026.xlsx</v>
      </c>
      <c r="K889" s="2234" t="str"/>
      <c r="L889" s="2234" t="str">
        <v>原报价已按 1 美元兑换本币表示。</v>
      </c>
      <c r="M889" s="2234" t="str">
        <v>1997|日元（JPY）</v>
      </c>
      <c r="N889" s="2234" t="str">
        <v>日元（JPY）</v>
      </c>
      <c r="O889" s="2239" t="n">
        <v>121.0581</v>
      </c>
      <c r="P889" s="2234" t="str">
        <v>LCU/USD</v>
      </c>
      <c r="Q889" s="2239" t="n">
        <v>1</v>
      </c>
      <c r="R889" s="2234" t="str">
        <v>A：机构统计／原始统计表</v>
      </c>
      <c r="S889" s="2234" t="str">
        <v>年度汇率!H83；原始记录!A721:M721</v>
      </c>
      <c r="T889" s="2234" t="str"/>
      <c r="U889" t="n" s="2231">
        <v>2003</v>
      </c>
      <c r="V889" t="str" s="2231">
        <v>欧元（EUR）</v>
      </c>
    </row>
    <row r="890" ht="15.0" customHeight="1">
      <c r="A890" s="2234" t="n">
        <v>1997</v>
      </c>
      <c r="B890" s="2234" t="str">
        <v>CHF</v>
      </c>
      <c r="C890" s="2234" t="str">
        <v>瑞士法郎（CHF）</v>
      </c>
      <c r="D890" s="2234" t="str">
        <v>可用</v>
      </c>
      <c r="E890" s="2238" t="n">
        <v>1.4514</v>
      </c>
      <c r="F890" s="2234" t="str">
        <v>年均</v>
      </c>
      <c r="G890" s="2234" t="str">
        <v>Federal Reserve G.5A / FRED AEXSZUS</v>
      </c>
      <c r="H890" s="2234" t="str">
        <v>https://fred.stlouisfed.org/data/AEXSZUS</v>
      </c>
      <c r="I890" s="2234" t="str">
        <v>1997-01-01—1997-12-31</v>
      </c>
      <c r="J890" s="2234" t="str">
        <v>historical_exchange_rates_1920_2026.xlsx</v>
      </c>
      <c r="K890" s="2234" t="str"/>
      <c r="L890" s="2234" t="str">
        <v>原报价已按 1 美元兑换本币表示。</v>
      </c>
      <c r="M890" s="2234" t="str">
        <v>1997|瑞士法郎（CHF）</v>
      </c>
      <c r="N890" s="2234" t="str">
        <v>瑞士法郎（CHF）</v>
      </c>
      <c r="O890" s="2239" t="n">
        <v>1.4514</v>
      </c>
      <c r="P890" s="2234" t="str">
        <v>LCU/USD</v>
      </c>
      <c r="Q890" s="2239" t="n">
        <v>1</v>
      </c>
      <c r="R890" s="2234" t="str">
        <v>A：机构统计／原始统计表</v>
      </c>
      <c r="S890" s="2234" t="str">
        <v>年度汇率!I83；原始记录!A722:M722</v>
      </c>
      <c r="T890" s="2234" t="str"/>
      <c r="U890" t="n" s="2231">
        <v>2004</v>
      </c>
      <c r="V890" t="str" s="2231">
        <v>美元（USD）</v>
      </c>
    </row>
    <row r="891" ht="15.0" customHeight="1">
      <c r="A891" s="2234" t="n">
        <v>1997</v>
      </c>
      <c r="B891" s="2234" t="str">
        <v>INR</v>
      </c>
      <c r="C891" s="2234" t="str">
        <v>印度卢比（INR）</v>
      </c>
      <c r="D891" s="2234" t="str">
        <v>可用</v>
      </c>
      <c r="E891" s="2238" t="n">
        <v>36.3645</v>
      </c>
      <c r="F891" s="2234" t="str">
        <v>年均</v>
      </c>
      <c r="G891" s="2234" t="str">
        <v>Federal Reserve G.5A / FRED AEXINUS</v>
      </c>
      <c r="H891" s="2234" t="str">
        <v>https://fred.stlouisfed.org/data/AEXINUS</v>
      </c>
      <c r="I891" s="2234" t="str">
        <v>1997-01-01—1997-12-31</v>
      </c>
      <c r="J891" s="2234" t="str">
        <v>historical_exchange_rates_1920_2026.xlsx</v>
      </c>
      <c r="K891" s="2234" t="str"/>
      <c r="L891" s="2234" t="str">
        <v>原报价已按 1 美元兑换本币表示。</v>
      </c>
      <c r="M891" s="2234" t="str">
        <v>1997|印度卢比（INR）</v>
      </c>
      <c r="N891" s="2234" t="str">
        <v>印度卢比（INR）</v>
      </c>
      <c r="O891" s="2239" t="n">
        <v>36.3645</v>
      </c>
      <c r="P891" s="2234" t="str">
        <v>LCU/USD</v>
      </c>
      <c r="Q891" s="2239" t="n">
        <v>1</v>
      </c>
      <c r="R891" s="2234" t="str">
        <v>A：机构统计／原始统计表</v>
      </c>
      <c r="S891" s="2234" t="str">
        <v>年度汇率!J83；原始记录!A723:M723</v>
      </c>
      <c r="T891" s="2234" t="str"/>
      <c r="U891" t="n" s="2231">
        <v>2004</v>
      </c>
      <c r="V891" t="str" s="2231">
        <v>英镑（GBP）</v>
      </c>
    </row>
    <row r="892" ht="24.0" customHeight="1">
      <c r="A892" s="2234" t="n">
        <v>1997</v>
      </c>
      <c r="B892" s="2234" t="str">
        <v>RUR</v>
      </c>
      <c r="C892" s="2234" t="str">
        <v>俄罗斯旧卢布（RUR）</v>
      </c>
      <c r="D892" s="2234" t="str">
        <v>可用</v>
      </c>
      <c r="E892" s="2238" t="n">
        <v>5783.53801296135</v>
      </c>
      <c r="F892" s="2234" t="str">
        <v>年均</v>
      </c>
      <c r="G892" s="2234" t="str">
        <v>OECD Main Economic Indicators / FRED CCUSMA02RUA618N</v>
      </c>
      <c r="H892" s="2234" t="str">
        <v>https://fred.stlouisfed.org/data/CCUSMA02RUA618N</v>
      </c>
      <c r="I892" s="2234" t="str">
        <v>1997-01-01—1997-12-31</v>
      </c>
      <c r="J892" s="2234" t="str">
        <v>historical_exchange_rates_1920_2026.xlsx</v>
      </c>
      <c r="K892" s="2234" t="str">
        <v>源数据以1998年新卢布回溯表示，乘1000还原旧卢布；不是当年1美元不足1卢布。
原表1993—1997年以1998年新卢布回溯表示；本表乘1000还原当年的旧卢布。</v>
      </c>
      <c r="L892" s="2234" t="str">
        <v>原报价已按 1 美元兑换本币表示。乘以 1000，还原当年币制的计价单位。</v>
      </c>
      <c r="M892" s="2234" t="str">
        <v>1997|俄罗斯旧卢布（RUR）</v>
      </c>
      <c r="N892" s="2234" t="str">
        <v>俄罗斯旧卢布（RUR）</v>
      </c>
      <c r="O892" s="2239" t="n">
        <v>5.78353801296135</v>
      </c>
      <c r="P892" s="2234" t="str">
        <v>LCU/USD</v>
      </c>
      <c r="Q892" s="2239" t="n">
        <v>1000</v>
      </c>
      <c r="R892" s="2234" t="str">
        <v>A：机构统计／原始统计表</v>
      </c>
      <c r="S892" s="2234" t="str">
        <v>年度汇率!K83；原始记录!A724:M724</v>
      </c>
      <c r="T892" s="2234" t="str"/>
      <c r="U892" t="n" s="2231">
        <v>2004</v>
      </c>
      <c r="V892" t="str" s="2231">
        <v>加拿大元（CAD）</v>
      </c>
    </row>
    <row r="893" ht="15.0" customHeight="1">
      <c r="A893" s="2234" t="n">
        <v>1997</v>
      </c>
      <c r="B893" s="2234" t="str">
        <v>CNY</v>
      </c>
      <c r="C893" s="2234" t="str">
        <v>人民币元（1955币制；CNY）</v>
      </c>
      <c r="D893" s="2234" t="str">
        <v>可用</v>
      </c>
      <c r="E893" s="2238" t="n">
        <v>8.3193</v>
      </c>
      <c r="F893" s="2234" t="str">
        <v>年均</v>
      </c>
      <c r="G893" s="2234" t="str">
        <v>Federal Reserve G.5A / FRED AEXCHUS</v>
      </c>
      <c r="H893" s="2234" t="str">
        <v>https://fred.stlouisfed.org/data/AEXCHUS</v>
      </c>
      <c r="I893" s="2234" t="str">
        <v>1997-01-01—1997-12-31</v>
      </c>
      <c r="J893" s="2234" t="str">
        <v>historical_exchange_rates_1920_2026.xlsx</v>
      </c>
      <c r="K893" s="2234" t="str"/>
      <c r="L893" s="2234" t="str">
        <v>原报价已按 1 美元兑换本币表示。</v>
      </c>
      <c r="M893" s="2234" t="str">
        <v>1997|人民币元（1955币制；CNY）</v>
      </c>
      <c r="N893" s="2234" t="str">
        <v>人民币元（1955币制；CNY）</v>
      </c>
      <c r="O893" s="2239" t="n">
        <v>8.3193</v>
      </c>
      <c r="P893" s="2234" t="str">
        <v>LCU/USD</v>
      </c>
      <c r="Q893" s="2239" t="n">
        <v>1</v>
      </c>
      <c r="R893" s="2234" t="str">
        <v>A：机构统计／原始统计表</v>
      </c>
      <c r="S893" s="2234" t="str">
        <v>年度汇率!L83；原始记录!A725:M725</v>
      </c>
      <c r="T893" s="2234" t="str"/>
      <c r="U893" t="n" s="2231">
        <v>2004</v>
      </c>
      <c r="V893" t="str" s="2231">
        <v>日元（JPY）</v>
      </c>
    </row>
    <row r="894" ht="15.0" customHeight="1">
      <c r="A894" s="2234" t="n">
        <v>1998</v>
      </c>
      <c r="B894" s="2234" t="str">
        <v>USD</v>
      </c>
      <c r="C894" s="2234" t="str">
        <v>美元（USD）</v>
      </c>
      <c r="D894" s="2234" t="str">
        <v>可用</v>
      </c>
      <c r="E894" s="2238" t="n">
        <v>1</v>
      </c>
      <c r="F894" s="2234" t="str">
        <v>基准恒等</v>
      </c>
      <c r="G894" s="2234" t="str">
        <v>用户提供的历史汇率表</v>
      </c>
      <c r="H894" s="2234" t="str"/>
      <c r="I894" s="2234" t="str">
        <v>1998</v>
      </c>
      <c r="J894" s="2234" t="str">
        <v>historical_exchange_rates_1920_2026.xlsx</v>
      </c>
      <c r="K894" s="2234" t="str">
        <v>1 美元等于 1 美元，无外部报价。</v>
      </c>
      <c r="L894" s="2234" t="str">
        <v>美元基准，汇率恒为 1。</v>
      </c>
      <c r="M894" s="2234" t="str">
        <v>1998|美元（USD）</v>
      </c>
      <c r="N894" s="2234" t="str">
        <v>美元（USD）</v>
      </c>
      <c r="O894" s="2239"/>
      <c r="P894" s="2234" t="str"/>
      <c r="Q894" s="2239"/>
      <c r="R894" s="2234" t="str"/>
      <c r="S894" s="2234" t="str">
        <v>年度汇率!B84</v>
      </c>
      <c r="T894" s="2234" t="str"/>
      <c r="U894" t="n" s="2231">
        <v>2004</v>
      </c>
      <c r="V894" t="str" s="2231">
        <v>瑞士法郎（CHF）</v>
      </c>
    </row>
    <row r="895" ht="24.0" customHeight="1">
      <c r="A895" s="2234" t="n">
        <v>1998</v>
      </c>
      <c r="B895" s="2234" t="str">
        <v>GBP</v>
      </c>
      <c r="C895" s="2234" t="str">
        <v>英镑（GBP）</v>
      </c>
      <c r="D895" s="2234" t="str">
        <v>可用</v>
      </c>
      <c r="E895" s="2238" t="n">
        <v>0.6033910577445242</v>
      </c>
      <c r="F895" s="2234" t="str">
        <v>年均</v>
      </c>
      <c r="G895" s="2234" t="str">
        <v>Federal Reserve G.5A / FRED AEXUSUK</v>
      </c>
      <c r="H895" s="2234" t="str">
        <v>https://fred.stlouisfed.org/data/AEXUSUK</v>
      </c>
      <c r="I895" s="2234" t="str">
        <v>1998-01-01—1998-12-31</v>
      </c>
      <c r="J895" s="2234" t="str">
        <v>historical_exchange_rates_1920_2026.xlsx</v>
      </c>
      <c r="K895" s="2234" t="str">
        <v>反向值由原报价均值取倒数；不等于反向日度汇率的算术平均。
年均USD/GBP；主表取倒数，不等于逐日GBP/USD平均。</v>
      </c>
      <c r="L895" s="2234" t="str">
        <v>原报价为每单位本币兑美元，取原报价均值的倒数；不等于反向日度汇率的算术平均。</v>
      </c>
      <c r="M895" s="2234" t="str">
        <v>1998|英镑（GBP）</v>
      </c>
      <c r="N895" s="2234" t="str">
        <v>英镑（GBP）</v>
      </c>
      <c r="O895" s="2239" t="n">
        <v>1.6573</v>
      </c>
      <c r="P895" s="2234" t="str">
        <v>USD/LCU</v>
      </c>
      <c r="Q895" s="2239" t="n">
        <v>1</v>
      </c>
      <c r="R895" s="2234" t="str">
        <v>A：机构统计／原始统计表</v>
      </c>
      <c r="S895" s="2234" t="str">
        <v>年度汇率!C84；原始记录!A726:M726</v>
      </c>
      <c r="T895" s="2234" t="str"/>
      <c r="U895" t="n" s="2231">
        <v>2004</v>
      </c>
      <c r="V895" t="str" s="2231">
        <v>印度卢比（INR）</v>
      </c>
    </row>
    <row r="896" ht="15.0" customHeight="1">
      <c r="A896" s="2234" t="n">
        <v>1998</v>
      </c>
      <c r="B896" s="2234" t="str">
        <v>CAD</v>
      </c>
      <c r="C896" s="2234" t="str">
        <v>加拿大元（CAD）</v>
      </c>
      <c r="D896" s="2234" t="str">
        <v>可用</v>
      </c>
      <c r="E896" s="2238" t="n">
        <v>1.4836</v>
      </c>
      <c r="F896" s="2234" t="str">
        <v>年均</v>
      </c>
      <c r="G896" s="2234" t="str">
        <v>Federal Reserve G.5A / FRED AEXCAUS</v>
      </c>
      <c r="H896" s="2234" t="str">
        <v>https://fred.stlouisfed.org/data/AEXCAUS</v>
      </c>
      <c r="I896" s="2234" t="str">
        <v>1998-01-01—1998-12-31</v>
      </c>
      <c r="J896" s="2234" t="str">
        <v>historical_exchange_rates_1920_2026.xlsx</v>
      </c>
      <c r="K896" s="2234" t="str"/>
      <c r="L896" s="2234" t="str">
        <v>原报价已按 1 美元兑换本币表示。</v>
      </c>
      <c r="M896" s="2234" t="str">
        <v>1998|加拿大元（CAD）</v>
      </c>
      <c r="N896" s="2234" t="str">
        <v>加拿大元（CAD）</v>
      </c>
      <c r="O896" s="2239" t="n">
        <v>1.4836</v>
      </c>
      <c r="P896" s="2234" t="str">
        <v>LCU/USD</v>
      </c>
      <c r="Q896" s="2239" t="n">
        <v>1</v>
      </c>
      <c r="R896" s="2234" t="str">
        <v>A：机构统计／原始统计表</v>
      </c>
      <c r="S896" s="2234" t="str">
        <v>年度汇率!D84；原始记录!A727:M727</v>
      </c>
      <c r="T896" s="2234" t="str"/>
      <c r="U896" t="n" s="2231">
        <v>2004</v>
      </c>
      <c r="V896" t="str" s="2231">
        <v>俄罗斯卢布（RUB；1998币制）</v>
      </c>
    </row>
    <row r="897" ht="36.0" customHeight="1">
      <c r="A897" s="2234" t="n">
        <v>1998</v>
      </c>
      <c r="B897" s="2234" t="str">
        <v>FRF</v>
      </c>
      <c r="C897" s="2234" t="str">
        <v>法国法郎（FRF；1960币制）</v>
      </c>
      <c r="D897" s="2234" t="str">
        <v>可用</v>
      </c>
      <c r="E897" s="2238" t="n">
        <v>5.899391666785383</v>
      </c>
      <c r="F897" s="2234" t="str">
        <v>年均</v>
      </c>
      <c r="G897" s="2234" t="str">
        <v>OECD via FRED：FR年均汇率（欧元单位回溯序列）</v>
      </c>
      <c r="H897" s="2234" t="str">
        <v>https://fred.stlouisfed.org/data/CCUSMA02FRA618N</v>
      </c>
      <c r="I897" s="2234" t="str">
        <v>1998-01-01—1998-12-31</v>
      </c>
      <c r="J897" s="2234" t="str">
        <v>historical_exchange_rates_1920_2026.xlsx</v>
      </c>
      <c r="K897" s="2234" t="str">
        <v>由欧元回溯单位还原当年本币；非当年实际欧元报价。 欧元回溯单位按不可撤销转换率还原；法国1960年前另乘100。
原序列单位为回溯欧元；乘不可撤销转换率还原当年本币。法国1957–1959另乘100还原旧法郎。</v>
      </c>
      <c r="L897" s="2234" t="str">
        <v>原报价已按 1 美元兑换本币表示。乘以 6.55957，还原当年币制的计价单位。</v>
      </c>
      <c r="M897" s="2234" t="str">
        <v>1998|法国法郎（FRF；1960币制）</v>
      </c>
      <c r="N897" s="2234" t="str">
        <v>法国法郎（FRF；1960币制）</v>
      </c>
      <c r="O897" s="2239" t="n">
        <v>0.8993564619</v>
      </c>
      <c r="P897" s="2234" t="str">
        <v>LCU/USD</v>
      </c>
      <c r="Q897" s="2239" t="n">
        <v>6.55957</v>
      </c>
      <c r="R897" s="2234" t="str">
        <v>A：机构统计／原始统计表</v>
      </c>
      <c r="S897" s="2234" t="str">
        <v>年度汇率!E84；原始记录!A728:M728</v>
      </c>
      <c r="T897" s="2234" t="str"/>
      <c r="U897" t="n" s="2231">
        <v>2004</v>
      </c>
      <c r="V897" t="str" s="2231">
        <v>人民币元（1955币制；CNY）</v>
      </c>
    </row>
    <row r="898" ht="36.0" customHeight="1">
      <c r="A898" s="2234" t="n">
        <v>1998</v>
      </c>
      <c r="B898" s="2234" t="str">
        <v>DEM</v>
      </c>
      <c r="C898" s="2234" t="str">
        <v>德国马克（DEM）</v>
      </c>
      <c r="D898" s="2234" t="str">
        <v>可用</v>
      </c>
      <c r="E898" s="2238" t="n">
        <v>1.7593750000399049</v>
      </c>
      <c r="F898" s="2234" t="str">
        <v>年均</v>
      </c>
      <c r="G898" s="2234" t="str">
        <v>OECD via FRED：DE年均汇率（欧元单位回溯序列）</v>
      </c>
      <c r="H898" s="2234" t="str">
        <v>https://fred.stlouisfed.org/data/CCUSMA02DEA618N</v>
      </c>
      <c r="I898" s="2234" t="str">
        <v>1998-01-01—1998-12-31</v>
      </c>
      <c r="J898" s="2234" t="str">
        <v>historical_exchange_rates_1920_2026.xlsx</v>
      </c>
      <c r="K898" s="2234" t="str">
        <v>由欧元回溯单位还原当年本币；非当年实际欧元报价。 欧元回溯单位按不可撤销转换率还原；法国1960年前另乘100。
原序列单位为回溯欧元；乘不可撤销转换率还原当年本币。法国1957–1959另乘100还原旧法郎。</v>
      </c>
      <c r="L898" s="2234" t="str">
        <v>原报价已按 1 美元兑换本币表示。乘以 1.95583，还原当年币制的计价单位。</v>
      </c>
      <c r="M898" s="2234" t="str">
        <v>1998|德国马克（DEM）</v>
      </c>
      <c r="N898" s="2234" t="str">
        <v>德国马克（DEM）</v>
      </c>
      <c r="O898" s="2239" t="n">
        <v>0.8995541535</v>
      </c>
      <c r="P898" s="2234" t="str">
        <v>LCU/USD</v>
      </c>
      <c r="Q898" s="2239" t="n">
        <v>1.95583</v>
      </c>
      <c r="R898" s="2234" t="str">
        <v>A：机构统计／原始统计表</v>
      </c>
      <c r="S898" s="2234" t="str">
        <v>年度汇率!F84、年度汇率!M84；原始记录!A729:M729</v>
      </c>
      <c r="T898" s="2234" t="str"/>
      <c r="U898" t="n" s="2231">
        <v>2004</v>
      </c>
      <c r="V898" t="str" s="2231">
        <v>欧元（EUR）</v>
      </c>
    </row>
    <row r="899" ht="36.0" customHeight="1">
      <c r="A899" s="2234" t="n">
        <v>1998</v>
      </c>
      <c r="B899" s="2234" t="str">
        <v>ITL</v>
      </c>
      <c r="C899" s="2234" t="str">
        <v>意大利里拉（ITL）</v>
      </c>
      <c r="D899" s="2234" t="str">
        <v>可用</v>
      </c>
      <c r="E899" s="2238" t="n">
        <v>1736.3952666350501</v>
      </c>
      <c r="F899" s="2234" t="str">
        <v>年均</v>
      </c>
      <c r="G899" s="2234" t="str">
        <v>OECD via FRED：IT年均汇率（欧元单位回溯序列）</v>
      </c>
      <c r="H899" s="2234" t="str">
        <v>https://fred.stlouisfed.org/data/CCUSMA02ITA618N</v>
      </c>
      <c r="I899" s="2234" t="str">
        <v>1998-01-01—1998-12-31</v>
      </c>
      <c r="J899" s="2234" t="str">
        <v>historical_exchange_rates_1920_2026.xlsx</v>
      </c>
      <c r="K899" s="2234" t="str">
        <v>由欧元回溯单位还原当年本币；非当年实际欧元报价。 欧元回溯单位按不可撤销转换率还原；法国1960年前另乘100。
原序列单位为回溯欧元；乘不可撤销转换率还原当年本币。法国1957–1959另乘100还原旧法郎。</v>
      </c>
      <c r="L899" s="2234" t="str">
        <v>原报价已按 1 美元兑换本币表示。乘以 1936.27，还原当年币制的计价单位。</v>
      </c>
      <c r="M899" s="2234" t="str">
        <v>1998|意大利里拉（ITL）</v>
      </c>
      <c r="N899" s="2234" t="str">
        <v>意大利里拉（ITL）</v>
      </c>
      <c r="O899" s="2239" t="n">
        <v>0.896773315</v>
      </c>
      <c r="P899" s="2234" t="str">
        <v>LCU/USD</v>
      </c>
      <c r="Q899" s="2239" t="n">
        <v>1936.27</v>
      </c>
      <c r="R899" s="2234" t="str">
        <v>A：机构统计／原始统计表</v>
      </c>
      <c r="S899" s="2234" t="str">
        <v>年度汇率!G84；原始记录!A730:M730</v>
      </c>
      <c r="T899" s="2234" t="str"/>
      <c r="U899" t="n" s="2231">
        <v>2005</v>
      </c>
      <c r="V899" t="str" s="2231">
        <v>美元（USD）</v>
      </c>
    </row>
    <row r="900" ht="15.0" customHeight="1">
      <c r="A900" s="2234" t="n">
        <v>1998</v>
      </c>
      <c r="B900" s="2234" t="str">
        <v>JPY</v>
      </c>
      <c r="C900" s="2234" t="str">
        <v>日元（JPY）</v>
      </c>
      <c r="D900" s="2234" t="str">
        <v>可用</v>
      </c>
      <c r="E900" s="2238" t="n">
        <v>130.9892</v>
      </c>
      <c r="F900" s="2234" t="str">
        <v>年均</v>
      </c>
      <c r="G900" s="2234" t="str">
        <v>Federal Reserve G.5A / FRED AEXJPUS</v>
      </c>
      <c r="H900" s="2234" t="str">
        <v>https://fred.stlouisfed.org/data/AEXJPUS</v>
      </c>
      <c r="I900" s="2234" t="str">
        <v>1998-01-01—1998-12-31</v>
      </c>
      <c r="J900" s="2234" t="str">
        <v>historical_exchange_rates_1920_2026.xlsx</v>
      </c>
      <c r="K900" s="2234" t="str"/>
      <c r="L900" s="2234" t="str">
        <v>原报价已按 1 美元兑换本币表示。</v>
      </c>
      <c r="M900" s="2234" t="str">
        <v>1998|日元（JPY）</v>
      </c>
      <c r="N900" s="2234" t="str">
        <v>日元（JPY）</v>
      </c>
      <c r="O900" s="2239" t="n">
        <v>130.9892</v>
      </c>
      <c r="P900" s="2234" t="str">
        <v>LCU/USD</v>
      </c>
      <c r="Q900" s="2239" t="n">
        <v>1</v>
      </c>
      <c r="R900" s="2234" t="str">
        <v>A：机构统计／原始统计表</v>
      </c>
      <c r="S900" s="2234" t="str">
        <v>年度汇率!H84；原始记录!A731:M731</v>
      </c>
      <c r="T900" s="2234" t="str"/>
      <c r="U900" t="n" s="2231">
        <v>2005</v>
      </c>
      <c r="V900" t="str" s="2231">
        <v>英镑（GBP）</v>
      </c>
    </row>
    <row r="901" ht="15.0" customHeight="1">
      <c r="A901" s="2234" t="n">
        <v>1998</v>
      </c>
      <c r="B901" s="2234" t="str">
        <v>CHF</v>
      </c>
      <c r="C901" s="2234" t="str">
        <v>瑞士法郎（CHF）</v>
      </c>
      <c r="D901" s="2234" t="str">
        <v>可用</v>
      </c>
      <c r="E901" s="2238" t="n">
        <v>1.4506</v>
      </c>
      <c r="F901" s="2234" t="str">
        <v>年均</v>
      </c>
      <c r="G901" s="2234" t="str">
        <v>Federal Reserve G.5A / FRED AEXSZUS</v>
      </c>
      <c r="H901" s="2234" t="str">
        <v>https://fred.stlouisfed.org/data/AEXSZUS</v>
      </c>
      <c r="I901" s="2234" t="str">
        <v>1998-01-01—1998-12-31</v>
      </c>
      <c r="J901" s="2234" t="str">
        <v>historical_exchange_rates_1920_2026.xlsx</v>
      </c>
      <c r="K901" s="2234" t="str"/>
      <c r="L901" s="2234" t="str">
        <v>原报价已按 1 美元兑换本币表示。</v>
      </c>
      <c r="M901" s="2234" t="str">
        <v>1998|瑞士法郎（CHF）</v>
      </c>
      <c r="N901" s="2234" t="str">
        <v>瑞士法郎（CHF）</v>
      </c>
      <c r="O901" s="2239" t="n">
        <v>1.4506</v>
      </c>
      <c r="P901" s="2234" t="str">
        <v>LCU/USD</v>
      </c>
      <c r="Q901" s="2239" t="n">
        <v>1</v>
      </c>
      <c r="R901" s="2234" t="str">
        <v>A：机构统计／原始统计表</v>
      </c>
      <c r="S901" s="2234" t="str">
        <v>年度汇率!I84；原始记录!A732:M732</v>
      </c>
      <c r="T901" s="2234" t="str"/>
      <c r="U901" t="n" s="2231">
        <v>2005</v>
      </c>
      <c r="V901" t="str" s="2231">
        <v>加拿大元（CAD）</v>
      </c>
    </row>
    <row r="902" ht="15.0" customHeight="1">
      <c r="A902" s="2234" t="n">
        <v>1998</v>
      </c>
      <c r="B902" s="2234" t="str">
        <v>INR</v>
      </c>
      <c r="C902" s="2234" t="str">
        <v>印度卢比（INR）</v>
      </c>
      <c r="D902" s="2234" t="str">
        <v>可用</v>
      </c>
      <c r="E902" s="2238" t="n">
        <v>41.3561</v>
      </c>
      <c r="F902" s="2234" t="str">
        <v>年均</v>
      </c>
      <c r="G902" s="2234" t="str">
        <v>Federal Reserve G.5A / FRED AEXINUS</v>
      </c>
      <c r="H902" s="2234" t="str">
        <v>https://fred.stlouisfed.org/data/AEXINUS</v>
      </c>
      <c r="I902" s="2234" t="str">
        <v>1998-01-01—1998-12-31</v>
      </c>
      <c r="J902" s="2234" t="str">
        <v>historical_exchange_rates_1920_2026.xlsx</v>
      </c>
      <c r="K902" s="2234" t="str"/>
      <c r="L902" s="2234" t="str">
        <v>原报价已按 1 美元兑换本币表示。</v>
      </c>
      <c r="M902" s="2234" t="str">
        <v>1998|印度卢比（INR）</v>
      </c>
      <c r="N902" s="2234" t="str">
        <v>印度卢比（INR）</v>
      </c>
      <c r="O902" s="2239" t="n">
        <v>41.3561</v>
      </c>
      <c r="P902" s="2234" t="str">
        <v>LCU/USD</v>
      </c>
      <c r="Q902" s="2239" t="n">
        <v>1</v>
      </c>
      <c r="R902" s="2234" t="str">
        <v>A：机构统计／原始统计表</v>
      </c>
      <c r="S902" s="2234" t="str">
        <v>年度汇率!J84；原始记录!A733:M733</v>
      </c>
      <c r="T902" s="2234" t="str"/>
      <c r="U902" t="n" s="2231">
        <v>2005</v>
      </c>
      <c r="V902" t="str" s="2231">
        <v>日元（JPY）</v>
      </c>
    </row>
    <row r="903" ht="15.0" customHeight="1">
      <c r="A903" s="2234" t="n">
        <v>1998</v>
      </c>
      <c r="B903" s="2234" t="str">
        <v>RUB</v>
      </c>
      <c r="C903" s="2234" t="str">
        <v>俄罗斯卢布（RUB；1998币制）</v>
      </c>
      <c r="D903" s="2234" t="str">
        <v>可用</v>
      </c>
      <c r="E903" s="2238" t="n">
        <v>9.69179065234559</v>
      </c>
      <c r="F903" s="2234" t="str">
        <v>年均</v>
      </c>
      <c r="G903" s="2234" t="str">
        <v>OECD Main Economic Indicators / FRED CCUSMA02RUA618N</v>
      </c>
      <c r="H903" s="2234" t="str">
        <v>https://fred.stlouisfed.org/data/CCUSMA02RUA618N</v>
      </c>
      <c r="I903" s="2234" t="str">
        <v>1998-01-01—1998-12-31</v>
      </c>
      <c r="J903" s="2234" t="str">
        <v>historical_exchange_rates_1920_2026.xlsx</v>
      </c>
      <c r="K903" s="2234" t="str">
        <v>原表1993—1997年以1998年新卢布回溯表示；本表乘1000还原当年的旧卢布。</v>
      </c>
      <c r="L903" s="2234" t="str">
        <v>原报价已按 1 美元兑换本币表示。</v>
      </c>
      <c r="M903" s="2234" t="str">
        <v>1998|俄罗斯卢布（RUB；1998币制）</v>
      </c>
      <c r="N903" s="2234" t="str">
        <v>俄罗斯卢布（RUB；1998币制）</v>
      </c>
      <c r="O903" s="2239" t="n">
        <v>9.69179065234559</v>
      </c>
      <c r="P903" s="2234" t="str">
        <v>LCU/USD</v>
      </c>
      <c r="Q903" s="2239" t="n">
        <v>1</v>
      </c>
      <c r="R903" s="2234" t="str">
        <v>A：机构统计／原始统计表</v>
      </c>
      <c r="S903" s="2234" t="str">
        <v>年度汇率!K84；原始记录!A734:M734</v>
      </c>
      <c r="T903" s="2234" t="str"/>
      <c r="U903" t="n" s="2231">
        <v>2005</v>
      </c>
      <c r="V903" t="str" s="2231">
        <v>瑞士法郎（CHF）</v>
      </c>
    </row>
    <row r="904" ht="15.0" customHeight="1">
      <c r="A904" s="2234" t="n">
        <v>1998</v>
      </c>
      <c r="B904" s="2234" t="str">
        <v>CNY</v>
      </c>
      <c r="C904" s="2234" t="str">
        <v>人民币元（1955币制；CNY）</v>
      </c>
      <c r="D904" s="2234" t="str">
        <v>可用</v>
      </c>
      <c r="E904" s="2238" t="n">
        <v>8.3008</v>
      </c>
      <c r="F904" s="2234" t="str">
        <v>年均</v>
      </c>
      <c r="G904" s="2234" t="str">
        <v>Federal Reserve G.5A / FRED AEXCHUS</v>
      </c>
      <c r="H904" s="2234" t="str">
        <v>https://fred.stlouisfed.org/data/AEXCHUS</v>
      </c>
      <c r="I904" s="2234" t="str">
        <v>1998-01-01—1998-12-31</v>
      </c>
      <c r="J904" s="2234" t="str">
        <v>historical_exchange_rates_1920_2026.xlsx</v>
      </c>
      <c r="K904" s="2234" t="str"/>
      <c r="L904" s="2234" t="str">
        <v>原报价已按 1 美元兑换本币表示。</v>
      </c>
      <c r="M904" s="2234" t="str">
        <v>1998|人民币元（1955币制；CNY）</v>
      </c>
      <c r="N904" s="2234" t="str">
        <v>人民币元（1955币制；CNY）</v>
      </c>
      <c r="O904" s="2239" t="n">
        <v>8.3008</v>
      </c>
      <c r="P904" s="2234" t="str">
        <v>LCU/USD</v>
      </c>
      <c r="Q904" s="2239" t="n">
        <v>1</v>
      </c>
      <c r="R904" s="2234" t="str">
        <v>A：机构统计／原始统计表</v>
      </c>
      <c r="S904" s="2234" t="str">
        <v>年度汇率!L84；原始记录!A735:M735</v>
      </c>
      <c r="T904" s="2234" t="str"/>
      <c r="U904" t="n" s="2231">
        <v>2005</v>
      </c>
      <c r="V904" t="str" s="2231">
        <v>印度卢比（INR）</v>
      </c>
    </row>
    <row r="905" ht="15.0" customHeight="1">
      <c r="A905" s="2234" t="n">
        <v>1999</v>
      </c>
      <c r="B905" s="2234" t="str">
        <v>USD</v>
      </c>
      <c r="C905" s="2234" t="str">
        <v>美元（USD）</v>
      </c>
      <c r="D905" s="2234" t="str">
        <v>可用</v>
      </c>
      <c r="E905" s="2238" t="n">
        <v>1</v>
      </c>
      <c r="F905" s="2234" t="str">
        <v>基准恒等</v>
      </c>
      <c r="G905" s="2234" t="str">
        <v>用户提供的历史汇率表</v>
      </c>
      <c r="H905" s="2234" t="str"/>
      <c r="I905" s="2234" t="str">
        <v>1999</v>
      </c>
      <c r="J905" s="2234" t="str">
        <v>historical_exchange_rates_1920_2026.xlsx</v>
      </c>
      <c r="K905" s="2234" t="str">
        <v>1 美元等于 1 美元，无外部报价。</v>
      </c>
      <c r="L905" s="2234" t="str">
        <v>美元基准，汇率恒为 1。</v>
      </c>
      <c r="M905" s="2234" t="str">
        <v>1999|美元（USD）</v>
      </c>
      <c r="N905" s="2234" t="str">
        <v>美元（USD）</v>
      </c>
      <c r="O905" s="2239"/>
      <c r="P905" s="2234" t="str"/>
      <c r="Q905" s="2239"/>
      <c r="R905" s="2234" t="str"/>
      <c r="S905" s="2234" t="str">
        <v>年度汇率!B85</v>
      </c>
      <c r="T905" s="2234" t="str"/>
      <c r="U905" t="n" s="2231">
        <v>2005</v>
      </c>
      <c r="V905" t="str" s="2231">
        <v>俄罗斯卢布（RUB；1998币制）</v>
      </c>
    </row>
    <row r="906" ht="24.0" customHeight="1">
      <c r="A906" s="2234" t="n">
        <v>1999</v>
      </c>
      <c r="B906" s="2234" t="str">
        <v>GBP</v>
      </c>
      <c r="C906" s="2234" t="str">
        <v>英镑（GBP）</v>
      </c>
      <c r="D906" s="2234" t="str">
        <v>可用</v>
      </c>
      <c r="E906" s="2238" t="n">
        <v>0.6183527083848628</v>
      </c>
      <c r="F906" s="2234" t="str">
        <v>年均</v>
      </c>
      <c r="G906" s="2234" t="str">
        <v>Federal Reserve G.5A / FRED AEXUSUK</v>
      </c>
      <c r="H906" s="2234" t="str">
        <v>https://fred.stlouisfed.org/data/AEXUSUK</v>
      </c>
      <c r="I906" s="2234" t="str">
        <v>1999-01-01—1999-12-31</v>
      </c>
      <c r="J906" s="2234" t="str">
        <v>historical_exchange_rates_1920_2026.xlsx</v>
      </c>
      <c r="K906" s="2234" t="str">
        <v>反向值由原报价均值取倒数；不等于反向日度汇率的算术平均。
年均USD/GBP；主表取倒数，不等于逐日GBP/USD平均。</v>
      </c>
      <c r="L906" s="2234" t="str">
        <v>原报价为每单位本币兑美元，取原报价均值的倒数；不等于反向日度汇率的算术平均。</v>
      </c>
      <c r="M906" s="2234" t="str">
        <v>1999|英镑（GBP）</v>
      </c>
      <c r="N906" s="2234" t="str">
        <v>英镑（GBP）</v>
      </c>
      <c r="O906" s="2239" t="n">
        <v>1.6172</v>
      </c>
      <c r="P906" s="2234" t="str">
        <v>USD/LCU</v>
      </c>
      <c r="Q906" s="2239" t="n">
        <v>1</v>
      </c>
      <c r="R906" s="2234" t="str">
        <v>A：机构统计／原始统计表</v>
      </c>
      <c r="S906" s="2234" t="str">
        <v>年度汇率!C85；原始记录!A736:M736</v>
      </c>
      <c r="T906" s="2234" t="str"/>
      <c r="U906" t="n" s="2231">
        <v>2005</v>
      </c>
      <c r="V906" t="str" s="2231">
        <v>人民币元（1955币制；CNY）</v>
      </c>
    </row>
    <row r="907" ht="15.0" customHeight="1">
      <c r="A907" s="2234" t="n">
        <v>1999</v>
      </c>
      <c r="B907" s="2234" t="str">
        <v>CAD</v>
      </c>
      <c r="C907" s="2234" t="str">
        <v>加拿大元（CAD）</v>
      </c>
      <c r="D907" s="2234" t="str">
        <v>可用</v>
      </c>
      <c r="E907" s="2238" t="n">
        <v>1.4858</v>
      </c>
      <c r="F907" s="2234" t="str">
        <v>年均</v>
      </c>
      <c r="G907" s="2234" t="str">
        <v>Federal Reserve G.5A / FRED AEXCAUS</v>
      </c>
      <c r="H907" s="2234" t="str">
        <v>https://fred.stlouisfed.org/data/AEXCAUS</v>
      </c>
      <c r="I907" s="2234" t="str">
        <v>1999-01-01—1999-12-31</v>
      </c>
      <c r="J907" s="2234" t="str">
        <v>historical_exchange_rates_1920_2026.xlsx</v>
      </c>
      <c r="K907" s="2234" t="str"/>
      <c r="L907" s="2234" t="str">
        <v>原报价已按 1 美元兑换本币表示。</v>
      </c>
      <c r="M907" s="2234" t="str">
        <v>1999|加拿大元（CAD）</v>
      </c>
      <c r="N907" s="2234" t="str">
        <v>加拿大元（CAD）</v>
      </c>
      <c r="O907" s="2239" t="n">
        <v>1.4858</v>
      </c>
      <c r="P907" s="2234" t="str">
        <v>LCU/USD</v>
      </c>
      <c r="Q907" s="2239" t="n">
        <v>1</v>
      </c>
      <c r="R907" s="2234" t="str">
        <v>A：机构统计／原始统计表</v>
      </c>
      <c r="S907" s="2234" t="str">
        <v>年度汇率!D85；原始记录!A737:M737</v>
      </c>
      <c r="T907" s="2234" t="str"/>
      <c r="U907" t="n" s="2231">
        <v>2005</v>
      </c>
      <c r="V907" t="str" s="2231">
        <v>欧元（EUR）</v>
      </c>
    </row>
    <row r="908" ht="15.0" customHeight="1">
      <c r="A908" s="2234" t="n">
        <v>1999</v>
      </c>
      <c r="B908" s="2234" t="str">
        <v>JPY</v>
      </c>
      <c r="C908" s="2234" t="str">
        <v>日元（JPY）</v>
      </c>
      <c r="D908" s="2234" t="str">
        <v>可用</v>
      </c>
      <c r="E908" s="2238" t="n">
        <v>113.7342</v>
      </c>
      <c r="F908" s="2234" t="str">
        <v>年均</v>
      </c>
      <c r="G908" s="2234" t="str">
        <v>Federal Reserve G.5A / FRED AEXJPUS</v>
      </c>
      <c r="H908" s="2234" t="str">
        <v>https://fred.stlouisfed.org/data/AEXJPUS</v>
      </c>
      <c r="I908" s="2234" t="str">
        <v>1999-01-01—1999-12-31</v>
      </c>
      <c r="J908" s="2234" t="str">
        <v>historical_exchange_rates_1920_2026.xlsx</v>
      </c>
      <c r="K908" s="2234" t="str"/>
      <c r="L908" s="2234" t="str">
        <v>原报价已按 1 美元兑换本币表示。</v>
      </c>
      <c r="M908" s="2234" t="str">
        <v>1999|日元（JPY）</v>
      </c>
      <c r="N908" s="2234" t="str">
        <v>日元（JPY）</v>
      </c>
      <c r="O908" s="2239" t="n">
        <v>113.7342</v>
      </c>
      <c r="P908" s="2234" t="str">
        <v>LCU/USD</v>
      </c>
      <c r="Q908" s="2239" t="n">
        <v>1</v>
      </c>
      <c r="R908" s="2234" t="str">
        <v>A：机构统计／原始统计表</v>
      </c>
      <c r="S908" s="2234" t="str">
        <v>年度汇率!H85；原始记录!A738:M738</v>
      </c>
      <c r="T908" s="2234" t="str"/>
      <c r="U908" t="n" s="2231">
        <v>2006</v>
      </c>
      <c r="V908" t="str" s="2231">
        <v>美元（USD）</v>
      </c>
    </row>
    <row r="909" ht="15.0" customHeight="1">
      <c r="A909" s="2234" t="n">
        <v>1999</v>
      </c>
      <c r="B909" s="2234" t="str">
        <v>CHF</v>
      </c>
      <c r="C909" s="2234" t="str">
        <v>瑞士法郎（CHF）</v>
      </c>
      <c r="D909" s="2234" t="str">
        <v>可用</v>
      </c>
      <c r="E909" s="2238" t="n">
        <v>1.5045</v>
      </c>
      <c r="F909" s="2234" t="str">
        <v>年均</v>
      </c>
      <c r="G909" s="2234" t="str">
        <v>Federal Reserve G.5A / FRED AEXSZUS</v>
      </c>
      <c r="H909" s="2234" t="str">
        <v>https://fred.stlouisfed.org/data/AEXSZUS</v>
      </c>
      <c r="I909" s="2234" t="str">
        <v>1999-01-01—1999-12-31</v>
      </c>
      <c r="J909" s="2234" t="str">
        <v>historical_exchange_rates_1920_2026.xlsx</v>
      </c>
      <c r="K909" s="2234" t="str"/>
      <c r="L909" s="2234" t="str">
        <v>原报价已按 1 美元兑换本币表示。</v>
      </c>
      <c r="M909" s="2234" t="str">
        <v>1999|瑞士法郎（CHF）</v>
      </c>
      <c r="N909" s="2234" t="str">
        <v>瑞士法郎（CHF）</v>
      </c>
      <c r="O909" s="2239" t="n">
        <v>1.5045</v>
      </c>
      <c r="P909" s="2234" t="str">
        <v>LCU/USD</v>
      </c>
      <c r="Q909" s="2239" t="n">
        <v>1</v>
      </c>
      <c r="R909" s="2234" t="str">
        <v>A：机构统计／原始统计表</v>
      </c>
      <c r="S909" s="2234" t="str">
        <v>年度汇率!I85；原始记录!A739:M739</v>
      </c>
      <c r="T909" s="2234" t="str"/>
      <c r="U909" t="n" s="2231">
        <v>2006</v>
      </c>
      <c r="V909" t="str" s="2231">
        <v>英镑（GBP）</v>
      </c>
    </row>
    <row r="910" ht="15.0" customHeight="1">
      <c r="A910" s="2234" t="n">
        <v>1999</v>
      </c>
      <c r="B910" s="2234" t="str">
        <v>INR</v>
      </c>
      <c r="C910" s="2234" t="str">
        <v>印度卢比（INR）</v>
      </c>
      <c r="D910" s="2234" t="str">
        <v>可用</v>
      </c>
      <c r="E910" s="2238" t="n">
        <v>43.1274</v>
      </c>
      <c r="F910" s="2234" t="str">
        <v>年均</v>
      </c>
      <c r="G910" s="2234" t="str">
        <v>Federal Reserve G.5A / FRED AEXINUS</v>
      </c>
      <c r="H910" s="2234" t="str">
        <v>https://fred.stlouisfed.org/data/AEXINUS</v>
      </c>
      <c r="I910" s="2234" t="str">
        <v>1999-01-01—1999-12-31</v>
      </c>
      <c r="J910" s="2234" t="str">
        <v>historical_exchange_rates_1920_2026.xlsx</v>
      </c>
      <c r="K910" s="2234" t="str"/>
      <c r="L910" s="2234" t="str">
        <v>原报价已按 1 美元兑换本币表示。</v>
      </c>
      <c r="M910" s="2234" t="str">
        <v>1999|印度卢比（INR）</v>
      </c>
      <c r="N910" s="2234" t="str">
        <v>印度卢比（INR）</v>
      </c>
      <c r="O910" s="2239" t="n">
        <v>43.1274</v>
      </c>
      <c r="P910" s="2234" t="str">
        <v>LCU/USD</v>
      </c>
      <c r="Q910" s="2239" t="n">
        <v>1</v>
      </c>
      <c r="R910" s="2234" t="str">
        <v>A：机构统计／原始统计表</v>
      </c>
      <c r="S910" s="2234" t="str">
        <v>年度汇率!J85；原始记录!A740:M740</v>
      </c>
      <c r="T910" s="2234" t="str"/>
      <c r="U910" t="n" s="2231">
        <v>2006</v>
      </c>
      <c r="V910" t="str" s="2231">
        <v>加拿大元（CAD）</v>
      </c>
    </row>
    <row r="911" ht="15.0" customHeight="1">
      <c r="A911" s="2234" t="n">
        <v>1999</v>
      </c>
      <c r="B911" s="2234" t="str">
        <v>RUB</v>
      </c>
      <c r="C911" s="2234" t="str">
        <v>俄罗斯卢布（RUB；1998币制）</v>
      </c>
      <c r="D911" s="2234" t="str">
        <v>可用</v>
      </c>
      <c r="E911" s="2238" t="n">
        <v>24.6190096272511</v>
      </c>
      <c r="F911" s="2234" t="str">
        <v>年均</v>
      </c>
      <c r="G911" s="2234" t="str">
        <v>OECD Main Economic Indicators / FRED CCUSMA02RUA618N</v>
      </c>
      <c r="H911" s="2234" t="str">
        <v>https://fred.stlouisfed.org/data/CCUSMA02RUA618N</v>
      </c>
      <c r="I911" s="2234" t="str">
        <v>1999-01-01—1999-12-31</v>
      </c>
      <c r="J911" s="2234" t="str">
        <v>historical_exchange_rates_1920_2026.xlsx</v>
      </c>
      <c r="K911" s="2234" t="str">
        <v>原表1993—1997年以1998年新卢布回溯表示；本表乘1000还原当年的旧卢布。</v>
      </c>
      <c r="L911" s="2234" t="str">
        <v>原报价已按 1 美元兑换本币表示。</v>
      </c>
      <c r="M911" s="2234" t="str">
        <v>1999|俄罗斯卢布（RUB；1998币制）</v>
      </c>
      <c r="N911" s="2234" t="str">
        <v>俄罗斯卢布（RUB；1998币制）</v>
      </c>
      <c r="O911" s="2239" t="n">
        <v>24.6190096272511</v>
      </c>
      <c r="P911" s="2234" t="str">
        <v>LCU/USD</v>
      </c>
      <c r="Q911" s="2239" t="n">
        <v>1</v>
      </c>
      <c r="R911" s="2234" t="str">
        <v>A：机构统计／原始统计表</v>
      </c>
      <c r="S911" s="2234" t="str">
        <v>年度汇率!K85；原始记录!A741:M741</v>
      </c>
      <c r="T911" s="2234" t="str"/>
      <c r="U911" t="n" s="2231">
        <v>2006</v>
      </c>
      <c r="V911" t="str" s="2231">
        <v>日元（JPY）</v>
      </c>
    </row>
    <row r="912" ht="15.0" customHeight="1">
      <c r="A912" s="2234" t="n">
        <v>1999</v>
      </c>
      <c r="B912" s="2234" t="str">
        <v>CNY</v>
      </c>
      <c r="C912" s="2234" t="str">
        <v>人民币元（1955币制；CNY）</v>
      </c>
      <c r="D912" s="2234" t="str">
        <v>可用</v>
      </c>
      <c r="E912" s="2238" t="n">
        <v>8.2783</v>
      </c>
      <c r="F912" s="2234" t="str">
        <v>年均</v>
      </c>
      <c r="G912" s="2234" t="str">
        <v>Federal Reserve G.5A / FRED AEXCHUS</v>
      </c>
      <c r="H912" s="2234" t="str">
        <v>https://fred.stlouisfed.org/data/AEXCHUS</v>
      </c>
      <c r="I912" s="2234" t="str">
        <v>1999-01-01—1999-12-31</v>
      </c>
      <c r="J912" s="2234" t="str">
        <v>historical_exchange_rates_1920_2026.xlsx</v>
      </c>
      <c r="K912" s="2234" t="str"/>
      <c r="L912" s="2234" t="str">
        <v>原报价已按 1 美元兑换本币表示。</v>
      </c>
      <c r="M912" s="2234" t="str">
        <v>1999|人民币元（1955币制；CNY）</v>
      </c>
      <c r="N912" s="2234" t="str">
        <v>人民币元（1955币制；CNY）</v>
      </c>
      <c r="O912" s="2239" t="n">
        <v>8.2783</v>
      </c>
      <c r="P912" s="2234" t="str">
        <v>LCU/USD</v>
      </c>
      <c r="Q912" s="2239" t="n">
        <v>1</v>
      </c>
      <c r="R912" s="2234" t="str">
        <v>A：机构统计／原始统计表</v>
      </c>
      <c r="S912" s="2234" t="str">
        <v>年度汇率!L85；原始记录!A742:M742</v>
      </c>
      <c r="T912" s="2234" t="str"/>
      <c r="U912" t="n" s="2231">
        <v>2006</v>
      </c>
      <c r="V912" t="str" s="2231">
        <v>瑞士法郎（CHF）</v>
      </c>
    </row>
    <row r="913" ht="24.0" customHeight="1">
      <c r="A913" s="2234" t="n">
        <v>1999</v>
      </c>
      <c r="B913" s="2234" t="str">
        <v>EUR</v>
      </c>
      <c r="C913" s="2234" t="str">
        <v>欧元（EUR）</v>
      </c>
      <c r="D913" s="2234" t="str">
        <v>可用</v>
      </c>
      <c r="E913" s="2238" t="n">
        <v>0.9387027128508402</v>
      </c>
      <c r="F913" s="2234" t="str">
        <v>年均</v>
      </c>
      <c r="G913" s="2234" t="str">
        <v>Federal Reserve G.5A / FRED AEXUSEU</v>
      </c>
      <c r="H913" s="2234" t="str">
        <v>https://fred.stlouisfed.org/data/AEXUSEU</v>
      </c>
      <c r="I913" s="2234" t="str">
        <v>1999-01-01—1999-12-31</v>
      </c>
      <c r="J913" s="2234" t="str">
        <v>historical_exchange_rates_1920_2026.xlsx</v>
      </c>
      <c r="K913" s="2234" t="str">
        <v>反向值由原报价均值取倒数；不等于反向日度汇率的算术平均。
年均USD/EUR；主表取倒数。</v>
      </c>
      <c r="L913" s="2234" t="str">
        <v>原报价为每单位本币兑美元，取原报价均值的倒数；不等于反向日度汇率的算术平均。</v>
      </c>
      <c r="M913" s="2234" t="str">
        <v>1999|欧元（EUR）</v>
      </c>
      <c r="N913" s="2234" t="str">
        <v>欧元（EUR）</v>
      </c>
      <c r="O913" s="2239" t="n">
        <v>1.0653</v>
      </c>
      <c r="P913" s="2234" t="str">
        <v>USD/LCU</v>
      </c>
      <c r="Q913" s="2239" t="n">
        <v>1</v>
      </c>
      <c r="R913" s="2234" t="str">
        <v>A：机构统计／原始统计表</v>
      </c>
      <c r="S913" s="2234" t="str">
        <v>年度汇率!M85、年度汇率!E85、年度汇率!F85、年度汇率!G85；原始记录!A743:M743</v>
      </c>
      <c r="T913" s="2234" t="str"/>
      <c r="U913" t="n" s="2231">
        <v>2006</v>
      </c>
      <c r="V913" t="str" s="2231">
        <v>印度卢比（INR）</v>
      </c>
    </row>
    <row r="914" ht="15.0" customHeight="1">
      <c r="A914" s="2234" t="n">
        <v>2000</v>
      </c>
      <c r="B914" s="2234" t="str">
        <v>USD</v>
      </c>
      <c r="C914" s="2234" t="str">
        <v>美元（USD）</v>
      </c>
      <c r="D914" s="2234" t="str">
        <v>可用</v>
      </c>
      <c r="E914" s="2238" t="n">
        <v>1</v>
      </c>
      <c r="F914" s="2234" t="str">
        <v>基准恒等</v>
      </c>
      <c r="G914" s="2234" t="str">
        <v>用户提供的历史汇率表</v>
      </c>
      <c r="H914" s="2234" t="str"/>
      <c r="I914" s="2234" t="str">
        <v>2000</v>
      </c>
      <c r="J914" s="2234" t="str">
        <v>historical_exchange_rates_1920_2026.xlsx</v>
      </c>
      <c r="K914" s="2234" t="str">
        <v>1 美元等于 1 美元，无外部报价。</v>
      </c>
      <c r="L914" s="2234" t="str">
        <v>美元基准，汇率恒为 1。</v>
      </c>
      <c r="M914" s="2234" t="str">
        <v>2000|美元（USD）</v>
      </c>
      <c r="N914" s="2234" t="str">
        <v>美元（USD）</v>
      </c>
      <c r="O914" s="2239"/>
      <c r="P914" s="2234" t="str"/>
      <c r="Q914" s="2239"/>
      <c r="R914" s="2234" t="str"/>
      <c r="S914" s="2234" t="str">
        <v>年度汇率!B86</v>
      </c>
      <c r="T914" s="2234" t="str"/>
      <c r="U914" t="n" s="2231">
        <v>2006</v>
      </c>
      <c r="V914" t="str" s="2231">
        <v>俄罗斯卢布（RUB；1998币制）</v>
      </c>
    </row>
    <row r="915" ht="24.0" customHeight="1">
      <c r="A915" s="2234" t="n">
        <v>2000</v>
      </c>
      <c r="B915" s="2234" t="str">
        <v>GBP</v>
      </c>
      <c r="C915" s="2234" t="str">
        <v>英镑（GBP）</v>
      </c>
      <c r="D915" s="2234" t="str">
        <v>可用</v>
      </c>
      <c r="E915" s="2238" t="n">
        <v>0.6598046978094484</v>
      </c>
      <c r="F915" s="2234" t="str">
        <v>年均</v>
      </c>
      <c r="G915" s="2234" t="str">
        <v>Federal Reserve G.5A / FRED AEXUSUK</v>
      </c>
      <c r="H915" s="2234" t="str">
        <v>https://fred.stlouisfed.org/data/AEXUSUK</v>
      </c>
      <c r="I915" s="2234" t="str">
        <v>2000-01-01—2000-12-31</v>
      </c>
      <c r="J915" s="2234" t="str">
        <v>historical_exchange_rates_1920_2026.xlsx</v>
      </c>
      <c r="K915" s="2234" t="str">
        <v>反向值由原报价均值取倒数；不等于反向日度汇率的算术平均。
年均USD/GBP；主表取倒数，不等于逐日GBP/USD平均。</v>
      </c>
      <c r="L915" s="2234" t="str">
        <v>原报价为每单位本币兑美元，取原报价均值的倒数；不等于反向日度汇率的算术平均。</v>
      </c>
      <c r="M915" s="2234" t="str">
        <v>2000|英镑（GBP）</v>
      </c>
      <c r="N915" s="2234" t="str">
        <v>英镑（GBP）</v>
      </c>
      <c r="O915" s="2239" t="n">
        <v>1.5156</v>
      </c>
      <c r="P915" s="2234" t="str">
        <v>USD/LCU</v>
      </c>
      <c r="Q915" s="2239" t="n">
        <v>1</v>
      </c>
      <c r="R915" s="2234" t="str">
        <v>A：机构统计／原始统计表</v>
      </c>
      <c r="S915" s="2234" t="str">
        <v>年度汇率!C86；原始记录!A744:M744</v>
      </c>
      <c r="T915" s="2234" t="str"/>
      <c r="U915" t="n" s="2231">
        <v>2006</v>
      </c>
      <c r="V915" t="str" s="2231">
        <v>人民币元（1955币制；CNY）</v>
      </c>
    </row>
    <row r="916" ht="15.0" customHeight="1">
      <c r="A916" s="2234" t="n">
        <v>2000</v>
      </c>
      <c r="B916" s="2234" t="str">
        <v>CAD</v>
      </c>
      <c r="C916" s="2234" t="str">
        <v>加拿大元（CAD）</v>
      </c>
      <c r="D916" s="2234" t="str">
        <v>可用</v>
      </c>
      <c r="E916" s="2238" t="n">
        <v>1.4855</v>
      </c>
      <c r="F916" s="2234" t="str">
        <v>年均</v>
      </c>
      <c r="G916" s="2234" t="str">
        <v>Federal Reserve G.5A / FRED AEXCAUS</v>
      </c>
      <c r="H916" s="2234" t="str">
        <v>https://fred.stlouisfed.org/data/AEXCAUS</v>
      </c>
      <c r="I916" s="2234" t="str">
        <v>2000-01-01—2000-12-31</v>
      </c>
      <c r="J916" s="2234" t="str">
        <v>historical_exchange_rates_1920_2026.xlsx</v>
      </c>
      <c r="K916" s="2234" t="str"/>
      <c r="L916" s="2234" t="str">
        <v>原报价已按 1 美元兑换本币表示。</v>
      </c>
      <c r="M916" s="2234" t="str">
        <v>2000|加拿大元（CAD）</v>
      </c>
      <c r="N916" s="2234" t="str">
        <v>加拿大元（CAD）</v>
      </c>
      <c r="O916" s="2239" t="n">
        <v>1.4855</v>
      </c>
      <c r="P916" s="2234" t="str">
        <v>LCU/USD</v>
      </c>
      <c r="Q916" s="2239" t="n">
        <v>1</v>
      </c>
      <c r="R916" s="2234" t="str">
        <v>A：机构统计／原始统计表</v>
      </c>
      <c r="S916" s="2234" t="str">
        <v>年度汇率!D86；原始记录!A745:M745</v>
      </c>
      <c r="T916" s="2234" t="str"/>
      <c r="U916" t="n" s="2231">
        <v>2006</v>
      </c>
      <c r="V916" t="str" s="2231">
        <v>欧元（EUR）</v>
      </c>
    </row>
    <row r="917" ht="15.0" customHeight="1">
      <c r="A917" s="2234" t="n">
        <v>2000</v>
      </c>
      <c r="B917" s="2234" t="str">
        <v>JPY</v>
      </c>
      <c r="C917" s="2234" t="str">
        <v>日元（JPY）</v>
      </c>
      <c r="D917" s="2234" t="str">
        <v>可用</v>
      </c>
      <c r="E917" s="2238" t="n">
        <v>107.804</v>
      </c>
      <c r="F917" s="2234" t="str">
        <v>年均</v>
      </c>
      <c r="G917" s="2234" t="str">
        <v>Federal Reserve G.5A / FRED AEXJPUS</v>
      </c>
      <c r="H917" s="2234" t="str">
        <v>https://fred.stlouisfed.org/data/AEXJPUS</v>
      </c>
      <c r="I917" s="2234" t="str">
        <v>2000-01-01—2000-12-31</v>
      </c>
      <c r="J917" s="2234" t="str">
        <v>historical_exchange_rates_1920_2026.xlsx</v>
      </c>
      <c r="K917" s="2234" t="str"/>
      <c r="L917" s="2234" t="str">
        <v>原报价已按 1 美元兑换本币表示。</v>
      </c>
      <c r="M917" s="2234" t="str">
        <v>2000|日元（JPY）</v>
      </c>
      <c r="N917" s="2234" t="str">
        <v>日元（JPY）</v>
      </c>
      <c r="O917" s="2239" t="n">
        <v>107.804</v>
      </c>
      <c r="P917" s="2234" t="str">
        <v>LCU/USD</v>
      </c>
      <c r="Q917" s="2239" t="n">
        <v>1</v>
      </c>
      <c r="R917" s="2234" t="str">
        <v>A：机构统计／原始统计表</v>
      </c>
      <c r="S917" s="2234" t="str">
        <v>年度汇率!H86；原始记录!A746:M746</v>
      </c>
      <c r="T917" s="2234" t="str"/>
      <c r="U917" t="n" s="2231">
        <v>2007</v>
      </c>
      <c r="V917" t="str" s="2231">
        <v>美元（USD）</v>
      </c>
    </row>
    <row r="918" ht="15.0" customHeight="1">
      <c r="A918" s="2234" t="n">
        <v>2000</v>
      </c>
      <c r="B918" s="2234" t="str">
        <v>CHF</v>
      </c>
      <c r="C918" s="2234" t="str">
        <v>瑞士法郎（CHF）</v>
      </c>
      <c r="D918" s="2234" t="str">
        <v>可用</v>
      </c>
      <c r="E918" s="2238" t="n">
        <v>1.6904</v>
      </c>
      <c r="F918" s="2234" t="str">
        <v>年均</v>
      </c>
      <c r="G918" s="2234" t="str">
        <v>Federal Reserve G.5A / FRED AEXSZUS</v>
      </c>
      <c r="H918" s="2234" t="str">
        <v>https://fred.stlouisfed.org/data/AEXSZUS</v>
      </c>
      <c r="I918" s="2234" t="str">
        <v>2000-01-01—2000-12-31</v>
      </c>
      <c r="J918" s="2234" t="str">
        <v>historical_exchange_rates_1920_2026.xlsx</v>
      </c>
      <c r="K918" s="2234" t="str"/>
      <c r="L918" s="2234" t="str">
        <v>原报价已按 1 美元兑换本币表示。</v>
      </c>
      <c r="M918" s="2234" t="str">
        <v>2000|瑞士法郎（CHF）</v>
      </c>
      <c r="N918" s="2234" t="str">
        <v>瑞士法郎（CHF）</v>
      </c>
      <c r="O918" s="2239" t="n">
        <v>1.6904</v>
      </c>
      <c r="P918" s="2234" t="str">
        <v>LCU/USD</v>
      </c>
      <c r="Q918" s="2239" t="n">
        <v>1</v>
      </c>
      <c r="R918" s="2234" t="str">
        <v>A：机构统计／原始统计表</v>
      </c>
      <c r="S918" s="2234" t="str">
        <v>年度汇率!I86；原始记录!A747:M747</v>
      </c>
      <c r="T918" s="2234" t="str"/>
      <c r="U918" t="n" s="2231">
        <v>2007</v>
      </c>
      <c r="V918" t="str" s="2231">
        <v>英镑（GBP）</v>
      </c>
    </row>
    <row r="919" ht="15.0" customHeight="1">
      <c r="A919" s="2234" t="n">
        <v>2000</v>
      </c>
      <c r="B919" s="2234" t="str">
        <v>INR</v>
      </c>
      <c r="C919" s="2234" t="str">
        <v>印度卢比（INR）</v>
      </c>
      <c r="D919" s="2234" t="str">
        <v>可用</v>
      </c>
      <c r="E919" s="2238" t="n">
        <v>44.9975</v>
      </c>
      <c r="F919" s="2234" t="str">
        <v>年均</v>
      </c>
      <c r="G919" s="2234" t="str">
        <v>Federal Reserve G.5A / FRED AEXINUS</v>
      </c>
      <c r="H919" s="2234" t="str">
        <v>https://fred.stlouisfed.org/data/AEXINUS</v>
      </c>
      <c r="I919" s="2234" t="str">
        <v>2000-01-01—2000-12-31</v>
      </c>
      <c r="J919" s="2234" t="str">
        <v>historical_exchange_rates_1920_2026.xlsx</v>
      </c>
      <c r="K919" s="2234" t="str"/>
      <c r="L919" s="2234" t="str">
        <v>原报价已按 1 美元兑换本币表示。</v>
      </c>
      <c r="M919" s="2234" t="str">
        <v>2000|印度卢比（INR）</v>
      </c>
      <c r="N919" s="2234" t="str">
        <v>印度卢比（INR）</v>
      </c>
      <c r="O919" s="2239" t="n">
        <v>44.9975</v>
      </c>
      <c r="P919" s="2234" t="str">
        <v>LCU/USD</v>
      </c>
      <c r="Q919" s="2239" t="n">
        <v>1</v>
      </c>
      <c r="R919" s="2234" t="str">
        <v>A：机构统计／原始统计表</v>
      </c>
      <c r="S919" s="2234" t="str">
        <v>年度汇率!J86；原始记录!A748:M748</v>
      </c>
      <c r="T919" s="2234" t="str"/>
      <c r="U919" t="n" s="2231">
        <v>2007</v>
      </c>
      <c r="V919" t="str" s="2231">
        <v>加拿大元（CAD）</v>
      </c>
    </row>
    <row r="920" ht="15.0" customHeight="1">
      <c r="A920" s="2234" t="n">
        <v>2000</v>
      </c>
      <c r="B920" s="2234" t="str">
        <v>RUB</v>
      </c>
      <c r="C920" s="2234" t="str">
        <v>俄罗斯卢布（RUB；1998币制）</v>
      </c>
      <c r="D920" s="2234" t="str">
        <v>可用</v>
      </c>
      <c r="E920" s="2238" t="n">
        <v>28.1170698145317</v>
      </c>
      <c r="F920" s="2234" t="str">
        <v>年均</v>
      </c>
      <c r="G920" s="2234" t="str">
        <v>OECD Main Economic Indicators / FRED CCUSMA02RUA618N</v>
      </c>
      <c r="H920" s="2234" t="str">
        <v>https://fred.stlouisfed.org/data/CCUSMA02RUA618N</v>
      </c>
      <c r="I920" s="2234" t="str">
        <v>2000-01-01—2000-12-31</v>
      </c>
      <c r="J920" s="2234" t="str">
        <v>historical_exchange_rates_1920_2026.xlsx</v>
      </c>
      <c r="K920" s="2234" t="str">
        <v>原表1993—1997年以1998年新卢布回溯表示；本表乘1000还原当年的旧卢布。</v>
      </c>
      <c r="L920" s="2234" t="str">
        <v>原报价已按 1 美元兑换本币表示。</v>
      </c>
      <c r="M920" s="2234" t="str">
        <v>2000|俄罗斯卢布（RUB；1998币制）</v>
      </c>
      <c r="N920" s="2234" t="str">
        <v>俄罗斯卢布（RUB；1998币制）</v>
      </c>
      <c r="O920" s="2239" t="n">
        <v>28.1170698145317</v>
      </c>
      <c r="P920" s="2234" t="str">
        <v>LCU/USD</v>
      </c>
      <c r="Q920" s="2239" t="n">
        <v>1</v>
      </c>
      <c r="R920" s="2234" t="str">
        <v>A：机构统计／原始统计表</v>
      </c>
      <c r="S920" s="2234" t="str">
        <v>年度汇率!K86；原始记录!A749:M749</v>
      </c>
      <c r="T920" s="2234" t="str"/>
      <c r="U920" t="n" s="2231">
        <v>2007</v>
      </c>
      <c r="V920" t="str" s="2231">
        <v>日元（JPY）</v>
      </c>
    </row>
    <row r="921" ht="15.0" customHeight="1">
      <c r="A921" s="2234" t="n">
        <v>2000</v>
      </c>
      <c r="B921" s="2234" t="str">
        <v>CNY</v>
      </c>
      <c r="C921" s="2234" t="str">
        <v>人民币元（1955币制；CNY）</v>
      </c>
      <c r="D921" s="2234" t="str">
        <v>可用</v>
      </c>
      <c r="E921" s="2238" t="n">
        <v>8.2784</v>
      </c>
      <c r="F921" s="2234" t="str">
        <v>年均</v>
      </c>
      <c r="G921" s="2234" t="str">
        <v>Federal Reserve G.5A / FRED AEXCHUS</v>
      </c>
      <c r="H921" s="2234" t="str">
        <v>https://fred.stlouisfed.org/data/AEXCHUS</v>
      </c>
      <c r="I921" s="2234" t="str">
        <v>2000-01-01—2000-12-31</v>
      </c>
      <c r="J921" s="2234" t="str">
        <v>historical_exchange_rates_1920_2026.xlsx</v>
      </c>
      <c r="K921" s="2234" t="str"/>
      <c r="L921" s="2234" t="str">
        <v>原报价已按 1 美元兑换本币表示。</v>
      </c>
      <c r="M921" s="2234" t="str">
        <v>2000|人民币元（1955币制；CNY）</v>
      </c>
      <c r="N921" s="2234" t="str">
        <v>人民币元（1955币制；CNY）</v>
      </c>
      <c r="O921" s="2239" t="n">
        <v>8.2784</v>
      </c>
      <c r="P921" s="2234" t="str">
        <v>LCU/USD</v>
      </c>
      <c r="Q921" s="2239" t="n">
        <v>1</v>
      </c>
      <c r="R921" s="2234" t="str">
        <v>A：机构统计／原始统计表</v>
      </c>
      <c r="S921" s="2234" t="str">
        <v>年度汇率!L86；原始记录!A750:M750</v>
      </c>
      <c r="T921" s="2234" t="str"/>
      <c r="U921" t="n" s="2231">
        <v>2007</v>
      </c>
      <c r="V921" t="str" s="2231">
        <v>瑞士法郎（CHF）</v>
      </c>
    </row>
    <row r="922" ht="24.0" customHeight="1">
      <c r="A922" s="2234" t="n">
        <v>2000</v>
      </c>
      <c r="B922" s="2234" t="str">
        <v>EUR</v>
      </c>
      <c r="C922" s="2234" t="str">
        <v>欧元（EUR）</v>
      </c>
      <c r="D922" s="2234" t="str">
        <v>可用</v>
      </c>
      <c r="E922" s="2238" t="n">
        <v>1.0831889081455806</v>
      </c>
      <c r="F922" s="2234" t="str">
        <v>年均</v>
      </c>
      <c r="G922" s="2234" t="str">
        <v>Federal Reserve G.5A / FRED AEXUSEU</v>
      </c>
      <c r="H922" s="2234" t="str">
        <v>https://fred.stlouisfed.org/data/AEXUSEU</v>
      </c>
      <c r="I922" s="2234" t="str">
        <v>2000-01-01—2000-12-31</v>
      </c>
      <c r="J922" s="2234" t="str">
        <v>historical_exchange_rates_1920_2026.xlsx</v>
      </c>
      <c r="K922" s="2234" t="str">
        <v>反向值由原报价均值取倒数；不等于反向日度汇率的算术平均。
年均USD/EUR；主表取倒数。</v>
      </c>
      <c r="L922" s="2234" t="str">
        <v>原报价为每单位本币兑美元，取原报价均值的倒数；不等于反向日度汇率的算术平均。</v>
      </c>
      <c r="M922" s="2234" t="str">
        <v>2000|欧元（EUR）</v>
      </c>
      <c r="N922" s="2234" t="str">
        <v>欧元（EUR）</v>
      </c>
      <c r="O922" s="2239" t="n">
        <v>0.9232</v>
      </c>
      <c r="P922" s="2234" t="str">
        <v>USD/LCU</v>
      </c>
      <c r="Q922" s="2239" t="n">
        <v>1</v>
      </c>
      <c r="R922" s="2234" t="str">
        <v>A：机构统计／原始统计表</v>
      </c>
      <c r="S922" s="2234" t="str">
        <v>年度汇率!M86、年度汇率!E86、年度汇率!F86、年度汇率!G86；原始记录!A751:M751</v>
      </c>
      <c r="T922" s="2234" t="str"/>
      <c r="U922" t="n" s="2231">
        <v>2007</v>
      </c>
      <c r="V922" t="str" s="2231">
        <v>印度卢比（INR）</v>
      </c>
    </row>
    <row r="923" ht="15.0" customHeight="1">
      <c r="A923" s="2234" t="n">
        <v>2001</v>
      </c>
      <c r="B923" s="2234" t="str">
        <v>USD</v>
      </c>
      <c r="C923" s="2234" t="str">
        <v>美元（USD）</v>
      </c>
      <c r="D923" s="2234" t="str">
        <v>可用</v>
      </c>
      <c r="E923" s="2238" t="n">
        <v>1</v>
      </c>
      <c r="F923" s="2234" t="str">
        <v>基准恒等</v>
      </c>
      <c r="G923" s="2234" t="str">
        <v>用户提供的历史汇率表</v>
      </c>
      <c r="H923" s="2234" t="str"/>
      <c r="I923" s="2234" t="str">
        <v>2001</v>
      </c>
      <c r="J923" s="2234" t="str">
        <v>historical_exchange_rates_1920_2026.xlsx</v>
      </c>
      <c r="K923" s="2234" t="str">
        <v>1 美元等于 1 美元，无外部报价。</v>
      </c>
      <c r="L923" s="2234" t="str">
        <v>美元基准，汇率恒为 1。</v>
      </c>
      <c r="M923" s="2234" t="str">
        <v>2001|美元（USD）</v>
      </c>
      <c r="N923" s="2234" t="str">
        <v>美元（USD）</v>
      </c>
      <c r="O923" s="2239"/>
      <c r="P923" s="2234" t="str"/>
      <c r="Q923" s="2239"/>
      <c r="R923" s="2234" t="str"/>
      <c r="S923" s="2234" t="str">
        <v>年度汇率!B87</v>
      </c>
      <c r="T923" s="2234" t="str"/>
      <c r="U923" t="n" s="2231">
        <v>2007</v>
      </c>
      <c r="V923" t="str" s="2231">
        <v>俄罗斯卢布（RUB；1998币制）</v>
      </c>
    </row>
    <row r="924" ht="24.0" customHeight="1">
      <c r="A924" s="2234" t="n">
        <v>2001</v>
      </c>
      <c r="B924" s="2234" t="str">
        <v>GBP</v>
      </c>
      <c r="C924" s="2234" t="str">
        <v>英镑（GBP）</v>
      </c>
      <c r="D924" s="2234" t="str">
        <v>可用</v>
      </c>
      <c r="E924" s="2238" t="n">
        <v>0.6946373992775771</v>
      </c>
      <c r="F924" s="2234" t="str">
        <v>年均</v>
      </c>
      <c r="G924" s="2234" t="str">
        <v>Federal Reserve G.5A / FRED AEXUSUK</v>
      </c>
      <c r="H924" s="2234" t="str">
        <v>https://fred.stlouisfed.org/data/AEXUSUK</v>
      </c>
      <c r="I924" s="2234" t="str">
        <v>2001-01-01—2001-12-31</v>
      </c>
      <c r="J924" s="2234" t="str">
        <v>historical_exchange_rates_1920_2026.xlsx</v>
      </c>
      <c r="K924" s="2234" t="str">
        <v>反向值由原报价均值取倒数；不等于反向日度汇率的算术平均。
年均USD/GBP；主表取倒数，不等于逐日GBP/USD平均。</v>
      </c>
      <c r="L924" s="2234" t="str">
        <v>原报价为每单位本币兑美元，取原报价均值的倒数；不等于反向日度汇率的算术平均。</v>
      </c>
      <c r="M924" s="2234" t="str">
        <v>2001|英镑（GBP）</v>
      </c>
      <c r="N924" s="2234" t="str">
        <v>英镑（GBP）</v>
      </c>
      <c r="O924" s="2239" t="n">
        <v>1.4396</v>
      </c>
      <c r="P924" s="2234" t="str">
        <v>USD/LCU</v>
      </c>
      <c r="Q924" s="2239" t="n">
        <v>1</v>
      </c>
      <c r="R924" s="2234" t="str">
        <v>A：机构统计／原始统计表</v>
      </c>
      <c r="S924" s="2234" t="str">
        <v>年度汇率!C87；原始记录!A752:M752</v>
      </c>
      <c r="T924" s="2234" t="str"/>
      <c r="U924" t="n" s="2231">
        <v>2007</v>
      </c>
      <c r="V924" t="str" s="2231">
        <v>人民币元（1955币制；CNY）</v>
      </c>
    </row>
    <row r="925" ht="15.0" customHeight="1">
      <c r="A925" s="2234" t="n">
        <v>2001</v>
      </c>
      <c r="B925" s="2234" t="str">
        <v>CAD</v>
      </c>
      <c r="C925" s="2234" t="str">
        <v>加拿大元（CAD）</v>
      </c>
      <c r="D925" s="2234" t="str">
        <v>可用</v>
      </c>
      <c r="E925" s="2238" t="n">
        <v>1.5487</v>
      </c>
      <c r="F925" s="2234" t="str">
        <v>年均</v>
      </c>
      <c r="G925" s="2234" t="str">
        <v>Federal Reserve G.5A / FRED AEXCAUS</v>
      </c>
      <c r="H925" s="2234" t="str">
        <v>https://fred.stlouisfed.org/data/AEXCAUS</v>
      </c>
      <c r="I925" s="2234" t="str">
        <v>2001-01-01—2001-12-31</v>
      </c>
      <c r="J925" s="2234" t="str">
        <v>historical_exchange_rates_1920_2026.xlsx</v>
      </c>
      <c r="K925" s="2234" t="str"/>
      <c r="L925" s="2234" t="str">
        <v>原报价已按 1 美元兑换本币表示。</v>
      </c>
      <c r="M925" s="2234" t="str">
        <v>2001|加拿大元（CAD）</v>
      </c>
      <c r="N925" s="2234" t="str">
        <v>加拿大元（CAD）</v>
      </c>
      <c r="O925" s="2239" t="n">
        <v>1.5487</v>
      </c>
      <c r="P925" s="2234" t="str">
        <v>LCU/USD</v>
      </c>
      <c r="Q925" s="2239" t="n">
        <v>1</v>
      </c>
      <c r="R925" s="2234" t="str">
        <v>A：机构统计／原始统计表</v>
      </c>
      <c r="S925" s="2234" t="str">
        <v>年度汇率!D87；原始记录!A753:M753</v>
      </c>
      <c r="T925" s="2234" t="str"/>
      <c r="U925" t="n" s="2231">
        <v>2007</v>
      </c>
      <c r="V925" t="str" s="2231">
        <v>欧元（EUR）</v>
      </c>
    </row>
    <row r="926" ht="15.0" customHeight="1">
      <c r="A926" s="2234" t="n">
        <v>2001</v>
      </c>
      <c r="B926" s="2234" t="str">
        <v>JPY</v>
      </c>
      <c r="C926" s="2234" t="str">
        <v>日元（JPY）</v>
      </c>
      <c r="D926" s="2234" t="str">
        <v>可用</v>
      </c>
      <c r="E926" s="2238" t="n">
        <v>121.568</v>
      </c>
      <c r="F926" s="2234" t="str">
        <v>年均</v>
      </c>
      <c r="G926" s="2234" t="str">
        <v>Federal Reserve G.5A / FRED AEXJPUS</v>
      </c>
      <c r="H926" s="2234" t="str">
        <v>https://fred.stlouisfed.org/data/AEXJPUS</v>
      </c>
      <c r="I926" s="2234" t="str">
        <v>2001-01-01—2001-12-31</v>
      </c>
      <c r="J926" s="2234" t="str">
        <v>historical_exchange_rates_1920_2026.xlsx</v>
      </c>
      <c r="K926" s="2234" t="str"/>
      <c r="L926" s="2234" t="str">
        <v>原报价已按 1 美元兑换本币表示。</v>
      </c>
      <c r="M926" s="2234" t="str">
        <v>2001|日元（JPY）</v>
      </c>
      <c r="N926" s="2234" t="str">
        <v>日元（JPY）</v>
      </c>
      <c r="O926" s="2239" t="n">
        <v>121.568</v>
      </c>
      <c r="P926" s="2234" t="str">
        <v>LCU/USD</v>
      </c>
      <c r="Q926" s="2239" t="n">
        <v>1</v>
      </c>
      <c r="R926" s="2234" t="str">
        <v>A：机构统计／原始统计表</v>
      </c>
      <c r="S926" s="2234" t="str">
        <v>年度汇率!H87；原始记录!A754:M754</v>
      </c>
      <c r="T926" s="2234" t="str"/>
      <c r="U926" t="n" s="2231">
        <v>2008</v>
      </c>
      <c r="V926" t="str" s="2231">
        <v>美元（USD）</v>
      </c>
    </row>
    <row r="927" ht="15.0" customHeight="1">
      <c r="A927" s="2234" t="n">
        <v>2001</v>
      </c>
      <c r="B927" s="2234" t="str">
        <v>CHF</v>
      </c>
      <c r="C927" s="2234" t="str">
        <v>瑞士法郎（CHF）</v>
      </c>
      <c r="D927" s="2234" t="str">
        <v>可用</v>
      </c>
      <c r="E927" s="2238" t="n">
        <v>1.6891</v>
      </c>
      <c r="F927" s="2234" t="str">
        <v>年均</v>
      </c>
      <c r="G927" s="2234" t="str">
        <v>Federal Reserve G.5A / FRED AEXSZUS</v>
      </c>
      <c r="H927" s="2234" t="str">
        <v>https://fred.stlouisfed.org/data/AEXSZUS</v>
      </c>
      <c r="I927" s="2234" t="str">
        <v>2001-01-01—2001-12-31</v>
      </c>
      <c r="J927" s="2234" t="str">
        <v>historical_exchange_rates_1920_2026.xlsx</v>
      </c>
      <c r="K927" s="2234" t="str"/>
      <c r="L927" s="2234" t="str">
        <v>原报价已按 1 美元兑换本币表示。</v>
      </c>
      <c r="M927" s="2234" t="str">
        <v>2001|瑞士法郎（CHF）</v>
      </c>
      <c r="N927" s="2234" t="str">
        <v>瑞士法郎（CHF）</v>
      </c>
      <c r="O927" s="2239" t="n">
        <v>1.6891</v>
      </c>
      <c r="P927" s="2234" t="str">
        <v>LCU/USD</v>
      </c>
      <c r="Q927" s="2239" t="n">
        <v>1</v>
      </c>
      <c r="R927" s="2234" t="str">
        <v>A：机构统计／原始统计表</v>
      </c>
      <c r="S927" s="2234" t="str">
        <v>年度汇率!I87；原始记录!A755:M755</v>
      </c>
      <c r="T927" s="2234" t="str"/>
      <c r="U927" t="n" s="2231">
        <v>2008</v>
      </c>
      <c r="V927" t="str" s="2231">
        <v>英镑（GBP）</v>
      </c>
    </row>
    <row r="928" ht="15.0" customHeight="1">
      <c r="A928" s="2234" t="n">
        <v>2001</v>
      </c>
      <c r="B928" s="2234" t="str">
        <v>INR</v>
      </c>
      <c r="C928" s="2234" t="str">
        <v>印度卢比（INR）</v>
      </c>
      <c r="D928" s="2234" t="str">
        <v>可用</v>
      </c>
      <c r="E928" s="2238" t="n">
        <v>47.22</v>
      </c>
      <c r="F928" s="2234" t="str">
        <v>年均</v>
      </c>
      <c r="G928" s="2234" t="str">
        <v>Federal Reserve G.5A / FRED AEXINUS</v>
      </c>
      <c r="H928" s="2234" t="str">
        <v>https://fred.stlouisfed.org/data/AEXINUS</v>
      </c>
      <c r="I928" s="2234" t="str">
        <v>2001-01-01—2001-12-31</v>
      </c>
      <c r="J928" s="2234" t="str">
        <v>historical_exchange_rates_1920_2026.xlsx</v>
      </c>
      <c r="K928" s="2234" t="str"/>
      <c r="L928" s="2234" t="str">
        <v>原报价已按 1 美元兑换本币表示。</v>
      </c>
      <c r="M928" s="2234" t="str">
        <v>2001|印度卢比（INR）</v>
      </c>
      <c r="N928" s="2234" t="str">
        <v>印度卢比（INR）</v>
      </c>
      <c r="O928" s="2239" t="n">
        <v>47.22</v>
      </c>
      <c r="P928" s="2234" t="str">
        <v>LCU/USD</v>
      </c>
      <c r="Q928" s="2239" t="n">
        <v>1</v>
      </c>
      <c r="R928" s="2234" t="str">
        <v>A：机构统计／原始统计表</v>
      </c>
      <c r="S928" s="2234" t="str">
        <v>年度汇率!J87；原始记录!A756:M756</v>
      </c>
      <c r="T928" s="2234" t="str"/>
      <c r="U928" t="n" s="2231">
        <v>2008</v>
      </c>
      <c r="V928" t="str" s="2231">
        <v>加拿大元（CAD）</v>
      </c>
    </row>
    <row r="929" ht="15.0" customHeight="1">
      <c r="A929" s="2234" t="n">
        <v>2001</v>
      </c>
      <c r="B929" s="2234" t="str">
        <v>RUB</v>
      </c>
      <c r="C929" s="2234" t="str">
        <v>俄罗斯卢布（RUB；1998币制）</v>
      </c>
      <c r="D929" s="2234" t="str">
        <v>可用</v>
      </c>
      <c r="E929" s="2238" t="n">
        <v>29.1752722645507</v>
      </c>
      <c r="F929" s="2234" t="str">
        <v>年均</v>
      </c>
      <c r="G929" s="2234" t="str">
        <v>OECD Main Economic Indicators / FRED CCUSMA02RUA618N</v>
      </c>
      <c r="H929" s="2234" t="str">
        <v>https://fred.stlouisfed.org/data/CCUSMA02RUA618N</v>
      </c>
      <c r="I929" s="2234" t="str">
        <v>2001-01-01—2001-12-31</v>
      </c>
      <c r="J929" s="2234" t="str">
        <v>historical_exchange_rates_1920_2026.xlsx</v>
      </c>
      <c r="K929" s="2234" t="str">
        <v>原表1993—1997年以1998年新卢布回溯表示；本表乘1000还原当年的旧卢布。</v>
      </c>
      <c r="L929" s="2234" t="str">
        <v>原报价已按 1 美元兑换本币表示。</v>
      </c>
      <c r="M929" s="2234" t="str">
        <v>2001|俄罗斯卢布（RUB；1998币制）</v>
      </c>
      <c r="N929" s="2234" t="str">
        <v>俄罗斯卢布（RUB；1998币制）</v>
      </c>
      <c r="O929" s="2239" t="n">
        <v>29.1752722645507</v>
      </c>
      <c r="P929" s="2234" t="str">
        <v>LCU/USD</v>
      </c>
      <c r="Q929" s="2239" t="n">
        <v>1</v>
      </c>
      <c r="R929" s="2234" t="str">
        <v>A：机构统计／原始统计表</v>
      </c>
      <c r="S929" s="2234" t="str">
        <v>年度汇率!K87；原始记录!A757:M757</v>
      </c>
      <c r="T929" s="2234" t="str"/>
      <c r="U929" t="n" s="2231">
        <v>2008</v>
      </c>
      <c r="V929" t="str" s="2231">
        <v>日元（JPY）</v>
      </c>
    </row>
    <row r="930" ht="15.0" customHeight="1">
      <c r="A930" s="2234" t="n">
        <v>2001</v>
      </c>
      <c r="B930" s="2234" t="str">
        <v>CNY</v>
      </c>
      <c r="C930" s="2234" t="str">
        <v>人民币元（1955币制；CNY）</v>
      </c>
      <c r="D930" s="2234" t="str">
        <v>可用</v>
      </c>
      <c r="E930" s="2238" t="n">
        <v>8.277</v>
      </c>
      <c r="F930" s="2234" t="str">
        <v>年均</v>
      </c>
      <c r="G930" s="2234" t="str">
        <v>Federal Reserve G.5A / FRED AEXCHUS</v>
      </c>
      <c r="H930" s="2234" t="str">
        <v>https://fred.stlouisfed.org/data/AEXCHUS</v>
      </c>
      <c r="I930" s="2234" t="str">
        <v>2001-01-01—2001-12-31</v>
      </c>
      <c r="J930" s="2234" t="str">
        <v>historical_exchange_rates_1920_2026.xlsx</v>
      </c>
      <c r="K930" s="2234" t="str"/>
      <c r="L930" s="2234" t="str">
        <v>原报价已按 1 美元兑换本币表示。</v>
      </c>
      <c r="M930" s="2234" t="str">
        <v>2001|人民币元（1955币制；CNY）</v>
      </c>
      <c r="N930" s="2234" t="str">
        <v>人民币元（1955币制；CNY）</v>
      </c>
      <c r="O930" s="2239" t="n">
        <v>8.277</v>
      </c>
      <c r="P930" s="2234" t="str">
        <v>LCU/USD</v>
      </c>
      <c r="Q930" s="2239" t="n">
        <v>1</v>
      </c>
      <c r="R930" s="2234" t="str">
        <v>A：机构统计／原始统计表</v>
      </c>
      <c r="S930" s="2234" t="str">
        <v>年度汇率!L87；原始记录!A758:M758</v>
      </c>
      <c r="T930" s="2234" t="str"/>
      <c r="U930" t="n" s="2231">
        <v>2008</v>
      </c>
      <c r="V930" t="str" s="2231">
        <v>瑞士法郎（CHF）</v>
      </c>
    </row>
    <row r="931" ht="24.0" customHeight="1">
      <c r="A931" s="2234" t="n">
        <v>2001</v>
      </c>
      <c r="B931" s="2234" t="str">
        <v>EUR</v>
      </c>
      <c r="C931" s="2234" t="str">
        <v>欧元（EUR）</v>
      </c>
      <c r="D931" s="2234" t="str">
        <v>可用</v>
      </c>
      <c r="E931" s="2238" t="n">
        <v>1.1170688114387846</v>
      </c>
      <c r="F931" s="2234" t="str">
        <v>年均</v>
      </c>
      <c r="G931" s="2234" t="str">
        <v>Federal Reserve G.5A / FRED AEXUSEU</v>
      </c>
      <c r="H931" s="2234" t="str">
        <v>https://fred.stlouisfed.org/data/AEXUSEU</v>
      </c>
      <c r="I931" s="2234" t="str">
        <v>2001-01-01—2001-12-31</v>
      </c>
      <c r="J931" s="2234" t="str">
        <v>historical_exchange_rates_1920_2026.xlsx</v>
      </c>
      <c r="K931" s="2234" t="str">
        <v>反向值由原报价均值取倒数；不等于反向日度汇率的算术平均。
年均USD/EUR；主表取倒数。</v>
      </c>
      <c r="L931" s="2234" t="str">
        <v>原报价为每单位本币兑美元，取原报价均值的倒数；不等于反向日度汇率的算术平均。</v>
      </c>
      <c r="M931" s="2234" t="str">
        <v>2001|欧元（EUR）</v>
      </c>
      <c r="N931" s="2234" t="str">
        <v>欧元（EUR）</v>
      </c>
      <c r="O931" s="2239" t="n">
        <v>0.8952</v>
      </c>
      <c r="P931" s="2234" t="str">
        <v>USD/LCU</v>
      </c>
      <c r="Q931" s="2239" t="n">
        <v>1</v>
      </c>
      <c r="R931" s="2234" t="str">
        <v>A：机构统计／原始统计表</v>
      </c>
      <c r="S931" s="2234" t="str">
        <v>年度汇率!M87、年度汇率!E87、年度汇率!F87、年度汇率!G87；原始记录!A759:M759</v>
      </c>
      <c r="T931" s="2234" t="str"/>
      <c r="U931" t="n" s="2231">
        <v>2008</v>
      </c>
      <c r="V931" t="str" s="2231">
        <v>印度卢比（INR）</v>
      </c>
    </row>
    <row r="932" ht="15.0" customHeight="1">
      <c r="A932" s="2234" t="n">
        <v>2002</v>
      </c>
      <c r="B932" s="2234" t="str">
        <v>USD</v>
      </c>
      <c r="C932" s="2234" t="str">
        <v>美元（USD）</v>
      </c>
      <c r="D932" s="2234" t="str">
        <v>可用</v>
      </c>
      <c r="E932" s="2238" t="n">
        <v>1</v>
      </c>
      <c r="F932" s="2234" t="str">
        <v>基准恒等</v>
      </c>
      <c r="G932" s="2234" t="str">
        <v>用户提供的历史汇率表</v>
      </c>
      <c r="H932" s="2234" t="str"/>
      <c r="I932" s="2234" t="str">
        <v>2002</v>
      </c>
      <c r="J932" s="2234" t="str">
        <v>historical_exchange_rates_1920_2026.xlsx</v>
      </c>
      <c r="K932" s="2234" t="str">
        <v>1 美元等于 1 美元，无外部报价。</v>
      </c>
      <c r="L932" s="2234" t="str">
        <v>美元基准，汇率恒为 1。</v>
      </c>
      <c r="M932" s="2234" t="str">
        <v>2002|美元（USD）</v>
      </c>
      <c r="N932" s="2234" t="str">
        <v>美元（USD）</v>
      </c>
      <c r="O932" s="2239"/>
      <c r="P932" s="2234" t="str"/>
      <c r="Q932" s="2239"/>
      <c r="R932" s="2234" t="str"/>
      <c r="S932" s="2234" t="str">
        <v>年度汇率!B88</v>
      </c>
      <c r="T932" s="2234" t="str"/>
      <c r="U932" t="n" s="2231">
        <v>2008</v>
      </c>
      <c r="V932" t="str" s="2231">
        <v>俄罗斯卢布（RUB；1998币制）</v>
      </c>
    </row>
    <row r="933" ht="24.0" customHeight="1">
      <c r="A933" s="2234" t="n">
        <v>2002</v>
      </c>
      <c r="B933" s="2234" t="str">
        <v>GBP</v>
      </c>
      <c r="C933" s="2234" t="str">
        <v>英镑（GBP）</v>
      </c>
      <c r="D933" s="2234" t="str">
        <v>可用</v>
      </c>
      <c r="E933" s="2238" t="n">
        <v>0.6655574043261232</v>
      </c>
      <c r="F933" s="2234" t="str">
        <v>年均</v>
      </c>
      <c r="G933" s="2234" t="str">
        <v>Federal Reserve G.5A / FRED AEXUSUK</v>
      </c>
      <c r="H933" s="2234" t="str">
        <v>https://fred.stlouisfed.org/data/AEXUSUK</v>
      </c>
      <c r="I933" s="2234" t="str">
        <v>2002-01-01—2002-12-31</v>
      </c>
      <c r="J933" s="2234" t="str">
        <v>historical_exchange_rates_1920_2026.xlsx</v>
      </c>
      <c r="K933" s="2234" t="str">
        <v>反向值由原报价均值取倒数；不等于反向日度汇率的算术平均。
年均USD/GBP；主表取倒数，不等于逐日GBP/USD平均。</v>
      </c>
      <c r="L933" s="2234" t="str">
        <v>原报价为每单位本币兑美元，取原报价均值的倒数；不等于反向日度汇率的算术平均。</v>
      </c>
      <c r="M933" s="2234" t="str">
        <v>2002|英镑（GBP）</v>
      </c>
      <c r="N933" s="2234" t="str">
        <v>英镑（GBP）</v>
      </c>
      <c r="O933" s="2239" t="n">
        <v>1.5025</v>
      </c>
      <c r="P933" s="2234" t="str">
        <v>USD/LCU</v>
      </c>
      <c r="Q933" s="2239" t="n">
        <v>1</v>
      </c>
      <c r="R933" s="2234" t="str">
        <v>A：机构统计／原始统计表</v>
      </c>
      <c r="S933" s="2234" t="str">
        <v>年度汇率!C88；原始记录!A760:M760</v>
      </c>
      <c r="T933" s="2234" t="str"/>
      <c r="U933" t="n" s="2231">
        <v>2008</v>
      </c>
      <c r="V933" t="str" s="2231">
        <v>人民币元（1955币制；CNY）</v>
      </c>
    </row>
    <row r="934" ht="15.0" customHeight="1">
      <c r="A934" s="2234" t="n">
        <v>2002</v>
      </c>
      <c r="B934" s="2234" t="str">
        <v>CAD</v>
      </c>
      <c r="C934" s="2234" t="str">
        <v>加拿大元（CAD）</v>
      </c>
      <c r="D934" s="2234" t="str">
        <v>可用</v>
      </c>
      <c r="E934" s="2238" t="n">
        <v>1.5704</v>
      </c>
      <c r="F934" s="2234" t="str">
        <v>年均</v>
      </c>
      <c r="G934" s="2234" t="str">
        <v>Federal Reserve G.5A / FRED AEXCAUS</v>
      </c>
      <c r="H934" s="2234" t="str">
        <v>https://fred.stlouisfed.org/data/AEXCAUS</v>
      </c>
      <c r="I934" s="2234" t="str">
        <v>2002-01-01—2002-12-31</v>
      </c>
      <c r="J934" s="2234" t="str">
        <v>historical_exchange_rates_1920_2026.xlsx</v>
      </c>
      <c r="K934" s="2234" t="str"/>
      <c r="L934" s="2234" t="str">
        <v>原报价已按 1 美元兑换本币表示。</v>
      </c>
      <c r="M934" s="2234" t="str">
        <v>2002|加拿大元（CAD）</v>
      </c>
      <c r="N934" s="2234" t="str">
        <v>加拿大元（CAD）</v>
      </c>
      <c r="O934" s="2239" t="n">
        <v>1.5704</v>
      </c>
      <c r="P934" s="2234" t="str">
        <v>LCU/USD</v>
      </c>
      <c r="Q934" s="2239" t="n">
        <v>1</v>
      </c>
      <c r="R934" s="2234" t="str">
        <v>A：机构统计／原始统计表</v>
      </c>
      <c r="S934" s="2234" t="str">
        <v>年度汇率!D88；原始记录!A761:M761</v>
      </c>
      <c r="T934" s="2234" t="str"/>
      <c r="U934" t="n" s="2231">
        <v>2008</v>
      </c>
      <c r="V934" t="str" s="2231">
        <v>欧元（EUR）</v>
      </c>
    </row>
    <row r="935" ht="15.0" customHeight="1">
      <c r="A935" s="2234" t="n">
        <v>2002</v>
      </c>
      <c r="B935" s="2234" t="str">
        <v>JPY</v>
      </c>
      <c r="C935" s="2234" t="str">
        <v>日元（JPY）</v>
      </c>
      <c r="D935" s="2234" t="str">
        <v>可用</v>
      </c>
      <c r="E935" s="2238" t="n">
        <v>125.2204</v>
      </c>
      <c r="F935" s="2234" t="str">
        <v>年均</v>
      </c>
      <c r="G935" s="2234" t="str">
        <v>Federal Reserve G.5A / FRED AEXJPUS</v>
      </c>
      <c r="H935" s="2234" t="str">
        <v>https://fred.stlouisfed.org/data/AEXJPUS</v>
      </c>
      <c r="I935" s="2234" t="str">
        <v>2002-01-01—2002-12-31</v>
      </c>
      <c r="J935" s="2234" t="str">
        <v>historical_exchange_rates_1920_2026.xlsx</v>
      </c>
      <c r="K935" s="2234" t="str"/>
      <c r="L935" s="2234" t="str">
        <v>原报价已按 1 美元兑换本币表示。</v>
      </c>
      <c r="M935" s="2234" t="str">
        <v>2002|日元（JPY）</v>
      </c>
      <c r="N935" s="2234" t="str">
        <v>日元（JPY）</v>
      </c>
      <c r="O935" s="2239" t="n">
        <v>125.2204</v>
      </c>
      <c r="P935" s="2234" t="str">
        <v>LCU/USD</v>
      </c>
      <c r="Q935" s="2239" t="n">
        <v>1</v>
      </c>
      <c r="R935" s="2234" t="str">
        <v>A：机构统计／原始统计表</v>
      </c>
      <c r="S935" s="2234" t="str">
        <v>年度汇率!H88；原始记录!A762:M762</v>
      </c>
      <c r="T935" s="2234" t="str"/>
      <c r="U935" t="n" s="2231">
        <v>2009</v>
      </c>
      <c r="V935" t="str" s="2231">
        <v>美元（USD）</v>
      </c>
    </row>
    <row r="936" ht="15.0" customHeight="1">
      <c r="A936" s="2234" t="n">
        <v>2002</v>
      </c>
      <c r="B936" s="2234" t="str">
        <v>CHF</v>
      </c>
      <c r="C936" s="2234" t="str">
        <v>瑞士法郎（CHF）</v>
      </c>
      <c r="D936" s="2234" t="str">
        <v>可用</v>
      </c>
      <c r="E936" s="2238" t="n">
        <v>1.5567</v>
      </c>
      <c r="F936" s="2234" t="str">
        <v>年均</v>
      </c>
      <c r="G936" s="2234" t="str">
        <v>Federal Reserve G.5A / FRED AEXSZUS</v>
      </c>
      <c r="H936" s="2234" t="str">
        <v>https://fred.stlouisfed.org/data/AEXSZUS</v>
      </c>
      <c r="I936" s="2234" t="str">
        <v>2002-01-01—2002-12-31</v>
      </c>
      <c r="J936" s="2234" t="str">
        <v>historical_exchange_rates_1920_2026.xlsx</v>
      </c>
      <c r="K936" s="2234" t="str"/>
      <c r="L936" s="2234" t="str">
        <v>原报价已按 1 美元兑换本币表示。</v>
      </c>
      <c r="M936" s="2234" t="str">
        <v>2002|瑞士法郎（CHF）</v>
      </c>
      <c r="N936" s="2234" t="str">
        <v>瑞士法郎（CHF）</v>
      </c>
      <c r="O936" s="2239" t="n">
        <v>1.5567</v>
      </c>
      <c r="P936" s="2234" t="str">
        <v>LCU/USD</v>
      </c>
      <c r="Q936" s="2239" t="n">
        <v>1</v>
      </c>
      <c r="R936" s="2234" t="str">
        <v>A：机构统计／原始统计表</v>
      </c>
      <c r="S936" s="2234" t="str">
        <v>年度汇率!I88；原始记录!A763:M763</v>
      </c>
      <c r="T936" s="2234" t="str"/>
      <c r="U936" t="n" s="2231">
        <v>2009</v>
      </c>
      <c r="V936" t="str" s="2231">
        <v>英镑（GBP）</v>
      </c>
    </row>
    <row r="937" ht="15.0" customHeight="1">
      <c r="A937" s="2234" t="n">
        <v>2002</v>
      </c>
      <c r="B937" s="2234" t="str">
        <v>INR</v>
      </c>
      <c r="C937" s="2234" t="str">
        <v>印度卢比（INR）</v>
      </c>
      <c r="D937" s="2234" t="str">
        <v>可用</v>
      </c>
      <c r="E937" s="2238" t="n">
        <v>48.6257</v>
      </c>
      <c r="F937" s="2234" t="str">
        <v>年均</v>
      </c>
      <c r="G937" s="2234" t="str">
        <v>Federal Reserve G.5A / FRED AEXINUS</v>
      </c>
      <c r="H937" s="2234" t="str">
        <v>https://fred.stlouisfed.org/data/AEXINUS</v>
      </c>
      <c r="I937" s="2234" t="str">
        <v>2002-01-01—2002-12-31</v>
      </c>
      <c r="J937" s="2234" t="str">
        <v>historical_exchange_rates_1920_2026.xlsx</v>
      </c>
      <c r="K937" s="2234" t="str"/>
      <c r="L937" s="2234" t="str">
        <v>原报价已按 1 美元兑换本币表示。</v>
      </c>
      <c r="M937" s="2234" t="str">
        <v>2002|印度卢比（INR）</v>
      </c>
      <c r="N937" s="2234" t="str">
        <v>印度卢比（INR）</v>
      </c>
      <c r="O937" s="2239" t="n">
        <v>48.6257</v>
      </c>
      <c r="P937" s="2234" t="str">
        <v>LCU/USD</v>
      </c>
      <c r="Q937" s="2239" t="n">
        <v>1</v>
      </c>
      <c r="R937" s="2234" t="str">
        <v>A：机构统计／原始统计表</v>
      </c>
      <c r="S937" s="2234" t="str">
        <v>年度汇率!J88；原始记录!A764:M764</v>
      </c>
      <c r="T937" s="2234" t="str"/>
      <c r="U937" t="n" s="2231">
        <v>2009</v>
      </c>
      <c r="V937" t="str" s="2231">
        <v>加拿大元（CAD）</v>
      </c>
    </row>
    <row r="938" ht="15.0" customHeight="1">
      <c r="A938" s="2234" t="n">
        <v>2002</v>
      </c>
      <c r="B938" s="2234" t="str">
        <v>RUB</v>
      </c>
      <c r="C938" s="2234" t="str">
        <v>俄罗斯卢布（RUB；1998币制）</v>
      </c>
      <c r="D938" s="2234" t="str">
        <v>可用</v>
      </c>
      <c r="E938" s="2238" t="n">
        <v>31.3755425125802</v>
      </c>
      <c r="F938" s="2234" t="str">
        <v>年均</v>
      </c>
      <c r="G938" s="2234" t="str">
        <v>OECD Main Economic Indicators / FRED CCUSMA02RUA618N</v>
      </c>
      <c r="H938" s="2234" t="str">
        <v>https://fred.stlouisfed.org/data/CCUSMA02RUA618N</v>
      </c>
      <c r="I938" s="2234" t="str">
        <v>2002-01-01—2002-12-31</v>
      </c>
      <c r="J938" s="2234" t="str">
        <v>historical_exchange_rates_1920_2026.xlsx</v>
      </c>
      <c r="K938" s="2234" t="str">
        <v>原表1993—1997年以1998年新卢布回溯表示；本表乘1000还原当年的旧卢布。</v>
      </c>
      <c r="L938" s="2234" t="str">
        <v>原报价已按 1 美元兑换本币表示。</v>
      </c>
      <c r="M938" s="2234" t="str">
        <v>2002|俄罗斯卢布（RUB；1998币制）</v>
      </c>
      <c r="N938" s="2234" t="str">
        <v>俄罗斯卢布（RUB；1998币制）</v>
      </c>
      <c r="O938" s="2239" t="n">
        <v>31.3755425125802</v>
      </c>
      <c r="P938" s="2234" t="str">
        <v>LCU/USD</v>
      </c>
      <c r="Q938" s="2239" t="n">
        <v>1</v>
      </c>
      <c r="R938" s="2234" t="str">
        <v>A：机构统计／原始统计表</v>
      </c>
      <c r="S938" s="2234" t="str">
        <v>年度汇率!K88；原始记录!A765:M765</v>
      </c>
      <c r="T938" s="2234" t="str"/>
      <c r="U938" t="n" s="2231">
        <v>2009</v>
      </c>
      <c r="V938" t="str" s="2231">
        <v>日元（JPY）</v>
      </c>
    </row>
    <row r="939" ht="15.0" customHeight="1">
      <c r="A939" s="2234" t="n">
        <v>2002</v>
      </c>
      <c r="B939" s="2234" t="str">
        <v>CNY</v>
      </c>
      <c r="C939" s="2234" t="str">
        <v>人民币元（1955币制；CNY）</v>
      </c>
      <c r="D939" s="2234" t="str">
        <v>可用</v>
      </c>
      <c r="E939" s="2238" t="n">
        <v>8.2771</v>
      </c>
      <c r="F939" s="2234" t="str">
        <v>年均</v>
      </c>
      <c r="G939" s="2234" t="str">
        <v>Federal Reserve G.5A / FRED AEXCHUS</v>
      </c>
      <c r="H939" s="2234" t="str">
        <v>https://fred.stlouisfed.org/data/AEXCHUS</v>
      </c>
      <c r="I939" s="2234" t="str">
        <v>2002-01-01—2002-12-31</v>
      </c>
      <c r="J939" s="2234" t="str">
        <v>historical_exchange_rates_1920_2026.xlsx</v>
      </c>
      <c r="K939" s="2234" t="str"/>
      <c r="L939" s="2234" t="str">
        <v>原报价已按 1 美元兑换本币表示。</v>
      </c>
      <c r="M939" s="2234" t="str">
        <v>2002|人民币元（1955币制；CNY）</v>
      </c>
      <c r="N939" s="2234" t="str">
        <v>人民币元（1955币制；CNY）</v>
      </c>
      <c r="O939" s="2239" t="n">
        <v>8.2771</v>
      </c>
      <c r="P939" s="2234" t="str">
        <v>LCU/USD</v>
      </c>
      <c r="Q939" s="2239" t="n">
        <v>1</v>
      </c>
      <c r="R939" s="2234" t="str">
        <v>A：机构统计／原始统计表</v>
      </c>
      <c r="S939" s="2234" t="str">
        <v>年度汇率!L88；原始记录!A766:M766</v>
      </c>
      <c r="T939" s="2234" t="str"/>
      <c r="U939" t="n" s="2231">
        <v>2009</v>
      </c>
      <c r="V939" t="str" s="2231">
        <v>瑞士法郎（CHF）</v>
      </c>
    </row>
    <row r="940" ht="24.0" customHeight="1">
      <c r="A940" s="2234" t="n">
        <v>2002</v>
      </c>
      <c r="B940" s="2234" t="str">
        <v>EUR</v>
      </c>
      <c r="C940" s="2234" t="str">
        <v>欧元（EUR）</v>
      </c>
      <c r="D940" s="2234" t="str">
        <v>可用</v>
      </c>
      <c r="E940" s="2238" t="n">
        <v>1.0577533319229955</v>
      </c>
      <c r="F940" s="2234" t="str">
        <v>年均</v>
      </c>
      <c r="G940" s="2234" t="str">
        <v>Federal Reserve G.5A / FRED AEXUSEU</v>
      </c>
      <c r="H940" s="2234" t="str">
        <v>https://fred.stlouisfed.org/data/AEXUSEU</v>
      </c>
      <c r="I940" s="2234" t="str">
        <v>2002-01-01—2002-12-31</v>
      </c>
      <c r="J940" s="2234" t="str">
        <v>historical_exchange_rates_1920_2026.xlsx</v>
      </c>
      <c r="K940" s="2234" t="str">
        <v>反向值由原报价均值取倒数；不等于反向日度汇率的算术平均。
年均USD/EUR；主表取倒数。</v>
      </c>
      <c r="L940" s="2234" t="str">
        <v>原报价为每单位本币兑美元，取原报价均值的倒数；不等于反向日度汇率的算术平均。</v>
      </c>
      <c r="M940" s="2234" t="str">
        <v>2002|欧元（EUR）</v>
      </c>
      <c r="N940" s="2234" t="str">
        <v>欧元（EUR）</v>
      </c>
      <c r="O940" s="2239" t="n">
        <v>0.9454</v>
      </c>
      <c r="P940" s="2234" t="str">
        <v>USD/LCU</v>
      </c>
      <c r="Q940" s="2239" t="n">
        <v>1</v>
      </c>
      <c r="R940" s="2234" t="str">
        <v>A：机构统计／原始统计表</v>
      </c>
      <c r="S940" s="2234" t="str">
        <v>年度汇率!M88、年度汇率!E88、年度汇率!F88、年度汇率!G88；原始记录!A767:M767</v>
      </c>
      <c r="T940" s="2234" t="str"/>
      <c r="U940" t="n" s="2231">
        <v>2009</v>
      </c>
      <c r="V940" t="str" s="2231">
        <v>印度卢比（INR）</v>
      </c>
    </row>
    <row r="941" ht="15.0" customHeight="1">
      <c r="A941" s="2234" t="n">
        <v>2003</v>
      </c>
      <c r="B941" s="2234" t="str">
        <v>USD</v>
      </c>
      <c r="C941" s="2234" t="str">
        <v>美元（USD）</v>
      </c>
      <c r="D941" s="2234" t="str">
        <v>可用</v>
      </c>
      <c r="E941" s="2238" t="n">
        <v>1</v>
      </c>
      <c r="F941" s="2234" t="str">
        <v>基准恒等</v>
      </c>
      <c r="G941" s="2234" t="str">
        <v>用户提供的历史汇率表</v>
      </c>
      <c r="H941" s="2234" t="str"/>
      <c r="I941" s="2234" t="str">
        <v>2003</v>
      </c>
      <c r="J941" s="2234" t="str">
        <v>historical_exchange_rates_1920_2026.xlsx</v>
      </c>
      <c r="K941" s="2234" t="str">
        <v>1 美元等于 1 美元，无外部报价。</v>
      </c>
      <c r="L941" s="2234" t="str">
        <v>美元基准，汇率恒为 1。</v>
      </c>
      <c r="M941" s="2234" t="str">
        <v>2003|美元（USD）</v>
      </c>
      <c r="N941" s="2234" t="str">
        <v>美元（USD）</v>
      </c>
      <c r="O941" s="2239"/>
      <c r="P941" s="2234" t="str"/>
      <c r="Q941" s="2239"/>
      <c r="R941" s="2234" t="str"/>
      <c r="S941" s="2234" t="str">
        <v>年度汇率!B89</v>
      </c>
      <c r="T941" s="2234" t="str"/>
      <c r="U941" t="n" s="2231">
        <v>2009</v>
      </c>
      <c r="V941" t="str" s="2231">
        <v>俄罗斯卢布（RUB；1998币制）</v>
      </c>
    </row>
    <row r="942" ht="24.0" customHeight="1">
      <c r="A942" s="2234" t="n">
        <v>2003</v>
      </c>
      <c r="B942" s="2234" t="str">
        <v>GBP</v>
      </c>
      <c r="C942" s="2234" t="str">
        <v>英镑（GBP）</v>
      </c>
      <c r="D942" s="2234" t="str">
        <v>可用</v>
      </c>
      <c r="E942" s="2238" t="n">
        <v>0.6117330397014743</v>
      </c>
      <c r="F942" s="2234" t="str">
        <v>年均</v>
      </c>
      <c r="G942" s="2234" t="str">
        <v>Federal Reserve G.5A / FRED AEXUSUK</v>
      </c>
      <c r="H942" s="2234" t="str">
        <v>https://fred.stlouisfed.org/data/AEXUSUK</v>
      </c>
      <c r="I942" s="2234" t="str">
        <v>2003-01-01—2003-12-31</v>
      </c>
      <c r="J942" s="2234" t="str">
        <v>historical_exchange_rates_1920_2026.xlsx</v>
      </c>
      <c r="K942" s="2234" t="str">
        <v>反向值由原报价均值取倒数；不等于反向日度汇率的算术平均。
年均USD/GBP；主表取倒数，不等于逐日GBP/USD平均。</v>
      </c>
      <c r="L942" s="2234" t="str">
        <v>原报价为每单位本币兑美元，取原报价均值的倒数；不等于反向日度汇率的算术平均。</v>
      </c>
      <c r="M942" s="2234" t="str">
        <v>2003|英镑（GBP）</v>
      </c>
      <c r="N942" s="2234" t="str">
        <v>英镑（GBP）</v>
      </c>
      <c r="O942" s="2239" t="n">
        <v>1.6347</v>
      </c>
      <c r="P942" s="2234" t="str">
        <v>USD/LCU</v>
      </c>
      <c r="Q942" s="2239" t="n">
        <v>1</v>
      </c>
      <c r="R942" s="2234" t="str">
        <v>A：机构统计／原始统计表</v>
      </c>
      <c r="S942" s="2234" t="str">
        <v>年度汇率!C89；原始记录!A768:M768</v>
      </c>
      <c r="T942" s="2234" t="str"/>
      <c r="U942" t="n" s="2231">
        <v>2009</v>
      </c>
      <c r="V942" t="str" s="2231">
        <v>人民币元（1955币制；CNY）</v>
      </c>
    </row>
    <row r="943" ht="15.0" customHeight="1">
      <c r="A943" s="2234" t="n">
        <v>2003</v>
      </c>
      <c r="B943" s="2234" t="str">
        <v>CAD</v>
      </c>
      <c r="C943" s="2234" t="str">
        <v>加拿大元（CAD）</v>
      </c>
      <c r="D943" s="2234" t="str">
        <v>可用</v>
      </c>
      <c r="E943" s="2238" t="n">
        <v>1.4008</v>
      </c>
      <c r="F943" s="2234" t="str">
        <v>年均</v>
      </c>
      <c r="G943" s="2234" t="str">
        <v>Federal Reserve G.5A / FRED AEXCAUS</v>
      </c>
      <c r="H943" s="2234" t="str">
        <v>https://fred.stlouisfed.org/data/AEXCAUS</v>
      </c>
      <c r="I943" s="2234" t="str">
        <v>2003-01-01—2003-12-31</v>
      </c>
      <c r="J943" s="2234" t="str">
        <v>historical_exchange_rates_1920_2026.xlsx</v>
      </c>
      <c r="K943" s="2234" t="str"/>
      <c r="L943" s="2234" t="str">
        <v>原报价已按 1 美元兑换本币表示。</v>
      </c>
      <c r="M943" s="2234" t="str">
        <v>2003|加拿大元（CAD）</v>
      </c>
      <c r="N943" s="2234" t="str">
        <v>加拿大元（CAD）</v>
      </c>
      <c r="O943" s="2239" t="n">
        <v>1.4008</v>
      </c>
      <c r="P943" s="2234" t="str">
        <v>LCU/USD</v>
      </c>
      <c r="Q943" s="2239" t="n">
        <v>1</v>
      </c>
      <c r="R943" s="2234" t="str">
        <v>A：机构统计／原始统计表</v>
      </c>
      <c r="S943" s="2234" t="str">
        <v>年度汇率!D89；原始记录!A769:M769</v>
      </c>
      <c r="T943" s="2234" t="str"/>
      <c r="U943" t="n" s="2231">
        <v>2009</v>
      </c>
      <c r="V943" t="str" s="2231">
        <v>欧元（EUR）</v>
      </c>
    </row>
    <row r="944" ht="15.0" customHeight="1">
      <c r="A944" s="2234" t="n">
        <v>2003</v>
      </c>
      <c r="B944" s="2234" t="str">
        <v>JPY</v>
      </c>
      <c r="C944" s="2234" t="str">
        <v>日元（JPY）</v>
      </c>
      <c r="D944" s="2234" t="str">
        <v>可用</v>
      </c>
      <c r="E944" s="2238" t="n">
        <v>115.9387</v>
      </c>
      <c r="F944" s="2234" t="str">
        <v>年均</v>
      </c>
      <c r="G944" s="2234" t="str">
        <v>Federal Reserve G.5A / FRED AEXJPUS</v>
      </c>
      <c r="H944" s="2234" t="str">
        <v>https://fred.stlouisfed.org/data/AEXJPUS</v>
      </c>
      <c r="I944" s="2234" t="str">
        <v>2003-01-01—2003-12-31</v>
      </c>
      <c r="J944" s="2234" t="str">
        <v>historical_exchange_rates_1920_2026.xlsx</v>
      </c>
      <c r="K944" s="2234" t="str"/>
      <c r="L944" s="2234" t="str">
        <v>原报价已按 1 美元兑换本币表示。</v>
      </c>
      <c r="M944" s="2234" t="str">
        <v>2003|日元（JPY）</v>
      </c>
      <c r="N944" s="2234" t="str">
        <v>日元（JPY）</v>
      </c>
      <c r="O944" s="2239" t="n">
        <v>115.9387</v>
      </c>
      <c r="P944" s="2234" t="str">
        <v>LCU/USD</v>
      </c>
      <c r="Q944" s="2239" t="n">
        <v>1</v>
      </c>
      <c r="R944" s="2234" t="str">
        <v>A：机构统计／原始统计表</v>
      </c>
      <c r="S944" s="2234" t="str">
        <v>年度汇率!H89；原始记录!A770:M770</v>
      </c>
      <c r="T944" s="2234" t="str"/>
      <c r="U944" t="n" s="2231">
        <v>2010</v>
      </c>
      <c r="V944" t="str" s="2231">
        <v>美元（USD）</v>
      </c>
    </row>
    <row r="945" ht="15.0" customHeight="1">
      <c r="A945" s="2234" t="n">
        <v>2003</v>
      </c>
      <c r="B945" s="2234" t="str">
        <v>CHF</v>
      </c>
      <c r="C945" s="2234" t="str">
        <v>瑞士法郎（CHF）</v>
      </c>
      <c r="D945" s="2234" t="str">
        <v>可用</v>
      </c>
      <c r="E945" s="2238" t="n">
        <v>1.345</v>
      </c>
      <c r="F945" s="2234" t="str">
        <v>年均</v>
      </c>
      <c r="G945" s="2234" t="str">
        <v>Federal Reserve G.5A / FRED AEXSZUS</v>
      </c>
      <c r="H945" s="2234" t="str">
        <v>https://fred.stlouisfed.org/data/AEXSZUS</v>
      </c>
      <c r="I945" s="2234" t="str">
        <v>2003-01-01—2003-12-31</v>
      </c>
      <c r="J945" s="2234" t="str">
        <v>historical_exchange_rates_1920_2026.xlsx</v>
      </c>
      <c r="K945" s="2234" t="str"/>
      <c r="L945" s="2234" t="str">
        <v>原报价已按 1 美元兑换本币表示。</v>
      </c>
      <c r="M945" s="2234" t="str">
        <v>2003|瑞士法郎（CHF）</v>
      </c>
      <c r="N945" s="2234" t="str">
        <v>瑞士法郎（CHF）</v>
      </c>
      <c r="O945" s="2239" t="n">
        <v>1.345</v>
      </c>
      <c r="P945" s="2234" t="str">
        <v>LCU/USD</v>
      </c>
      <c r="Q945" s="2239" t="n">
        <v>1</v>
      </c>
      <c r="R945" s="2234" t="str">
        <v>A：机构统计／原始统计表</v>
      </c>
      <c r="S945" s="2234" t="str">
        <v>年度汇率!I89；原始记录!A771:M771</v>
      </c>
      <c r="T945" s="2234" t="str"/>
      <c r="U945" t="n" s="2231">
        <v>2010</v>
      </c>
      <c r="V945" t="str" s="2231">
        <v>英镑（GBP）</v>
      </c>
    </row>
    <row r="946" ht="15.0" customHeight="1">
      <c r="A946" s="2234" t="n">
        <v>2003</v>
      </c>
      <c r="B946" s="2234" t="str">
        <v>INR</v>
      </c>
      <c r="C946" s="2234" t="str">
        <v>印度卢比（INR）</v>
      </c>
      <c r="D946" s="2234" t="str">
        <v>可用</v>
      </c>
      <c r="E946" s="2238" t="n">
        <v>46.5908</v>
      </c>
      <c r="F946" s="2234" t="str">
        <v>年均</v>
      </c>
      <c r="G946" s="2234" t="str">
        <v>Federal Reserve G.5A / FRED AEXINUS</v>
      </c>
      <c r="H946" s="2234" t="str">
        <v>https://fred.stlouisfed.org/data/AEXINUS</v>
      </c>
      <c r="I946" s="2234" t="str">
        <v>2003-01-01—2003-12-31</v>
      </c>
      <c r="J946" s="2234" t="str">
        <v>historical_exchange_rates_1920_2026.xlsx</v>
      </c>
      <c r="K946" s="2234" t="str"/>
      <c r="L946" s="2234" t="str">
        <v>原报价已按 1 美元兑换本币表示。</v>
      </c>
      <c r="M946" s="2234" t="str">
        <v>2003|印度卢比（INR）</v>
      </c>
      <c r="N946" s="2234" t="str">
        <v>印度卢比（INR）</v>
      </c>
      <c r="O946" s="2239" t="n">
        <v>46.5908</v>
      </c>
      <c r="P946" s="2234" t="str">
        <v>LCU/USD</v>
      </c>
      <c r="Q946" s="2239" t="n">
        <v>1</v>
      </c>
      <c r="R946" s="2234" t="str">
        <v>A：机构统计／原始统计表</v>
      </c>
      <c r="S946" s="2234" t="str">
        <v>年度汇率!J89；原始记录!A772:M772</v>
      </c>
      <c r="T946" s="2234" t="str"/>
      <c r="U946" t="n" s="2231">
        <v>2010</v>
      </c>
      <c r="V946" t="str" s="2231">
        <v>加拿大元（CAD）</v>
      </c>
    </row>
    <row r="947" ht="15.0" customHeight="1">
      <c r="A947" s="2234" t="n">
        <v>2003</v>
      </c>
      <c r="B947" s="2234" t="str">
        <v>RUB</v>
      </c>
      <c r="C947" s="2234" t="str">
        <v>俄罗斯卢布（RUB；1998币制）</v>
      </c>
      <c r="D947" s="2234" t="str">
        <v>可用</v>
      </c>
      <c r="E947" s="2238" t="n">
        <v>30.6915097450951</v>
      </c>
      <c r="F947" s="2234" t="str">
        <v>年均</v>
      </c>
      <c r="G947" s="2234" t="str">
        <v>OECD Main Economic Indicators / FRED CCUSMA02RUA618N</v>
      </c>
      <c r="H947" s="2234" t="str">
        <v>https://fred.stlouisfed.org/data/CCUSMA02RUA618N</v>
      </c>
      <c r="I947" s="2234" t="str">
        <v>2003-01-01—2003-12-31</v>
      </c>
      <c r="J947" s="2234" t="str">
        <v>historical_exchange_rates_1920_2026.xlsx</v>
      </c>
      <c r="K947" s="2234" t="str">
        <v>原表1993—1997年以1998年新卢布回溯表示；本表乘1000还原当年的旧卢布。</v>
      </c>
      <c r="L947" s="2234" t="str">
        <v>原报价已按 1 美元兑换本币表示。</v>
      </c>
      <c r="M947" s="2234" t="str">
        <v>2003|俄罗斯卢布（RUB；1998币制）</v>
      </c>
      <c r="N947" s="2234" t="str">
        <v>俄罗斯卢布（RUB；1998币制）</v>
      </c>
      <c r="O947" s="2239" t="n">
        <v>30.6915097450951</v>
      </c>
      <c r="P947" s="2234" t="str">
        <v>LCU/USD</v>
      </c>
      <c r="Q947" s="2239" t="n">
        <v>1</v>
      </c>
      <c r="R947" s="2234" t="str">
        <v>A：机构统计／原始统计表</v>
      </c>
      <c r="S947" s="2234" t="str">
        <v>年度汇率!K89；原始记录!A773:M773</v>
      </c>
      <c r="T947" s="2234" t="str"/>
      <c r="U947" t="n" s="2231">
        <v>2010</v>
      </c>
      <c r="V947" t="str" s="2231">
        <v>日元（JPY）</v>
      </c>
    </row>
    <row r="948" ht="15.0" customHeight="1">
      <c r="A948" s="2234" t="n">
        <v>2003</v>
      </c>
      <c r="B948" s="2234" t="str">
        <v>CNY</v>
      </c>
      <c r="C948" s="2234" t="str">
        <v>人民币元（1955币制；CNY）</v>
      </c>
      <c r="D948" s="2234" t="str">
        <v>可用</v>
      </c>
      <c r="E948" s="2238" t="n">
        <v>8.2772</v>
      </c>
      <c r="F948" s="2234" t="str">
        <v>年均</v>
      </c>
      <c r="G948" s="2234" t="str">
        <v>Federal Reserve G.5A / FRED AEXCHUS</v>
      </c>
      <c r="H948" s="2234" t="str">
        <v>https://fred.stlouisfed.org/data/AEXCHUS</v>
      </c>
      <c r="I948" s="2234" t="str">
        <v>2003-01-01—2003-12-31</v>
      </c>
      <c r="J948" s="2234" t="str">
        <v>historical_exchange_rates_1920_2026.xlsx</v>
      </c>
      <c r="K948" s="2234" t="str"/>
      <c r="L948" s="2234" t="str">
        <v>原报价已按 1 美元兑换本币表示。</v>
      </c>
      <c r="M948" s="2234" t="str">
        <v>2003|人民币元（1955币制；CNY）</v>
      </c>
      <c r="N948" s="2234" t="str">
        <v>人民币元（1955币制；CNY）</v>
      </c>
      <c r="O948" s="2239" t="n">
        <v>8.2772</v>
      </c>
      <c r="P948" s="2234" t="str">
        <v>LCU/USD</v>
      </c>
      <c r="Q948" s="2239" t="n">
        <v>1</v>
      </c>
      <c r="R948" s="2234" t="str">
        <v>A：机构统计／原始统计表</v>
      </c>
      <c r="S948" s="2234" t="str">
        <v>年度汇率!L89；原始记录!A774:M774</v>
      </c>
      <c r="T948" s="2234" t="str"/>
      <c r="U948" t="n" s="2231">
        <v>2010</v>
      </c>
      <c r="V948" t="str" s="2231">
        <v>瑞士法郎（CHF）</v>
      </c>
    </row>
    <row r="949" ht="24.0" customHeight="1">
      <c r="A949" s="2234" t="n">
        <v>2003</v>
      </c>
      <c r="B949" s="2234" t="str">
        <v>EUR</v>
      </c>
      <c r="C949" s="2234" t="str">
        <v>欧元（EUR）</v>
      </c>
      <c r="D949" s="2234" t="str">
        <v>可用</v>
      </c>
      <c r="E949" s="2238" t="n">
        <v>0.8833141948591113</v>
      </c>
      <c r="F949" s="2234" t="str">
        <v>年均</v>
      </c>
      <c r="G949" s="2234" t="str">
        <v>Federal Reserve G.5A / FRED AEXUSEU</v>
      </c>
      <c r="H949" s="2234" t="str">
        <v>https://fred.stlouisfed.org/data/AEXUSEU</v>
      </c>
      <c r="I949" s="2234" t="str">
        <v>2003-01-01—2003-12-31</v>
      </c>
      <c r="J949" s="2234" t="str">
        <v>historical_exchange_rates_1920_2026.xlsx</v>
      </c>
      <c r="K949" s="2234" t="str">
        <v>反向值由原报价均值取倒数；不等于反向日度汇率的算术平均。
年均USD/EUR；主表取倒数。</v>
      </c>
      <c r="L949" s="2234" t="str">
        <v>原报价为每单位本币兑美元，取原报价均值的倒数；不等于反向日度汇率的算术平均。</v>
      </c>
      <c r="M949" s="2234" t="str">
        <v>2003|欧元（EUR）</v>
      </c>
      <c r="N949" s="2234" t="str">
        <v>欧元（EUR）</v>
      </c>
      <c r="O949" s="2239" t="n">
        <v>1.1321</v>
      </c>
      <c r="P949" s="2234" t="str">
        <v>USD/LCU</v>
      </c>
      <c r="Q949" s="2239" t="n">
        <v>1</v>
      </c>
      <c r="R949" s="2234" t="str">
        <v>A：机构统计／原始统计表</v>
      </c>
      <c r="S949" s="2234" t="str">
        <v>年度汇率!M89、年度汇率!E89、年度汇率!F89、年度汇率!G89；原始记录!A775:M775</v>
      </c>
      <c r="T949" s="2234" t="str"/>
      <c r="U949" t="n" s="2231">
        <v>2010</v>
      </c>
      <c r="V949" t="str" s="2231">
        <v>印度卢比（INR）</v>
      </c>
    </row>
    <row r="950" ht="15.0" customHeight="1">
      <c r="A950" s="2234" t="n">
        <v>2004</v>
      </c>
      <c r="B950" s="2234" t="str">
        <v>USD</v>
      </c>
      <c r="C950" s="2234" t="str">
        <v>美元（USD）</v>
      </c>
      <c r="D950" s="2234" t="str">
        <v>可用</v>
      </c>
      <c r="E950" s="2238" t="n">
        <v>1</v>
      </c>
      <c r="F950" s="2234" t="str">
        <v>基准恒等</v>
      </c>
      <c r="G950" s="2234" t="str">
        <v>用户提供的历史汇率表</v>
      </c>
      <c r="H950" s="2234" t="str"/>
      <c r="I950" s="2234" t="str">
        <v>2004</v>
      </c>
      <c r="J950" s="2234" t="str">
        <v>historical_exchange_rates_1920_2026.xlsx</v>
      </c>
      <c r="K950" s="2234" t="str">
        <v>1 美元等于 1 美元，无外部报价。</v>
      </c>
      <c r="L950" s="2234" t="str">
        <v>美元基准，汇率恒为 1。</v>
      </c>
      <c r="M950" s="2234" t="str">
        <v>2004|美元（USD）</v>
      </c>
      <c r="N950" s="2234" t="str">
        <v>美元（USD）</v>
      </c>
      <c r="O950" s="2239"/>
      <c r="P950" s="2234" t="str"/>
      <c r="Q950" s="2239"/>
      <c r="R950" s="2234" t="str"/>
      <c r="S950" s="2234" t="str">
        <v>年度汇率!B90</v>
      </c>
      <c r="T950" s="2234" t="str"/>
      <c r="U950" t="n" s="2231">
        <v>2010</v>
      </c>
      <c r="V950" t="str" s="2231">
        <v>俄罗斯卢布（RUB；1998币制）</v>
      </c>
    </row>
    <row r="951" ht="24.0" customHeight="1">
      <c r="A951" s="2234" t="n">
        <v>2004</v>
      </c>
      <c r="B951" s="2234" t="str">
        <v>GBP</v>
      </c>
      <c r="C951" s="2234" t="str">
        <v>英镑（GBP）</v>
      </c>
      <c r="D951" s="2234" t="str">
        <v>可用</v>
      </c>
      <c r="E951" s="2238" t="n">
        <v>0.5455537370430987</v>
      </c>
      <c r="F951" s="2234" t="str">
        <v>年均</v>
      </c>
      <c r="G951" s="2234" t="str">
        <v>Federal Reserve G.5A / FRED AEXUSUK</v>
      </c>
      <c r="H951" s="2234" t="str">
        <v>https://fred.stlouisfed.org/data/AEXUSUK</v>
      </c>
      <c r="I951" s="2234" t="str">
        <v>2004-01-01—2004-12-31</v>
      </c>
      <c r="J951" s="2234" t="str">
        <v>historical_exchange_rates_1920_2026.xlsx</v>
      </c>
      <c r="K951" s="2234" t="str">
        <v>反向值由原报价均值取倒数；不等于反向日度汇率的算术平均。
年均USD/GBP；主表取倒数，不等于逐日GBP/USD平均。</v>
      </c>
      <c r="L951" s="2234" t="str">
        <v>原报价为每单位本币兑美元，取原报价均值的倒数；不等于反向日度汇率的算术平均。</v>
      </c>
      <c r="M951" s="2234" t="str">
        <v>2004|英镑（GBP）</v>
      </c>
      <c r="N951" s="2234" t="str">
        <v>英镑（GBP）</v>
      </c>
      <c r="O951" s="2239" t="n">
        <v>1.833</v>
      </c>
      <c r="P951" s="2234" t="str">
        <v>USD/LCU</v>
      </c>
      <c r="Q951" s="2239" t="n">
        <v>1</v>
      </c>
      <c r="R951" s="2234" t="str">
        <v>A：机构统计／原始统计表</v>
      </c>
      <c r="S951" s="2234" t="str">
        <v>年度汇率!C90；原始记录!A776:M776</v>
      </c>
      <c r="T951" s="2234" t="str"/>
      <c r="U951" t="n" s="2231">
        <v>2010</v>
      </c>
      <c r="V951" t="str" s="2231">
        <v>人民币元（1955币制；CNY）</v>
      </c>
    </row>
    <row r="952" ht="15.0" customHeight="1">
      <c r="A952" s="2234" t="n">
        <v>2004</v>
      </c>
      <c r="B952" s="2234" t="str">
        <v>CAD</v>
      </c>
      <c r="C952" s="2234" t="str">
        <v>加拿大元（CAD）</v>
      </c>
      <c r="D952" s="2234" t="str">
        <v>可用</v>
      </c>
      <c r="E952" s="2238" t="n">
        <v>1.3017</v>
      </c>
      <c r="F952" s="2234" t="str">
        <v>年均</v>
      </c>
      <c r="G952" s="2234" t="str">
        <v>Federal Reserve G.5A / FRED AEXCAUS</v>
      </c>
      <c r="H952" s="2234" t="str">
        <v>https://fred.stlouisfed.org/data/AEXCAUS</v>
      </c>
      <c r="I952" s="2234" t="str">
        <v>2004-01-01—2004-12-31</v>
      </c>
      <c r="J952" s="2234" t="str">
        <v>historical_exchange_rates_1920_2026.xlsx</v>
      </c>
      <c r="K952" s="2234" t="str"/>
      <c r="L952" s="2234" t="str">
        <v>原报价已按 1 美元兑换本币表示。</v>
      </c>
      <c r="M952" s="2234" t="str">
        <v>2004|加拿大元（CAD）</v>
      </c>
      <c r="N952" s="2234" t="str">
        <v>加拿大元（CAD）</v>
      </c>
      <c r="O952" s="2239" t="n">
        <v>1.3017</v>
      </c>
      <c r="P952" s="2234" t="str">
        <v>LCU/USD</v>
      </c>
      <c r="Q952" s="2239" t="n">
        <v>1</v>
      </c>
      <c r="R952" s="2234" t="str">
        <v>A：机构统计／原始统计表</v>
      </c>
      <c r="S952" s="2234" t="str">
        <v>年度汇率!D90；原始记录!A777:M777</v>
      </c>
      <c r="T952" s="2234" t="str"/>
      <c r="U952" t="n" s="2231">
        <v>2010</v>
      </c>
      <c r="V952" t="str" s="2231">
        <v>欧元（EUR）</v>
      </c>
    </row>
    <row r="953" ht="15.0" customHeight="1">
      <c r="A953" s="2234" t="n">
        <v>2004</v>
      </c>
      <c r="B953" s="2234" t="str">
        <v>JPY</v>
      </c>
      <c r="C953" s="2234" t="str">
        <v>日元（JPY）</v>
      </c>
      <c r="D953" s="2234" t="str">
        <v>可用</v>
      </c>
      <c r="E953" s="2238" t="n">
        <v>108.1508</v>
      </c>
      <c r="F953" s="2234" t="str">
        <v>年均</v>
      </c>
      <c r="G953" s="2234" t="str">
        <v>Federal Reserve G.5A / FRED AEXJPUS</v>
      </c>
      <c r="H953" s="2234" t="str">
        <v>https://fred.stlouisfed.org/data/AEXJPUS</v>
      </c>
      <c r="I953" s="2234" t="str">
        <v>2004-01-01—2004-12-31</v>
      </c>
      <c r="J953" s="2234" t="str">
        <v>historical_exchange_rates_1920_2026.xlsx</v>
      </c>
      <c r="K953" s="2234" t="str"/>
      <c r="L953" s="2234" t="str">
        <v>原报价已按 1 美元兑换本币表示。</v>
      </c>
      <c r="M953" s="2234" t="str">
        <v>2004|日元（JPY）</v>
      </c>
      <c r="N953" s="2234" t="str">
        <v>日元（JPY）</v>
      </c>
      <c r="O953" s="2239" t="n">
        <v>108.1508</v>
      </c>
      <c r="P953" s="2234" t="str">
        <v>LCU/USD</v>
      </c>
      <c r="Q953" s="2239" t="n">
        <v>1</v>
      </c>
      <c r="R953" s="2234" t="str">
        <v>A：机构统计／原始统计表</v>
      </c>
      <c r="S953" s="2234" t="str">
        <v>年度汇率!H90；原始记录!A778:M778</v>
      </c>
      <c r="T953" s="2234" t="str"/>
      <c r="U953" t="n" s="2231">
        <v>2011</v>
      </c>
      <c r="V953" t="str" s="2231">
        <v>美元（USD）</v>
      </c>
    </row>
    <row r="954" ht="15.0" customHeight="1">
      <c r="A954" s="2234" t="n">
        <v>2004</v>
      </c>
      <c r="B954" s="2234" t="str">
        <v>CHF</v>
      </c>
      <c r="C954" s="2234" t="str">
        <v>瑞士法郎（CHF）</v>
      </c>
      <c r="D954" s="2234" t="str">
        <v>可用</v>
      </c>
      <c r="E954" s="2238" t="n">
        <v>1.2428</v>
      </c>
      <c r="F954" s="2234" t="str">
        <v>年均</v>
      </c>
      <c r="G954" s="2234" t="str">
        <v>Federal Reserve G.5A / FRED AEXSZUS</v>
      </c>
      <c r="H954" s="2234" t="str">
        <v>https://fred.stlouisfed.org/data/AEXSZUS</v>
      </c>
      <c r="I954" s="2234" t="str">
        <v>2004-01-01—2004-12-31</v>
      </c>
      <c r="J954" s="2234" t="str">
        <v>historical_exchange_rates_1920_2026.xlsx</v>
      </c>
      <c r="K954" s="2234" t="str"/>
      <c r="L954" s="2234" t="str">
        <v>原报价已按 1 美元兑换本币表示。</v>
      </c>
      <c r="M954" s="2234" t="str">
        <v>2004|瑞士法郎（CHF）</v>
      </c>
      <c r="N954" s="2234" t="str">
        <v>瑞士法郎（CHF）</v>
      </c>
      <c r="O954" s="2239" t="n">
        <v>1.2428</v>
      </c>
      <c r="P954" s="2234" t="str">
        <v>LCU/USD</v>
      </c>
      <c r="Q954" s="2239" t="n">
        <v>1</v>
      </c>
      <c r="R954" s="2234" t="str">
        <v>A：机构统计／原始统计表</v>
      </c>
      <c r="S954" s="2234" t="str">
        <v>年度汇率!I90；原始记录!A779:M779</v>
      </c>
      <c r="T954" s="2234" t="str"/>
      <c r="U954" t="n" s="2231">
        <v>2011</v>
      </c>
      <c r="V954" t="str" s="2231">
        <v>英镑（GBP）</v>
      </c>
    </row>
    <row r="955" ht="15.0" customHeight="1">
      <c r="A955" s="2234" t="n">
        <v>2004</v>
      </c>
      <c r="B955" s="2234" t="str">
        <v>INR</v>
      </c>
      <c r="C955" s="2234" t="str">
        <v>印度卢比（INR）</v>
      </c>
      <c r="D955" s="2234" t="str">
        <v>可用</v>
      </c>
      <c r="E955" s="2238" t="n">
        <v>45.261</v>
      </c>
      <c r="F955" s="2234" t="str">
        <v>年均</v>
      </c>
      <c r="G955" s="2234" t="str">
        <v>Federal Reserve G.5A / FRED AEXINUS</v>
      </c>
      <c r="H955" s="2234" t="str">
        <v>https://fred.stlouisfed.org/data/AEXINUS</v>
      </c>
      <c r="I955" s="2234" t="str">
        <v>2004-01-01—2004-12-31</v>
      </c>
      <c r="J955" s="2234" t="str">
        <v>historical_exchange_rates_1920_2026.xlsx</v>
      </c>
      <c r="K955" s="2234" t="str"/>
      <c r="L955" s="2234" t="str">
        <v>原报价已按 1 美元兑换本币表示。</v>
      </c>
      <c r="M955" s="2234" t="str">
        <v>2004|印度卢比（INR）</v>
      </c>
      <c r="N955" s="2234" t="str">
        <v>印度卢比（INR）</v>
      </c>
      <c r="O955" s="2239" t="n">
        <v>45.261</v>
      </c>
      <c r="P955" s="2234" t="str">
        <v>LCU/USD</v>
      </c>
      <c r="Q955" s="2239" t="n">
        <v>1</v>
      </c>
      <c r="R955" s="2234" t="str">
        <v>A：机构统计／原始统计表</v>
      </c>
      <c r="S955" s="2234" t="str">
        <v>年度汇率!J90；原始记录!A780:M780</v>
      </c>
      <c r="T955" s="2234" t="str"/>
      <c r="U955" t="n" s="2231">
        <v>2011</v>
      </c>
      <c r="V955" t="str" s="2231">
        <v>加拿大元（CAD）</v>
      </c>
    </row>
    <row r="956" ht="15.0" customHeight="1">
      <c r="A956" s="2234" t="n">
        <v>2004</v>
      </c>
      <c r="B956" s="2234" t="str">
        <v>RUB</v>
      </c>
      <c r="C956" s="2234" t="str">
        <v>俄罗斯卢布（RUB；1998币制）</v>
      </c>
      <c r="D956" s="2234" t="str">
        <v>可用</v>
      </c>
      <c r="E956" s="2238" t="n">
        <v>28.7991634655537</v>
      </c>
      <c r="F956" s="2234" t="str">
        <v>年均</v>
      </c>
      <c r="G956" s="2234" t="str">
        <v>OECD Main Economic Indicators / FRED CCUSMA02RUA618N</v>
      </c>
      <c r="H956" s="2234" t="str">
        <v>https://fred.stlouisfed.org/data/CCUSMA02RUA618N</v>
      </c>
      <c r="I956" s="2234" t="str">
        <v>2004-01-01—2004-12-31</v>
      </c>
      <c r="J956" s="2234" t="str">
        <v>historical_exchange_rates_1920_2026.xlsx</v>
      </c>
      <c r="K956" s="2234" t="str">
        <v>原表1993—1997年以1998年新卢布回溯表示；本表乘1000还原当年的旧卢布。</v>
      </c>
      <c r="L956" s="2234" t="str">
        <v>原报价已按 1 美元兑换本币表示。</v>
      </c>
      <c r="M956" s="2234" t="str">
        <v>2004|俄罗斯卢布（RUB；1998币制）</v>
      </c>
      <c r="N956" s="2234" t="str">
        <v>俄罗斯卢布（RUB；1998币制）</v>
      </c>
      <c r="O956" s="2239" t="n">
        <v>28.7991634655537</v>
      </c>
      <c r="P956" s="2234" t="str">
        <v>LCU/USD</v>
      </c>
      <c r="Q956" s="2239" t="n">
        <v>1</v>
      </c>
      <c r="R956" s="2234" t="str">
        <v>A：机构统计／原始统计表</v>
      </c>
      <c r="S956" s="2234" t="str">
        <v>年度汇率!K90；原始记录!A781:M781</v>
      </c>
      <c r="T956" s="2234" t="str"/>
      <c r="U956" t="n" s="2231">
        <v>2011</v>
      </c>
      <c r="V956" t="str" s="2231">
        <v>日元（JPY）</v>
      </c>
    </row>
    <row r="957" ht="15.0" customHeight="1">
      <c r="A957" s="2234" t="n">
        <v>2004</v>
      </c>
      <c r="B957" s="2234" t="str">
        <v>CNY</v>
      </c>
      <c r="C957" s="2234" t="str">
        <v>人民币元（1955币制；CNY）</v>
      </c>
      <c r="D957" s="2234" t="str">
        <v>可用</v>
      </c>
      <c r="E957" s="2238" t="n">
        <v>8.2768</v>
      </c>
      <c r="F957" s="2234" t="str">
        <v>年均</v>
      </c>
      <c r="G957" s="2234" t="str">
        <v>Federal Reserve G.5A / FRED AEXCHUS</v>
      </c>
      <c r="H957" s="2234" t="str">
        <v>https://fred.stlouisfed.org/data/AEXCHUS</v>
      </c>
      <c r="I957" s="2234" t="str">
        <v>2004-01-01—2004-12-31</v>
      </c>
      <c r="J957" s="2234" t="str">
        <v>historical_exchange_rates_1920_2026.xlsx</v>
      </c>
      <c r="K957" s="2234" t="str"/>
      <c r="L957" s="2234" t="str">
        <v>原报价已按 1 美元兑换本币表示。</v>
      </c>
      <c r="M957" s="2234" t="str">
        <v>2004|人民币元（1955币制；CNY）</v>
      </c>
      <c r="N957" s="2234" t="str">
        <v>人民币元（1955币制；CNY）</v>
      </c>
      <c r="O957" s="2239" t="n">
        <v>8.2768</v>
      </c>
      <c r="P957" s="2234" t="str">
        <v>LCU/USD</v>
      </c>
      <c r="Q957" s="2239" t="n">
        <v>1</v>
      </c>
      <c r="R957" s="2234" t="str">
        <v>A：机构统计／原始统计表</v>
      </c>
      <c r="S957" s="2234" t="str">
        <v>年度汇率!L90；原始记录!A782:M782</v>
      </c>
      <c r="T957" s="2234" t="str"/>
      <c r="U957" t="n" s="2231">
        <v>2011</v>
      </c>
      <c r="V957" t="str" s="2231">
        <v>瑞士法郎（CHF）</v>
      </c>
    </row>
    <row r="958" ht="24.0" customHeight="1">
      <c r="A958" s="2234" t="n">
        <v>2004</v>
      </c>
      <c r="B958" s="2234" t="str">
        <v>EUR</v>
      </c>
      <c r="C958" s="2234" t="str">
        <v>欧元（EUR）</v>
      </c>
      <c r="D958" s="2234" t="str">
        <v>可用</v>
      </c>
      <c r="E958" s="2238" t="n">
        <v>0.8039877793857533</v>
      </c>
      <c r="F958" s="2234" t="str">
        <v>年均</v>
      </c>
      <c r="G958" s="2234" t="str">
        <v>Federal Reserve G.5A / FRED AEXUSEU</v>
      </c>
      <c r="H958" s="2234" t="str">
        <v>https://fred.stlouisfed.org/data/AEXUSEU</v>
      </c>
      <c r="I958" s="2234" t="str">
        <v>2004-01-01—2004-12-31</v>
      </c>
      <c r="J958" s="2234" t="str">
        <v>historical_exchange_rates_1920_2026.xlsx</v>
      </c>
      <c r="K958" s="2234" t="str">
        <v>反向值由原报价均值取倒数；不等于反向日度汇率的算术平均。
年均USD/EUR；主表取倒数。</v>
      </c>
      <c r="L958" s="2234" t="str">
        <v>原报价为每单位本币兑美元，取原报价均值的倒数；不等于反向日度汇率的算术平均。</v>
      </c>
      <c r="M958" s="2234" t="str">
        <v>2004|欧元（EUR）</v>
      </c>
      <c r="N958" s="2234" t="str">
        <v>欧元（EUR）</v>
      </c>
      <c r="O958" s="2239" t="n">
        <v>1.2438</v>
      </c>
      <c r="P958" s="2234" t="str">
        <v>USD/LCU</v>
      </c>
      <c r="Q958" s="2239" t="n">
        <v>1</v>
      </c>
      <c r="R958" s="2234" t="str">
        <v>A：机构统计／原始统计表</v>
      </c>
      <c r="S958" s="2234" t="str">
        <v>年度汇率!M90、年度汇率!E90、年度汇率!F90、年度汇率!G90；原始记录!A783:M783</v>
      </c>
      <c r="T958" s="2234" t="str"/>
      <c r="U958" t="n" s="2231">
        <v>2011</v>
      </c>
      <c r="V958" t="str" s="2231">
        <v>印度卢比（INR）</v>
      </c>
    </row>
    <row r="959" ht="15.0" customHeight="1">
      <c r="A959" s="2234" t="n">
        <v>2005</v>
      </c>
      <c r="B959" s="2234" t="str">
        <v>USD</v>
      </c>
      <c r="C959" s="2234" t="str">
        <v>美元（USD）</v>
      </c>
      <c r="D959" s="2234" t="str">
        <v>可用</v>
      </c>
      <c r="E959" s="2238" t="n">
        <v>1</v>
      </c>
      <c r="F959" s="2234" t="str">
        <v>基准恒等</v>
      </c>
      <c r="G959" s="2234" t="str">
        <v>用户提供的历史汇率表</v>
      </c>
      <c r="H959" s="2234" t="str"/>
      <c r="I959" s="2234" t="str">
        <v>2005</v>
      </c>
      <c r="J959" s="2234" t="str">
        <v>historical_exchange_rates_1920_2026.xlsx</v>
      </c>
      <c r="K959" s="2234" t="str">
        <v>1 美元等于 1 美元，无外部报价。</v>
      </c>
      <c r="L959" s="2234" t="str">
        <v>美元基准，汇率恒为 1。</v>
      </c>
      <c r="M959" s="2234" t="str">
        <v>2005|美元（USD）</v>
      </c>
      <c r="N959" s="2234" t="str">
        <v>美元（USD）</v>
      </c>
      <c r="O959" s="2239"/>
      <c r="P959" s="2234" t="str"/>
      <c r="Q959" s="2239"/>
      <c r="R959" s="2234" t="str"/>
      <c r="S959" s="2234" t="str">
        <v>年度汇率!B91</v>
      </c>
      <c r="T959" s="2234" t="str"/>
      <c r="U959" t="n" s="2231">
        <v>2011</v>
      </c>
      <c r="V959" t="str" s="2231">
        <v>俄罗斯卢布（RUB；1998币制）</v>
      </c>
    </row>
    <row r="960" ht="24.0" customHeight="1">
      <c r="A960" s="2234" t="n">
        <v>2005</v>
      </c>
      <c r="B960" s="2234" t="str">
        <v>GBP</v>
      </c>
      <c r="C960" s="2234" t="str">
        <v>英镑（GBP）</v>
      </c>
      <c r="D960" s="2234" t="str">
        <v>可用</v>
      </c>
      <c r="E960" s="2238" t="n">
        <v>0.5493298176225005</v>
      </c>
      <c r="F960" s="2234" t="str">
        <v>年均</v>
      </c>
      <c r="G960" s="2234" t="str">
        <v>Federal Reserve G.5A / FRED AEXUSUK</v>
      </c>
      <c r="H960" s="2234" t="str">
        <v>https://fred.stlouisfed.org/data/AEXUSUK</v>
      </c>
      <c r="I960" s="2234" t="str">
        <v>2005-01-01—2005-12-31</v>
      </c>
      <c r="J960" s="2234" t="str">
        <v>historical_exchange_rates_1920_2026.xlsx</v>
      </c>
      <c r="K960" s="2234" t="str">
        <v>反向值由原报价均值取倒数；不等于反向日度汇率的算术平均。
年均USD/GBP；主表取倒数，不等于逐日GBP/USD平均。</v>
      </c>
      <c r="L960" s="2234" t="str">
        <v>原报价为每单位本币兑美元，取原报价均值的倒数；不等于反向日度汇率的算术平均。</v>
      </c>
      <c r="M960" s="2234" t="str">
        <v>2005|英镑（GBP）</v>
      </c>
      <c r="N960" s="2234" t="str">
        <v>英镑（GBP）</v>
      </c>
      <c r="O960" s="2239" t="n">
        <v>1.8204</v>
      </c>
      <c r="P960" s="2234" t="str">
        <v>USD/LCU</v>
      </c>
      <c r="Q960" s="2239" t="n">
        <v>1</v>
      </c>
      <c r="R960" s="2234" t="str">
        <v>A：机构统计／原始统计表</v>
      </c>
      <c r="S960" s="2234" t="str">
        <v>年度汇率!C91；原始记录!A784:M784</v>
      </c>
      <c r="T960" s="2234" t="str"/>
      <c r="U960" t="n" s="2231">
        <v>2011</v>
      </c>
      <c r="V960" t="str" s="2231">
        <v>人民币元（1955币制；CNY）</v>
      </c>
    </row>
    <row r="961" ht="15.0" customHeight="1">
      <c r="A961" s="2234" t="n">
        <v>2005</v>
      </c>
      <c r="B961" s="2234" t="str">
        <v>CAD</v>
      </c>
      <c r="C961" s="2234" t="str">
        <v>加拿大元（CAD）</v>
      </c>
      <c r="D961" s="2234" t="str">
        <v>可用</v>
      </c>
      <c r="E961" s="2238" t="n">
        <v>1.2115</v>
      </c>
      <c r="F961" s="2234" t="str">
        <v>年均</v>
      </c>
      <c r="G961" s="2234" t="str">
        <v>Federal Reserve G.5A / FRED AEXCAUS</v>
      </c>
      <c r="H961" s="2234" t="str">
        <v>https://fred.stlouisfed.org/data/AEXCAUS</v>
      </c>
      <c r="I961" s="2234" t="str">
        <v>2005-01-01—2005-12-31</v>
      </c>
      <c r="J961" s="2234" t="str">
        <v>historical_exchange_rates_1920_2026.xlsx</v>
      </c>
      <c r="K961" s="2234" t="str"/>
      <c r="L961" s="2234" t="str">
        <v>原报价已按 1 美元兑换本币表示。</v>
      </c>
      <c r="M961" s="2234" t="str">
        <v>2005|加拿大元（CAD）</v>
      </c>
      <c r="N961" s="2234" t="str">
        <v>加拿大元（CAD）</v>
      </c>
      <c r="O961" s="2239" t="n">
        <v>1.2115</v>
      </c>
      <c r="P961" s="2234" t="str">
        <v>LCU/USD</v>
      </c>
      <c r="Q961" s="2239" t="n">
        <v>1</v>
      </c>
      <c r="R961" s="2234" t="str">
        <v>A：机构统计／原始统计表</v>
      </c>
      <c r="S961" s="2234" t="str">
        <v>年度汇率!D91；原始记录!A785:M785</v>
      </c>
      <c r="T961" s="2234" t="str"/>
      <c r="U961" t="n" s="2231">
        <v>2011</v>
      </c>
      <c r="V961" t="str" s="2231">
        <v>欧元（EUR）</v>
      </c>
    </row>
    <row r="962" ht="15.0" customHeight="1">
      <c r="A962" s="2234" t="n">
        <v>2005</v>
      </c>
      <c r="B962" s="2234" t="str">
        <v>JPY</v>
      </c>
      <c r="C962" s="2234" t="str">
        <v>日元（JPY）</v>
      </c>
      <c r="D962" s="2234" t="str">
        <v>可用</v>
      </c>
      <c r="E962" s="2238" t="n">
        <v>110.1069</v>
      </c>
      <c r="F962" s="2234" t="str">
        <v>年均</v>
      </c>
      <c r="G962" s="2234" t="str">
        <v>Federal Reserve G.5A / FRED AEXJPUS</v>
      </c>
      <c r="H962" s="2234" t="str">
        <v>https://fred.stlouisfed.org/data/AEXJPUS</v>
      </c>
      <c r="I962" s="2234" t="str">
        <v>2005-01-01—2005-12-31</v>
      </c>
      <c r="J962" s="2234" t="str">
        <v>historical_exchange_rates_1920_2026.xlsx</v>
      </c>
      <c r="K962" s="2234" t="str"/>
      <c r="L962" s="2234" t="str">
        <v>原报价已按 1 美元兑换本币表示。</v>
      </c>
      <c r="M962" s="2234" t="str">
        <v>2005|日元（JPY）</v>
      </c>
      <c r="N962" s="2234" t="str">
        <v>日元（JPY）</v>
      </c>
      <c r="O962" s="2239" t="n">
        <v>110.1069</v>
      </c>
      <c r="P962" s="2234" t="str">
        <v>LCU/USD</v>
      </c>
      <c r="Q962" s="2239" t="n">
        <v>1</v>
      </c>
      <c r="R962" s="2234" t="str">
        <v>A：机构统计／原始统计表</v>
      </c>
      <c r="S962" s="2234" t="str">
        <v>年度汇率!H91；原始记录!A786:M786</v>
      </c>
      <c r="T962" s="2234" t="str"/>
      <c r="U962" t="n" s="2231">
        <v>2012</v>
      </c>
      <c r="V962" t="str" s="2231">
        <v>美元（USD）</v>
      </c>
    </row>
    <row r="963" ht="15.0" customHeight="1">
      <c r="A963" s="2234" t="n">
        <v>2005</v>
      </c>
      <c r="B963" s="2234" t="str">
        <v>CHF</v>
      </c>
      <c r="C963" s="2234" t="str">
        <v>瑞士法郎（CHF）</v>
      </c>
      <c r="D963" s="2234" t="str">
        <v>可用</v>
      </c>
      <c r="E963" s="2238" t="n">
        <v>1.2459</v>
      </c>
      <c r="F963" s="2234" t="str">
        <v>年均</v>
      </c>
      <c r="G963" s="2234" t="str">
        <v>Federal Reserve G.5A / FRED AEXSZUS</v>
      </c>
      <c r="H963" s="2234" t="str">
        <v>https://fred.stlouisfed.org/data/AEXSZUS</v>
      </c>
      <c r="I963" s="2234" t="str">
        <v>2005-01-01—2005-12-31</v>
      </c>
      <c r="J963" s="2234" t="str">
        <v>historical_exchange_rates_1920_2026.xlsx</v>
      </c>
      <c r="K963" s="2234" t="str"/>
      <c r="L963" s="2234" t="str">
        <v>原报价已按 1 美元兑换本币表示。</v>
      </c>
      <c r="M963" s="2234" t="str">
        <v>2005|瑞士法郎（CHF）</v>
      </c>
      <c r="N963" s="2234" t="str">
        <v>瑞士法郎（CHF）</v>
      </c>
      <c r="O963" s="2239" t="n">
        <v>1.2459</v>
      </c>
      <c r="P963" s="2234" t="str">
        <v>LCU/USD</v>
      </c>
      <c r="Q963" s="2239" t="n">
        <v>1</v>
      </c>
      <c r="R963" s="2234" t="str">
        <v>A：机构统计／原始统计表</v>
      </c>
      <c r="S963" s="2234" t="str">
        <v>年度汇率!I91；原始记录!A787:M787</v>
      </c>
      <c r="T963" s="2234" t="str"/>
      <c r="U963" t="n" s="2231">
        <v>2012</v>
      </c>
      <c r="V963" t="str" s="2231">
        <v>英镑（GBP）</v>
      </c>
    </row>
    <row r="964" ht="15.0" customHeight="1">
      <c r="A964" s="2234" t="n">
        <v>2005</v>
      </c>
      <c r="B964" s="2234" t="str">
        <v>INR</v>
      </c>
      <c r="C964" s="2234" t="str">
        <v>印度卢比（INR）</v>
      </c>
      <c r="D964" s="2234" t="str">
        <v>可用</v>
      </c>
      <c r="E964" s="2238" t="n">
        <v>44.0002</v>
      </c>
      <c r="F964" s="2234" t="str">
        <v>年均</v>
      </c>
      <c r="G964" s="2234" t="str">
        <v>Federal Reserve G.5A / FRED AEXINUS</v>
      </c>
      <c r="H964" s="2234" t="str">
        <v>https://fred.stlouisfed.org/data/AEXINUS</v>
      </c>
      <c r="I964" s="2234" t="str">
        <v>2005-01-01—2005-12-31</v>
      </c>
      <c r="J964" s="2234" t="str">
        <v>historical_exchange_rates_1920_2026.xlsx</v>
      </c>
      <c r="K964" s="2234" t="str"/>
      <c r="L964" s="2234" t="str">
        <v>原报价已按 1 美元兑换本币表示。</v>
      </c>
      <c r="M964" s="2234" t="str">
        <v>2005|印度卢比（INR）</v>
      </c>
      <c r="N964" s="2234" t="str">
        <v>印度卢比（INR）</v>
      </c>
      <c r="O964" s="2239" t="n">
        <v>44.0002</v>
      </c>
      <c r="P964" s="2234" t="str">
        <v>LCU/USD</v>
      </c>
      <c r="Q964" s="2239" t="n">
        <v>1</v>
      </c>
      <c r="R964" s="2234" t="str">
        <v>A：机构统计／原始统计表</v>
      </c>
      <c r="S964" s="2234" t="str">
        <v>年度汇率!J91；原始记录!A788:M788</v>
      </c>
      <c r="T964" s="2234" t="str"/>
      <c r="U964" t="n" s="2231">
        <v>2012</v>
      </c>
      <c r="V964" t="str" s="2231">
        <v>加拿大元（CAD）</v>
      </c>
    </row>
    <row r="965" ht="15.0" customHeight="1">
      <c r="A965" s="2234" t="n">
        <v>2005</v>
      </c>
      <c r="B965" s="2234" t="str">
        <v>RUB</v>
      </c>
      <c r="C965" s="2234" t="str">
        <v>俄罗斯卢布（RUB；1998币制）</v>
      </c>
      <c r="D965" s="2234" t="str">
        <v>可用</v>
      </c>
      <c r="E965" s="2238" t="n">
        <v>28.2446160282799</v>
      </c>
      <c r="F965" s="2234" t="str">
        <v>年均</v>
      </c>
      <c r="G965" s="2234" t="str">
        <v>OECD Main Economic Indicators / FRED CCUSMA02RUA618N</v>
      </c>
      <c r="H965" s="2234" t="str">
        <v>https://fred.stlouisfed.org/data/CCUSMA02RUA618N</v>
      </c>
      <c r="I965" s="2234" t="str">
        <v>2005-01-01—2005-12-31</v>
      </c>
      <c r="J965" s="2234" t="str">
        <v>historical_exchange_rates_1920_2026.xlsx</v>
      </c>
      <c r="K965" s="2234" t="str">
        <v>原表1993—1997年以1998年新卢布回溯表示；本表乘1000还原当年的旧卢布。</v>
      </c>
      <c r="L965" s="2234" t="str">
        <v>原报价已按 1 美元兑换本币表示。</v>
      </c>
      <c r="M965" s="2234" t="str">
        <v>2005|俄罗斯卢布（RUB；1998币制）</v>
      </c>
      <c r="N965" s="2234" t="str">
        <v>俄罗斯卢布（RUB；1998币制）</v>
      </c>
      <c r="O965" s="2239" t="n">
        <v>28.2446160282799</v>
      </c>
      <c r="P965" s="2234" t="str">
        <v>LCU/USD</v>
      </c>
      <c r="Q965" s="2239" t="n">
        <v>1</v>
      </c>
      <c r="R965" s="2234" t="str">
        <v>A：机构统计／原始统计表</v>
      </c>
      <c r="S965" s="2234" t="str">
        <v>年度汇率!K91；原始记录!A789:M789</v>
      </c>
      <c r="T965" s="2234" t="str"/>
      <c r="U965" t="n" s="2231">
        <v>2012</v>
      </c>
      <c r="V965" t="str" s="2231">
        <v>日元（JPY）</v>
      </c>
    </row>
    <row r="966" ht="15.0" customHeight="1">
      <c r="A966" s="2234" t="n">
        <v>2005</v>
      </c>
      <c r="B966" s="2234" t="str">
        <v>CNY</v>
      </c>
      <c r="C966" s="2234" t="str">
        <v>人民币元（1955币制；CNY）</v>
      </c>
      <c r="D966" s="2234" t="str">
        <v>可用</v>
      </c>
      <c r="E966" s="2238" t="n">
        <v>8.1936</v>
      </c>
      <c r="F966" s="2234" t="str">
        <v>年均</v>
      </c>
      <c r="G966" s="2234" t="str">
        <v>Federal Reserve G.5A / FRED AEXCHUS</v>
      </c>
      <c r="H966" s="2234" t="str">
        <v>https://fred.stlouisfed.org/data/AEXCHUS</v>
      </c>
      <c r="I966" s="2234" t="str">
        <v>2005-01-01—2005-12-31</v>
      </c>
      <c r="J966" s="2234" t="str">
        <v>historical_exchange_rates_1920_2026.xlsx</v>
      </c>
      <c r="K966" s="2234" t="str"/>
      <c r="L966" s="2234" t="str">
        <v>原报价已按 1 美元兑换本币表示。</v>
      </c>
      <c r="M966" s="2234" t="str">
        <v>2005|人民币元（1955币制；CNY）</v>
      </c>
      <c r="N966" s="2234" t="str">
        <v>人民币元（1955币制；CNY）</v>
      </c>
      <c r="O966" s="2239" t="n">
        <v>8.1936</v>
      </c>
      <c r="P966" s="2234" t="str">
        <v>LCU/USD</v>
      </c>
      <c r="Q966" s="2239" t="n">
        <v>1</v>
      </c>
      <c r="R966" s="2234" t="str">
        <v>A：机构统计／原始统计表</v>
      </c>
      <c r="S966" s="2234" t="str">
        <v>年度汇率!L91；原始记录!A790:M790</v>
      </c>
      <c r="T966" s="2234" t="str"/>
      <c r="U966" t="n" s="2231">
        <v>2012</v>
      </c>
      <c r="V966" t="str" s="2231">
        <v>瑞士法郎（CHF）</v>
      </c>
    </row>
    <row r="967" ht="24.0" customHeight="1">
      <c r="A967" s="2234" t="n">
        <v>2005</v>
      </c>
      <c r="B967" s="2234" t="str">
        <v>EUR</v>
      </c>
      <c r="C967" s="2234" t="str">
        <v>欧元（EUR）</v>
      </c>
      <c r="D967" s="2234" t="str">
        <v>可用</v>
      </c>
      <c r="E967" s="2238" t="n">
        <v>0.80327737167644</v>
      </c>
      <c r="F967" s="2234" t="str">
        <v>年均</v>
      </c>
      <c r="G967" s="2234" t="str">
        <v>Federal Reserve G.5A / FRED AEXUSEU</v>
      </c>
      <c r="H967" s="2234" t="str">
        <v>https://fred.stlouisfed.org/data/AEXUSEU</v>
      </c>
      <c r="I967" s="2234" t="str">
        <v>2005-01-01—2005-12-31</v>
      </c>
      <c r="J967" s="2234" t="str">
        <v>historical_exchange_rates_1920_2026.xlsx</v>
      </c>
      <c r="K967" s="2234" t="str">
        <v>反向值由原报价均值取倒数；不等于反向日度汇率的算术平均。
年均USD/EUR；主表取倒数。</v>
      </c>
      <c r="L967" s="2234" t="str">
        <v>原报价为每单位本币兑美元，取原报价均值的倒数；不等于反向日度汇率的算术平均。</v>
      </c>
      <c r="M967" s="2234" t="str">
        <v>2005|欧元（EUR）</v>
      </c>
      <c r="N967" s="2234" t="str">
        <v>欧元（EUR）</v>
      </c>
      <c r="O967" s="2239" t="n">
        <v>1.2449</v>
      </c>
      <c r="P967" s="2234" t="str">
        <v>USD/LCU</v>
      </c>
      <c r="Q967" s="2239" t="n">
        <v>1</v>
      </c>
      <c r="R967" s="2234" t="str">
        <v>A：机构统计／原始统计表</v>
      </c>
      <c r="S967" s="2234" t="str">
        <v>年度汇率!M91、年度汇率!E91、年度汇率!F91、年度汇率!G91；原始记录!A791:M791</v>
      </c>
      <c r="T967" s="2234" t="str"/>
      <c r="U967" t="n" s="2231">
        <v>2012</v>
      </c>
      <c r="V967" t="str" s="2231">
        <v>印度卢比（INR）</v>
      </c>
    </row>
    <row r="968" ht="15.0" customHeight="1">
      <c r="A968" s="2234" t="n">
        <v>2006</v>
      </c>
      <c r="B968" s="2234" t="str">
        <v>USD</v>
      </c>
      <c r="C968" s="2234" t="str">
        <v>美元（USD）</v>
      </c>
      <c r="D968" s="2234" t="str">
        <v>可用</v>
      </c>
      <c r="E968" s="2238" t="n">
        <v>1</v>
      </c>
      <c r="F968" s="2234" t="str">
        <v>基准恒等</v>
      </c>
      <c r="G968" s="2234" t="str">
        <v>用户提供的历史汇率表</v>
      </c>
      <c r="H968" s="2234" t="str"/>
      <c r="I968" s="2234" t="str">
        <v>2006</v>
      </c>
      <c r="J968" s="2234" t="str">
        <v>historical_exchange_rates_1920_2026.xlsx</v>
      </c>
      <c r="K968" s="2234" t="str">
        <v>1 美元等于 1 美元，无外部报价。</v>
      </c>
      <c r="L968" s="2234" t="str">
        <v>美元基准，汇率恒为 1。</v>
      </c>
      <c r="M968" s="2234" t="str">
        <v>2006|美元（USD）</v>
      </c>
      <c r="N968" s="2234" t="str">
        <v>美元（USD）</v>
      </c>
      <c r="O968" s="2239"/>
      <c r="P968" s="2234" t="str"/>
      <c r="Q968" s="2239"/>
      <c r="R968" s="2234" t="str"/>
      <c r="S968" s="2234" t="str">
        <v>年度汇率!B92</v>
      </c>
      <c r="T968" s="2234" t="str"/>
      <c r="U968" t="n" s="2231">
        <v>2012</v>
      </c>
      <c r="V968" t="str" s="2231">
        <v>俄罗斯卢布（RUB；1998币制）</v>
      </c>
    </row>
    <row r="969" ht="24.0" customHeight="1">
      <c r="A969" s="2234" t="n">
        <v>2006</v>
      </c>
      <c r="B969" s="2234" t="str">
        <v>GBP</v>
      </c>
      <c r="C969" s="2234" t="str">
        <v>英镑（GBP）</v>
      </c>
      <c r="D969" s="2234" t="str">
        <v>可用</v>
      </c>
      <c r="E969" s="2238" t="n">
        <v>0.5424758598242378</v>
      </c>
      <c r="F969" s="2234" t="str">
        <v>年均</v>
      </c>
      <c r="G969" s="2234" t="str">
        <v>Federal Reserve G.5A / FRED AEXUSUK</v>
      </c>
      <c r="H969" s="2234" t="str">
        <v>https://fred.stlouisfed.org/data/AEXUSUK</v>
      </c>
      <c r="I969" s="2234" t="str">
        <v>2006-01-01—2006-12-31</v>
      </c>
      <c r="J969" s="2234" t="str">
        <v>historical_exchange_rates_1920_2026.xlsx</v>
      </c>
      <c r="K969" s="2234" t="str">
        <v>反向值由原报价均值取倒数；不等于反向日度汇率的算术平均。
年均USD/GBP；主表取倒数，不等于逐日GBP/USD平均。</v>
      </c>
      <c r="L969" s="2234" t="str">
        <v>原报价为每单位本币兑美元，取原报价均值的倒数；不等于反向日度汇率的算术平均。</v>
      </c>
      <c r="M969" s="2234" t="str">
        <v>2006|英镑（GBP）</v>
      </c>
      <c r="N969" s="2234" t="str">
        <v>英镑（GBP）</v>
      </c>
      <c r="O969" s="2239" t="n">
        <v>1.8434</v>
      </c>
      <c r="P969" s="2234" t="str">
        <v>USD/LCU</v>
      </c>
      <c r="Q969" s="2239" t="n">
        <v>1</v>
      </c>
      <c r="R969" s="2234" t="str">
        <v>A：机构统计／原始统计表</v>
      </c>
      <c r="S969" s="2234" t="str">
        <v>年度汇率!C92；原始记录!A792:M792</v>
      </c>
      <c r="T969" s="2234" t="str"/>
      <c r="U969" t="n" s="2231">
        <v>2012</v>
      </c>
      <c r="V969" t="str" s="2231">
        <v>人民币元（1955币制；CNY）</v>
      </c>
    </row>
    <row r="970" ht="15.0" customHeight="1">
      <c r="A970" s="2234" t="n">
        <v>2006</v>
      </c>
      <c r="B970" s="2234" t="str">
        <v>CAD</v>
      </c>
      <c r="C970" s="2234" t="str">
        <v>加拿大元（CAD）</v>
      </c>
      <c r="D970" s="2234" t="str">
        <v>可用</v>
      </c>
      <c r="E970" s="2238" t="n">
        <v>1.134</v>
      </c>
      <c r="F970" s="2234" t="str">
        <v>年均</v>
      </c>
      <c r="G970" s="2234" t="str">
        <v>Federal Reserve G.5A / FRED AEXCAUS</v>
      </c>
      <c r="H970" s="2234" t="str">
        <v>https://fred.stlouisfed.org/data/AEXCAUS</v>
      </c>
      <c r="I970" s="2234" t="str">
        <v>2006-01-01—2006-12-31</v>
      </c>
      <c r="J970" s="2234" t="str">
        <v>historical_exchange_rates_1920_2026.xlsx</v>
      </c>
      <c r="K970" s="2234" t="str"/>
      <c r="L970" s="2234" t="str">
        <v>原报价已按 1 美元兑换本币表示。</v>
      </c>
      <c r="M970" s="2234" t="str">
        <v>2006|加拿大元（CAD）</v>
      </c>
      <c r="N970" s="2234" t="str">
        <v>加拿大元（CAD）</v>
      </c>
      <c r="O970" s="2239" t="n">
        <v>1.134</v>
      </c>
      <c r="P970" s="2234" t="str">
        <v>LCU/USD</v>
      </c>
      <c r="Q970" s="2239" t="n">
        <v>1</v>
      </c>
      <c r="R970" s="2234" t="str">
        <v>A：机构统计／原始统计表</v>
      </c>
      <c r="S970" s="2234" t="str">
        <v>年度汇率!D92；原始记录!A793:M793</v>
      </c>
      <c r="T970" s="2234" t="str"/>
      <c r="U970" t="n" s="2231">
        <v>2012</v>
      </c>
      <c r="V970" t="str" s="2231">
        <v>欧元（EUR）</v>
      </c>
    </row>
    <row r="971" ht="15.0" customHeight="1">
      <c r="A971" s="2234" t="n">
        <v>2006</v>
      </c>
      <c r="B971" s="2234" t="str">
        <v>JPY</v>
      </c>
      <c r="C971" s="2234" t="str">
        <v>日元（JPY）</v>
      </c>
      <c r="D971" s="2234" t="str">
        <v>可用</v>
      </c>
      <c r="E971" s="2238" t="n">
        <v>116.3121</v>
      </c>
      <c r="F971" s="2234" t="str">
        <v>年均</v>
      </c>
      <c r="G971" s="2234" t="str">
        <v>Federal Reserve G.5A / FRED AEXJPUS</v>
      </c>
      <c r="H971" s="2234" t="str">
        <v>https://fred.stlouisfed.org/data/AEXJPUS</v>
      </c>
      <c r="I971" s="2234" t="str">
        <v>2006-01-01—2006-12-31</v>
      </c>
      <c r="J971" s="2234" t="str">
        <v>historical_exchange_rates_1920_2026.xlsx</v>
      </c>
      <c r="K971" s="2234" t="str"/>
      <c r="L971" s="2234" t="str">
        <v>原报价已按 1 美元兑换本币表示。</v>
      </c>
      <c r="M971" s="2234" t="str">
        <v>2006|日元（JPY）</v>
      </c>
      <c r="N971" s="2234" t="str">
        <v>日元（JPY）</v>
      </c>
      <c r="O971" s="2239" t="n">
        <v>116.3121</v>
      </c>
      <c r="P971" s="2234" t="str">
        <v>LCU/USD</v>
      </c>
      <c r="Q971" s="2239" t="n">
        <v>1</v>
      </c>
      <c r="R971" s="2234" t="str">
        <v>A：机构统计／原始统计表</v>
      </c>
      <c r="S971" s="2234" t="str">
        <v>年度汇率!H92；原始记录!A794:M794</v>
      </c>
      <c r="T971" s="2234" t="str"/>
      <c r="U971" t="n" s="2231">
        <v>2013</v>
      </c>
      <c r="V971" t="str" s="2231">
        <v>美元（USD）</v>
      </c>
    </row>
    <row r="972" ht="15.0" customHeight="1">
      <c r="A972" s="2234" t="n">
        <v>2006</v>
      </c>
      <c r="B972" s="2234" t="str">
        <v>CHF</v>
      </c>
      <c r="C972" s="2234" t="str">
        <v>瑞士法郎（CHF）</v>
      </c>
      <c r="D972" s="2234" t="str">
        <v>可用</v>
      </c>
      <c r="E972" s="2238" t="n">
        <v>1.2532</v>
      </c>
      <c r="F972" s="2234" t="str">
        <v>年均</v>
      </c>
      <c r="G972" s="2234" t="str">
        <v>Federal Reserve G.5A / FRED AEXSZUS</v>
      </c>
      <c r="H972" s="2234" t="str">
        <v>https://fred.stlouisfed.org/data/AEXSZUS</v>
      </c>
      <c r="I972" s="2234" t="str">
        <v>2006-01-01—2006-12-31</v>
      </c>
      <c r="J972" s="2234" t="str">
        <v>historical_exchange_rates_1920_2026.xlsx</v>
      </c>
      <c r="K972" s="2234" t="str"/>
      <c r="L972" s="2234" t="str">
        <v>原报价已按 1 美元兑换本币表示。</v>
      </c>
      <c r="M972" s="2234" t="str">
        <v>2006|瑞士法郎（CHF）</v>
      </c>
      <c r="N972" s="2234" t="str">
        <v>瑞士法郎（CHF）</v>
      </c>
      <c r="O972" s="2239" t="n">
        <v>1.2532</v>
      </c>
      <c r="P972" s="2234" t="str">
        <v>LCU/USD</v>
      </c>
      <c r="Q972" s="2239" t="n">
        <v>1</v>
      </c>
      <c r="R972" s="2234" t="str">
        <v>A：机构统计／原始统计表</v>
      </c>
      <c r="S972" s="2234" t="str">
        <v>年度汇率!I92；原始记录!A795:M795</v>
      </c>
      <c r="T972" s="2234" t="str"/>
      <c r="U972" t="n" s="2231">
        <v>2013</v>
      </c>
      <c r="V972" t="str" s="2231">
        <v>英镑（GBP）</v>
      </c>
    </row>
    <row r="973" ht="15.0" customHeight="1">
      <c r="A973" s="2234" t="n">
        <v>2006</v>
      </c>
      <c r="B973" s="2234" t="str">
        <v>INR</v>
      </c>
      <c r="C973" s="2234" t="str">
        <v>印度卢比（INR）</v>
      </c>
      <c r="D973" s="2234" t="str">
        <v>可用</v>
      </c>
      <c r="E973" s="2238" t="n">
        <v>45.1861</v>
      </c>
      <c r="F973" s="2234" t="str">
        <v>年均</v>
      </c>
      <c r="G973" s="2234" t="str">
        <v>Federal Reserve G.5A / FRED AEXINUS</v>
      </c>
      <c r="H973" s="2234" t="str">
        <v>https://fred.stlouisfed.org/data/AEXINUS</v>
      </c>
      <c r="I973" s="2234" t="str">
        <v>2006-01-01—2006-12-31</v>
      </c>
      <c r="J973" s="2234" t="str">
        <v>historical_exchange_rates_1920_2026.xlsx</v>
      </c>
      <c r="K973" s="2234" t="str"/>
      <c r="L973" s="2234" t="str">
        <v>原报价已按 1 美元兑换本币表示。</v>
      </c>
      <c r="M973" s="2234" t="str">
        <v>2006|印度卢比（INR）</v>
      </c>
      <c r="N973" s="2234" t="str">
        <v>印度卢比（INR）</v>
      </c>
      <c r="O973" s="2239" t="n">
        <v>45.1861</v>
      </c>
      <c r="P973" s="2234" t="str">
        <v>LCU/USD</v>
      </c>
      <c r="Q973" s="2239" t="n">
        <v>1</v>
      </c>
      <c r="R973" s="2234" t="str">
        <v>A：机构统计／原始统计表</v>
      </c>
      <c r="S973" s="2234" t="str">
        <v>年度汇率!J92；原始记录!A796:M796</v>
      </c>
      <c r="T973" s="2234" t="str"/>
      <c r="U973" t="n" s="2231">
        <v>2013</v>
      </c>
      <c r="V973" t="str" s="2231">
        <v>加拿大元（CAD）</v>
      </c>
    </row>
    <row r="974" ht="15.0" customHeight="1">
      <c r="A974" s="2234" t="n">
        <v>2006</v>
      </c>
      <c r="B974" s="2234" t="str">
        <v>RUB</v>
      </c>
      <c r="C974" s="2234" t="str">
        <v>俄罗斯卢布（RUB；1998币制）</v>
      </c>
      <c r="D974" s="2234" t="str">
        <v>可用</v>
      </c>
      <c r="E974" s="2238" t="n">
        <v>27.1751630496288</v>
      </c>
      <c r="F974" s="2234" t="str">
        <v>年均</v>
      </c>
      <c r="G974" s="2234" t="str">
        <v>OECD Main Economic Indicators / FRED CCUSMA02RUA618N</v>
      </c>
      <c r="H974" s="2234" t="str">
        <v>https://fred.stlouisfed.org/data/CCUSMA02RUA618N</v>
      </c>
      <c r="I974" s="2234" t="str">
        <v>2006-01-01—2006-12-31</v>
      </c>
      <c r="J974" s="2234" t="str">
        <v>historical_exchange_rates_1920_2026.xlsx</v>
      </c>
      <c r="K974" s="2234" t="str">
        <v>原表1993—1997年以1998年新卢布回溯表示；本表乘1000还原当年的旧卢布。</v>
      </c>
      <c r="L974" s="2234" t="str">
        <v>原报价已按 1 美元兑换本币表示。</v>
      </c>
      <c r="M974" s="2234" t="str">
        <v>2006|俄罗斯卢布（RUB；1998币制）</v>
      </c>
      <c r="N974" s="2234" t="str">
        <v>俄罗斯卢布（RUB；1998币制）</v>
      </c>
      <c r="O974" s="2239" t="n">
        <v>27.1751630496288</v>
      </c>
      <c r="P974" s="2234" t="str">
        <v>LCU/USD</v>
      </c>
      <c r="Q974" s="2239" t="n">
        <v>1</v>
      </c>
      <c r="R974" s="2234" t="str">
        <v>A：机构统计／原始统计表</v>
      </c>
      <c r="S974" s="2234" t="str">
        <v>年度汇率!K92；原始记录!A797:M797</v>
      </c>
      <c r="T974" s="2234" t="str"/>
      <c r="U974" t="n" s="2231">
        <v>2013</v>
      </c>
      <c r="V974" t="str" s="2231">
        <v>日元（JPY）</v>
      </c>
    </row>
    <row r="975" ht="15.0" customHeight="1">
      <c r="A975" s="2234" t="n">
        <v>2006</v>
      </c>
      <c r="B975" s="2234" t="str">
        <v>CNY</v>
      </c>
      <c r="C975" s="2234" t="str">
        <v>人民币元（1955币制；CNY）</v>
      </c>
      <c r="D975" s="2234" t="str">
        <v>可用</v>
      </c>
      <c r="E975" s="2238" t="n">
        <v>7.9723</v>
      </c>
      <c r="F975" s="2234" t="str">
        <v>年均</v>
      </c>
      <c r="G975" s="2234" t="str">
        <v>Federal Reserve G.5A / FRED AEXCHUS</v>
      </c>
      <c r="H975" s="2234" t="str">
        <v>https://fred.stlouisfed.org/data/AEXCHUS</v>
      </c>
      <c r="I975" s="2234" t="str">
        <v>2006-01-01—2006-12-31</v>
      </c>
      <c r="J975" s="2234" t="str">
        <v>historical_exchange_rates_1920_2026.xlsx</v>
      </c>
      <c r="K975" s="2234" t="str"/>
      <c r="L975" s="2234" t="str">
        <v>原报价已按 1 美元兑换本币表示。</v>
      </c>
      <c r="M975" s="2234" t="str">
        <v>2006|人民币元（1955币制；CNY）</v>
      </c>
      <c r="N975" s="2234" t="str">
        <v>人民币元（1955币制；CNY）</v>
      </c>
      <c r="O975" s="2239" t="n">
        <v>7.9723</v>
      </c>
      <c r="P975" s="2234" t="str">
        <v>LCU/USD</v>
      </c>
      <c r="Q975" s="2239" t="n">
        <v>1</v>
      </c>
      <c r="R975" s="2234" t="str">
        <v>A：机构统计／原始统计表</v>
      </c>
      <c r="S975" s="2234" t="str">
        <v>年度汇率!L92；原始记录!A798:M798</v>
      </c>
      <c r="T975" s="2234" t="str"/>
      <c r="U975" t="n" s="2231">
        <v>2013</v>
      </c>
      <c r="V975" t="str" s="2231">
        <v>瑞士法郎（CHF）</v>
      </c>
    </row>
    <row r="976" ht="24.0" customHeight="1">
      <c r="A976" s="2234" t="n">
        <v>2006</v>
      </c>
      <c r="B976" s="2234" t="str">
        <v>EUR</v>
      </c>
      <c r="C976" s="2234" t="str">
        <v>欧元（EUR）</v>
      </c>
      <c r="D976" s="2234" t="str">
        <v>可用</v>
      </c>
      <c r="E976" s="2238" t="n">
        <v>0.7959882193743533</v>
      </c>
      <c r="F976" s="2234" t="str">
        <v>年均</v>
      </c>
      <c r="G976" s="2234" t="str">
        <v>Federal Reserve G.5A / FRED AEXUSEU</v>
      </c>
      <c r="H976" s="2234" t="str">
        <v>https://fred.stlouisfed.org/data/AEXUSEU</v>
      </c>
      <c r="I976" s="2234" t="str">
        <v>2006-01-01—2006-12-31</v>
      </c>
      <c r="J976" s="2234" t="str">
        <v>historical_exchange_rates_1920_2026.xlsx</v>
      </c>
      <c r="K976" s="2234" t="str">
        <v>反向值由原报价均值取倒数；不等于反向日度汇率的算术平均。
年均USD/EUR；主表取倒数。</v>
      </c>
      <c r="L976" s="2234" t="str">
        <v>原报价为每单位本币兑美元，取原报价均值的倒数；不等于反向日度汇率的算术平均。</v>
      </c>
      <c r="M976" s="2234" t="str">
        <v>2006|欧元（EUR）</v>
      </c>
      <c r="N976" s="2234" t="str">
        <v>欧元（EUR）</v>
      </c>
      <c r="O976" s="2239" t="n">
        <v>1.2563</v>
      </c>
      <c r="P976" s="2234" t="str">
        <v>USD/LCU</v>
      </c>
      <c r="Q976" s="2239" t="n">
        <v>1</v>
      </c>
      <c r="R976" s="2234" t="str">
        <v>A：机构统计／原始统计表</v>
      </c>
      <c r="S976" s="2234" t="str">
        <v>年度汇率!M92、年度汇率!E92、年度汇率!F92、年度汇率!G92；原始记录!A799:M799</v>
      </c>
      <c r="T976" s="2234" t="str"/>
      <c r="U976" t="n" s="2231">
        <v>2013</v>
      </c>
      <c r="V976" t="str" s="2231">
        <v>印度卢比（INR）</v>
      </c>
    </row>
    <row r="977" ht="15.0" customHeight="1">
      <c r="A977" s="2234" t="n">
        <v>2007</v>
      </c>
      <c r="B977" s="2234" t="str">
        <v>USD</v>
      </c>
      <c r="C977" s="2234" t="str">
        <v>美元（USD）</v>
      </c>
      <c r="D977" s="2234" t="str">
        <v>可用</v>
      </c>
      <c r="E977" s="2238" t="n">
        <v>1</v>
      </c>
      <c r="F977" s="2234" t="str">
        <v>基准恒等</v>
      </c>
      <c r="G977" s="2234" t="str">
        <v>用户提供的历史汇率表</v>
      </c>
      <c r="H977" s="2234" t="str"/>
      <c r="I977" s="2234" t="str">
        <v>2007</v>
      </c>
      <c r="J977" s="2234" t="str">
        <v>historical_exchange_rates_1920_2026.xlsx</v>
      </c>
      <c r="K977" s="2234" t="str">
        <v>1 美元等于 1 美元，无外部报价。</v>
      </c>
      <c r="L977" s="2234" t="str">
        <v>美元基准，汇率恒为 1。</v>
      </c>
      <c r="M977" s="2234" t="str">
        <v>2007|美元（USD）</v>
      </c>
      <c r="N977" s="2234" t="str">
        <v>美元（USD）</v>
      </c>
      <c r="O977" s="2239"/>
      <c r="P977" s="2234" t="str"/>
      <c r="Q977" s="2239"/>
      <c r="R977" s="2234" t="str"/>
      <c r="S977" s="2234" t="str">
        <v>年度汇率!B93</v>
      </c>
      <c r="T977" s="2234" t="str"/>
      <c r="U977" t="n" s="2231">
        <v>2013</v>
      </c>
      <c r="V977" t="str" s="2231">
        <v>俄罗斯卢布（RUB；1998币制）</v>
      </c>
    </row>
    <row r="978" ht="24.0" customHeight="1">
      <c r="A978" s="2234" t="n">
        <v>2007</v>
      </c>
      <c r="B978" s="2234" t="str">
        <v>GBP</v>
      </c>
      <c r="C978" s="2234" t="str">
        <v>英镑（GBP）</v>
      </c>
      <c r="D978" s="2234" t="str">
        <v>可用</v>
      </c>
      <c r="E978" s="2238" t="n">
        <v>0.4995004995004996</v>
      </c>
      <c r="F978" s="2234" t="str">
        <v>年均</v>
      </c>
      <c r="G978" s="2234" t="str">
        <v>Federal Reserve G.5A / FRED AEXUSUK</v>
      </c>
      <c r="H978" s="2234" t="str">
        <v>https://fred.stlouisfed.org/data/AEXUSUK</v>
      </c>
      <c r="I978" s="2234" t="str">
        <v>2007-01-01—2007-12-31</v>
      </c>
      <c r="J978" s="2234" t="str">
        <v>historical_exchange_rates_1920_2026.xlsx</v>
      </c>
      <c r="K978" s="2234" t="str">
        <v>反向值由原报价均值取倒数；不等于反向日度汇率的算术平均。
年均USD/GBP；主表取倒数，不等于逐日GBP/USD平均。</v>
      </c>
      <c r="L978" s="2234" t="str">
        <v>原报价为每单位本币兑美元，取原报价均值的倒数；不等于反向日度汇率的算术平均。</v>
      </c>
      <c r="M978" s="2234" t="str">
        <v>2007|英镑（GBP）</v>
      </c>
      <c r="N978" s="2234" t="str">
        <v>英镑（GBP）</v>
      </c>
      <c r="O978" s="2239" t="n">
        <v>2.002</v>
      </c>
      <c r="P978" s="2234" t="str">
        <v>USD/LCU</v>
      </c>
      <c r="Q978" s="2239" t="n">
        <v>1</v>
      </c>
      <c r="R978" s="2234" t="str">
        <v>A：机构统计／原始统计表</v>
      </c>
      <c r="S978" s="2234" t="str">
        <v>年度汇率!C93；原始记录!A800:M800</v>
      </c>
      <c r="T978" s="2234" t="str"/>
      <c r="U978" t="n" s="2231">
        <v>2013</v>
      </c>
      <c r="V978" t="str" s="2231">
        <v>人民币元（1955币制；CNY）</v>
      </c>
    </row>
    <row r="979" ht="15.0" customHeight="1">
      <c r="A979" s="2234" t="n">
        <v>2007</v>
      </c>
      <c r="B979" s="2234" t="str">
        <v>CAD</v>
      </c>
      <c r="C979" s="2234" t="str">
        <v>加拿大元（CAD）</v>
      </c>
      <c r="D979" s="2234" t="str">
        <v>可用</v>
      </c>
      <c r="E979" s="2238" t="n">
        <v>1.0734</v>
      </c>
      <c r="F979" s="2234" t="str">
        <v>年均</v>
      </c>
      <c r="G979" s="2234" t="str">
        <v>Federal Reserve G.5A / FRED AEXCAUS</v>
      </c>
      <c r="H979" s="2234" t="str">
        <v>https://fred.stlouisfed.org/data/AEXCAUS</v>
      </c>
      <c r="I979" s="2234" t="str">
        <v>2007-01-01—2007-12-31</v>
      </c>
      <c r="J979" s="2234" t="str">
        <v>historical_exchange_rates_1920_2026.xlsx</v>
      </c>
      <c r="K979" s="2234" t="str"/>
      <c r="L979" s="2234" t="str">
        <v>原报价已按 1 美元兑换本币表示。</v>
      </c>
      <c r="M979" s="2234" t="str">
        <v>2007|加拿大元（CAD）</v>
      </c>
      <c r="N979" s="2234" t="str">
        <v>加拿大元（CAD）</v>
      </c>
      <c r="O979" s="2239" t="n">
        <v>1.0734</v>
      </c>
      <c r="P979" s="2234" t="str">
        <v>LCU/USD</v>
      </c>
      <c r="Q979" s="2239" t="n">
        <v>1</v>
      </c>
      <c r="R979" s="2234" t="str">
        <v>A：机构统计／原始统计表</v>
      </c>
      <c r="S979" s="2234" t="str">
        <v>年度汇率!D93；原始记录!A801:M801</v>
      </c>
      <c r="T979" s="2234" t="str"/>
      <c r="U979" t="n" s="2231">
        <v>2013</v>
      </c>
      <c r="V979" t="str" s="2231">
        <v>欧元（EUR）</v>
      </c>
    </row>
    <row r="980" ht="15.0" customHeight="1">
      <c r="A980" s="2234" t="n">
        <v>2007</v>
      </c>
      <c r="B980" s="2234" t="str">
        <v>JPY</v>
      </c>
      <c r="C980" s="2234" t="str">
        <v>日元（JPY）</v>
      </c>
      <c r="D980" s="2234" t="str">
        <v>可用</v>
      </c>
      <c r="E980" s="2238" t="n">
        <v>117.7623</v>
      </c>
      <c r="F980" s="2234" t="str">
        <v>年均</v>
      </c>
      <c r="G980" s="2234" t="str">
        <v>Federal Reserve G.5A / FRED AEXJPUS</v>
      </c>
      <c r="H980" s="2234" t="str">
        <v>https://fred.stlouisfed.org/data/AEXJPUS</v>
      </c>
      <c r="I980" s="2234" t="str">
        <v>2007-01-01—2007-12-31</v>
      </c>
      <c r="J980" s="2234" t="str">
        <v>historical_exchange_rates_1920_2026.xlsx</v>
      </c>
      <c r="K980" s="2234" t="str"/>
      <c r="L980" s="2234" t="str">
        <v>原报价已按 1 美元兑换本币表示。</v>
      </c>
      <c r="M980" s="2234" t="str">
        <v>2007|日元（JPY）</v>
      </c>
      <c r="N980" s="2234" t="str">
        <v>日元（JPY）</v>
      </c>
      <c r="O980" s="2239" t="n">
        <v>117.7623</v>
      </c>
      <c r="P980" s="2234" t="str">
        <v>LCU/USD</v>
      </c>
      <c r="Q980" s="2239" t="n">
        <v>1</v>
      </c>
      <c r="R980" s="2234" t="str">
        <v>A：机构统计／原始统计表</v>
      </c>
      <c r="S980" s="2234" t="str">
        <v>年度汇率!H93；原始记录!A802:M802</v>
      </c>
      <c r="T980" s="2234" t="str"/>
      <c r="U980" t="n" s="2231">
        <v>2014</v>
      </c>
      <c r="V980" t="str" s="2231">
        <v>美元（USD）</v>
      </c>
    </row>
    <row r="981" ht="15.0" customHeight="1">
      <c r="A981" s="2234" t="n">
        <v>2007</v>
      </c>
      <c r="B981" s="2234" t="str">
        <v>CHF</v>
      </c>
      <c r="C981" s="2234" t="str">
        <v>瑞士法郎（CHF）</v>
      </c>
      <c r="D981" s="2234" t="str">
        <v>可用</v>
      </c>
      <c r="E981" s="2238" t="n">
        <v>1.1999</v>
      </c>
      <c r="F981" s="2234" t="str">
        <v>年均</v>
      </c>
      <c r="G981" s="2234" t="str">
        <v>Federal Reserve G.5A / FRED AEXSZUS</v>
      </c>
      <c r="H981" s="2234" t="str">
        <v>https://fred.stlouisfed.org/data/AEXSZUS</v>
      </c>
      <c r="I981" s="2234" t="str">
        <v>2007-01-01—2007-12-31</v>
      </c>
      <c r="J981" s="2234" t="str">
        <v>historical_exchange_rates_1920_2026.xlsx</v>
      </c>
      <c r="K981" s="2234" t="str"/>
      <c r="L981" s="2234" t="str">
        <v>原报价已按 1 美元兑换本币表示。</v>
      </c>
      <c r="M981" s="2234" t="str">
        <v>2007|瑞士法郎（CHF）</v>
      </c>
      <c r="N981" s="2234" t="str">
        <v>瑞士法郎（CHF）</v>
      </c>
      <c r="O981" s="2239" t="n">
        <v>1.1999</v>
      </c>
      <c r="P981" s="2234" t="str">
        <v>LCU/USD</v>
      </c>
      <c r="Q981" s="2239" t="n">
        <v>1</v>
      </c>
      <c r="R981" s="2234" t="str">
        <v>A：机构统计／原始统计表</v>
      </c>
      <c r="S981" s="2234" t="str">
        <v>年度汇率!I93；原始记录!A803:M803</v>
      </c>
      <c r="T981" s="2234" t="str"/>
      <c r="U981" t="n" s="2231">
        <v>2014</v>
      </c>
      <c r="V981" t="str" s="2231">
        <v>英镑（GBP）</v>
      </c>
    </row>
    <row r="982" ht="15.0" customHeight="1">
      <c r="A982" s="2234" t="n">
        <v>2007</v>
      </c>
      <c r="B982" s="2234" t="str">
        <v>INR</v>
      </c>
      <c r="C982" s="2234" t="str">
        <v>印度卢比（INR）</v>
      </c>
      <c r="D982" s="2234" t="str">
        <v>可用</v>
      </c>
      <c r="E982" s="2238" t="n">
        <v>41.1774</v>
      </c>
      <c r="F982" s="2234" t="str">
        <v>年均</v>
      </c>
      <c r="G982" s="2234" t="str">
        <v>Federal Reserve G.5A / FRED AEXINUS</v>
      </c>
      <c r="H982" s="2234" t="str">
        <v>https://fred.stlouisfed.org/data/AEXINUS</v>
      </c>
      <c r="I982" s="2234" t="str">
        <v>2007-01-01—2007-12-31</v>
      </c>
      <c r="J982" s="2234" t="str">
        <v>historical_exchange_rates_1920_2026.xlsx</v>
      </c>
      <c r="K982" s="2234" t="str"/>
      <c r="L982" s="2234" t="str">
        <v>原报价已按 1 美元兑换本币表示。</v>
      </c>
      <c r="M982" s="2234" t="str">
        <v>2007|印度卢比（INR）</v>
      </c>
      <c r="N982" s="2234" t="str">
        <v>印度卢比（INR）</v>
      </c>
      <c r="O982" s="2239" t="n">
        <v>41.1774</v>
      </c>
      <c r="P982" s="2234" t="str">
        <v>LCU/USD</v>
      </c>
      <c r="Q982" s="2239" t="n">
        <v>1</v>
      </c>
      <c r="R982" s="2234" t="str">
        <v>A：机构统计／原始统计表</v>
      </c>
      <c r="S982" s="2234" t="str">
        <v>年度汇率!J93；原始记录!A804:M804</v>
      </c>
      <c r="T982" s="2234" t="str"/>
      <c r="U982" t="n" s="2231">
        <v>2014</v>
      </c>
      <c r="V982" t="str" s="2231">
        <v>加拿大元（CAD）</v>
      </c>
    </row>
    <row r="983" ht="15.0" customHeight="1">
      <c r="A983" s="2234" t="n">
        <v>2007</v>
      </c>
      <c r="B983" s="2234" t="str">
        <v>RUB</v>
      </c>
      <c r="C983" s="2234" t="str">
        <v>俄罗斯卢布（RUB；1998币制）</v>
      </c>
      <c r="D983" s="2234" t="str">
        <v>可用</v>
      </c>
      <c r="E983" s="2238" t="n">
        <v>25.571011172508</v>
      </c>
      <c r="F983" s="2234" t="str">
        <v>年均</v>
      </c>
      <c r="G983" s="2234" t="str">
        <v>OECD Main Economic Indicators / FRED CCUSMA02RUA618N</v>
      </c>
      <c r="H983" s="2234" t="str">
        <v>https://fred.stlouisfed.org/data/CCUSMA02RUA618N</v>
      </c>
      <c r="I983" s="2234" t="str">
        <v>2007-01-01—2007-12-31</v>
      </c>
      <c r="J983" s="2234" t="str">
        <v>historical_exchange_rates_1920_2026.xlsx</v>
      </c>
      <c r="K983" s="2234" t="str">
        <v>原表1993—1997年以1998年新卢布回溯表示；本表乘1000还原当年的旧卢布。</v>
      </c>
      <c r="L983" s="2234" t="str">
        <v>原报价已按 1 美元兑换本币表示。</v>
      </c>
      <c r="M983" s="2234" t="str">
        <v>2007|俄罗斯卢布（RUB；1998币制）</v>
      </c>
      <c r="N983" s="2234" t="str">
        <v>俄罗斯卢布（RUB；1998币制）</v>
      </c>
      <c r="O983" s="2239" t="n">
        <v>25.571011172508</v>
      </c>
      <c r="P983" s="2234" t="str">
        <v>LCU/USD</v>
      </c>
      <c r="Q983" s="2239" t="n">
        <v>1</v>
      </c>
      <c r="R983" s="2234" t="str">
        <v>A：机构统计／原始统计表</v>
      </c>
      <c r="S983" s="2234" t="str">
        <v>年度汇率!K93；原始记录!A805:M805</v>
      </c>
      <c r="T983" s="2234" t="str"/>
      <c r="U983" t="n" s="2231">
        <v>2014</v>
      </c>
      <c r="V983" t="str" s="2231">
        <v>日元（JPY）</v>
      </c>
    </row>
    <row r="984" ht="15.0" customHeight="1">
      <c r="A984" s="2234" t="n">
        <v>2007</v>
      </c>
      <c r="B984" s="2234" t="str">
        <v>CNY</v>
      </c>
      <c r="C984" s="2234" t="str">
        <v>人民币元（1955币制；CNY）</v>
      </c>
      <c r="D984" s="2234" t="str">
        <v>可用</v>
      </c>
      <c r="E984" s="2238" t="n">
        <v>7.6058</v>
      </c>
      <c r="F984" s="2234" t="str">
        <v>年均</v>
      </c>
      <c r="G984" s="2234" t="str">
        <v>Federal Reserve G.5A / FRED AEXCHUS</v>
      </c>
      <c r="H984" s="2234" t="str">
        <v>https://fred.stlouisfed.org/data/AEXCHUS</v>
      </c>
      <c r="I984" s="2234" t="str">
        <v>2007-01-01—2007-12-31</v>
      </c>
      <c r="J984" s="2234" t="str">
        <v>historical_exchange_rates_1920_2026.xlsx</v>
      </c>
      <c r="K984" s="2234" t="str"/>
      <c r="L984" s="2234" t="str">
        <v>原报价已按 1 美元兑换本币表示。</v>
      </c>
      <c r="M984" s="2234" t="str">
        <v>2007|人民币元（1955币制；CNY）</v>
      </c>
      <c r="N984" s="2234" t="str">
        <v>人民币元（1955币制；CNY）</v>
      </c>
      <c r="O984" s="2239" t="n">
        <v>7.6058</v>
      </c>
      <c r="P984" s="2234" t="str">
        <v>LCU/USD</v>
      </c>
      <c r="Q984" s="2239" t="n">
        <v>1</v>
      </c>
      <c r="R984" s="2234" t="str">
        <v>A：机构统计／原始统计表</v>
      </c>
      <c r="S984" s="2234" t="str">
        <v>年度汇率!L93；原始记录!A806:M806</v>
      </c>
      <c r="T984" s="2234" t="str"/>
      <c r="U984" t="n" s="2231">
        <v>2014</v>
      </c>
      <c r="V984" t="str" s="2231">
        <v>瑞士法郎（CHF）</v>
      </c>
    </row>
    <row r="985" ht="24.0" customHeight="1">
      <c r="A985" s="2234" t="n">
        <v>2007</v>
      </c>
      <c r="B985" s="2234" t="str">
        <v>EUR</v>
      </c>
      <c r="C985" s="2234" t="str">
        <v>欧元（EUR）</v>
      </c>
      <c r="D985" s="2234" t="str">
        <v>可用</v>
      </c>
      <c r="E985" s="2238" t="n">
        <v>0.7293414047115455</v>
      </c>
      <c r="F985" s="2234" t="str">
        <v>年均</v>
      </c>
      <c r="G985" s="2234" t="str">
        <v>Federal Reserve G.5A / FRED AEXUSEU</v>
      </c>
      <c r="H985" s="2234" t="str">
        <v>https://fred.stlouisfed.org/data/AEXUSEU</v>
      </c>
      <c r="I985" s="2234" t="str">
        <v>2007-01-01—2007-12-31</v>
      </c>
      <c r="J985" s="2234" t="str">
        <v>historical_exchange_rates_1920_2026.xlsx</v>
      </c>
      <c r="K985" s="2234" t="str">
        <v>反向值由原报价均值取倒数；不等于反向日度汇率的算术平均。
年均USD/EUR；主表取倒数。</v>
      </c>
      <c r="L985" s="2234" t="str">
        <v>原报价为每单位本币兑美元，取原报价均值的倒数；不等于反向日度汇率的算术平均。</v>
      </c>
      <c r="M985" s="2234" t="str">
        <v>2007|欧元（EUR）</v>
      </c>
      <c r="N985" s="2234" t="str">
        <v>欧元（EUR）</v>
      </c>
      <c r="O985" s="2239" t="n">
        <v>1.3711</v>
      </c>
      <c r="P985" s="2234" t="str">
        <v>USD/LCU</v>
      </c>
      <c r="Q985" s="2239" t="n">
        <v>1</v>
      </c>
      <c r="R985" s="2234" t="str">
        <v>A：机构统计／原始统计表</v>
      </c>
      <c r="S985" s="2234" t="str">
        <v>年度汇率!M93、年度汇率!E93、年度汇率!F93、年度汇率!G93；原始记录!A807:M807</v>
      </c>
      <c r="T985" s="2234" t="str"/>
      <c r="U985" t="n" s="2231">
        <v>2014</v>
      </c>
      <c r="V985" t="str" s="2231">
        <v>印度卢比（INR）</v>
      </c>
    </row>
    <row r="986" ht="15.0" customHeight="1">
      <c r="A986" s="2234" t="n">
        <v>2008</v>
      </c>
      <c r="B986" s="2234" t="str">
        <v>USD</v>
      </c>
      <c r="C986" s="2234" t="str">
        <v>美元（USD）</v>
      </c>
      <c r="D986" s="2234" t="str">
        <v>可用</v>
      </c>
      <c r="E986" s="2238" t="n">
        <v>1</v>
      </c>
      <c r="F986" s="2234" t="str">
        <v>基准恒等</v>
      </c>
      <c r="G986" s="2234" t="str">
        <v>用户提供的历史汇率表</v>
      </c>
      <c r="H986" s="2234" t="str"/>
      <c r="I986" s="2234" t="str">
        <v>2008</v>
      </c>
      <c r="J986" s="2234" t="str">
        <v>historical_exchange_rates_1920_2026.xlsx</v>
      </c>
      <c r="K986" s="2234" t="str">
        <v>1 美元等于 1 美元，无外部报价。</v>
      </c>
      <c r="L986" s="2234" t="str">
        <v>美元基准，汇率恒为 1。</v>
      </c>
      <c r="M986" s="2234" t="str">
        <v>2008|美元（USD）</v>
      </c>
      <c r="N986" s="2234" t="str">
        <v>美元（USD）</v>
      </c>
      <c r="O986" s="2239"/>
      <c r="P986" s="2234" t="str"/>
      <c r="Q986" s="2239"/>
      <c r="R986" s="2234" t="str"/>
      <c r="S986" s="2234" t="str">
        <v>年度汇率!B94</v>
      </c>
      <c r="T986" s="2234" t="str"/>
      <c r="U986" t="n" s="2231">
        <v>2014</v>
      </c>
      <c r="V986" t="str" s="2231">
        <v>俄罗斯卢布（RUB；1998币制）</v>
      </c>
    </row>
    <row r="987" ht="24.0" customHeight="1">
      <c r="A987" s="2234" t="n">
        <v>2008</v>
      </c>
      <c r="B987" s="2234" t="str">
        <v>GBP</v>
      </c>
      <c r="C987" s="2234" t="str">
        <v>英镑（GBP）</v>
      </c>
      <c r="D987" s="2234" t="str">
        <v>可用</v>
      </c>
      <c r="E987" s="2238" t="n">
        <v>0.5392289026691831</v>
      </c>
      <c r="F987" s="2234" t="str">
        <v>年均</v>
      </c>
      <c r="G987" s="2234" t="str">
        <v>Federal Reserve G.5A / FRED AEXUSUK</v>
      </c>
      <c r="H987" s="2234" t="str">
        <v>https://fred.stlouisfed.org/data/AEXUSUK</v>
      </c>
      <c r="I987" s="2234" t="str">
        <v>2008-01-01—2008-12-31</v>
      </c>
      <c r="J987" s="2234" t="str">
        <v>historical_exchange_rates_1920_2026.xlsx</v>
      </c>
      <c r="K987" s="2234" t="str">
        <v>反向值由原报价均值取倒数；不等于反向日度汇率的算术平均。
年均USD/GBP；主表取倒数，不等于逐日GBP/USD平均。</v>
      </c>
      <c r="L987" s="2234" t="str">
        <v>原报价为每单位本币兑美元，取原报价均值的倒数；不等于反向日度汇率的算术平均。</v>
      </c>
      <c r="M987" s="2234" t="str">
        <v>2008|英镑（GBP）</v>
      </c>
      <c r="N987" s="2234" t="str">
        <v>英镑（GBP）</v>
      </c>
      <c r="O987" s="2239" t="n">
        <v>1.8545</v>
      </c>
      <c r="P987" s="2234" t="str">
        <v>USD/LCU</v>
      </c>
      <c r="Q987" s="2239" t="n">
        <v>1</v>
      </c>
      <c r="R987" s="2234" t="str">
        <v>A：机构统计／原始统计表</v>
      </c>
      <c r="S987" s="2234" t="str">
        <v>年度汇率!C94；原始记录!A808:M808</v>
      </c>
      <c r="T987" s="2234" t="str"/>
      <c r="U987" t="n" s="2231">
        <v>2014</v>
      </c>
      <c r="V987" t="str" s="2231">
        <v>人民币元（1955币制；CNY）</v>
      </c>
    </row>
    <row r="988" ht="15.0" customHeight="1">
      <c r="A988" s="2234" t="n">
        <v>2008</v>
      </c>
      <c r="B988" s="2234" t="str">
        <v>CAD</v>
      </c>
      <c r="C988" s="2234" t="str">
        <v>加拿大元（CAD）</v>
      </c>
      <c r="D988" s="2234" t="str">
        <v>可用</v>
      </c>
      <c r="E988" s="2238" t="n">
        <v>1.066</v>
      </c>
      <c r="F988" s="2234" t="str">
        <v>年均</v>
      </c>
      <c r="G988" s="2234" t="str">
        <v>Federal Reserve G.5A / FRED AEXCAUS</v>
      </c>
      <c r="H988" s="2234" t="str">
        <v>https://fred.stlouisfed.org/data/AEXCAUS</v>
      </c>
      <c r="I988" s="2234" t="str">
        <v>2008-01-01—2008-12-31</v>
      </c>
      <c r="J988" s="2234" t="str">
        <v>historical_exchange_rates_1920_2026.xlsx</v>
      </c>
      <c r="K988" s="2234" t="str"/>
      <c r="L988" s="2234" t="str">
        <v>原报价已按 1 美元兑换本币表示。</v>
      </c>
      <c r="M988" s="2234" t="str">
        <v>2008|加拿大元（CAD）</v>
      </c>
      <c r="N988" s="2234" t="str">
        <v>加拿大元（CAD）</v>
      </c>
      <c r="O988" s="2239" t="n">
        <v>1.066</v>
      </c>
      <c r="P988" s="2234" t="str">
        <v>LCU/USD</v>
      </c>
      <c r="Q988" s="2239" t="n">
        <v>1</v>
      </c>
      <c r="R988" s="2234" t="str">
        <v>A：机构统计／原始统计表</v>
      </c>
      <c r="S988" s="2234" t="str">
        <v>年度汇率!D94；原始记录!A809:M809</v>
      </c>
      <c r="T988" s="2234" t="str"/>
      <c r="U988" t="n" s="2231">
        <v>2014</v>
      </c>
      <c r="V988" t="str" s="2231">
        <v>欧元（EUR）</v>
      </c>
    </row>
    <row r="989" ht="15.0" customHeight="1">
      <c r="A989" s="2234" t="n">
        <v>2008</v>
      </c>
      <c r="B989" s="2234" t="str">
        <v>JPY</v>
      </c>
      <c r="C989" s="2234" t="str">
        <v>日元（JPY）</v>
      </c>
      <c r="D989" s="2234" t="str">
        <v>可用</v>
      </c>
      <c r="E989" s="2238" t="n">
        <v>103.3906</v>
      </c>
      <c r="F989" s="2234" t="str">
        <v>年均</v>
      </c>
      <c r="G989" s="2234" t="str">
        <v>Federal Reserve G.5A / FRED AEXJPUS</v>
      </c>
      <c r="H989" s="2234" t="str">
        <v>https://fred.stlouisfed.org/data/AEXJPUS</v>
      </c>
      <c r="I989" s="2234" t="str">
        <v>2008-01-01—2008-12-31</v>
      </c>
      <c r="J989" s="2234" t="str">
        <v>historical_exchange_rates_1920_2026.xlsx</v>
      </c>
      <c r="K989" s="2234" t="str"/>
      <c r="L989" s="2234" t="str">
        <v>原报价已按 1 美元兑换本币表示。</v>
      </c>
      <c r="M989" s="2234" t="str">
        <v>2008|日元（JPY）</v>
      </c>
      <c r="N989" s="2234" t="str">
        <v>日元（JPY）</v>
      </c>
      <c r="O989" s="2239" t="n">
        <v>103.3906</v>
      </c>
      <c r="P989" s="2234" t="str">
        <v>LCU/USD</v>
      </c>
      <c r="Q989" s="2239" t="n">
        <v>1</v>
      </c>
      <c r="R989" s="2234" t="str">
        <v>A：机构统计／原始统计表</v>
      </c>
      <c r="S989" s="2234" t="str">
        <v>年度汇率!H94；原始记录!A810:M810</v>
      </c>
      <c r="T989" s="2234" t="str"/>
      <c r="U989" t="n" s="2231">
        <v>2015</v>
      </c>
      <c r="V989" t="str" s="2231">
        <v>美元（USD）</v>
      </c>
    </row>
    <row r="990" ht="15.0" customHeight="1">
      <c r="A990" s="2234" t="n">
        <v>2008</v>
      </c>
      <c r="B990" s="2234" t="str">
        <v>CHF</v>
      </c>
      <c r="C990" s="2234" t="str">
        <v>瑞士法郎（CHF）</v>
      </c>
      <c r="D990" s="2234" t="str">
        <v>可用</v>
      </c>
      <c r="E990" s="2238" t="n">
        <v>1.0816</v>
      </c>
      <c r="F990" s="2234" t="str">
        <v>年均</v>
      </c>
      <c r="G990" s="2234" t="str">
        <v>Federal Reserve G.5A / FRED AEXSZUS</v>
      </c>
      <c r="H990" s="2234" t="str">
        <v>https://fred.stlouisfed.org/data/AEXSZUS</v>
      </c>
      <c r="I990" s="2234" t="str">
        <v>2008-01-01—2008-12-31</v>
      </c>
      <c r="J990" s="2234" t="str">
        <v>historical_exchange_rates_1920_2026.xlsx</v>
      </c>
      <c r="K990" s="2234" t="str"/>
      <c r="L990" s="2234" t="str">
        <v>原报价已按 1 美元兑换本币表示。</v>
      </c>
      <c r="M990" s="2234" t="str">
        <v>2008|瑞士法郎（CHF）</v>
      </c>
      <c r="N990" s="2234" t="str">
        <v>瑞士法郎（CHF）</v>
      </c>
      <c r="O990" s="2239" t="n">
        <v>1.0816</v>
      </c>
      <c r="P990" s="2234" t="str">
        <v>LCU/USD</v>
      </c>
      <c r="Q990" s="2239" t="n">
        <v>1</v>
      </c>
      <c r="R990" s="2234" t="str">
        <v>A：机构统计／原始统计表</v>
      </c>
      <c r="S990" s="2234" t="str">
        <v>年度汇率!I94；原始记录!A811:M811</v>
      </c>
      <c r="T990" s="2234" t="str"/>
      <c r="U990" t="n" s="2231">
        <v>2015</v>
      </c>
      <c r="V990" t="str" s="2231">
        <v>英镑（GBP）</v>
      </c>
    </row>
    <row r="991" ht="15.0" customHeight="1">
      <c r="A991" s="2234" t="n">
        <v>2008</v>
      </c>
      <c r="B991" s="2234" t="str">
        <v>INR</v>
      </c>
      <c r="C991" s="2234" t="str">
        <v>印度卢比（INR）</v>
      </c>
      <c r="D991" s="2234" t="str">
        <v>可用</v>
      </c>
      <c r="E991" s="2238" t="n">
        <v>43.3859</v>
      </c>
      <c r="F991" s="2234" t="str">
        <v>年均</v>
      </c>
      <c r="G991" s="2234" t="str">
        <v>Federal Reserve G.5A / FRED AEXINUS</v>
      </c>
      <c r="H991" s="2234" t="str">
        <v>https://fred.stlouisfed.org/data/AEXINUS</v>
      </c>
      <c r="I991" s="2234" t="str">
        <v>2008-01-01—2008-12-31</v>
      </c>
      <c r="J991" s="2234" t="str">
        <v>historical_exchange_rates_1920_2026.xlsx</v>
      </c>
      <c r="K991" s="2234" t="str"/>
      <c r="L991" s="2234" t="str">
        <v>原报价已按 1 美元兑换本币表示。</v>
      </c>
      <c r="M991" s="2234" t="str">
        <v>2008|印度卢比（INR）</v>
      </c>
      <c r="N991" s="2234" t="str">
        <v>印度卢比（INR）</v>
      </c>
      <c r="O991" s="2239" t="n">
        <v>43.3859</v>
      </c>
      <c r="P991" s="2234" t="str">
        <v>LCU/USD</v>
      </c>
      <c r="Q991" s="2239" t="n">
        <v>1</v>
      </c>
      <c r="R991" s="2234" t="str">
        <v>A：机构统计／原始统计表</v>
      </c>
      <c r="S991" s="2234" t="str">
        <v>年度汇率!J94；原始记录!A812:M812</v>
      </c>
      <c r="T991" s="2234" t="str"/>
      <c r="U991" t="n" s="2231">
        <v>2015</v>
      </c>
      <c r="V991" t="str" s="2231">
        <v>加拿大元（CAD）</v>
      </c>
    </row>
    <row r="992" ht="15.0" customHeight="1">
      <c r="A992" s="2234" t="n">
        <v>2008</v>
      </c>
      <c r="B992" s="2234" t="str">
        <v>RUB</v>
      </c>
      <c r="C992" s="2234" t="str">
        <v>俄罗斯卢布（RUB；1998币制）</v>
      </c>
      <c r="D992" s="2234" t="str">
        <v>可用</v>
      </c>
      <c r="E992" s="2238" t="n">
        <v>24.8668997183431</v>
      </c>
      <c r="F992" s="2234" t="str">
        <v>年均</v>
      </c>
      <c r="G992" s="2234" t="str">
        <v>OECD Main Economic Indicators / FRED CCUSMA02RUA618N</v>
      </c>
      <c r="H992" s="2234" t="str">
        <v>https://fred.stlouisfed.org/data/CCUSMA02RUA618N</v>
      </c>
      <c r="I992" s="2234" t="str">
        <v>2008-01-01—2008-12-31</v>
      </c>
      <c r="J992" s="2234" t="str">
        <v>historical_exchange_rates_1920_2026.xlsx</v>
      </c>
      <c r="K992" s="2234" t="str">
        <v>原表1993—1997年以1998年新卢布回溯表示；本表乘1000还原当年的旧卢布。</v>
      </c>
      <c r="L992" s="2234" t="str">
        <v>原报价已按 1 美元兑换本币表示。</v>
      </c>
      <c r="M992" s="2234" t="str">
        <v>2008|俄罗斯卢布（RUB；1998币制）</v>
      </c>
      <c r="N992" s="2234" t="str">
        <v>俄罗斯卢布（RUB；1998币制）</v>
      </c>
      <c r="O992" s="2239" t="n">
        <v>24.8668997183431</v>
      </c>
      <c r="P992" s="2234" t="str">
        <v>LCU/USD</v>
      </c>
      <c r="Q992" s="2239" t="n">
        <v>1</v>
      </c>
      <c r="R992" s="2234" t="str">
        <v>A：机构统计／原始统计表</v>
      </c>
      <c r="S992" s="2234" t="str">
        <v>年度汇率!K94；原始记录!A813:M813</v>
      </c>
      <c r="T992" s="2234" t="str"/>
      <c r="U992" t="n" s="2231">
        <v>2015</v>
      </c>
      <c r="V992" t="str" s="2231">
        <v>日元（JPY）</v>
      </c>
    </row>
    <row r="993" ht="15.0" customHeight="1">
      <c r="A993" s="2234" t="n">
        <v>2008</v>
      </c>
      <c r="B993" s="2234" t="str">
        <v>CNY</v>
      </c>
      <c r="C993" s="2234" t="str">
        <v>人民币元（1955币制；CNY）</v>
      </c>
      <c r="D993" s="2234" t="str">
        <v>可用</v>
      </c>
      <c r="E993" s="2238" t="n">
        <v>6.9477</v>
      </c>
      <c r="F993" s="2234" t="str">
        <v>年均</v>
      </c>
      <c r="G993" s="2234" t="str">
        <v>Federal Reserve G.5A / FRED AEXCHUS</v>
      </c>
      <c r="H993" s="2234" t="str">
        <v>https://fred.stlouisfed.org/data/AEXCHUS</v>
      </c>
      <c r="I993" s="2234" t="str">
        <v>2008-01-01—2008-12-31</v>
      </c>
      <c r="J993" s="2234" t="str">
        <v>historical_exchange_rates_1920_2026.xlsx</v>
      </c>
      <c r="K993" s="2234" t="str"/>
      <c r="L993" s="2234" t="str">
        <v>原报价已按 1 美元兑换本币表示。</v>
      </c>
      <c r="M993" s="2234" t="str">
        <v>2008|人民币元（1955币制；CNY）</v>
      </c>
      <c r="N993" s="2234" t="str">
        <v>人民币元（1955币制；CNY）</v>
      </c>
      <c r="O993" s="2239" t="n">
        <v>6.9477</v>
      </c>
      <c r="P993" s="2234" t="str">
        <v>LCU/USD</v>
      </c>
      <c r="Q993" s="2239" t="n">
        <v>1</v>
      </c>
      <c r="R993" s="2234" t="str">
        <v>A：机构统计／原始统计表</v>
      </c>
      <c r="S993" s="2234" t="str">
        <v>年度汇率!L94；原始记录!A814:M814</v>
      </c>
      <c r="T993" s="2234" t="str"/>
      <c r="U993" t="n" s="2231">
        <v>2015</v>
      </c>
      <c r="V993" t="str" s="2231">
        <v>瑞士法郎（CHF）</v>
      </c>
    </row>
    <row r="994" ht="24.0" customHeight="1">
      <c r="A994" s="2234" t="n">
        <v>2008</v>
      </c>
      <c r="B994" s="2234" t="str">
        <v>EUR</v>
      </c>
      <c r="C994" s="2234" t="str">
        <v>欧元（EUR）</v>
      </c>
      <c r="D994" s="2234" t="str">
        <v>可用</v>
      </c>
      <c r="E994" s="2238" t="n">
        <v>0.6790710308298249</v>
      </c>
      <c r="F994" s="2234" t="str">
        <v>年均</v>
      </c>
      <c r="G994" s="2234" t="str">
        <v>Federal Reserve G.5A / FRED AEXUSEU</v>
      </c>
      <c r="H994" s="2234" t="str">
        <v>https://fred.stlouisfed.org/data/AEXUSEU</v>
      </c>
      <c r="I994" s="2234" t="str">
        <v>2008-01-01—2008-12-31</v>
      </c>
      <c r="J994" s="2234" t="str">
        <v>historical_exchange_rates_1920_2026.xlsx</v>
      </c>
      <c r="K994" s="2234" t="str">
        <v>反向值由原报价均值取倒数；不等于反向日度汇率的算术平均。
年均USD/EUR；主表取倒数。</v>
      </c>
      <c r="L994" s="2234" t="str">
        <v>原报价为每单位本币兑美元，取原报价均值的倒数；不等于反向日度汇率的算术平均。</v>
      </c>
      <c r="M994" s="2234" t="str">
        <v>2008|欧元（EUR）</v>
      </c>
      <c r="N994" s="2234" t="str">
        <v>欧元（EUR）</v>
      </c>
      <c r="O994" s="2239" t="n">
        <v>1.4726</v>
      </c>
      <c r="P994" s="2234" t="str">
        <v>USD/LCU</v>
      </c>
      <c r="Q994" s="2239" t="n">
        <v>1</v>
      </c>
      <c r="R994" s="2234" t="str">
        <v>A：机构统计／原始统计表</v>
      </c>
      <c r="S994" s="2234" t="str">
        <v>年度汇率!M94、年度汇率!E94、年度汇率!F94、年度汇率!G94；原始记录!A815:M815</v>
      </c>
      <c r="T994" s="2234" t="str"/>
      <c r="U994" t="n" s="2231">
        <v>2015</v>
      </c>
      <c r="V994" t="str" s="2231">
        <v>印度卢比（INR）</v>
      </c>
    </row>
    <row r="995" ht="15.0" customHeight="1">
      <c r="A995" s="2234" t="n">
        <v>2009</v>
      </c>
      <c r="B995" s="2234" t="str">
        <v>USD</v>
      </c>
      <c r="C995" s="2234" t="str">
        <v>美元（USD）</v>
      </c>
      <c r="D995" s="2234" t="str">
        <v>可用</v>
      </c>
      <c r="E995" s="2238" t="n">
        <v>1</v>
      </c>
      <c r="F995" s="2234" t="str">
        <v>基准恒等</v>
      </c>
      <c r="G995" s="2234" t="str">
        <v>用户提供的历史汇率表</v>
      </c>
      <c r="H995" s="2234" t="str"/>
      <c r="I995" s="2234" t="str">
        <v>2009</v>
      </c>
      <c r="J995" s="2234" t="str">
        <v>historical_exchange_rates_1920_2026.xlsx</v>
      </c>
      <c r="K995" s="2234" t="str">
        <v>1 美元等于 1 美元，无外部报价。</v>
      </c>
      <c r="L995" s="2234" t="str">
        <v>美元基准，汇率恒为 1。</v>
      </c>
      <c r="M995" s="2234" t="str">
        <v>2009|美元（USD）</v>
      </c>
      <c r="N995" s="2234" t="str">
        <v>美元（USD）</v>
      </c>
      <c r="O995" s="2239"/>
      <c r="P995" s="2234" t="str"/>
      <c r="Q995" s="2239"/>
      <c r="R995" s="2234" t="str"/>
      <c r="S995" s="2234" t="str">
        <v>年度汇率!B95</v>
      </c>
      <c r="T995" s="2234" t="str"/>
      <c r="U995" t="n" s="2231">
        <v>2015</v>
      </c>
      <c r="V995" t="str" s="2231">
        <v>俄罗斯卢布（RUB；1998币制）</v>
      </c>
    </row>
    <row r="996" ht="24.0" customHeight="1">
      <c r="A996" s="2234" t="n">
        <v>2009</v>
      </c>
      <c r="B996" s="2234" t="str">
        <v>GBP</v>
      </c>
      <c r="C996" s="2234" t="str">
        <v>英镑（GBP）</v>
      </c>
      <c r="D996" s="2234" t="str">
        <v>可用</v>
      </c>
      <c r="E996" s="2238" t="n">
        <v>0.6385288295766554</v>
      </c>
      <c r="F996" s="2234" t="str">
        <v>年均</v>
      </c>
      <c r="G996" s="2234" t="str">
        <v>Federal Reserve G.5A / FRED AEXUSUK</v>
      </c>
      <c r="H996" s="2234" t="str">
        <v>https://fred.stlouisfed.org/data/AEXUSUK</v>
      </c>
      <c r="I996" s="2234" t="str">
        <v>2009-01-01—2009-12-31</v>
      </c>
      <c r="J996" s="2234" t="str">
        <v>historical_exchange_rates_1920_2026.xlsx</v>
      </c>
      <c r="K996" s="2234" t="str">
        <v>反向值由原报价均值取倒数；不等于反向日度汇率的算术平均。
年均USD/GBP；主表取倒数，不等于逐日GBP/USD平均。</v>
      </c>
      <c r="L996" s="2234" t="str">
        <v>原报价为每单位本币兑美元，取原报价均值的倒数；不等于反向日度汇率的算术平均。</v>
      </c>
      <c r="M996" s="2234" t="str">
        <v>2009|英镑（GBP）</v>
      </c>
      <c r="N996" s="2234" t="str">
        <v>英镑（GBP）</v>
      </c>
      <c r="O996" s="2239" t="n">
        <v>1.5661</v>
      </c>
      <c r="P996" s="2234" t="str">
        <v>USD/LCU</v>
      </c>
      <c r="Q996" s="2239" t="n">
        <v>1</v>
      </c>
      <c r="R996" s="2234" t="str">
        <v>A：机构统计／原始统计表</v>
      </c>
      <c r="S996" s="2234" t="str">
        <v>年度汇率!C95；原始记录!A816:M816</v>
      </c>
      <c r="T996" s="2234" t="str"/>
      <c r="U996" t="n" s="2231">
        <v>2015</v>
      </c>
      <c r="V996" t="str" s="2231">
        <v>人民币元（1955币制；CNY）</v>
      </c>
    </row>
    <row r="997" ht="15.0" customHeight="1">
      <c r="A997" s="2234" t="n">
        <v>2009</v>
      </c>
      <c r="B997" s="2234" t="str">
        <v>CAD</v>
      </c>
      <c r="C997" s="2234" t="str">
        <v>加拿大元（CAD）</v>
      </c>
      <c r="D997" s="2234" t="str">
        <v>可用</v>
      </c>
      <c r="E997" s="2238" t="n">
        <v>1.1412</v>
      </c>
      <c r="F997" s="2234" t="str">
        <v>年均</v>
      </c>
      <c r="G997" s="2234" t="str">
        <v>Federal Reserve G.5A / FRED AEXCAUS</v>
      </c>
      <c r="H997" s="2234" t="str">
        <v>https://fred.stlouisfed.org/data/AEXCAUS</v>
      </c>
      <c r="I997" s="2234" t="str">
        <v>2009-01-01—2009-12-31</v>
      </c>
      <c r="J997" s="2234" t="str">
        <v>historical_exchange_rates_1920_2026.xlsx</v>
      </c>
      <c r="K997" s="2234" t="str"/>
      <c r="L997" s="2234" t="str">
        <v>原报价已按 1 美元兑换本币表示。</v>
      </c>
      <c r="M997" s="2234" t="str">
        <v>2009|加拿大元（CAD）</v>
      </c>
      <c r="N997" s="2234" t="str">
        <v>加拿大元（CAD）</v>
      </c>
      <c r="O997" s="2239" t="n">
        <v>1.1412</v>
      </c>
      <c r="P997" s="2234" t="str">
        <v>LCU/USD</v>
      </c>
      <c r="Q997" s="2239" t="n">
        <v>1</v>
      </c>
      <c r="R997" s="2234" t="str">
        <v>A：机构统计／原始统计表</v>
      </c>
      <c r="S997" s="2234" t="str">
        <v>年度汇率!D95；原始记录!A817:M817</v>
      </c>
      <c r="T997" s="2234" t="str"/>
      <c r="U997" t="n" s="2231">
        <v>2015</v>
      </c>
      <c r="V997" t="str" s="2231">
        <v>欧元（EUR）</v>
      </c>
    </row>
    <row r="998" ht="15.0" customHeight="1">
      <c r="A998" s="2234" t="n">
        <v>2009</v>
      </c>
      <c r="B998" s="2234" t="str">
        <v>JPY</v>
      </c>
      <c r="C998" s="2234" t="str">
        <v>日元（JPY）</v>
      </c>
      <c r="D998" s="2234" t="str">
        <v>可用</v>
      </c>
      <c r="E998" s="2238" t="n">
        <v>93.6827</v>
      </c>
      <c r="F998" s="2234" t="str">
        <v>年均</v>
      </c>
      <c r="G998" s="2234" t="str">
        <v>Federal Reserve G.5A / FRED AEXJPUS</v>
      </c>
      <c r="H998" s="2234" t="str">
        <v>https://fred.stlouisfed.org/data/AEXJPUS</v>
      </c>
      <c r="I998" s="2234" t="str">
        <v>2009-01-01—2009-12-31</v>
      </c>
      <c r="J998" s="2234" t="str">
        <v>historical_exchange_rates_1920_2026.xlsx</v>
      </c>
      <c r="K998" s="2234" t="str"/>
      <c r="L998" s="2234" t="str">
        <v>原报价已按 1 美元兑换本币表示。</v>
      </c>
      <c r="M998" s="2234" t="str">
        <v>2009|日元（JPY）</v>
      </c>
      <c r="N998" s="2234" t="str">
        <v>日元（JPY）</v>
      </c>
      <c r="O998" s="2239" t="n">
        <v>93.6827</v>
      </c>
      <c r="P998" s="2234" t="str">
        <v>LCU/USD</v>
      </c>
      <c r="Q998" s="2239" t="n">
        <v>1</v>
      </c>
      <c r="R998" s="2234" t="str">
        <v>A：机构统计／原始统计表</v>
      </c>
      <c r="S998" s="2234" t="str">
        <v>年度汇率!H95；原始记录!A818:M818</v>
      </c>
      <c r="T998" s="2234" t="str"/>
      <c r="U998" t="n" s="2231">
        <v>2016</v>
      </c>
      <c r="V998" t="str" s="2231">
        <v>美元（USD）</v>
      </c>
    </row>
    <row r="999" ht="15.0" customHeight="1">
      <c r="A999" s="2234" t="n">
        <v>2009</v>
      </c>
      <c r="B999" s="2234" t="str">
        <v>CHF</v>
      </c>
      <c r="C999" s="2234" t="str">
        <v>瑞士法郎（CHF）</v>
      </c>
      <c r="D999" s="2234" t="str">
        <v>可用</v>
      </c>
      <c r="E999" s="2238" t="n">
        <v>1.086</v>
      </c>
      <c r="F999" s="2234" t="str">
        <v>年均</v>
      </c>
      <c r="G999" s="2234" t="str">
        <v>Federal Reserve G.5A / FRED AEXSZUS</v>
      </c>
      <c r="H999" s="2234" t="str">
        <v>https://fred.stlouisfed.org/data/AEXSZUS</v>
      </c>
      <c r="I999" s="2234" t="str">
        <v>2009-01-01—2009-12-31</v>
      </c>
      <c r="J999" s="2234" t="str">
        <v>historical_exchange_rates_1920_2026.xlsx</v>
      </c>
      <c r="K999" s="2234" t="str"/>
      <c r="L999" s="2234" t="str">
        <v>原报价已按 1 美元兑换本币表示。</v>
      </c>
      <c r="M999" s="2234" t="str">
        <v>2009|瑞士法郎（CHF）</v>
      </c>
      <c r="N999" s="2234" t="str">
        <v>瑞士法郎（CHF）</v>
      </c>
      <c r="O999" s="2239" t="n">
        <v>1.086</v>
      </c>
      <c r="P999" s="2234" t="str">
        <v>LCU/USD</v>
      </c>
      <c r="Q999" s="2239" t="n">
        <v>1</v>
      </c>
      <c r="R999" s="2234" t="str">
        <v>A：机构统计／原始统计表</v>
      </c>
      <c r="S999" s="2234" t="str">
        <v>年度汇率!I95；原始记录!A819:M819</v>
      </c>
      <c r="T999" s="2234" t="str"/>
      <c r="U999" t="n" s="2231">
        <v>2016</v>
      </c>
      <c r="V999" t="str" s="2231">
        <v>英镑（GBP）</v>
      </c>
    </row>
    <row r="1000" ht="15.0" customHeight="1">
      <c r="A1000" s="2234" t="n">
        <v>2009</v>
      </c>
      <c r="B1000" s="2234" t="str">
        <v>INR</v>
      </c>
      <c r="C1000" s="2234" t="str">
        <v>印度卢比（INR）</v>
      </c>
      <c r="D1000" s="2234" t="str">
        <v>可用</v>
      </c>
      <c r="E1000" s="2238" t="n">
        <v>48.3324</v>
      </c>
      <c r="F1000" s="2234" t="str">
        <v>年均</v>
      </c>
      <c r="G1000" s="2234" t="str">
        <v>Federal Reserve G.5A / FRED AEXINUS</v>
      </c>
      <c r="H1000" s="2234" t="str">
        <v>https://fred.stlouisfed.org/data/AEXINUS</v>
      </c>
      <c r="I1000" s="2234" t="str">
        <v>2009-01-01—2009-12-31</v>
      </c>
      <c r="J1000" s="2234" t="str">
        <v>historical_exchange_rates_1920_2026.xlsx</v>
      </c>
      <c r="K1000" s="2234" t="str"/>
      <c r="L1000" s="2234" t="str">
        <v>原报价已按 1 美元兑换本币表示。</v>
      </c>
      <c r="M1000" s="2234" t="str">
        <v>2009|印度卢比（INR）</v>
      </c>
      <c r="N1000" s="2234" t="str">
        <v>印度卢比（INR）</v>
      </c>
      <c r="O1000" s="2239" t="n">
        <v>48.3324</v>
      </c>
      <c r="P1000" s="2234" t="str">
        <v>LCU/USD</v>
      </c>
      <c r="Q1000" s="2239" t="n">
        <v>1</v>
      </c>
      <c r="R1000" s="2234" t="str">
        <v>A：机构统计／原始统计表</v>
      </c>
      <c r="S1000" s="2234" t="str">
        <v>年度汇率!J95；原始记录!A820:M820</v>
      </c>
      <c r="T1000" s="2234" t="str"/>
      <c r="U1000" t="n" s="2231">
        <v>2016</v>
      </c>
      <c r="V1000" t="str" s="2231">
        <v>加拿大元（CAD）</v>
      </c>
    </row>
    <row r="1001" ht="15.0" customHeight="1">
      <c r="A1001" s="2234" t="n">
        <v>2009</v>
      </c>
      <c r="B1001" s="2234" t="str">
        <v>RUB</v>
      </c>
      <c r="C1001" s="2234" t="str">
        <v>俄罗斯卢布（RUB；1998币制）</v>
      </c>
      <c r="D1001" s="2234" t="str">
        <v>可用</v>
      </c>
      <c r="E1001" s="2238" t="n">
        <v>31.7737463659284</v>
      </c>
      <c r="F1001" s="2234" t="str">
        <v>年均</v>
      </c>
      <c r="G1001" s="2234" t="str">
        <v>OECD Main Economic Indicators / FRED CCUSMA02RUA618N</v>
      </c>
      <c r="H1001" s="2234" t="str">
        <v>https://fred.stlouisfed.org/data/CCUSMA02RUA618N</v>
      </c>
      <c r="I1001" s="2234" t="str">
        <v>2009-01-01—2009-12-31</v>
      </c>
      <c r="J1001" s="2234" t="str">
        <v>historical_exchange_rates_1920_2026.xlsx</v>
      </c>
      <c r="K1001" s="2234" t="str">
        <v>原表1993—1997年以1998年新卢布回溯表示；本表乘1000还原当年的旧卢布。</v>
      </c>
      <c r="L1001" s="2234" t="str">
        <v>原报价已按 1 美元兑换本币表示。</v>
      </c>
      <c r="M1001" s="2234" t="str">
        <v>2009|俄罗斯卢布（RUB；1998币制）</v>
      </c>
      <c r="N1001" s="2234" t="str">
        <v>俄罗斯卢布（RUB；1998币制）</v>
      </c>
      <c r="O1001" s="2239" t="n">
        <v>31.7737463659284</v>
      </c>
      <c r="P1001" s="2234" t="str">
        <v>LCU/USD</v>
      </c>
      <c r="Q1001" s="2239" t="n">
        <v>1</v>
      </c>
      <c r="R1001" s="2234" t="str">
        <v>A：机构统计／原始统计表</v>
      </c>
      <c r="S1001" s="2234" t="str">
        <v>年度汇率!K95；原始记录!A821:M821</v>
      </c>
      <c r="T1001" s="2234" t="str"/>
      <c r="U1001" t="n" s="2231">
        <v>2016</v>
      </c>
      <c r="V1001" t="str" s="2231">
        <v>日元（JPY）</v>
      </c>
    </row>
    <row r="1002" ht="15.0" customHeight="1">
      <c r="A1002" s="2234" t="n">
        <v>2009</v>
      </c>
      <c r="B1002" s="2234" t="str">
        <v>CNY</v>
      </c>
      <c r="C1002" s="2234" t="str">
        <v>人民币元（1955币制；CNY）</v>
      </c>
      <c r="D1002" s="2234" t="str">
        <v>可用</v>
      </c>
      <c r="E1002" s="2238" t="n">
        <v>6.8307</v>
      </c>
      <c r="F1002" s="2234" t="str">
        <v>年均</v>
      </c>
      <c r="G1002" s="2234" t="str">
        <v>Federal Reserve G.5A / FRED AEXCHUS</v>
      </c>
      <c r="H1002" s="2234" t="str">
        <v>https://fred.stlouisfed.org/data/AEXCHUS</v>
      </c>
      <c r="I1002" s="2234" t="str">
        <v>2009-01-01—2009-12-31</v>
      </c>
      <c r="J1002" s="2234" t="str">
        <v>historical_exchange_rates_1920_2026.xlsx</v>
      </c>
      <c r="K1002" s="2234" t="str"/>
      <c r="L1002" s="2234" t="str">
        <v>原报价已按 1 美元兑换本币表示。</v>
      </c>
      <c r="M1002" s="2234" t="str">
        <v>2009|人民币元（1955币制；CNY）</v>
      </c>
      <c r="N1002" s="2234" t="str">
        <v>人民币元（1955币制；CNY）</v>
      </c>
      <c r="O1002" s="2239" t="n">
        <v>6.8307</v>
      </c>
      <c r="P1002" s="2234" t="str">
        <v>LCU/USD</v>
      </c>
      <c r="Q1002" s="2239" t="n">
        <v>1</v>
      </c>
      <c r="R1002" s="2234" t="str">
        <v>A：机构统计／原始统计表</v>
      </c>
      <c r="S1002" s="2234" t="str">
        <v>年度汇率!L95；原始记录!A822:M822</v>
      </c>
      <c r="T1002" s="2234" t="str"/>
      <c r="U1002" t="n" s="2231">
        <v>2016</v>
      </c>
      <c r="V1002" t="str" s="2231">
        <v>瑞士法郎（CHF）</v>
      </c>
    </row>
    <row r="1003" ht="24.0" customHeight="1">
      <c r="A1003" s="2234" t="n">
        <v>2009</v>
      </c>
      <c r="B1003" s="2234" t="str">
        <v>EUR</v>
      </c>
      <c r="C1003" s="2234" t="str">
        <v>欧元（EUR）</v>
      </c>
      <c r="D1003" s="2234" t="str">
        <v>可用</v>
      </c>
      <c r="E1003" s="2238" t="n">
        <v>0.7176175098672408</v>
      </c>
      <c r="F1003" s="2234" t="str">
        <v>年均</v>
      </c>
      <c r="G1003" s="2234" t="str">
        <v>Federal Reserve G.5A / FRED AEXUSEU</v>
      </c>
      <c r="H1003" s="2234" t="str">
        <v>https://fred.stlouisfed.org/data/AEXUSEU</v>
      </c>
      <c r="I1003" s="2234" t="str">
        <v>2009-01-01—2009-12-31</v>
      </c>
      <c r="J1003" s="2234" t="str">
        <v>historical_exchange_rates_1920_2026.xlsx</v>
      </c>
      <c r="K1003" s="2234" t="str">
        <v>反向值由原报价均值取倒数；不等于反向日度汇率的算术平均。
年均USD/EUR；主表取倒数。</v>
      </c>
      <c r="L1003" s="2234" t="str">
        <v>原报价为每单位本币兑美元，取原报价均值的倒数；不等于反向日度汇率的算术平均。</v>
      </c>
      <c r="M1003" s="2234" t="str">
        <v>2009|欧元（EUR）</v>
      </c>
      <c r="N1003" s="2234" t="str">
        <v>欧元（EUR）</v>
      </c>
      <c r="O1003" s="2239" t="n">
        <v>1.3935</v>
      </c>
      <c r="P1003" s="2234" t="str">
        <v>USD/LCU</v>
      </c>
      <c r="Q1003" s="2239" t="n">
        <v>1</v>
      </c>
      <c r="R1003" s="2234" t="str">
        <v>A：机构统计／原始统计表</v>
      </c>
      <c r="S1003" s="2234" t="str">
        <v>年度汇率!M95、年度汇率!E95、年度汇率!F95、年度汇率!G95；原始记录!A823:M823</v>
      </c>
      <c r="T1003" s="2234" t="str"/>
      <c r="U1003" t="n" s="2231">
        <v>2016</v>
      </c>
      <c r="V1003" t="str" s="2231">
        <v>印度卢比（INR）</v>
      </c>
    </row>
    <row r="1004" ht="15.0" customHeight="1">
      <c r="A1004" s="2234" t="n">
        <v>2010</v>
      </c>
      <c r="B1004" s="2234" t="str">
        <v>USD</v>
      </c>
      <c r="C1004" s="2234" t="str">
        <v>美元（USD）</v>
      </c>
      <c r="D1004" s="2234" t="str">
        <v>可用</v>
      </c>
      <c r="E1004" s="2238" t="n">
        <v>1</v>
      </c>
      <c r="F1004" s="2234" t="str">
        <v>基准恒等</v>
      </c>
      <c r="G1004" s="2234" t="str">
        <v>用户提供的历史汇率表</v>
      </c>
      <c r="H1004" s="2234" t="str"/>
      <c r="I1004" s="2234" t="str">
        <v>2010</v>
      </c>
      <c r="J1004" s="2234" t="str">
        <v>historical_exchange_rates_1920_2026.xlsx</v>
      </c>
      <c r="K1004" s="2234" t="str">
        <v>1 美元等于 1 美元，无外部报价。</v>
      </c>
      <c r="L1004" s="2234" t="str">
        <v>美元基准，汇率恒为 1。</v>
      </c>
      <c r="M1004" s="2234" t="str">
        <v>2010|美元（USD）</v>
      </c>
      <c r="N1004" s="2234" t="str">
        <v>美元（USD）</v>
      </c>
      <c r="O1004" s="2239"/>
      <c r="P1004" s="2234" t="str"/>
      <c r="Q1004" s="2239"/>
      <c r="R1004" s="2234" t="str"/>
      <c r="S1004" s="2234" t="str">
        <v>年度汇率!B96</v>
      </c>
      <c r="T1004" s="2234" t="str"/>
      <c r="U1004" t="n" s="2231">
        <v>2016</v>
      </c>
      <c r="V1004" t="str" s="2231">
        <v>俄罗斯卢布（RUB；1998币制）</v>
      </c>
    </row>
    <row r="1005" ht="24.0" customHeight="1">
      <c r="A1005" s="2234" t="n">
        <v>2010</v>
      </c>
      <c r="B1005" s="2234" t="str">
        <v>GBP</v>
      </c>
      <c r="C1005" s="2234" t="str">
        <v>英镑（GBP）</v>
      </c>
      <c r="D1005" s="2234" t="str">
        <v>可用</v>
      </c>
      <c r="E1005" s="2238" t="n">
        <v>0.6471654154801968</v>
      </c>
      <c r="F1005" s="2234" t="str">
        <v>年均</v>
      </c>
      <c r="G1005" s="2234" t="str">
        <v>Federal Reserve G.5A / FRED AEXUSUK</v>
      </c>
      <c r="H1005" s="2234" t="str">
        <v>https://fred.stlouisfed.org/data/AEXUSUK</v>
      </c>
      <c r="I1005" s="2234" t="str">
        <v>2010-01-01—2010-12-31</v>
      </c>
      <c r="J1005" s="2234" t="str">
        <v>historical_exchange_rates_1920_2026.xlsx</v>
      </c>
      <c r="K1005" s="2234" t="str">
        <v>反向值由原报价均值取倒数；不等于反向日度汇率的算术平均。
年均USD/GBP；主表取倒数，不等于逐日GBP/USD平均。</v>
      </c>
      <c r="L1005" s="2234" t="str">
        <v>原报价为每单位本币兑美元，取原报价均值的倒数；不等于反向日度汇率的算术平均。</v>
      </c>
      <c r="M1005" s="2234" t="str">
        <v>2010|英镑（GBP）</v>
      </c>
      <c r="N1005" s="2234" t="str">
        <v>英镑（GBP）</v>
      </c>
      <c r="O1005" s="2239" t="n">
        <v>1.5452</v>
      </c>
      <c r="P1005" s="2234" t="str">
        <v>USD/LCU</v>
      </c>
      <c r="Q1005" s="2239" t="n">
        <v>1</v>
      </c>
      <c r="R1005" s="2234" t="str">
        <v>A：机构统计／原始统计表</v>
      </c>
      <c r="S1005" s="2234" t="str">
        <v>年度汇率!C96；原始记录!A824:M824</v>
      </c>
      <c r="T1005" s="2234" t="str"/>
      <c r="U1005" t="n" s="2231">
        <v>2016</v>
      </c>
      <c r="V1005" t="str" s="2231">
        <v>人民币元（1955币制；CNY）</v>
      </c>
    </row>
    <row r="1006" ht="15.0" customHeight="1">
      <c r="A1006" s="2234" t="n">
        <v>2010</v>
      </c>
      <c r="B1006" s="2234" t="str">
        <v>CAD</v>
      </c>
      <c r="C1006" s="2234" t="str">
        <v>加拿大元（CAD）</v>
      </c>
      <c r="D1006" s="2234" t="str">
        <v>可用</v>
      </c>
      <c r="E1006" s="2238" t="n">
        <v>1.0298</v>
      </c>
      <c r="F1006" s="2234" t="str">
        <v>年均</v>
      </c>
      <c r="G1006" s="2234" t="str">
        <v>Federal Reserve G.5A / FRED AEXCAUS</v>
      </c>
      <c r="H1006" s="2234" t="str">
        <v>https://fred.stlouisfed.org/data/AEXCAUS</v>
      </c>
      <c r="I1006" s="2234" t="str">
        <v>2010-01-01—2010-12-31</v>
      </c>
      <c r="J1006" s="2234" t="str">
        <v>historical_exchange_rates_1920_2026.xlsx</v>
      </c>
      <c r="K1006" s="2234" t="str"/>
      <c r="L1006" s="2234" t="str">
        <v>原报价已按 1 美元兑换本币表示。</v>
      </c>
      <c r="M1006" s="2234" t="str">
        <v>2010|加拿大元（CAD）</v>
      </c>
      <c r="N1006" s="2234" t="str">
        <v>加拿大元（CAD）</v>
      </c>
      <c r="O1006" s="2239" t="n">
        <v>1.0298</v>
      </c>
      <c r="P1006" s="2234" t="str">
        <v>LCU/USD</v>
      </c>
      <c r="Q1006" s="2239" t="n">
        <v>1</v>
      </c>
      <c r="R1006" s="2234" t="str">
        <v>A：机构统计／原始统计表</v>
      </c>
      <c r="S1006" s="2234" t="str">
        <v>年度汇率!D96；原始记录!A825:M825</v>
      </c>
      <c r="T1006" s="2234" t="str"/>
      <c r="U1006" t="n" s="2231">
        <v>2016</v>
      </c>
      <c r="V1006" t="str" s="2231">
        <v>欧元（EUR）</v>
      </c>
    </row>
    <row r="1007" ht="15.0" customHeight="1">
      <c r="A1007" s="2234" t="n">
        <v>2010</v>
      </c>
      <c r="B1007" s="2234" t="str">
        <v>JPY</v>
      </c>
      <c r="C1007" s="2234" t="str">
        <v>日元（JPY）</v>
      </c>
      <c r="D1007" s="2234" t="str">
        <v>可用</v>
      </c>
      <c r="E1007" s="2238" t="n">
        <v>87.7817</v>
      </c>
      <c r="F1007" s="2234" t="str">
        <v>年均</v>
      </c>
      <c r="G1007" s="2234" t="str">
        <v>Federal Reserve G.5A / FRED AEXJPUS</v>
      </c>
      <c r="H1007" s="2234" t="str">
        <v>https://fred.stlouisfed.org/data/AEXJPUS</v>
      </c>
      <c r="I1007" s="2234" t="str">
        <v>2010-01-01—2010-12-31</v>
      </c>
      <c r="J1007" s="2234" t="str">
        <v>historical_exchange_rates_1920_2026.xlsx</v>
      </c>
      <c r="K1007" s="2234" t="str"/>
      <c r="L1007" s="2234" t="str">
        <v>原报价已按 1 美元兑换本币表示。</v>
      </c>
      <c r="M1007" s="2234" t="str">
        <v>2010|日元（JPY）</v>
      </c>
      <c r="N1007" s="2234" t="str">
        <v>日元（JPY）</v>
      </c>
      <c r="O1007" s="2239" t="n">
        <v>87.7817</v>
      </c>
      <c r="P1007" s="2234" t="str">
        <v>LCU/USD</v>
      </c>
      <c r="Q1007" s="2239" t="n">
        <v>1</v>
      </c>
      <c r="R1007" s="2234" t="str">
        <v>A：机构统计／原始统计表</v>
      </c>
      <c r="S1007" s="2234" t="str">
        <v>年度汇率!H96；原始记录!A826:M826</v>
      </c>
      <c r="T1007" s="2234" t="str"/>
      <c r="U1007" t="n" s="2231">
        <v>2017</v>
      </c>
      <c r="V1007" t="str" s="2231">
        <v>美元（USD）</v>
      </c>
    </row>
    <row r="1008" ht="15.0" customHeight="1">
      <c r="A1008" s="2234" t="n">
        <v>2010</v>
      </c>
      <c r="B1008" s="2234" t="str">
        <v>CHF</v>
      </c>
      <c r="C1008" s="2234" t="str">
        <v>瑞士法郎（CHF）</v>
      </c>
      <c r="D1008" s="2234" t="str">
        <v>可用</v>
      </c>
      <c r="E1008" s="2238" t="n">
        <v>1.0432</v>
      </c>
      <c r="F1008" s="2234" t="str">
        <v>年均</v>
      </c>
      <c r="G1008" s="2234" t="str">
        <v>Federal Reserve G.5A / FRED AEXSZUS</v>
      </c>
      <c r="H1008" s="2234" t="str">
        <v>https://fred.stlouisfed.org/data/AEXSZUS</v>
      </c>
      <c r="I1008" s="2234" t="str">
        <v>2010-01-01—2010-12-31</v>
      </c>
      <c r="J1008" s="2234" t="str">
        <v>historical_exchange_rates_1920_2026.xlsx</v>
      </c>
      <c r="K1008" s="2234" t="str"/>
      <c r="L1008" s="2234" t="str">
        <v>原报价已按 1 美元兑换本币表示。</v>
      </c>
      <c r="M1008" s="2234" t="str">
        <v>2010|瑞士法郎（CHF）</v>
      </c>
      <c r="N1008" s="2234" t="str">
        <v>瑞士法郎（CHF）</v>
      </c>
      <c r="O1008" s="2239" t="n">
        <v>1.0432</v>
      </c>
      <c r="P1008" s="2234" t="str">
        <v>LCU/USD</v>
      </c>
      <c r="Q1008" s="2239" t="n">
        <v>1</v>
      </c>
      <c r="R1008" s="2234" t="str">
        <v>A：机构统计／原始统计表</v>
      </c>
      <c r="S1008" s="2234" t="str">
        <v>年度汇率!I96；原始记录!A827:M827</v>
      </c>
      <c r="T1008" s="2234" t="str"/>
      <c r="U1008" t="n" s="2231">
        <v>2017</v>
      </c>
      <c r="V1008" t="str" s="2231">
        <v>英镑（GBP）</v>
      </c>
    </row>
    <row r="1009" ht="15.0" customHeight="1">
      <c r="A1009" s="2234" t="n">
        <v>2010</v>
      </c>
      <c r="B1009" s="2234" t="str">
        <v>INR</v>
      </c>
      <c r="C1009" s="2234" t="str">
        <v>印度卢比（INR）</v>
      </c>
      <c r="D1009" s="2234" t="str">
        <v>可用</v>
      </c>
      <c r="E1009" s="2238" t="n">
        <v>45.6507</v>
      </c>
      <c r="F1009" s="2234" t="str">
        <v>年均</v>
      </c>
      <c r="G1009" s="2234" t="str">
        <v>Federal Reserve G.5A / FRED AEXINUS</v>
      </c>
      <c r="H1009" s="2234" t="str">
        <v>https://fred.stlouisfed.org/data/AEXINUS</v>
      </c>
      <c r="I1009" s="2234" t="str">
        <v>2010-01-01—2010-12-31</v>
      </c>
      <c r="J1009" s="2234" t="str">
        <v>historical_exchange_rates_1920_2026.xlsx</v>
      </c>
      <c r="K1009" s="2234" t="str"/>
      <c r="L1009" s="2234" t="str">
        <v>原报价已按 1 美元兑换本币表示。</v>
      </c>
      <c r="M1009" s="2234" t="str">
        <v>2010|印度卢比（INR）</v>
      </c>
      <c r="N1009" s="2234" t="str">
        <v>印度卢比（INR）</v>
      </c>
      <c r="O1009" s="2239" t="n">
        <v>45.6507</v>
      </c>
      <c r="P1009" s="2234" t="str">
        <v>LCU/USD</v>
      </c>
      <c r="Q1009" s="2239" t="n">
        <v>1</v>
      </c>
      <c r="R1009" s="2234" t="str">
        <v>A：机构统计／原始统计表</v>
      </c>
      <c r="S1009" s="2234" t="str">
        <v>年度汇率!J96；原始记录!A828:M828</v>
      </c>
      <c r="T1009" s="2234" t="str"/>
      <c r="U1009" t="n" s="2231">
        <v>2017</v>
      </c>
      <c r="V1009" t="str" s="2231">
        <v>加拿大元（CAD）</v>
      </c>
    </row>
    <row r="1010" ht="15.0" customHeight="1">
      <c r="A1010" s="2234" t="n">
        <v>2010</v>
      </c>
      <c r="B1010" s="2234" t="str">
        <v>RUB</v>
      </c>
      <c r="C1010" s="2234" t="str">
        <v>俄罗斯卢布（RUB；1998币制）</v>
      </c>
      <c r="D1010" s="2234" t="str">
        <v>可用</v>
      </c>
      <c r="E1010" s="2238" t="n">
        <v>30.3728609513991</v>
      </c>
      <c r="F1010" s="2234" t="str">
        <v>年均</v>
      </c>
      <c r="G1010" s="2234" t="str">
        <v>OECD Main Economic Indicators / FRED CCUSMA02RUA618N</v>
      </c>
      <c r="H1010" s="2234" t="str">
        <v>https://fred.stlouisfed.org/data/CCUSMA02RUA618N</v>
      </c>
      <c r="I1010" s="2234" t="str">
        <v>2010-01-01—2010-12-31</v>
      </c>
      <c r="J1010" s="2234" t="str">
        <v>historical_exchange_rates_1920_2026.xlsx</v>
      </c>
      <c r="K1010" s="2234" t="str">
        <v>原表1993—1997年以1998年新卢布回溯表示；本表乘1000还原当年的旧卢布。</v>
      </c>
      <c r="L1010" s="2234" t="str">
        <v>原报价已按 1 美元兑换本币表示。</v>
      </c>
      <c r="M1010" s="2234" t="str">
        <v>2010|俄罗斯卢布（RUB；1998币制）</v>
      </c>
      <c r="N1010" s="2234" t="str">
        <v>俄罗斯卢布（RUB；1998币制）</v>
      </c>
      <c r="O1010" s="2239" t="n">
        <v>30.3728609513991</v>
      </c>
      <c r="P1010" s="2234" t="str">
        <v>LCU/USD</v>
      </c>
      <c r="Q1010" s="2239" t="n">
        <v>1</v>
      </c>
      <c r="R1010" s="2234" t="str">
        <v>A：机构统计／原始统计表</v>
      </c>
      <c r="S1010" s="2234" t="str">
        <v>年度汇率!K96；原始记录!A829:M829</v>
      </c>
      <c r="T1010" s="2234" t="str"/>
      <c r="U1010" t="n" s="2231">
        <v>2017</v>
      </c>
      <c r="V1010" t="str" s="2231">
        <v>日元（JPY）</v>
      </c>
    </row>
    <row r="1011" ht="15.0" customHeight="1">
      <c r="A1011" s="2234" t="n">
        <v>2010</v>
      </c>
      <c r="B1011" s="2234" t="str">
        <v>CNY</v>
      </c>
      <c r="C1011" s="2234" t="str">
        <v>人民币元（1955币制；CNY）</v>
      </c>
      <c r="D1011" s="2234" t="str">
        <v>可用</v>
      </c>
      <c r="E1011" s="2238" t="n">
        <v>6.7696</v>
      </c>
      <c r="F1011" s="2234" t="str">
        <v>年均</v>
      </c>
      <c r="G1011" s="2234" t="str">
        <v>Federal Reserve G.5A / FRED AEXCHUS</v>
      </c>
      <c r="H1011" s="2234" t="str">
        <v>https://fred.stlouisfed.org/data/AEXCHUS</v>
      </c>
      <c r="I1011" s="2234" t="str">
        <v>2010-01-01—2010-12-31</v>
      </c>
      <c r="J1011" s="2234" t="str">
        <v>historical_exchange_rates_1920_2026.xlsx</v>
      </c>
      <c r="K1011" s="2234" t="str"/>
      <c r="L1011" s="2234" t="str">
        <v>原报价已按 1 美元兑换本币表示。</v>
      </c>
      <c r="M1011" s="2234" t="str">
        <v>2010|人民币元（1955币制；CNY）</v>
      </c>
      <c r="N1011" s="2234" t="str">
        <v>人民币元（1955币制；CNY）</v>
      </c>
      <c r="O1011" s="2239" t="n">
        <v>6.7696</v>
      </c>
      <c r="P1011" s="2234" t="str">
        <v>LCU/USD</v>
      </c>
      <c r="Q1011" s="2239" t="n">
        <v>1</v>
      </c>
      <c r="R1011" s="2234" t="str">
        <v>A：机构统计／原始统计表</v>
      </c>
      <c r="S1011" s="2234" t="str">
        <v>年度汇率!L96；原始记录!A830:M830</v>
      </c>
      <c r="T1011" s="2234" t="str"/>
      <c r="U1011" t="n" s="2231">
        <v>2017</v>
      </c>
      <c r="V1011" t="str" s="2231">
        <v>瑞士法郎（CHF）</v>
      </c>
    </row>
    <row r="1012" ht="24.0" customHeight="1">
      <c r="A1012" s="2234" t="n">
        <v>2010</v>
      </c>
      <c r="B1012" s="2234" t="str">
        <v>EUR</v>
      </c>
      <c r="C1012" s="2234" t="str">
        <v>欧元（EUR）</v>
      </c>
      <c r="D1012" s="2234" t="str">
        <v>可用</v>
      </c>
      <c r="E1012" s="2238" t="n">
        <v>0.7540909433677702</v>
      </c>
      <c r="F1012" s="2234" t="str">
        <v>年均</v>
      </c>
      <c r="G1012" s="2234" t="str">
        <v>Federal Reserve G.5A / FRED AEXUSEU</v>
      </c>
      <c r="H1012" s="2234" t="str">
        <v>https://fred.stlouisfed.org/data/AEXUSEU</v>
      </c>
      <c r="I1012" s="2234" t="str">
        <v>2010-01-01—2010-12-31</v>
      </c>
      <c r="J1012" s="2234" t="str">
        <v>historical_exchange_rates_1920_2026.xlsx</v>
      </c>
      <c r="K1012" s="2234" t="str">
        <v>反向值由原报价均值取倒数；不等于反向日度汇率的算术平均。
年均USD/EUR；主表取倒数。</v>
      </c>
      <c r="L1012" s="2234" t="str">
        <v>原报价为每单位本币兑美元，取原报价均值的倒数；不等于反向日度汇率的算术平均。</v>
      </c>
      <c r="M1012" s="2234" t="str">
        <v>2010|欧元（EUR）</v>
      </c>
      <c r="N1012" s="2234" t="str">
        <v>欧元（EUR）</v>
      </c>
      <c r="O1012" s="2239" t="n">
        <v>1.3261</v>
      </c>
      <c r="P1012" s="2234" t="str">
        <v>USD/LCU</v>
      </c>
      <c r="Q1012" s="2239" t="n">
        <v>1</v>
      </c>
      <c r="R1012" s="2234" t="str">
        <v>A：机构统计／原始统计表</v>
      </c>
      <c r="S1012" s="2234" t="str">
        <v>年度汇率!M96、年度汇率!E96、年度汇率!F96、年度汇率!G96；原始记录!A831:M831</v>
      </c>
      <c r="T1012" s="2234" t="str"/>
      <c r="U1012" t="n" s="2231">
        <v>2017</v>
      </c>
      <c r="V1012" t="str" s="2231">
        <v>印度卢比（INR）</v>
      </c>
    </row>
    <row r="1013" ht="15.0" customHeight="1">
      <c r="A1013" s="2234" t="n">
        <v>2011</v>
      </c>
      <c r="B1013" s="2234" t="str">
        <v>USD</v>
      </c>
      <c r="C1013" s="2234" t="str">
        <v>美元（USD）</v>
      </c>
      <c r="D1013" s="2234" t="str">
        <v>可用</v>
      </c>
      <c r="E1013" s="2238" t="n">
        <v>1</v>
      </c>
      <c r="F1013" s="2234" t="str">
        <v>基准恒等</v>
      </c>
      <c r="G1013" s="2234" t="str">
        <v>用户提供的历史汇率表</v>
      </c>
      <c r="H1013" s="2234" t="str"/>
      <c r="I1013" s="2234" t="str">
        <v>2011</v>
      </c>
      <c r="J1013" s="2234" t="str">
        <v>historical_exchange_rates_1920_2026.xlsx</v>
      </c>
      <c r="K1013" s="2234" t="str">
        <v>1 美元等于 1 美元，无外部报价。</v>
      </c>
      <c r="L1013" s="2234" t="str">
        <v>美元基准，汇率恒为 1。</v>
      </c>
      <c r="M1013" s="2234" t="str">
        <v>2011|美元（USD）</v>
      </c>
      <c r="N1013" s="2234" t="str">
        <v>美元（USD）</v>
      </c>
      <c r="O1013" s="2239"/>
      <c r="P1013" s="2234" t="str"/>
      <c r="Q1013" s="2239"/>
      <c r="R1013" s="2234" t="str"/>
      <c r="S1013" s="2234" t="str">
        <v>年度汇率!B97</v>
      </c>
      <c r="T1013" s="2234" t="str"/>
      <c r="U1013" t="n" s="2231">
        <v>2017</v>
      </c>
      <c r="V1013" t="str" s="2231">
        <v>俄罗斯卢布（RUB；1998币制）</v>
      </c>
    </row>
    <row r="1014" ht="24.0" customHeight="1">
      <c r="A1014" s="2234" t="n">
        <v>2011</v>
      </c>
      <c r="B1014" s="2234" t="str">
        <v>GBP</v>
      </c>
      <c r="C1014" s="2234" t="str">
        <v>英镑（GBP）</v>
      </c>
      <c r="D1014" s="2234" t="str">
        <v>可用</v>
      </c>
      <c r="E1014" s="2238" t="n">
        <v>0.6233248145608676</v>
      </c>
      <c r="F1014" s="2234" t="str">
        <v>年均</v>
      </c>
      <c r="G1014" s="2234" t="str">
        <v>Federal Reserve G.5A / FRED AEXUSUK</v>
      </c>
      <c r="H1014" s="2234" t="str">
        <v>https://fred.stlouisfed.org/data/AEXUSUK</v>
      </c>
      <c r="I1014" s="2234" t="str">
        <v>2011-01-01—2011-12-31</v>
      </c>
      <c r="J1014" s="2234" t="str">
        <v>historical_exchange_rates_1920_2026.xlsx</v>
      </c>
      <c r="K1014" s="2234" t="str">
        <v>反向值由原报价均值取倒数；不等于反向日度汇率的算术平均。
年均USD/GBP；主表取倒数，不等于逐日GBP/USD平均。</v>
      </c>
      <c r="L1014" s="2234" t="str">
        <v>原报价为每单位本币兑美元，取原报价均值的倒数；不等于反向日度汇率的算术平均。</v>
      </c>
      <c r="M1014" s="2234" t="str">
        <v>2011|英镑（GBP）</v>
      </c>
      <c r="N1014" s="2234" t="str">
        <v>英镑（GBP）</v>
      </c>
      <c r="O1014" s="2239" t="n">
        <v>1.6043</v>
      </c>
      <c r="P1014" s="2234" t="str">
        <v>USD/LCU</v>
      </c>
      <c r="Q1014" s="2239" t="n">
        <v>1</v>
      </c>
      <c r="R1014" s="2234" t="str">
        <v>A：机构统计／原始统计表</v>
      </c>
      <c r="S1014" s="2234" t="str">
        <v>年度汇率!C97；原始记录!A832:M832</v>
      </c>
      <c r="T1014" s="2234" t="str"/>
      <c r="U1014" t="n" s="2231">
        <v>2017</v>
      </c>
      <c r="V1014" t="str" s="2231">
        <v>人民币元（1955币制；CNY）</v>
      </c>
    </row>
    <row r="1015" ht="15.0" customHeight="1">
      <c r="A1015" s="2234" t="n">
        <v>2011</v>
      </c>
      <c r="B1015" s="2234" t="str">
        <v>CAD</v>
      </c>
      <c r="C1015" s="2234" t="str">
        <v>加拿大元（CAD）</v>
      </c>
      <c r="D1015" s="2234" t="str">
        <v>可用</v>
      </c>
      <c r="E1015" s="2238" t="n">
        <v>0.9887</v>
      </c>
      <c r="F1015" s="2234" t="str">
        <v>年均</v>
      </c>
      <c r="G1015" s="2234" t="str">
        <v>Federal Reserve G.5A / FRED AEXCAUS</v>
      </c>
      <c r="H1015" s="2234" t="str">
        <v>https://fred.stlouisfed.org/data/AEXCAUS</v>
      </c>
      <c r="I1015" s="2234" t="str">
        <v>2011-01-01—2011-12-31</v>
      </c>
      <c r="J1015" s="2234" t="str">
        <v>historical_exchange_rates_1920_2026.xlsx</v>
      </c>
      <c r="K1015" s="2234" t="str"/>
      <c r="L1015" s="2234" t="str">
        <v>原报价已按 1 美元兑换本币表示。</v>
      </c>
      <c r="M1015" s="2234" t="str">
        <v>2011|加拿大元（CAD）</v>
      </c>
      <c r="N1015" s="2234" t="str">
        <v>加拿大元（CAD）</v>
      </c>
      <c r="O1015" s="2239" t="n">
        <v>0.9887</v>
      </c>
      <c r="P1015" s="2234" t="str">
        <v>LCU/USD</v>
      </c>
      <c r="Q1015" s="2239" t="n">
        <v>1</v>
      </c>
      <c r="R1015" s="2234" t="str">
        <v>A：机构统计／原始统计表</v>
      </c>
      <c r="S1015" s="2234" t="str">
        <v>年度汇率!D97；原始记录!A833:M833</v>
      </c>
      <c r="T1015" s="2234" t="str"/>
      <c r="U1015" t="n" s="2231">
        <v>2017</v>
      </c>
      <c r="V1015" t="str" s="2231">
        <v>欧元（EUR）</v>
      </c>
    </row>
    <row r="1016" ht="15.0" customHeight="1">
      <c r="A1016" s="2234" t="n">
        <v>2011</v>
      </c>
      <c r="B1016" s="2234" t="str">
        <v>JPY</v>
      </c>
      <c r="C1016" s="2234" t="str">
        <v>日元（JPY）</v>
      </c>
      <c r="D1016" s="2234" t="str">
        <v>可用</v>
      </c>
      <c r="E1016" s="2238" t="n">
        <v>79.6967</v>
      </c>
      <c r="F1016" s="2234" t="str">
        <v>年均</v>
      </c>
      <c r="G1016" s="2234" t="str">
        <v>Federal Reserve G.5A / FRED AEXJPUS</v>
      </c>
      <c r="H1016" s="2234" t="str">
        <v>https://fred.stlouisfed.org/data/AEXJPUS</v>
      </c>
      <c r="I1016" s="2234" t="str">
        <v>2011-01-01—2011-12-31</v>
      </c>
      <c r="J1016" s="2234" t="str">
        <v>historical_exchange_rates_1920_2026.xlsx</v>
      </c>
      <c r="K1016" s="2234" t="str"/>
      <c r="L1016" s="2234" t="str">
        <v>原报价已按 1 美元兑换本币表示。</v>
      </c>
      <c r="M1016" s="2234" t="str">
        <v>2011|日元（JPY）</v>
      </c>
      <c r="N1016" s="2234" t="str">
        <v>日元（JPY）</v>
      </c>
      <c r="O1016" s="2239" t="n">
        <v>79.6967</v>
      </c>
      <c r="P1016" s="2234" t="str">
        <v>LCU/USD</v>
      </c>
      <c r="Q1016" s="2239" t="n">
        <v>1</v>
      </c>
      <c r="R1016" s="2234" t="str">
        <v>A：机构统计／原始统计表</v>
      </c>
      <c r="S1016" s="2234" t="str">
        <v>年度汇率!H97；原始记录!A834:M834</v>
      </c>
      <c r="T1016" s="2234" t="str"/>
      <c r="U1016" t="n" s="2231">
        <v>2018</v>
      </c>
      <c r="V1016" t="str" s="2231">
        <v>美元（USD）</v>
      </c>
    </row>
    <row r="1017" ht="15.0" customHeight="1">
      <c r="A1017" s="2234" t="n">
        <v>2011</v>
      </c>
      <c r="B1017" s="2234" t="str">
        <v>CHF</v>
      </c>
      <c r="C1017" s="2234" t="str">
        <v>瑞士法郎（CHF）</v>
      </c>
      <c r="D1017" s="2234" t="str">
        <v>可用</v>
      </c>
      <c r="E1017" s="2238" t="n">
        <v>0.8862</v>
      </c>
      <c r="F1017" s="2234" t="str">
        <v>年均</v>
      </c>
      <c r="G1017" s="2234" t="str">
        <v>Federal Reserve G.5A / FRED AEXSZUS</v>
      </c>
      <c r="H1017" s="2234" t="str">
        <v>https://fred.stlouisfed.org/data/AEXSZUS</v>
      </c>
      <c r="I1017" s="2234" t="str">
        <v>2011-01-01—2011-12-31</v>
      </c>
      <c r="J1017" s="2234" t="str">
        <v>historical_exchange_rates_1920_2026.xlsx</v>
      </c>
      <c r="K1017" s="2234" t="str"/>
      <c r="L1017" s="2234" t="str">
        <v>原报价已按 1 美元兑换本币表示。</v>
      </c>
      <c r="M1017" s="2234" t="str">
        <v>2011|瑞士法郎（CHF）</v>
      </c>
      <c r="N1017" s="2234" t="str">
        <v>瑞士法郎（CHF）</v>
      </c>
      <c r="O1017" s="2239" t="n">
        <v>0.8862</v>
      </c>
      <c r="P1017" s="2234" t="str">
        <v>LCU/USD</v>
      </c>
      <c r="Q1017" s="2239" t="n">
        <v>1</v>
      </c>
      <c r="R1017" s="2234" t="str">
        <v>A：机构统计／原始统计表</v>
      </c>
      <c r="S1017" s="2234" t="str">
        <v>年度汇率!I97；原始记录!A835:M835</v>
      </c>
      <c r="T1017" s="2234" t="str"/>
      <c r="U1017" t="n" s="2231">
        <v>2018</v>
      </c>
      <c r="V1017" t="str" s="2231">
        <v>英镑（GBP）</v>
      </c>
    </row>
    <row r="1018" ht="15.0" customHeight="1">
      <c r="A1018" s="2234" t="n">
        <v>2011</v>
      </c>
      <c r="B1018" s="2234" t="str">
        <v>INR</v>
      </c>
      <c r="C1018" s="2234" t="str">
        <v>印度卢比（INR）</v>
      </c>
      <c r="D1018" s="2234" t="str">
        <v>可用</v>
      </c>
      <c r="E1018" s="2238" t="n">
        <v>46.5782</v>
      </c>
      <c r="F1018" s="2234" t="str">
        <v>年均</v>
      </c>
      <c r="G1018" s="2234" t="str">
        <v>Federal Reserve G.5A / FRED AEXINUS</v>
      </c>
      <c r="H1018" s="2234" t="str">
        <v>https://fred.stlouisfed.org/data/AEXINUS</v>
      </c>
      <c r="I1018" s="2234" t="str">
        <v>2011-01-01—2011-12-31</v>
      </c>
      <c r="J1018" s="2234" t="str">
        <v>historical_exchange_rates_1920_2026.xlsx</v>
      </c>
      <c r="K1018" s="2234" t="str"/>
      <c r="L1018" s="2234" t="str">
        <v>原报价已按 1 美元兑换本币表示。</v>
      </c>
      <c r="M1018" s="2234" t="str">
        <v>2011|印度卢比（INR）</v>
      </c>
      <c r="N1018" s="2234" t="str">
        <v>印度卢比（INR）</v>
      </c>
      <c r="O1018" s="2239" t="n">
        <v>46.5782</v>
      </c>
      <c r="P1018" s="2234" t="str">
        <v>LCU/USD</v>
      </c>
      <c r="Q1018" s="2239" t="n">
        <v>1</v>
      </c>
      <c r="R1018" s="2234" t="str">
        <v>A：机构统计／原始统计表</v>
      </c>
      <c r="S1018" s="2234" t="str">
        <v>年度汇率!J97；原始记录!A836:M836</v>
      </c>
      <c r="T1018" s="2234" t="str"/>
      <c r="U1018" t="n" s="2231">
        <v>2018</v>
      </c>
      <c r="V1018" t="str" s="2231">
        <v>加拿大元（CAD）</v>
      </c>
    </row>
    <row r="1019" ht="15.0" customHeight="1">
      <c r="A1019" s="2234" t="n">
        <v>2011</v>
      </c>
      <c r="B1019" s="2234" t="str">
        <v>RUB</v>
      </c>
      <c r="C1019" s="2234" t="str">
        <v>俄罗斯卢布（RUB；1998币制）</v>
      </c>
      <c r="D1019" s="2234" t="str">
        <v>可用</v>
      </c>
      <c r="E1019" s="2238" t="n">
        <v>29.4026144513222</v>
      </c>
      <c r="F1019" s="2234" t="str">
        <v>年均</v>
      </c>
      <c r="G1019" s="2234" t="str">
        <v>OECD Main Economic Indicators / FRED CCUSMA02RUA618N</v>
      </c>
      <c r="H1019" s="2234" t="str">
        <v>https://fred.stlouisfed.org/data/CCUSMA02RUA618N</v>
      </c>
      <c r="I1019" s="2234" t="str">
        <v>2011-01-01—2011-12-31</v>
      </c>
      <c r="J1019" s="2234" t="str">
        <v>historical_exchange_rates_1920_2026.xlsx</v>
      </c>
      <c r="K1019" s="2234" t="str">
        <v>原表1993—1997年以1998年新卢布回溯表示；本表乘1000还原当年的旧卢布。</v>
      </c>
      <c r="L1019" s="2234" t="str">
        <v>原报价已按 1 美元兑换本币表示。</v>
      </c>
      <c r="M1019" s="2234" t="str">
        <v>2011|俄罗斯卢布（RUB；1998币制）</v>
      </c>
      <c r="N1019" s="2234" t="str">
        <v>俄罗斯卢布（RUB；1998币制）</v>
      </c>
      <c r="O1019" s="2239" t="n">
        <v>29.4026144513222</v>
      </c>
      <c r="P1019" s="2234" t="str">
        <v>LCU/USD</v>
      </c>
      <c r="Q1019" s="2239" t="n">
        <v>1</v>
      </c>
      <c r="R1019" s="2234" t="str">
        <v>A：机构统计／原始统计表</v>
      </c>
      <c r="S1019" s="2234" t="str">
        <v>年度汇率!K97；原始记录!A837:M837</v>
      </c>
      <c r="T1019" s="2234" t="str"/>
      <c r="U1019" t="n" s="2231">
        <v>2018</v>
      </c>
      <c r="V1019" t="str" s="2231">
        <v>日元（JPY）</v>
      </c>
    </row>
    <row r="1020" ht="15.0" customHeight="1">
      <c r="A1020" s="2234" t="n">
        <v>2011</v>
      </c>
      <c r="B1020" s="2234" t="str">
        <v>CNY</v>
      </c>
      <c r="C1020" s="2234" t="str">
        <v>人民币元（1955币制；CNY）</v>
      </c>
      <c r="D1020" s="2234" t="str">
        <v>可用</v>
      </c>
      <c r="E1020" s="2238" t="n">
        <v>6.463</v>
      </c>
      <c r="F1020" s="2234" t="str">
        <v>年均</v>
      </c>
      <c r="G1020" s="2234" t="str">
        <v>Federal Reserve G.5A / FRED AEXCHUS</v>
      </c>
      <c r="H1020" s="2234" t="str">
        <v>https://fred.stlouisfed.org/data/AEXCHUS</v>
      </c>
      <c r="I1020" s="2234" t="str">
        <v>2011-01-01—2011-12-31</v>
      </c>
      <c r="J1020" s="2234" t="str">
        <v>historical_exchange_rates_1920_2026.xlsx</v>
      </c>
      <c r="K1020" s="2234" t="str"/>
      <c r="L1020" s="2234" t="str">
        <v>原报价已按 1 美元兑换本币表示。</v>
      </c>
      <c r="M1020" s="2234" t="str">
        <v>2011|人民币元（1955币制；CNY）</v>
      </c>
      <c r="N1020" s="2234" t="str">
        <v>人民币元（1955币制；CNY）</v>
      </c>
      <c r="O1020" s="2239" t="n">
        <v>6.463</v>
      </c>
      <c r="P1020" s="2234" t="str">
        <v>LCU/USD</v>
      </c>
      <c r="Q1020" s="2239" t="n">
        <v>1</v>
      </c>
      <c r="R1020" s="2234" t="str">
        <v>A：机构统计／原始统计表</v>
      </c>
      <c r="S1020" s="2234" t="str">
        <v>年度汇率!L97；原始记录!A838:M838</v>
      </c>
      <c r="T1020" s="2234" t="str"/>
      <c r="U1020" t="n" s="2231">
        <v>2018</v>
      </c>
      <c r="V1020" t="str" s="2231">
        <v>瑞士法郎（CHF）</v>
      </c>
    </row>
    <row r="1021" ht="24.0" customHeight="1">
      <c r="A1021" s="2234" t="n">
        <v>2011</v>
      </c>
      <c r="B1021" s="2234" t="str">
        <v>EUR</v>
      </c>
      <c r="C1021" s="2234" t="str">
        <v>欧元（EUR）</v>
      </c>
      <c r="D1021" s="2234" t="str">
        <v>可用</v>
      </c>
      <c r="E1021" s="2238" t="n">
        <v>0.7178235589692054</v>
      </c>
      <c r="F1021" s="2234" t="str">
        <v>年均</v>
      </c>
      <c r="G1021" s="2234" t="str">
        <v>Federal Reserve G.5A / FRED AEXUSEU</v>
      </c>
      <c r="H1021" s="2234" t="str">
        <v>https://fred.stlouisfed.org/data/AEXUSEU</v>
      </c>
      <c r="I1021" s="2234" t="str">
        <v>2011-01-01—2011-12-31</v>
      </c>
      <c r="J1021" s="2234" t="str">
        <v>historical_exchange_rates_1920_2026.xlsx</v>
      </c>
      <c r="K1021" s="2234" t="str">
        <v>反向值由原报价均值取倒数；不等于反向日度汇率的算术平均。
年均USD/EUR；主表取倒数。</v>
      </c>
      <c r="L1021" s="2234" t="str">
        <v>原报价为每单位本币兑美元，取原报价均值的倒数；不等于反向日度汇率的算术平均。</v>
      </c>
      <c r="M1021" s="2234" t="str">
        <v>2011|欧元（EUR）</v>
      </c>
      <c r="N1021" s="2234" t="str">
        <v>欧元（EUR）</v>
      </c>
      <c r="O1021" s="2239" t="n">
        <v>1.3931</v>
      </c>
      <c r="P1021" s="2234" t="str">
        <v>USD/LCU</v>
      </c>
      <c r="Q1021" s="2239" t="n">
        <v>1</v>
      </c>
      <c r="R1021" s="2234" t="str">
        <v>A：机构统计／原始统计表</v>
      </c>
      <c r="S1021" s="2234" t="str">
        <v>年度汇率!M97、年度汇率!E97、年度汇率!F97、年度汇率!G97；原始记录!A839:M839</v>
      </c>
      <c r="T1021" s="2234" t="str"/>
      <c r="U1021" t="n" s="2231">
        <v>2018</v>
      </c>
      <c r="V1021" t="str" s="2231">
        <v>印度卢比（INR）</v>
      </c>
    </row>
    <row r="1022" ht="15.0" customHeight="1">
      <c r="A1022" s="2234" t="n">
        <v>2012</v>
      </c>
      <c r="B1022" s="2234" t="str">
        <v>USD</v>
      </c>
      <c r="C1022" s="2234" t="str">
        <v>美元（USD）</v>
      </c>
      <c r="D1022" s="2234" t="str">
        <v>可用</v>
      </c>
      <c r="E1022" s="2238" t="n">
        <v>1</v>
      </c>
      <c r="F1022" s="2234" t="str">
        <v>基准恒等</v>
      </c>
      <c r="G1022" s="2234" t="str">
        <v>用户提供的历史汇率表</v>
      </c>
      <c r="H1022" s="2234" t="str"/>
      <c r="I1022" s="2234" t="str">
        <v>2012</v>
      </c>
      <c r="J1022" s="2234" t="str">
        <v>historical_exchange_rates_1920_2026.xlsx</v>
      </c>
      <c r="K1022" s="2234" t="str">
        <v>1 美元等于 1 美元，无外部报价。</v>
      </c>
      <c r="L1022" s="2234" t="str">
        <v>美元基准，汇率恒为 1。</v>
      </c>
      <c r="M1022" s="2234" t="str">
        <v>2012|美元（USD）</v>
      </c>
      <c r="N1022" s="2234" t="str">
        <v>美元（USD）</v>
      </c>
      <c r="O1022" s="2239"/>
      <c r="P1022" s="2234" t="str"/>
      <c r="Q1022" s="2239"/>
      <c r="R1022" s="2234" t="str"/>
      <c r="S1022" s="2234" t="str">
        <v>年度汇率!B98</v>
      </c>
      <c r="T1022" s="2234" t="str"/>
      <c r="U1022" t="n" s="2231">
        <v>2018</v>
      </c>
      <c r="V1022" t="str" s="2231">
        <v>俄罗斯卢布（RUB；1998币制）</v>
      </c>
    </row>
    <row r="1023" ht="24.0" customHeight="1">
      <c r="A1023" s="2234" t="n">
        <v>2012</v>
      </c>
      <c r="B1023" s="2234" t="str">
        <v>GBP</v>
      </c>
      <c r="C1023" s="2234" t="str">
        <v>英镑（GBP）</v>
      </c>
      <c r="D1023" s="2234" t="str">
        <v>可用</v>
      </c>
      <c r="E1023" s="2238" t="n">
        <v>0.6307954330410648</v>
      </c>
      <c r="F1023" s="2234" t="str">
        <v>年均</v>
      </c>
      <c r="G1023" s="2234" t="str">
        <v>Federal Reserve G.5A / FRED AEXUSUK</v>
      </c>
      <c r="H1023" s="2234" t="str">
        <v>https://fred.stlouisfed.org/data/AEXUSUK</v>
      </c>
      <c r="I1023" s="2234" t="str">
        <v>2012-01-01—2012-12-31</v>
      </c>
      <c r="J1023" s="2234" t="str">
        <v>historical_exchange_rates_1920_2026.xlsx</v>
      </c>
      <c r="K1023" s="2234" t="str">
        <v>反向值由原报价均值取倒数；不等于反向日度汇率的算术平均。
年均USD/GBP；主表取倒数，不等于逐日GBP/USD平均。</v>
      </c>
      <c r="L1023" s="2234" t="str">
        <v>原报价为每单位本币兑美元，取原报价均值的倒数；不等于反向日度汇率的算术平均。</v>
      </c>
      <c r="M1023" s="2234" t="str">
        <v>2012|英镑（GBP）</v>
      </c>
      <c r="N1023" s="2234" t="str">
        <v>英镑（GBP）</v>
      </c>
      <c r="O1023" s="2239" t="n">
        <v>1.5853</v>
      </c>
      <c r="P1023" s="2234" t="str">
        <v>USD/LCU</v>
      </c>
      <c r="Q1023" s="2239" t="n">
        <v>1</v>
      </c>
      <c r="R1023" s="2234" t="str">
        <v>A：机构统计／原始统计表</v>
      </c>
      <c r="S1023" s="2234" t="str">
        <v>年度汇率!C98；原始记录!A840:M840</v>
      </c>
      <c r="T1023" s="2234" t="str"/>
      <c r="U1023" t="n" s="2231">
        <v>2018</v>
      </c>
      <c r="V1023" t="str" s="2231">
        <v>人民币元（1955币制；CNY）</v>
      </c>
    </row>
    <row r="1024" ht="15.0" customHeight="1">
      <c r="A1024" s="2234" t="n">
        <v>2012</v>
      </c>
      <c r="B1024" s="2234" t="str">
        <v>CAD</v>
      </c>
      <c r="C1024" s="2234" t="str">
        <v>加拿大元（CAD）</v>
      </c>
      <c r="D1024" s="2234" t="str">
        <v>可用</v>
      </c>
      <c r="E1024" s="2238" t="n">
        <v>0.9995</v>
      </c>
      <c r="F1024" s="2234" t="str">
        <v>年均</v>
      </c>
      <c r="G1024" s="2234" t="str">
        <v>Federal Reserve G.5A / FRED AEXCAUS</v>
      </c>
      <c r="H1024" s="2234" t="str">
        <v>https://fred.stlouisfed.org/data/AEXCAUS</v>
      </c>
      <c r="I1024" s="2234" t="str">
        <v>2012-01-01—2012-12-31</v>
      </c>
      <c r="J1024" s="2234" t="str">
        <v>historical_exchange_rates_1920_2026.xlsx</v>
      </c>
      <c r="K1024" s="2234" t="str"/>
      <c r="L1024" s="2234" t="str">
        <v>原报价已按 1 美元兑换本币表示。</v>
      </c>
      <c r="M1024" s="2234" t="str">
        <v>2012|加拿大元（CAD）</v>
      </c>
      <c r="N1024" s="2234" t="str">
        <v>加拿大元（CAD）</v>
      </c>
      <c r="O1024" s="2239" t="n">
        <v>0.9995</v>
      </c>
      <c r="P1024" s="2234" t="str">
        <v>LCU/USD</v>
      </c>
      <c r="Q1024" s="2239" t="n">
        <v>1</v>
      </c>
      <c r="R1024" s="2234" t="str">
        <v>A：机构统计／原始统计表</v>
      </c>
      <c r="S1024" s="2234" t="str">
        <v>年度汇率!D98；原始记录!A841:M841</v>
      </c>
      <c r="T1024" s="2234" t="str"/>
      <c r="U1024" t="n" s="2231">
        <v>2018</v>
      </c>
      <c r="V1024" t="str" s="2231">
        <v>欧元（EUR）</v>
      </c>
    </row>
    <row r="1025" ht="15.0" customHeight="1">
      <c r="A1025" s="2234" t="n">
        <v>2012</v>
      </c>
      <c r="B1025" s="2234" t="str">
        <v>JPY</v>
      </c>
      <c r="C1025" s="2234" t="str">
        <v>日元（JPY）</v>
      </c>
      <c r="D1025" s="2234" t="str">
        <v>可用</v>
      </c>
      <c r="E1025" s="2238" t="n">
        <v>79.818</v>
      </c>
      <c r="F1025" s="2234" t="str">
        <v>年均</v>
      </c>
      <c r="G1025" s="2234" t="str">
        <v>Federal Reserve G.5A / FRED AEXJPUS</v>
      </c>
      <c r="H1025" s="2234" t="str">
        <v>https://fred.stlouisfed.org/data/AEXJPUS</v>
      </c>
      <c r="I1025" s="2234" t="str">
        <v>2012-01-01—2012-12-31</v>
      </c>
      <c r="J1025" s="2234" t="str">
        <v>historical_exchange_rates_1920_2026.xlsx</v>
      </c>
      <c r="K1025" s="2234" t="str"/>
      <c r="L1025" s="2234" t="str">
        <v>原报价已按 1 美元兑换本币表示。</v>
      </c>
      <c r="M1025" s="2234" t="str">
        <v>2012|日元（JPY）</v>
      </c>
      <c r="N1025" s="2234" t="str">
        <v>日元（JPY）</v>
      </c>
      <c r="O1025" s="2239" t="n">
        <v>79.818</v>
      </c>
      <c r="P1025" s="2234" t="str">
        <v>LCU/USD</v>
      </c>
      <c r="Q1025" s="2239" t="n">
        <v>1</v>
      </c>
      <c r="R1025" s="2234" t="str">
        <v>A：机构统计／原始统计表</v>
      </c>
      <c r="S1025" s="2234" t="str">
        <v>年度汇率!H98；原始记录!A842:M842</v>
      </c>
      <c r="T1025" s="2234" t="str"/>
      <c r="U1025" t="n" s="2231">
        <v>2019</v>
      </c>
      <c r="V1025" t="str" s="2231">
        <v>美元（USD）</v>
      </c>
    </row>
    <row r="1026" ht="15.0" customHeight="1">
      <c r="A1026" s="2234" t="n">
        <v>2012</v>
      </c>
      <c r="B1026" s="2234" t="str">
        <v>CHF</v>
      </c>
      <c r="C1026" s="2234" t="str">
        <v>瑞士法郎（CHF）</v>
      </c>
      <c r="D1026" s="2234" t="str">
        <v>可用</v>
      </c>
      <c r="E1026" s="2238" t="n">
        <v>0.9377</v>
      </c>
      <c r="F1026" s="2234" t="str">
        <v>年均</v>
      </c>
      <c r="G1026" s="2234" t="str">
        <v>Federal Reserve G.5A / FRED AEXSZUS</v>
      </c>
      <c r="H1026" s="2234" t="str">
        <v>https://fred.stlouisfed.org/data/AEXSZUS</v>
      </c>
      <c r="I1026" s="2234" t="str">
        <v>2012-01-01—2012-12-31</v>
      </c>
      <c r="J1026" s="2234" t="str">
        <v>historical_exchange_rates_1920_2026.xlsx</v>
      </c>
      <c r="K1026" s="2234" t="str"/>
      <c r="L1026" s="2234" t="str">
        <v>原报价已按 1 美元兑换本币表示。</v>
      </c>
      <c r="M1026" s="2234" t="str">
        <v>2012|瑞士法郎（CHF）</v>
      </c>
      <c r="N1026" s="2234" t="str">
        <v>瑞士法郎（CHF）</v>
      </c>
      <c r="O1026" s="2239" t="n">
        <v>0.9377</v>
      </c>
      <c r="P1026" s="2234" t="str">
        <v>LCU/USD</v>
      </c>
      <c r="Q1026" s="2239" t="n">
        <v>1</v>
      </c>
      <c r="R1026" s="2234" t="str">
        <v>A：机构统计／原始统计表</v>
      </c>
      <c r="S1026" s="2234" t="str">
        <v>年度汇率!I98；原始记录!A843:M843</v>
      </c>
      <c r="T1026" s="2234" t="str"/>
      <c r="U1026" t="n" s="2231">
        <v>2019</v>
      </c>
      <c r="V1026" t="str" s="2231">
        <v>英镑（GBP）</v>
      </c>
    </row>
    <row r="1027" ht="15.0" customHeight="1">
      <c r="A1027" s="2234" t="n">
        <v>2012</v>
      </c>
      <c r="B1027" s="2234" t="str">
        <v>INR</v>
      </c>
      <c r="C1027" s="2234" t="str">
        <v>印度卢比（INR）</v>
      </c>
      <c r="D1027" s="2234" t="str">
        <v>可用</v>
      </c>
      <c r="E1027" s="2238" t="n">
        <v>53.3743</v>
      </c>
      <c r="F1027" s="2234" t="str">
        <v>年均</v>
      </c>
      <c r="G1027" s="2234" t="str">
        <v>Federal Reserve G.5A / FRED AEXINUS</v>
      </c>
      <c r="H1027" s="2234" t="str">
        <v>https://fred.stlouisfed.org/data/AEXINUS</v>
      </c>
      <c r="I1027" s="2234" t="str">
        <v>2012-01-01—2012-12-31</v>
      </c>
      <c r="J1027" s="2234" t="str">
        <v>historical_exchange_rates_1920_2026.xlsx</v>
      </c>
      <c r="K1027" s="2234" t="str"/>
      <c r="L1027" s="2234" t="str">
        <v>原报价已按 1 美元兑换本币表示。</v>
      </c>
      <c r="M1027" s="2234" t="str">
        <v>2012|印度卢比（INR）</v>
      </c>
      <c r="N1027" s="2234" t="str">
        <v>印度卢比（INR）</v>
      </c>
      <c r="O1027" s="2239" t="n">
        <v>53.3743</v>
      </c>
      <c r="P1027" s="2234" t="str">
        <v>LCU/USD</v>
      </c>
      <c r="Q1027" s="2239" t="n">
        <v>1</v>
      </c>
      <c r="R1027" s="2234" t="str">
        <v>A：机构统计／原始统计表</v>
      </c>
      <c r="S1027" s="2234" t="str">
        <v>年度汇率!J98；原始记录!A844:M844</v>
      </c>
      <c r="T1027" s="2234" t="str"/>
      <c r="U1027" t="n" s="2231">
        <v>2019</v>
      </c>
      <c r="V1027" t="str" s="2231">
        <v>加拿大元（CAD）</v>
      </c>
    </row>
    <row r="1028" ht="15.0" customHeight="1">
      <c r="A1028" s="2234" t="n">
        <v>2012</v>
      </c>
      <c r="B1028" s="2234" t="str">
        <v>RUB</v>
      </c>
      <c r="C1028" s="2234" t="str">
        <v>俄罗斯卢布（RUB；1998币制）</v>
      </c>
      <c r="D1028" s="2234" t="str">
        <v>可用</v>
      </c>
      <c r="E1028" s="2238" t="n">
        <v>31.0482610512356</v>
      </c>
      <c r="F1028" s="2234" t="str">
        <v>年均</v>
      </c>
      <c r="G1028" s="2234" t="str">
        <v>OECD Main Economic Indicators / FRED CCUSMA02RUA618N</v>
      </c>
      <c r="H1028" s="2234" t="str">
        <v>https://fred.stlouisfed.org/data/CCUSMA02RUA618N</v>
      </c>
      <c r="I1028" s="2234" t="str">
        <v>2012-01-01—2012-12-31</v>
      </c>
      <c r="J1028" s="2234" t="str">
        <v>historical_exchange_rates_1920_2026.xlsx</v>
      </c>
      <c r="K1028" s="2234" t="str">
        <v>原表1993—1997年以1998年新卢布回溯表示；本表乘1000还原当年的旧卢布。</v>
      </c>
      <c r="L1028" s="2234" t="str">
        <v>原报价已按 1 美元兑换本币表示。</v>
      </c>
      <c r="M1028" s="2234" t="str">
        <v>2012|俄罗斯卢布（RUB；1998币制）</v>
      </c>
      <c r="N1028" s="2234" t="str">
        <v>俄罗斯卢布（RUB；1998币制）</v>
      </c>
      <c r="O1028" s="2239" t="n">
        <v>31.0482610512356</v>
      </c>
      <c r="P1028" s="2234" t="str">
        <v>LCU/USD</v>
      </c>
      <c r="Q1028" s="2239" t="n">
        <v>1</v>
      </c>
      <c r="R1028" s="2234" t="str">
        <v>A：机构统计／原始统计表</v>
      </c>
      <c r="S1028" s="2234" t="str">
        <v>年度汇率!K98；原始记录!A845:M845</v>
      </c>
      <c r="T1028" s="2234" t="str"/>
      <c r="U1028" t="n" s="2231">
        <v>2019</v>
      </c>
      <c r="V1028" t="str" s="2231">
        <v>日元（JPY）</v>
      </c>
    </row>
    <row r="1029" ht="15.0" customHeight="1">
      <c r="A1029" s="2234" t="n">
        <v>2012</v>
      </c>
      <c r="B1029" s="2234" t="str">
        <v>CNY</v>
      </c>
      <c r="C1029" s="2234" t="str">
        <v>人民币元（1955币制；CNY）</v>
      </c>
      <c r="D1029" s="2234" t="str">
        <v>可用</v>
      </c>
      <c r="E1029" s="2238" t="n">
        <v>6.3093</v>
      </c>
      <c r="F1029" s="2234" t="str">
        <v>年均</v>
      </c>
      <c r="G1029" s="2234" t="str">
        <v>Federal Reserve G.5A / FRED AEXCHUS</v>
      </c>
      <c r="H1029" s="2234" t="str">
        <v>https://fred.stlouisfed.org/data/AEXCHUS</v>
      </c>
      <c r="I1029" s="2234" t="str">
        <v>2012-01-01—2012-12-31</v>
      </c>
      <c r="J1029" s="2234" t="str">
        <v>historical_exchange_rates_1920_2026.xlsx</v>
      </c>
      <c r="K1029" s="2234" t="str"/>
      <c r="L1029" s="2234" t="str">
        <v>原报价已按 1 美元兑换本币表示。</v>
      </c>
      <c r="M1029" s="2234" t="str">
        <v>2012|人民币元（1955币制；CNY）</v>
      </c>
      <c r="N1029" s="2234" t="str">
        <v>人民币元（1955币制；CNY）</v>
      </c>
      <c r="O1029" s="2239" t="n">
        <v>6.3093</v>
      </c>
      <c r="P1029" s="2234" t="str">
        <v>LCU/USD</v>
      </c>
      <c r="Q1029" s="2239" t="n">
        <v>1</v>
      </c>
      <c r="R1029" s="2234" t="str">
        <v>A：机构统计／原始统计表</v>
      </c>
      <c r="S1029" s="2234" t="str">
        <v>年度汇率!L98；原始记录!A846:M846</v>
      </c>
      <c r="T1029" s="2234" t="str"/>
      <c r="U1029" t="n" s="2231">
        <v>2019</v>
      </c>
      <c r="V1029" t="str" s="2231">
        <v>瑞士法郎（CHF）</v>
      </c>
    </row>
    <row r="1030" ht="24.0" customHeight="1">
      <c r="A1030" s="2234" t="n">
        <v>2012</v>
      </c>
      <c r="B1030" s="2234" t="str">
        <v>EUR</v>
      </c>
      <c r="C1030" s="2234" t="str">
        <v>欧元（EUR）</v>
      </c>
      <c r="D1030" s="2234" t="str">
        <v>可用</v>
      </c>
      <c r="E1030" s="2238" t="n">
        <v>0.777665448324131</v>
      </c>
      <c r="F1030" s="2234" t="str">
        <v>年均</v>
      </c>
      <c r="G1030" s="2234" t="str">
        <v>Federal Reserve G.5A / FRED AEXUSEU</v>
      </c>
      <c r="H1030" s="2234" t="str">
        <v>https://fred.stlouisfed.org/data/AEXUSEU</v>
      </c>
      <c r="I1030" s="2234" t="str">
        <v>2012-01-01—2012-12-31</v>
      </c>
      <c r="J1030" s="2234" t="str">
        <v>historical_exchange_rates_1920_2026.xlsx</v>
      </c>
      <c r="K1030" s="2234" t="str">
        <v>反向值由原报价均值取倒数；不等于反向日度汇率的算术平均。
年均USD/EUR；主表取倒数。</v>
      </c>
      <c r="L1030" s="2234" t="str">
        <v>原报价为每单位本币兑美元，取原报价均值的倒数；不等于反向日度汇率的算术平均。</v>
      </c>
      <c r="M1030" s="2234" t="str">
        <v>2012|欧元（EUR）</v>
      </c>
      <c r="N1030" s="2234" t="str">
        <v>欧元（EUR）</v>
      </c>
      <c r="O1030" s="2239" t="n">
        <v>1.2859</v>
      </c>
      <c r="P1030" s="2234" t="str">
        <v>USD/LCU</v>
      </c>
      <c r="Q1030" s="2239" t="n">
        <v>1</v>
      </c>
      <c r="R1030" s="2234" t="str">
        <v>A：机构统计／原始统计表</v>
      </c>
      <c r="S1030" s="2234" t="str">
        <v>年度汇率!M98、年度汇率!E98、年度汇率!F98、年度汇率!G98；原始记录!A847:M847</v>
      </c>
      <c r="T1030" s="2234" t="str"/>
      <c r="U1030" t="n" s="2231">
        <v>2019</v>
      </c>
      <c r="V1030" t="str" s="2231">
        <v>印度卢比（INR）</v>
      </c>
    </row>
    <row r="1031" ht="15.0" customHeight="1">
      <c r="A1031" s="2234" t="n">
        <v>2013</v>
      </c>
      <c r="B1031" s="2234" t="str">
        <v>USD</v>
      </c>
      <c r="C1031" s="2234" t="str">
        <v>美元（USD）</v>
      </c>
      <c r="D1031" s="2234" t="str">
        <v>可用</v>
      </c>
      <c r="E1031" s="2238" t="n">
        <v>1</v>
      </c>
      <c r="F1031" s="2234" t="str">
        <v>基准恒等</v>
      </c>
      <c r="G1031" s="2234" t="str">
        <v>用户提供的历史汇率表</v>
      </c>
      <c r="H1031" s="2234" t="str"/>
      <c r="I1031" s="2234" t="str">
        <v>2013</v>
      </c>
      <c r="J1031" s="2234" t="str">
        <v>historical_exchange_rates_1920_2026.xlsx</v>
      </c>
      <c r="K1031" s="2234" t="str">
        <v>1 美元等于 1 美元，无外部报价。</v>
      </c>
      <c r="L1031" s="2234" t="str">
        <v>美元基准，汇率恒为 1。</v>
      </c>
      <c r="M1031" s="2234" t="str">
        <v>2013|美元（USD）</v>
      </c>
      <c r="N1031" s="2234" t="str">
        <v>美元（USD）</v>
      </c>
      <c r="O1031" s="2239"/>
      <c r="P1031" s="2234" t="str"/>
      <c r="Q1031" s="2239"/>
      <c r="R1031" s="2234" t="str"/>
      <c r="S1031" s="2234" t="str">
        <v>年度汇率!B99</v>
      </c>
      <c r="T1031" s="2234" t="str"/>
      <c r="U1031" t="n" s="2231">
        <v>2019</v>
      </c>
      <c r="V1031" t="str" s="2231">
        <v>俄罗斯卢布（RUB；1998币制）</v>
      </c>
    </row>
    <row r="1032" ht="24.0" customHeight="1">
      <c r="A1032" s="2234" t="n">
        <v>2013</v>
      </c>
      <c r="B1032" s="2234" t="str">
        <v>GBP</v>
      </c>
      <c r="C1032" s="2234" t="str">
        <v>英镑（GBP）</v>
      </c>
      <c r="D1032" s="2234" t="str">
        <v>可用</v>
      </c>
      <c r="E1032" s="2238" t="n">
        <v>0.6393044367727911</v>
      </c>
      <c r="F1032" s="2234" t="str">
        <v>年均</v>
      </c>
      <c r="G1032" s="2234" t="str">
        <v>Federal Reserve G.5A / FRED AEXUSUK</v>
      </c>
      <c r="H1032" s="2234" t="str">
        <v>https://fred.stlouisfed.org/data/AEXUSUK</v>
      </c>
      <c r="I1032" s="2234" t="str">
        <v>2013-01-01—2013-12-31</v>
      </c>
      <c r="J1032" s="2234" t="str">
        <v>historical_exchange_rates_1920_2026.xlsx</v>
      </c>
      <c r="K1032" s="2234" t="str">
        <v>反向值由原报价均值取倒数；不等于反向日度汇率的算术平均。
年均USD/GBP；主表取倒数，不等于逐日GBP/USD平均。</v>
      </c>
      <c r="L1032" s="2234" t="str">
        <v>原报价为每单位本币兑美元，取原报价均值的倒数；不等于反向日度汇率的算术平均。</v>
      </c>
      <c r="M1032" s="2234" t="str">
        <v>2013|英镑（GBP）</v>
      </c>
      <c r="N1032" s="2234" t="str">
        <v>英镑（GBP）</v>
      </c>
      <c r="O1032" s="2239" t="n">
        <v>1.5642</v>
      </c>
      <c r="P1032" s="2234" t="str">
        <v>USD/LCU</v>
      </c>
      <c r="Q1032" s="2239" t="n">
        <v>1</v>
      </c>
      <c r="R1032" s="2234" t="str">
        <v>A：机构统计／原始统计表</v>
      </c>
      <c r="S1032" s="2234" t="str">
        <v>年度汇率!C99；原始记录!A848:M848</v>
      </c>
      <c r="T1032" s="2234" t="str"/>
      <c r="U1032" t="n" s="2231">
        <v>2019</v>
      </c>
      <c r="V1032" t="str" s="2231">
        <v>人民币元（1955币制；CNY）</v>
      </c>
    </row>
    <row r="1033" ht="15.0" customHeight="1">
      <c r="A1033" s="2234" t="n">
        <v>2013</v>
      </c>
      <c r="B1033" s="2234" t="str">
        <v>CAD</v>
      </c>
      <c r="C1033" s="2234" t="str">
        <v>加拿大元（CAD）</v>
      </c>
      <c r="D1033" s="2234" t="str">
        <v>可用</v>
      </c>
      <c r="E1033" s="2238" t="n">
        <v>1.03</v>
      </c>
      <c r="F1033" s="2234" t="str">
        <v>年均</v>
      </c>
      <c r="G1033" s="2234" t="str">
        <v>Federal Reserve G.5A / FRED AEXCAUS</v>
      </c>
      <c r="H1033" s="2234" t="str">
        <v>https://fred.stlouisfed.org/data/AEXCAUS</v>
      </c>
      <c r="I1033" s="2234" t="str">
        <v>2013-01-01—2013-12-31</v>
      </c>
      <c r="J1033" s="2234" t="str">
        <v>historical_exchange_rates_1920_2026.xlsx</v>
      </c>
      <c r="K1033" s="2234" t="str"/>
      <c r="L1033" s="2234" t="str">
        <v>原报价已按 1 美元兑换本币表示。</v>
      </c>
      <c r="M1033" s="2234" t="str">
        <v>2013|加拿大元（CAD）</v>
      </c>
      <c r="N1033" s="2234" t="str">
        <v>加拿大元（CAD）</v>
      </c>
      <c r="O1033" s="2239" t="n">
        <v>1.03</v>
      </c>
      <c r="P1033" s="2234" t="str">
        <v>LCU/USD</v>
      </c>
      <c r="Q1033" s="2239" t="n">
        <v>1</v>
      </c>
      <c r="R1033" s="2234" t="str">
        <v>A：机构统计／原始统计表</v>
      </c>
      <c r="S1033" s="2234" t="str">
        <v>年度汇率!D99；原始记录!A849:M849</v>
      </c>
      <c r="T1033" s="2234" t="str"/>
      <c r="U1033" t="n" s="2231">
        <v>2019</v>
      </c>
      <c r="V1033" t="str" s="2231">
        <v>欧元（EUR）</v>
      </c>
    </row>
    <row r="1034" ht="15.0" customHeight="1">
      <c r="A1034" s="2234" t="n">
        <v>2013</v>
      </c>
      <c r="B1034" s="2234" t="str">
        <v>JPY</v>
      </c>
      <c r="C1034" s="2234" t="str">
        <v>日元（JPY）</v>
      </c>
      <c r="D1034" s="2234" t="str">
        <v>可用</v>
      </c>
      <c r="E1034" s="2238" t="n">
        <v>97.5971</v>
      </c>
      <c r="F1034" s="2234" t="str">
        <v>年均</v>
      </c>
      <c r="G1034" s="2234" t="str">
        <v>Federal Reserve G.5A / FRED AEXJPUS</v>
      </c>
      <c r="H1034" s="2234" t="str">
        <v>https://fred.stlouisfed.org/data/AEXJPUS</v>
      </c>
      <c r="I1034" s="2234" t="str">
        <v>2013-01-01—2013-12-31</v>
      </c>
      <c r="J1034" s="2234" t="str">
        <v>historical_exchange_rates_1920_2026.xlsx</v>
      </c>
      <c r="K1034" s="2234" t="str"/>
      <c r="L1034" s="2234" t="str">
        <v>原报价已按 1 美元兑换本币表示。</v>
      </c>
      <c r="M1034" s="2234" t="str">
        <v>2013|日元（JPY）</v>
      </c>
      <c r="N1034" s="2234" t="str">
        <v>日元（JPY）</v>
      </c>
      <c r="O1034" s="2239" t="n">
        <v>97.5971</v>
      </c>
      <c r="P1034" s="2234" t="str">
        <v>LCU/USD</v>
      </c>
      <c r="Q1034" s="2239" t="n">
        <v>1</v>
      </c>
      <c r="R1034" s="2234" t="str">
        <v>A：机构统计／原始统计表</v>
      </c>
      <c r="S1034" s="2234" t="str">
        <v>年度汇率!H99；原始记录!A850:M850</v>
      </c>
      <c r="T1034" s="2234" t="str"/>
      <c r="U1034" t="n" s="2231">
        <v>2020</v>
      </c>
      <c r="V1034" t="str" s="2231">
        <v>美元（USD）</v>
      </c>
    </row>
    <row r="1035" ht="15.0" customHeight="1">
      <c r="A1035" s="2234" t="n">
        <v>2013</v>
      </c>
      <c r="B1035" s="2234" t="str">
        <v>CHF</v>
      </c>
      <c r="C1035" s="2234" t="str">
        <v>瑞士法郎（CHF）</v>
      </c>
      <c r="D1035" s="2234" t="str">
        <v>可用</v>
      </c>
      <c r="E1035" s="2238" t="n">
        <v>0.9269</v>
      </c>
      <c r="F1035" s="2234" t="str">
        <v>年均</v>
      </c>
      <c r="G1035" s="2234" t="str">
        <v>Federal Reserve G.5A / FRED AEXSZUS</v>
      </c>
      <c r="H1035" s="2234" t="str">
        <v>https://fred.stlouisfed.org/data/AEXSZUS</v>
      </c>
      <c r="I1035" s="2234" t="str">
        <v>2013-01-01—2013-12-31</v>
      </c>
      <c r="J1035" s="2234" t="str">
        <v>historical_exchange_rates_1920_2026.xlsx</v>
      </c>
      <c r="K1035" s="2234" t="str"/>
      <c r="L1035" s="2234" t="str">
        <v>原报价已按 1 美元兑换本币表示。</v>
      </c>
      <c r="M1035" s="2234" t="str">
        <v>2013|瑞士法郎（CHF）</v>
      </c>
      <c r="N1035" s="2234" t="str">
        <v>瑞士法郎（CHF）</v>
      </c>
      <c r="O1035" s="2239" t="n">
        <v>0.9269</v>
      </c>
      <c r="P1035" s="2234" t="str">
        <v>LCU/USD</v>
      </c>
      <c r="Q1035" s="2239" t="n">
        <v>1</v>
      </c>
      <c r="R1035" s="2234" t="str">
        <v>A：机构统计／原始统计表</v>
      </c>
      <c r="S1035" s="2234" t="str">
        <v>年度汇率!I99；原始记录!A851:M851</v>
      </c>
      <c r="T1035" s="2234" t="str"/>
      <c r="U1035" t="n" s="2231">
        <v>2020</v>
      </c>
      <c r="V1035" t="str" s="2231">
        <v>英镑（GBP）</v>
      </c>
    </row>
    <row r="1036" ht="15.0" customHeight="1">
      <c r="A1036" s="2234" t="n">
        <v>2013</v>
      </c>
      <c r="B1036" s="2234" t="str">
        <v>INR</v>
      </c>
      <c r="C1036" s="2234" t="str">
        <v>印度卢比（INR）</v>
      </c>
      <c r="D1036" s="2234" t="str">
        <v>可用</v>
      </c>
      <c r="E1036" s="2238" t="n">
        <v>58.5149</v>
      </c>
      <c r="F1036" s="2234" t="str">
        <v>年均</v>
      </c>
      <c r="G1036" s="2234" t="str">
        <v>Federal Reserve G.5A / FRED AEXINUS</v>
      </c>
      <c r="H1036" s="2234" t="str">
        <v>https://fred.stlouisfed.org/data/AEXINUS</v>
      </c>
      <c r="I1036" s="2234" t="str">
        <v>2013-01-01—2013-12-31</v>
      </c>
      <c r="J1036" s="2234" t="str">
        <v>historical_exchange_rates_1920_2026.xlsx</v>
      </c>
      <c r="K1036" s="2234" t="str"/>
      <c r="L1036" s="2234" t="str">
        <v>原报价已按 1 美元兑换本币表示。</v>
      </c>
      <c r="M1036" s="2234" t="str">
        <v>2013|印度卢比（INR）</v>
      </c>
      <c r="N1036" s="2234" t="str">
        <v>印度卢比（INR）</v>
      </c>
      <c r="O1036" s="2239" t="n">
        <v>58.5149</v>
      </c>
      <c r="P1036" s="2234" t="str">
        <v>LCU/USD</v>
      </c>
      <c r="Q1036" s="2239" t="n">
        <v>1</v>
      </c>
      <c r="R1036" s="2234" t="str">
        <v>A：机构统计／原始统计表</v>
      </c>
      <c r="S1036" s="2234" t="str">
        <v>年度汇率!J99；原始记录!A852:M852</v>
      </c>
      <c r="T1036" s="2234" t="str"/>
      <c r="U1036" t="n" s="2231">
        <v>2020</v>
      </c>
      <c r="V1036" t="str" s="2231">
        <v>加拿大元（CAD）</v>
      </c>
    </row>
    <row r="1037" ht="15.0" customHeight="1">
      <c r="A1037" s="2234" t="n">
        <v>2013</v>
      </c>
      <c r="B1037" s="2234" t="str">
        <v>RUB</v>
      </c>
      <c r="C1037" s="2234" t="str">
        <v>俄罗斯卢布（RUB；1998币制）</v>
      </c>
      <c r="D1037" s="2234" t="str">
        <v>可用</v>
      </c>
      <c r="E1037" s="2238" t="n">
        <v>31.858979352391</v>
      </c>
      <c r="F1037" s="2234" t="str">
        <v>年均</v>
      </c>
      <c r="G1037" s="2234" t="str">
        <v>OECD Main Economic Indicators / FRED CCUSMA02RUA618N</v>
      </c>
      <c r="H1037" s="2234" t="str">
        <v>https://fred.stlouisfed.org/data/CCUSMA02RUA618N</v>
      </c>
      <c r="I1037" s="2234" t="str">
        <v>2013-01-01—2013-12-31</v>
      </c>
      <c r="J1037" s="2234" t="str">
        <v>historical_exchange_rates_1920_2026.xlsx</v>
      </c>
      <c r="K1037" s="2234" t="str">
        <v>原表1993—1997年以1998年新卢布回溯表示；本表乘1000还原当年的旧卢布。</v>
      </c>
      <c r="L1037" s="2234" t="str">
        <v>原报价已按 1 美元兑换本币表示。</v>
      </c>
      <c r="M1037" s="2234" t="str">
        <v>2013|俄罗斯卢布（RUB；1998币制）</v>
      </c>
      <c r="N1037" s="2234" t="str">
        <v>俄罗斯卢布（RUB；1998币制）</v>
      </c>
      <c r="O1037" s="2239" t="n">
        <v>31.858979352391</v>
      </c>
      <c r="P1037" s="2234" t="str">
        <v>LCU/USD</v>
      </c>
      <c r="Q1037" s="2239" t="n">
        <v>1</v>
      </c>
      <c r="R1037" s="2234" t="str">
        <v>A：机构统计／原始统计表</v>
      </c>
      <c r="S1037" s="2234" t="str">
        <v>年度汇率!K99；原始记录!A853:M853</v>
      </c>
      <c r="T1037" s="2234" t="str"/>
      <c r="U1037" t="n" s="2231">
        <v>2020</v>
      </c>
      <c r="V1037" t="str" s="2231">
        <v>日元（JPY）</v>
      </c>
    </row>
    <row r="1038" ht="15.0" customHeight="1">
      <c r="A1038" s="2234" t="n">
        <v>2013</v>
      </c>
      <c r="B1038" s="2234" t="str">
        <v>CNY</v>
      </c>
      <c r="C1038" s="2234" t="str">
        <v>人民币元（1955币制；CNY）</v>
      </c>
      <c r="D1038" s="2234" t="str">
        <v>可用</v>
      </c>
      <c r="E1038" s="2238" t="n">
        <v>6.1478</v>
      </c>
      <c r="F1038" s="2234" t="str">
        <v>年均</v>
      </c>
      <c r="G1038" s="2234" t="str">
        <v>Federal Reserve G.5A / FRED AEXCHUS</v>
      </c>
      <c r="H1038" s="2234" t="str">
        <v>https://fred.stlouisfed.org/data/AEXCHUS</v>
      </c>
      <c r="I1038" s="2234" t="str">
        <v>2013-01-01—2013-12-31</v>
      </c>
      <c r="J1038" s="2234" t="str">
        <v>historical_exchange_rates_1920_2026.xlsx</v>
      </c>
      <c r="K1038" s="2234" t="str"/>
      <c r="L1038" s="2234" t="str">
        <v>原报价已按 1 美元兑换本币表示。</v>
      </c>
      <c r="M1038" s="2234" t="str">
        <v>2013|人民币元（1955币制；CNY）</v>
      </c>
      <c r="N1038" s="2234" t="str">
        <v>人民币元（1955币制；CNY）</v>
      </c>
      <c r="O1038" s="2239" t="n">
        <v>6.1478</v>
      </c>
      <c r="P1038" s="2234" t="str">
        <v>LCU/USD</v>
      </c>
      <c r="Q1038" s="2239" t="n">
        <v>1</v>
      </c>
      <c r="R1038" s="2234" t="str">
        <v>A：机构统计／原始统计表</v>
      </c>
      <c r="S1038" s="2234" t="str">
        <v>年度汇率!L99；原始记录!A854:M854</v>
      </c>
      <c r="T1038" s="2234" t="str"/>
      <c r="U1038" t="n" s="2231">
        <v>2020</v>
      </c>
      <c r="V1038" t="str" s="2231">
        <v>瑞士法郎（CHF）</v>
      </c>
    </row>
    <row r="1039" ht="24.0" customHeight="1">
      <c r="A1039" s="2234" t="n">
        <v>2013</v>
      </c>
      <c r="B1039" s="2234" t="str">
        <v>EUR</v>
      </c>
      <c r="C1039" s="2234" t="str">
        <v>欧元（EUR）</v>
      </c>
      <c r="D1039" s="2234" t="str">
        <v>可用</v>
      </c>
      <c r="E1039" s="2238" t="n">
        <v>0.7529553497477599</v>
      </c>
      <c r="F1039" s="2234" t="str">
        <v>年均</v>
      </c>
      <c r="G1039" s="2234" t="str">
        <v>Federal Reserve G.5A / FRED AEXUSEU</v>
      </c>
      <c r="H1039" s="2234" t="str">
        <v>https://fred.stlouisfed.org/data/AEXUSEU</v>
      </c>
      <c r="I1039" s="2234" t="str">
        <v>2013-01-01—2013-12-31</v>
      </c>
      <c r="J1039" s="2234" t="str">
        <v>historical_exchange_rates_1920_2026.xlsx</v>
      </c>
      <c r="K1039" s="2234" t="str">
        <v>反向值由原报价均值取倒数；不等于反向日度汇率的算术平均。
年均USD/EUR；主表取倒数。</v>
      </c>
      <c r="L1039" s="2234" t="str">
        <v>原报价为每单位本币兑美元，取原报价均值的倒数；不等于反向日度汇率的算术平均。</v>
      </c>
      <c r="M1039" s="2234" t="str">
        <v>2013|欧元（EUR）</v>
      </c>
      <c r="N1039" s="2234" t="str">
        <v>欧元（EUR）</v>
      </c>
      <c r="O1039" s="2239" t="n">
        <v>1.3281</v>
      </c>
      <c r="P1039" s="2234" t="str">
        <v>USD/LCU</v>
      </c>
      <c r="Q1039" s="2239" t="n">
        <v>1</v>
      </c>
      <c r="R1039" s="2234" t="str">
        <v>A：机构统计／原始统计表</v>
      </c>
      <c r="S1039" s="2234" t="str">
        <v>年度汇率!M99、年度汇率!E99、年度汇率!F99、年度汇率!G99；原始记录!A855:M855</v>
      </c>
      <c r="T1039" s="2234" t="str"/>
      <c r="U1039" t="n" s="2231">
        <v>2020</v>
      </c>
      <c r="V1039" t="str" s="2231">
        <v>印度卢比（INR）</v>
      </c>
    </row>
    <row r="1040" ht="15.0" customHeight="1">
      <c r="A1040" s="2234" t="n">
        <v>2014</v>
      </c>
      <c r="B1040" s="2234" t="str">
        <v>USD</v>
      </c>
      <c r="C1040" s="2234" t="str">
        <v>美元（USD）</v>
      </c>
      <c r="D1040" s="2234" t="str">
        <v>可用</v>
      </c>
      <c r="E1040" s="2238" t="n">
        <v>1</v>
      </c>
      <c r="F1040" s="2234" t="str">
        <v>基准恒等</v>
      </c>
      <c r="G1040" s="2234" t="str">
        <v>用户提供的历史汇率表</v>
      </c>
      <c r="H1040" s="2234" t="str"/>
      <c r="I1040" s="2234" t="str">
        <v>2014</v>
      </c>
      <c r="J1040" s="2234" t="str">
        <v>historical_exchange_rates_1920_2026.xlsx</v>
      </c>
      <c r="K1040" s="2234" t="str">
        <v>1 美元等于 1 美元，无外部报价。</v>
      </c>
      <c r="L1040" s="2234" t="str">
        <v>美元基准，汇率恒为 1。</v>
      </c>
      <c r="M1040" s="2234" t="str">
        <v>2014|美元（USD）</v>
      </c>
      <c r="N1040" s="2234" t="str">
        <v>美元（USD）</v>
      </c>
      <c r="O1040" s="2239"/>
      <c r="P1040" s="2234" t="str"/>
      <c r="Q1040" s="2239"/>
      <c r="R1040" s="2234" t="str"/>
      <c r="S1040" s="2234" t="str">
        <v>年度汇率!B100</v>
      </c>
      <c r="T1040" s="2234" t="str"/>
      <c r="U1040" t="n" s="2231">
        <v>2020</v>
      </c>
      <c r="V1040" t="str" s="2231">
        <v>俄罗斯卢布（RUB；1998币制）</v>
      </c>
    </row>
    <row r="1041" ht="24.0" customHeight="1">
      <c r="A1041" s="2234" t="n">
        <v>2014</v>
      </c>
      <c r="B1041" s="2234" t="str">
        <v>GBP</v>
      </c>
      <c r="C1041" s="2234" t="str">
        <v>英镑（GBP）</v>
      </c>
      <c r="D1041" s="2234" t="str">
        <v>可用</v>
      </c>
      <c r="E1041" s="2238" t="n">
        <v>0.6066488716330988</v>
      </c>
      <c r="F1041" s="2234" t="str">
        <v>年均</v>
      </c>
      <c r="G1041" s="2234" t="str">
        <v>Federal Reserve G.5A / FRED AEXUSUK</v>
      </c>
      <c r="H1041" s="2234" t="str">
        <v>https://fred.stlouisfed.org/data/AEXUSUK</v>
      </c>
      <c r="I1041" s="2234" t="str">
        <v>2014-01-01—2014-12-31</v>
      </c>
      <c r="J1041" s="2234" t="str">
        <v>historical_exchange_rates_1920_2026.xlsx</v>
      </c>
      <c r="K1041" s="2234" t="str">
        <v>反向值由原报价均值取倒数；不等于反向日度汇率的算术平均。
年均USD/GBP；主表取倒数，不等于逐日GBP/USD平均。</v>
      </c>
      <c r="L1041" s="2234" t="str">
        <v>原报价为每单位本币兑美元，取原报价均值的倒数；不等于反向日度汇率的算术平均。</v>
      </c>
      <c r="M1041" s="2234" t="str">
        <v>2014|英镑（GBP）</v>
      </c>
      <c r="N1041" s="2234" t="str">
        <v>英镑（GBP）</v>
      </c>
      <c r="O1041" s="2239" t="n">
        <v>1.6484</v>
      </c>
      <c r="P1041" s="2234" t="str">
        <v>USD/LCU</v>
      </c>
      <c r="Q1041" s="2239" t="n">
        <v>1</v>
      </c>
      <c r="R1041" s="2234" t="str">
        <v>A：机构统计／原始统计表</v>
      </c>
      <c r="S1041" s="2234" t="str">
        <v>年度汇率!C100；原始记录!A856:M856</v>
      </c>
      <c r="T1041" s="2234" t="str"/>
      <c r="U1041" t="n" s="2231">
        <v>2020</v>
      </c>
      <c r="V1041" t="str" s="2231">
        <v>人民币元（1955币制；CNY）</v>
      </c>
    </row>
    <row r="1042" ht="15.0" customHeight="1">
      <c r="A1042" s="2234" t="n">
        <v>2014</v>
      </c>
      <c r="B1042" s="2234" t="str">
        <v>CAD</v>
      </c>
      <c r="C1042" s="2234" t="str">
        <v>加拿大元（CAD）</v>
      </c>
      <c r="D1042" s="2234" t="str">
        <v>可用</v>
      </c>
      <c r="E1042" s="2238" t="n">
        <v>1.1043</v>
      </c>
      <c r="F1042" s="2234" t="str">
        <v>年均</v>
      </c>
      <c r="G1042" s="2234" t="str">
        <v>Federal Reserve G.5A / FRED AEXCAUS</v>
      </c>
      <c r="H1042" s="2234" t="str">
        <v>https://fred.stlouisfed.org/data/AEXCAUS</v>
      </c>
      <c r="I1042" s="2234" t="str">
        <v>2014-01-01—2014-12-31</v>
      </c>
      <c r="J1042" s="2234" t="str">
        <v>historical_exchange_rates_1920_2026.xlsx</v>
      </c>
      <c r="K1042" s="2234" t="str"/>
      <c r="L1042" s="2234" t="str">
        <v>原报价已按 1 美元兑换本币表示。</v>
      </c>
      <c r="M1042" s="2234" t="str">
        <v>2014|加拿大元（CAD）</v>
      </c>
      <c r="N1042" s="2234" t="str">
        <v>加拿大元（CAD）</v>
      </c>
      <c r="O1042" s="2239" t="n">
        <v>1.1043</v>
      </c>
      <c r="P1042" s="2234" t="str">
        <v>LCU/USD</v>
      </c>
      <c r="Q1042" s="2239" t="n">
        <v>1</v>
      </c>
      <c r="R1042" s="2234" t="str">
        <v>A：机构统计／原始统计表</v>
      </c>
      <c r="S1042" s="2234" t="str">
        <v>年度汇率!D100；原始记录!A857:M857</v>
      </c>
      <c r="T1042" s="2234" t="str"/>
      <c r="U1042" t="n" s="2231">
        <v>2020</v>
      </c>
      <c r="V1042" t="str" s="2231">
        <v>欧元（EUR）</v>
      </c>
    </row>
    <row r="1043" ht="15.0" customHeight="1">
      <c r="A1043" s="2234" t="n">
        <v>2014</v>
      </c>
      <c r="B1043" s="2234" t="str">
        <v>JPY</v>
      </c>
      <c r="C1043" s="2234" t="str">
        <v>日元（JPY）</v>
      </c>
      <c r="D1043" s="2234" t="str">
        <v>可用</v>
      </c>
      <c r="E1043" s="2238" t="n">
        <v>105.7398</v>
      </c>
      <c r="F1043" s="2234" t="str">
        <v>年均</v>
      </c>
      <c r="G1043" s="2234" t="str">
        <v>Federal Reserve G.5A / FRED AEXJPUS</v>
      </c>
      <c r="H1043" s="2234" t="str">
        <v>https://fred.stlouisfed.org/data/AEXJPUS</v>
      </c>
      <c r="I1043" s="2234" t="str">
        <v>2014-01-01—2014-12-31</v>
      </c>
      <c r="J1043" s="2234" t="str">
        <v>historical_exchange_rates_1920_2026.xlsx</v>
      </c>
      <c r="K1043" s="2234" t="str"/>
      <c r="L1043" s="2234" t="str">
        <v>原报价已按 1 美元兑换本币表示。</v>
      </c>
      <c r="M1043" s="2234" t="str">
        <v>2014|日元（JPY）</v>
      </c>
      <c r="N1043" s="2234" t="str">
        <v>日元（JPY）</v>
      </c>
      <c r="O1043" s="2239" t="n">
        <v>105.7398</v>
      </c>
      <c r="P1043" s="2234" t="str">
        <v>LCU/USD</v>
      </c>
      <c r="Q1043" s="2239" t="n">
        <v>1</v>
      </c>
      <c r="R1043" s="2234" t="str">
        <v>A：机构统计／原始统计表</v>
      </c>
      <c r="S1043" s="2234" t="str">
        <v>年度汇率!H100；原始记录!A858:M858</v>
      </c>
      <c r="T1043" s="2234" t="str"/>
      <c r="U1043" t="n" s="2231">
        <v>2021</v>
      </c>
      <c r="V1043" t="str" s="2231">
        <v>美元（USD）</v>
      </c>
    </row>
    <row r="1044" ht="15.0" customHeight="1">
      <c r="A1044" s="2234" t="n">
        <v>2014</v>
      </c>
      <c r="B1044" s="2234" t="str">
        <v>CHF</v>
      </c>
      <c r="C1044" s="2234" t="str">
        <v>瑞士法郎（CHF）</v>
      </c>
      <c r="D1044" s="2234" t="str">
        <v>可用</v>
      </c>
      <c r="E1044" s="2238" t="n">
        <v>0.9147</v>
      </c>
      <c r="F1044" s="2234" t="str">
        <v>年均</v>
      </c>
      <c r="G1044" s="2234" t="str">
        <v>Federal Reserve G.5A / FRED AEXSZUS</v>
      </c>
      <c r="H1044" s="2234" t="str">
        <v>https://fred.stlouisfed.org/data/AEXSZUS</v>
      </c>
      <c r="I1044" s="2234" t="str">
        <v>2014-01-01—2014-12-31</v>
      </c>
      <c r="J1044" s="2234" t="str">
        <v>historical_exchange_rates_1920_2026.xlsx</v>
      </c>
      <c r="K1044" s="2234" t="str"/>
      <c r="L1044" s="2234" t="str">
        <v>原报价已按 1 美元兑换本币表示。</v>
      </c>
      <c r="M1044" s="2234" t="str">
        <v>2014|瑞士法郎（CHF）</v>
      </c>
      <c r="N1044" s="2234" t="str">
        <v>瑞士法郎（CHF）</v>
      </c>
      <c r="O1044" s="2239" t="n">
        <v>0.9147</v>
      </c>
      <c r="P1044" s="2234" t="str">
        <v>LCU/USD</v>
      </c>
      <c r="Q1044" s="2239" t="n">
        <v>1</v>
      </c>
      <c r="R1044" s="2234" t="str">
        <v>A：机构统计／原始统计表</v>
      </c>
      <c r="S1044" s="2234" t="str">
        <v>年度汇率!I100；原始记录!A859:M859</v>
      </c>
      <c r="T1044" s="2234" t="str"/>
      <c r="U1044" t="n" s="2231">
        <v>2021</v>
      </c>
      <c r="V1044" t="str" s="2231">
        <v>英镑（GBP）</v>
      </c>
    </row>
    <row r="1045" ht="15.0" customHeight="1">
      <c r="A1045" s="2234" t="n">
        <v>2014</v>
      </c>
      <c r="B1045" s="2234" t="str">
        <v>INR</v>
      </c>
      <c r="C1045" s="2234" t="str">
        <v>印度卢比（INR）</v>
      </c>
      <c r="D1045" s="2234" t="str">
        <v>可用</v>
      </c>
      <c r="E1045" s="2238" t="n">
        <v>60.9953</v>
      </c>
      <c r="F1045" s="2234" t="str">
        <v>年均</v>
      </c>
      <c r="G1045" s="2234" t="str">
        <v>Federal Reserve G.5A / FRED AEXINUS</v>
      </c>
      <c r="H1045" s="2234" t="str">
        <v>https://fred.stlouisfed.org/data/AEXINUS</v>
      </c>
      <c r="I1045" s="2234" t="str">
        <v>2014-01-01—2014-12-31</v>
      </c>
      <c r="J1045" s="2234" t="str">
        <v>historical_exchange_rates_1920_2026.xlsx</v>
      </c>
      <c r="K1045" s="2234" t="str"/>
      <c r="L1045" s="2234" t="str">
        <v>原报价已按 1 美元兑换本币表示。</v>
      </c>
      <c r="M1045" s="2234" t="str">
        <v>2014|印度卢比（INR）</v>
      </c>
      <c r="N1045" s="2234" t="str">
        <v>印度卢比（INR）</v>
      </c>
      <c r="O1045" s="2239" t="n">
        <v>60.9953</v>
      </c>
      <c r="P1045" s="2234" t="str">
        <v>LCU/USD</v>
      </c>
      <c r="Q1045" s="2239" t="n">
        <v>1</v>
      </c>
      <c r="R1045" s="2234" t="str">
        <v>A：机构统计／原始统计表</v>
      </c>
      <c r="S1045" s="2234" t="str">
        <v>年度汇率!J100；原始记录!A860:M860</v>
      </c>
      <c r="T1045" s="2234" t="str"/>
      <c r="U1045" t="n" s="2231">
        <v>2021</v>
      </c>
      <c r="V1045" t="str" s="2231">
        <v>加拿大元（CAD）</v>
      </c>
    </row>
    <row r="1046" ht="15.0" customHeight="1">
      <c r="A1046" s="2234" t="n">
        <v>2014</v>
      </c>
      <c r="B1046" s="2234" t="str">
        <v>RUB</v>
      </c>
      <c r="C1046" s="2234" t="str">
        <v>俄罗斯卢布（RUB；1998币制）</v>
      </c>
      <c r="D1046" s="2234" t="str">
        <v>可用</v>
      </c>
      <c r="E1046" s="2238" t="n">
        <v>38.5941504697754</v>
      </c>
      <c r="F1046" s="2234" t="str">
        <v>年均</v>
      </c>
      <c r="G1046" s="2234" t="str">
        <v>OECD Main Economic Indicators / FRED CCUSMA02RUA618N</v>
      </c>
      <c r="H1046" s="2234" t="str">
        <v>https://fred.stlouisfed.org/data/CCUSMA02RUA618N</v>
      </c>
      <c r="I1046" s="2234" t="str">
        <v>2014-01-01—2014-12-31</v>
      </c>
      <c r="J1046" s="2234" t="str">
        <v>historical_exchange_rates_1920_2026.xlsx</v>
      </c>
      <c r="K1046" s="2234" t="str">
        <v>原表1993—1997年以1998年新卢布回溯表示；本表乘1000还原当年的旧卢布。</v>
      </c>
      <c r="L1046" s="2234" t="str">
        <v>原报价已按 1 美元兑换本币表示。</v>
      </c>
      <c r="M1046" s="2234" t="str">
        <v>2014|俄罗斯卢布（RUB；1998币制）</v>
      </c>
      <c r="N1046" s="2234" t="str">
        <v>俄罗斯卢布（RUB；1998币制）</v>
      </c>
      <c r="O1046" s="2239" t="n">
        <v>38.5941504697754</v>
      </c>
      <c r="P1046" s="2234" t="str">
        <v>LCU/USD</v>
      </c>
      <c r="Q1046" s="2239" t="n">
        <v>1</v>
      </c>
      <c r="R1046" s="2234" t="str">
        <v>A：机构统计／原始统计表</v>
      </c>
      <c r="S1046" s="2234" t="str">
        <v>年度汇率!K100；原始记录!A861:M861</v>
      </c>
      <c r="T1046" s="2234" t="str"/>
      <c r="U1046" t="n" s="2231">
        <v>2021</v>
      </c>
      <c r="V1046" t="str" s="2231">
        <v>日元（JPY）</v>
      </c>
    </row>
    <row r="1047" ht="15.0" customHeight="1">
      <c r="A1047" s="2234" t="n">
        <v>2014</v>
      </c>
      <c r="B1047" s="2234" t="str">
        <v>CNY</v>
      </c>
      <c r="C1047" s="2234" t="str">
        <v>人民币元（1955币制；CNY）</v>
      </c>
      <c r="D1047" s="2234" t="str">
        <v>可用</v>
      </c>
      <c r="E1047" s="2238" t="n">
        <v>6.162</v>
      </c>
      <c r="F1047" s="2234" t="str">
        <v>年均</v>
      </c>
      <c r="G1047" s="2234" t="str">
        <v>Federal Reserve G.5A / FRED AEXCHUS</v>
      </c>
      <c r="H1047" s="2234" t="str">
        <v>https://fred.stlouisfed.org/data/AEXCHUS</v>
      </c>
      <c r="I1047" s="2234" t="str">
        <v>2014-01-01—2014-12-31</v>
      </c>
      <c r="J1047" s="2234" t="str">
        <v>historical_exchange_rates_1920_2026.xlsx</v>
      </c>
      <c r="K1047" s="2234" t="str"/>
      <c r="L1047" s="2234" t="str">
        <v>原报价已按 1 美元兑换本币表示。</v>
      </c>
      <c r="M1047" s="2234" t="str">
        <v>2014|人民币元（1955币制；CNY）</v>
      </c>
      <c r="N1047" s="2234" t="str">
        <v>人民币元（1955币制；CNY）</v>
      </c>
      <c r="O1047" s="2239" t="n">
        <v>6.162</v>
      </c>
      <c r="P1047" s="2234" t="str">
        <v>LCU/USD</v>
      </c>
      <c r="Q1047" s="2239" t="n">
        <v>1</v>
      </c>
      <c r="R1047" s="2234" t="str">
        <v>A：机构统计／原始统计表</v>
      </c>
      <c r="S1047" s="2234" t="str">
        <v>年度汇率!L100；原始记录!A862:M862</v>
      </c>
      <c r="T1047" s="2234" t="str"/>
      <c r="U1047" t="n" s="2231">
        <v>2021</v>
      </c>
      <c r="V1047" t="str" s="2231">
        <v>瑞士法郎（CHF）</v>
      </c>
    </row>
    <row r="1048" ht="24.0" customHeight="1">
      <c r="A1048" s="2234" t="n">
        <v>2014</v>
      </c>
      <c r="B1048" s="2234" t="str">
        <v>EUR</v>
      </c>
      <c r="C1048" s="2234" t="str">
        <v>欧元（EUR）</v>
      </c>
      <c r="D1048" s="2234" t="str">
        <v>可用</v>
      </c>
      <c r="E1048" s="2238" t="n">
        <v>0.7520493344363389</v>
      </c>
      <c r="F1048" s="2234" t="str">
        <v>年均</v>
      </c>
      <c r="G1048" s="2234" t="str">
        <v>Federal Reserve G.5A / FRED AEXUSEU</v>
      </c>
      <c r="H1048" s="2234" t="str">
        <v>https://fred.stlouisfed.org/data/AEXUSEU</v>
      </c>
      <c r="I1048" s="2234" t="str">
        <v>2014-01-01—2014-12-31</v>
      </c>
      <c r="J1048" s="2234" t="str">
        <v>historical_exchange_rates_1920_2026.xlsx</v>
      </c>
      <c r="K1048" s="2234" t="str">
        <v>反向值由原报价均值取倒数；不等于反向日度汇率的算术平均。
年均USD/EUR；主表取倒数。</v>
      </c>
      <c r="L1048" s="2234" t="str">
        <v>原报价为每单位本币兑美元，取原报价均值的倒数；不等于反向日度汇率的算术平均。</v>
      </c>
      <c r="M1048" s="2234" t="str">
        <v>2014|欧元（EUR）</v>
      </c>
      <c r="N1048" s="2234" t="str">
        <v>欧元（EUR）</v>
      </c>
      <c r="O1048" s="2239" t="n">
        <v>1.3297</v>
      </c>
      <c r="P1048" s="2234" t="str">
        <v>USD/LCU</v>
      </c>
      <c r="Q1048" s="2239" t="n">
        <v>1</v>
      </c>
      <c r="R1048" s="2234" t="str">
        <v>A：机构统计／原始统计表</v>
      </c>
      <c r="S1048" s="2234" t="str">
        <v>年度汇率!M100、年度汇率!E100、年度汇率!F100、年度汇率!G100；原始记录!A863:M863</v>
      </c>
      <c r="T1048" s="2234" t="str"/>
      <c r="U1048" t="n" s="2231">
        <v>2021</v>
      </c>
      <c r="V1048" t="str" s="2231">
        <v>印度卢比（INR）</v>
      </c>
    </row>
    <row r="1049" ht="15.0" customHeight="1">
      <c r="A1049" s="2234" t="n">
        <v>2015</v>
      </c>
      <c r="B1049" s="2234" t="str">
        <v>USD</v>
      </c>
      <c r="C1049" s="2234" t="str">
        <v>美元（USD）</v>
      </c>
      <c r="D1049" s="2234" t="str">
        <v>可用</v>
      </c>
      <c r="E1049" s="2238" t="n">
        <v>1</v>
      </c>
      <c r="F1049" s="2234" t="str">
        <v>基准恒等</v>
      </c>
      <c r="G1049" s="2234" t="str">
        <v>用户提供的历史汇率表</v>
      </c>
      <c r="H1049" s="2234" t="str"/>
      <c r="I1049" s="2234" t="str">
        <v>2015</v>
      </c>
      <c r="J1049" s="2234" t="str">
        <v>historical_exchange_rates_1920_2026.xlsx</v>
      </c>
      <c r="K1049" s="2234" t="str">
        <v>1 美元等于 1 美元，无外部报价。</v>
      </c>
      <c r="L1049" s="2234" t="str">
        <v>美元基准，汇率恒为 1。</v>
      </c>
      <c r="M1049" s="2234" t="str">
        <v>2015|美元（USD）</v>
      </c>
      <c r="N1049" s="2234" t="str">
        <v>美元（USD）</v>
      </c>
      <c r="O1049" s="2239"/>
      <c r="P1049" s="2234" t="str"/>
      <c r="Q1049" s="2239"/>
      <c r="R1049" s="2234" t="str"/>
      <c r="S1049" s="2234" t="str">
        <v>年度汇率!B101</v>
      </c>
      <c r="T1049" s="2234" t="str"/>
      <c r="U1049" t="n" s="2231">
        <v>2021</v>
      </c>
      <c r="V1049" t="str" s="2231">
        <v>俄罗斯卢布（RUB；1998币制）</v>
      </c>
    </row>
    <row r="1050" ht="24.0" customHeight="1">
      <c r="A1050" s="2234" t="n">
        <v>2015</v>
      </c>
      <c r="B1050" s="2234" t="str">
        <v>GBP</v>
      </c>
      <c r="C1050" s="2234" t="str">
        <v>英镑（GBP）</v>
      </c>
      <c r="D1050" s="2234" t="str">
        <v>可用</v>
      </c>
      <c r="E1050" s="2238" t="n">
        <v>0.654278984559016</v>
      </c>
      <c r="F1050" s="2234" t="str">
        <v>年均</v>
      </c>
      <c r="G1050" s="2234" t="str">
        <v>Federal Reserve G.5A / FRED AEXUSUK</v>
      </c>
      <c r="H1050" s="2234" t="str">
        <v>https://fred.stlouisfed.org/data/AEXUSUK</v>
      </c>
      <c r="I1050" s="2234" t="str">
        <v>2015-01-01—2015-12-31</v>
      </c>
      <c r="J1050" s="2234" t="str">
        <v>historical_exchange_rates_1920_2026.xlsx</v>
      </c>
      <c r="K1050" s="2234" t="str">
        <v>反向值由原报价均值取倒数；不等于反向日度汇率的算术平均。
年均USD/GBP；主表取倒数，不等于逐日GBP/USD平均。</v>
      </c>
      <c r="L1050" s="2234" t="str">
        <v>原报价为每单位本币兑美元，取原报价均值的倒数；不等于反向日度汇率的算术平均。</v>
      </c>
      <c r="M1050" s="2234" t="str">
        <v>2015|英镑（GBP）</v>
      </c>
      <c r="N1050" s="2234" t="str">
        <v>英镑（GBP）</v>
      </c>
      <c r="O1050" s="2239" t="n">
        <v>1.5284</v>
      </c>
      <c r="P1050" s="2234" t="str">
        <v>USD/LCU</v>
      </c>
      <c r="Q1050" s="2239" t="n">
        <v>1</v>
      </c>
      <c r="R1050" s="2234" t="str">
        <v>A：机构统计／原始统计表</v>
      </c>
      <c r="S1050" s="2234" t="str">
        <v>年度汇率!C101；原始记录!A864:M864</v>
      </c>
      <c r="T1050" s="2234" t="str"/>
      <c r="U1050" t="n" s="2231">
        <v>2021</v>
      </c>
      <c r="V1050" t="str" s="2231">
        <v>人民币元（1955币制；CNY）</v>
      </c>
    </row>
    <row r="1051" ht="15.0" customHeight="1">
      <c r="A1051" s="2234" t="n">
        <v>2015</v>
      </c>
      <c r="B1051" s="2234" t="str">
        <v>CAD</v>
      </c>
      <c r="C1051" s="2234" t="str">
        <v>加拿大元（CAD）</v>
      </c>
      <c r="D1051" s="2234" t="str">
        <v>可用</v>
      </c>
      <c r="E1051" s="2238" t="n">
        <v>1.2791</v>
      </c>
      <c r="F1051" s="2234" t="str">
        <v>年均</v>
      </c>
      <c r="G1051" s="2234" t="str">
        <v>Federal Reserve G.5A / FRED AEXCAUS</v>
      </c>
      <c r="H1051" s="2234" t="str">
        <v>https://fred.stlouisfed.org/data/AEXCAUS</v>
      </c>
      <c r="I1051" s="2234" t="str">
        <v>2015-01-01—2015-12-31</v>
      </c>
      <c r="J1051" s="2234" t="str">
        <v>historical_exchange_rates_1920_2026.xlsx</v>
      </c>
      <c r="K1051" s="2234" t="str"/>
      <c r="L1051" s="2234" t="str">
        <v>原报价已按 1 美元兑换本币表示。</v>
      </c>
      <c r="M1051" s="2234" t="str">
        <v>2015|加拿大元（CAD）</v>
      </c>
      <c r="N1051" s="2234" t="str">
        <v>加拿大元（CAD）</v>
      </c>
      <c r="O1051" s="2239" t="n">
        <v>1.2791</v>
      </c>
      <c r="P1051" s="2234" t="str">
        <v>LCU/USD</v>
      </c>
      <c r="Q1051" s="2239" t="n">
        <v>1</v>
      </c>
      <c r="R1051" s="2234" t="str">
        <v>A：机构统计／原始统计表</v>
      </c>
      <c r="S1051" s="2234" t="str">
        <v>年度汇率!D101；原始记录!A865:M865</v>
      </c>
      <c r="T1051" s="2234" t="str"/>
      <c r="U1051" t="n" s="2231">
        <v>2021</v>
      </c>
      <c r="V1051" t="str" s="2231">
        <v>欧元（EUR）</v>
      </c>
    </row>
    <row r="1052" ht="15.0" customHeight="1">
      <c r="A1052" s="2234" t="n">
        <v>2015</v>
      </c>
      <c r="B1052" s="2234" t="str">
        <v>JPY</v>
      </c>
      <c r="C1052" s="2234" t="str">
        <v>日元（JPY）</v>
      </c>
      <c r="D1052" s="2234" t="str">
        <v>可用</v>
      </c>
      <c r="E1052" s="2238" t="n">
        <v>121.0491</v>
      </c>
      <c r="F1052" s="2234" t="str">
        <v>年均</v>
      </c>
      <c r="G1052" s="2234" t="str">
        <v>Federal Reserve G.5A / FRED AEXJPUS</v>
      </c>
      <c r="H1052" s="2234" t="str">
        <v>https://fred.stlouisfed.org/data/AEXJPUS</v>
      </c>
      <c r="I1052" s="2234" t="str">
        <v>2015-01-01—2015-12-31</v>
      </c>
      <c r="J1052" s="2234" t="str">
        <v>historical_exchange_rates_1920_2026.xlsx</v>
      </c>
      <c r="K1052" s="2234" t="str"/>
      <c r="L1052" s="2234" t="str">
        <v>原报价已按 1 美元兑换本币表示。</v>
      </c>
      <c r="M1052" s="2234" t="str">
        <v>2015|日元（JPY）</v>
      </c>
      <c r="N1052" s="2234" t="str">
        <v>日元（JPY）</v>
      </c>
      <c r="O1052" s="2239" t="n">
        <v>121.0491</v>
      </c>
      <c r="P1052" s="2234" t="str">
        <v>LCU/USD</v>
      </c>
      <c r="Q1052" s="2239" t="n">
        <v>1</v>
      </c>
      <c r="R1052" s="2234" t="str">
        <v>A：机构统计／原始统计表</v>
      </c>
      <c r="S1052" s="2234" t="str">
        <v>年度汇率!H101；原始记录!A866:M866</v>
      </c>
      <c r="T1052" s="2234" t="str"/>
      <c r="U1052" t="n" s="2231">
        <v>2022</v>
      </c>
      <c r="V1052" t="str" s="2231">
        <v>美元（USD）</v>
      </c>
    </row>
    <row r="1053" ht="15.0" customHeight="1">
      <c r="A1053" s="2234" t="n">
        <v>2015</v>
      </c>
      <c r="B1053" s="2234" t="str">
        <v>CHF</v>
      </c>
      <c r="C1053" s="2234" t="str">
        <v>瑞士法郎（CHF）</v>
      </c>
      <c r="D1053" s="2234" t="str">
        <v>可用</v>
      </c>
      <c r="E1053" s="2238" t="n">
        <v>0.9628</v>
      </c>
      <c r="F1053" s="2234" t="str">
        <v>年均</v>
      </c>
      <c r="G1053" s="2234" t="str">
        <v>Federal Reserve G.5A / FRED AEXSZUS</v>
      </c>
      <c r="H1053" s="2234" t="str">
        <v>https://fred.stlouisfed.org/data/AEXSZUS</v>
      </c>
      <c r="I1053" s="2234" t="str">
        <v>2015-01-01—2015-12-31</v>
      </c>
      <c r="J1053" s="2234" t="str">
        <v>historical_exchange_rates_1920_2026.xlsx</v>
      </c>
      <c r="K1053" s="2234" t="str"/>
      <c r="L1053" s="2234" t="str">
        <v>原报价已按 1 美元兑换本币表示。</v>
      </c>
      <c r="M1053" s="2234" t="str">
        <v>2015|瑞士法郎（CHF）</v>
      </c>
      <c r="N1053" s="2234" t="str">
        <v>瑞士法郎（CHF）</v>
      </c>
      <c r="O1053" s="2239" t="n">
        <v>0.9628</v>
      </c>
      <c r="P1053" s="2234" t="str">
        <v>LCU/USD</v>
      </c>
      <c r="Q1053" s="2239" t="n">
        <v>1</v>
      </c>
      <c r="R1053" s="2234" t="str">
        <v>A：机构统计／原始统计表</v>
      </c>
      <c r="S1053" s="2234" t="str">
        <v>年度汇率!I101；原始记录!A867:M867</v>
      </c>
      <c r="T1053" s="2234" t="str"/>
      <c r="U1053" t="n" s="2231">
        <v>2022</v>
      </c>
      <c r="V1053" t="str" s="2231">
        <v>英镑（GBP）</v>
      </c>
    </row>
    <row r="1054" ht="15.0" customHeight="1">
      <c r="A1054" s="2234" t="n">
        <v>2015</v>
      </c>
      <c r="B1054" s="2234" t="str">
        <v>INR</v>
      </c>
      <c r="C1054" s="2234" t="str">
        <v>印度卢比（INR）</v>
      </c>
      <c r="D1054" s="2234" t="str">
        <v>可用</v>
      </c>
      <c r="E1054" s="2238" t="n">
        <v>64.1073</v>
      </c>
      <c r="F1054" s="2234" t="str">
        <v>年均</v>
      </c>
      <c r="G1054" s="2234" t="str">
        <v>Federal Reserve G.5A / FRED AEXINUS</v>
      </c>
      <c r="H1054" s="2234" t="str">
        <v>https://fred.stlouisfed.org/data/AEXINUS</v>
      </c>
      <c r="I1054" s="2234" t="str">
        <v>2015-01-01—2015-12-31</v>
      </c>
      <c r="J1054" s="2234" t="str">
        <v>historical_exchange_rates_1920_2026.xlsx</v>
      </c>
      <c r="K1054" s="2234" t="str"/>
      <c r="L1054" s="2234" t="str">
        <v>原报价已按 1 美元兑换本币表示。</v>
      </c>
      <c r="M1054" s="2234" t="str">
        <v>2015|印度卢比（INR）</v>
      </c>
      <c r="N1054" s="2234" t="str">
        <v>印度卢比（INR）</v>
      </c>
      <c r="O1054" s="2239" t="n">
        <v>64.1073</v>
      </c>
      <c r="P1054" s="2234" t="str">
        <v>LCU/USD</v>
      </c>
      <c r="Q1054" s="2239" t="n">
        <v>1</v>
      </c>
      <c r="R1054" s="2234" t="str">
        <v>A：机构统计／原始统计表</v>
      </c>
      <c r="S1054" s="2234" t="str">
        <v>年度汇率!J101；原始记录!A868:M868</v>
      </c>
      <c r="T1054" s="2234" t="str"/>
      <c r="U1054" t="n" s="2231">
        <v>2022</v>
      </c>
      <c r="V1054" t="str" s="2231">
        <v>加拿大元（CAD）</v>
      </c>
    </row>
    <row r="1055" ht="15.0" customHeight="1">
      <c r="A1055" s="2234" t="n">
        <v>2015</v>
      </c>
      <c r="B1055" s="2234" t="str">
        <v>RUB</v>
      </c>
      <c r="C1055" s="2234" t="str">
        <v>俄罗斯卢布（RUB；1998币制）</v>
      </c>
      <c r="D1055" s="2234" t="str">
        <v>可用</v>
      </c>
      <c r="E1055" s="2238" t="n">
        <v>61.2624989166965</v>
      </c>
      <c r="F1055" s="2234" t="str">
        <v>年均</v>
      </c>
      <c r="G1055" s="2234" t="str">
        <v>OECD Main Economic Indicators / FRED CCUSMA02RUA618N</v>
      </c>
      <c r="H1055" s="2234" t="str">
        <v>https://fred.stlouisfed.org/data/CCUSMA02RUA618N</v>
      </c>
      <c r="I1055" s="2234" t="str">
        <v>2015-01-01—2015-12-31</v>
      </c>
      <c r="J1055" s="2234" t="str">
        <v>historical_exchange_rates_1920_2026.xlsx</v>
      </c>
      <c r="K1055" s="2234" t="str">
        <v>原表1993—1997年以1998年新卢布回溯表示；本表乘1000还原当年的旧卢布。</v>
      </c>
      <c r="L1055" s="2234" t="str">
        <v>原报价已按 1 美元兑换本币表示。</v>
      </c>
      <c r="M1055" s="2234" t="str">
        <v>2015|俄罗斯卢布（RUB；1998币制）</v>
      </c>
      <c r="N1055" s="2234" t="str">
        <v>俄罗斯卢布（RUB；1998币制）</v>
      </c>
      <c r="O1055" s="2239" t="n">
        <v>61.2624989166965</v>
      </c>
      <c r="P1055" s="2234" t="str">
        <v>LCU/USD</v>
      </c>
      <c r="Q1055" s="2239" t="n">
        <v>1</v>
      </c>
      <c r="R1055" s="2234" t="str">
        <v>A：机构统计／原始统计表</v>
      </c>
      <c r="S1055" s="2234" t="str">
        <v>年度汇率!K101；原始记录!A869:M869</v>
      </c>
      <c r="T1055" s="2234" t="str"/>
      <c r="U1055" t="n" s="2231">
        <v>2022</v>
      </c>
      <c r="V1055" t="str" s="2231">
        <v>日元（JPY）</v>
      </c>
    </row>
    <row r="1056" ht="15.0" customHeight="1">
      <c r="A1056" s="2234" t="n">
        <v>2015</v>
      </c>
      <c r="B1056" s="2234" t="str">
        <v>CNY</v>
      </c>
      <c r="C1056" s="2234" t="str">
        <v>人民币元（1955币制；CNY）</v>
      </c>
      <c r="D1056" s="2234" t="str">
        <v>可用</v>
      </c>
      <c r="E1056" s="2238" t="n">
        <v>6.2827</v>
      </c>
      <c r="F1056" s="2234" t="str">
        <v>年均</v>
      </c>
      <c r="G1056" s="2234" t="str">
        <v>Federal Reserve G.5A / FRED AEXCHUS</v>
      </c>
      <c r="H1056" s="2234" t="str">
        <v>https://fred.stlouisfed.org/data/AEXCHUS</v>
      </c>
      <c r="I1056" s="2234" t="str">
        <v>2015-01-01—2015-12-31</v>
      </c>
      <c r="J1056" s="2234" t="str">
        <v>historical_exchange_rates_1920_2026.xlsx</v>
      </c>
      <c r="K1056" s="2234" t="str"/>
      <c r="L1056" s="2234" t="str">
        <v>原报价已按 1 美元兑换本币表示。</v>
      </c>
      <c r="M1056" s="2234" t="str">
        <v>2015|人民币元（1955币制；CNY）</v>
      </c>
      <c r="N1056" s="2234" t="str">
        <v>人民币元（1955币制；CNY）</v>
      </c>
      <c r="O1056" s="2239" t="n">
        <v>6.2827</v>
      </c>
      <c r="P1056" s="2234" t="str">
        <v>LCU/USD</v>
      </c>
      <c r="Q1056" s="2239" t="n">
        <v>1</v>
      </c>
      <c r="R1056" s="2234" t="str">
        <v>A：机构统计／原始统计表</v>
      </c>
      <c r="S1056" s="2234" t="str">
        <v>年度汇率!L101；原始记录!A870:M870</v>
      </c>
      <c r="T1056" s="2234" t="str"/>
      <c r="U1056" t="n" s="2231">
        <v>2022</v>
      </c>
      <c r="V1056" t="str" s="2231">
        <v>瑞士法郎（CHF）</v>
      </c>
    </row>
    <row r="1057" ht="24.0" customHeight="1">
      <c r="A1057" s="2234" t="n">
        <v>2015</v>
      </c>
      <c r="B1057" s="2234" t="str">
        <v>EUR</v>
      </c>
      <c r="C1057" s="2234" t="str">
        <v>欧元（EUR）</v>
      </c>
      <c r="D1057" s="2234" t="str">
        <v>可用</v>
      </c>
      <c r="E1057" s="2238" t="n">
        <v>0.9012256669069936</v>
      </c>
      <c r="F1057" s="2234" t="str">
        <v>年均</v>
      </c>
      <c r="G1057" s="2234" t="str">
        <v>Federal Reserve G.5A / FRED AEXUSEU</v>
      </c>
      <c r="H1057" s="2234" t="str">
        <v>https://fred.stlouisfed.org/data/AEXUSEU</v>
      </c>
      <c r="I1057" s="2234" t="str">
        <v>2015-01-01—2015-12-31</v>
      </c>
      <c r="J1057" s="2234" t="str">
        <v>historical_exchange_rates_1920_2026.xlsx</v>
      </c>
      <c r="K1057" s="2234" t="str">
        <v>反向值由原报价均值取倒数；不等于反向日度汇率的算术平均。
年均USD/EUR；主表取倒数。</v>
      </c>
      <c r="L1057" s="2234" t="str">
        <v>原报价为每单位本币兑美元，取原报价均值的倒数；不等于反向日度汇率的算术平均。</v>
      </c>
      <c r="M1057" s="2234" t="str">
        <v>2015|欧元（EUR）</v>
      </c>
      <c r="N1057" s="2234" t="str">
        <v>欧元（EUR）</v>
      </c>
      <c r="O1057" s="2239" t="n">
        <v>1.1096</v>
      </c>
      <c r="P1057" s="2234" t="str">
        <v>USD/LCU</v>
      </c>
      <c r="Q1057" s="2239" t="n">
        <v>1</v>
      </c>
      <c r="R1057" s="2234" t="str">
        <v>A：机构统计／原始统计表</v>
      </c>
      <c r="S1057" s="2234" t="str">
        <v>年度汇率!M101、年度汇率!E101、年度汇率!F101、年度汇率!G101；原始记录!A871:M871</v>
      </c>
      <c r="T1057" s="2234" t="str"/>
      <c r="U1057" t="n" s="2231">
        <v>2022</v>
      </c>
      <c r="V1057" t="str" s="2231">
        <v>印度卢比（INR）</v>
      </c>
    </row>
    <row r="1058" ht="15.0" customHeight="1">
      <c r="A1058" s="2234" t="n">
        <v>2016</v>
      </c>
      <c r="B1058" s="2234" t="str">
        <v>USD</v>
      </c>
      <c r="C1058" s="2234" t="str">
        <v>美元（USD）</v>
      </c>
      <c r="D1058" s="2234" t="str">
        <v>可用</v>
      </c>
      <c r="E1058" s="2238" t="n">
        <v>1</v>
      </c>
      <c r="F1058" s="2234" t="str">
        <v>基准恒等</v>
      </c>
      <c r="G1058" s="2234" t="str">
        <v>用户提供的历史汇率表</v>
      </c>
      <c r="H1058" s="2234" t="str"/>
      <c r="I1058" s="2234" t="str">
        <v>2016</v>
      </c>
      <c r="J1058" s="2234" t="str">
        <v>historical_exchange_rates_1920_2026.xlsx</v>
      </c>
      <c r="K1058" s="2234" t="str">
        <v>1 美元等于 1 美元，无外部报价。</v>
      </c>
      <c r="L1058" s="2234" t="str">
        <v>美元基准，汇率恒为 1。</v>
      </c>
      <c r="M1058" s="2234" t="str">
        <v>2016|美元（USD）</v>
      </c>
      <c r="N1058" s="2234" t="str">
        <v>美元（USD）</v>
      </c>
      <c r="O1058" s="2239"/>
      <c r="P1058" s="2234" t="str"/>
      <c r="Q1058" s="2239"/>
      <c r="R1058" s="2234" t="str"/>
      <c r="S1058" s="2234" t="str">
        <v>年度汇率!B102</v>
      </c>
      <c r="T1058" s="2234" t="str"/>
      <c r="U1058" t="n" s="2231">
        <v>2022</v>
      </c>
      <c r="V1058" t="str" s="2231">
        <v>俄罗斯卢布（RUB；1998币制）</v>
      </c>
    </row>
    <row r="1059" ht="24.0" customHeight="1">
      <c r="A1059" s="2234" t="n">
        <v>2016</v>
      </c>
      <c r="B1059" s="2234" t="str">
        <v>GBP</v>
      </c>
      <c r="C1059" s="2234" t="str">
        <v>英镑（GBP）</v>
      </c>
      <c r="D1059" s="2234" t="str">
        <v>可用</v>
      </c>
      <c r="E1059" s="2238" t="n">
        <v>0.7377351530800443</v>
      </c>
      <c r="F1059" s="2234" t="str">
        <v>年均</v>
      </c>
      <c r="G1059" s="2234" t="str">
        <v>Federal Reserve G.5A / FRED AEXUSUK</v>
      </c>
      <c r="H1059" s="2234" t="str">
        <v>https://fred.stlouisfed.org/data/AEXUSUK</v>
      </c>
      <c r="I1059" s="2234" t="str">
        <v>2016-01-01—2016-12-31</v>
      </c>
      <c r="J1059" s="2234" t="str">
        <v>historical_exchange_rates_1920_2026.xlsx</v>
      </c>
      <c r="K1059" s="2234" t="str">
        <v>反向值由原报价均值取倒数；不等于反向日度汇率的算术平均。
年均USD/GBP；主表取倒数，不等于逐日GBP/USD平均。</v>
      </c>
      <c r="L1059" s="2234" t="str">
        <v>原报价为每单位本币兑美元，取原报价均值的倒数；不等于反向日度汇率的算术平均。</v>
      </c>
      <c r="M1059" s="2234" t="str">
        <v>2016|英镑（GBP）</v>
      </c>
      <c r="N1059" s="2234" t="str">
        <v>英镑（GBP）</v>
      </c>
      <c r="O1059" s="2239" t="n">
        <v>1.3555</v>
      </c>
      <c r="P1059" s="2234" t="str">
        <v>USD/LCU</v>
      </c>
      <c r="Q1059" s="2239" t="n">
        <v>1</v>
      </c>
      <c r="R1059" s="2234" t="str">
        <v>A：机构统计／原始统计表</v>
      </c>
      <c r="S1059" s="2234" t="str">
        <v>年度汇率!C102；原始记录!A872:M872</v>
      </c>
      <c r="T1059" s="2234" t="str"/>
      <c r="U1059" t="n" s="2231">
        <v>2022</v>
      </c>
      <c r="V1059" t="str" s="2231">
        <v>人民币元（1955币制；CNY）</v>
      </c>
    </row>
    <row r="1060" ht="15.0" customHeight="1">
      <c r="A1060" s="2234" t="n">
        <v>2016</v>
      </c>
      <c r="B1060" s="2234" t="str">
        <v>CAD</v>
      </c>
      <c r="C1060" s="2234" t="str">
        <v>加拿大元（CAD）</v>
      </c>
      <c r="D1060" s="2234" t="str">
        <v>可用</v>
      </c>
      <c r="E1060" s="2238" t="n">
        <v>1.3243</v>
      </c>
      <c r="F1060" s="2234" t="str">
        <v>年均</v>
      </c>
      <c r="G1060" s="2234" t="str">
        <v>Federal Reserve G.5A / FRED AEXCAUS</v>
      </c>
      <c r="H1060" s="2234" t="str">
        <v>https://fred.stlouisfed.org/data/AEXCAUS</v>
      </c>
      <c r="I1060" s="2234" t="str">
        <v>2016-01-01—2016-12-31</v>
      </c>
      <c r="J1060" s="2234" t="str">
        <v>historical_exchange_rates_1920_2026.xlsx</v>
      </c>
      <c r="K1060" s="2234" t="str"/>
      <c r="L1060" s="2234" t="str">
        <v>原报价已按 1 美元兑换本币表示。</v>
      </c>
      <c r="M1060" s="2234" t="str">
        <v>2016|加拿大元（CAD）</v>
      </c>
      <c r="N1060" s="2234" t="str">
        <v>加拿大元（CAD）</v>
      </c>
      <c r="O1060" s="2239" t="n">
        <v>1.3243</v>
      </c>
      <c r="P1060" s="2234" t="str">
        <v>LCU/USD</v>
      </c>
      <c r="Q1060" s="2239" t="n">
        <v>1</v>
      </c>
      <c r="R1060" s="2234" t="str">
        <v>A：机构统计／原始统计表</v>
      </c>
      <c r="S1060" s="2234" t="str">
        <v>年度汇率!D102；原始记录!A873:M873</v>
      </c>
      <c r="T1060" s="2234" t="str"/>
      <c r="U1060" t="n" s="2231">
        <v>2022</v>
      </c>
      <c r="V1060" t="str" s="2231">
        <v>欧元（EUR）</v>
      </c>
    </row>
    <row r="1061" ht="15.0" customHeight="1">
      <c r="A1061" s="2234" t="n">
        <v>2016</v>
      </c>
      <c r="B1061" s="2234" t="str">
        <v>JPY</v>
      </c>
      <c r="C1061" s="2234" t="str">
        <v>日元（JPY）</v>
      </c>
      <c r="D1061" s="2234" t="str">
        <v>可用</v>
      </c>
      <c r="E1061" s="2238" t="n">
        <v>108.6569</v>
      </c>
      <c r="F1061" s="2234" t="str">
        <v>年均</v>
      </c>
      <c r="G1061" s="2234" t="str">
        <v>Federal Reserve G.5A / FRED AEXJPUS</v>
      </c>
      <c r="H1061" s="2234" t="str">
        <v>https://fred.stlouisfed.org/data/AEXJPUS</v>
      </c>
      <c r="I1061" s="2234" t="str">
        <v>2016-01-01—2016-12-31</v>
      </c>
      <c r="J1061" s="2234" t="str">
        <v>historical_exchange_rates_1920_2026.xlsx</v>
      </c>
      <c r="K1061" s="2234" t="str"/>
      <c r="L1061" s="2234" t="str">
        <v>原报价已按 1 美元兑换本币表示。</v>
      </c>
      <c r="M1061" s="2234" t="str">
        <v>2016|日元（JPY）</v>
      </c>
      <c r="N1061" s="2234" t="str">
        <v>日元（JPY）</v>
      </c>
      <c r="O1061" s="2239" t="n">
        <v>108.6569</v>
      </c>
      <c r="P1061" s="2234" t="str">
        <v>LCU/USD</v>
      </c>
      <c r="Q1061" s="2239" t="n">
        <v>1</v>
      </c>
      <c r="R1061" s="2234" t="str">
        <v>A：机构统计／原始统计表</v>
      </c>
      <c r="S1061" s="2234" t="str">
        <v>年度汇率!H102；原始记录!A874:M874</v>
      </c>
      <c r="T1061" s="2234" t="str"/>
      <c r="U1061" t="n" s="2231">
        <v>2023</v>
      </c>
      <c r="V1061" t="str" s="2231">
        <v>美元（USD）</v>
      </c>
    </row>
    <row r="1062" ht="15.0" customHeight="1">
      <c r="A1062" s="2234" t="n">
        <v>2016</v>
      </c>
      <c r="B1062" s="2234" t="str">
        <v>CHF</v>
      </c>
      <c r="C1062" s="2234" t="str">
        <v>瑞士法郎（CHF）</v>
      </c>
      <c r="D1062" s="2234" t="str">
        <v>可用</v>
      </c>
      <c r="E1062" s="2238" t="n">
        <v>0.9848</v>
      </c>
      <c r="F1062" s="2234" t="str">
        <v>年均</v>
      </c>
      <c r="G1062" s="2234" t="str">
        <v>Federal Reserve G.5A / FRED AEXSZUS</v>
      </c>
      <c r="H1062" s="2234" t="str">
        <v>https://fred.stlouisfed.org/data/AEXSZUS</v>
      </c>
      <c r="I1062" s="2234" t="str">
        <v>2016-01-01—2016-12-31</v>
      </c>
      <c r="J1062" s="2234" t="str">
        <v>historical_exchange_rates_1920_2026.xlsx</v>
      </c>
      <c r="K1062" s="2234" t="str"/>
      <c r="L1062" s="2234" t="str">
        <v>原报价已按 1 美元兑换本币表示。</v>
      </c>
      <c r="M1062" s="2234" t="str">
        <v>2016|瑞士法郎（CHF）</v>
      </c>
      <c r="N1062" s="2234" t="str">
        <v>瑞士法郎（CHF）</v>
      </c>
      <c r="O1062" s="2239" t="n">
        <v>0.9848</v>
      </c>
      <c r="P1062" s="2234" t="str">
        <v>LCU/USD</v>
      </c>
      <c r="Q1062" s="2239" t="n">
        <v>1</v>
      </c>
      <c r="R1062" s="2234" t="str">
        <v>A：机构统计／原始统计表</v>
      </c>
      <c r="S1062" s="2234" t="str">
        <v>年度汇率!I102；原始记录!A875:M875</v>
      </c>
      <c r="T1062" s="2234" t="str"/>
      <c r="U1062" t="n" s="2231">
        <v>2023</v>
      </c>
      <c r="V1062" t="str" s="2231">
        <v>英镑（GBP）</v>
      </c>
    </row>
    <row r="1063" ht="15.0" customHeight="1">
      <c r="A1063" s="2234" t="n">
        <v>2016</v>
      </c>
      <c r="B1063" s="2234" t="str">
        <v>INR</v>
      </c>
      <c r="C1063" s="2234" t="str">
        <v>印度卢比（INR）</v>
      </c>
      <c r="D1063" s="2234" t="str">
        <v>可用</v>
      </c>
      <c r="E1063" s="2238" t="n">
        <v>67.1572</v>
      </c>
      <c r="F1063" s="2234" t="str">
        <v>年均</v>
      </c>
      <c r="G1063" s="2234" t="str">
        <v>Federal Reserve G.5A / FRED AEXINUS</v>
      </c>
      <c r="H1063" s="2234" t="str">
        <v>https://fred.stlouisfed.org/data/AEXINUS</v>
      </c>
      <c r="I1063" s="2234" t="str">
        <v>2016-01-01—2016-12-31</v>
      </c>
      <c r="J1063" s="2234" t="str">
        <v>historical_exchange_rates_1920_2026.xlsx</v>
      </c>
      <c r="K1063" s="2234" t="str"/>
      <c r="L1063" s="2234" t="str">
        <v>原报价已按 1 美元兑换本币表示。</v>
      </c>
      <c r="M1063" s="2234" t="str">
        <v>2016|印度卢比（INR）</v>
      </c>
      <c r="N1063" s="2234" t="str">
        <v>印度卢比（INR）</v>
      </c>
      <c r="O1063" s="2239" t="n">
        <v>67.1572</v>
      </c>
      <c r="P1063" s="2234" t="str">
        <v>LCU/USD</v>
      </c>
      <c r="Q1063" s="2239" t="n">
        <v>1</v>
      </c>
      <c r="R1063" s="2234" t="str">
        <v>A：机构统计／原始统计表</v>
      </c>
      <c r="S1063" s="2234" t="str">
        <v>年度汇率!J102；原始记录!A876:M876</v>
      </c>
      <c r="T1063" s="2234" t="str"/>
      <c r="U1063" t="n" s="2231">
        <v>2023</v>
      </c>
      <c r="V1063" t="str" s="2231">
        <v>加拿大元（CAD）</v>
      </c>
    </row>
    <row r="1064" ht="15.0" customHeight="1">
      <c r="A1064" s="2234" t="n">
        <v>2016</v>
      </c>
      <c r="B1064" s="2234" t="str">
        <v>RUB</v>
      </c>
      <c r="C1064" s="2234" t="str">
        <v>俄罗斯卢布（RUB；1998币制）</v>
      </c>
      <c r="D1064" s="2234" t="str">
        <v>可用</v>
      </c>
      <c r="E1064" s="2238" t="n">
        <v>67.0497423167645</v>
      </c>
      <c r="F1064" s="2234" t="str">
        <v>年均</v>
      </c>
      <c r="G1064" s="2234" t="str">
        <v>OECD Main Economic Indicators / FRED CCUSMA02RUA618N</v>
      </c>
      <c r="H1064" s="2234" t="str">
        <v>https://fred.stlouisfed.org/data/CCUSMA02RUA618N</v>
      </c>
      <c r="I1064" s="2234" t="str">
        <v>2016-01-01—2016-12-31</v>
      </c>
      <c r="J1064" s="2234" t="str">
        <v>historical_exchange_rates_1920_2026.xlsx</v>
      </c>
      <c r="K1064" s="2234" t="str">
        <v>原表1993—1997年以1998年新卢布回溯表示；本表乘1000还原当年的旧卢布。</v>
      </c>
      <c r="L1064" s="2234" t="str">
        <v>原报价已按 1 美元兑换本币表示。</v>
      </c>
      <c r="M1064" s="2234" t="str">
        <v>2016|俄罗斯卢布（RUB；1998币制）</v>
      </c>
      <c r="N1064" s="2234" t="str">
        <v>俄罗斯卢布（RUB；1998币制）</v>
      </c>
      <c r="O1064" s="2239" t="n">
        <v>67.0497423167645</v>
      </c>
      <c r="P1064" s="2234" t="str">
        <v>LCU/USD</v>
      </c>
      <c r="Q1064" s="2239" t="n">
        <v>1</v>
      </c>
      <c r="R1064" s="2234" t="str">
        <v>A：机构统计／原始统计表</v>
      </c>
      <c r="S1064" s="2234" t="str">
        <v>年度汇率!K102；原始记录!A877:M877</v>
      </c>
      <c r="T1064" s="2234" t="str"/>
      <c r="U1064" t="n" s="2231">
        <v>2023</v>
      </c>
      <c r="V1064" t="str" s="2231">
        <v>日元（JPY）</v>
      </c>
    </row>
    <row r="1065" ht="15.0" customHeight="1">
      <c r="A1065" s="2234" t="n">
        <v>2016</v>
      </c>
      <c r="B1065" s="2234" t="str">
        <v>CNY</v>
      </c>
      <c r="C1065" s="2234" t="str">
        <v>人民币元（1955币制；CNY）</v>
      </c>
      <c r="D1065" s="2234" t="str">
        <v>可用</v>
      </c>
      <c r="E1065" s="2238" t="n">
        <v>6.64</v>
      </c>
      <c r="F1065" s="2234" t="str">
        <v>年均</v>
      </c>
      <c r="G1065" s="2234" t="str">
        <v>Federal Reserve G.5A / FRED AEXCHUS</v>
      </c>
      <c r="H1065" s="2234" t="str">
        <v>https://fred.stlouisfed.org/data/AEXCHUS</v>
      </c>
      <c r="I1065" s="2234" t="str">
        <v>2016-01-01—2016-12-31</v>
      </c>
      <c r="J1065" s="2234" t="str">
        <v>historical_exchange_rates_1920_2026.xlsx</v>
      </c>
      <c r="K1065" s="2234" t="str"/>
      <c r="L1065" s="2234" t="str">
        <v>原报价已按 1 美元兑换本币表示。</v>
      </c>
      <c r="M1065" s="2234" t="str">
        <v>2016|人民币元（1955币制；CNY）</v>
      </c>
      <c r="N1065" s="2234" t="str">
        <v>人民币元（1955币制；CNY）</v>
      </c>
      <c r="O1065" s="2239" t="n">
        <v>6.64</v>
      </c>
      <c r="P1065" s="2234" t="str">
        <v>LCU/USD</v>
      </c>
      <c r="Q1065" s="2239" t="n">
        <v>1</v>
      </c>
      <c r="R1065" s="2234" t="str">
        <v>A：机构统计／原始统计表</v>
      </c>
      <c r="S1065" s="2234" t="str">
        <v>年度汇率!L102；原始记录!A878:M878</v>
      </c>
      <c r="T1065" s="2234" t="str"/>
      <c r="U1065" t="n" s="2231">
        <v>2023</v>
      </c>
      <c r="V1065" t="str" s="2231">
        <v>瑞士法郎（CHF）</v>
      </c>
    </row>
    <row r="1066" ht="24.0" customHeight="1">
      <c r="A1066" s="2234" t="n">
        <v>2016</v>
      </c>
      <c r="B1066" s="2234" t="str">
        <v>EUR</v>
      </c>
      <c r="C1066" s="2234" t="str">
        <v>欧元（EUR）</v>
      </c>
      <c r="D1066" s="2234" t="str">
        <v>可用</v>
      </c>
      <c r="E1066" s="2238" t="n">
        <v>0.9031791907514451</v>
      </c>
      <c r="F1066" s="2234" t="str">
        <v>年均</v>
      </c>
      <c r="G1066" s="2234" t="str">
        <v>Federal Reserve G.5A / FRED AEXUSEU</v>
      </c>
      <c r="H1066" s="2234" t="str">
        <v>https://fred.stlouisfed.org/data/AEXUSEU</v>
      </c>
      <c r="I1066" s="2234" t="str">
        <v>2016-01-01—2016-12-31</v>
      </c>
      <c r="J1066" s="2234" t="str">
        <v>historical_exchange_rates_1920_2026.xlsx</v>
      </c>
      <c r="K1066" s="2234" t="str">
        <v>反向值由原报价均值取倒数；不等于反向日度汇率的算术平均。
年均USD/EUR；主表取倒数。</v>
      </c>
      <c r="L1066" s="2234" t="str">
        <v>原报价为每单位本币兑美元，取原报价均值的倒数；不等于反向日度汇率的算术平均。</v>
      </c>
      <c r="M1066" s="2234" t="str">
        <v>2016|欧元（EUR）</v>
      </c>
      <c r="N1066" s="2234" t="str">
        <v>欧元（EUR）</v>
      </c>
      <c r="O1066" s="2239" t="n">
        <v>1.1072</v>
      </c>
      <c r="P1066" s="2234" t="str">
        <v>USD/LCU</v>
      </c>
      <c r="Q1066" s="2239" t="n">
        <v>1</v>
      </c>
      <c r="R1066" s="2234" t="str">
        <v>A：机构统计／原始统计表</v>
      </c>
      <c r="S1066" s="2234" t="str">
        <v>年度汇率!M102、年度汇率!E102、年度汇率!F102、年度汇率!G102；原始记录!A879:M879</v>
      </c>
      <c r="T1066" s="2234" t="str"/>
      <c r="U1066" t="n" s="2231">
        <v>2023</v>
      </c>
      <c r="V1066" t="str" s="2231">
        <v>印度卢比（INR）</v>
      </c>
    </row>
    <row r="1067" ht="15.0" customHeight="1">
      <c r="A1067" s="2234" t="n">
        <v>2017</v>
      </c>
      <c r="B1067" s="2234" t="str">
        <v>USD</v>
      </c>
      <c r="C1067" s="2234" t="str">
        <v>美元（USD）</v>
      </c>
      <c r="D1067" s="2234" t="str">
        <v>可用</v>
      </c>
      <c r="E1067" s="2238" t="n">
        <v>1</v>
      </c>
      <c r="F1067" s="2234" t="str">
        <v>基准恒等</v>
      </c>
      <c r="G1067" s="2234" t="str">
        <v>用户提供的历史汇率表</v>
      </c>
      <c r="H1067" s="2234" t="str"/>
      <c r="I1067" s="2234" t="str">
        <v>2017</v>
      </c>
      <c r="J1067" s="2234" t="str">
        <v>historical_exchange_rates_1920_2026.xlsx</v>
      </c>
      <c r="K1067" s="2234" t="str">
        <v>1 美元等于 1 美元，无外部报价。</v>
      </c>
      <c r="L1067" s="2234" t="str">
        <v>美元基准，汇率恒为 1。</v>
      </c>
      <c r="M1067" s="2234" t="str">
        <v>2017|美元（USD）</v>
      </c>
      <c r="N1067" s="2234" t="str">
        <v>美元（USD）</v>
      </c>
      <c r="O1067" s="2239"/>
      <c r="P1067" s="2234" t="str"/>
      <c r="Q1067" s="2239"/>
      <c r="R1067" s="2234" t="str"/>
      <c r="S1067" s="2234" t="str">
        <v>年度汇率!B103</v>
      </c>
      <c r="T1067" s="2234" t="str"/>
      <c r="U1067" t="n" s="2231">
        <v>2023</v>
      </c>
      <c r="V1067" t="str" s="2231">
        <v>俄罗斯卢布（RUB；1998币制）</v>
      </c>
    </row>
    <row r="1068" ht="24.0" customHeight="1">
      <c r="A1068" s="2234" t="n">
        <v>2017</v>
      </c>
      <c r="B1068" s="2234" t="str">
        <v>GBP</v>
      </c>
      <c r="C1068" s="2234" t="str">
        <v>英镑（GBP）</v>
      </c>
      <c r="D1068" s="2234" t="str">
        <v>可用</v>
      </c>
      <c r="E1068" s="2238" t="n">
        <v>0.7757951900698216</v>
      </c>
      <c r="F1068" s="2234" t="str">
        <v>年均</v>
      </c>
      <c r="G1068" s="2234" t="str">
        <v>Federal Reserve G.5A / FRED AEXUSUK</v>
      </c>
      <c r="H1068" s="2234" t="str">
        <v>https://fred.stlouisfed.org/data/AEXUSUK</v>
      </c>
      <c r="I1068" s="2234" t="str">
        <v>2017-01-01—2017-12-31</v>
      </c>
      <c r="J1068" s="2234" t="str">
        <v>historical_exchange_rates_1920_2026.xlsx</v>
      </c>
      <c r="K1068" s="2234" t="str">
        <v>反向值由原报价均值取倒数；不等于反向日度汇率的算术平均。
年均USD/GBP；主表取倒数，不等于逐日GBP/USD平均。</v>
      </c>
      <c r="L1068" s="2234" t="str">
        <v>原报价为每单位本币兑美元，取原报价均值的倒数；不等于反向日度汇率的算术平均。</v>
      </c>
      <c r="M1068" s="2234" t="str">
        <v>2017|英镑（GBP）</v>
      </c>
      <c r="N1068" s="2234" t="str">
        <v>英镑（GBP）</v>
      </c>
      <c r="O1068" s="2239" t="n">
        <v>1.289</v>
      </c>
      <c r="P1068" s="2234" t="str">
        <v>USD/LCU</v>
      </c>
      <c r="Q1068" s="2239" t="n">
        <v>1</v>
      </c>
      <c r="R1068" s="2234" t="str">
        <v>A：机构统计／原始统计表</v>
      </c>
      <c r="S1068" s="2234" t="str">
        <v>年度汇率!C103；原始记录!A880:M880</v>
      </c>
      <c r="T1068" s="2234" t="str"/>
      <c r="U1068" t="n" s="2231">
        <v>2023</v>
      </c>
      <c r="V1068" t="str" s="2231">
        <v>人民币元（1955币制；CNY）</v>
      </c>
    </row>
    <row r="1069" ht="15.0" customHeight="1">
      <c r="A1069" s="2234" t="n">
        <v>2017</v>
      </c>
      <c r="B1069" s="2234" t="str">
        <v>CAD</v>
      </c>
      <c r="C1069" s="2234" t="str">
        <v>加拿大元（CAD）</v>
      </c>
      <c r="D1069" s="2234" t="str">
        <v>可用</v>
      </c>
      <c r="E1069" s="2238" t="n">
        <v>1.2984</v>
      </c>
      <c r="F1069" s="2234" t="str">
        <v>年均</v>
      </c>
      <c r="G1069" s="2234" t="str">
        <v>Federal Reserve G.5A / FRED AEXCAUS</v>
      </c>
      <c r="H1069" s="2234" t="str">
        <v>https://fred.stlouisfed.org/data/AEXCAUS</v>
      </c>
      <c r="I1069" s="2234" t="str">
        <v>2017-01-01—2017-12-31</v>
      </c>
      <c r="J1069" s="2234" t="str">
        <v>historical_exchange_rates_1920_2026.xlsx</v>
      </c>
      <c r="K1069" s="2234" t="str"/>
      <c r="L1069" s="2234" t="str">
        <v>原报价已按 1 美元兑换本币表示。</v>
      </c>
      <c r="M1069" s="2234" t="str">
        <v>2017|加拿大元（CAD）</v>
      </c>
      <c r="N1069" s="2234" t="str">
        <v>加拿大元（CAD）</v>
      </c>
      <c r="O1069" s="2239" t="n">
        <v>1.2984</v>
      </c>
      <c r="P1069" s="2234" t="str">
        <v>LCU/USD</v>
      </c>
      <c r="Q1069" s="2239" t="n">
        <v>1</v>
      </c>
      <c r="R1069" s="2234" t="str">
        <v>A：机构统计／原始统计表</v>
      </c>
      <c r="S1069" s="2234" t="str">
        <v>年度汇率!D103；原始记录!A881:M881</v>
      </c>
      <c r="T1069" s="2234" t="str"/>
      <c r="U1069" t="n" s="2231">
        <v>2023</v>
      </c>
      <c r="V1069" t="str" s="2231">
        <v>欧元（EUR）</v>
      </c>
    </row>
    <row r="1070" ht="15.0" customHeight="1">
      <c r="A1070" s="2234" t="n">
        <v>2017</v>
      </c>
      <c r="B1070" s="2234" t="str">
        <v>JPY</v>
      </c>
      <c r="C1070" s="2234" t="str">
        <v>日元（JPY）</v>
      </c>
      <c r="D1070" s="2234" t="str">
        <v>可用</v>
      </c>
      <c r="E1070" s="2238" t="n">
        <v>112.0986</v>
      </c>
      <c r="F1070" s="2234" t="str">
        <v>年均</v>
      </c>
      <c r="G1070" s="2234" t="str">
        <v>Federal Reserve G.5A / FRED AEXJPUS</v>
      </c>
      <c r="H1070" s="2234" t="str">
        <v>https://fred.stlouisfed.org/data/AEXJPUS</v>
      </c>
      <c r="I1070" s="2234" t="str">
        <v>2017-01-01—2017-12-31</v>
      </c>
      <c r="J1070" s="2234" t="str">
        <v>historical_exchange_rates_1920_2026.xlsx</v>
      </c>
      <c r="K1070" s="2234" t="str"/>
      <c r="L1070" s="2234" t="str">
        <v>原报价已按 1 美元兑换本币表示。</v>
      </c>
      <c r="M1070" s="2234" t="str">
        <v>2017|日元（JPY）</v>
      </c>
      <c r="N1070" s="2234" t="str">
        <v>日元（JPY）</v>
      </c>
      <c r="O1070" s="2239" t="n">
        <v>112.0986</v>
      </c>
      <c r="P1070" s="2234" t="str">
        <v>LCU/USD</v>
      </c>
      <c r="Q1070" s="2239" t="n">
        <v>1</v>
      </c>
      <c r="R1070" s="2234" t="str">
        <v>A：机构统计／原始统计表</v>
      </c>
      <c r="S1070" s="2234" t="str">
        <v>年度汇率!H103；原始记录!A882:M882</v>
      </c>
      <c r="T1070" s="2234" t="str"/>
      <c r="U1070" t="n" s="2231">
        <v>2024</v>
      </c>
      <c r="V1070" t="str" s="2231">
        <v>美元（USD）</v>
      </c>
    </row>
    <row r="1071" ht="15.0" customHeight="1">
      <c r="A1071" s="2234" t="n">
        <v>2017</v>
      </c>
      <c r="B1071" s="2234" t="str">
        <v>CHF</v>
      </c>
      <c r="C1071" s="2234" t="str">
        <v>瑞士法郎（CHF）</v>
      </c>
      <c r="D1071" s="2234" t="str">
        <v>可用</v>
      </c>
      <c r="E1071" s="2238" t="n">
        <v>0.9842</v>
      </c>
      <c r="F1071" s="2234" t="str">
        <v>年均</v>
      </c>
      <c r="G1071" s="2234" t="str">
        <v>Federal Reserve G.5A / FRED AEXSZUS</v>
      </c>
      <c r="H1071" s="2234" t="str">
        <v>https://fred.stlouisfed.org/data/AEXSZUS</v>
      </c>
      <c r="I1071" s="2234" t="str">
        <v>2017-01-01—2017-12-31</v>
      </c>
      <c r="J1071" s="2234" t="str">
        <v>historical_exchange_rates_1920_2026.xlsx</v>
      </c>
      <c r="K1071" s="2234" t="str"/>
      <c r="L1071" s="2234" t="str">
        <v>原报价已按 1 美元兑换本币表示。</v>
      </c>
      <c r="M1071" s="2234" t="str">
        <v>2017|瑞士法郎（CHF）</v>
      </c>
      <c r="N1071" s="2234" t="str">
        <v>瑞士法郎（CHF）</v>
      </c>
      <c r="O1071" s="2239" t="n">
        <v>0.9842</v>
      </c>
      <c r="P1071" s="2234" t="str">
        <v>LCU/USD</v>
      </c>
      <c r="Q1071" s="2239" t="n">
        <v>1</v>
      </c>
      <c r="R1071" s="2234" t="str">
        <v>A：机构统计／原始统计表</v>
      </c>
      <c r="S1071" s="2234" t="str">
        <v>年度汇率!I103；原始记录!A883:M883</v>
      </c>
      <c r="T1071" s="2234" t="str"/>
      <c r="U1071" t="n" s="2231">
        <v>2024</v>
      </c>
      <c r="V1071" t="str" s="2231">
        <v>英镑（GBP）</v>
      </c>
    </row>
    <row r="1072" ht="15.0" customHeight="1">
      <c r="A1072" s="2234" t="n">
        <v>2017</v>
      </c>
      <c r="B1072" s="2234" t="str">
        <v>INR</v>
      </c>
      <c r="C1072" s="2234" t="str">
        <v>印度卢比（INR）</v>
      </c>
      <c r="D1072" s="2234" t="str">
        <v>可用</v>
      </c>
      <c r="E1072" s="2238" t="n">
        <v>65.0659</v>
      </c>
      <c r="F1072" s="2234" t="str">
        <v>年均</v>
      </c>
      <c r="G1072" s="2234" t="str">
        <v>Federal Reserve G.5A / FRED AEXINUS</v>
      </c>
      <c r="H1072" s="2234" t="str">
        <v>https://fred.stlouisfed.org/data/AEXINUS</v>
      </c>
      <c r="I1072" s="2234" t="str">
        <v>2017-01-01—2017-12-31</v>
      </c>
      <c r="J1072" s="2234" t="str">
        <v>historical_exchange_rates_1920_2026.xlsx</v>
      </c>
      <c r="K1072" s="2234" t="str"/>
      <c r="L1072" s="2234" t="str">
        <v>原报价已按 1 美元兑换本币表示。</v>
      </c>
      <c r="M1072" s="2234" t="str">
        <v>2017|印度卢比（INR）</v>
      </c>
      <c r="N1072" s="2234" t="str">
        <v>印度卢比（INR）</v>
      </c>
      <c r="O1072" s="2239" t="n">
        <v>65.0659</v>
      </c>
      <c r="P1072" s="2234" t="str">
        <v>LCU/USD</v>
      </c>
      <c r="Q1072" s="2239" t="n">
        <v>1</v>
      </c>
      <c r="R1072" s="2234" t="str">
        <v>A：机构统计／原始统计表</v>
      </c>
      <c r="S1072" s="2234" t="str">
        <v>年度汇率!J103；原始记录!A884:M884</v>
      </c>
      <c r="T1072" s="2234" t="str"/>
      <c r="U1072" t="n" s="2231">
        <v>2024</v>
      </c>
      <c r="V1072" t="str" s="2231">
        <v>加拿大元（CAD）</v>
      </c>
    </row>
    <row r="1073" ht="15.0" customHeight="1">
      <c r="A1073" s="2234" t="n">
        <v>2017</v>
      </c>
      <c r="B1073" s="2234" t="str">
        <v>RUB</v>
      </c>
      <c r="C1073" s="2234" t="str">
        <v>俄罗斯卢布（RUB；1998币制）</v>
      </c>
      <c r="D1073" s="2234" t="str">
        <v>可用</v>
      </c>
      <c r="E1073" s="2238" t="n">
        <v>58.3254524101986</v>
      </c>
      <c r="F1073" s="2234" t="str">
        <v>年均</v>
      </c>
      <c r="G1073" s="2234" t="str">
        <v>OECD Main Economic Indicators / FRED CCUSMA02RUA618N</v>
      </c>
      <c r="H1073" s="2234" t="str">
        <v>https://fred.stlouisfed.org/data/CCUSMA02RUA618N</v>
      </c>
      <c r="I1073" s="2234" t="str">
        <v>2017-01-01—2017-12-31</v>
      </c>
      <c r="J1073" s="2234" t="str">
        <v>historical_exchange_rates_1920_2026.xlsx</v>
      </c>
      <c r="K1073" s="2234" t="str">
        <v>原表1993—1997年以1998年新卢布回溯表示；本表乘1000还原当年的旧卢布。</v>
      </c>
      <c r="L1073" s="2234" t="str">
        <v>原报价已按 1 美元兑换本币表示。</v>
      </c>
      <c r="M1073" s="2234" t="str">
        <v>2017|俄罗斯卢布（RUB；1998币制）</v>
      </c>
      <c r="N1073" s="2234" t="str">
        <v>俄罗斯卢布（RUB；1998币制）</v>
      </c>
      <c r="O1073" s="2239" t="n">
        <v>58.3254524101986</v>
      </c>
      <c r="P1073" s="2234" t="str">
        <v>LCU/USD</v>
      </c>
      <c r="Q1073" s="2239" t="n">
        <v>1</v>
      </c>
      <c r="R1073" s="2234" t="str">
        <v>A：机构统计／原始统计表</v>
      </c>
      <c r="S1073" s="2234" t="str">
        <v>年度汇率!K103；原始记录!A885:M885</v>
      </c>
      <c r="T1073" s="2234" t="str"/>
      <c r="U1073" t="n" s="2231">
        <v>2024</v>
      </c>
      <c r="V1073" t="str" s="2231">
        <v>日元（JPY）</v>
      </c>
    </row>
    <row r="1074" ht="15.0" customHeight="1">
      <c r="A1074" s="2234" t="n">
        <v>2017</v>
      </c>
      <c r="B1074" s="2234" t="str">
        <v>CNY</v>
      </c>
      <c r="C1074" s="2234" t="str">
        <v>人民币元（1955币制；CNY）</v>
      </c>
      <c r="D1074" s="2234" t="str">
        <v>可用</v>
      </c>
      <c r="E1074" s="2238" t="n">
        <v>6.7569</v>
      </c>
      <c r="F1074" s="2234" t="str">
        <v>年均</v>
      </c>
      <c r="G1074" s="2234" t="str">
        <v>Federal Reserve G.5A / FRED AEXCHUS</v>
      </c>
      <c r="H1074" s="2234" t="str">
        <v>https://fred.stlouisfed.org/data/AEXCHUS</v>
      </c>
      <c r="I1074" s="2234" t="str">
        <v>2017-01-01—2017-12-31</v>
      </c>
      <c r="J1074" s="2234" t="str">
        <v>historical_exchange_rates_1920_2026.xlsx</v>
      </c>
      <c r="K1074" s="2234" t="str"/>
      <c r="L1074" s="2234" t="str">
        <v>原报价已按 1 美元兑换本币表示。</v>
      </c>
      <c r="M1074" s="2234" t="str">
        <v>2017|人民币元（1955币制；CNY）</v>
      </c>
      <c r="N1074" s="2234" t="str">
        <v>人民币元（1955币制；CNY）</v>
      </c>
      <c r="O1074" s="2239" t="n">
        <v>6.7569</v>
      </c>
      <c r="P1074" s="2234" t="str">
        <v>LCU/USD</v>
      </c>
      <c r="Q1074" s="2239" t="n">
        <v>1</v>
      </c>
      <c r="R1074" s="2234" t="str">
        <v>A：机构统计／原始统计表</v>
      </c>
      <c r="S1074" s="2234" t="str">
        <v>年度汇率!L103；原始记录!A886:M886</v>
      </c>
      <c r="T1074" s="2234" t="str"/>
      <c r="U1074" t="n" s="2231">
        <v>2024</v>
      </c>
      <c r="V1074" t="str" s="2231">
        <v>瑞士法郎（CHF）</v>
      </c>
    </row>
    <row r="1075" ht="24.0" customHeight="1">
      <c r="A1075" s="2234" t="n">
        <v>2017</v>
      </c>
      <c r="B1075" s="2234" t="str">
        <v>EUR</v>
      </c>
      <c r="C1075" s="2234" t="str">
        <v>欧元（EUR）</v>
      </c>
      <c r="D1075" s="2234" t="str">
        <v>可用</v>
      </c>
      <c r="E1075" s="2238" t="n">
        <v>0.8848774444739402</v>
      </c>
      <c r="F1075" s="2234" t="str">
        <v>年均</v>
      </c>
      <c r="G1075" s="2234" t="str">
        <v>Federal Reserve G.5A / FRED AEXUSEU</v>
      </c>
      <c r="H1075" s="2234" t="str">
        <v>https://fred.stlouisfed.org/data/AEXUSEU</v>
      </c>
      <c r="I1075" s="2234" t="str">
        <v>2017-01-01—2017-12-31</v>
      </c>
      <c r="J1075" s="2234" t="str">
        <v>historical_exchange_rates_1920_2026.xlsx</v>
      </c>
      <c r="K1075" s="2234" t="str">
        <v>反向值由原报价均值取倒数；不等于反向日度汇率的算术平均。
年均USD/EUR；主表取倒数。</v>
      </c>
      <c r="L1075" s="2234" t="str">
        <v>原报价为每单位本币兑美元，取原报价均值的倒数；不等于反向日度汇率的算术平均。</v>
      </c>
      <c r="M1075" s="2234" t="str">
        <v>2017|欧元（EUR）</v>
      </c>
      <c r="N1075" s="2234" t="str">
        <v>欧元（EUR）</v>
      </c>
      <c r="O1075" s="2239" t="n">
        <v>1.1301</v>
      </c>
      <c r="P1075" s="2234" t="str">
        <v>USD/LCU</v>
      </c>
      <c r="Q1075" s="2239" t="n">
        <v>1</v>
      </c>
      <c r="R1075" s="2234" t="str">
        <v>A：机构统计／原始统计表</v>
      </c>
      <c r="S1075" s="2234" t="str">
        <v>年度汇率!M103、年度汇率!E103、年度汇率!F103、年度汇率!G103；原始记录!A887:M887</v>
      </c>
      <c r="T1075" s="2234" t="str"/>
      <c r="U1075" t="n" s="2231">
        <v>2024</v>
      </c>
      <c r="V1075" t="str" s="2231">
        <v>印度卢比（INR）</v>
      </c>
    </row>
    <row r="1076" ht="15.0" customHeight="1">
      <c r="A1076" s="2234" t="n">
        <v>2018</v>
      </c>
      <c r="B1076" s="2234" t="str">
        <v>USD</v>
      </c>
      <c r="C1076" s="2234" t="str">
        <v>美元（USD）</v>
      </c>
      <c r="D1076" s="2234" t="str">
        <v>可用</v>
      </c>
      <c r="E1076" s="2238" t="n">
        <v>1</v>
      </c>
      <c r="F1076" s="2234" t="str">
        <v>基准恒等</v>
      </c>
      <c r="G1076" s="2234" t="str">
        <v>用户提供的历史汇率表</v>
      </c>
      <c r="H1076" s="2234" t="str"/>
      <c r="I1076" s="2234" t="str">
        <v>2018</v>
      </c>
      <c r="J1076" s="2234" t="str">
        <v>historical_exchange_rates_1920_2026.xlsx</v>
      </c>
      <c r="K1076" s="2234" t="str">
        <v>1 美元等于 1 美元，无外部报价。</v>
      </c>
      <c r="L1076" s="2234" t="str">
        <v>美元基准，汇率恒为 1。</v>
      </c>
      <c r="M1076" s="2234" t="str">
        <v>2018|美元（USD）</v>
      </c>
      <c r="N1076" s="2234" t="str">
        <v>美元（USD）</v>
      </c>
      <c r="O1076" s="2239"/>
      <c r="P1076" s="2234" t="str"/>
      <c r="Q1076" s="2239"/>
      <c r="R1076" s="2234" t="str"/>
      <c r="S1076" s="2234" t="str">
        <v>年度汇率!B104</v>
      </c>
      <c r="T1076" s="2234" t="str"/>
      <c r="U1076" t="n" s="2231">
        <v>2024</v>
      </c>
      <c r="V1076" t="str" s="2231">
        <v>俄罗斯卢布（RUB；1998币制）</v>
      </c>
    </row>
    <row r="1077" ht="24.0" customHeight="1">
      <c r="A1077" s="2234" t="n">
        <v>2018</v>
      </c>
      <c r="B1077" s="2234" t="str">
        <v>GBP</v>
      </c>
      <c r="C1077" s="2234" t="str">
        <v>英镑（GBP）</v>
      </c>
      <c r="D1077" s="2234" t="str">
        <v>可用</v>
      </c>
      <c r="E1077" s="2238" t="n">
        <v>0.7483349547257352</v>
      </c>
      <c r="F1077" s="2234" t="str">
        <v>年均</v>
      </c>
      <c r="G1077" s="2234" t="str">
        <v>Federal Reserve G.5A / FRED AEXUSUK</v>
      </c>
      <c r="H1077" s="2234" t="str">
        <v>https://fred.stlouisfed.org/data/AEXUSUK</v>
      </c>
      <c r="I1077" s="2234" t="str">
        <v>2018-01-01—2018-12-31</v>
      </c>
      <c r="J1077" s="2234" t="str">
        <v>historical_exchange_rates_1920_2026.xlsx</v>
      </c>
      <c r="K1077" s="2234" t="str">
        <v>反向值由原报价均值取倒数；不等于反向日度汇率的算术平均。
年均USD/GBP；主表取倒数，不等于逐日GBP/USD平均。</v>
      </c>
      <c r="L1077" s="2234" t="str">
        <v>原报价为每单位本币兑美元，取原报价均值的倒数；不等于反向日度汇率的算术平均。</v>
      </c>
      <c r="M1077" s="2234" t="str">
        <v>2018|英镑（GBP）</v>
      </c>
      <c r="N1077" s="2234" t="str">
        <v>英镑（GBP）</v>
      </c>
      <c r="O1077" s="2239" t="n">
        <v>1.3363</v>
      </c>
      <c r="P1077" s="2234" t="str">
        <v>USD/LCU</v>
      </c>
      <c r="Q1077" s="2239" t="n">
        <v>1</v>
      </c>
      <c r="R1077" s="2234" t="str">
        <v>A：机构统计／原始统计表</v>
      </c>
      <c r="S1077" s="2234" t="str">
        <v>年度汇率!C104；原始记录!A888:M888</v>
      </c>
      <c r="T1077" s="2234" t="str"/>
      <c r="U1077" t="n" s="2231">
        <v>2024</v>
      </c>
      <c r="V1077" t="str" s="2231">
        <v>人民币元（1955币制；CNY）</v>
      </c>
    </row>
    <row r="1078" ht="15.0" customHeight="1">
      <c r="A1078" s="2234" t="n">
        <v>2018</v>
      </c>
      <c r="B1078" s="2234" t="str">
        <v>CAD</v>
      </c>
      <c r="C1078" s="2234" t="str">
        <v>加拿大元（CAD）</v>
      </c>
      <c r="D1078" s="2234" t="str">
        <v>可用</v>
      </c>
      <c r="E1078" s="2238" t="n">
        <v>1.2957</v>
      </c>
      <c r="F1078" s="2234" t="str">
        <v>年均</v>
      </c>
      <c r="G1078" s="2234" t="str">
        <v>Federal Reserve G.5A / FRED AEXCAUS</v>
      </c>
      <c r="H1078" s="2234" t="str">
        <v>https://fred.stlouisfed.org/data/AEXCAUS</v>
      </c>
      <c r="I1078" s="2234" t="str">
        <v>2018-01-01—2018-12-31</v>
      </c>
      <c r="J1078" s="2234" t="str">
        <v>historical_exchange_rates_1920_2026.xlsx</v>
      </c>
      <c r="K1078" s="2234" t="str"/>
      <c r="L1078" s="2234" t="str">
        <v>原报价已按 1 美元兑换本币表示。</v>
      </c>
      <c r="M1078" s="2234" t="str">
        <v>2018|加拿大元（CAD）</v>
      </c>
      <c r="N1078" s="2234" t="str">
        <v>加拿大元（CAD）</v>
      </c>
      <c r="O1078" s="2239" t="n">
        <v>1.2957</v>
      </c>
      <c r="P1078" s="2234" t="str">
        <v>LCU/USD</v>
      </c>
      <c r="Q1078" s="2239" t="n">
        <v>1</v>
      </c>
      <c r="R1078" s="2234" t="str">
        <v>A：机构统计／原始统计表</v>
      </c>
      <c r="S1078" s="2234" t="str">
        <v>年度汇率!D104；原始记录!A889:M889</v>
      </c>
      <c r="T1078" s="2234" t="str"/>
      <c r="U1078" t="n" s="2231">
        <v>2024</v>
      </c>
      <c r="V1078" t="str" s="2231">
        <v>欧元（EUR）</v>
      </c>
    </row>
    <row r="1079" ht="15.0" customHeight="1">
      <c r="A1079" s="2234" t="n">
        <v>2018</v>
      </c>
      <c r="B1079" s="2234" t="str">
        <v>JPY</v>
      </c>
      <c r="C1079" s="2234" t="str">
        <v>日元（JPY）</v>
      </c>
      <c r="D1079" s="2234" t="str">
        <v>可用</v>
      </c>
      <c r="E1079" s="2238" t="n">
        <v>110.3974</v>
      </c>
      <c r="F1079" s="2234" t="str">
        <v>年均</v>
      </c>
      <c r="G1079" s="2234" t="str">
        <v>Federal Reserve G.5A / FRED AEXJPUS</v>
      </c>
      <c r="H1079" s="2234" t="str">
        <v>https://fred.stlouisfed.org/data/AEXJPUS</v>
      </c>
      <c r="I1079" s="2234" t="str">
        <v>2018-01-01—2018-12-31</v>
      </c>
      <c r="J1079" s="2234" t="str">
        <v>historical_exchange_rates_1920_2026.xlsx</v>
      </c>
      <c r="K1079" s="2234" t="str"/>
      <c r="L1079" s="2234" t="str">
        <v>原报价已按 1 美元兑换本币表示。</v>
      </c>
      <c r="M1079" s="2234" t="str">
        <v>2018|日元（JPY）</v>
      </c>
      <c r="N1079" s="2234" t="str">
        <v>日元（JPY）</v>
      </c>
      <c r="O1079" s="2239" t="n">
        <v>110.3974</v>
      </c>
      <c r="P1079" s="2234" t="str">
        <v>LCU/USD</v>
      </c>
      <c r="Q1079" s="2239" t="n">
        <v>1</v>
      </c>
      <c r="R1079" s="2234" t="str">
        <v>A：机构统计／原始统计表</v>
      </c>
      <c r="S1079" s="2234" t="str">
        <v>年度汇率!H104；原始记录!A890:M890</v>
      </c>
      <c r="T1079" s="2234" t="str"/>
      <c r="U1079" t="n" s="2231">
        <v>2025</v>
      </c>
      <c r="V1079" t="str" s="2231">
        <v>美元（USD）</v>
      </c>
    </row>
    <row r="1080" ht="15.0" customHeight="1">
      <c r="A1080" s="2234" t="n">
        <v>2018</v>
      </c>
      <c r="B1080" s="2234" t="str">
        <v>CHF</v>
      </c>
      <c r="C1080" s="2234" t="str">
        <v>瑞士法郎（CHF）</v>
      </c>
      <c r="D1080" s="2234" t="str">
        <v>可用</v>
      </c>
      <c r="E1080" s="2238" t="n">
        <v>0.9784</v>
      </c>
      <c r="F1080" s="2234" t="str">
        <v>年均</v>
      </c>
      <c r="G1080" s="2234" t="str">
        <v>Federal Reserve G.5A / FRED AEXSZUS</v>
      </c>
      <c r="H1080" s="2234" t="str">
        <v>https://fred.stlouisfed.org/data/AEXSZUS</v>
      </c>
      <c r="I1080" s="2234" t="str">
        <v>2018-01-01—2018-12-31</v>
      </c>
      <c r="J1080" s="2234" t="str">
        <v>historical_exchange_rates_1920_2026.xlsx</v>
      </c>
      <c r="K1080" s="2234" t="str"/>
      <c r="L1080" s="2234" t="str">
        <v>原报价已按 1 美元兑换本币表示。</v>
      </c>
      <c r="M1080" s="2234" t="str">
        <v>2018|瑞士法郎（CHF）</v>
      </c>
      <c r="N1080" s="2234" t="str">
        <v>瑞士法郎（CHF）</v>
      </c>
      <c r="O1080" s="2239" t="n">
        <v>0.9784</v>
      </c>
      <c r="P1080" s="2234" t="str">
        <v>LCU/USD</v>
      </c>
      <c r="Q1080" s="2239" t="n">
        <v>1</v>
      </c>
      <c r="R1080" s="2234" t="str">
        <v>A：机构统计／原始统计表</v>
      </c>
      <c r="S1080" s="2234" t="str">
        <v>年度汇率!I104；原始记录!A891:M891</v>
      </c>
      <c r="T1080" s="2234" t="str"/>
      <c r="U1080" t="n" s="2231">
        <v>2025</v>
      </c>
      <c r="V1080" t="str" s="2231">
        <v>英镑（GBP）</v>
      </c>
    </row>
    <row r="1081" ht="15.0" customHeight="1">
      <c r="A1081" s="2234" t="n">
        <v>2018</v>
      </c>
      <c r="B1081" s="2234" t="str">
        <v>INR</v>
      </c>
      <c r="C1081" s="2234" t="str">
        <v>印度卢比（INR）</v>
      </c>
      <c r="D1081" s="2234" t="str">
        <v>可用</v>
      </c>
      <c r="E1081" s="2238" t="n">
        <v>68.3734</v>
      </c>
      <c r="F1081" s="2234" t="str">
        <v>年均</v>
      </c>
      <c r="G1081" s="2234" t="str">
        <v>Federal Reserve G.5A / FRED AEXINUS</v>
      </c>
      <c r="H1081" s="2234" t="str">
        <v>https://fred.stlouisfed.org/data/AEXINUS</v>
      </c>
      <c r="I1081" s="2234" t="str">
        <v>2018-01-01—2018-12-31</v>
      </c>
      <c r="J1081" s="2234" t="str">
        <v>historical_exchange_rates_1920_2026.xlsx</v>
      </c>
      <c r="K1081" s="2234" t="str"/>
      <c r="L1081" s="2234" t="str">
        <v>原报价已按 1 美元兑换本币表示。</v>
      </c>
      <c r="M1081" s="2234" t="str">
        <v>2018|印度卢比（INR）</v>
      </c>
      <c r="N1081" s="2234" t="str">
        <v>印度卢比（INR）</v>
      </c>
      <c r="O1081" s="2239" t="n">
        <v>68.3734</v>
      </c>
      <c r="P1081" s="2234" t="str">
        <v>LCU/USD</v>
      </c>
      <c r="Q1081" s="2239" t="n">
        <v>1</v>
      </c>
      <c r="R1081" s="2234" t="str">
        <v>A：机构统计／原始统计表</v>
      </c>
      <c r="S1081" s="2234" t="str">
        <v>年度汇率!J104；原始记录!A892:M892</v>
      </c>
      <c r="T1081" s="2234" t="str"/>
      <c r="U1081" t="n" s="2231">
        <v>2025</v>
      </c>
      <c r="V1081" t="str" s="2231">
        <v>加拿大元（CAD）</v>
      </c>
    </row>
    <row r="1082" ht="15.0" customHeight="1">
      <c r="A1082" s="2234" t="n">
        <v>2018</v>
      </c>
      <c r="B1082" s="2234" t="str">
        <v>RUB</v>
      </c>
      <c r="C1082" s="2234" t="str">
        <v>俄罗斯卢布（RUB；1998币制）</v>
      </c>
      <c r="D1082" s="2234" t="str">
        <v>可用</v>
      </c>
      <c r="E1082" s="2238" t="n">
        <v>62.8053683632756</v>
      </c>
      <c r="F1082" s="2234" t="str">
        <v>年均</v>
      </c>
      <c r="G1082" s="2234" t="str">
        <v>OECD Main Economic Indicators / FRED CCUSMA02RUA618N</v>
      </c>
      <c r="H1082" s="2234" t="str">
        <v>https://fred.stlouisfed.org/data/CCUSMA02RUA618N</v>
      </c>
      <c r="I1082" s="2234" t="str">
        <v>2018-01-01—2018-12-31</v>
      </c>
      <c r="J1082" s="2234" t="str">
        <v>historical_exchange_rates_1920_2026.xlsx</v>
      </c>
      <c r="K1082" s="2234" t="str">
        <v>原表1993—1997年以1998年新卢布回溯表示；本表乘1000还原当年的旧卢布。</v>
      </c>
      <c r="L1082" s="2234" t="str">
        <v>原报价已按 1 美元兑换本币表示。</v>
      </c>
      <c r="M1082" s="2234" t="str">
        <v>2018|俄罗斯卢布（RUB；1998币制）</v>
      </c>
      <c r="N1082" s="2234" t="str">
        <v>俄罗斯卢布（RUB；1998币制）</v>
      </c>
      <c r="O1082" s="2239" t="n">
        <v>62.8053683632756</v>
      </c>
      <c r="P1082" s="2234" t="str">
        <v>LCU/USD</v>
      </c>
      <c r="Q1082" s="2239" t="n">
        <v>1</v>
      </c>
      <c r="R1082" s="2234" t="str">
        <v>A：机构统计／原始统计表</v>
      </c>
      <c r="S1082" s="2234" t="str">
        <v>年度汇率!K104；原始记录!A893:M893</v>
      </c>
      <c r="T1082" s="2234" t="str"/>
      <c r="U1082" t="n" s="2231">
        <v>2025</v>
      </c>
      <c r="V1082" t="str" s="2231">
        <v>日元（JPY）</v>
      </c>
    </row>
    <row r="1083" ht="15.0" customHeight="1">
      <c r="A1083" s="2234" t="n">
        <v>2018</v>
      </c>
      <c r="B1083" s="2234" t="str">
        <v>CNY</v>
      </c>
      <c r="C1083" s="2234" t="str">
        <v>人民币元（1955币制；CNY）</v>
      </c>
      <c r="D1083" s="2234" t="str">
        <v>可用</v>
      </c>
      <c r="E1083" s="2238" t="n">
        <v>6.609</v>
      </c>
      <c r="F1083" s="2234" t="str">
        <v>年均</v>
      </c>
      <c r="G1083" s="2234" t="str">
        <v>Federal Reserve G.5A / FRED AEXCHUS</v>
      </c>
      <c r="H1083" s="2234" t="str">
        <v>https://fred.stlouisfed.org/data/AEXCHUS</v>
      </c>
      <c r="I1083" s="2234" t="str">
        <v>2018-01-01—2018-12-31</v>
      </c>
      <c r="J1083" s="2234" t="str">
        <v>historical_exchange_rates_1920_2026.xlsx</v>
      </c>
      <c r="K1083" s="2234" t="str"/>
      <c r="L1083" s="2234" t="str">
        <v>原报价已按 1 美元兑换本币表示。</v>
      </c>
      <c r="M1083" s="2234" t="str">
        <v>2018|人民币元（1955币制；CNY）</v>
      </c>
      <c r="N1083" s="2234" t="str">
        <v>人民币元（1955币制；CNY）</v>
      </c>
      <c r="O1083" s="2239" t="n">
        <v>6.609</v>
      </c>
      <c r="P1083" s="2234" t="str">
        <v>LCU/USD</v>
      </c>
      <c r="Q1083" s="2239" t="n">
        <v>1</v>
      </c>
      <c r="R1083" s="2234" t="str">
        <v>A：机构统计／原始统计表</v>
      </c>
      <c r="S1083" s="2234" t="str">
        <v>年度汇率!L104；原始记录!A894:M894</v>
      </c>
      <c r="T1083" s="2234" t="str"/>
      <c r="U1083" t="n" s="2231">
        <v>2025</v>
      </c>
      <c r="V1083" t="str" s="2231">
        <v>瑞士法郎（CHF）</v>
      </c>
    </row>
    <row r="1084" ht="24.0" customHeight="1">
      <c r="A1084" s="2234" t="n">
        <v>2018</v>
      </c>
      <c r="B1084" s="2234" t="str">
        <v>EUR</v>
      </c>
      <c r="C1084" s="2234" t="str">
        <v>欧元（EUR）</v>
      </c>
      <c r="D1084" s="2234" t="str">
        <v>可用</v>
      </c>
      <c r="E1084" s="2238" t="n">
        <v>0.8462384700008463</v>
      </c>
      <c r="F1084" s="2234" t="str">
        <v>年均</v>
      </c>
      <c r="G1084" s="2234" t="str">
        <v>Federal Reserve G.5A / FRED AEXUSEU</v>
      </c>
      <c r="H1084" s="2234" t="str">
        <v>https://fred.stlouisfed.org/data/AEXUSEU</v>
      </c>
      <c r="I1084" s="2234" t="str">
        <v>2018-01-01—2018-12-31</v>
      </c>
      <c r="J1084" s="2234" t="str">
        <v>historical_exchange_rates_1920_2026.xlsx</v>
      </c>
      <c r="K1084" s="2234" t="str">
        <v>反向值由原报价均值取倒数；不等于反向日度汇率的算术平均。
年均USD/EUR；主表取倒数。</v>
      </c>
      <c r="L1084" s="2234" t="str">
        <v>原报价为每单位本币兑美元，取原报价均值的倒数；不等于反向日度汇率的算术平均。</v>
      </c>
      <c r="M1084" s="2234" t="str">
        <v>2018|欧元（EUR）</v>
      </c>
      <c r="N1084" s="2234" t="str">
        <v>欧元（EUR）</v>
      </c>
      <c r="O1084" s="2239" t="n">
        <v>1.1817</v>
      </c>
      <c r="P1084" s="2234" t="str">
        <v>USD/LCU</v>
      </c>
      <c r="Q1084" s="2239" t="n">
        <v>1</v>
      </c>
      <c r="R1084" s="2234" t="str">
        <v>A：机构统计／原始统计表</v>
      </c>
      <c r="S1084" s="2234" t="str">
        <v>年度汇率!M104、年度汇率!E104、年度汇率!F104、年度汇率!G104；原始记录!A895:M895</v>
      </c>
      <c r="T1084" s="2234" t="str"/>
      <c r="U1084" t="n" s="2231">
        <v>2025</v>
      </c>
      <c r="V1084" t="str" s="2231">
        <v>印度卢比（INR）</v>
      </c>
    </row>
    <row r="1085" ht="15.0" customHeight="1">
      <c r="A1085" s="2234" t="n">
        <v>2019</v>
      </c>
      <c r="B1085" s="2234" t="str">
        <v>USD</v>
      </c>
      <c r="C1085" s="2234" t="str">
        <v>美元（USD）</v>
      </c>
      <c r="D1085" s="2234" t="str">
        <v>可用</v>
      </c>
      <c r="E1085" s="2238" t="n">
        <v>1</v>
      </c>
      <c r="F1085" s="2234" t="str">
        <v>基准恒等</v>
      </c>
      <c r="G1085" s="2234" t="str">
        <v>用户提供的历史汇率表</v>
      </c>
      <c r="H1085" s="2234" t="str"/>
      <c r="I1085" s="2234" t="str">
        <v>2019</v>
      </c>
      <c r="J1085" s="2234" t="str">
        <v>historical_exchange_rates_1920_2026.xlsx</v>
      </c>
      <c r="K1085" s="2234" t="str">
        <v>1 美元等于 1 美元，无外部报价。</v>
      </c>
      <c r="L1085" s="2234" t="str">
        <v>美元基准，汇率恒为 1。</v>
      </c>
      <c r="M1085" s="2234" t="str">
        <v>2019|美元（USD）</v>
      </c>
      <c r="N1085" s="2234" t="str">
        <v>美元（USD）</v>
      </c>
      <c r="O1085" s="2239"/>
      <c r="P1085" s="2234" t="str"/>
      <c r="Q1085" s="2239"/>
      <c r="R1085" s="2234" t="str"/>
      <c r="S1085" s="2234" t="str">
        <v>年度汇率!B105</v>
      </c>
      <c r="T1085" s="2234" t="str"/>
      <c r="U1085" t="n" s="2231">
        <v>2025</v>
      </c>
      <c r="V1085" t="str" s="2231">
        <v>俄罗斯卢布（RUB；1998币制）</v>
      </c>
    </row>
    <row r="1086" ht="24.0" customHeight="1">
      <c r="A1086" s="2234" t="n">
        <v>2019</v>
      </c>
      <c r="B1086" s="2234" t="str">
        <v>GBP</v>
      </c>
      <c r="C1086" s="2234" t="str">
        <v>英镑（GBP）</v>
      </c>
      <c r="D1086" s="2234" t="str">
        <v>可用</v>
      </c>
      <c r="E1086" s="2238" t="n">
        <v>0.7832080200501254</v>
      </c>
      <c r="F1086" s="2234" t="str">
        <v>年均</v>
      </c>
      <c r="G1086" s="2234" t="str">
        <v>Federal Reserve G.5A / FRED AEXUSUK</v>
      </c>
      <c r="H1086" s="2234" t="str">
        <v>https://fred.stlouisfed.org/data/AEXUSUK</v>
      </c>
      <c r="I1086" s="2234" t="str">
        <v>2019-01-01—2019-12-31</v>
      </c>
      <c r="J1086" s="2234" t="str">
        <v>historical_exchange_rates_1920_2026.xlsx</v>
      </c>
      <c r="K1086" s="2234" t="str">
        <v>反向值由原报价均值取倒数；不等于反向日度汇率的算术平均。
年均USD/GBP；主表取倒数，不等于逐日GBP/USD平均。</v>
      </c>
      <c r="L1086" s="2234" t="str">
        <v>原报价为每单位本币兑美元，取原报价均值的倒数；不等于反向日度汇率的算术平均。</v>
      </c>
      <c r="M1086" s="2234" t="str">
        <v>2019|英镑（GBP）</v>
      </c>
      <c r="N1086" s="2234" t="str">
        <v>英镑（GBP）</v>
      </c>
      <c r="O1086" s="2239" t="n">
        <v>1.2768</v>
      </c>
      <c r="P1086" s="2234" t="str">
        <v>USD/LCU</v>
      </c>
      <c r="Q1086" s="2239" t="n">
        <v>1</v>
      </c>
      <c r="R1086" s="2234" t="str">
        <v>A：机构统计／原始统计表</v>
      </c>
      <c r="S1086" s="2234" t="str">
        <v>年度汇率!C105；原始记录!A896:M896</v>
      </c>
      <c r="T1086" s="2234" t="str"/>
      <c r="U1086" t="n" s="2231">
        <v>2025</v>
      </c>
      <c r="V1086" t="str" s="2231">
        <v>人民币元（1955币制；CNY）</v>
      </c>
    </row>
    <row r="1087" ht="15.0" customHeight="1">
      <c r="A1087" s="2234" t="n">
        <v>2019</v>
      </c>
      <c r="B1087" s="2234" t="str">
        <v>CAD</v>
      </c>
      <c r="C1087" s="2234" t="str">
        <v>加拿大元（CAD）</v>
      </c>
      <c r="D1087" s="2234" t="str">
        <v>可用</v>
      </c>
      <c r="E1087" s="2238" t="n">
        <v>1.3269</v>
      </c>
      <c r="F1087" s="2234" t="str">
        <v>年均</v>
      </c>
      <c r="G1087" s="2234" t="str">
        <v>Federal Reserve G.5A / FRED AEXCAUS</v>
      </c>
      <c r="H1087" s="2234" t="str">
        <v>https://fred.stlouisfed.org/data/AEXCAUS</v>
      </c>
      <c r="I1087" s="2234" t="str">
        <v>2019-01-01—2019-12-31</v>
      </c>
      <c r="J1087" s="2234" t="str">
        <v>historical_exchange_rates_1920_2026.xlsx</v>
      </c>
      <c r="K1087" s="2234" t="str"/>
      <c r="L1087" s="2234" t="str">
        <v>原报价已按 1 美元兑换本币表示。</v>
      </c>
      <c r="M1087" s="2234" t="str">
        <v>2019|加拿大元（CAD）</v>
      </c>
      <c r="N1087" s="2234" t="str">
        <v>加拿大元（CAD）</v>
      </c>
      <c r="O1087" s="2239" t="n">
        <v>1.3269</v>
      </c>
      <c r="P1087" s="2234" t="str">
        <v>LCU/USD</v>
      </c>
      <c r="Q1087" s="2239" t="n">
        <v>1</v>
      </c>
      <c r="R1087" s="2234" t="str">
        <v>A：机构统计／原始统计表</v>
      </c>
      <c r="S1087" s="2234" t="str">
        <v>年度汇率!D105；原始记录!A897:M897</v>
      </c>
      <c r="T1087" s="2234" t="str"/>
      <c r="U1087" t="n" s="2231">
        <v>2025</v>
      </c>
      <c r="V1087" t="str" s="2231">
        <v>欧元（EUR）</v>
      </c>
    </row>
    <row r="1088" ht="15.0" customHeight="1">
      <c r="A1088" s="2234" t="n">
        <v>2019</v>
      </c>
      <c r="B1088" s="2234" t="str">
        <v>JPY</v>
      </c>
      <c r="C1088" s="2234" t="str">
        <v>日元（JPY）</v>
      </c>
      <c r="D1088" s="2234" t="str">
        <v>可用</v>
      </c>
      <c r="E1088" s="2238" t="n">
        <v>109.0188</v>
      </c>
      <c r="F1088" s="2234" t="str">
        <v>年均</v>
      </c>
      <c r="G1088" s="2234" t="str">
        <v>Federal Reserve G.5A / FRED AEXJPUS</v>
      </c>
      <c r="H1088" s="2234" t="str">
        <v>https://fred.stlouisfed.org/data/AEXJPUS</v>
      </c>
      <c r="I1088" s="2234" t="str">
        <v>2019-01-01—2019-12-31</v>
      </c>
      <c r="J1088" s="2234" t="str">
        <v>historical_exchange_rates_1920_2026.xlsx</v>
      </c>
      <c r="K1088" s="2234" t="str"/>
      <c r="L1088" s="2234" t="str">
        <v>原报价已按 1 美元兑换本币表示。</v>
      </c>
      <c r="M1088" s="2234" t="str">
        <v>2019|日元（JPY）</v>
      </c>
      <c r="N1088" s="2234" t="str">
        <v>日元（JPY）</v>
      </c>
      <c r="O1088" s="2239" t="n">
        <v>109.0188</v>
      </c>
      <c r="P1088" s="2234" t="str">
        <v>LCU/USD</v>
      </c>
      <c r="Q1088" s="2239" t="n">
        <v>1</v>
      </c>
      <c r="R1088" s="2234" t="str">
        <v>A：机构统计／原始统计表</v>
      </c>
      <c r="S1088" s="2234" t="str">
        <v>年度汇率!H105；原始记录!A898:M898</v>
      </c>
      <c r="T1088" s="2234" t="str"/>
      <c r="U1088" t="n" s="2231">
        <v>2026</v>
      </c>
      <c r="V1088" t="str" s="2231">
        <v>美元（USD）</v>
      </c>
    </row>
    <row r="1089" ht="15.0" customHeight="1">
      <c r="A1089" s="2234" t="n">
        <v>2019</v>
      </c>
      <c r="B1089" s="2234" t="str">
        <v>CHF</v>
      </c>
      <c r="C1089" s="2234" t="str">
        <v>瑞士法郎（CHF）</v>
      </c>
      <c r="D1089" s="2234" t="str">
        <v>可用</v>
      </c>
      <c r="E1089" s="2238" t="n">
        <v>0.9937</v>
      </c>
      <c r="F1089" s="2234" t="str">
        <v>年均</v>
      </c>
      <c r="G1089" s="2234" t="str">
        <v>Federal Reserve G.5A / FRED AEXSZUS</v>
      </c>
      <c r="H1089" s="2234" t="str">
        <v>https://fred.stlouisfed.org/data/AEXSZUS</v>
      </c>
      <c r="I1089" s="2234" t="str">
        <v>2019-01-01—2019-12-31</v>
      </c>
      <c r="J1089" s="2234" t="str">
        <v>historical_exchange_rates_1920_2026.xlsx</v>
      </c>
      <c r="K1089" s="2234" t="str"/>
      <c r="L1089" s="2234" t="str">
        <v>原报价已按 1 美元兑换本币表示。</v>
      </c>
      <c r="M1089" s="2234" t="str">
        <v>2019|瑞士法郎（CHF）</v>
      </c>
      <c r="N1089" s="2234" t="str">
        <v>瑞士法郎（CHF）</v>
      </c>
      <c r="O1089" s="2239" t="n">
        <v>0.9937</v>
      </c>
      <c r="P1089" s="2234" t="str">
        <v>LCU/USD</v>
      </c>
      <c r="Q1089" s="2239" t="n">
        <v>1</v>
      </c>
      <c r="R1089" s="2234" t="str">
        <v>A：机构统计／原始统计表</v>
      </c>
      <c r="S1089" s="2234" t="str">
        <v>年度汇率!I105；原始记录!A899:M899</v>
      </c>
      <c r="T1089" s="2234" t="str"/>
      <c r="U1089" t="n" s="2231">
        <v>2026</v>
      </c>
      <c r="V1089" t="str" s="2231">
        <v>英镑（GBP）</v>
      </c>
    </row>
    <row r="1090" ht="15.0" customHeight="1">
      <c r="A1090" s="2234" t="n">
        <v>2019</v>
      </c>
      <c r="B1090" s="2234" t="str">
        <v>INR</v>
      </c>
      <c r="C1090" s="2234" t="str">
        <v>印度卢比（INR）</v>
      </c>
      <c r="D1090" s="2234" t="str">
        <v>可用</v>
      </c>
      <c r="E1090" s="2238" t="n">
        <v>70.3777</v>
      </c>
      <c r="F1090" s="2234" t="str">
        <v>年均</v>
      </c>
      <c r="G1090" s="2234" t="str">
        <v>Federal Reserve G.5A / FRED AEXINUS</v>
      </c>
      <c r="H1090" s="2234" t="str">
        <v>https://fred.stlouisfed.org/data/AEXINUS</v>
      </c>
      <c r="I1090" s="2234" t="str">
        <v>2019-01-01—2019-12-31</v>
      </c>
      <c r="J1090" s="2234" t="str">
        <v>historical_exchange_rates_1920_2026.xlsx</v>
      </c>
      <c r="K1090" s="2234" t="str"/>
      <c r="L1090" s="2234" t="str">
        <v>原报价已按 1 美元兑换本币表示。</v>
      </c>
      <c r="M1090" s="2234" t="str">
        <v>2019|印度卢比（INR）</v>
      </c>
      <c r="N1090" s="2234" t="str">
        <v>印度卢比（INR）</v>
      </c>
      <c r="O1090" s="2239" t="n">
        <v>70.3777</v>
      </c>
      <c r="P1090" s="2234" t="str">
        <v>LCU/USD</v>
      </c>
      <c r="Q1090" s="2239" t="n">
        <v>1</v>
      </c>
      <c r="R1090" s="2234" t="str">
        <v>A：机构统计／原始统计表</v>
      </c>
      <c r="S1090" s="2234" t="str">
        <v>年度汇率!J105；原始记录!A900:M900</v>
      </c>
      <c r="T1090" s="2234" t="str"/>
      <c r="U1090" t="n" s="2231">
        <v>2026</v>
      </c>
      <c r="V1090" t="str" s="2231">
        <v>加拿大元（CAD）</v>
      </c>
    </row>
    <row r="1091" ht="15.0" customHeight="1">
      <c r="A1091" s="2234" t="n">
        <v>2019</v>
      </c>
      <c r="B1091" s="2234" t="str">
        <v>RUB</v>
      </c>
      <c r="C1091" s="2234" t="str">
        <v>俄罗斯卢布（RUB；1998币制）</v>
      </c>
      <c r="D1091" s="2234" t="str">
        <v>可用</v>
      </c>
      <c r="E1091" s="2238" t="n">
        <v>64.7109272074236</v>
      </c>
      <c r="F1091" s="2234" t="str">
        <v>年均</v>
      </c>
      <c r="G1091" s="2234" t="str">
        <v>OECD Main Economic Indicators / FRED CCUSMA02RUA618N</v>
      </c>
      <c r="H1091" s="2234" t="str">
        <v>https://fred.stlouisfed.org/data/CCUSMA02RUA618N</v>
      </c>
      <c r="I1091" s="2234" t="str">
        <v>2019-01-01—2019-12-31</v>
      </c>
      <c r="J1091" s="2234" t="str">
        <v>historical_exchange_rates_1920_2026.xlsx</v>
      </c>
      <c r="K1091" s="2234" t="str">
        <v>原表1993—1997年以1998年新卢布回溯表示；本表乘1000还原当年的旧卢布。</v>
      </c>
      <c r="L1091" s="2234" t="str">
        <v>原报价已按 1 美元兑换本币表示。</v>
      </c>
      <c r="M1091" s="2234" t="str">
        <v>2019|俄罗斯卢布（RUB；1998币制）</v>
      </c>
      <c r="N1091" s="2234" t="str">
        <v>俄罗斯卢布（RUB；1998币制）</v>
      </c>
      <c r="O1091" s="2239" t="n">
        <v>64.7109272074236</v>
      </c>
      <c r="P1091" s="2234" t="str">
        <v>LCU/USD</v>
      </c>
      <c r="Q1091" s="2239" t="n">
        <v>1</v>
      </c>
      <c r="R1091" s="2234" t="str">
        <v>A：机构统计／原始统计表</v>
      </c>
      <c r="S1091" s="2234" t="str">
        <v>年度汇率!K105；原始记录!A901:M901</v>
      </c>
      <c r="T1091" s="2234" t="str"/>
      <c r="U1091" t="n" s="2231">
        <v>2026</v>
      </c>
      <c r="V1091" t="str" s="2231">
        <v>日元（JPY）</v>
      </c>
    </row>
    <row r="1092" ht="15.0" customHeight="1">
      <c r="A1092" s="2234" t="n">
        <v>2019</v>
      </c>
      <c r="B1092" s="2234" t="str">
        <v>CNY</v>
      </c>
      <c r="C1092" s="2234" t="str">
        <v>人民币元（1955币制；CNY）</v>
      </c>
      <c r="D1092" s="2234" t="str">
        <v>可用</v>
      </c>
      <c r="E1092" s="2238" t="n">
        <v>6.9081</v>
      </c>
      <c r="F1092" s="2234" t="str">
        <v>年均</v>
      </c>
      <c r="G1092" s="2234" t="str">
        <v>Federal Reserve G.5A / FRED AEXCHUS</v>
      </c>
      <c r="H1092" s="2234" t="str">
        <v>https://fred.stlouisfed.org/data/AEXCHUS</v>
      </c>
      <c r="I1092" s="2234" t="str">
        <v>2019-01-01—2019-12-31</v>
      </c>
      <c r="J1092" s="2234" t="str">
        <v>historical_exchange_rates_1920_2026.xlsx</v>
      </c>
      <c r="K1092" s="2234" t="str"/>
      <c r="L1092" s="2234" t="str">
        <v>原报价已按 1 美元兑换本币表示。</v>
      </c>
      <c r="M1092" s="2234" t="str">
        <v>2019|人民币元（1955币制；CNY）</v>
      </c>
      <c r="N1092" s="2234" t="str">
        <v>人民币元（1955币制；CNY）</v>
      </c>
      <c r="O1092" s="2239" t="n">
        <v>6.9081</v>
      </c>
      <c r="P1092" s="2234" t="str">
        <v>LCU/USD</v>
      </c>
      <c r="Q1092" s="2239" t="n">
        <v>1</v>
      </c>
      <c r="R1092" s="2234" t="str">
        <v>A：机构统计／原始统计表</v>
      </c>
      <c r="S1092" s="2234" t="str">
        <v>年度汇率!L105；原始记录!A902:M902</v>
      </c>
      <c r="T1092" s="2234" t="str"/>
      <c r="U1092" t="n" s="2231">
        <v>2026</v>
      </c>
      <c r="V1092" t="str" s="2231">
        <v>瑞士法郎（CHF）</v>
      </c>
    </row>
    <row r="1093" ht="24.0" customHeight="1">
      <c r="A1093" s="2234" t="n">
        <v>2019</v>
      </c>
      <c r="B1093" s="2234" t="str">
        <v>EUR</v>
      </c>
      <c r="C1093" s="2234" t="str">
        <v>欧元（EUR）</v>
      </c>
      <c r="D1093" s="2234" t="str">
        <v>可用</v>
      </c>
      <c r="E1093" s="2238" t="n">
        <v>0.8933357155619082</v>
      </c>
      <c r="F1093" s="2234" t="str">
        <v>年均</v>
      </c>
      <c r="G1093" s="2234" t="str">
        <v>Federal Reserve G.5A / FRED AEXUSEU</v>
      </c>
      <c r="H1093" s="2234" t="str">
        <v>https://fred.stlouisfed.org/data/AEXUSEU</v>
      </c>
      <c r="I1093" s="2234" t="str">
        <v>2019-01-01—2019-12-31</v>
      </c>
      <c r="J1093" s="2234" t="str">
        <v>historical_exchange_rates_1920_2026.xlsx</v>
      </c>
      <c r="K1093" s="2234" t="str">
        <v>反向值由原报价均值取倒数；不等于反向日度汇率的算术平均。
年均USD/EUR；主表取倒数。</v>
      </c>
      <c r="L1093" s="2234" t="str">
        <v>原报价为每单位本币兑美元，取原报价均值的倒数；不等于反向日度汇率的算术平均。</v>
      </c>
      <c r="M1093" s="2234" t="str">
        <v>2019|欧元（EUR）</v>
      </c>
      <c r="N1093" s="2234" t="str">
        <v>欧元（EUR）</v>
      </c>
      <c r="O1093" s="2239" t="n">
        <v>1.1194</v>
      </c>
      <c r="P1093" s="2234" t="str">
        <v>USD/LCU</v>
      </c>
      <c r="Q1093" s="2239" t="n">
        <v>1</v>
      </c>
      <c r="R1093" s="2234" t="str">
        <v>A：机构统计／原始统计表</v>
      </c>
      <c r="S1093" s="2234" t="str">
        <v>年度汇率!M105、年度汇率!E105、年度汇率!F105、年度汇率!G105；原始记录!A903:M903</v>
      </c>
      <c r="T1093" s="2234" t="str"/>
      <c r="U1093" t="n" s="2231">
        <v>2026</v>
      </c>
      <c r="V1093" t="str" s="2231">
        <v>印度卢比（INR）</v>
      </c>
    </row>
    <row r="1094" ht="15.0" customHeight="1">
      <c r="A1094" s="2234" t="n">
        <v>2020</v>
      </c>
      <c r="B1094" s="2234" t="str">
        <v>USD</v>
      </c>
      <c r="C1094" s="2234" t="str">
        <v>美元（USD）</v>
      </c>
      <c r="D1094" s="2234" t="str">
        <v>可用</v>
      </c>
      <c r="E1094" s="2238" t="n">
        <v>1</v>
      </c>
      <c r="F1094" s="2234" t="str">
        <v>基准恒等</v>
      </c>
      <c r="G1094" s="2234" t="str">
        <v>用户提供的历史汇率表</v>
      </c>
      <c r="H1094" s="2234" t="str"/>
      <c r="I1094" s="2234" t="str">
        <v>2020</v>
      </c>
      <c r="J1094" s="2234" t="str">
        <v>historical_exchange_rates_1920_2026.xlsx</v>
      </c>
      <c r="K1094" s="2234" t="str">
        <v>1 美元等于 1 美元，无外部报价。</v>
      </c>
      <c r="L1094" s="2234" t="str">
        <v>美元基准，汇率恒为 1。</v>
      </c>
      <c r="M1094" s="2234" t="str">
        <v>2020|美元（USD）</v>
      </c>
      <c r="N1094" s="2234" t="str">
        <v>美元（USD）</v>
      </c>
      <c r="O1094" s="2239"/>
      <c r="P1094" s="2234" t="str"/>
      <c r="Q1094" s="2239"/>
      <c r="R1094" s="2234" t="str"/>
      <c r="S1094" s="2234" t="str">
        <v>年度汇率!B106</v>
      </c>
      <c r="T1094" s="2234" t="str"/>
      <c r="U1094" t="n" s="2231">
        <v>2026</v>
      </c>
      <c r="V1094" t="str" s="2231">
        <v>俄罗斯卢布（RUB；1998币制）</v>
      </c>
    </row>
    <row r="1095" ht="24.0" customHeight="1">
      <c r="A1095" s="2234" t="n">
        <v>2020</v>
      </c>
      <c r="B1095" s="2234" t="str">
        <v>GBP</v>
      </c>
      <c r="C1095" s="2234" t="str">
        <v>英镑（GBP）</v>
      </c>
      <c r="D1095" s="2234" t="str">
        <v>可用</v>
      </c>
      <c r="E1095" s="2238" t="n">
        <v>0.7794839816041781</v>
      </c>
      <c r="F1095" s="2234" t="str">
        <v>年均</v>
      </c>
      <c r="G1095" s="2234" t="str">
        <v>Federal Reserve G.5A / FRED AEXUSUK</v>
      </c>
      <c r="H1095" s="2234" t="str">
        <v>https://fred.stlouisfed.org/data/AEXUSUK</v>
      </c>
      <c r="I1095" s="2234" t="str">
        <v>2020-01-01—2020-12-31</v>
      </c>
      <c r="J1095" s="2234" t="str">
        <v>historical_exchange_rates_1920_2026.xlsx</v>
      </c>
      <c r="K1095" s="2234" t="str">
        <v>反向值由原报价均值取倒数；不等于反向日度汇率的算术平均。
年均USD/GBP；主表取倒数，不等于逐日GBP/USD平均。</v>
      </c>
      <c r="L1095" s="2234" t="str">
        <v>原报价为每单位本币兑美元，取原报价均值的倒数；不等于反向日度汇率的算术平均。</v>
      </c>
      <c r="M1095" s="2234" t="str">
        <v>2020|英镑（GBP）</v>
      </c>
      <c r="N1095" s="2234" t="str">
        <v>英镑（GBP）</v>
      </c>
      <c r="O1095" s="2239" t="n">
        <v>1.2829</v>
      </c>
      <c r="P1095" s="2234" t="str">
        <v>USD/LCU</v>
      </c>
      <c r="Q1095" s="2239" t="n">
        <v>1</v>
      </c>
      <c r="R1095" s="2234" t="str">
        <v>A：机构统计／原始统计表</v>
      </c>
      <c r="S1095" s="2234" t="str">
        <v>年度汇率!C106；原始记录!A904:M904</v>
      </c>
      <c r="T1095" s="2234" t="str"/>
      <c r="U1095" t="n" s="2231">
        <v>2026</v>
      </c>
      <c r="V1095" t="str" s="2231">
        <v>人民币元（1955币制；CNY）</v>
      </c>
    </row>
    <row r="1096" ht="15.0" customHeight="1">
      <c r="A1096" s="2234" t="n">
        <v>2020</v>
      </c>
      <c r="B1096" s="2234" t="str">
        <v>CAD</v>
      </c>
      <c r="C1096" s="2234" t="str">
        <v>加拿大元（CAD）</v>
      </c>
      <c r="D1096" s="2234" t="str">
        <v>可用</v>
      </c>
      <c r="E1096" s="2238" t="n">
        <v>1.3422</v>
      </c>
      <c r="F1096" s="2234" t="str">
        <v>年均</v>
      </c>
      <c r="G1096" s="2234" t="str">
        <v>Federal Reserve G.5A / FRED AEXCAUS</v>
      </c>
      <c r="H1096" s="2234" t="str">
        <v>https://fred.stlouisfed.org/data/AEXCAUS</v>
      </c>
      <c r="I1096" s="2234" t="str">
        <v>2020-01-01—2020-12-31</v>
      </c>
      <c r="J1096" s="2234" t="str">
        <v>historical_exchange_rates_1920_2026.xlsx</v>
      </c>
      <c r="K1096" s="2234" t="str"/>
      <c r="L1096" s="2234" t="str">
        <v>原报价已按 1 美元兑换本币表示。</v>
      </c>
      <c r="M1096" s="2234" t="str">
        <v>2020|加拿大元（CAD）</v>
      </c>
      <c r="N1096" s="2234" t="str">
        <v>加拿大元（CAD）</v>
      </c>
      <c r="O1096" s="2239" t="n">
        <v>1.3422</v>
      </c>
      <c r="P1096" s="2234" t="str">
        <v>LCU/USD</v>
      </c>
      <c r="Q1096" s="2239" t="n">
        <v>1</v>
      </c>
      <c r="R1096" s="2234" t="str">
        <v>A：机构统计／原始统计表</v>
      </c>
      <c r="S1096" s="2234" t="str">
        <v>年度汇率!D106；原始记录!A905:M905</v>
      </c>
      <c r="T1096" s="2234" t="str"/>
      <c r="U1096" t="n" s="2231">
        <v>2026</v>
      </c>
      <c r="V1096" t="str" s="2231">
        <v>欧元（EUR）</v>
      </c>
    </row>
    <row r="1097" ht="15.0" customHeight="1">
      <c r="A1097" s="2234" t="n">
        <v>2020</v>
      </c>
      <c r="B1097" s="2234" t="str">
        <v>JPY</v>
      </c>
      <c r="C1097" s="2234" t="str">
        <v>日元（JPY）</v>
      </c>
      <c r="D1097" s="2234" t="str">
        <v>可用</v>
      </c>
      <c r="E1097" s="2238" t="n">
        <v>106.7754</v>
      </c>
      <c r="F1097" s="2234" t="str">
        <v>年均</v>
      </c>
      <c r="G1097" s="2234" t="str">
        <v>Federal Reserve G.5A / FRED AEXJPUS</v>
      </c>
      <c r="H1097" s="2234" t="str">
        <v>https://fred.stlouisfed.org/data/AEXJPUS</v>
      </c>
      <c r="I1097" s="2234" t="str">
        <v>2020-01-01—2020-12-31</v>
      </c>
      <c r="J1097" s="2234" t="str">
        <v>historical_exchange_rates_1920_2026.xlsx</v>
      </c>
      <c r="K1097" s="2234" t="str"/>
      <c r="L1097" s="2234" t="str">
        <v>原报价已按 1 美元兑换本币表示。</v>
      </c>
      <c r="M1097" s="2234" t="str">
        <v>2020|日元（JPY）</v>
      </c>
      <c r="N1097" s="2234" t="str">
        <v>日元（JPY）</v>
      </c>
      <c r="O1097" s="2239" t="n">
        <v>106.7754</v>
      </c>
      <c r="P1097" s="2234" t="str">
        <v>LCU/USD</v>
      </c>
      <c r="Q1097" s="2239" t="n">
        <v>1</v>
      </c>
      <c r="R1097" s="2234" t="str">
        <v>A：机构统计／原始统计表</v>
      </c>
      <c r="S1097" s="2234" t="str">
        <v>年度汇率!H106；原始记录!A906:M906</v>
      </c>
      <c r="T1097" s="2234" t="str"/>
    </row>
    <row r="1098" ht="15.0" customHeight="1">
      <c r="A1098" s="2234" t="n">
        <v>2020</v>
      </c>
      <c r="B1098" s="2234" t="str">
        <v>CHF</v>
      </c>
      <c r="C1098" s="2234" t="str">
        <v>瑞士法郎（CHF）</v>
      </c>
      <c r="D1098" s="2234" t="str">
        <v>可用</v>
      </c>
      <c r="E1098" s="2238" t="n">
        <v>0.9389</v>
      </c>
      <c r="F1098" s="2234" t="str">
        <v>年均</v>
      </c>
      <c r="G1098" s="2234" t="str">
        <v>Federal Reserve G.5A / FRED AEXSZUS</v>
      </c>
      <c r="H1098" s="2234" t="str">
        <v>https://fred.stlouisfed.org/data/AEXSZUS</v>
      </c>
      <c r="I1098" s="2234" t="str">
        <v>2020-01-01—2020-12-31</v>
      </c>
      <c r="J1098" s="2234" t="str">
        <v>historical_exchange_rates_1920_2026.xlsx</v>
      </c>
      <c r="K1098" s="2234" t="str"/>
      <c r="L1098" s="2234" t="str">
        <v>原报价已按 1 美元兑换本币表示。</v>
      </c>
      <c r="M1098" s="2234" t="str">
        <v>2020|瑞士法郎（CHF）</v>
      </c>
      <c r="N1098" s="2234" t="str">
        <v>瑞士法郎（CHF）</v>
      </c>
      <c r="O1098" s="2239" t="n">
        <v>0.9389</v>
      </c>
      <c r="P1098" s="2234" t="str">
        <v>LCU/USD</v>
      </c>
      <c r="Q1098" s="2239" t="n">
        <v>1</v>
      </c>
      <c r="R1098" s="2234" t="str">
        <v>A：机构统计／原始统计表</v>
      </c>
      <c r="S1098" s="2234" t="str">
        <v>年度汇率!I106；原始记录!A907:M907</v>
      </c>
      <c r="T1098" s="2234" t="str"/>
    </row>
    <row r="1099" ht="15.0" customHeight="1">
      <c r="A1099" s="2234" t="n">
        <v>2020</v>
      </c>
      <c r="B1099" s="2234" t="str">
        <v>INR</v>
      </c>
      <c r="C1099" s="2234" t="str">
        <v>印度卢比（INR）</v>
      </c>
      <c r="D1099" s="2234" t="str">
        <v>可用</v>
      </c>
      <c r="E1099" s="2238" t="n">
        <v>74.1429</v>
      </c>
      <c r="F1099" s="2234" t="str">
        <v>年均</v>
      </c>
      <c r="G1099" s="2234" t="str">
        <v>Federal Reserve G.5A / FRED AEXINUS</v>
      </c>
      <c r="H1099" s="2234" t="str">
        <v>https://fred.stlouisfed.org/data/AEXINUS</v>
      </c>
      <c r="I1099" s="2234" t="str">
        <v>2020-01-01—2020-12-31</v>
      </c>
      <c r="J1099" s="2234" t="str">
        <v>historical_exchange_rates_1920_2026.xlsx</v>
      </c>
      <c r="K1099" s="2234" t="str"/>
      <c r="L1099" s="2234" t="str">
        <v>原报价已按 1 美元兑换本币表示。</v>
      </c>
      <c r="M1099" s="2234" t="str">
        <v>2020|印度卢比（INR）</v>
      </c>
      <c r="N1099" s="2234" t="str">
        <v>印度卢比（INR）</v>
      </c>
      <c r="O1099" s="2239" t="n">
        <v>74.1429</v>
      </c>
      <c r="P1099" s="2234" t="str">
        <v>LCU/USD</v>
      </c>
      <c r="Q1099" s="2239" t="n">
        <v>1</v>
      </c>
      <c r="R1099" s="2234" t="str">
        <v>A：机构统计／原始统计表</v>
      </c>
      <c r="S1099" s="2234" t="str">
        <v>年度汇率!J106；原始记录!A908:M908</v>
      </c>
      <c r="T1099" s="2234" t="str"/>
    </row>
    <row r="1100" ht="15.0" customHeight="1">
      <c r="A1100" s="2234" t="n">
        <v>2020</v>
      </c>
      <c r="B1100" s="2234" t="str">
        <v>RUB</v>
      </c>
      <c r="C1100" s="2234" t="str">
        <v>俄罗斯卢布（RUB；1998币制）</v>
      </c>
      <c r="D1100" s="2234" t="str">
        <v>可用</v>
      </c>
      <c r="E1100" s="2238" t="n">
        <v>72.3242987211008</v>
      </c>
      <c r="F1100" s="2234" t="str">
        <v>年均</v>
      </c>
      <c r="G1100" s="2234" t="str">
        <v>OECD Main Economic Indicators / FRED CCUSMA02RUA618N</v>
      </c>
      <c r="H1100" s="2234" t="str">
        <v>https://fred.stlouisfed.org/data/CCUSMA02RUA618N</v>
      </c>
      <c r="I1100" s="2234" t="str">
        <v>2020-01-01—2020-12-31</v>
      </c>
      <c r="J1100" s="2234" t="str">
        <v>historical_exchange_rates_1920_2026.xlsx</v>
      </c>
      <c r="K1100" s="2234" t="str">
        <v>原表1993—1997年以1998年新卢布回溯表示；本表乘1000还原当年的旧卢布。</v>
      </c>
      <c r="L1100" s="2234" t="str">
        <v>原报价已按 1 美元兑换本币表示。</v>
      </c>
      <c r="M1100" s="2234" t="str">
        <v>2020|俄罗斯卢布（RUB；1998币制）</v>
      </c>
      <c r="N1100" s="2234" t="str">
        <v>俄罗斯卢布（RUB；1998币制）</v>
      </c>
      <c r="O1100" s="2239" t="n">
        <v>72.3242987211008</v>
      </c>
      <c r="P1100" s="2234" t="str">
        <v>LCU/USD</v>
      </c>
      <c r="Q1100" s="2239" t="n">
        <v>1</v>
      </c>
      <c r="R1100" s="2234" t="str">
        <v>A：机构统计／原始统计表</v>
      </c>
      <c r="S1100" s="2234" t="str">
        <v>年度汇率!K106；原始记录!A909:M909</v>
      </c>
      <c r="T1100" s="2234" t="str"/>
    </row>
    <row r="1101" ht="15.0" customHeight="1">
      <c r="A1101" s="2234" t="n">
        <v>2020</v>
      </c>
      <c r="B1101" s="2234" t="str">
        <v>CNY</v>
      </c>
      <c r="C1101" s="2234" t="str">
        <v>人民币元（1955币制；CNY）</v>
      </c>
      <c r="D1101" s="2234" t="str">
        <v>可用</v>
      </c>
      <c r="E1101" s="2238" t="n">
        <v>6.9042</v>
      </c>
      <c r="F1101" s="2234" t="str">
        <v>年均</v>
      </c>
      <c r="G1101" s="2234" t="str">
        <v>Federal Reserve G.5A / FRED AEXCHUS</v>
      </c>
      <c r="H1101" s="2234" t="str">
        <v>https://fred.stlouisfed.org/data/AEXCHUS</v>
      </c>
      <c r="I1101" s="2234" t="str">
        <v>2020-01-01—2020-12-31</v>
      </c>
      <c r="J1101" s="2234" t="str">
        <v>historical_exchange_rates_1920_2026.xlsx</v>
      </c>
      <c r="K1101" s="2234" t="str"/>
      <c r="L1101" s="2234" t="str">
        <v>原报价已按 1 美元兑换本币表示。</v>
      </c>
      <c r="M1101" s="2234" t="str">
        <v>2020|人民币元（1955币制；CNY）</v>
      </c>
      <c r="N1101" s="2234" t="str">
        <v>人民币元（1955币制；CNY）</v>
      </c>
      <c r="O1101" s="2239" t="n">
        <v>6.9042</v>
      </c>
      <c r="P1101" s="2234" t="str">
        <v>LCU/USD</v>
      </c>
      <c r="Q1101" s="2239" t="n">
        <v>1</v>
      </c>
      <c r="R1101" s="2234" t="str">
        <v>A：机构统计／原始统计表</v>
      </c>
      <c r="S1101" s="2234" t="str">
        <v>年度汇率!L106；原始记录!A910:M910</v>
      </c>
      <c r="T1101" s="2234" t="str"/>
    </row>
    <row r="1102" ht="24.0" customHeight="1">
      <c r="A1102" s="2234" t="n">
        <v>2020</v>
      </c>
      <c r="B1102" s="2234" t="str">
        <v>EUR</v>
      </c>
      <c r="C1102" s="2234" t="str">
        <v>欧元（EUR）</v>
      </c>
      <c r="D1102" s="2234" t="str">
        <v>可用</v>
      </c>
      <c r="E1102" s="2238" t="n">
        <v>0.8764241893076249</v>
      </c>
      <c r="F1102" s="2234" t="str">
        <v>年均</v>
      </c>
      <c r="G1102" s="2234" t="str">
        <v>Federal Reserve G.5A / FRED AEXUSEU</v>
      </c>
      <c r="H1102" s="2234" t="str">
        <v>https://fred.stlouisfed.org/data/AEXUSEU</v>
      </c>
      <c r="I1102" s="2234" t="str">
        <v>2020-01-01—2020-12-31</v>
      </c>
      <c r="J1102" s="2234" t="str">
        <v>historical_exchange_rates_1920_2026.xlsx</v>
      </c>
      <c r="K1102" s="2234" t="str">
        <v>反向值由原报价均值取倒数；不等于反向日度汇率的算术平均。
年均USD/EUR；主表取倒数。</v>
      </c>
      <c r="L1102" s="2234" t="str">
        <v>原报价为每单位本币兑美元，取原报价均值的倒数；不等于反向日度汇率的算术平均。</v>
      </c>
      <c r="M1102" s="2234" t="str">
        <v>2020|欧元（EUR）</v>
      </c>
      <c r="N1102" s="2234" t="str">
        <v>欧元（EUR）</v>
      </c>
      <c r="O1102" s="2239" t="n">
        <v>1.141</v>
      </c>
      <c r="P1102" s="2234" t="str">
        <v>USD/LCU</v>
      </c>
      <c r="Q1102" s="2239" t="n">
        <v>1</v>
      </c>
      <c r="R1102" s="2234" t="str">
        <v>A：机构统计／原始统计表</v>
      </c>
      <c r="S1102" s="2234" t="str">
        <v>年度汇率!M106、年度汇率!E106、年度汇率!F106、年度汇率!G106；原始记录!A911:M911</v>
      </c>
      <c r="T1102" s="2234" t="str"/>
    </row>
    <row r="1103" ht="15.0" customHeight="1">
      <c r="A1103" s="2234" t="n">
        <v>2021</v>
      </c>
      <c r="B1103" s="2234" t="str">
        <v>USD</v>
      </c>
      <c r="C1103" s="2234" t="str">
        <v>美元（USD）</v>
      </c>
      <c r="D1103" s="2234" t="str">
        <v>可用</v>
      </c>
      <c r="E1103" s="2238" t="n">
        <v>1</v>
      </c>
      <c r="F1103" s="2234" t="str">
        <v>基准恒等</v>
      </c>
      <c r="G1103" s="2234" t="str">
        <v>用户提供的历史汇率表</v>
      </c>
      <c r="H1103" s="2234" t="str"/>
      <c r="I1103" s="2234" t="str">
        <v>2021</v>
      </c>
      <c r="J1103" s="2234" t="str">
        <v>historical_exchange_rates_1920_2026.xlsx</v>
      </c>
      <c r="K1103" s="2234" t="str">
        <v>1 美元等于 1 美元，无外部报价。</v>
      </c>
      <c r="L1103" s="2234" t="str">
        <v>美元基准，汇率恒为 1。</v>
      </c>
      <c r="M1103" s="2234" t="str">
        <v>2021|美元（USD）</v>
      </c>
      <c r="N1103" s="2234" t="str">
        <v>美元（USD）</v>
      </c>
      <c r="O1103" s="2239"/>
      <c r="P1103" s="2234" t="str"/>
      <c r="Q1103" s="2239"/>
      <c r="R1103" s="2234" t="str"/>
      <c r="S1103" s="2234" t="str">
        <v>年度汇率!B107</v>
      </c>
      <c r="T1103" s="2234" t="str"/>
    </row>
    <row r="1104" ht="24.0" customHeight="1">
      <c r="A1104" s="2234" t="n">
        <v>2021</v>
      </c>
      <c r="B1104" s="2234" t="str">
        <v>GBP</v>
      </c>
      <c r="C1104" s="2234" t="str">
        <v>英镑（GBP）</v>
      </c>
      <c r="D1104" s="2234" t="str">
        <v>可用</v>
      </c>
      <c r="E1104" s="2238" t="n">
        <v>0.7265329845975007</v>
      </c>
      <c r="F1104" s="2234" t="str">
        <v>年均</v>
      </c>
      <c r="G1104" s="2234" t="str">
        <v>Federal Reserve G.5A / FRED AEXUSUK</v>
      </c>
      <c r="H1104" s="2234" t="str">
        <v>https://fred.stlouisfed.org/data/AEXUSUK</v>
      </c>
      <c r="I1104" s="2234" t="str">
        <v>2021-01-01—2021-12-31</v>
      </c>
      <c r="J1104" s="2234" t="str">
        <v>historical_exchange_rates_1920_2026.xlsx</v>
      </c>
      <c r="K1104" s="2234" t="str">
        <v>反向值由原报价均值取倒数；不等于反向日度汇率的算术平均。
年均USD/GBP；主表取倒数，不等于逐日GBP/USD平均。</v>
      </c>
      <c r="L1104" s="2234" t="str">
        <v>原报价为每单位本币兑美元，取原报价均值的倒数；不等于反向日度汇率的算术平均。</v>
      </c>
      <c r="M1104" s="2234" t="str">
        <v>2021|英镑（GBP）</v>
      </c>
      <c r="N1104" s="2234" t="str">
        <v>英镑（GBP）</v>
      </c>
      <c r="O1104" s="2239" t="n">
        <v>1.3764</v>
      </c>
      <c r="P1104" s="2234" t="str">
        <v>USD/LCU</v>
      </c>
      <c r="Q1104" s="2239" t="n">
        <v>1</v>
      </c>
      <c r="R1104" s="2234" t="str">
        <v>A：机构统计／原始统计表</v>
      </c>
      <c r="S1104" s="2234" t="str">
        <v>年度汇率!C107；原始记录!A912:M912</v>
      </c>
      <c r="T1104" s="2234" t="str"/>
    </row>
    <row r="1105" ht="15.0" customHeight="1">
      <c r="A1105" s="2234" t="n">
        <v>2021</v>
      </c>
      <c r="B1105" s="2234" t="str">
        <v>CAD</v>
      </c>
      <c r="C1105" s="2234" t="str">
        <v>加拿大元（CAD）</v>
      </c>
      <c r="D1105" s="2234" t="str">
        <v>可用</v>
      </c>
      <c r="E1105" s="2238" t="n">
        <v>1.2533</v>
      </c>
      <c r="F1105" s="2234" t="str">
        <v>年均</v>
      </c>
      <c r="G1105" s="2234" t="str">
        <v>Federal Reserve G.5A / FRED AEXCAUS</v>
      </c>
      <c r="H1105" s="2234" t="str">
        <v>https://fred.stlouisfed.org/data/AEXCAUS</v>
      </c>
      <c r="I1105" s="2234" t="str">
        <v>2021-01-01—2021-12-31</v>
      </c>
      <c r="J1105" s="2234" t="str">
        <v>historical_exchange_rates_1920_2026.xlsx</v>
      </c>
      <c r="K1105" s="2234" t="str"/>
      <c r="L1105" s="2234" t="str">
        <v>原报价已按 1 美元兑换本币表示。</v>
      </c>
      <c r="M1105" s="2234" t="str">
        <v>2021|加拿大元（CAD）</v>
      </c>
      <c r="N1105" s="2234" t="str">
        <v>加拿大元（CAD）</v>
      </c>
      <c r="O1105" s="2239" t="n">
        <v>1.2533</v>
      </c>
      <c r="P1105" s="2234" t="str">
        <v>LCU/USD</v>
      </c>
      <c r="Q1105" s="2239" t="n">
        <v>1</v>
      </c>
      <c r="R1105" s="2234" t="str">
        <v>A：机构统计／原始统计表</v>
      </c>
      <c r="S1105" s="2234" t="str">
        <v>年度汇率!D107；原始记录!A913:M913</v>
      </c>
      <c r="T1105" s="2234" t="str"/>
    </row>
    <row r="1106" ht="15.0" customHeight="1">
      <c r="A1106" s="2234" t="n">
        <v>2021</v>
      </c>
      <c r="B1106" s="2234" t="str">
        <v>JPY</v>
      </c>
      <c r="C1106" s="2234" t="str">
        <v>日元（JPY）</v>
      </c>
      <c r="D1106" s="2234" t="str">
        <v>可用</v>
      </c>
      <c r="E1106" s="2238" t="n">
        <v>109.8429</v>
      </c>
      <c r="F1106" s="2234" t="str">
        <v>年均</v>
      </c>
      <c r="G1106" s="2234" t="str">
        <v>Federal Reserve G.5A / FRED AEXJPUS</v>
      </c>
      <c r="H1106" s="2234" t="str">
        <v>https://fred.stlouisfed.org/data/AEXJPUS</v>
      </c>
      <c r="I1106" s="2234" t="str">
        <v>2021-01-01—2021-12-31</v>
      </c>
      <c r="J1106" s="2234" t="str">
        <v>historical_exchange_rates_1920_2026.xlsx</v>
      </c>
      <c r="K1106" s="2234" t="str"/>
      <c r="L1106" s="2234" t="str">
        <v>原报价已按 1 美元兑换本币表示。</v>
      </c>
      <c r="M1106" s="2234" t="str">
        <v>2021|日元（JPY）</v>
      </c>
      <c r="N1106" s="2234" t="str">
        <v>日元（JPY）</v>
      </c>
      <c r="O1106" s="2239" t="n">
        <v>109.8429</v>
      </c>
      <c r="P1106" s="2234" t="str">
        <v>LCU/USD</v>
      </c>
      <c r="Q1106" s="2239" t="n">
        <v>1</v>
      </c>
      <c r="R1106" s="2234" t="str">
        <v>A：机构统计／原始统计表</v>
      </c>
      <c r="S1106" s="2234" t="str">
        <v>年度汇率!H107；原始记录!A914:M914</v>
      </c>
      <c r="T1106" s="2234" t="str"/>
    </row>
    <row r="1107" ht="15.0" customHeight="1">
      <c r="A1107" s="2234" t="n">
        <v>2021</v>
      </c>
      <c r="B1107" s="2234" t="str">
        <v>CHF</v>
      </c>
      <c r="C1107" s="2234" t="str">
        <v>瑞士法郎（CHF）</v>
      </c>
      <c r="D1107" s="2234" t="str">
        <v>可用</v>
      </c>
      <c r="E1107" s="2238" t="n">
        <v>0.9144</v>
      </c>
      <c r="F1107" s="2234" t="str">
        <v>年均</v>
      </c>
      <c r="G1107" s="2234" t="str">
        <v>Federal Reserve G.5A / FRED AEXSZUS</v>
      </c>
      <c r="H1107" s="2234" t="str">
        <v>https://fred.stlouisfed.org/data/AEXSZUS</v>
      </c>
      <c r="I1107" s="2234" t="str">
        <v>2021-01-01—2021-12-31</v>
      </c>
      <c r="J1107" s="2234" t="str">
        <v>historical_exchange_rates_1920_2026.xlsx</v>
      </c>
      <c r="K1107" s="2234" t="str"/>
      <c r="L1107" s="2234" t="str">
        <v>原报价已按 1 美元兑换本币表示。</v>
      </c>
      <c r="M1107" s="2234" t="str">
        <v>2021|瑞士法郎（CHF）</v>
      </c>
      <c r="N1107" s="2234" t="str">
        <v>瑞士法郎（CHF）</v>
      </c>
      <c r="O1107" s="2239" t="n">
        <v>0.9144</v>
      </c>
      <c r="P1107" s="2234" t="str">
        <v>LCU/USD</v>
      </c>
      <c r="Q1107" s="2239" t="n">
        <v>1</v>
      </c>
      <c r="R1107" s="2234" t="str">
        <v>A：机构统计／原始统计表</v>
      </c>
      <c r="S1107" s="2234" t="str">
        <v>年度汇率!I107；原始记录!A915:M915</v>
      </c>
      <c r="T1107" s="2234" t="str"/>
    </row>
    <row r="1108" ht="15.0" customHeight="1">
      <c r="A1108" s="2234" t="n">
        <v>2021</v>
      </c>
      <c r="B1108" s="2234" t="str">
        <v>INR</v>
      </c>
      <c r="C1108" s="2234" t="str">
        <v>印度卢比（INR）</v>
      </c>
      <c r="D1108" s="2234" t="str">
        <v>可用</v>
      </c>
      <c r="E1108" s="2238" t="n">
        <v>73.9351</v>
      </c>
      <c r="F1108" s="2234" t="str">
        <v>年均</v>
      </c>
      <c r="G1108" s="2234" t="str">
        <v>Federal Reserve G.5A / FRED AEXINUS</v>
      </c>
      <c r="H1108" s="2234" t="str">
        <v>https://fred.stlouisfed.org/data/AEXINUS</v>
      </c>
      <c r="I1108" s="2234" t="str">
        <v>2021-01-01—2021-12-31</v>
      </c>
      <c r="J1108" s="2234" t="str">
        <v>historical_exchange_rates_1920_2026.xlsx</v>
      </c>
      <c r="K1108" s="2234" t="str"/>
      <c r="L1108" s="2234" t="str">
        <v>原报价已按 1 美元兑换本币表示。</v>
      </c>
      <c r="M1108" s="2234" t="str">
        <v>2021|印度卢比（INR）</v>
      </c>
      <c r="N1108" s="2234" t="str">
        <v>印度卢比（INR）</v>
      </c>
      <c r="O1108" s="2239" t="n">
        <v>73.9351</v>
      </c>
      <c r="P1108" s="2234" t="str">
        <v>LCU/USD</v>
      </c>
      <c r="Q1108" s="2239" t="n">
        <v>1</v>
      </c>
      <c r="R1108" s="2234" t="str">
        <v>A：机构统计／原始统计表</v>
      </c>
      <c r="S1108" s="2234" t="str">
        <v>年度汇率!J107；原始记录!A916:M916</v>
      </c>
      <c r="T1108" s="2234" t="str"/>
    </row>
    <row r="1109" ht="15.0" customHeight="1">
      <c r="A1109" s="2234" t="n">
        <v>2021</v>
      </c>
      <c r="B1109" s="2234" t="str">
        <v>RUB</v>
      </c>
      <c r="C1109" s="2234" t="str">
        <v>俄罗斯卢布（RUB；1998币制）</v>
      </c>
      <c r="D1109" s="2234" t="str">
        <v>可用</v>
      </c>
      <c r="E1109" s="2238" t="n">
        <v>73.7056430817413</v>
      </c>
      <c r="F1109" s="2234" t="str">
        <v>年均</v>
      </c>
      <c r="G1109" s="2234" t="str">
        <v>OECD Main Economic Indicators / FRED CCUSMA02RUA618N</v>
      </c>
      <c r="H1109" s="2234" t="str">
        <v>https://fred.stlouisfed.org/data/CCUSMA02RUA618N</v>
      </c>
      <c r="I1109" s="2234" t="str">
        <v>2021-01-01—2021-12-31</v>
      </c>
      <c r="J1109" s="2234" t="str">
        <v>historical_exchange_rates_1920_2026.xlsx</v>
      </c>
      <c r="K1109" s="2234" t="str">
        <v>原表1993—1997年以1998年新卢布回溯表示；本表乘1000还原当年的旧卢布。</v>
      </c>
      <c r="L1109" s="2234" t="str">
        <v>原报价已按 1 美元兑换本币表示。</v>
      </c>
      <c r="M1109" s="2234" t="str">
        <v>2021|俄罗斯卢布（RUB；1998币制）</v>
      </c>
      <c r="N1109" s="2234" t="str">
        <v>俄罗斯卢布（RUB；1998币制）</v>
      </c>
      <c r="O1109" s="2239" t="n">
        <v>73.7056430817413</v>
      </c>
      <c r="P1109" s="2234" t="str">
        <v>LCU/USD</v>
      </c>
      <c r="Q1109" s="2239" t="n">
        <v>1</v>
      </c>
      <c r="R1109" s="2234" t="str">
        <v>A：机构统计／原始统计表</v>
      </c>
      <c r="S1109" s="2234" t="str">
        <v>年度汇率!K107；原始记录!A917:M917</v>
      </c>
      <c r="T1109" s="2234" t="str"/>
    </row>
    <row r="1110" ht="15.0" customHeight="1">
      <c r="A1110" s="2234" t="n">
        <v>2021</v>
      </c>
      <c r="B1110" s="2234" t="str">
        <v>CNY</v>
      </c>
      <c r="C1110" s="2234" t="str">
        <v>人民币元（1955币制；CNY）</v>
      </c>
      <c r="D1110" s="2234" t="str">
        <v>可用</v>
      </c>
      <c r="E1110" s="2238" t="n">
        <v>6.4508</v>
      </c>
      <c r="F1110" s="2234" t="str">
        <v>年均</v>
      </c>
      <c r="G1110" s="2234" t="str">
        <v>Federal Reserve G.5A / FRED AEXCHUS</v>
      </c>
      <c r="H1110" s="2234" t="str">
        <v>https://fred.stlouisfed.org/data/AEXCHUS</v>
      </c>
      <c r="I1110" s="2234" t="str">
        <v>2021-01-01—2021-12-31</v>
      </c>
      <c r="J1110" s="2234" t="str">
        <v>historical_exchange_rates_1920_2026.xlsx</v>
      </c>
      <c r="K1110" s="2234" t="str"/>
      <c r="L1110" s="2234" t="str">
        <v>原报价已按 1 美元兑换本币表示。</v>
      </c>
      <c r="M1110" s="2234" t="str">
        <v>2021|人民币元（1955币制；CNY）</v>
      </c>
      <c r="N1110" s="2234" t="str">
        <v>人民币元（1955币制；CNY）</v>
      </c>
      <c r="O1110" s="2239" t="n">
        <v>6.4508</v>
      </c>
      <c r="P1110" s="2234" t="str">
        <v>LCU/USD</v>
      </c>
      <c r="Q1110" s="2239" t="n">
        <v>1</v>
      </c>
      <c r="R1110" s="2234" t="str">
        <v>A：机构统计／原始统计表</v>
      </c>
      <c r="S1110" s="2234" t="str">
        <v>年度汇率!L107；原始记录!A918:M918</v>
      </c>
      <c r="T1110" s="2234" t="str"/>
    </row>
    <row r="1111" ht="24.0" customHeight="1">
      <c r="A1111" s="2234" t="n">
        <v>2021</v>
      </c>
      <c r="B1111" s="2234" t="str">
        <v>EUR</v>
      </c>
      <c r="C1111" s="2234" t="str">
        <v>欧元（EUR）</v>
      </c>
      <c r="D1111" s="2234" t="str">
        <v>可用</v>
      </c>
      <c r="E1111" s="2238" t="n">
        <v>0.8453085376162299</v>
      </c>
      <c r="F1111" s="2234" t="str">
        <v>年均</v>
      </c>
      <c r="G1111" s="2234" t="str">
        <v>Federal Reserve G.5A / FRED AEXUSEU</v>
      </c>
      <c r="H1111" s="2234" t="str">
        <v>https://fred.stlouisfed.org/data/AEXUSEU</v>
      </c>
      <c r="I1111" s="2234" t="str">
        <v>2021-01-01—2021-12-31</v>
      </c>
      <c r="J1111" s="2234" t="str">
        <v>historical_exchange_rates_1920_2026.xlsx</v>
      </c>
      <c r="K1111" s="2234" t="str">
        <v>反向值由原报价均值取倒数；不等于反向日度汇率的算术平均。
年均USD/EUR；主表取倒数。</v>
      </c>
      <c r="L1111" s="2234" t="str">
        <v>原报价为每单位本币兑美元，取原报价均值的倒数；不等于反向日度汇率的算术平均。</v>
      </c>
      <c r="M1111" s="2234" t="str">
        <v>2021|欧元（EUR）</v>
      </c>
      <c r="N1111" s="2234" t="str">
        <v>欧元（EUR）</v>
      </c>
      <c r="O1111" s="2239" t="n">
        <v>1.183</v>
      </c>
      <c r="P1111" s="2234" t="str">
        <v>USD/LCU</v>
      </c>
      <c r="Q1111" s="2239" t="n">
        <v>1</v>
      </c>
      <c r="R1111" s="2234" t="str">
        <v>A：机构统计／原始统计表</v>
      </c>
      <c r="S1111" s="2234" t="str">
        <v>年度汇率!M107、年度汇率!E107、年度汇率!F107、年度汇率!G107；原始记录!A919:M919</v>
      </c>
      <c r="T1111" s="2234" t="str"/>
    </row>
    <row r="1112" ht="15.0" customHeight="1">
      <c r="A1112" s="2234" t="n">
        <v>2022</v>
      </c>
      <c r="B1112" s="2234" t="str">
        <v>USD</v>
      </c>
      <c r="C1112" s="2234" t="str">
        <v>美元（USD）</v>
      </c>
      <c r="D1112" s="2234" t="str">
        <v>可用</v>
      </c>
      <c r="E1112" s="2238" t="n">
        <v>1</v>
      </c>
      <c r="F1112" s="2234" t="str">
        <v>基准恒等</v>
      </c>
      <c r="G1112" s="2234" t="str">
        <v>用户提供的历史汇率表</v>
      </c>
      <c r="H1112" s="2234" t="str"/>
      <c r="I1112" s="2234" t="str">
        <v>2022</v>
      </c>
      <c r="J1112" s="2234" t="str">
        <v>historical_exchange_rates_1920_2026.xlsx</v>
      </c>
      <c r="K1112" s="2234" t="str">
        <v>1 美元等于 1 美元，无外部报价。</v>
      </c>
      <c r="L1112" s="2234" t="str">
        <v>美元基准，汇率恒为 1。</v>
      </c>
      <c r="M1112" s="2234" t="str">
        <v>2022|美元（USD）</v>
      </c>
      <c r="N1112" s="2234" t="str">
        <v>美元（USD）</v>
      </c>
      <c r="O1112" s="2239"/>
      <c r="P1112" s="2234" t="str"/>
      <c r="Q1112" s="2239"/>
      <c r="R1112" s="2234" t="str"/>
      <c r="S1112" s="2234" t="str">
        <v>年度汇率!B108</v>
      </c>
      <c r="T1112" s="2234" t="str"/>
    </row>
    <row r="1113" ht="24.0" customHeight="1">
      <c r="A1113" s="2234" t="n">
        <v>2022</v>
      </c>
      <c r="B1113" s="2234" t="str">
        <v>GBP</v>
      </c>
      <c r="C1113" s="2234" t="str">
        <v>英镑（GBP）</v>
      </c>
      <c r="D1113" s="2234" t="str">
        <v>可用</v>
      </c>
      <c r="E1113" s="2238" t="n">
        <v>0.8083420903726456</v>
      </c>
      <c r="F1113" s="2234" t="str">
        <v>年均</v>
      </c>
      <c r="G1113" s="2234" t="str">
        <v>Federal Reserve G.5A / FRED AEXUSUK</v>
      </c>
      <c r="H1113" s="2234" t="str">
        <v>https://fred.stlouisfed.org/data/AEXUSUK</v>
      </c>
      <c r="I1113" s="2234" t="str">
        <v>2022-01-01—2022-12-31</v>
      </c>
      <c r="J1113" s="2234" t="str">
        <v>historical_exchange_rates_1920_2026.xlsx</v>
      </c>
      <c r="K1113" s="2234" t="str">
        <v>反向值由原报价均值取倒数；不等于反向日度汇率的算术平均。
年均USD/GBP；主表取倒数，不等于逐日GBP/USD平均。</v>
      </c>
      <c r="L1113" s="2234" t="str">
        <v>原报价为每单位本币兑美元，取原报价均值的倒数；不等于反向日度汇率的算术平均。</v>
      </c>
      <c r="M1113" s="2234" t="str">
        <v>2022|英镑（GBP）</v>
      </c>
      <c r="N1113" s="2234" t="str">
        <v>英镑（GBP）</v>
      </c>
      <c r="O1113" s="2239" t="n">
        <v>1.2371</v>
      </c>
      <c r="P1113" s="2234" t="str">
        <v>USD/LCU</v>
      </c>
      <c r="Q1113" s="2239" t="n">
        <v>1</v>
      </c>
      <c r="R1113" s="2234" t="str">
        <v>A：机构统计／原始统计表</v>
      </c>
      <c r="S1113" s="2234" t="str">
        <v>年度汇率!C108；原始记录!A920:M920</v>
      </c>
      <c r="T1113" s="2234" t="str"/>
    </row>
    <row r="1114" ht="15.0" customHeight="1">
      <c r="A1114" s="2234" t="n">
        <v>2022</v>
      </c>
      <c r="B1114" s="2234" t="str">
        <v>CAD</v>
      </c>
      <c r="C1114" s="2234" t="str">
        <v>加拿大元（CAD）</v>
      </c>
      <c r="D1114" s="2234" t="str">
        <v>可用</v>
      </c>
      <c r="E1114" s="2238" t="n">
        <v>1.3014</v>
      </c>
      <c r="F1114" s="2234" t="str">
        <v>年均</v>
      </c>
      <c r="G1114" s="2234" t="str">
        <v>Federal Reserve G.5A / FRED AEXCAUS</v>
      </c>
      <c r="H1114" s="2234" t="str">
        <v>https://fred.stlouisfed.org/data/AEXCAUS</v>
      </c>
      <c r="I1114" s="2234" t="str">
        <v>2022-01-01—2022-12-31</v>
      </c>
      <c r="J1114" s="2234" t="str">
        <v>historical_exchange_rates_1920_2026.xlsx</v>
      </c>
      <c r="K1114" s="2234" t="str"/>
      <c r="L1114" s="2234" t="str">
        <v>原报价已按 1 美元兑换本币表示。</v>
      </c>
      <c r="M1114" s="2234" t="str">
        <v>2022|加拿大元（CAD）</v>
      </c>
      <c r="N1114" s="2234" t="str">
        <v>加拿大元（CAD）</v>
      </c>
      <c r="O1114" s="2239" t="n">
        <v>1.3014</v>
      </c>
      <c r="P1114" s="2234" t="str">
        <v>LCU/USD</v>
      </c>
      <c r="Q1114" s="2239" t="n">
        <v>1</v>
      </c>
      <c r="R1114" s="2234" t="str">
        <v>A：机构统计／原始统计表</v>
      </c>
      <c r="S1114" s="2234" t="str">
        <v>年度汇率!D108；原始记录!A921:M921</v>
      </c>
      <c r="T1114" s="2234" t="str"/>
    </row>
    <row r="1115" ht="15.0" customHeight="1">
      <c r="A1115" s="2234" t="n">
        <v>2022</v>
      </c>
      <c r="B1115" s="2234" t="str">
        <v>JPY</v>
      </c>
      <c r="C1115" s="2234" t="str">
        <v>日元（JPY）</v>
      </c>
      <c r="D1115" s="2234" t="str">
        <v>可用</v>
      </c>
      <c r="E1115" s="2238" t="n">
        <v>131.4589</v>
      </c>
      <c r="F1115" s="2234" t="str">
        <v>年均</v>
      </c>
      <c r="G1115" s="2234" t="str">
        <v>Federal Reserve G.5A / FRED AEXJPUS</v>
      </c>
      <c r="H1115" s="2234" t="str">
        <v>https://fred.stlouisfed.org/data/AEXJPUS</v>
      </c>
      <c r="I1115" s="2234" t="str">
        <v>2022-01-01—2022-12-31</v>
      </c>
      <c r="J1115" s="2234" t="str">
        <v>historical_exchange_rates_1920_2026.xlsx</v>
      </c>
      <c r="K1115" s="2234" t="str"/>
      <c r="L1115" s="2234" t="str">
        <v>原报价已按 1 美元兑换本币表示。</v>
      </c>
      <c r="M1115" s="2234" t="str">
        <v>2022|日元（JPY）</v>
      </c>
      <c r="N1115" s="2234" t="str">
        <v>日元（JPY）</v>
      </c>
      <c r="O1115" s="2239" t="n">
        <v>131.4589</v>
      </c>
      <c r="P1115" s="2234" t="str">
        <v>LCU/USD</v>
      </c>
      <c r="Q1115" s="2239" t="n">
        <v>1</v>
      </c>
      <c r="R1115" s="2234" t="str">
        <v>A：机构统计／原始统计表</v>
      </c>
      <c r="S1115" s="2234" t="str">
        <v>年度汇率!H108；原始记录!A922:M922</v>
      </c>
      <c r="T1115" s="2234" t="str"/>
    </row>
    <row r="1116" ht="15.0" customHeight="1">
      <c r="A1116" s="2234" t="n">
        <v>2022</v>
      </c>
      <c r="B1116" s="2234" t="str">
        <v>CHF</v>
      </c>
      <c r="C1116" s="2234" t="str">
        <v>瑞士法郎（CHF）</v>
      </c>
      <c r="D1116" s="2234" t="str">
        <v>可用</v>
      </c>
      <c r="E1116" s="2238" t="n">
        <v>0.955</v>
      </c>
      <c r="F1116" s="2234" t="str">
        <v>年均</v>
      </c>
      <c r="G1116" s="2234" t="str">
        <v>Federal Reserve G.5A / FRED AEXSZUS</v>
      </c>
      <c r="H1116" s="2234" t="str">
        <v>https://fred.stlouisfed.org/data/AEXSZUS</v>
      </c>
      <c r="I1116" s="2234" t="str">
        <v>2022-01-01—2022-12-31</v>
      </c>
      <c r="J1116" s="2234" t="str">
        <v>historical_exchange_rates_1920_2026.xlsx</v>
      </c>
      <c r="K1116" s="2234" t="str"/>
      <c r="L1116" s="2234" t="str">
        <v>原报价已按 1 美元兑换本币表示。</v>
      </c>
      <c r="M1116" s="2234" t="str">
        <v>2022|瑞士法郎（CHF）</v>
      </c>
      <c r="N1116" s="2234" t="str">
        <v>瑞士法郎（CHF）</v>
      </c>
      <c r="O1116" s="2239" t="n">
        <v>0.955</v>
      </c>
      <c r="P1116" s="2234" t="str">
        <v>LCU/USD</v>
      </c>
      <c r="Q1116" s="2239" t="n">
        <v>1</v>
      </c>
      <c r="R1116" s="2234" t="str">
        <v>A：机构统计／原始统计表</v>
      </c>
      <c r="S1116" s="2234" t="str">
        <v>年度汇率!I108；原始记录!A923:M923</v>
      </c>
      <c r="T1116" s="2234" t="str"/>
    </row>
    <row r="1117" ht="15.0" customHeight="1">
      <c r="A1117" s="2234" t="n">
        <v>2022</v>
      </c>
      <c r="B1117" s="2234" t="str">
        <v>INR</v>
      </c>
      <c r="C1117" s="2234" t="str">
        <v>印度卢比（INR）</v>
      </c>
      <c r="D1117" s="2234" t="str">
        <v>可用</v>
      </c>
      <c r="E1117" s="2238" t="n">
        <v>78.5792</v>
      </c>
      <c r="F1117" s="2234" t="str">
        <v>年均</v>
      </c>
      <c r="G1117" s="2234" t="str">
        <v>Federal Reserve G.5A / FRED AEXINUS</v>
      </c>
      <c r="H1117" s="2234" t="str">
        <v>https://fred.stlouisfed.org/data/AEXINUS</v>
      </c>
      <c r="I1117" s="2234" t="str">
        <v>2022-01-01—2022-12-31</v>
      </c>
      <c r="J1117" s="2234" t="str">
        <v>historical_exchange_rates_1920_2026.xlsx</v>
      </c>
      <c r="K1117" s="2234" t="str"/>
      <c r="L1117" s="2234" t="str">
        <v>原报价已按 1 美元兑换本币表示。</v>
      </c>
      <c r="M1117" s="2234" t="str">
        <v>2022|印度卢比（INR）</v>
      </c>
      <c r="N1117" s="2234" t="str">
        <v>印度卢比（INR）</v>
      </c>
      <c r="O1117" s="2239" t="n">
        <v>78.5792</v>
      </c>
      <c r="P1117" s="2234" t="str">
        <v>LCU/USD</v>
      </c>
      <c r="Q1117" s="2239" t="n">
        <v>1</v>
      </c>
      <c r="R1117" s="2234" t="str">
        <v>A：机构统计／原始统计表</v>
      </c>
      <c r="S1117" s="2234" t="str">
        <v>年度汇率!J108；原始记录!A924:M924</v>
      </c>
      <c r="T1117" s="2234" t="str"/>
    </row>
    <row r="1118" ht="15.0" customHeight="1">
      <c r="A1118" s="2234" t="n">
        <v>2022</v>
      </c>
      <c r="B1118" s="2234" t="str">
        <v>RUB</v>
      </c>
      <c r="C1118" s="2234" t="str">
        <v>俄罗斯卢布（RUB；1998币制）</v>
      </c>
      <c r="D1118" s="2234" t="str">
        <v>可用</v>
      </c>
      <c r="E1118" s="2238" t="n">
        <v>69.9168901377125</v>
      </c>
      <c r="F1118" s="2234" t="str">
        <v>年均</v>
      </c>
      <c r="G1118" s="2234" t="str">
        <v>OECD Main Economic Indicators / FRED CCUSMA02RUA618N</v>
      </c>
      <c r="H1118" s="2234" t="str">
        <v>https://fred.stlouisfed.org/data/CCUSMA02RUA618N</v>
      </c>
      <c r="I1118" s="2234" t="str">
        <v>2022-01-01—2022-12-31</v>
      </c>
      <c r="J1118" s="2234" t="str">
        <v>historical_exchange_rates_1920_2026.xlsx</v>
      </c>
      <c r="K1118" s="2234" t="str">
        <v>原表1993—1997年以1998年新卢布回溯表示；本表乘1000还原当年的旧卢布。</v>
      </c>
      <c r="L1118" s="2234" t="str">
        <v>原报价已按 1 美元兑换本币表示。</v>
      </c>
      <c r="M1118" s="2234" t="str">
        <v>2022|俄罗斯卢布（RUB；1998币制）</v>
      </c>
      <c r="N1118" s="2234" t="str">
        <v>俄罗斯卢布（RUB；1998币制）</v>
      </c>
      <c r="O1118" s="2239" t="n">
        <v>69.9168901377125</v>
      </c>
      <c r="P1118" s="2234" t="str">
        <v>LCU/USD</v>
      </c>
      <c r="Q1118" s="2239" t="n">
        <v>1</v>
      </c>
      <c r="R1118" s="2234" t="str">
        <v>A：机构统计／原始统计表</v>
      </c>
      <c r="S1118" s="2234" t="str">
        <v>年度汇率!K108；原始记录!A925:M925</v>
      </c>
      <c r="T1118" s="2234" t="str"/>
    </row>
    <row r="1119" ht="15.0" customHeight="1">
      <c r="A1119" s="2234" t="n">
        <v>2022</v>
      </c>
      <c r="B1119" s="2234" t="str">
        <v>CNY</v>
      </c>
      <c r="C1119" s="2234" t="str">
        <v>人民币元（1955币制；CNY）</v>
      </c>
      <c r="D1119" s="2234" t="str">
        <v>可用</v>
      </c>
      <c r="E1119" s="2238" t="n">
        <v>6.729</v>
      </c>
      <c r="F1119" s="2234" t="str">
        <v>年均</v>
      </c>
      <c r="G1119" s="2234" t="str">
        <v>Federal Reserve G.5A / FRED AEXCHUS</v>
      </c>
      <c r="H1119" s="2234" t="str">
        <v>https://fred.stlouisfed.org/data/AEXCHUS</v>
      </c>
      <c r="I1119" s="2234" t="str">
        <v>2022-01-01—2022-12-31</v>
      </c>
      <c r="J1119" s="2234" t="str">
        <v>historical_exchange_rates_1920_2026.xlsx</v>
      </c>
      <c r="K1119" s="2234" t="str"/>
      <c r="L1119" s="2234" t="str">
        <v>原报价已按 1 美元兑换本币表示。</v>
      </c>
      <c r="M1119" s="2234" t="str">
        <v>2022|人民币元（1955币制；CNY）</v>
      </c>
      <c r="N1119" s="2234" t="str">
        <v>人民币元（1955币制；CNY）</v>
      </c>
      <c r="O1119" s="2239" t="n">
        <v>6.729</v>
      </c>
      <c r="P1119" s="2234" t="str">
        <v>LCU/USD</v>
      </c>
      <c r="Q1119" s="2239" t="n">
        <v>1</v>
      </c>
      <c r="R1119" s="2234" t="str">
        <v>A：机构统计／原始统计表</v>
      </c>
      <c r="S1119" s="2234" t="str">
        <v>年度汇率!L108；原始记录!A926:M926</v>
      </c>
      <c r="T1119" s="2234" t="str"/>
    </row>
    <row r="1120" ht="24.0" customHeight="1">
      <c r="A1120" s="2234" t="n">
        <v>2022</v>
      </c>
      <c r="B1120" s="2234" t="str">
        <v>EUR</v>
      </c>
      <c r="C1120" s="2234" t="str">
        <v>欧元（EUR）</v>
      </c>
      <c r="D1120" s="2234" t="str">
        <v>可用</v>
      </c>
      <c r="E1120" s="2238" t="n">
        <v>0.9493070058857035</v>
      </c>
      <c r="F1120" s="2234" t="str">
        <v>年均</v>
      </c>
      <c r="G1120" s="2234" t="str">
        <v>Federal Reserve G.5A / FRED AEXUSEU</v>
      </c>
      <c r="H1120" s="2234" t="str">
        <v>https://fred.stlouisfed.org/data/AEXUSEU</v>
      </c>
      <c r="I1120" s="2234" t="str">
        <v>2022-01-01—2022-12-31</v>
      </c>
      <c r="J1120" s="2234" t="str">
        <v>historical_exchange_rates_1920_2026.xlsx</v>
      </c>
      <c r="K1120" s="2234" t="str">
        <v>反向值由原报价均值取倒数；不等于反向日度汇率的算术平均。
年均USD/EUR；主表取倒数。</v>
      </c>
      <c r="L1120" s="2234" t="str">
        <v>原报价为每单位本币兑美元，取原报价均值的倒数；不等于反向日度汇率的算术平均。</v>
      </c>
      <c r="M1120" s="2234" t="str">
        <v>2022|欧元（EUR）</v>
      </c>
      <c r="N1120" s="2234" t="str">
        <v>欧元（EUR）</v>
      </c>
      <c r="O1120" s="2239" t="n">
        <v>1.0534</v>
      </c>
      <c r="P1120" s="2234" t="str">
        <v>USD/LCU</v>
      </c>
      <c r="Q1120" s="2239" t="n">
        <v>1</v>
      </c>
      <c r="R1120" s="2234" t="str">
        <v>A：机构统计／原始统计表</v>
      </c>
      <c r="S1120" s="2234" t="str">
        <v>年度汇率!M108、年度汇率!E108、年度汇率!F108、年度汇率!G108；原始记录!A927:M927</v>
      </c>
      <c r="T1120" s="2234" t="str"/>
    </row>
    <row r="1121" ht="15.0" customHeight="1">
      <c r="A1121" s="2234" t="n">
        <v>2023</v>
      </c>
      <c r="B1121" s="2234" t="str">
        <v>USD</v>
      </c>
      <c r="C1121" s="2234" t="str">
        <v>美元（USD）</v>
      </c>
      <c r="D1121" s="2234" t="str">
        <v>可用</v>
      </c>
      <c r="E1121" s="2238" t="n">
        <v>1</v>
      </c>
      <c r="F1121" s="2234" t="str">
        <v>基准恒等</v>
      </c>
      <c r="G1121" s="2234" t="str">
        <v>用户提供的历史汇率表</v>
      </c>
      <c r="H1121" s="2234" t="str"/>
      <c r="I1121" s="2234" t="str">
        <v>2023</v>
      </c>
      <c r="J1121" s="2234" t="str">
        <v>historical_exchange_rates_1920_2026.xlsx</v>
      </c>
      <c r="K1121" s="2234" t="str">
        <v>1 美元等于 1 美元，无外部报价。</v>
      </c>
      <c r="L1121" s="2234" t="str">
        <v>美元基准，汇率恒为 1。</v>
      </c>
      <c r="M1121" s="2234" t="str">
        <v>2023|美元（USD）</v>
      </c>
      <c r="N1121" s="2234" t="str">
        <v>美元（USD）</v>
      </c>
      <c r="O1121" s="2239"/>
      <c r="P1121" s="2234" t="str"/>
      <c r="Q1121" s="2239"/>
      <c r="R1121" s="2234" t="str"/>
      <c r="S1121" s="2234" t="str">
        <v>年度汇率!B109</v>
      </c>
      <c r="T1121" s="2234" t="str"/>
    </row>
    <row r="1122" ht="24.0" customHeight="1">
      <c r="A1122" s="2234" t="n">
        <v>2023</v>
      </c>
      <c r="B1122" s="2234" t="str">
        <v>GBP</v>
      </c>
      <c r="C1122" s="2234" t="str">
        <v>英镑（GBP）</v>
      </c>
      <c r="D1122" s="2234" t="str">
        <v>可用</v>
      </c>
      <c r="E1122" s="2238" t="n">
        <v>0.8038585209003215</v>
      </c>
      <c r="F1122" s="2234" t="str">
        <v>年均</v>
      </c>
      <c r="G1122" s="2234" t="str">
        <v>Federal Reserve G.5A / FRED AEXUSUK</v>
      </c>
      <c r="H1122" s="2234" t="str">
        <v>https://fred.stlouisfed.org/data/AEXUSUK</v>
      </c>
      <c r="I1122" s="2234" t="str">
        <v>2023-01-01—2023-12-31</v>
      </c>
      <c r="J1122" s="2234" t="str">
        <v>historical_exchange_rates_1920_2026.xlsx</v>
      </c>
      <c r="K1122" s="2234" t="str">
        <v>反向值由原报价均值取倒数；不等于反向日度汇率的算术平均。
年均USD/GBP；主表取倒数，不等于逐日GBP/USD平均。</v>
      </c>
      <c r="L1122" s="2234" t="str">
        <v>原报价为每单位本币兑美元，取原报价均值的倒数；不等于反向日度汇率的算术平均。</v>
      </c>
      <c r="M1122" s="2234" t="str">
        <v>2023|英镑（GBP）</v>
      </c>
      <c r="N1122" s="2234" t="str">
        <v>英镑（GBP）</v>
      </c>
      <c r="O1122" s="2239" t="n">
        <v>1.244</v>
      </c>
      <c r="P1122" s="2234" t="str">
        <v>USD/LCU</v>
      </c>
      <c r="Q1122" s="2239" t="n">
        <v>1</v>
      </c>
      <c r="R1122" s="2234" t="str">
        <v>A：机构统计／原始统计表</v>
      </c>
      <c r="S1122" s="2234" t="str">
        <v>年度汇率!C109；原始记录!A928:M928</v>
      </c>
      <c r="T1122" s="2234" t="str"/>
    </row>
    <row r="1123" ht="15.0" customHeight="1">
      <c r="A1123" s="2234" t="n">
        <v>2023</v>
      </c>
      <c r="B1123" s="2234" t="str">
        <v>CAD</v>
      </c>
      <c r="C1123" s="2234" t="str">
        <v>加拿大元（CAD）</v>
      </c>
      <c r="D1123" s="2234" t="str">
        <v>可用</v>
      </c>
      <c r="E1123" s="2238" t="n">
        <v>1.3494</v>
      </c>
      <c r="F1123" s="2234" t="str">
        <v>年均</v>
      </c>
      <c r="G1123" s="2234" t="str">
        <v>Federal Reserve G.5A / FRED AEXCAUS</v>
      </c>
      <c r="H1123" s="2234" t="str">
        <v>https://fred.stlouisfed.org/data/AEXCAUS</v>
      </c>
      <c r="I1123" s="2234" t="str">
        <v>2023-01-01—2023-12-31</v>
      </c>
      <c r="J1123" s="2234" t="str">
        <v>historical_exchange_rates_1920_2026.xlsx</v>
      </c>
      <c r="K1123" s="2234" t="str"/>
      <c r="L1123" s="2234" t="str">
        <v>原报价已按 1 美元兑换本币表示。</v>
      </c>
      <c r="M1123" s="2234" t="str">
        <v>2023|加拿大元（CAD）</v>
      </c>
      <c r="N1123" s="2234" t="str">
        <v>加拿大元（CAD）</v>
      </c>
      <c r="O1123" s="2239" t="n">
        <v>1.3494</v>
      </c>
      <c r="P1123" s="2234" t="str">
        <v>LCU/USD</v>
      </c>
      <c r="Q1123" s="2239" t="n">
        <v>1</v>
      </c>
      <c r="R1123" s="2234" t="str">
        <v>A：机构统计／原始统计表</v>
      </c>
      <c r="S1123" s="2234" t="str">
        <v>年度汇率!D109；原始记录!A929:M929</v>
      </c>
      <c r="T1123" s="2234" t="str"/>
    </row>
    <row r="1124" ht="15.0" customHeight="1">
      <c r="A1124" s="2234" t="n">
        <v>2023</v>
      </c>
      <c r="B1124" s="2234" t="str">
        <v>JPY</v>
      </c>
      <c r="C1124" s="2234" t="str">
        <v>日元（JPY）</v>
      </c>
      <c r="D1124" s="2234" t="str">
        <v>可用</v>
      </c>
      <c r="E1124" s="2238" t="n">
        <v>140.5001</v>
      </c>
      <c r="F1124" s="2234" t="str">
        <v>年均</v>
      </c>
      <c r="G1124" s="2234" t="str">
        <v>Federal Reserve G.5A / FRED AEXJPUS</v>
      </c>
      <c r="H1124" s="2234" t="str">
        <v>https://fred.stlouisfed.org/data/AEXJPUS</v>
      </c>
      <c r="I1124" s="2234" t="str">
        <v>2023-01-01—2023-12-31</v>
      </c>
      <c r="J1124" s="2234" t="str">
        <v>historical_exchange_rates_1920_2026.xlsx</v>
      </c>
      <c r="K1124" s="2234" t="str"/>
      <c r="L1124" s="2234" t="str">
        <v>原报价已按 1 美元兑换本币表示。</v>
      </c>
      <c r="M1124" s="2234" t="str">
        <v>2023|日元（JPY）</v>
      </c>
      <c r="N1124" s="2234" t="str">
        <v>日元（JPY）</v>
      </c>
      <c r="O1124" s="2239" t="n">
        <v>140.5001</v>
      </c>
      <c r="P1124" s="2234" t="str">
        <v>LCU/USD</v>
      </c>
      <c r="Q1124" s="2239" t="n">
        <v>1</v>
      </c>
      <c r="R1124" s="2234" t="str">
        <v>A：机构统计／原始统计表</v>
      </c>
      <c r="S1124" s="2234" t="str">
        <v>年度汇率!H109；原始记录!A930:M930</v>
      </c>
      <c r="T1124" s="2234" t="str"/>
    </row>
    <row r="1125" ht="15.0" customHeight="1">
      <c r="A1125" s="2234" t="n">
        <v>2023</v>
      </c>
      <c r="B1125" s="2234" t="str">
        <v>CHF</v>
      </c>
      <c r="C1125" s="2234" t="str">
        <v>瑞士法郎（CHF）</v>
      </c>
      <c r="D1125" s="2234" t="str">
        <v>可用</v>
      </c>
      <c r="E1125" s="2238" t="n">
        <v>0.8984</v>
      </c>
      <c r="F1125" s="2234" t="str">
        <v>年均</v>
      </c>
      <c r="G1125" s="2234" t="str">
        <v>Federal Reserve G.5A / FRED AEXSZUS</v>
      </c>
      <c r="H1125" s="2234" t="str">
        <v>https://fred.stlouisfed.org/data/AEXSZUS</v>
      </c>
      <c r="I1125" s="2234" t="str">
        <v>2023-01-01—2023-12-31</v>
      </c>
      <c r="J1125" s="2234" t="str">
        <v>historical_exchange_rates_1920_2026.xlsx</v>
      </c>
      <c r="K1125" s="2234" t="str"/>
      <c r="L1125" s="2234" t="str">
        <v>原报价已按 1 美元兑换本币表示。</v>
      </c>
      <c r="M1125" s="2234" t="str">
        <v>2023|瑞士法郎（CHF）</v>
      </c>
      <c r="N1125" s="2234" t="str">
        <v>瑞士法郎（CHF）</v>
      </c>
      <c r="O1125" s="2239" t="n">
        <v>0.8984</v>
      </c>
      <c r="P1125" s="2234" t="str">
        <v>LCU/USD</v>
      </c>
      <c r="Q1125" s="2239" t="n">
        <v>1</v>
      </c>
      <c r="R1125" s="2234" t="str">
        <v>A：机构统计／原始统计表</v>
      </c>
      <c r="S1125" s="2234" t="str">
        <v>年度汇率!I109；原始记录!A931:M931</v>
      </c>
      <c r="T1125" s="2234" t="str"/>
    </row>
    <row r="1126" ht="15.0" customHeight="1">
      <c r="A1126" s="2234" t="n">
        <v>2023</v>
      </c>
      <c r="B1126" s="2234" t="str">
        <v>INR</v>
      </c>
      <c r="C1126" s="2234" t="str">
        <v>印度卢比（INR）</v>
      </c>
      <c r="D1126" s="2234" t="str">
        <v>可用</v>
      </c>
      <c r="E1126" s="2238" t="n">
        <v>82.5708</v>
      </c>
      <c r="F1126" s="2234" t="str">
        <v>年均</v>
      </c>
      <c r="G1126" s="2234" t="str">
        <v>Federal Reserve G.5A / FRED AEXINUS</v>
      </c>
      <c r="H1126" s="2234" t="str">
        <v>https://fred.stlouisfed.org/data/AEXINUS</v>
      </c>
      <c r="I1126" s="2234" t="str">
        <v>2023-01-01—2023-12-31</v>
      </c>
      <c r="J1126" s="2234" t="str">
        <v>historical_exchange_rates_1920_2026.xlsx</v>
      </c>
      <c r="K1126" s="2234" t="str"/>
      <c r="L1126" s="2234" t="str">
        <v>原报价已按 1 美元兑换本币表示。</v>
      </c>
      <c r="M1126" s="2234" t="str">
        <v>2023|印度卢比（INR）</v>
      </c>
      <c r="N1126" s="2234" t="str">
        <v>印度卢比（INR）</v>
      </c>
      <c r="O1126" s="2239" t="n">
        <v>82.5708</v>
      </c>
      <c r="P1126" s="2234" t="str">
        <v>LCU/USD</v>
      </c>
      <c r="Q1126" s="2239" t="n">
        <v>1</v>
      </c>
      <c r="R1126" s="2234" t="str">
        <v>A：机构统计／原始统计表</v>
      </c>
      <c r="S1126" s="2234" t="str">
        <v>年度汇率!J109；原始记录!A932:M932</v>
      </c>
      <c r="T1126" s="2234" t="str"/>
    </row>
    <row r="1127" ht="15.0" customHeight="1">
      <c r="A1127" s="2234" t="n">
        <v>2023</v>
      </c>
      <c r="B1127" s="2234" t="str">
        <v>RUB</v>
      </c>
      <c r="C1127" s="2234" t="str">
        <v>俄罗斯卢布（RUB；1998币制）</v>
      </c>
      <c r="D1127" s="2234" t="str">
        <v>可用</v>
      </c>
      <c r="E1127" s="2238" t="n">
        <v>85.5356316526288</v>
      </c>
      <c r="F1127" s="2234" t="str">
        <v>年均</v>
      </c>
      <c r="G1127" s="2234" t="str">
        <v>OECD Main Economic Indicators / FRED CCUSMA02RUA618N</v>
      </c>
      <c r="H1127" s="2234" t="str">
        <v>https://fred.stlouisfed.org/data/CCUSMA02RUA618N</v>
      </c>
      <c r="I1127" s="2234" t="str">
        <v>2023-01-01—2023-12-31</v>
      </c>
      <c r="J1127" s="2234" t="str">
        <v>historical_exchange_rates_1920_2026.xlsx</v>
      </c>
      <c r="K1127" s="2234" t="str">
        <v>原表1993—1997年以1998年新卢布回溯表示；本表乘1000还原当年的旧卢布。</v>
      </c>
      <c r="L1127" s="2234" t="str">
        <v>原报价已按 1 美元兑换本币表示。</v>
      </c>
      <c r="M1127" s="2234" t="str">
        <v>2023|俄罗斯卢布（RUB；1998币制）</v>
      </c>
      <c r="N1127" s="2234" t="str">
        <v>俄罗斯卢布（RUB；1998币制）</v>
      </c>
      <c r="O1127" s="2239" t="n">
        <v>85.5356316526288</v>
      </c>
      <c r="P1127" s="2234" t="str">
        <v>LCU/USD</v>
      </c>
      <c r="Q1127" s="2239" t="n">
        <v>1</v>
      </c>
      <c r="R1127" s="2234" t="str">
        <v>A：机构统计／原始统计表</v>
      </c>
      <c r="S1127" s="2234" t="str">
        <v>年度汇率!K109；原始记录!A933:M933</v>
      </c>
      <c r="T1127" s="2234" t="str"/>
    </row>
    <row r="1128" ht="15.0" customHeight="1">
      <c r="A1128" s="2234" t="n">
        <v>2023</v>
      </c>
      <c r="B1128" s="2234" t="str">
        <v>CNY</v>
      </c>
      <c r="C1128" s="2234" t="str">
        <v>人民币元（1955币制；CNY）</v>
      </c>
      <c r="D1128" s="2234" t="str">
        <v>可用</v>
      </c>
      <c r="E1128" s="2238" t="n">
        <v>7.0809</v>
      </c>
      <c r="F1128" s="2234" t="str">
        <v>年均</v>
      </c>
      <c r="G1128" s="2234" t="str">
        <v>Federal Reserve G.5A / FRED AEXCHUS</v>
      </c>
      <c r="H1128" s="2234" t="str">
        <v>https://fred.stlouisfed.org/data/AEXCHUS</v>
      </c>
      <c r="I1128" s="2234" t="str">
        <v>2023-01-01—2023-12-31</v>
      </c>
      <c r="J1128" s="2234" t="str">
        <v>historical_exchange_rates_1920_2026.xlsx</v>
      </c>
      <c r="K1128" s="2234" t="str"/>
      <c r="L1128" s="2234" t="str">
        <v>原报价已按 1 美元兑换本币表示。</v>
      </c>
      <c r="M1128" s="2234" t="str">
        <v>2023|人民币元（1955币制；CNY）</v>
      </c>
      <c r="N1128" s="2234" t="str">
        <v>人民币元（1955币制；CNY）</v>
      </c>
      <c r="O1128" s="2239" t="n">
        <v>7.0809</v>
      </c>
      <c r="P1128" s="2234" t="str">
        <v>LCU/USD</v>
      </c>
      <c r="Q1128" s="2239" t="n">
        <v>1</v>
      </c>
      <c r="R1128" s="2234" t="str">
        <v>A：机构统计／原始统计表</v>
      </c>
      <c r="S1128" s="2234" t="str">
        <v>年度汇率!L109；原始记录!A934:M934</v>
      </c>
      <c r="T1128" s="2234" t="str"/>
    </row>
    <row r="1129" ht="24.0" customHeight="1">
      <c r="A1129" s="2234" t="n">
        <v>2023</v>
      </c>
      <c r="B1129" s="2234" t="str">
        <v>EUR</v>
      </c>
      <c r="C1129" s="2234" t="str">
        <v>欧元（EUR）</v>
      </c>
      <c r="D1129" s="2234" t="str">
        <v>可用</v>
      </c>
      <c r="E1129" s="2238" t="n">
        <v>0.924470740501063</v>
      </c>
      <c r="F1129" s="2234" t="str">
        <v>年均</v>
      </c>
      <c r="G1129" s="2234" t="str">
        <v>Federal Reserve G.5A / FRED AEXUSEU</v>
      </c>
      <c r="H1129" s="2234" t="str">
        <v>https://fred.stlouisfed.org/data/AEXUSEU</v>
      </c>
      <c r="I1129" s="2234" t="str">
        <v>2023-01-01—2023-12-31</v>
      </c>
      <c r="J1129" s="2234" t="str">
        <v>historical_exchange_rates_1920_2026.xlsx</v>
      </c>
      <c r="K1129" s="2234" t="str">
        <v>反向值由原报价均值取倒数；不等于反向日度汇率的算术平均。
年均USD/EUR；主表取倒数。</v>
      </c>
      <c r="L1129" s="2234" t="str">
        <v>原报价为每单位本币兑美元，取原报价均值的倒数；不等于反向日度汇率的算术平均。</v>
      </c>
      <c r="M1129" s="2234" t="str">
        <v>2023|欧元（EUR）</v>
      </c>
      <c r="N1129" s="2234" t="str">
        <v>欧元（EUR）</v>
      </c>
      <c r="O1129" s="2239" t="n">
        <v>1.0817</v>
      </c>
      <c r="P1129" s="2234" t="str">
        <v>USD/LCU</v>
      </c>
      <c r="Q1129" s="2239" t="n">
        <v>1</v>
      </c>
      <c r="R1129" s="2234" t="str">
        <v>A：机构统计／原始统计表</v>
      </c>
      <c r="S1129" s="2234" t="str">
        <v>年度汇率!M109、年度汇率!E109、年度汇率!F109、年度汇率!G109；原始记录!A935:M935</v>
      </c>
      <c r="T1129" s="2234" t="str"/>
    </row>
    <row r="1130" ht="15.0" customHeight="1">
      <c r="A1130" s="2234" t="n">
        <v>2024</v>
      </c>
      <c r="B1130" s="2234" t="str">
        <v>USD</v>
      </c>
      <c r="C1130" s="2234" t="str">
        <v>美元（USD）</v>
      </c>
      <c r="D1130" s="2234" t="str">
        <v>可用</v>
      </c>
      <c r="E1130" s="2238" t="n">
        <v>1</v>
      </c>
      <c r="F1130" s="2234" t="str">
        <v>基准恒等</v>
      </c>
      <c r="G1130" s="2234" t="str">
        <v>用户提供的历史汇率表</v>
      </c>
      <c r="H1130" s="2234" t="str"/>
      <c r="I1130" s="2234" t="str">
        <v>2024</v>
      </c>
      <c r="J1130" s="2234" t="str">
        <v>historical_exchange_rates_1920_2026.xlsx</v>
      </c>
      <c r="K1130" s="2234" t="str">
        <v>1 美元等于 1 美元，无外部报价。</v>
      </c>
      <c r="L1130" s="2234" t="str">
        <v>美元基准，汇率恒为 1。</v>
      </c>
      <c r="M1130" s="2234" t="str">
        <v>2024|美元（USD）</v>
      </c>
      <c r="N1130" s="2234" t="str">
        <v>美元（USD）</v>
      </c>
      <c r="O1130" s="2239"/>
      <c r="P1130" s="2234" t="str"/>
      <c r="Q1130" s="2239"/>
      <c r="R1130" s="2234" t="str"/>
      <c r="S1130" s="2234" t="str">
        <v>年度汇率!B110</v>
      </c>
      <c r="T1130" s="2234" t="str"/>
    </row>
    <row r="1131" ht="24.0" customHeight="1">
      <c r="A1131" s="2234" t="n">
        <v>2024</v>
      </c>
      <c r="B1131" s="2234" t="str">
        <v>GBP</v>
      </c>
      <c r="C1131" s="2234" t="str">
        <v>英镑（GBP）</v>
      </c>
      <c r="D1131" s="2234" t="str">
        <v>可用</v>
      </c>
      <c r="E1131" s="2238" t="n">
        <v>0.7824113919098662</v>
      </c>
      <c r="F1131" s="2234" t="str">
        <v>年均</v>
      </c>
      <c r="G1131" s="2234" t="str">
        <v>Federal Reserve G.5A / FRED AEXUSUK</v>
      </c>
      <c r="H1131" s="2234" t="str">
        <v>https://fred.stlouisfed.org/data/AEXUSUK</v>
      </c>
      <c r="I1131" s="2234" t="str">
        <v>2024-01-01—2024-12-31</v>
      </c>
      <c r="J1131" s="2234" t="str">
        <v>historical_exchange_rates_1920_2026.xlsx</v>
      </c>
      <c r="K1131" s="2234" t="str">
        <v>反向值由原报价均值取倒数；不等于反向日度汇率的算术平均。
年均USD/GBP；主表取倒数，不等于逐日GBP/USD平均。</v>
      </c>
      <c r="L1131" s="2234" t="str">
        <v>原报价为每单位本币兑美元，取原报价均值的倒数；不等于反向日度汇率的算术平均。</v>
      </c>
      <c r="M1131" s="2234" t="str">
        <v>2024|英镑（GBP）</v>
      </c>
      <c r="N1131" s="2234" t="str">
        <v>英镑（GBP）</v>
      </c>
      <c r="O1131" s="2239" t="n">
        <v>1.2781</v>
      </c>
      <c r="P1131" s="2234" t="str">
        <v>USD/LCU</v>
      </c>
      <c r="Q1131" s="2239" t="n">
        <v>1</v>
      </c>
      <c r="R1131" s="2234" t="str">
        <v>A：机构统计／原始统计表</v>
      </c>
      <c r="S1131" s="2234" t="str">
        <v>年度汇率!C110；原始记录!A936:M936</v>
      </c>
      <c r="T1131" s="2234" t="str"/>
    </row>
    <row r="1132" ht="15.0" customHeight="1">
      <c r="A1132" s="2234" t="n">
        <v>2024</v>
      </c>
      <c r="B1132" s="2234" t="str">
        <v>CAD</v>
      </c>
      <c r="C1132" s="2234" t="str">
        <v>加拿大元（CAD）</v>
      </c>
      <c r="D1132" s="2234" t="str">
        <v>可用</v>
      </c>
      <c r="E1132" s="2238" t="n">
        <v>1.3699</v>
      </c>
      <c r="F1132" s="2234" t="str">
        <v>年均</v>
      </c>
      <c r="G1132" s="2234" t="str">
        <v>Federal Reserve G.5A / FRED AEXCAUS</v>
      </c>
      <c r="H1132" s="2234" t="str">
        <v>https://fred.stlouisfed.org/data/AEXCAUS</v>
      </c>
      <c r="I1132" s="2234" t="str">
        <v>2024-01-01—2024-12-31</v>
      </c>
      <c r="J1132" s="2234" t="str">
        <v>historical_exchange_rates_1920_2026.xlsx</v>
      </c>
      <c r="K1132" s="2234" t="str"/>
      <c r="L1132" s="2234" t="str">
        <v>原报价已按 1 美元兑换本币表示。</v>
      </c>
      <c r="M1132" s="2234" t="str">
        <v>2024|加拿大元（CAD）</v>
      </c>
      <c r="N1132" s="2234" t="str">
        <v>加拿大元（CAD）</v>
      </c>
      <c r="O1132" s="2239" t="n">
        <v>1.3699</v>
      </c>
      <c r="P1132" s="2234" t="str">
        <v>LCU/USD</v>
      </c>
      <c r="Q1132" s="2239" t="n">
        <v>1</v>
      </c>
      <c r="R1132" s="2234" t="str">
        <v>A：机构统计／原始统计表</v>
      </c>
      <c r="S1132" s="2234" t="str">
        <v>年度汇率!D110；原始记录!A937:M937</v>
      </c>
      <c r="T1132" s="2234" t="str"/>
    </row>
    <row r="1133" ht="15.0" customHeight="1">
      <c r="A1133" s="2234" t="n">
        <v>2024</v>
      </c>
      <c r="B1133" s="2234" t="str">
        <v>JPY</v>
      </c>
      <c r="C1133" s="2234" t="str">
        <v>日元（JPY）</v>
      </c>
      <c r="D1133" s="2234" t="str">
        <v>可用</v>
      </c>
      <c r="E1133" s="2238" t="n">
        <v>151.4551</v>
      </c>
      <c r="F1133" s="2234" t="str">
        <v>年均</v>
      </c>
      <c r="G1133" s="2234" t="str">
        <v>Federal Reserve G.5A / FRED AEXJPUS</v>
      </c>
      <c r="H1133" s="2234" t="str">
        <v>https://fred.stlouisfed.org/data/AEXJPUS</v>
      </c>
      <c r="I1133" s="2234" t="str">
        <v>2024-01-01—2024-12-31</v>
      </c>
      <c r="J1133" s="2234" t="str">
        <v>historical_exchange_rates_1920_2026.xlsx</v>
      </c>
      <c r="K1133" s="2234" t="str"/>
      <c r="L1133" s="2234" t="str">
        <v>原报价已按 1 美元兑换本币表示。</v>
      </c>
      <c r="M1133" s="2234" t="str">
        <v>2024|日元（JPY）</v>
      </c>
      <c r="N1133" s="2234" t="str">
        <v>日元（JPY）</v>
      </c>
      <c r="O1133" s="2239" t="n">
        <v>151.4551</v>
      </c>
      <c r="P1133" s="2234" t="str">
        <v>LCU/USD</v>
      </c>
      <c r="Q1133" s="2239" t="n">
        <v>1</v>
      </c>
      <c r="R1133" s="2234" t="str">
        <v>A：机构统计／原始统计表</v>
      </c>
      <c r="S1133" s="2234" t="str">
        <v>年度汇率!H110；原始记录!A938:M938</v>
      </c>
      <c r="T1133" s="2234" t="str"/>
    </row>
    <row r="1134" ht="15.0" customHeight="1">
      <c r="A1134" s="2234" t="n">
        <v>2024</v>
      </c>
      <c r="B1134" s="2234" t="str">
        <v>CHF</v>
      </c>
      <c r="C1134" s="2234" t="str">
        <v>瑞士法郎（CHF）</v>
      </c>
      <c r="D1134" s="2234" t="str">
        <v>可用</v>
      </c>
      <c r="E1134" s="2238" t="n">
        <v>0.8808</v>
      </c>
      <c r="F1134" s="2234" t="str">
        <v>年均</v>
      </c>
      <c r="G1134" s="2234" t="str">
        <v>Federal Reserve G.5A / FRED AEXSZUS</v>
      </c>
      <c r="H1134" s="2234" t="str">
        <v>https://fred.stlouisfed.org/data/AEXSZUS</v>
      </c>
      <c r="I1134" s="2234" t="str">
        <v>2024-01-01—2024-12-31</v>
      </c>
      <c r="J1134" s="2234" t="str">
        <v>historical_exchange_rates_1920_2026.xlsx</v>
      </c>
      <c r="K1134" s="2234" t="str"/>
      <c r="L1134" s="2234" t="str">
        <v>原报价已按 1 美元兑换本币表示。</v>
      </c>
      <c r="M1134" s="2234" t="str">
        <v>2024|瑞士法郎（CHF）</v>
      </c>
      <c r="N1134" s="2234" t="str">
        <v>瑞士法郎（CHF）</v>
      </c>
      <c r="O1134" s="2239" t="n">
        <v>0.8808</v>
      </c>
      <c r="P1134" s="2234" t="str">
        <v>LCU/USD</v>
      </c>
      <c r="Q1134" s="2239" t="n">
        <v>1</v>
      </c>
      <c r="R1134" s="2234" t="str">
        <v>A：机构统计／原始统计表</v>
      </c>
      <c r="S1134" s="2234" t="str">
        <v>年度汇率!I110；原始记录!A939:M939</v>
      </c>
      <c r="T1134" s="2234" t="str"/>
    </row>
    <row r="1135" ht="15.0" customHeight="1">
      <c r="A1135" s="2234" t="n">
        <v>2024</v>
      </c>
      <c r="B1135" s="2234" t="str">
        <v>INR</v>
      </c>
      <c r="C1135" s="2234" t="str">
        <v>印度卢比（INR）</v>
      </c>
      <c r="D1135" s="2234" t="str">
        <v>可用</v>
      </c>
      <c r="E1135" s="2238" t="n">
        <v>83.6566</v>
      </c>
      <c r="F1135" s="2234" t="str">
        <v>年均</v>
      </c>
      <c r="G1135" s="2234" t="str">
        <v>Federal Reserve G.5A / FRED AEXINUS</v>
      </c>
      <c r="H1135" s="2234" t="str">
        <v>https://fred.stlouisfed.org/data/AEXINUS</v>
      </c>
      <c r="I1135" s="2234" t="str">
        <v>2024-01-01—2024-12-31</v>
      </c>
      <c r="J1135" s="2234" t="str">
        <v>historical_exchange_rates_1920_2026.xlsx</v>
      </c>
      <c r="K1135" s="2234" t="str"/>
      <c r="L1135" s="2234" t="str">
        <v>原报价已按 1 美元兑换本币表示。</v>
      </c>
      <c r="M1135" s="2234" t="str">
        <v>2024|印度卢比（INR）</v>
      </c>
      <c r="N1135" s="2234" t="str">
        <v>印度卢比（INR）</v>
      </c>
      <c r="O1135" s="2239" t="n">
        <v>83.6566</v>
      </c>
      <c r="P1135" s="2234" t="str">
        <v>LCU/USD</v>
      </c>
      <c r="Q1135" s="2239" t="n">
        <v>1</v>
      </c>
      <c r="R1135" s="2234" t="str">
        <v>A：机构统计／原始统计表</v>
      </c>
      <c r="S1135" s="2234" t="str">
        <v>年度汇率!J110；原始记录!A940:M940</v>
      </c>
      <c r="T1135" s="2234" t="str"/>
    </row>
    <row r="1136" ht="15.0" customHeight="1">
      <c r="A1136" s="2234" t="n">
        <v>2024</v>
      </c>
      <c r="B1136" s="2234" t="str">
        <v>RUB</v>
      </c>
      <c r="C1136" s="2234" t="str">
        <v>俄罗斯卢布（RUB；1998币制）</v>
      </c>
      <c r="D1136" s="2234" t="str">
        <v>可用</v>
      </c>
      <c r="E1136" s="2238" t="n">
        <v>92.8837619495656</v>
      </c>
      <c r="F1136" s="2234" t="str">
        <v>年均</v>
      </c>
      <c r="G1136" s="2234" t="str">
        <v>OECD Main Economic Indicators / FRED CCUSMA02RUA618N</v>
      </c>
      <c r="H1136" s="2234" t="str">
        <v>https://fred.stlouisfed.org/data/CCUSMA02RUA618N</v>
      </c>
      <c r="I1136" s="2234" t="str">
        <v>2024-01-01—2024-12-31</v>
      </c>
      <c r="J1136" s="2234" t="str">
        <v>historical_exchange_rates_1920_2026.xlsx</v>
      </c>
      <c r="K1136" s="2234" t="str">
        <v>原表1993—1997年以1998年新卢布回溯表示；本表乘1000还原当年的旧卢布。</v>
      </c>
      <c r="L1136" s="2234" t="str">
        <v>原报价已按 1 美元兑换本币表示。</v>
      </c>
      <c r="M1136" s="2234" t="str">
        <v>2024|俄罗斯卢布（RUB；1998币制）</v>
      </c>
      <c r="N1136" s="2234" t="str">
        <v>俄罗斯卢布（RUB；1998币制）</v>
      </c>
      <c r="O1136" s="2239" t="n">
        <v>92.8837619495656</v>
      </c>
      <c r="P1136" s="2234" t="str">
        <v>LCU/USD</v>
      </c>
      <c r="Q1136" s="2239" t="n">
        <v>1</v>
      </c>
      <c r="R1136" s="2234" t="str">
        <v>A：机构统计／原始统计表</v>
      </c>
      <c r="S1136" s="2234" t="str">
        <v>年度汇率!K110；原始记录!A941:M941</v>
      </c>
      <c r="T1136" s="2234" t="str"/>
    </row>
    <row r="1137" ht="15.0" customHeight="1">
      <c r="A1137" s="2234" t="n">
        <v>2024</v>
      </c>
      <c r="B1137" s="2234" t="str">
        <v>CNY</v>
      </c>
      <c r="C1137" s="2234" t="str">
        <v>人民币元（1955币制；CNY）</v>
      </c>
      <c r="D1137" s="2234" t="str">
        <v>可用</v>
      </c>
      <c r="E1137" s="2238" t="n">
        <v>7.1957</v>
      </c>
      <c r="F1137" s="2234" t="str">
        <v>年均</v>
      </c>
      <c r="G1137" s="2234" t="str">
        <v>Federal Reserve G.5A / FRED AEXCHUS</v>
      </c>
      <c r="H1137" s="2234" t="str">
        <v>https://fred.stlouisfed.org/data/AEXCHUS</v>
      </c>
      <c r="I1137" s="2234" t="str">
        <v>2024-01-01—2024-12-31</v>
      </c>
      <c r="J1137" s="2234" t="str">
        <v>historical_exchange_rates_1920_2026.xlsx</v>
      </c>
      <c r="K1137" s="2234" t="str"/>
      <c r="L1137" s="2234" t="str">
        <v>原报价已按 1 美元兑换本币表示。</v>
      </c>
      <c r="M1137" s="2234" t="str">
        <v>2024|人民币元（1955币制；CNY）</v>
      </c>
      <c r="N1137" s="2234" t="str">
        <v>人民币元（1955币制；CNY）</v>
      </c>
      <c r="O1137" s="2239" t="n">
        <v>7.1957</v>
      </c>
      <c r="P1137" s="2234" t="str">
        <v>LCU/USD</v>
      </c>
      <c r="Q1137" s="2239" t="n">
        <v>1</v>
      </c>
      <c r="R1137" s="2234" t="str">
        <v>A：机构统计／原始统计表</v>
      </c>
      <c r="S1137" s="2234" t="str">
        <v>年度汇率!L110；原始记录!A942:M942</v>
      </c>
      <c r="T1137" s="2234" t="str"/>
    </row>
    <row r="1138" ht="24.0" customHeight="1">
      <c r="A1138" s="2234" t="n">
        <v>2024</v>
      </c>
      <c r="B1138" s="2234" t="str">
        <v>EUR</v>
      </c>
      <c r="C1138" s="2234" t="str">
        <v>欧元（EUR）</v>
      </c>
      <c r="D1138" s="2234" t="str">
        <v>可用</v>
      </c>
      <c r="E1138" s="2238" t="n">
        <v>0.9242144177449167</v>
      </c>
      <c r="F1138" s="2234" t="str">
        <v>年均</v>
      </c>
      <c r="G1138" s="2234" t="str">
        <v>Federal Reserve G.5A / FRED AEXUSEU</v>
      </c>
      <c r="H1138" s="2234" t="str">
        <v>https://fred.stlouisfed.org/data/AEXUSEU</v>
      </c>
      <c r="I1138" s="2234" t="str">
        <v>2024-01-01—2024-12-31</v>
      </c>
      <c r="J1138" s="2234" t="str">
        <v>historical_exchange_rates_1920_2026.xlsx</v>
      </c>
      <c r="K1138" s="2234" t="str">
        <v>反向值由原报价均值取倒数；不等于反向日度汇率的算术平均。
年均USD/EUR；主表取倒数。</v>
      </c>
      <c r="L1138" s="2234" t="str">
        <v>原报价为每单位本币兑美元，取原报价均值的倒数；不等于反向日度汇率的算术平均。</v>
      </c>
      <c r="M1138" s="2234" t="str">
        <v>2024|欧元（EUR）</v>
      </c>
      <c r="N1138" s="2234" t="str">
        <v>欧元（EUR）</v>
      </c>
      <c r="O1138" s="2239" t="n">
        <v>1.082</v>
      </c>
      <c r="P1138" s="2234" t="str">
        <v>USD/LCU</v>
      </c>
      <c r="Q1138" s="2239" t="n">
        <v>1</v>
      </c>
      <c r="R1138" s="2234" t="str">
        <v>A：机构统计／原始统计表</v>
      </c>
      <c r="S1138" s="2234" t="str">
        <v>年度汇率!M110、年度汇率!E110、年度汇率!F110、年度汇率!G110；原始记录!A943:M943</v>
      </c>
      <c r="T1138" s="2234" t="str"/>
    </row>
    <row r="1139" ht="15.0" customHeight="1">
      <c r="A1139" s="2234" t="n">
        <v>2025</v>
      </c>
      <c r="B1139" s="2234" t="str">
        <v>USD</v>
      </c>
      <c r="C1139" s="2234" t="str">
        <v>美元（USD）</v>
      </c>
      <c r="D1139" s="2234" t="str">
        <v>可用</v>
      </c>
      <c r="E1139" s="2238" t="n">
        <v>1</v>
      </c>
      <c r="F1139" s="2234" t="str">
        <v>基准恒等</v>
      </c>
      <c r="G1139" s="2234" t="str">
        <v>用户提供的历史汇率表</v>
      </c>
      <c r="H1139" s="2234" t="str"/>
      <c r="I1139" s="2234" t="str">
        <v>2025</v>
      </c>
      <c r="J1139" s="2234" t="str">
        <v>historical_exchange_rates_1920_2026.xlsx</v>
      </c>
      <c r="K1139" s="2234" t="str">
        <v>1 美元等于 1 美元，无外部报价。</v>
      </c>
      <c r="L1139" s="2234" t="str">
        <v>美元基准，汇率恒为 1。</v>
      </c>
      <c r="M1139" s="2234" t="str">
        <v>2025|美元（USD）</v>
      </c>
      <c r="N1139" s="2234" t="str">
        <v>美元（USD）</v>
      </c>
      <c r="O1139" s="2239"/>
      <c r="P1139" s="2234" t="str"/>
      <c r="Q1139" s="2239"/>
      <c r="R1139" s="2234" t="str"/>
      <c r="S1139" s="2234" t="str">
        <v>年度汇率!B111</v>
      </c>
      <c r="T1139" s="2234" t="str"/>
    </row>
    <row r="1140" ht="24.0" customHeight="1">
      <c r="A1140" s="2234" t="n">
        <v>2025</v>
      </c>
      <c r="B1140" s="2234" t="str">
        <v>GBP</v>
      </c>
      <c r="C1140" s="2234" t="str">
        <v>英镑（GBP）</v>
      </c>
      <c r="D1140" s="2234" t="str">
        <v>可用</v>
      </c>
      <c r="E1140" s="2238" t="n">
        <v>0.7580351728320195</v>
      </c>
      <c r="F1140" s="2234" t="str">
        <v>年均</v>
      </c>
      <c r="G1140" s="2234" t="str">
        <v>Federal Reserve G.5A / FRED AEXUSUK</v>
      </c>
      <c r="H1140" s="2234" t="str">
        <v>https://fred.stlouisfed.org/data/AEXUSUK</v>
      </c>
      <c r="I1140" s="2234" t="str">
        <v>2025-01-01—2025-12-31</v>
      </c>
      <c r="J1140" s="2234" t="str">
        <v>historical_exchange_rates_1920_2026.xlsx</v>
      </c>
      <c r="K1140" s="2234" t="str">
        <v>反向值由原报价均值取倒数；不等于反向日度汇率的算术平均。
年均USD/GBP；主表取倒数，不等于逐日GBP/USD平均。</v>
      </c>
      <c r="L1140" s="2234" t="str">
        <v>原报价为每单位本币兑美元，取原报价均值的倒数；不等于反向日度汇率的算术平均。</v>
      </c>
      <c r="M1140" s="2234" t="str">
        <v>2025|英镑（GBP）</v>
      </c>
      <c r="N1140" s="2234" t="str">
        <v>英镑（GBP）</v>
      </c>
      <c r="O1140" s="2239" t="n">
        <v>1.3192</v>
      </c>
      <c r="P1140" s="2234" t="str">
        <v>USD/LCU</v>
      </c>
      <c r="Q1140" s="2239" t="n">
        <v>1</v>
      </c>
      <c r="R1140" s="2234" t="str">
        <v>A：机构统计／原始统计表</v>
      </c>
      <c r="S1140" s="2234" t="str">
        <v>年度汇率!C111；原始记录!A944:M944</v>
      </c>
      <c r="T1140" s="2234" t="str"/>
    </row>
    <row r="1141" ht="15.0" customHeight="1">
      <c r="A1141" s="2234" t="n">
        <v>2025</v>
      </c>
      <c r="B1141" s="2234" t="str">
        <v>CAD</v>
      </c>
      <c r="C1141" s="2234" t="str">
        <v>加拿大元（CAD）</v>
      </c>
      <c r="D1141" s="2234" t="str">
        <v>可用</v>
      </c>
      <c r="E1141" s="2238" t="n">
        <v>1.3973</v>
      </c>
      <c r="F1141" s="2234" t="str">
        <v>年均</v>
      </c>
      <c r="G1141" s="2234" t="str">
        <v>Federal Reserve G.5A / FRED AEXCAUS</v>
      </c>
      <c r="H1141" s="2234" t="str">
        <v>https://fred.stlouisfed.org/data/AEXCAUS</v>
      </c>
      <c r="I1141" s="2234" t="str">
        <v>2025-01-01—2025-12-31</v>
      </c>
      <c r="J1141" s="2234" t="str">
        <v>historical_exchange_rates_1920_2026.xlsx</v>
      </c>
      <c r="K1141" s="2234" t="str"/>
      <c r="L1141" s="2234" t="str">
        <v>原报价已按 1 美元兑换本币表示。</v>
      </c>
      <c r="M1141" s="2234" t="str">
        <v>2025|加拿大元（CAD）</v>
      </c>
      <c r="N1141" s="2234" t="str">
        <v>加拿大元（CAD）</v>
      </c>
      <c r="O1141" s="2239" t="n">
        <v>1.3973</v>
      </c>
      <c r="P1141" s="2234" t="str">
        <v>LCU/USD</v>
      </c>
      <c r="Q1141" s="2239" t="n">
        <v>1</v>
      </c>
      <c r="R1141" s="2234" t="str">
        <v>A：机构统计／原始统计表</v>
      </c>
      <c r="S1141" s="2234" t="str">
        <v>年度汇率!D111；原始记录!A945:M945</v>
      </c>
      <c r="T1141" s="2234" t="str"/>
    </row>
    <row r="1142" ht="15.0" customHeight="1">
      <c r="A1142" s="2234" t="n">
        <v>2025</v>
      </c>
      <c r="B1142" s="2234" t="str">
        <v>JPY</v>
      </c>
      <c r="C1142" s="2234" t="str">
        <v>日元（JPY）</v>
      </c>
      <c r="D1142" s="2234" t="str">
        <v>可用</v>
      </c>
      <c r="E1142" s="2238" t="n">
        <v>149.5686</v>
      </c>
      <c r="F1142" s="2234" t="str">
        <v>年均</v>
      </c>
      <c r="G1142" s="2234" t="str">
        <v>Federal Reserve G.5A / FRED AEXJPUS</v>
      </c>
      <c r="H1142" s="2234" t="str">
        <v>https://fred.stlouisfed.org/data/AEXJPUS</v>
      </c>
      <c r="I1142" s="2234" t="str">
        <v>2025-01-01—2025-12-31</v>
      </c>
      <c r="J1142" s="2234" t="str">
        <v>historical_exchange_rates_1920_2026.xlsx</v>
      </c>
      <c r="K1142" s="2234" t="str"/>
      <c r="L1142" s="2234" t="str">
        <v>原报价已按 1 美元兑换本币表示。</v>
      </c>
      <c r="M1142" s="2234" t="str">
        <v>2025|日元（JPY）</v>
      </c>
      <c r="N1142" s="2234" t="str">
        <v>日元（JPY）</v>
      </c>
      <c r="O1142" s="2239" t="n">
        <v>149.5686</v>
      </c>
      <c r="P1142" s="2234" t="str">
        <v>LCU/USD</v>
      </c>
      <c r="Q1142" s="2239" t="n">
        <v>1</v>
      </c>
      <c r="R1142" s="2234" t="str">
        <v>A：机构统计／原始统计表</v>
      </c>
      <c r="S1142" s="2234" t="str">
        <v>年度汇率!H111；原始记录!A946:M946</v>
      </c>
      <c r="T1142" s="2234" t="str"/>
    </row>
    <row r="1143" ht="15.0" customHeight="1">
      <c r="A1143" s="2234" t="n">
        <v>2025</v>
      </c>
      <c r="B1143" s="2234" t="str">
        <v>CHF</v>
      </c>
      <c r="C1143" s="2234" t="str">
        <v>瑞士法郎（CHF）</v>
      </c>
      <c r="D1143" s="2234" t="str">
        <v>可用</v>
      </c>
      <c r="E1143" s="2238" t="n">
        <v>0.8305</v>
      </c>
      <c r="F1143" s="2234" t="str">
        <v>年均</v>
      </c>
      <c r="G1143" s="2234" t="str">
        <v>Federal Reserve G.5A / FRED AEXSZUS</v>
      </c>
      <c r="H1143" s="2234" t="str">
        <v>https://fred.stlouisfed.org/data/AEXSZUS</v>
      </c>
      <c r="I1143" s="2234" t="str">
        <v>2025-01-01—2025-12-31</v>
      </c>
      <c r="J1143" s="2234" t="str">
        <v>historical_exchange_rates_1920_2026.xlsx</v>
      </c>
      <c r="K1143" s="2234" t="str"/>
      <c r="L1143" s="2234" t="str">
        <v>原报价已按 1 美元兑换本币表示。</v>
      </c>
      <c r="M1143" s="2234" t="str">
        <v>2025|瑞士法郎（CHF）</v>
      </c>
      <c r="N1143" s="2234" t="str">
        <v>瑞士法郎（CHF）</v>
      </c>
      <c r="O1143" s="2239" t="n">
        <v>0.8305</v>
      </c>
      <c r="P1143" s="2234" t="str">
        <v>LCU/USD</v>
      </c>
      <c r="Q1143" s="2239" t="n">
        <v>1</v>
      </c>
      <c r="R1143" s="2234" t="str">
        <v>A：机构统计／原始统计表</v>
      </c>
      <c r="S1143" s="2234" t="str">
        <v>年度汇率!I111；原始记录!A947:M947</v>
      </c>
      <c r="T1143" s="2234" t="str"/>
    </row>
    <row r="1144" ht="15.0" customHeight="1">
      <c r="A1144" s="2234" t="n">
        <v>2025</v>
      </c>
      <c r="B1144" s="2234" t="str">
        <v>INR</v>
      </c>
      <c r="C1144" s="2234" t="str">
        <v>印度卢比（INR）</v>
      </c>
      <c r="D1144" s="2234" t="str">
        <v>可用</v>
      </c>
      <c r="E1144" s="2238" t="n">
        <v>87.1468</v>
      </c>
      <c r="F1144" s="2234" t="str">
        <v>年均</v>
      </c>
      <c r="G1144" s="2234" t="str">
        <v>Federal Reserve G.5A / FRED AEXINUS</v>
      </c>
      <c r="H1144" s="2234" t="str">
        <v>https://fred.stlouisfed.org/data/AEXINUS</v>
      </c>
      <c r="I1144" s="2234" t="str">
        <v>2025-01-01—2025-12-31</v>
      </c>
      <c r="J1144" s="2234" t="str">
        <v>historical_exchange_rates_1920_2026.xlsx</v>
      </c>
      <c r="K1144" s="2234" t="str"/>
      <c r="L1144" s="2234" t="str">
        <v>原报价已按 1 美元兑换本币表示。</v>
      </c>
      <c r="M1144" s="2234" t="str">
        <v>2025|印度卢比（INR）</v>
      </c>
      <c r="N1144" s="2234" t="str">
        <v>印度卢比（INR）</v>
      </c>
      <c r="O1144" s="2239" t="n">
        <v>87.1468</v>
      </c>
      <c r="P1144" s="2234" t="str">
        <v>LCU/USD</v>
      </c>
      <c r="Q1144" s="2239" t="n">
        <v>1</v>
      </c>
      <c r="R1144" s="2234" t="str">
        <v>A：机构统计／原始统计表</v>
      </c>
      <c r="S1144" s="2234" t="str">
        <v>年度汇率!J111；原始记录!A948:M948</v>
      </c>
      <c r="T1144" s="2234" t="str"/>
    </row>
    <row r="1145" ht="15.0" customHeight="1">
      <c r="A1145" s="2234" t="n">
        <v>2025</v>
      </c>
      <c r="B1145" s="2234" t="str">
        <v>RUB</v>
      </c>
      <c r="C1145" s="2234" t="str">
        <v>俄罗斯卢布（RUB；1998币制）</v>
      </c>
      <c r="D1145" s="2234" t="str">
        <v>可用</v>
      </c>
      <c r="E1145" s="2238" t="n">
        <v>83.7826914235523</v>
      </c>
      <c r="F1145" s="2234" t="str">
        <v>年均</v>
      </c>
      <c r="G1145" s="2234" t="str">
        <v>OECD Main Economic Indicators / FRED CCUSMA02RUA618N</v>
      </c>
      <c r="H1145" s="2234" t="str">
        <v>https://fred.stlouisfed.org/data/CCUSMA02RUA618N</v>
      </c>
      <c r="I1145" s="2234" t="str">
        <v>2025-01-01—2025-12-31</v>
      </c>
      <c r="J1145" s="2234" t="str">
        <v>historical_exchange_rates_1920_2026.xlsx</v>
      </c>
      <c r="K1145" s="2234" t="str">
        <v>原表1993—1997年以1998年新卢布回溯表示；本表乘1000还原当年的旧卢布。</v>
      </c>
      <c r="L1145" s="2234" t="str">
        <v>原报价已按 1 美元兑换本币表示。</v>
      </c>
      <c r="M1145" s="2234" t="str">
        <v>2025|俄罗斯卢布（RUB；1998币制）</v>
      </c>
      <c r="N1145" s="2234" t="str">
        <v>俄罗斯卢布（RUB；1998币制）</v>
      </c>
      <c r="O1145" s="2239" t="n">
        <v>83.7826914235523</v>
      </c>
      <c r="P1145" s="2234" t="str">
        <v>LCU/USD</v>
      </c>
      <c r="Q1145" s="2239" t="n">
        <v>1</v>
      </c>
      <c r="R1145" s="2234" t="str">
        <v>A：机构统计／原始统计表</v>
      </c>
      <c r="S1145" s="2234" t="str">
        <v>年度汇率!K111；原始记录!A949:M949</v>
      </c>
      <c r="T1145" s="2234" t="str"/>
    </row>
    <row r="1146" ht="15.0" customHeight="1">
      <c r="A1146" s="2234" t="n">
        <v>2025</v>
      </c>
      <c r="B1146" s="2234" t="str">
        <v>CNY</v>
      </c>
      <c r="C1146" s="2234" t="str">
        <v>人民币元（1955币制；CNY）</v>
      </c>
      <c r="D1146" s="2234" t="str">
        <v>可用</v>
      </c>
      <c r="E1146" s="2238" t="n">
        <v>7.1875</v>
      </c>
      <c r="F1146" s="2234" t="str">
        <v>年均</v>
      </c>
      <c r="G1146" s="2234" t="str">
        <v>Federal Reserve G.5A / FRED AEXCHUS</v>
      </c>
      <c r="H1146" s="2234" t="str">
        <v>https://fred.stlouisfed.org/data/AEXCHUS</v>
      </c>
      <c r="I1146" s="2234" t="str">
        <v>2025-01-01—2025-12-31</v>
      </c>
      <c r="J1146" s="2234" t="str">
        <v>historical_exchange_rates_1920_2026.xlsx</v>
      </c>
      <c r="K1146" s="2234" t="str"/>
      <c r="L1146" s="2234" t="str">
        <v>原报价已按 1 美元兑换本币表示。</v>
      </c>
      <c r="M1146" s="2234" t="str">
        <v>2025|人民币元（1955币制；CNY）</v>
      </c>
      <c r="N1146" s="2234" t="str">
        <v>人民币元（1955币制；CNY）</v>
      </c>
      <c r="O1146" s="2239" t="n">
        <v>7.1875</v>
      </c>
      <c r="P1146" s="2234" t="str">
        <v>LCU/USD</v>
      </c>
      <c r="Q1146" s="2239" t="n">
        <v>1</v>
      </c>
      <c r="R1146" s="2234" t="str">
        <v>A：机构统计／原始统计表</v>
      </c>
      <c r="S1146" s="2234" t="str">
        <v>年度汇率!L111；原始记录!A950:M950</v>
      </c>
      <c r="T1146" s="2234" t="str"/>
    </row>
    <row r="1147" ht="24.0" customHeight="1">
      <c r="A1147" s="2234" t="n">
        <v>2025</v>
      </c>
      <c r="B1147" s="2234" t="str">
        <v>EUR</v>
      </c>
      <c r="C1147" s="2234" t="str">
        <v>欧元（EUR）</v>
      </c>
      <c r="D1147" s="2234" t="str">
        <v>可用</v>
      </c>
      <c r="E1147" s="2238" t="n">
        <v>0.884486113568017</v>
      </c>
      <c r="F1147" s="2234" t="str">
        <v>年均</v>
      </c>
      <c r="G1147" s="2234" t="str">
        <v>Federal Reserve G.5A / FRED AEXUSEU</v>
      </c>
      <c r="H1147" s="2234" t="str">
        <v>https://fred.stlouisfed.org/data/AEXUSEU</v>
      </c>
      <c r="I1147" s="2234" t="str">
        <v>2025-01-01—2025-12-31</v>
      </c>
      <c r="J1147" s="2234" t="str">
        <v>historical_exchange_rates_1920_2026.xlsx</v>
      </c>
      <c r="K1147" s="2234" t="str">
        <v>反向值由原报价均值取倒数；不等于反向日度汇率的算术平均。
年均USD/EUR；主表取倒数。</v>
      </c>
      <c r="L1147" s="2234" t="str">
        <v>原报价为每单位本币兑美元，取原报价均值的倒数；不等于反向日度汇率的算术平均。</v>
      </c>
      <c r="M1147" s="2234" t="str">
        <v>2025|欧元（EUR）</v>
      </c>
      <c r="N1147" s="2234" t="str">
        <v>欧元（EUR）</v>
      </c>
      <c r="O1147" s="2239" t="n">
        <v>1.1306</v>
      </c>
      <c r="P1147" s="2234" t="str">
        <v>USD/LCU</v>
      </c>
      <c r="Q1147" s="2239" t="n">
        <v>1</v>
      </c>
      <c r="R1147" s="2234" t="str">
        <v>A：机构统计／原始统计表</v>
      </c>
      <c r="S1147" s="2234" t="str">
        <v>年度汇率!M111、年度汇率!E111、年度汇率!F111、年度汇率!G111；原始记录!A951:M951</v>
      </c>
      <c r="T1147" s="2234" t="str"/>
    </row>
    <row r="1148" ht="15.0" customHeight="1">
      <c r="A1148" s="2234" t="n">
        <v>2026</v>
      </c>
      <c r="B1148" s="2234" t="str">
        <v>USD</v>
      </c>
      <c r="C1148" s="2234" t="str">
        <v>美元（USD）</v>
      </c>
      <c r="D1148" s="2234" t="str">
        <v>可用</v>
      </c>
      <c r="E1148" s="2238" t="n">
        <v>1</v>
      </c>
      <c r="F1148" s="2234" t="str">
        <v>基准恒等</v>
      </c>
      <c r="G1148" s="2234" t="str">
        <v>用户提供的历史汇率表</v>
      </c>
      <c r="H1148" s="2234" t="str"/>
      <c r="I1148" s="2234" t="str">
        <v>2026</v>
      </c>
      <c r="J1148" s="2234" t="str">
        <v>historical_exchange_rates_1920_2026.xlsx</v>
      </c>
      <c r="K1148" s="2234" t="str">
        <v>1 美元等于 1 美元，无外部报价。</v>
      </c>
      <c r="L1148" s="2234" t="str">
        <v>美元基准，汇率恒为 1。</v>
      </c>
      <c r="M1148" s="2234" t="str">
        <v>2026|美元（USD）</v>
      </c>
      <c r="N1148" s="2234" t="str">
        <v>美元（USD）</v>
      </c>
      <c r="O1148" s="2239"/>
      <c r="P1148" s="2234" t="str"/>
      <c r="Q1148" s="2239"/>
      <c r="R1148" s="2234" t="str"/>
      <c r="S1148" s="2234" t="str">
        <v>年度汇率!B112</v>
      </c>
      <c r="T1148" s="2234" t="str"/>
    </row>
    <row r="1149" ht="24.0" customHeight="1">
      <c r="A1149" s="2234" t="n">
        <v>2026</v>
      </c>
      <c r="B1149" s="2234" t="str">
        <v>GBP</v>
      </c>
      <c r="C1149" s="2234" t="str">
        <v>英镑（GBP）</v>
      </c>
      <c r="D1149" s="2234" t="str">
        <v>可用</v>
      </c>
      <c r="E1149" s="2238" t="n">
        <v>0.7429834500436503</v>
      </c>
      <c r="F1149" s="2234" t="str">
        <v>2026年1—8月月均值等权平均</v>
      </c>
      <c r="G1149" s="2234" t="str">
        <v>美联储 H.10 / FRED：2026年月均 GBP</v>
      </c>
      <c r="H1149" s="2234" t="str">
        <v>https://fred.stlouisfed.org/data/EXUSUK</v>
      </c>
      <c r="I1149" s="2234" t="str">
        <v>2026-01-01—2026-08-31</v>
      </c>
      <c r="J1149" s="2234" t="str">
        <v>historical_exchange_rates_1920_2026.xlsx</v>
      </c>
      <c r="K1149" s="2234" t="str">
        <v>反向值由原报价均值取倒数；不等于反向日度汇率的算术平均。
2026年1—8月；对8个月均值等权平均，不是完整全年或逐日加权平均。</v>
      </c>
      <c r="L1149" s="2234" t="str">
        <v>原报价为每单位本币兑美元，取原报价均值的倒数；不等于反向日度汇率的算术平均。</v>
      </c>
      <c r="M1149" s="2234" t="str">
        <v>2026|英镑（GBP）</v>
      </c>
      <c r="N1149" s="2234" t="str">
        <v>英镑（GBP）</v>
      </c>
      <c r="O1149" s="2239" t="n">
        <v>1.345925</v>
      </c>
      <c r="P1149" s="2234" t="str">
        <v>USD/LCU</v>
      </c>
      <c r="Q1149" s="2239" t="n">
        <v>1</v>
      </c>
      <c r="R1149" s="2234" t="str">
        <v>A：机构统计／原始统计表</v>
      </c>
      <c r="S1149" s="2234" t="str">
        <v>年度汇率!C112；原始记录!A952:M952</v>
      </c>
      <c r="T1149" s="2234" t="str">
        <v>2026 年仅为 1—8 月均值，并非全年均值</v>
      </c>
    </row>
    <row r="1150" ht="24.0" customHeight="1">
      <c r="A1150" s="2234" t="n">
        <v>2026</v>
      </c>
      <c r="B1150" s="2234" t="str">
        <v>CAD</v>
      </c>
      <c r="C1150" s="2234" t="str">
        <v>加拿大元（CAD）</v>
      </c>
      <c r="D1150" s="2234" t="str">
        <v>可用</v>
      </c>
      <c r="E1150" s="2238" t="n">
        <v>1.3831375000000001</v>
      </c>
      <c r="F1150" s="2234" t="str">
        <v>2026年1—8月月均值等权平均</v>
      </c>
      <c r="G1150" s="2234" t="str">
        <v>美联储 H.10 / FRED：2026年月均 CAD</v>
      </c>
      <c r="H1150" s="2234" t="str">
        <v>https://fred.stlouisfed.org/data/EXCAUS</v>
      </c>
      <c r="I1150" s="2234" t="str">
        <v>2026-01-01—2026-08-31</v>
      </c>
      <c r="J1150" s="2234" t="str">
        <v>historical_exchange_rates_1920_2026.xlsx</v>
      </c>
      <c r="K1150" s="2234" t="str">
        <v>2026年1—8月；对8个月均值等权平均，不是完整全年或逐日加权平均。</v>
      </c>
      <c r="L1150" s="2234" t="str">
        <v>原报价已按 1 美元兑换本币表示。</v>
      </c>
      <c r="M1150" s="2234" t="str">
        <v>2026|加拿大元（CAD）</v>
      </c>
      <c r="N1150" s="2234" t="str">
        <v>加拿大元（CAD）</v>
      </c>
      <c r="O1150" s="2239" t="n">
        <v>1.3831375000000001</v>
      </c>
      <c r="P1150" s="2234" t="str">
        <v>LCU/USD</v>
      </c>
      <c r="Q1150" s="2239" t="n">
        <v>1</v>
      </c>
      <c r="R1150" s="2234" t="str">
        <v>A：机构统计／原始统计表</v>
      </c>
      <c r="S1150" s="2234" t="str">
        <v>年度汇率!D112；原始记录!A953:M953</v>
      </c>
      <c r="T1150" s="2234" t="str">
        <v>2026 年仅为 1—8 月均值，并非全年均值</v>
      </c>
    </row>
    <row r="1151" ht="24.0" customHeight="1">
      <c r="A1151" s="2234" t="n">
        <v>2026</v>
      </c>
      <c r="B1151" s="2234" t="str">
        <v>JPY</v>
      </c>
      <c r="C1151" s="2234" t="str">
        <v>日元（JPY）</v>
      </c>
      <c r="D1151" s="2234" t="str">
        <v>可用</v>
      </c>
      <c r="E1151" s="2238" t="n">
        <v>158.706525</v>
      </c>
      <c r="F1151" s="2234" t="str">
        <v>2026年1—8月月均值等权平均</v>
      </c>
      <c r="G1151" s="2234" t="str">
        <v>美联储 H.10 / FRED：2026年月均 JPY</v>
      </c>
      <c r="H1151" s="2234" t="str">
        <v>https://fred.stlouisfed.org/data/EXJPUS</v>
      </c>
      <c r="I1151" s="2234" t="str">
        <v>2026-01-01—2026-08-31</v>
      </c>
      <c r="J1151" s="2234" t="str">
        <v>historical_exchange_rates_1920_2026.xlsx</v>
      </c>
      <c r="K1151" s="2234" t="str">
        <v>2026年1—8月；对8个月均值等权平均，不是完整全年或逐日加权平均。</v>
      </c>
      <c r="L1151" s="2234" t="str">
        <v>原报价已按 1 美元兑换本币表示。</v>
      </c>
      <c r="M1151" s="2234" t="str">
        <v>2026|日元（JPY）</v>
      </c>
      <c r="N1151" s="2234" t="str">
        <v>日元（JPY）</v>
      </c>
      <c r="O1151" s="2239" t="n">
        <v>158.706525</v>
      </c>
      <c r="P1151" s="2234" t="str">
        <v>LCU/USD</v>
      </c>
      <c r="Q1151" s="2239" t="n">
        <v>1</v>
      </c>
      <c r="R1151" s="2234" t="str">
        <v>A：机构统计／原始统计表</v>
      </c>
      <c r="S1151" s="2234" t="str">
        <v>年度汇率!H112；原始记录!A954:M954</v>
      </c>
      <c r="T1151" s="2234" t="str">
        <v>2026 年仅为 1—8 月均值，并非全年均值</v>
      </c>
    </row>
    <row r="1152" ht="24.0" customHeight="1">
      <c r="A1152" s="2234" t="n">
        <v>2026</v>
      </c>
      <c r="B1152" s="2234" t="str">
        <v>CHF</v>
      </c>
      <c r="C1152" s="2234" t="str">
        <v>瑞士法郎（CHF）</v>
      </c>
      <c r="D1152" s="2234" t="str">
        <v>可用</v>
      </c>
      <c r="E1152" s="2238" t="n">
        <v>0.7922250000000001</v>
      </c>
      <c r="F1152" s="2234" t="str">
        <v>2026年1—8月月均值等权平均</v>
      </c>
      <c r="G1152" s="2234" t="str">
        <v>美联储 H.10 / FRED：2026年月均 CHF</v>
      </c>
      <c r="H1152" s="2234" t="str">
        <v>https://fred.stlouisfed.org/data/EXSZUS</v>
      </c>
      <c r="I1152" s="2234" t="str">
        <v>2026-01-01—2026-08-31</v>
      </c>
      <c r="J1152" s="2234" t="str">
        <v>historical_exchange_rates_1920_2026.xlsx</v>
      </c>
      <c r="K1152" s="2234" t="str">
        <v>2026年1—8月；对8个月均值等权平均，不是完整全年或逐日加权平均。</v>
      </c>
      <c r="L1152" s="2234" t="str">
        <v>原报价已按 1 美元兑换本币表示。</v>
      </c>
      <c r="M1152" s="2234" t="str">
        <v>2026|瑞士法郎（CHF）</v>
      </c>
      <c r="N1152" s="2234" t="str">
        <v>瑞士法郎（CHF）</v>
      </c>
      <c r="O1152" s="2239" t="n">
        <v>0.7922250000000001</v>
      </c>
      <c r="P1152" s="2234" t="str">
        <v>LCU/USD</v>
      </c>
      <c r="Q1152" s="2239" t="n">
        <v>1</v>
      </c>
      <c r="R1152" s="2234" t="str">
        <v>A：机构统计／原始统计表</v>
      </c>
      <c r="S1152" s="2234" t="str">
        <v>年度汇率!I112；原始记录!A955:M955</v>
      </c>
      <c r="T1152" s="2234" t="str">
        <v>2026 年仅为 1—8 月均值，并非全年均值</v>
      </c>
    </row>
    <row r="1153" ht="24.0" customHeight="1">
      <c r="A1153" s="2234" t="n">
        <v>2026</v>
      </c>
      <c r="B1153" s="2234" t="str">
        <v>INR</v>
      </c>
      <c r="C1153" s="2234" t="str">
        <v>印度卢比（INR）</v>
      </c>
      <c r="D1153" s="2234" t="str">
        <v>可用</v>
      </c>
      <c r="E1153" s="2238" t="n">
        <v>93.7177625</v>
      </c>
      <c r="F1153" s="2234" t="str">
        <v>2026年1—8月月均值等权平均</v>
      </c>
      <c r="G1153" s="2234" t="str">
        <v>美联储 H.10 / FRED：2026年月均 INR</v>
      </c>
      <c r="H1153" s="2234" t="str">
        <v>https://fred.stlouisfed.org/data/EXINUS</v>
      </c>
      <c r="I1153" s="2234" t="str">
        <v>2026-01-01—2026-08-31</v>
      </c>
      <c r="J1153" s="2234" t="str">
        <v>historical_exchange_rates_1920_2026.xlsx</v>
      </c>
      <c r="K1153" s="2234" t="str">
        <v>2026年1—8月；对8个月均值等权平均，不是完整全年或逐日加权平均。</v>
      </c>
      <c r="L1153" s="2234" t="str">
        <v>原报价已按 1 美元兑换本币表示。</v>
      </c>
      <c r="M1153" s="2234" t="str">
        <v>2026|印度卢比（INR）</v>
      </c>
      <c r="N1153" s="2234" t="str">
        <v>印度卢比（INR）</v>
      </c>
      <c r="O1153" s="2239" t="n">
        <v>93.7177625</v>
      </c>
      <c r="P1153" s="2234" t="str">
        <v>LCU/USD</v>
      </c>
      <c r="Q1153" s="2239" t="n">
        <v>1</v>
      </c>
      <c r="R1153" s="2234" t="str">
        <v>A：机构统计／原始统计表</v>
      </c>
      <c r="S1153" s="2234" t="str">
        <v>年度汇率!J112；原始记录!A956:M956</v>
      </c>
      <c r="T1153" s="2234" t="str">
        <v>2026 年仅为 1—8 月均值，并非全年均值</v>
      </c>
    </row>
    <row r="1154" ht="24.0" customHeight="1">
      <c r="A1154" s="2234" t="n">
        <v>2026</v>
      </c>
      <c r="B1154" s="2234" t="str">
        <v>RUB</v>
      </c>
      <c r="C1154" s="2234" t="str">
        <v>俄罗斯卢布（RUB；1998币制）</v>
      </c>
      <c r="D1154" s="2234" t="str">
        <v>可用</v>
      </c>
      <c r="E1154" s="2238" t="n">
        <v>77.53810877547994</v>
      </c>
      <c r="F1154" s="2234" t="str">
        <v>2026年1—8月月均值等权平均</v>
      </c>
      <c r="G1154" s="2234" t="str">
        <v>OECD / FRED：2026年月均 RUB</v>
      </c>
      <c r="H1154" s="2234" t="str">
        <v>https://fred.stlouisfed.org/data/CCUSMA02RUM618N</v>
      </c>
      <c r="I1154" s="2234" t="str">
        <v>2026-01-01—2026-08-31</v>
      </c>
      <c r="J1154" s="2234" t="str">
        <v>historical_exchange_rates_1920_2026.xlsx</v>
      </c>
      <c r="K1154" s="2234" t="str">
        <v>2026年1—8月；对8个月均值等权平均，不是完整全年或逐日加权平均。</v>
      </c>
      <c r="L1154" s="2234" t="str">
        <v>原报价已按 1 美元兑换本币表示。</v>
      </c>
      <c r="M1154" s="2234" t="str">
        <v>2026|俄罗斯卢布（RUB；1998币制）</v>
      </c>
      <c r="N1154" s="2234" t="str">
        <v>俄罗斯卢布（RUB；1998币制）</v>
      </c>
      <c r="O1154" s="2239" t="n">
        <v>77.53810877547994</v>
      </c>
      <c r="P1154" s="2234" t="str">
        <v>LCU/USD</v>
      </c>
      <c r="Q1154" s="2239" t="n">
        <v>1</v>
      </c>
      <c r="R1154" s="2234" t="str">
        <v>A：机构统计／原始统计表</v>
      </c>
      <c r="S1154" s="2234" t="str">
        <v>年度汇率!K112；原始记录!A957:M957</v>
      </c>
      <c r="T1154" s="2234" t="str">
        <v>2026 年仅为 1—8 月均值，并非全年均值</v>
      </c>
    </row>
    <row r="1155" ht="24.0" customHeight="1">
      <c r="A1155" s="2234" t="n">
        <v>2026</v>
      </c>
      <c r="B1155" s="2234" t="str">
        <v>CNY</v>
      </c>
      <c r="C1155" s="2234" t="str">
        <v>人民币元（1955币制；CNY）</v>
      </c>
      <c r="D1155" s="2234" t="str">
        <v>可用</v>
      </c>
      <c r="E1155" s="2238" t="n">
        <v>6.8365</v>
      </c>
      <c r="F1155" s="2234" t="str">
        <v>2026年1—8月月均值等权平均</v>
      </c>
      <c r="G1155" s="2234" t="str">
        <v>美联储 H.10 / FRED：2026年月均 CNY</v>
      </c>
      <c r="H1155" s="2234" t="str">
        <v>https://fred.stlouisfed.org/data/EXCHUS</v>
      </c>
      <c r="I1155" s="2234" t="str">
        <v>2026-01-01—2026-08-31</v>
      </c>
      <c r="J1155" s="2234" t="str">
        <v>historical_exchange_rates_1920_2026.xlsx</v>
      </c>
      <c r="K1155" s="2234" t="str">
        <v>2026年1—8月；对8个月均值等权平均，不是完整全年或逐日加权平均。</v>
      </c>
      <c r="L1155" s="2234" t="str">
        <v>原报价已按 1 美元兑换本币表示。</v>
      </c>
      <c r="M1155" s="2234" t="str">
        <v>2026|人民币元（1955币制；CNY）</v>
      </c>
      <c r="N1155" s="2234" t="str">
        <v>人民币元（1955币制；CNY）</v>
      </c>
      <c r="O1155" s="2239" t="n">
        <v>6.8365</v>
      </c>
      <c r="P1155" s="2234" t="str">
        <v>LCU/USD</v>
      </c>
      <c r="Q1155" s="2239" t="n">
        <v>1</v>
      </c>
      <c r="R1155" s="2234" t="str">
        <v>A：机构统计／原始统计表</v>
      </c>
      <c r="S1155" s="2234" t="str">
        <v>年度汇率!L112；原始记录!A958:M958</v>
      </c>
      <c r="T1155" s="2234" t="str">
        <v>2026 年仅为 1—8 月均值，并非全年均值</v>
      </c>
    </row>
    <row r="1156" ht="24.0" customHeight="1">
      <c r="A1156" s="2234" t="n">
        <v>2026</v>
      </c>
      <c r="B1156" s="2234" t="str">
        <v>EUR</v>
      </c>
      <c r="C1156" s="2234" t="str">
        <v>欧元（EUR）</v>
      </c>
      <c r="D1156" s="2234" t="str">
        <v>可用</v>
      </c>
      <c r="E1156" s="2238" t="n">
        <v>0.859882196139129</v>
      </c>
      <c r="F1156" s="2234" t="str">
        <v>2026年1—8月月均值等权平均</v>
      </c>
      <c r="G1156" s="2234" t="str">
        <v>美联储 H.10 / FRED：2026年月均 EUR</v>
      </c>
      <c r="H1156" s="2234" t="str">
        <v>https://fred.stlouisfed.org/data/EXUSEU</v>
      </c>
      <c r="I1156" s="2234" t="str">
        <v>2026-01-01—2026-08-31</v>
      </c>
      <c r="J1156" s="2234" t="str">
        <v>historical_exchange_rates_1920_2026.xlsx</v>
      </c>
      <c r="K1156" s="2234" t="str">
        <v>反向值由原报价均值取倒数；不等于反向日度汇率的算术平均。
2026年1—8月；对8个月均值等权平均，不是完整全年或逐日加权平均。</v>
      </c>
      <c r="L1156" s="2234" t="str">
        <v>原报价为每单位本币兑美元，取原报价均值的倒数；不等于反向日度汇率的算术平均。</v>
      </c>
      <c r="M1156" s="2234" t="str">
        <v>2026|欧元（EUR）</v>
      </c>
      <c r="N1156" s="2234" t="str">
        <v>欧元（EUR）</v>
      </c>
      <c r="O1156" s="2239" t="n">
        <v>1.16295</v>
      </c>
      <c r="P1156" s="2234" t="str">
        <v>USD/LCU</v>
      </c>
      <c r="Q1156" s="2239" t="n">
        <v>1</v>
      </c>
      <c r="R1156" s="2234" t="str">
        <v>A：机构统计／原始统计表</v>
      </c>
      <c r="S1156" s="2234" t="str">
        <v>年度汇率!M112、年度汇率!E112、年度汇率!F112、年度汇率!G112；原始记录!A959:M959</v>
      </c>
      <c r="T1156" s="2234" t="str">
        <v>2026 年仅为 1—8 月均值，并非全年均值</v>
      </c>
    </row>
  </sheetData>
  <conditionalFormatting sqref="K8:K8">
    <cfRule type="expression" dxfId="20" priority="1">
      <formula>K8&lt;&gt;"可用"</formula>
    </cfRule>
  </conditionalFormatting>
  <dataValidations count="2">
    <dataValidation type="whole" operator="between" sqref="K1" showErrorMessage="1" errorStyle="stop" errorTitle="请选择有效的年份和币种" error="年份为1920—2026；币种须从当前年份下拉列表选择。" showDropDown="0">
      <formula1>1920</formula1>
      <formula2>2026</formula2>
    </dataValidation>
    <dataValidation type="list" sqref="K2" showErrorMessage="1" errorStyle="stop" errorTitle="请选择有效的年份和币种" error="年份为1920—2026；币种须从当前年份下拉列表选择。" showDropDown="0">
      <formula1>INDIRECT("FX_Y"&amp;$K$1)</formula1>
    </dataValidation>
  </dataValidations>
  <mergeCells count="1">
    <mergeCell ref="A1:H1"/>
  </mergeCells>
  <phoneticPr fontId="165"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D1:BJ392"/>
  <sheetViews>
    <sheetView showGridLines="0" topLeftCell="E1" workbookViewId="0">
      <selection activeCell="Q8" sqref="Q8:Z11"/>
    </sheetView>
  </sheetViews>
  <sheetFormatPr defaultColWidth="9" defaultRowHeight="15.6"/>
  <cols>
    <col min="1" max="1" width="5.6640625" style="1" customWidth="1"/>
    <col min="2" max="14" width="9" style="1" customWidth="1"/>
    <col min="15" max="15" width="2.77734375" style="1" customWidth="1"/>
    <col min="16" max="26" width="9" style="1" customWidth="1"/>
    <col min="27" max="27" width="2.77734375" style="1" customWidth="1"/>
    <col min="28" max="38" width="9" style="1" customWidth="1"/>
    <col min="39" max="39" width="2.77734375" style="1" customWidth="1"/>
    <col min="40" max="41" width="9" style="1" customWidth="1"/>
    <col min="42" max="16384" width="9" style="1"/>
  </cols>
  <sheetData>
    <row r="1" spans="4:62" ht="22.05" customHeight="1">
      <c r="D1" s="2202" t="s">
        <v>5657</v>
      </c>
      <c r="E1" s="2144"/>
      <c r="F1" s="2144"/>
      <c r="G1" s="2144"/>
      <c r="H1" s="2144"/>
      <c r="I1" s="2144"/>
      <c r="J1" s="2144"/>
      <c r="K1" s="2144"/>
      <c r="L1" s="2144"/>
      <c r="M1" s="2144"/>
      <c r="N1" s="2144"/>
      <c r="O1" s="988"/>
      <c r="P1" s="869"/>
      <c r="Q1" s="2168" t="s">
        <v>5658</v>
      </c>
      <c r="R1" s="2144"/>
      <c r="S1" s="2144"/>
      <c r="T1" s="2144"/>
      <c r="U1" s="2144"/>
      <c r="V1" s="2144"/>
      <c r="W1" s="2144"/>
      <c r="X1" s="2144"/>
      <c r="Y1" s="2144"/>
      <c r="Z1" s="2144"/>
      <c r="AA1" s="2"/>
      <c r="AB1" s="2202" t="s">
        <v>5659</v>
      </c>
      <c r="AC1" s="2144"/>
      <c r="AD1" s="2144"/>
      <c r="AE1" s="2144"/>
      <c r="AF1" s="2144"/>
      <c r="AG1" s="2144"/>
      <c r="AH1" s="2144"/>
      <c r="AI1" s="2144"/>
      <c r="AJ1" s="2144"/>
      <c r="AK1" s="2144"/>
      <c r="AL1" s="2144"/>
      <c r="AM1" s="2"/>
      <c r="AN1" s="2202" t="s">
        <v>5659</v>
      </c>
      <c r="AO1" s="2144"/>
      <c r="AP1" s="2144"/>
      <c r="AQ1" s="2144"/>
      <c r="AR1" s="2144"/>
      <c r="AS1" s="2144"/>
      <c r="AT1" s="2144"/>
      <c r="AU1" s="2144"/>
      <c r="AV1" s="2144"/>
      <c r="AW1" s="2144"/>
      <c r="AX1" s="2144"/>
      <c r="AY1" s="2"/>
      <c r="AZ1" s="2202" t="s">
        <v>5660</v>
      </c>
      <c r="BA1" s="2144"/>
      <c r="BB1" s="2144"/>
      <c r="BC1" s="2144"/>
      <c r="BD1" s="2144"/>
      <c r="BE1" s="2144"/>
      <c r="BF1" s="2144"/>
      <c r="BG1" s="2144"/>
      <c r="BH1" s="2144"/>
      <c r="BI1" s="2144"/>
      <c r="BJ1" s="2144"/>
    </row>
    <row r="2" spans="4:62" ht="22.05" customHeight="1">
      <c r="D2" s="2144"/>
      <c r="E2" s="2144"/>
      <c r="F2" s="2144"/>
      <c r="G2" s="2144"/>
      <c r="H2" s="2144"/>
      <c r="I2" s="2144"/>
      <c r="J2" s="2144"/>
      <c r="K2" s="2144"/>
      <c r="L2" s="2144"/>
      <c r="M2" s="2144"/>
      <c r="N2" s="2144"/>
      <c r="O2" s="988"/>
      <c r="P2" s="869"/>
      <c r="Q2" s="2144"/>
      <c r="R2" s="2144"/>
      <c r="S2" s="2144"/>
      <c r="T2" s="2144"/>
      <c r="U2" s="2144"/>
      <c r="V2" s="2144"/>
      <c r="W2" s="2144"/>
      <c r="X2" s="2144"/>
      <c r="Y2" s="2144"/>
      <c r="Z2" s="2144"/>
      <c r="AA2" s="2"/>
      <c r="AB2" s="2144"/>
      <c r="AC2" s="2144"/>
      <c r="AD2" s="2144"/>
      <c r="AE2" s="2144"/>
      <c r="AF2" s="2144"/>
      <c r="AG2" s="2144"/>
      <c r="AH2" s="2144"/>
      <c r="AI2" s="2144"/>
      <c r="AJ2" s="2144"/>
      <c r="AK2" s="2144"/>
      <c r="AL2" s="2144"/>
      <c r="AM2" s="2"/>
      <c r="AN2" s="2144"/>
      <c r="AO2" s="2144"/>
      <c r="AP2" s="2144"/>
      <c r="AQ2" s="2144"/>
      <c r="AR2" s="2144"/>
      <c r="AS2" s="2144"/>
      <c r="AT2" s="2144"/>
      <c r="AU2" s="2144"/>
      <c r="AV2" s="2144"/>
      <c r="AW2" s="2144"/>
      <c r="AX2" s="2144"/>
      <c r="AY2" s="2"/>
      <c r="AZ2" s="2144"/>
      <c r="BA2" s="2144"/>
      <c r="BB2" s="2144"/>
      <c r="BC2" s="2144"/>
      <c r="BD2" s="2144"/>
      <c r="BE2" s="2144"/>
      <c r="BF2" s="2144"/>
      <c r="BG2" s="2144"/>
      <c r="BH2" s="2144"/>
      <c r="BI2" s="2144"/>
      <c r="BJ2" s="2144"/>
    </row>
    <row r="3" spans="4:62" ht="22.05" customHeight="1">
      <c r="D3" s="2185" t="s">
        <v>5661</v>
      </c>
      <c r="E3" s="1407"/>
      <c r="F3" s="2174" t="s">
        <v>5662</v>
      </c>
      <c r="G3" s="1406"/>
      <c r="H3" s="1406"/>
      <c r="I3" s="1406"/>
      <c r="J3" s="1406"/>
      <c r="K3" s="1406"/>
      <c r="L3" s="1406"/>
      <c r="M3" s="1406"/>
      <c r="N3" s="1407"/>
      <c r="O3" s="988"/>
      <c r="P3" s="2157"/>
      <c r="Q3" s="2144"/>
      <c r="R3" s="2144"/>
      <c r="S3" s="2144"/>
      <c r="T3" s="2144"/>
      <c r="U3" s="2144"/>
      <c r="V3" s="2144"/>
      <c r="W3" s="2144"/>
      <c r="X3" s="2144"/>
      <c r="Y3" s="2144"/>
      <c r="Z3" s="2144"/>
      <c r="AA3" s="869"/>
      <c r="AB3" s="2149" t="s">
        <v>5663</v>
      </c>
      <c r="AC3" s="1388"/>
      <c r="AD3" s="1388"/>
      <c r="AE3" s="1388"/>
      <c r="AF3" s="1388"/>
      <c r="AG3" s="1388"/>
      <c r="AH3" s="1388"/>
      <c r="AI3" s="1388"/>
      <c r="AJ3" s="1388"/>
      <c r="AK3" s="1388"/>
      <c r="AL3" s="1389"/>
      <c r="AM3" s="2"/>
      <c r="AN3" s="2149" t="s">
        <v>5664</v>
      </c>
      <c r="AO3" s="1388"/>
      <c r="AP3" s="1388"/>
      <c r="AQ3" s="1388"/>
      <c r="AR3" s="1388"/>
      <c r="AS3" s="1388"/>
      <c r="AT3" s="1388"/>
      <c r="AU3" s="1388"/>
      <c r="AV3" s="1388"/>
      <c r="AW3" s="1388"/>
      <c r="AX3" s="1389"/>
      <c r="AY3" s="2"/>
      <c r="AZ3" s="2180" t="s">
        <v>5665</v>
      </c>
      <c r="BA3" s="1388"/>
      <c r="BB3" s="1388"/>
      <c r="BC3" s="1388"/>
      <c r="BD3" s="1388"/>
      <c r="BE3" s="1388"/>
      <c r="BF3" s="1388"/>
      <c r="BG3" s="1388"/>
      <c r="BH3" s="1388"/>
      <c r="BI3" s="1388"/>
      <c r="BJ3" s="1389"/>
    </row>
    <row r="4" spans="4:62" ht="22.05" customHeight="1">
      <c r="D4" s="1409"/>
      <c r="E4" s="1411"/>
      <c r="F4" s="1409"/>
      <c r="G4" s="1410"/>
      <c r="H4" s="1410"/>
      <c r="I4" s="1410"/>
      <c r="J4" s="1410"/>
      <c r="K4" s="1410"/>
      <c r="L4" s="1410"/>
      <c r="M4" s="1410"/>
      <c r="N4" s="1411"/>
      <c r="O4" s="988"/>
      <c r="P4" s="2160" t="s">
        <v>5666</v>
      </c>
      <c r="Q4" s="2179" t="s">
        <v>6104</v>
      </c>
      <c r="R4" s="1406"/>
      <c r="S4" s="1406"/>
      <c r="T4" s="1406"/>
      <c r="U4" s="1406"/>
      <c r="V4" s="1406"/>
      <c r="W4" s="1406"/>
      <c r="X4" s="1406"/>
      <c r="Y4" s="1406"/>
      <c r="Z4" s="1407"/>
      <c r="AA4" s="869"/>
      <c r="AB4" s="2145" t="s">
        <v>5667</v>
      </c>
      <c r="AC4" s="2171" t="s">
        <v>5668</v>
      </c>
      <c r="AD4" s="1406"/>
      <c r="AE4" s="1406"/>
      <c r="AF4" s="1406"/>
      <c r="AG4" s="1406"/>
      <c r="AH4" s="1406"/>
      <c r="AI4" s="1406"/>
      <c r="AJ4" s="1406"/>
      <c r="AK4" s="1406"/>
      <c r="AL4" s="1407"/>
      <c r="AM4" s="2"/>
      <c r="AN4" s="2145" t="s">
        <v>5669</v>
      </c>
      <c r="AO4" s="2203" t="s">
        <v>5670</v>
      </c>
      <c r="AP4" s="1388"/>
      <c r="AQ4" s="1388"/>
      <c r="AR4" s="1388"/>
      <c r="AS4" s="1388"/>
      <c r="AT4" s="1388"/>
      <c r="AU4" s="1388"/>
      <c r="AV4" s="1388"/>
      <c r="AW4" s="1388"/>
      <c r="AX4" s="1389"/>
      <c r="AY4" s="2"/>
      <c r="AZ4" s="2148" t="s">
        <v>5671</v>
      </c>
      <c r="BA4" s="2208" t="s">
        <v>5672</v>
      </c>
      <c r="BB4" s="1406"/>
      <c r="BC4" s="1406"/>
      <c r="BD4" s="1406"/>
      <c r="BE4" s="1406"/>
      <c r="BF4" s="1406"/>
      <c r="BG4" s="1406"/>
      <c r="BH4" s="1406"/>
      <c r="BI4" s="1406"/>
      <c r="BJ4" s="1407"/>
    </row>
    <row r="5" spans="4:62" ht="22.05" customHeight="1">
      <c r="D5" s="2150" t="s">
        <v>5673</v>
      </c>
      <c r="E5" s="1407"/>
      <c r="F5" s="2174" t="s">
        <v>5674</v>
      </c>
      <c r="G5" s="1406"/>
      <c r="H5" s="1406"/>
      <c r="I5" s="1406"/>
      <c r="J5" s="1406"/>
      <c r="K5" s="1406"/>
      <c r="L5" s="1406"/>
      <c r="M5" s="1406"/>
      <c r="N5" s="1407"/>
      <c r="O5" s="988"/>
      <c r="P5" s="1714"/>
      <c r="Q5" s="1408"/>
      <c r="R5" s="2144"/>
      <c r="S5" s="2144"/>
      <c r="T5" s="2144"/>
      <c r="U5" s="2144"/>
      <c r="V5" s="2144"/>
      <c r="W5" s="2144"/>
      <c r="X5" s="2144"/>
      <c r="Y5" s="2144"/>
      <c r="Z5" s="1378"/>
      <c r="AA5" s="869"/>
      <c r="AB5" s="1714"/>
      <c r="AC5" s="1408"/>
      <c r="AD5" s="2144"/>
      <c r="AE5" s="2144"/>
      <c r="AF5" s="2144"/>
      <c r="AG5" s="2144"/>
      <c r="AH5" s="2144"/>
      <c r="AI5" s="2144"/>
      <c r="AJ5" s="2144"/>
      <c r="AK5" s="2144"/>
      <c r="AL5" s="1378"/>
      <c r="AM5" s="2"/>
      <c r="AN5" s="1714"/>
      <c r="AO5" s="2166" t="s">
        <v>5675</v>
      </c>
      <c r="AP5" s="1406"/>
      <c r="AQ5" s="1406"/>
      <c r="AR5" s="1406"/>
      <c r="AS5" s="1406"/>
      <c r="AT5" s="1406"/>
      <c r="AU5" s="1406"/>
      <c r="AV5" s="1406"/>
      <c r="AW5" s="1406"/>
      <c r="AX5" s="1407"/>
      <c r="AY5" s="2"/>
      <c r="AZ5" s="1714"/>
      <c r="BA5" s="1408"/>
      <c r="BB5" s="2144"/>
      <c r="BC5" s="2144"/>
      <c r="BD5" s="2144"/>
      <c r="BE5" s="2144"/>
      <c r="BF5" s="2144"/>
      <c r="BG5" s="2144"/>
      <c r="BH5" s="2144"/>
      <c r="BI5" s="2144"/>
      <c r="BJ5" s="1378"/>
    </row>
    <row r="6" spans="4:62" ht="22.05" customHeight="1">
      <c r="D6" s="1409"/>
      <c r="E6" s="1411"/>
      <c r="F6" s="1409"/>
      <c r="G6" s="1410"/>
      <c r="H6" s="1410"/>
      <c r="I6" s="1410"/>
      <c r="J6" s="1410"/>
      <c r="K6" s="1410"/>
      <c r="L6" s="1410"/>
      <c r="M6" s="1410"/>
      <c r="N6" s="1411"/>
      <c r="O6" s="988"/>
      <c r="P6" s="1714"/>
      <c r="Q6" s="1408"/>
      <c r="R6" s="2144"/>
      <c r="S6" s="2144"/>
      <c r="T6" s="2144"/>
      <c r="U6" s="2144"/>
      <c r="V6" s="2144"/>
      <c r="W6" s="2144"/>
      <c r="X6" s="2144"/>
      <c r="Y6" s="2144"/>
      <c r="Z6" s="1378"/>
      <c r="AA6" s="869"/>
      <c r="AB6" s="1714"/>
      <c r="AC6" s="1408"/>
      <c r="AD6" s="2144"/>
      <c r="AE6" s="2144"/>
      <c r="AF6" s="2144"/>
      <c r="AG6" s="2144"/>
      <c r="AH6" s="2144"/>
      <c r="AI6" s="2144"/>
      <c r="AJ6" s="2144"/>
      <c r="AK6" s="2144"/>
      <c r="AL6" s="1378"/>
      <c r="AM6" s="2"/>
      <c r="AN6" s="1714"/>
      <c r="AO6" s="1410"/>
      <c r="AP6" s="1410"/>
      <c r="AQ6" s="1410"/>
      <c r="AR6" s="1410"/>
      <c r="AS6" s="1410"/>
      <c r="AT6" s="1410"/>
      <c r="AU6" s="1410"/>
      <c r="AV6" s="1410"/>
      <c r="AW6" s="1410"/>
      <c r="AX6" s="1411"/>
      <c r="AY6" s="2"/>
      <c r="AZ6" s="1714"/>
      <c r="BA6" s="1408"/>
      <c r="BB6" s="2144"/>
      <c r="BC6" s="2144"/>
      <c r="BD6" s="2144"/>
      <c r="BE6" s="2144"/>
      <c r="BF6" s="2144"/>
      <c r="BG6" s="2144"/>
      <c r="BH6" s="2144"/>
      <c r="BI6" s="2144"/>
      <c r="BJ6" s="1378"/>
    </row>
    <row r="7" spans="4:62" ht="22.05" customHeight="1">
      <c r="D7" s="2150" t="s">
        <v>5676</v>
      </c>
      <c r="E7" s="1407"/>
      <c r="F7" s="2214" t="s">
        <v>5677</v>
      </c>
      <c r="G7" s="1406"/>
      <c r="H7" s="1406"/>
      <c r="I7" s="1406"/>
      <c r="J7" s="1406"/>
      <c r="K7" s="1406"/>
      <c r="L7" s="1406"/>
      <c r="M7" s="1406"/>
      <c r="N7" s="1407"/>
      <c r="O7" s="988"/>
      <c r="P7" s="1715"/>
      <c r="Q7" s="1409"/>
      <c r="R7" s="1410"/>
      <c r="S7" s="1410"/>
      <c r="T7" s="1410"/>
      <c r="U7" s="1410"/>
      <c r="V7" s="1410"/>
      <c r="W7" s="1410"/>
      <c r="X7" s="1410"/>
      <c r="Y7" s="1410"/>
      <c r="Z7" s="1411"/>
      <c r="AA7" s="869"/>
      <c r="AB7" s="1715"/>
      <c r="AC7" s="1409"/>
      <c r="AD7" s="1410"/>
      <c r="AE7" s="1410"/>
      <c r="AF7" s="1410"/>
      <c r="AG7" s="1410"/>
      <c r="AH7" s="1410"/>
      <c r="AI7" s="1410"/>
      <c r="AJ7" s="1410"/>
      <c r="AK7" s="1410"/>
      <c r="AL7" s="1411"/>
      <c r="AM7" s="2"/>
      <c r="AN7" s="1714"/>
      <c r="AO7" s="2166" t="s">
        <v>5678</v>
      </c>
      <c r="AP7" s="1406"/>
      <c r="AQ7" s="1406"/>
      <c r="AR7" s="1406"/>
      <c r="AS7" s="1406"/>
      <c r="AT7" s="1406"/>
      <c r="AU7" s="1406"/>
      <c r="AV7" s="1406"/>
      <c r="AW7" s="1406"/>
      <c r="AX7" s="1407"/>
      <c r="AY7" s="2"/>
      <c r="AZ7" s="1714"/>
      <c r="BA7" s="1408"/>
      <c r="BB7" s="2144"/>
      <c r="BC7" s="2144"/>
      <c r="BD7" s="2144"/>
      <c r="BE7" s="2144"/>
      <c r="BF7" s="2144"/>
      <c r="BG7" s="2144"/>
      <c r="BH7" s="2144"/>
      <c r="BI7" s="2144"/>
      <c r="BJ7" s="1378"/>
    </row>
    <row r="8" spans="4:62" ht="22.05" customHeight="1">
      <c r="D8" s="1409"/>
      <c r="E8" s="1411"/>
      <c r="F8" s="1409"/>
      <c r="G8" s="1410"/>
      <c r="H8" s="1410"/>
      <c r="I8" s="1410"/>
      <c r="J8" s="1410"/>
      <c r="K8" s="1410"/>
      <c r="L8" s="1410"/>
      <c r="M8" s="1410"/>
      <c r="N8" s="1411"/>
      <c r="O8" s="988"/>
      <c r="P8" s="2160" t="s">
        <v>5691</v>
      </c>
      <c r="Q8" s="2179" t="s">
        <v>6105</v>
      </c>
      <c r="R8" s="1406"/>
      <c r="S8" s="1406"/>
      <c r="T8" s="1406"/>
      <c r="U8" s="1406"/>
      <c r="V8" s="1406"/>
      <c r="W8" s="1406"/>
      <c r="X8" s="1406"/>
      <c r="Y8" s="1406"/>
      <c r="Z8" s="1407"/>
      <c r="AA8" s="869"/>
      <c r="AB8" s="2145" t="s">
        <v>108</v>
      </c>
      <c r="AC8" s="2171" t="s">
        <v>5680</v>
      </c>
      <c r="AD8" s="1406"/>
      <c r="AE8" s="1406"/>
      <c r="AF8" s="1406"/>
      <c r="AG8" s="1406"/>
      <c r="AH8" s="1406"/>
      <c r="AI8" s="1406"/>
      <c r="AJ8" s="1406"/>
      <c r="AK8" s="1406"/>
      <c r="AL8" s="1407"/>
      <c r="AM8" s="2"/>
      <c r="AN8" s="1714"/>
      <c r="AO8" s="2144"/>
      <c r="AP8" s="2144"/>
      <c r="AQ8" s="2144"/>
      <c r="AR8" s="2144"/>
      <c r="AS8" s="2144"/>
      <c r="AT8" s="2144"/>
      <c r="AU8" s="2144"/>
      <c r="AV8" s="2144"/>
      <c r="AW8" s="2144"/>
      <c r="AX8" s="1378"/>
      <c r="AY8" s="2"/>
      <c r="AZ8" s="1714"/>
      <c r="BA8" s="1408"/>
      <c r="BB8" s="2144"/>
      <c r="BC8" s="2144"/>
      <c r="BD8" s="2144"/>
      <c r="BE8" s="2144"/>
      <c r="BF8" s="2144"/>
      <c r="BG8" s="2144"/>
      <c r="BH8" s="2144"/>
      <c r="BI8" s="2144"/>
      <c r="BJ8" s="1378"/>
    </row>
    <row r="9" spans="4:62" ht="22.05" customHeight="1">
      <c r="D9" s="2150" t="s">
        <v>5681</v>
      </c>
      <c r="E9" s="1407"/>
      <c r="F9" s="2174" t="s">
        <v>5682</v>
      </c>
      <c r="G9" s="1406"/>
      <c r="H9" s="1406"/>
      <c r="I9" s="1406"/>
      <c r="J9" s="1406"/>
      <c r="K9" s="1406"/>
      <c r="L9" s="1406"/>
      <c r="M9" s="1406"/>
      <c r="N9" s="1407"/>
      <c r="O9" s="988"/>
      <c r="P9" s="1714"/>
      <c r="Q9" s="1408"/>
      <c r="R9" s="2144"/>
      <c r="S9" s="2144"/>
      <c r="T9" s="2144"/>
      <c r="U9" s="2144"/>
      <c r="V9" s="2144"/>
      <c r="W9" s="2144"/>
      <c r="X9" s="2144"/>
      <c r="Y9" s="2144"/>
      <c r="Z9" s="1378"/>
      <c r="AA9" s="869"/>
      <c r="AB9" s="1714"/>
      <c r="AC9" s="1408"/>
      <c r="AD9" s="2144"/>
      <c r="AE9" s="2144"/>
      <c r="AF9" s="2144"/>
      <c r="AG9" s="2144"/>
      <c r="AH9" s="2144"/>
      <c r="AI9" s="2144"/>
      <c r="AJ9" s="2144"/>
      <c r="AK9" s="2144"/>
      <c r="AL9" s="1378"/>
      <c r="AM9" s="2"/>
      <c r="AN9" s="1714"/>
      <c r="AO9" s="2144"/>
      <c r="AP9" s="2144"/>
      <c r="AQ9" s="2144"/>
      <c r="AR9" s="2144"/>
      <c r="AS9" s="2144"/>
      <c r="AT9" s="2144"/>
      <c r="AU9" s="2144"/>
      <c r="AV9" s="2144"/>
      <c r="AW9" s="2144"/>
      <c r="AX9" s="1378"/>
      <c r="AY9" s="2"/>
      <c r="AZ9" s="1714"/>
      <c r="BA9" s="1408"/>
      <c r="BB9" s="2144"/>
      <c r="BC9" s="2144"/>
      <c r="BD9" s="2144"/>
      <c r="BE9" s="2144"/>
      <c r="BF9" s="2144"/>
      <c r="BG9" s="2144"/>
      <c r="BH9" s="2144"/>
      <c r="BI9" s="2144"/>
      <c r="BJ9" s="1378"/>
    </row>
    <row r="10" spans="4:62" ht="22.05" customHeight="1">
      <c r="D10" s="1409"/>
      <c r="E10" s="1411"/>
      <c r="F10" s="1409"/>
      <c r="G10" s="1410"/>
      <c r="H10" s="1410"/>
      <c r="I10" s="1410"/>
      <c r="J10" s="1410"/>
      <c r="K10" s="1410"/>
      <c r="L10" s="1410"/>
      <c r="M10" s="1410"/>
      <c r="N10" s="1411"/>
      <c r="O10" s="988"/>
      <c r="P10" s="1714"/>
      <c r="Q10" s="1408"/>
      <c r="R10" s="2144"/>
      <c r="S10" s="2144"/>
      <c r="T10" s="2144"/>
      <c r="U10" s="2144"/>
      <c r="V10" s="2144"/>
      <c r="W10" s="2144"/>
      <c r="X10" s="2144"/>
      <c r="Y10" s="2144"/>
      <c r="Z10" s="1378"/>
      <c r="AA10" s="869"/>
      <c r="AB10" s="1714"/>
      <c r="AC10" s="1408"/>
      <c r="AD10" s="2144"/>
      <c r="AE10" s="2144"/>
      <c r="AF10" s="2144"/>
      <c r="AG10" s="2144"/>
      <c r="AH10" s="2144"/>
      <c r="AI10" s="2144"/>
      <c r="AJ10" s="2144"/>
      <c r="AK10" s="2144"/>
      <c r="AL10" s="1378"/>
      <c r="AM10" s="2"/>
      <c r="AN10" s="1715"/>
      <c r="AO10" s="1410"/>
      <c r="AP10" s="1410"/>
      <c r="AQ10" s="1410"/>
      <c r="AR10" s="1410"/>
      <c r="AS10" s="1410"/>
      <c r="AT10" s="1410"/>
      <c r="AU10" s="1410"/>
      <c r="AV10" s="1410"/>
      <c r="AW10" s="1410"/>
      <c r="AX10" s="1411"/>
      <c r="AY10" s="2"/>
      <c r="AZ10" s="1714"/>
      <c r="BA10" s="1408"/>
      <c r="BB10" s="2144"/>
      <c r="BC10" s="2144"/>
      <c r="BD10" s="2144"/>
      <c r="BE10" s="2144"/>
      <c r="BF10" s="2144"/>
      <c r="BG10" s="2144"/>
      <c r="BH10" s="2144"/>
      <c r="BI10" s="2144"/>
      <c r="BJ10" s="1378"/>
    </row>
    <row r="11" spans="4:62" ht="22.05" customHeight="1">
      <c r="D11" s="2150" t="s">
        <v>5684</v>
      </c>
      <c r="E11" s="1407"/>
      <c r="F11" s="2174" t="s">
        <v>5685</v>
      </c>
      <c r="G11" s="1406"/>
      <c r="H11" s="1406"/>
      <c r="I11" s="1406"/>
      <c r="J11" s="1406"/>
      <c r="K11" s="1406"/>
      <c r="L11" s="1406"/>
      <c r="M11" s="1406"/>
      <c r="N11" s="1407"/>
      <c r="O11" s="988"/>
      <c r="P11" s="1715"/>
      <c r="Q11" s="1409"/>
      <c r="R11" s="1410"/>
      <c r="S11" s="1410"/>
      <c r="T11" s="1410"/>
      <c r="U11" s="1410"/>
      <c r="V11" s="1410"/>
      <c r="W11" s="1410"/>
      <c r="X11" s="1410"/>
      <c r="Y11" s="1410"/>
      <c r="Z11" s="1411"/>
      <c r="AA11" s="869"/>
      <c r="AB11" s="1715"/>
      <c r="AC11" s="1409"/>
      <c r="AD11" s="1410"/>
      <c r="AE11" s="1410"/>
      <c r="AF11" s="1410"/>
      <c r="AG11" s="1410"/>
      <c r="AH11" s="1410"/>
      <c r="AI11" s="1410"/>
      <c r="AJ11" s="1410"/>
      <c r="AK11" s="1410"/>
      <c r="AL11" s="1411"/>
      <c r="AM11" s="2"/>
      <c r="AN11" s="2175" t="s">
        <v>5686</v>
      </c>
      <c r="AO11" s="2147" t="s">
        <v>5687</v>
      </c>
      <c r="AP11" s="1406"/>
      <c r="AQ11" s="1406"/>
      <c r="AR11" s="1406"/>
      <c r="AS11" s="1406"/>
      <c r="AT11" s="1406"/>
      <c r="AU11" s="1406"/>
      <c r="AV11" s="1406"/>
      <c r="AW11" s="1406"/>
      <c r="AX11" s="1407"/>
      <c r="AY11" s="2"/>
      <c r="AZ11" s="1714"/>
      <c r="BA11" s="1408"/>
      <c r="BB11" s="2144"/>
      <c r="BC11" s="2144"/>
      <c r="BD11" s="2144"/>
      <c r="BE11" s="2144"/>
      <c r="BF11" s="2144"/>
      <c r="BG11" s="2144"/>
      <c r="BH11" s="2144"/>
      <c r="BI11" s="2144"/>
      <c r="BJ11" s="1378"/>
    </row>
    <row r="12" spans="4:62" ht="22.05" customHeight="1">
      <c r="D12" s="1409"/>
      <c r="E12" s="1411"/>
      <c r="F12" s="1409"/>
      <c r="G12" s="1410"/>
      <c r="H12" s="1410"/>
      <c r="I12" s="1410"/>
      <c r="J12" s="1410"/>
      <c r="K12" s="1410"/>
      <c r="L12" s="1410"/>
      <c r="M12" s="1410"/>
      <c r="N12" s="1411"/>
      <c r="O12" s="988"/>
      <c r="P12" s="2189" t="s">
        <v>5679</v>
      </c>
      <c r="Q12" s="2190"/>
      <c r="R12" s="2190"/>
      <c r="S12" s="2190"/>
      <c r="T12" s="2190"/>
      <c r="U12" s="2190"/>
      <c r="V12" s="2190"/>
      <c r="W12" s="2190"/>
      <c r="X12" s="2190"/>
      <c r="Y12" s="2190"/>
      <c r="Z12" s="2191"/>
      <c r="AA12" s="869"/>
      <c r="AB12" s="2149" t="s">
        <v>5688</v>
      </c>
      <c r="AC12" s="1388"/>
      <c r="AD12" s="1388"/>
      <c r="AE12" s="1388"/>
      <c r="AF12" s="1388"/>
      <c r="AG12" s="1388"/>
      <c r="AH12" s="1388"/>
      <c r="AI12" s="1388"/>
      <c r="AJ12" s="1388"/>
      <c r="AK12" s="1388"/>
      <c r="AL12" s="1389"/>
      <c r="AM12" s="2"/>
      <c r="AN12" s="1714"/>
      <c r="AO12" s="1408"/>
      <c r="AP12" s="2144"/>
      <c r="AQ12" s="2144"/>
      <c r="AR12" s="2144"/>
      <c r="AS12" s="2144"/>
      <c r="AT12" s="2144"/>
      <c r="AU12" s="2144"/>
      <c r="AV12" s="2144"/>
      <c r="AW12" s="2144"/>
      <c r="AX12" s="1378"/>
      <c r="AY12" s="2"/>
      <c r="AZ12" s="1714"/>
      <c r="BA12" s="1408"/>
      <c r="BB12" s="2144"/>
      <c r="BC12" s="2144"/>
      <c r="BD12" s="2144"/>
      <c r="BE12" s="2144"/>
      <c r="BF12" s="2144"/>
      <c r="BG12" s="2144"/>
      <c r="BH12" s="2144"/>
      <c r="BI12" s="2144"/>
      <c r="BJ12" s="1378"/>
    </row>
    <row r="13" spans="4:62" ht="22.05" customHeight="1">
      <c r="D13" s="2185" t="s">
        <v>5689</v>
      </c>
      <c r="E13" s="1407"/>
      <c r="F13" s="2174" t="s">
        <v>5690</v>
      </c>
      <c r="G13" s="1406"/>
      <c r="H13" s="1406"/>
      <c r="I13" s="1406"/>
      <c r="J13" s="1406"/>
      <c r="K13" s="1406"/>
      <c r="L13" s="1406"/>
      <c r="M13" s="1406"/>
      <c r="N13" s="1407"/>
      <c r="O13" s="988"/>
      <c r="P13" s="2204" t="s">
        <v>5666</v>
      </c>
      <c r="Q13" s="2192" t="s">
        <v>5683</v>
      </c>
      <c r="R13" s="2193"/>
      <c r="S13" s="2193"/>
      <c r="T13" s="2193"/>
      <c r="U13" s="2193"/>
      <c r="V13" s="2193"/>
      <c r="W13" s="2193"/>
      <c r="X13" s="2193"/>
      <c r="Y13" s="2193"/>
      <c r="Z13" s="2194"/>
      <c r="AA13" s="869"/>
      <c r="AB13" s="2145" t="s">
        <v>5667</v>
      </c>
      <c r="AC13" s="2171" t="s">
        <v>5693</v>
      </c>
      <c r="AD13" s="1406"/>
      <c r="AE13" s="1406"/>
      <c r="AF13" s="1406"/>
      <c r="AG13" s="1406"/>
      <c r="AH13" s="1406"/>
      <c r="AI13" s="1406"/>
      <c r="AJ13" s="1406"/>
      <c r="AK13" s="1406"/>
      <c r="AL13" s="1407"/>
      <c r="AM13" s="2"/>
      <c r="AN13" s="1715"/>
      <c r="AO13" s="1409"/>
      <c r="AP13" s="1410"/>
      <c r="AQ13" s="1410"/>
      <c r="AR13" s="1410"/>
      <c r="AS13" s="1410"/>
      <c r="AT13" s="1410"/>
      <c r="AU13" s="1410"/>
      <c r="AV13" s="1410"/>
      <c r="AW13" s="1410"/>
      <c r="AX13" s="1411"/>
      <c r="AY13" s="2"/>
      <c r="AZ13" s="1714"/>
      <c r="BA13" s="1408"/>
      <c r="BB13" s="2144"/>
      <c r="BC13" s="2144"/>
      <c r="BD13" s="2144"/>
      <c r="BE13" s="2144"/>
      <c r="BF13" s="2144"/>
      <c r="BG13" s="2144"/>
      <c r="BH13" s="2144"/>
      <c r="BI13" s="2144"/>
      <c r="BJ13" s="1378"/>
    </row>
    <row r="14" spans="4:62" ht="22.05" customHeight="1">
      <c r="D14" s="1409"/>
      <c r="E14" s="1411"/>
      <c r="F14" s="1409"/>
      <c r="G14" s="1410"/>
      <c r="H14" s="1410"/>
      <c r="I14" s="1410"/>
      <c r="J14" s="1410"/>
      <c r="K14" s="1410"/>
      <c r="L14" s="1410"/>
      <c r="M14" s="1410"/>
      <c r="N14" s="1411"/>
      <c r="O14" s="988"/>
      <c r="P14" s="2205"/>
      <c r="Q14" s="2195"/>
      <c r="R14" s="2196"/>
      <c r="S14" s="2196"/>
      <c r="T14" s="2196"/>
      <c r="U14" s="2196"/>
      <c r="V14" s="2196"/>
      <c r="W14" s="2196"/>
      <c r="X14" s="2196"/>
      <c r="Y14" s="2196"/>
      <c r="Z14" s="2197"/>
      <c r="AA14" s="869"/>
      <c r="AB14" s="1714"/>
      <c r="AC14" s="1408"/>
      <c r="AD14" s="2144"/>
      <c r="AE14" s="2144"/>
      <c r="AF14" s="2144"/>
      <c r="AG14" s="2144"/>
      <c r="AH14" s="2144"/>
      <c r="AI14" s="2144"/>
      <c r="AJ14" s="2144"/>
      <c r="AK14" s="2144"/>
      <c r="AL14" s="1378"/>
      <c r="AM14" s="2"/>
      <c r="AN14" s="4" t="s">
        <v>5694</v>
      </c>
      <c r="AO14" s="2146" t="s">
        <v>5695</v>
      </c>
      <c r="AP14" s="1388"/>
      <c r="AQ14" s="1388"/>
      <c r="AR14" s="1388"/>
      <c r="AS14" s="1388"/>
      <c r="AT14" s="1388"/>
      <c r="AU14" s="1388"/>
      <c r="AV14" s="1388"/>
      <c r="AW14" s="1388"/>
      <c r="AX14" s="1389"/>
      <c r="AY14" s="2"/>
      <c r="AZ14" s="1714"/>
      <c r="BA14" s="1408"/>
      <c r="BB14" s="2144"/>
      <c r="BC14" s="2144"/>
      <c r="BD14" s="2144"/>
      <c r="BE14" s="2144"/>
      <c r="BF14" s="2144"/>
      <c r="BG14" s="2144"/>
      <c r="BH14" s="2144"/>
      <c r="BI14" s="2144"/>
      <c r="BJ14" s="1378"/>
    </row>
    <row r="15" spans="4:62" ht="22.05" customHeight="1">
      <c r="O15" s="988"/>
      <c r="P15" s="2205"/>
      <c r="Q15" s="2195"/>
      <c r="R15" s="2196"/>
      <c r="S15" s="2196"/>
      <c r="T15" s="2196"/>
      <c r="U15" s="2196"/>
      <c r="V15" s="2196"/>
      <c r="W15" s="2196"/>
      <c r="X15" s="2196"/>
      <c r="Y15" s="2196"/>
      <c r="Z15" s="2197"/>
      <c r="AA15" s="869"/>
      <c r="AB15" s="1714"/>
      <c r="AC15" s="1408"/>
      <c r="AD15" s="2144"/>
      <c r="AE15" s="2144"/>
      <c r="AF15" s="2144"/>
      <c r="AG15" s="2144"/>
      <c r="AH15" s="2144"/>
      <c r="AI15" s="2144"/>
      <c r="AJ15" s="2144"/>
      <c r="AK15" s="2144"/>
      <c r="AL15" s="1378"/>
      <c r="AM15" s="2"/>
      <c r="AN15" s="4" t="s">
        <v>5696</v>
      </c>
      <c r="AO15" s="2146" t="s">
        <v>5697</v>
      </c>
      <c r="AP15" s="1388"/>
      <c r="AQ15" s="1388"/>
      <c r="AR15" s="1388"/>
      <c r="AS15" s="1388"/>
      <c r="AT15" s="1388"/>
      <c r="AU15" s="1388"/>
      <c r="AV15" s="1388"/>
      <c r="AW15" s="1388"/>
      <c r="AX15" s="1389"/>
      <c r="AY15" s="2"/>
      <c r="AZ15" s="1715"/>
      <c r="BA15" s="1409"/>
      <c r="BB15" s="1410"/>
      <c r="BC15" s="1410"/>
      <c r="BD15" s="1410"/>
      <c r="BE15" s="1410"/>
      <c r="BF15" s="1410"/>
      <c r="BG15" s="1410"/>
      <c r="BH15" s="1410"/>
      <c r="BI15" s="1410"/>
      <c r="BJ15" s="1411"/>
    </row>
    <row r="16" spans="4:62" ht="22.05" customHeight="1">
      <c r="D16" s="2181" t="s">
        <v>5698</v>
      </c>
      <c r="E16" s="2144"/>
      <c r="F16" s="2144"/>
      <c r="G16" s="2144"/>
      <c r="H16" s="2144"/>
      <c r="I16" s="2144"/>
      <c r="J16" s="2144"/>
      <c r="K16" s="2144"/>
      <c r="L16" s="2144"/>
      <c r="M16" s="2144"/>
      <c r="N16" s="2144"/>
      <c r="O16" s="988"/>
      <c r="P16" s="2206"/>
      <c r="Q16" s="2198"/>
      <c r="R16" s="2199"/>
      <c r="S16" s="2199"/>
      <c r="T16" s="2199"/>
      <c r="U16" s="2199"/>
      <c r="V16" s="2199"/>
      <c r="W16" s="2199"/>
      <c r="X16" s="2199"/>
      <c r="Y16" s="2199"/>
      <c r="Z16" s="2200"/>
      <c r="AA16" s="869"/>
      <c r="AB16" s="1715"/>
      <c r="AC16" s="1409"/>
      <c r="AD16" s="1410"/>
      <c r="AE16" s="1410"/>
      <c r="AF16" s="1410"/>
      <c r="AG16" s="1410"/>
      <c r="AH16" s="1410"/>
      <c r="AI16" s="1410"/>
      <c r="AJ16" s="1410"/>
      <c r="AK16" s="1410"/>
      <c r="AL16" s="1411"/>
      <c r="AM16" s="2"/>
      <c r="AN16" s="4" t="s">
        <v>5699</v>
      </c>
      <c r="AO16" s="2147" t="s">
        <v>5700</v>
      </c>
      <c r="AP16" s="1388"/>
      <c r="AQ16" s="1388"/>
      <c r="AR16" s="1388"/>
      <c r="AS16" s="1388"/>
      <c r="AT16" s="1388"/>
      <c r="AU16" s="1388"/>
      <c r="AV16" s="1388"/>
      <c r="AW16" s="1388"/>
      <c r="AX16" s="1389"/>
      <c r="AY16" s="2"/>
      <c r="AZ16" s="2149" t="s">
        <v>5701</v>
      </c>
      <c r="BA16" s="1388"/>
      <c r="BB16" s="1388"/>
      <c r="BC16" s="1388"/>
      <c r="BD16" s="1388"/>
      <c r="BE16" s="1388"/>
      <c r="BF16" s="1388"/>
      <c r="BG16" s="1388"/>
      <c r="BH16" s="1388"/>
      <c r="BI16" s="1388"/>
      <c r="BJ16" s="1389"/>
    </row>
    <row r="17" spans="4:62" ht="22.05" customHeight="1">
      <c r="D17" s="2152" t="s">
        <v>5702</v>
      </c>
      <c r="E17" s="2144"/>
      <c r="F17" s="2144"/>
      <c r="G17" s="2144"/>
      <c r="H17" s="2144"/>
      <c r="I17" s="2144"/>
      <c r="J17" s="2144"/>
      <c r="K17" s="2144"/>
      <c r="L17" s="2144"/>
      <c r="M17" s="2144"/>
      <c r="N17" s="2144"/>
      <c r="O17" s="988"/>
      <c r="P17" s="2160" t="s">
        <v>5691</v>
      </c>
      <c r="Q17" s="2179" t="s">
        <v>5692</v>
      </c>
      <c r="R17" s="1406"/>
      <c r="S17" s="1406"/>
      <c r="T17" s="1406"/>
      <c r="U17" s="1406"/>
      <c r="V17" s="1406"/>
      <c r="W17" s="1406"/>
      <c r="X17" s="1406"/>
      <c r="Y17" s="1406"/>
      <c r="Z17" s="1407"/>
      <c r="AA17" s="869"/>
      <c r="AB17" s="2145" t="s">
        <v>108</v>
      </c>
      <c r="AC17" s="2171" t="s">
        <v>5703</v>
      </c>
      <c r="AD17" s="1406"/>
      <c r="AE17" s="1406"/>
      <c r="AF17" s="1406"/>
      <c r="AG17" s="1406"/>
      <c r="AH17" s="1406"/>
      <c r="AI17" s="1406"/>
      <c r="AJ17" s="1406"/>
      <c r="AK17" s="1406"/>
      <c r="AL17" s="1407"/>
      <c r="AM17" s="2"/>
      <c r="AN17" s="2149" t="s">
        <v>5704</v>
      </c>
      <c r="AO17" s="1388"/>
      <c r="AP17" s="1388"/>
      <c r="AQ17" s="1388"/>
      <c r="AR17" s="1388"/>
      <c r="AS17" s="1388"/>
      <c r="AT17" s="1388"/>
      <c r="AU17" s="1388"/>
      <c r="AV17" s="1388"/>
      <c r="AW17" s="1388"/>
      <c r="AX17" s="1389"/>
      <c r="AY17" s="2"/>
      <c r="AZ17" s="2148"/>
      <c r="BA17" s="2147"/>
      <c r="BB17" s="1406"/>
      <c r="BC17" s="1406"/>
      <c r="BD17" s="1406"/>
      <c r="BE17" s="1406"/>
      <c r="BF17" s="1406"/>
      <c r="BG17" s="1406"/>
      <c r="BH17" s="1406"/>
      <c r="BI17" s="1406"/>
      <c r="BJ17" s="1407"/>
    </row>
    <row r="18" spans="4:62" ht="22.05" customHeight="1">
      <c r="D18" s="2144"/>
      <c r="E18" s="2144"/>
      <c r="F18" s="2144"/>
      <c r="G18" s="2144"/>
      <c r="H18" s="2144"/>
      <c r="I18" s="2144"/>
      <c r="J18" s="2144"/>
      <c r="K18" s="2144"/>
      <c r="L18" s="2144"/>
      <c r="M18" s="2144"/>
      <c r="N18" s="2144"/>
      <c r="O18" s="988"/>
      <c r="P18" s="1714"/>
      <c r="Q18" s="1408"/>
      <c r="R18" s="2144"/>
      <c r="S18" s="2144"/>
      <c r="T18" s="2144"/>
      <c r="U18" s="2144"/>
      <c r="V18" s="2144"/>
      <c r="W18" s="2144"/>
      <c r="X18" s="2144"/>
      <c r="Y18" s="2144"/>
      <c r="Z18" s="1378"/>
      <c r="AA18" s="869"/>
      <c r="AB18" s="1714"/>
      <c r="AC18" s="1408"/>
      <c r="AD18" s="2144"/>
      <c r="AE18" s="2144"/>
      <c r="AF18" s="2144"/>
      <c r="AG18" s="2144"/>
      <c r="AH18" s="2144"/>
      <c r="AI18" s="2144"/>
      <c r="AJ18" s="2144"/>
      <c r="AK18" s="2144"/>
      <c r="AL18" s="1378"/>
      <c r="AM18" s="2"/>
      <c r="AN18" s="2145" t="s">
        <v>5669</v>
      </c>
      <c r="AO18" s="2147" t="s">
        <v>5705</v>
      </c>
      <c r="AP18" s="1388"/>
      <c r="AQ18" s="1388"/>
      <c r="AR18" s="1388"/>
      <c r="AS18" s="1388"/>
      <c r="AT18" s="1388"/>
      <c r="AU18" s="1388"/>
      <c r="AV18" s="1388"/>
      <c r="AW18" s="1388"/>
      <c r="AX18" s="1389"/>
      <c r="AY18" s="2"/>
      <c r="AZ18" s="1714"/>
      <c r="BA18" s="1408"/>
      <c r="BB18" s="2144"/>
      <c r="BC18" s="2144"/>
      <c r="BD18" s="2144"/>
      <c r="BE18" s="2144"/>
      <c r="BF18" s="2144"/>
      <c r="BG18" s="2144"/>
      <c r="BH18" s="2144"/>
      <c r="BI18" s="2144"/>
      <c r="BJ18" s="1378"/>
    </row>
    <row r="19" spans="4:62" ht="22.05" customHeight="1">
      <c r="D19" s="2152" t="s">
        <v>5706</v>
      </c>
      <c r="E19" s="2144"/>
      <c r="F19" s="2144"/>
      <c r="G19" s="2144"/>
      <c r="H19" s="2144"/>
      <c r="I19" s="2144"/>
      <c r="J19" s="2144"/>
      <c r="K19" s="2144"/>
      <c r="L19" s="2144"/>
      <c r="M19" s="2144"/>
      <c r="N19" s="2144"/>
      <c r="O19" s="988"/>
      <c r="P19" s="1714"/>
      <c r="Q19" s="1408"/>
      <c r="R19" s="2144"/>
      <c r="S19" s="2144"/>
      <c r="T19" s="2144"/>
      <c r="U19" s="2144"/>
      <c r="V19" s="2144"/>
      <c r="W19" s="2144"/>
      <c r="X19" s="2144"/>
      <c r="Y19" s="2144"/>
      <c r="Z19" s="1378"/>
      <c r="AA19" s="869"/>
      <c r="AB19" s="1714"/>
      <c r="AC19" s="1408"/>
      <c r="AD19" s="2144"/>
      <c r="AE19" s="2144"/>
      <c r="AF19" s="2144"/>
      <c r="AG19" s="2144"/>
      <c r="AH19" s="2144"/>
      <c r="AI19" s="2144"/>
      <c r="AJ19" s="2144"/>
      <c r="AK19" s="2144"/>
      <c r="AL19" s="1378"/>
      <c r="AM19" s="2"/>
      <c r="AN19" s="1714"/>
      <c r="AO19" s="2147" t="s">
        <v>5707</v>
      </c>
      <c r="AP19" s="1388"/>
      <c r="AQ19" s="1388"/>
      <c r="AR19" s="1388"/>
      <c r="AS19" s="1388"/>
      <c r="AT19" s="1388"/>
      <c r="AU19" s="1388"/>
      <c r="AV19" s="1388"/>
      <c r="AW19" s="1388"/>
      <c r="AX19" s="1389"/>
      <c r="AY19" s="2"/>
      <c r="AZ19" s="1714"/>
      <c r="BA19" s="1408"/>
      <c r="BB19" s="2144"/>
      <c r="BC19" s="2144"/>
      <c r="BD19" s="2144"/>
      <c r="BE19" s="2144"/>
      <c r="BF19" s="2144"/>
      <c r="BG19" s="2144"/>
      <c r="BH19" s="2144"/>
      <c r="BI19" s="2144"/>
      <c r="BJ19" s="1378"/>
    </row>
    <row r="20" spans="4:62" ht="22.05" customHeight="1">
      <c r="D20" s="2144"/>
      <c r="E20" s="2144"/>
      <c r="F20" s="2144"/>
      <c r="G20" s="2144"/>
      <c r="H20" s="2144"/>
      <c r="I20" s="2144"/>
      <c r="J20" s="2144"/>
      <c r="K20" s="2144"/>
      <c r="L20" s="2144"/>
      <c r="M20" s="2144"/>
      <c r="N20" s="2144"/>
      <c r="O20" s="988"/>
      <c r="P20" s="1715"/>
      <c r="Q20" s="1409"/>
      <c r="R20" s="1410"/>
      <c r="S20" s="1410"/>
      <c r="T20" s="1410"/>
      <c r="U20" s="1410"/>
      <c r="V20" s="1410"/>
      <c r="W20" s="1410"/>
      <c r="X20" s="1410"/>
      <c r="Y20" s="1410"/>
      <c r="Z20" s="1411"/>
      <c r="AA20" s="869"/>
      <c r="AB20" s="1715"/>
      <c r="AC20" s="1409"/>
      <c r="AD20" s="1410"/>
      <c r="AE20" s="1410"/>
      <c r="AF20" s="1410"/>
      <c r="AG20" s="1410"/>
      <c r="AH20" s="1410"/>
      <c r="AI20" s="1410"/>
      <c r="AJ20" s="1410"/>
      <c r="AK20" s="1410"/>
      <c r="AL20" s="1411"/>
      <c r="AM20" s="2"/>
      <c r="AN20" s="1714"/>
      <c r="AO20" s="2147" t="s">
        <v>5708</v>
      </c>
      <c r="AP20" s="1388"/>
      <c r="AQ20" s="1388"/>
      <c r="AR20" s="1388"/>
      <c r="AS20" s="1388"/>
      <c r="AT20" s="1388"/>
      <c r="AU20" s="1388"/>
      <c r="AV20" s="1388"/>
      <c r="AW20" s="1388"/>
      <c r="AX20" s="1389"/>
      <c r="AY20" s="2"/>
      <c r="AZ20" s="1714"/>
      <c r="BA20" s="1408"/>
      <c r="BB20" s="2144"/>
      <c r="BC20" s="2144"/>
      <c r="BD20" s="2144"/>
      <c r="BE20" s="2144"/>
      <c r="BF20" s="2144"/>
      <c r="BG20" s="2144"/>
      <c r="BH20" s="2144"/>
      <c r="BI20" s="2144"/>
      <c r="BJ20" s="1378"/>
    </row>
    <row r="21" spans="4:62" ht="22.05" customHeight="1">
      <c r="D21" s="2152" t="s">
        <v>5709</v>
      </c>
      <c r="E21" s="2144"/>
      <c r="F21" s="2144"/>
      <c r="G21" s="2144"/>
      <c r="H21" s="2144"/>
      <c r="I21" s="2144"/>
      <c r="J21" s="2144"/>
      <c r="K21" s="2144"/>
      <c r="L21" s="2144"/>
      <c r="M21" s="2144"/>
      <c r="N21" s="2144"/>
      <c r="O21" s="988"/>
      <c r="AA21" s="869"/>
      <c r="AB21" s="2149" t="s">
        <v>5710</v>
      </c>
      <c r="AC21" s="1388"/>
      <c r="AD21" s="1388"/>
      <c r="AE21" s="1388"/>
      <c r="AF21" s="1388"/>
      <c r="AG21" s="1388"/>
      <c r="AH21" s="1388"/>
      <c r="AI21" s="1388"/>
      <c r="AJ21" s="1388"/>
      <c r="AK21" s="1388"/>
      <c r="AL21" s="1389"/>
      <c r="AM21" s="2"/>
      <c r="AN21" s="1714"/>
      <c r="AO21" s="2147" t="s">
        <v>5711</v>
      </c>
      <c r="AP21" s="1388"/>
      <c r="AQ21" s="1388"/>
      <c r="AR21" s="1388"/>
      <c r="AS21" s="1388"/>
      <c r="AT21" s="1388"/>
      <c r="AU21" s="1388"/>
      <c r="AV21" s="1388"/>
      <c r="AW21" s="1388"/>
      <c r="AX21" s="1389"/>
      <c r="AY21" s="2"/>
      <c r="AZ21" s="1714"/>
      <c r="BA21" s="1409"/>
      <c r="BB21" s="1410"/>
      <c r="BC21" s="1410"/>
      <c r="BD21" s="1410"/>
      <c r="BE21" s="1410"/>
      <c r="BF21" s="1410"/>
      <c r="BG21" s="1410"/>
      <c r="BH21" s="1410"/>
      <c r="BI21" s="1410"/>
      <c r="BJ21" s="1411"/>
    </row>
    <row r="22" spans="4:62" ht="22.05" customHeight="1">
      <c r="D22" s="2144"/>
      <c r="E22" s="2144"/>
      <c r="F22" s="2144"/>
      <c r="G22" s="2144"/>
      <c r="H22" s="2144"/>
      <c r="I22" s="2144"/>
      <c r="J22" s="2144"/>
      <c r="K22" s="2144"/>
      <c r="L22" s="2144"/>
      <c r="M22" s="2144"/>
      <c r="N22" s="2144"/>
      <c r="O22" s="988"/>
      <c r="AA22" s="869"/>
      <c r="AB22" s="2145" t="s">
        <v>5667</v>
      </c>
      <c r="AC22" s="2171" t="s">
        <v>5712</v>
      </c>
      <c r="AD22" s="1406"/>
      <c r="AE22" s="1406"/>
      <c r="AF22" s="1406"/>
      <c r="AG22" s="1406"/>
      <c r="AH22" s="1406"/>
      <c r="AI22" s="1406"/>
      <c r="AJ22" s="1406"/>
      <c r="AK22" s="1406"/>
      <c r="AL22" s="1407"/>
      <c r="AM22" s="2"/>
      <c r="AN22" s="1715"/>
      <c r="AO22" s="2147" t="s">
        <v>5713</v>
      </c>
      <c r="AP22" s="1388"/>
      <c r="AQ22" s="1388"/>
      <c r="AR22" s="1388"/>
      <c r="AS22" s="1388"/>
      <c r="AT22" s="1388"/>
      <c r="AU22" s="1388"/>
      <c r="AV22" s="1388"/>
      <c r="AW22" s="1388"/>
      <c r="AX22" s="1389"/>
      <c r="AY22" s="2"/>
      <c r="AZ22" s="1714"/>
      <c r="BA22" s="2146" t="s">
        <v>5714</v>
      </c>
      <c r="BB22" s="1388"/>
      <c r="BC22" s="1388"/>
      <c r="BD22" s="1388"/>
      <c r="BE22" s="1388"/>
      <c r="BF22" s="1388"/>
      <c r="BG22" s="1388"/>
      <c r="BH22" s="1388"/>
      <c r="BI22" s="1388"/>
      <c r="BJ22" s="1389"/>
    </row>
    <row r="23" spans="4:62" ht="22.05" customHeight="1">
      <c r="O23" s="988"/>
      <c r="AA23" s="869"/>
      <c r="AB23" s="1714"/>
      <c r="AC23" s="1408"/>
      <c r="AD23" s="2144"/>
      <c r="AE23" s="2144"/>
      <c r="AF23" s="2144"/>
      <c r="AG23" s="2144"/>
      <c r="AH23" s="2144"/>
      <c r="AI23" s="2144"/>
      <c r="AJ23" s="2144"/>
      <c r="AK23" s="2144"/>
      <c r="AL23" s="1378"/>
      <c r="AM23" s="2"/>
      <c r="AN23" s="5" t="s">
        <v>5715</v>
      </c>
      <c r="AO23" s="2147" t="s">
        <v>5716</v>
      </c>
      <c r="AP23" s="1388"/>
      <c r="AQ23" s="1388"/>
      <c r="AR23" s="1388"/>
      <c r="AS23" s="1388"/>
      <c r="AT23" s="1388"/>
      <c r="AU23" s="1388"/>
      <c r="AV23" s="1388"/>
      <c r="AW23" s="1388"/>
      <c r="AX23" s="1389"/>
      <c r="AY23" s="2"/>
      <c r="AZ23" s="1714"/>
      <c r="BA23" s="2146" t="s">
        <v>5717</v>
      </c>
      <c r="BB23" s="1388"/>
      <c r="BC23" s="1388"/>
      <c r="BD23" s="1388"/>
      <c r="BE23" s="1388"/>
      <c r="BF23" s="1388"/>
      <c r="BG23" s="1388"/>
      <c r="BH23" s="1388"/>
      <c r="BI23" s="1388"/>
      <c r="BJ23" s="1389"/>
    </row>
    <row r="24" spans="4:62" ht="22.05" customHeight="1">
      <c r="D24" s="2181" t="s">
        <v>5718</v>
      </c>
      <c r="E24" s="2144"/>
      <c r="F24" s="2144"/>
      <c r="G24" s="2144"/>
      <c r="H24" s="2144"/>
      <c r="I24" s="2144"/>
      <c r="J24" s="2144"/>
      <c r="K24" s="2144"/>
      <c r="L24" s="2144"/>
      <c r="M24" s="2144"/>
      <c r="N24" s="2144"/>
      <c r="O24" s="988"/>
      <c r="AA24" s="869"/>
      <c r="AB24" s="1714"/>
      <c r="AC24" s="1408"/>
      <c r="AD24" s="2144"/>
      <c r="AE24" s="2144"/>
      <c r="AF24" s="2144"/>
      <c r="AG24" s="2144"/>
      <c r="AH24" s="2144"/>
      <c r="AI24" s="2144"/>
      <c r="AJ24" s="2144"/>
      <c r="AK24" s="2144"/>
      <c r="AL24" s="1378"/>
      <c r="AM24" s="2"/>
      <c r="AN24" s="3" t="s">
        <v>108</v>
      </c>
      <c r="AO24" s="2177"/>
      <c r="AP24" s="1388"/>
      <c r="AQ24" s="1388"/>
      <c r="AR24" s="1388"/>
      <c r="AS24" s="1388"/>
      <c r="AT24" s="1388"/>
      <c r="AU24" s="1388"/>
      <c r="AV24" s="1388"/>
      <c r="AW24" s="1388"/>
      <c r="AX24" s="1389"/>
      <c r="AY24" s="2"/>
      <c r="AZ24" s="1714"/>
      <c r="BA24" s="2147" t="s">
        <v>5719</v>
      </c>
      <c r="BB24" s="1406"/>
      <c r="BC24" s="1406"/>
      <c r="BD24" s="1406"/>
      <c r="BE24" s="1406"/>
      <c r="BF24" s="1406"/>
      <c r="BG24" s="1406"/>
      <c r="BH24" s="1406"/>
      <c r="BI24" s="1406"/>
      <c r="BJ24" s="1407"/>
    </row>
    <row r="25" spans="4:62" ht="22.05" customHeight="1">
      <c r="D25" s="2152" t="s">
        <v>5720</v>
      </c>
      <c r="E25" s="2144"/>
      <c r="F25" s="2144"/>
      <c r="G25" s="2144"/>
      <c r="H25" s="2144"/>
      <c r="I25" s="2144"/>
      <c r="J25" s="2144"/>
      <c r="K25" s="2144"/>
      <c r="L25" s="2144"/>
      <c r="M25" s="2144"/>
      <c r="N25" s="2144"/>
      <c r="O25" s="988"/>
      <c r="AA25" s="869"/>
      <c r="AB25" s="1715"/>
      <c r="AC25" s="1409"/>
      <c r="AD25" s="1410"/>
      <c r="AE25" s="1410"/>
      <c r="AF25" s="1410"/>
      <c r="AG25" s="1410"/>
      <c r="AH25" s="1410"/>
      <c r="AI25" s="1410"/>
      <c r="AJ25" s="1410"/>
      <c r="AK25" s="1410"/>
      <c r="AL25" s="1411"/>
      <c r="AM25" s="2"/>
      <c r="AN25" s="2149" t="s">
        <v>5721</v>
      </c>
      <c r="AO25" s="1388"/>
      <c r="AP25" s="1388"/>
      <c r="AQ25" s="1388"/>
      <c r="AR25" s="1388"/>
      <c r="AS25" s="1388"/>
      <c r="AT25" s="1388"/>
      <c r="AU25" s="1388"/>
      <c r="AV25" s="1388"/>
      <c r="AW25" s="1388"/>
      <c r="AX25" s="1389"/>
      <c r="AY25" s="2"/>
      <c r="AZ25" s="1714"/>
      <c r="BA25" s="1408"/>
      <c r="BB25" s="2144"/>
      <c r="BC25" s="2144"/>
      <c r="BD25" s="2144"/>
      <c r="BE25" s="2144"/>
      <c r="BF25" s="2144"/>
      <c r="BG25" s="2144"/>
      <c r="BH25" s="2144"/>
      <c r="BI25" s="2144"/>
      <c r="BJ25" s="1378"/>
    </row>
    <row r="26" spans="4:62" ht="22.05" customHeight="1">
      <c r="D26" s="2144"/>
      <c r="E26" s="2144"/>
      <c r="F26" s="2144"/>
      <c r="G26" s="2144"/>
      <c r="H26" s="2144"/>
      <c r="I26" s="2144"/>
      <c r="J26" s="2144"/>
      <c r="K26" s="2144"/>
      <c r="L26" s="2144"/>
      <c r="M26" s="2144"/>
      <c r="N26" s="2144"/>
      <c r="O26" s="988"/>
      <c r="P26" s="869"/>
      <c r="Q26" s="869"/>
      <c r="R26" s="869"/>
      <c r="S26" s="869"/>
      <c r="T26" s="869"/>
      <c r="U26" s="869"/>
      <c r="V26" s="869"/>
      <c r="W26" s="869"/>
      <c r="X26" s="869"/>
      <c r="Y26" s="869"/>
      <c r="Z26" s="869"/>
      <c r="AA26" s="869"/>
      <c r="AB26" s="2145" t="s">
        <v>108</v>
      </c>
      <c r="AC26" s="2171" t="s">
        <v>5722</v>
      </c>
      <c r="AD26" s="1406"/>
      <c r="AE26" s="1406"/>
      <c r="AF26" s="1406"/>
      <c r="AG26" s="1406"/>
      <c r="AH26" s="1406"/>
      <c r="AI26" s="1406"/>
      <c r="AJ26" s="1406"/>
      <c r="AK26" s="1406"/>
      <c r="AL26" s="1407"/>
      <c r="AM26" s="2"/>
      <c r="AN26" s="2145" t="s">
        <v>5669</v>
      </c>
      <c r="AO26" s="2147" t="s">
        <v>5723</v>
      </c>
      <c r="AP26" s="1406"/>
      <c r="AQ26" s="1406"/>
      <c r="AR26" s="1406"/>
      <c r="AS26" s="1406"/>
      <c r="AT26" s="1406"/>
      <c r="AU26" s="1406"/>
      <c r="AV26" s="1406"/>
      <c r="AW26" s="1406"/>
      <c r="AX26" s="1407"/>
      <c r="AY26" s="2"/>
      <c r="AZ26" s="1714"/>
      <c r="BA26" s="1409"/>
      <c r="BB26" s="1410"/>
      <c r="BC26" s="1410"/>
      <c r="BD26" s="1410"/>
      <c r="BE26" s="1410"/>
      <c r="BF26" s="1410"/>
      <c r="BG26" s="1410"/>
      <c r="BH26" s="1410"/>
      <c r="BI26" s="1410"/>
      <c r="BJ26" s="1411"/>
    </row>
    <row r="27" spans="4:62" ht="22.05" customHeight="1">
      <c r="O27" s="988"/>
      <c r="P27" s="869"/>
      <c r="Q27" s="869"/>
      <c r="R27" s="869"/>
      <c r="S27" s="869"/>
      <c r="T27" s="869"/>
      <c r="U27" s="869"/>
      <c r="V27" s="869"/>
      <c r="W27" s="869"/>
      <c r="X27" s="869"/>
      <c r="Y27" s="869"/>
      <c r="Z27" s="869"/>
      <c r="AA27" s="869"/>
      <c r="AB27" s="1714"/>
      <c r="AC27" s="1408"/>
      <c r="AD27" s="2144"/>
      <c r="AE27" s="2144"/>
      <c r="AF27" s="2144"/>
      <c r="AG27" s="2144"/>
      <c r="AH27" s="2144"/>
      <c r="AI27" s="2144"/>
      <c r="AJ27" s="2144"/>
      <c r="AK27" s="2144"/>
      <c r="AL27" s="1378"/>
      <c r="AM27" s="2"/>
      <c r="AN27" s="1714"/>
      <c r="AO27" s="1408"/>
      <c r="AP27" s="2144"/>
      <c r="AQ27" s="2144"/>
      <c r="AR27" s="2144"/>
      <c r="AS27" s="2144"/>
      <c r="AT27" s="2144"/>
      <c r="AU27" s="2144"/>
      <c r="AV27" s="2144"/>
      <c r="AW27" s="2144"/>
      <c r="AX27" s="1378"/>
      <c r="AY27" s="2"/>
      <c r="AZ27" s="1714"/>
      <c r="BA27" s="2147" t="s">
        <v>5724</v>
      </c>
      <c r="BB27" s="1406"/>
      <c r="BC27" s="1406"/>
      <c r="BD27" s="1406"/>
      <c r="BE27" s="1406"/>
      <c r="BF27" s="1406"/>
      <c r="BG27" s="1406"/>
      <c r="BH27" s="1406"/>
      <c r="BI27" s="1406"/>
      <c r="BJ27" s="1407"/>
    </row>
    <row r="28" spans="4:62" ht="22.05" customHeight="1">
      <c r="D28" s="2181" t="s">
        <v>5725</v>
      </c>
      <c r="E28" s="2144"/>
      <c r="F28" s="2144"/>
      <c r="G28" s="2144"/>
      <c r="H28" s="2144"/>
      <c r="I28" s="2144"/>
      <c r="J28" s="2144"/>
      <c r="K28" s="2144"/>
      <c r="L28" s="2144"/>
      <c r="M28" s="2144"/>
      <c r="N28" s="2144"/>
      <c r="O28" s="988"/>
      <c r="P28" s="869"/>
      <c r="Q28" s="869"/>
      <c r="R28" s="869"/>
      <c r="S28" s="869"/>
      <c r="T28" s="869"/>
      <c r="U28" s="869"/>
      <c r="V28" s="869"/>
      <c r="W28" s="869"/>
      <c r="X28" s="869"/>
      <c r="Y28" s="869"/>
      <c r="Z28" s="869"/>
      <c r="AA28" s="869"/>
      <c r="AB28" s="1714"/>
      <c r="AC28" s="1408"/>
      <c r="AD28" s="2144"/>
      <c r="AE28" s="2144"/>
      <c r="AF28" s="2144"/>
      <c r="AG28" s="2144"/>
      <c r="AH28" s="2144"/>
      <c r="AI28" s="2144"/>
      <c r="AJ28" s="2144"/>
      <c r="AK28" s="2144"/>
      <c r="AL28" s="1378"/>
      <c r="AM28" s="2"/>
      <c r="AN28" s="1714"/>
      <c r="AO28" s="1409"/>
      <c r="AP28" s="1410"/>
      <c r="AQ28" s="1410"/>
      <c r="AR28" s="1410"/>
      <c r="AS28" s="1410"/>
      <c r="AT28" s="1410"/>
      <c r="AU28" s="1410"/>
      <c r="AV28" s="1410"/>
      <c r="AW28" s="1410"/>
      <c r="AX28" s="1411"/>
      <c r="AY28" s="2"/>
      <c r="AZ28" s="1714"/>
      <c r="BA28" s="1408"/>
      <c r="BB28" s="2144"/>
      <c r="BC28" s="2144"/>
      <c r="BD28" s="2144"/>
      <c r="BE28" s="2144"/>
      <c r="BF28" s="2144"/>
      <c r="BG28" s="2144"/>
      <c r="BH28" s="2144"/>
      <c r="BI28" s="2144"/>
      <c r="BJ28" s="1378"/>
    </row>
    <row r="29" spans="4:62" ht="22.05" customHeight="1">
      <c r="D29" s="2182" t="s">
        <v>5726</v>
      </c>
      <c r="E29" s="2144"/>
      <c r="F29" s="2144"/>
      <c r="G29" s="2144"/>
      <c r="H29" s="2144"/>
      <c r="I29" s="2144"/>
      <c r="J29" s="2144"/>
      <c r="K29" s="2144"/>
      <c r="L29" s="2144"/>
      <c r="M29" s="2144"/>
      <c r="N29" s="2144"/>
      <c r="O29" s="988"/>
      <c r="P29" s="869"/>
      <c r="Q29" s="869"/>
      <c r="R29" s="869"/>
      <c r="S29" s="869"/>
      <c r="T29" s="869"/>
      <c r="U29" s="869"/>
      <c r="V29" s="869"/>
      <c r="W29" s="869"/>
      <c r="X29" s="869"/>
      <c r="Y29" s="869"/>
      <c r="Z29" s="869"/>
      <c r="AA29" s="869"/>
      <c r="AB29" s="1714"/>
      <c r="AC29" s="1408"/>
      <c r="AD29" s="2144"/>
      <c r="AE29" s="2144"/>
      <c r="AF29" s="2144"/>
      <c r="AG29" s="2144"/>
      <c r="AH29" s="2144"/>
      <c r="AI29" s="2144"/>
      <c r="AJ29" s="2144"/>
      <c r="AK29" s="2144"/>
      <c r="AL29" s="1378"/>
      <c r="AM29" s="2"/>
      <c r="AN29" s="1714"/>
      <c r="AO29" s="987"/>
      <c r="AP29" s="987"/>
      <c r="AQ29" s="987"/>
      <c r="AR29" s="987"/>
      <c r="AS29" s="987"/>
      <c r="AT29" s="987"/>
      <c r="AU29" s="987"/>
      <c r="AV29" s="987"/>
      <c r="AW29" s="987"/>
      <c r="AX29" s="987"/>
      <c r="AY29" s="2"/>
      <c r="AZ29" s="1714"/>
      <c r="BA29" s="1408"/>
      <c r="BB29" s="2144"/>
      <c r="BC29" s="2144"/>
      <c r="BD29" s="2144"/>
      <c r="BE29" s="2144"/>
      <c r="BF29" s="2144"/>
      <c r="BG29" s="2144"/>
      <c r="BH29" s="2144"/>
      <c r="BI29" s="2144"/>
      <c r="BJ29" s="1378"/>
    </row>
    <row r="30" spans="4:62" ht="22.05" customHeight="1">
      <c r="D30" s="2144"/>
      <c r="E30" s="2144"/>
      <c r="F30" s="2144"/>
      <c r="G30" s="2144"/>
      <c r="H30" s="2144"/>
      <c r="I30" s="2144"/>
      <c r="J30" s="2144"/>
      <c r="K30" s="2144"/>
      <c r="L30" s="2144"/>
      <c r="M30" s="2144"/>
      <c r="N30" s="2144"/>
      <c r="O30" s="988"/>
      <c r="P30" s="869"/>
      <c r="Q30" s="869"/>
      <c r="R30" s="869"/>
      <c r="S30" s="869"/>
      <c r="T30" s="869"/>
      <c r="U30" s="869"/>
      <c r="V30" s="869"/>
      <c r="W30" s="869"/>
      <c r="X30" s="869"/>
      <c r="Y30" s="869"/>
      <c r="Z30" s="869"/>
      <c r="AA30" s="869"/>
      <c r="AB30" s="1714"/>
      <c r="AC30" s="1408"/>
      <c r="AD30" s="2144"/>
      <c r="AE30" s="2144"/>
      <c r="AF30" s="2144"/>
      <c r="AG30" s="2144"/>
      <c r="AH30" s="2144"/>
      <c r="AI30" s="2144"/>
      <c r="AJ30" s="2144"/>
      <c r="AK30" s="2144"/>
      <c r="AL30" s="1378"/>
      <c r="AM30" s="2"/>
      <c r="AN30" s="1714"/>
      <c r="AO30" s="987"/>
      <c r="AP30" s="987"/>
      <c r="AQ30" s="987"/>
      <c r="AR30" s="987"/>
      <c r="AS30" s="987"/>
      <c r="AT30" s="987"/>
      <c r="AU30" s="987"/>
      <c r="AV30" s="987"/>
      <c r="AW30" s="987"/>
      <c r="AX30" s="987"/>
      <c r="AY30" s="2"/>
      <c r="AZ30" s="1714"/>
      <c r="BA30" s="1408"/>
      <c r="BB30" s="2144"/>
      <c r="BC30" s="2144"/>
      <c r="BD30" s="2144"/>
      <c r="BE30" s="2144"/>
      <c r="BF30" s="2144"/>
      <c r="BG30" s="2144"/>
      <c r="BH30" s="2144"/>
      <c r="BI30" s="2144"/>
      <c r="BJ30" s="1378"/>
    </row>
    <row r="31" spans="4:62" ht="22.05" customHeight="1">
      <c r="D31" s="2152" t="s">
        <v>5727</v>
      </c>
      <c r="E31" s="2144"/>
      <c r="F31" s="2144"/>
      <c r="G31" s="2144"/>
      <c r="H31" s="2144"/>
      <c r="I31" s="2144"/>
      <c r="J31" s="2144"/>
      <c r="K31" s="2144"/>
      <c r="L31" s="2144"/>
      <c r="M31" s="2144"/>
      <c r="N31" s="2144"/>
      <c r="O31" s="988"/>
      <c r="P31" s="869"/>
      <c r="Q31" s="869"/>
      <c r="R31" s="869"/>
      <c r="S31" s="869"/>
      <c r="T31" s="869"/>
      <c r="U31" s="869"/>
      <c r="V31" s="869"/>
      <c r="W31" s="869"/>
      <c r="X31" s="869"/>
      <c r="Y31" s="869"/>
      <c r="Z31" s="869"/>
      <c r="AA31" s="869"/>
      <c r="AB31" s="1715"/>
      <c r="AC31" s="1409"/>
      <c r="AD31" s="1410"/>
      <c r="AE31" s="1410"/>
      <c r="AF31" s="1410"/>
      <c r="AG31" s="1410"/>
      <c r="AH31" s="1410"/>
      <c r="AI31" s="1410"/>
      <c r="AJ31" s="1410"/>
      <c r="AK31" s="1410"/>
      <c r="AL31" s="1411"/>
      <c r="AM31" s="2"/>
      <c r="AN31" s="1714"/>
      <c r="AO31" s="2153" t="s">
        <v>5728</v>
      </c>
      <c r="AP31" s="1406"/>
      <c r="AQ31" s="1406"/>
      <c r="AR31" s="1406"/>
      <c r="AS31" s="1406"/>
      <c r="AT31" s="1406"/>
      <c r="AU31" s="1406"/>
      <c r="AV31" s="1406"/>
      <c r="AW31" s="1406"/>
      <c r="AX31" s="1407"/>
      <c r="AY31" s="2"/>
      <c r="AZ31" s="1714"/>
      <c r="BA31" s="1408"/>
      <c r="BB31" s="2144"/>
      <c r="BC31" s="2144"/>
      <c r="BD31" s="2144"/>
      <c r="BE31" s="2144"/>
      <c r="BF31" s="2144"/>
      <c r="BG31" s="2144"/>
      <c r="BH31" s="2144"/>
      <c r="BI31" s="2144"/>
      <c r="BJ31" s="1378"/>
    </row>
    <row r="32" spans="4:62" ht="22.05" customHeight="1">
      <c r="D32" s="2144"/>
      <c r="E32" s="2144"/>
      <c r="F32" s="2144"/>
      <c r="G32" s="2144"/>
      <c r="H32" s="2144"/>
      <c r="I32" s="2144"/>
      <c r="J32" s="2144"/>
      <c r="K32" s="2144"/>
      <c r="L32" s="2144"/>
      <c r="M32" s="2144"/>
      <c r="N32" s="2144"/>
      <c r="O32" s="988"/>
      <c r="P32" s="869"/>
      <c r="Q32" s="869"/>
      <c r="R32" s="869"/>
      <c r="S32" s="869"/>
      <c r="T32" s="869"/>
      <c r="U32" s="869"/>
      <c r="V32" s="869"/>
      <c r="W32" s="869"/>
      <c r="X32" s="869"/>
      <c r="Y32" s="869"/>
      <c r="Z32" s="869"/>
      <c r="AA32" s="869"/>
      <c r="AB32" s="2149" t="s">
        <v>5729</v>
      </c>
      <c r="AC32" s="1388"/>
      <c r="AD32" s="1388"/>
      <c r="AE32" s="1388"/>
      <c r="AF32" s="1388"/>
      <c r="AG32" s="1388"/>
      <c r="AH32" s="1388"/>
      <c r="AI32" s="1388"/>
      <c r="AJ32" s="1388"/>
      <c r="AK32" s="1388"/>
      <c r="AL32" s="1389"/>
      <c r="AM32" s="2"/>
      <c r="AN32" s="1714"/>
      <c r="AO32" s="1409"/>
      <c r="AP32" s="1410"/>
      <c r="AQ32" s="1410"/>
      <c r="AR32" s="1410"/>
      <c r="AS32" s="1410"/>
      <c r="AT32" s="1410"/>
      <c r="AU32" s="1410"/>
      <c r="AV32" s="1410"/>
      <c r="AW32" s="1410"/>
      <c r="AX32" s="1411"/>
      <c r="AY32" s="2"/>
      <c r="AZ32" s="1714"/>
      <c r="BA32" s="1408"/>
      <c r="BB32" s="2144"/>
      <c r="BC32" s="2144"/>
      <c r="BD32" s="2144"/>
      <c r="BE32" s="2144"/>
      <c r="BF32" s="2144"/>
      <c r="BG32" s="2144"/>
      <c r="BH32" s="2144"/>
      <c r="BI32" s="2144"/>
      <c r="BJ32" s="1378"/>
    </row>
    <row r="33" spans="4:62" ht="22.05" customHeight="1">
      <c r="D33" s="2173" t="s">
        <v>5730</v>
      </c>
      <c r="E33" s="1388"/>
      <c r="F33" s="1388"/>
      <c r="G33" s="1388"/>
      <c r="H33" s="1388"/>
      <c r="I33" s="1388"/>
      <c r="J33" s="1388"/>
      <c r="K33" s="1388"/>
      <c r="L33" s="1388"/>
      <c r="M33" s="1388"/>
      <c r="N33" s="1389"/>
      <c r="O33" s="988"/>
      <c r="P33" s="869"/>
      <c r="Q33" s="869"/>
      <c r="R33" s="869"/>
      <c r="S33" s="869"/>
      <c r="T33" s="869"/>
      <c r="U33" s="869"/>
      <c r="V33" s="869"/>
      <c r="W33" s="869"/>
      <c r="X33" s="869"/>
      <c r="Y33" s="869"/>
      <c r="Z33" s="869"/>
      <c r="AA33" s="869"/>
      <c r="AB33" s="2145" t="s">
        <v>5667</v>
      </c>
      <c r="AC33" s="2171" t="s">
        <v>5731</v>
      </c>
      <c r="AD33" s="1406"/>
      <c r="AE33" s="1406"/>
      <c r="AF33" s="1406"/>
      <c r="AG33" s="1406"/>
      <c r="AH33" s="1406"/>
      <c r="AI33" s="1406"/>
      <c r="AJ33" s="1406"/>
      <c r="AK33" s="1406"/>
      <c r="AL33" s="1407"/>
      <c r="AM33" s="2"/>
      <c r="AN33" s="1714"/>
      <c r="AO33" s="2147" t="s">
        <v>5732</v>
      </c>
      <c r="AP33" s="1406"/>
      <c r="AQ33" s="1406"/>
      <c r="AR33" s="1406"/>
      <c r="AS33" s="1406"/>
      <c r="AT33" s="1406"/>
      <c r="AU33" s="1406"/>
      <c r="AV33" s="1406"/>
      <c r="AW33" s="1406"/>
      <c r="AX33" s="1407"/>
      <c r="AY33" s="2"/>
      <c r="AZ33" s="1714"/>
      <c r="BA33" s="1408"/>
      <c r="BB33" s="2144"/>
      <c r="BC33" s="2144"/>
      <c r="BD33" s="2144"/>
      <c r="BE33" s="2144"/>
      <c r="BF33" s="2144"/>
      <c r="BG33" s="2144"/>
      <c r="BH33" s="2144"/>
      <c r="BI33" s="2144"/>
      <c r="BJ33" s="1378"/>
    </row>
    <row r="34" spans="4:62" ht="22.05" customHeight="1">
      <c r="D34" s="2183" t="s">
        <v>5733</v>
      </c>
      <c r="E34" s="1388"/>
      <c r="F34" s="1389"/>
      <c r="G34" s="2183" t="s">
        <v>108</v>
      </c>
      <c r="H34" s="1388"/>
      <c r="I34" s="1388"/>
      <c r="J34" s="1388"/>
      <c r="K34" s="1388"/>
      <c r="L34" s="1388"/>
      <c r="M34" s="1388"/>
      <c r="N34" s="1389"/>
      <c r="O34" s="988"/>
      <c r="P34" s="869"/>
      <c r="Q34" s="869"/>
      <c r="R34" s="869"/>
      <c r="S34" s="869"/>
      <c r="T34" s="869"/>
      <c r="U34" s="869"/>
      <c r="V34" s="869"/>
      <c r="W34" s="869"/>
      <c r="X34" s="869"/>
      <c r="Y34" s="869"/>
      <c r="Z34" s="869"/>
      <c r="AA34" s="869"/>
      <c r="AB34" s="1714"/>
      <c r="AC34" s="1408"/>
      <c r="AD34" s="2144"/>
      <c r="AE34" s="2144"/>
      <c r="AF34" s="2144"/>
      <c r="AG34" s="2144"/>
      <c r="AH34" s="2144"/>
      <c r="AI34" s="2144"/>
      <c r="AJ34" s="2144"/>
      <c r="AK34" s="2144"/>
      <c r="AL34" s="1378"/>
      <c r="AM34" s="2"/>
      <c r="AN34" s="1714"/>
      <c r="AO34" s="1408"/>
      <c r="AP34" s="2144"/>
      <c r="AQ34" s="2144"/>
      <c r="AR34" s="2144"/>
      <c r="AS34" s="2144"/>
      <c r="AT34" s="2144"/>
      <c r="AU34" s="2144"/>
      <c r="AV34" s="2144"/>
      <c r="AW34" s="2144"/>
      <c r="AX34" s="1378"/>
      <c r="AY34" s="2"/>
      <c r="AZ34" s="1714"/>
      <c r="BA34" s="1408"/>
      <c r="BB34" s="2144"/>
      <c r="BC34" s="2144"/>
      <c r="BD34" s="2144"/>
      <c r="BE34" s="2144"/>
      <c r="BF34" s="2144"/>
      <c r="BG34" s="2144"/>
      <c r="BH34" s="2144"/>
      <c r="BI34" s="2144"/>
      <c r="BJ34" s="1378"/>
    </row>
    <row r="35" spans="4:62" ht="22.05" customHeight="1">
      <c r="D35" s="2151" t="s">
        <v>5734</v>
      </c>
      <c r="E35" s="1388"/>
      <c r="F35" s="1389"/>
      <c r="G35" s="2151"/>
      <c r="H35" s="1388"/>
      <c r="I35" s="1388"/>
      <c r="J35" s="1388"/>
      <c r="K35" s="1388"/>
      <c r="L35" s="1388"/>
      <c r="M35" s="1388"/>
      <c r="N35" s="1389"/>
      <c r="O35" s="988"/>
      <c r="P35" s="869"/>
      <c r="Q35" s="869"/>
      <c r="R35" s="869"/>
      <c r="S35" s="869"/>
      <c r="T35" s="869"/>
      <c r="U35" s="869"/>
      <c r="V35" s="869"/>
      <c r="W35" s="869"/>
      <c r="X35" s="869"/>
      <c r="Y35" s="869"/>
      <c r="Z35" s="869"/>
      <c r="AA35" s="869"/>
      <c r="AB35" s="1715"/>
      <c r="AC35" s="1409"/>
      <c r="AD35" s="1410"/>
      <c r="AE35" s="1410"/>
      <c r="AF35" s="1410"/>
      <c r="AG35" s="1410"/>
      <c r="AH35" s="1410"/>
      <c r="AI35" s="1410"/>
      <c r="AJ35" s="1410"/>
      <c r="AK35" s="1410"/>
      <c r="AL35" s="1411"/>
      <c r="AM35" s="2"/>
      <c r="AN35" s="1714"/>
      <c r="AO35" s="1408"/>
      <c r="AP35" s="2144"/>
      <c r="AQ35" s="2144"/>
      <c r="AR35" s="2144"/>
      <c r="AS35" s="2144"/>
      <c r="AT35" s="2144"/>
      <c r="AU35" s="2144"/>
      <c r="AV35" s="2144"/>
      <c r="AW35" s="2144"/>
      <c r="AX35" s="1378"/>
      <c r="AY35" s="2"/>
      <c r="AZ35" s="1714"/>
      <c r="BA35" s="1408"/>
      <c r="BB35" s="2144"/>
      <c r="BC35" s="2144"/>
      <c r="BD35" s="2144"/>
      <c r="BE35" s="2144"/>
      <c r="BF35" s="2144"/>
      <c r="BG35" s="2144"/>
      <c r="BH35" s="2144"/>
      <c r="BI35" s="2144"/>
      <c r="BJ35" s="1378"/>
    </row>
    <row r="36" spans="4:62" ht="22.05" customHeight="1">
      <c r="D36" s="2151" t="s">
        <v>5735</v>
      </c>
      <c r="E36" s="1388"/>
      <c r="F36" s="1389"/>
      <c r="G36" s="2151"/>
      <c r="H36" s="1388"/>
      <c r="I36" s="1388"/>
      <c r="J36" s="1388"/>
      <c r="K36" s="1388"/>
      <c r="L36" s="1388"/>
      <c r="M36" s="1388"/>
      <c r="N36" s="1389"/>
      <c r="O36" s="988"/>
      <c r="P36" s="869"/>
      <c r="Q36" s="869"/>
      <c r="R36" s="869"/>
      <c r="S36" s="869"/>
      <c r="T36" s="869"/>
      <c r="U36" s="869"/>
      <c r="V36" s="869"/>
      <c r="W36" s="869"/>
      <c r="X36" s="869"/>
      <c r="Y36" s="869"/>
      <c r="Z36" s="869"/>
      <c r="AA36" s="869"/>
      <c r="AB36" s="2145" t="s">
        <v>108</v>
      </c>
      <c r="AC36" s="2171" t="s">
        <v>5736</v>
      </c>
      <c r="AD36" s="1406"/>
      <c r="AE36" s="1406"/>
      <c r="AF36" s="1406"/>
      <c r="AG36" s="1406"/>
      <c r="AH36" s="1406"/>
      <c r="AI36" s="1406"/>
      <c r="AJ36" s="1406"/>
      <c r="AK36" s="1406"/>
      <c r="AL36" s="1407"/>
      <c r="AM36" s="2"/>
      <c r="AN36" s="1714"/>
      <c r="AO36" s="1408"/>
      <c r="AP36" s="2144"/>
      <c r="AQ36" s="2144"/>
      <c r="AR36" s="2144"/>
      <c r="AS36" s="2144"/>
      <c r="AT36" s="2144"/>
      <c r="AU36" s="2144"/>
      <c r="AV36" s="2144"/>
      <c r="AW36" s="2144"/>
      <c r="AX36" s="1378"/>
      <c r="AY36" s="2"/>
      <c r="AZ36" s="1714"/>
      <c r="BA36" s="1408"/>
      <c r="BB36" s="2144"/>
      <c r="BC36" s="2144"/>
      <c r="BD36" s="2144"/>
      <c r="BE36" s="2144"/>
      <c r="BF36" s="2144"/>
      <c r="BG36" s="2144"/>
      <c r="BH36" s="2144"/>
      <c r="BI36" s="2144"/>
      <c r="BJ36" s="1378"/>
    </row>
    <row r="37" spans="4:62" ht="22.05" customHeight="1">
      <c r="D37" s="2151" t="s">
        <v>5737</v>
      </c>
      <c r="E37" s="1388"/>
      <c r="F37" s="1389"/>
      <c r="G37" s="2151"/>
      <c r="H37" s="1388"/>
      <c r="I37" s="1388"/>
      <c r="J37" s="1388"/>
      <c r="K37" s="1388"/>
      <c r="L37" s="1388"/>
      <c r="M37" s="1388"/>
      <c r="N37" s="1389"/>
      <c r="O37" s="988"/>
      <c r="P37" s="869"/>
      <c r="Q37" s="869"/>
      <c r="R37" s="869"/>
      <c r="S37" s="869"/>
      <c r="T37" s="869"/>
      <c r="U37" s="869"/>
      <c r="V37" s="869"/>
      <c r="W37" s="869"/>
      <c r="X37" s="869"/>
      <c r="Y37" s="869"/>
      <c r="Z37" s="869"/>
      <c r="AA37" s="869"/>
      <c r="AB37" s="1714"/>
      <c r="AC37" s="1408"/>
      <c r="AD37" s="2144"/>
      <c r="AE37" s="2144"/>
      <c r="AF37" s="2144"/>
      <c r="AG37" s="2144"/>
      <c r="AH37" s="2144"/>
      <c r="AI37" s="2144"/>
      <c r="AJ37" s="2144"/>
      <c r="AK37" s="2144"/>
      <c r="AL37" s="1378"/>
      <c r="AM37" s="2"/>
      <c r="AN37" s="1714"/>
      <c r="AO37" s="1408"/>
      <c r="AP37" s="2144"/>
      <c r="AQ37" s="2144"/>
      <c r="AR37" s="2144"/>
      <c r="AS37" s="2144"/>
      <c r="AT37" s="2144"/>
      <c r="AU37" s="2144"/>
      <c r="AV37" s="2144"/>
      <c r="AW37" s="2144"/>
      <c r="AX37" s="1378"/>
      <c r="AY37" s="2"/>
      <c r="AZ37" s="1714"/>
      <c r="BA37" s="1408"/>
      <c r="BB37" s="2144"/>
      <c r="BC37" s="2144"/>
      <c r="BD37" s="2144"/>
      <c r="BE37" s="2144"/>
      <c r="BF37" s="2144"/>
      <c r="BG37" s="2144"/>
      <c r="BH37" s="2144"/>
      <c r="BI37" s="2144"/>
      <c r="BJ37" s="1378"/>
    </row>
    <row r="38" spans="4:62" ht="22.05" customHeight="1">
      <c r="D38" s="2151" t="s">
        <v>5738</v>
      </c>
      <c r="E38" s="1388"/>
      <c r="F38" s="1389"/>
      <c r="G38" s="2151"/>
      <c r="H38" s="1388"/>
      <c r="I38" s="1388"/>
      <c r="J38" s="1388"/>
      <c r="K38" s="1388"/>
      <c r="L38" s="1388"/>
      <c r="M38" s="1388"/>
      <c r="N38" s="1389"/>
      <c r="O38" s="988"/>
      <c r="P38" s="869"/>
      <c r="Q38" s="869"/>
      <c r="R38" s="869"/>
      <c r="S38" s="869"/>
      <c r="T38" s="869"/>
      <c r="U38" s="869"/>
      <c r="V38" s="869"/>
      <c r="W38" s="869"/>
      <c r="X38" s="869"/>
      <c r="Y38" s="869"/>
      <c r="Z38" s="869"/>
      <c r="AA38" s="869"/>
      <c r="AB38" s="1714"/>
      <c r="AC38" s="1408"/>
      <c r="AD38" s="2144"/>
      <c r="AE38" s="2144"/>
      <c r="AF38" s="2144"/>
      <c r="AG38" s="2144"/>
      <c r="AH38" s="2144"/>
      <c r="AI38" s="2144"/>
      <c r="AJ38" s="2144"/>
      <c r="AK38" s="2144"/>
      <c r="AL38" s="1378"/>
      <c r="AM38" s="2"/>
      <c r="AN38" s="1714"/>
      <c r="AO38" s="1409"/>
      <c r="AP38" s="1410"/>
      <c r="AQ38" s="1410"/>
      <c r="AR38" s="1410"/>
      <c r="AS38" s="1410"/>
      <c r="AT38" s="1410"/>
      <c r="AU38" s="1410"/>
      <c r="AV38" s="1410"/>
      <c r="AW38" s="1410"/>
      <c r="AX38" s="1411"/>
      <c r="AY38" s="2"/>
      <c r="AZ38" s="1715"/>
      <c r="BA38" s="1409"/>
      <c r="BB38" s="1410"/>
      <c r="BC38" s="1410"/>
      <c r="BD38" s="1410"/>
      <c r="BE38" s="1410"/>
      <c r="BF38" s="1410"/>
      <c r="BG38" s="1410"/>
      <c r="BH38" s="1410"/>
      <c r="BI38" s="1410"/>
      <c r="BJ38" s="1411"/>
    </row>
    <row r="39" spans="4:62" ht="22.05" customHeight="1">
      <c r="D39" s="2151" t="s">
        <v>5739</v>
      </c>
      <c r="E39" s="1388"/>
      <c r="F39" s="1389"/>
      <c r="G39" s="2151"/>
      <c r="H39" s="1388"/>
      <c r="I39" s="1388"/>
      <c r="J39" s="1388"/>
      <c r="K39" s="1388"/>
      <c r="L39" s="1388"/>
      <c r="M39" s="1388"/>
      <c r="N39" s="1389"/>
      <c r="O39" s="988"/>
      <c r="P39" s="869"/>
      <c r="Q39" s="869"/>
      <c r="R39" s="869"/>
      <c r="S39" s="869"/>
      <c r="T39" s="869"/>
      <c r="U39" s="869"/>
      <c r="V39" s="869"/>
      <c r="W39" s="869"/>
      <c r="X39" s="869"/>
      <c r="Y39" s="869"/>
      <c r="Z39" s="869"/>
      <c r="AA39" s="869"/>
      <c r="AB39" s="1714"/>
      <c r="AC39" s="1408"/>
      <c r="AD39" s="2144"/>
      <c r="AE39" s="2144"/>
      <c r="AF39" s="2144"/>
      <c r="AG39" s="2144"/>
      <c r="AH39" s="2144"/>
      <c r="AI39" s="2144"/>
      <c r="AJ39" s="2144"/>
      <c r="AK39" s="2144"/>
      <c r="AL39" s="1378"/>
      <c r="AM39" s="2"/>
      <c r="AN39" s="1715"/>
      <c r="AO39" s="2146" t="s">
        <v>5740</v>
      </c>
      <c r="AP39" s="1388"/>
      <c r="AQ39" s="1388"/>
      <c r="AR39" s="1388"/>
      <c r="AS39" s="1388"/>
      <c r="AT39" s="1388"/>
      <c r="AU39" s="1388"/>
      <c r="AV39" s="1388"/>
      <c r="AW39" s="1388"/>
      <c r="AX39" s="1389"/>
      <c r="AY39" s="2"/>
      <c r="AZ39" s="2148" t="s">
        <v>5741</v>
      </c>
      <c r="BA39" s="2146" t="s">
        <v>5742</v>
      </c>
      <c r="BB39" s="1388"/>
      <c r="BC39" s="1388"/>
      <c r="BD39" s="1388"/>
      <c r="BE39" s="1388"/>
      <c r="BF39" s="1388"/>
      <c r="BG39" s="1388"/>
      <c r="BH39" s="1388"/>
      <c r="BI39" s="1388"/>
      <c r="BJ39" s="1389"/>
    </row>
    <row r="40" spans="4:62" ht="22.05" customHeight="1">
      <c r="D40" s="2151" t="s">
        <v>5743</v>
      </c>
      <c r="E40" s="1388"/>
      <c r="F40" s="1389"/>
      <c r="G40" s="2151"/>
      <c r="H40" s="1388"/>
      <c r="I40" s="1388"/>
      <c r="J40" s="1388"/>
      <c r="K40" s="1388"/>
      <c r="L40" s="1388"/>
      <c r="M40" s="1388"/>
      <c r="N40" s="1389"/>
      <c r="O40" s="988"/>
      <c r="P40" s="869"/>
      <c r="Q40" s="869"/>
      <c r="R40" s="869"/>
      <c r="S40" s="869"/>
      <c r="T40" s="869"/>
      <c r="U40" s="869"/>
      <c r="V40" s="869"/>
      <c r="W40" s="869"/>
      <c r="X40" s="869"/>
      <c r="Y40" s="869"/>
      <c r="Z40" s="869"/>
      <c r="AA40" s="869"/>
      <c r="AB40" s="1714"/>
      <c r="AC40" s="1408"/>
      <c r="AD40" s="2144"/>
      <c r="AE40" s="2144"/>
      <c r="AF40" s="2144"/>
      <c r="AG40" s="2144"/>
      <c r="AH40" s="2144"/>
      <c r="AI40" s="2144"/>
      <c r="AJ40" s="2144"/>
      <c r="AK40" s="2144"/>
      <c r="AL40" s="1378"/>
      <c r="AM40" s="2"/>
      <c r="AN40" s="5" t="s">
        <v>5715</v>
      </c>
      <c r="AO40" s="2147" t="s">
        <v>5744</v>
      </c>
      <c r="AP40" s="1388"/>
      <c r="AQ40" s="1388"/>
      <c r="AR40" s="1388"/>
      <c r="AS40" s="1388"/>
      <c r="AT40" s="1388"/>
      <c r="AU40" s="1388"/>
      <c r="AV40" s="1388"/>
      <c r="AW40" s="1388"/>
      <c r="AX40" s="1389"/>
      <c r="AY40" s="2"/>
      <c r="AZ40" s="1714"/>
      <c r="BA40" s="2147" t="s">
        <v>5745</v>
      </c>
      <c r="BB40" s="1406"/>
      <c r="BC40" s="1406"/>
      <c r="BD40" s="1406"/>
      <c r="BE40" s="1406"/>
      <c r="BF40" s="1406"/>
      <c r="BG40" s="1406"/>
      <c r="BH40" s="1406"/>
      <c r="BI40" s="1406"/>
      <c r="BJ40" s="1407"/>
    </row>
    <row r="41" spans="4:62" ht="22.05" customHeight="1">
      <c r="D41" s="2151" t="s">
        <v>5746</v>
      </c>
      <c r="E41" s="1388"/>
      <c r="F41" s="1389"/>
      <c r="G41" s="2151"/>
      <c r="H41" s="1388"/>
      <c r="I41" s="1388"/>
      <c r="J41" s="1388"/>
      <c r="K41" s="1388"/>
      <c r="L41" s="1388"/>
      <c r="M41" s="1388"/>
      <c r="N41" s="1389"/>
      <c r="O41" s="988"/>
      <c r="P41" s="869"/>
      <c r="Q41" s="869"/>
      <c r="R41" s="869"/>
      <c r="S41" s="869"/>
      <c r="T41" s="869"/>
      <c r="U41" s="869"/>
      <c r="V41" s="869"/>
      <c r="W41" s="869"/>
      <c r="X41" s="869"/>
      <c r="Y41" s="869"/>
      <c r="Z41" s="869"/>
      <c r="AA41" s="869"/>
      <c r="AB41" s="1714"/>
      <c r="AC41" s="1408"/>
      <c r="AD41" s="2144"/>
      <c r="AE41" s="2144"/>
      <c r="AF41" s="2144"/>
      <c r="AG41" s="2144"/>
      <c r="AH41" s="2144"/>
      <c r="AI41" s="2144"/>
      <c r="AJ41" s="2144"/>
      <c r="AK41" s="2144"/>
      <c r="AL41" s="1378"/>
      <c r="AM41" s="2"/>
      <c r="AN41" s="2148" t="s">
        <v>5699</v>
      </c>
      <c r="AO41" s="2147" t="s">
        <v>5747</v>
      </c>
      <c r="AP41" s="1388"/>
      <c r="AQ41" s="1388"/>
      <c r="AR41" s="1388"/>
      <c r="AS41" s="1388"/>
      <c r="AT41" s="1388"/>
      <c r="AU41" s="1388"/>
      <c r="AV41" s="1388"/>
      <c r="AW41" s="1388"/>
      <c r="AX41" s="1389"/>
      <c r="AY41" s="2"/>
      <c r="AZ41" s="1714"/>
      <c r="BA41" s="1408"/>
      <c r="BB41" s="2144"/>
      <c r="BC41" s="2144"/>
      <c r="BD41" s="2144"/>
      <c r="BE41" s="2144"/>
      <c r="BF41" s="2144"/>
      <c r="BG41" s="2144"/>
      <c r="BH41" s="2144"/>
      <c r="BI41" s="2144"/>
      <c r="BJ41" s="1378"/>
    </row>
    <row r="42" spans="4:62" ht="22.05" customHeight="1">
      <c r="D42" s="2151" t="s">
        <v>5748</v>
      </c>
      <c r="E42" s="1388"/>
      <c r="F42" s="1389"/>
      <c r="G42" s="2151"/>
      <c r="H42" s="1388"/>
      <c r="I42" s="1388"/>
      <c r="J42" s="1388"/>
      <c r="K42" s="1388"/>
      <c r="L42" s="1388"/>
      <c r="M42" s="1388"/>
      <c r="N42" s="1389"/>
      <c r="O42" s="988"/>
      <c r="P42" s="869"/>
      <c r="Q42" s="869"/>
      <c r="R42" s="869"/>
      <c r="S42" s="869"/>
      <c r="T42" s="869"/>
      <c r="U42" s="869"/>
      <c r="V42" s="869"/>
      <c r="W42" s="869"/>
      <c r="X42" s="869"/>
      <c r="Y42" s="869"/>
      <c r="Z42" s="869"/>
      <c r="AA42" s="869"/>
      <c r="AB42" s="1714"/>
      <c r="AC42" s="1408"/>
      <c r="AD42" s="2144"/>
      <c r="AE42" s="2144"/>
      <c r="AF42" s="2144"/>
      <c r="AG42" s="2144"/>
      <c r="AH42" s="2144"/>
      <c r="AI42" s="2144"/>
      <c r="AJ42" s="2144"/>
      <c r="AK42" s="2144"/>
      <c r="AL42" s="1378"/>
      <c r="AM42" s="2"/>
      <c r="AN42" s="1714"/>
      <c r="AO42" s="2147" t="s">
        <v>5749</v>
      </c>
      <c r="AP42" s="1388"/>
      <c r="AQ42" s="1388"/>
      <c r="AR42" s="1388"/>
      <c r="AS42" s="1388"/>
      <c r="AT42" s="1388"/>
      <c r="AU42" s="1388"/>
      <c r="AV42" s="1388"/>
      <c r="AW42" s="1388"/>
      <c r="AX42" s="1389"/>
      <c r="AY42" s="2"/>
      <c r="AZ42" s="1714"/>
      <c r="BA42" s="1408"/>
      <c r="BB42" s="2144"/>
      <c r="BC42" s="2144"/>
      <c r="BD42" s="2144"/>
      <c r="BE42" s="2144"/>
      <c r="BF42" s="2144"/>
      <c r="BG42" s="2144"/>
      <c r="BH42" s="2144"/>
      <c r="BI42" s="2144"/>
      <c r="BJ42" s="1378"/>
    </row>
    <row r="43" spans="4:62" ht="22.05" customHeight="1">
      <c r="D43" s="2151" t="s">
        <v>5750</v>
      </c>
      <c r="E43" s="1388"/>
      <c r="F43" s="1389"/>
      <c r="G43" s="2151"/>
      <c r="H43" s="1388"/>
      <c r="I43" s="1388"/>
      <c r="J43" s="1388"/>
      <c r="K43" s="1388"/>
      <c r="L43" s="1388"/>
      <c r="M43" s="1388"/>
      <c r="N43" s="1389"/>
      <c r="O43" s="988"/>
      <c r="P43" s="869"/>
      <c r="Q43" s="869"/>
      <c r="R43" s="869"/>
      <c r="S43" s="869"/>
      <c r="T43" s="869"/>
      <c r="U43" s="869"/>
      <c r="V43" s="869"/>
      <c r="W43" s="869"/>
      <c r="X43" s="869"/>
      <c r="Y43" s="869"/>
      <c r="Z43" s="869"/>
      <c r="AA43" s="869"/>
      <c r="AB43" s="1714"/>
      <c r="AC43" s="1408"/>
      <c r="AD43" s="2144"/>
      <c r="AE43" s="2144"/>
      <c r="AF43" s="2144"/>
      <c r="AG43" s="2144"/>
      <c r="AH43" s="2144"/>
      <c r="AI43" s="2144"/>
      <c r="AJ43" s="2144"/>
      <c r="AK43" s="2144"/>
      <c r="AL43" s="1378"/>
      <c r="AM43" s="2"/>
      <c r="AN43" s="1715"/>
      <c r="AO43" s="2146" t="s">
        <v>5751</v>
      </c>
      <c r="AP43" s="1388"/>
      <c r="AQ43" s="1388"/>
      <c r="AR43" s="1388"/>
      <c r="AS43" s="1388"/>
      <c r="AT43" s="1388"/>
      <c r="AU43" s="1388"/>
      <c r="AV43" s="1388"/>
      <c r="AW43" s="1388"/>
      <c r="AX43" s="1389"/>
      <c r="AY43" s="2"/>
      <c r="AZ43" s="1715"/>
      <c r="BA43" s="1409"/>
      <c r="BB43" s="1410"/>
      <c r="BC43" s="1410"/>
      <c r="BD43" s="1410"/>
      <c r="BE43" s="1410"/>
      <c r="BF43" s="1410"/>
      <c r="BG43" s="1410"/>
      <c r="BH43" s="1410"/>
      <c r="BI43" s="1410"/>
      <c r="BJ43" s="1411"/>
    </row>
    <row r="44" spans="4:62" ht="22.05" customHeight="1">
      <c r="D44" s="2151" t="s">
        <v>5752</v>
      </c>
      <c r="E44" s="1388"/>
      <c r="F44" s="1389"/>
      <c r="G44" s="2151"/>
      <c r="H44" s="1388"/>
      <c r="I44" s="1388"/>
      <c r="J44" s="1388"/>
      <c r="K44" s="1388"/>
      <c r="L44" s="1388"/>
      <c r="M44" s="1388"/>
      <c r="N44" s="1389"/>
      <c r="O44" s="988"/>
      <c r="P44" s="869"/>
      <c r="Q44" s="869"/>
      <c r="R44" s="869"/>
      <c r="S44" s="869"/>
      <c r="T44" s="869"/>
      <c r="U44" s="869"/>
      <c r="V44" s="869"/>
      <c r="W44" s="869"/>
      <c r="X44" s="869"/>
      <c r="Y44" s="869"/>
      <c r="Z44" s="869"/>
      <c r="AA44" s="869"/>
      <c r="AB44" s="1714"/>
      <c r="AC44" s="1408"/>
      <c r="AD44" s="2144"/>
      <c r="AE44" s="2144"/>
      <c r="AF44" s="2144"/>
      <c r="AG44" s="2144"/>
      <c r="AH44" s="2144"/>
      <c r="AI44" s="2144"/>
      <c r="AJ44" s="2144"/>
      <c r="AK44" s="2144"/>
      <c r="AL44" s="1378"/>
      <c r="AM44" s="2"/>
      <c r="AN44" s="3" t="s">
        <v>108</v>
      </c>
      <c r="AO44" s="2177"/>
      <c r="AP44" s="1388"/>
      <c r="AQ44" s="1388"/>
      <c r="AR44" s="1388"/>
      <c r="AS44" s="1388"/>
      <c r="AT44" s="1388"/>
      <c r="AU44" s="1388"/>
      <c r="AV44" s="1388"/>
      <c r="AW44" s="1388"/>
      <c r="AX44" s="1389"/>
      <c r="AY44" s="2"/>
      <c r="AZ44" s="2148" t="s">
        <v>5753</v>
      </c>
      <c r="BA44" s="2147" t="s">
        <v>5754</v>
      </c>
      <c r="BB44" s="1406"/>
      <c r="BC44" s="1406"/>
      <c r="BD44" s="1406"/>
      <c r="BE44" s="1406"/>
      <c r="BF44" s="1406"/>
      <c r="BG44" s="1406"/>
      <c r="BH44" s="1406"/>
      <c r="BI44" s="1406"/>
      <c r="BJ44" s="1407"/>
    </row>
    <row r="45" spans="4:62" ht="22.05" customHeight="1">
      <c r="D45" s="2151" t="s">
        <v>5755</v>
      </c>
      <c r="E45" s="1388"/>
      <c r="F45" s="1389"/>
      <c r="G45" s="2151"/>
      <c r="H45" s="1388"/>
      <c r="I45" s="1388"/>
      <c r="J45" s="1388"/>
      <c r="K45" s="1388"/>
      <c r="L45" s="1388"/>
      <c r="M45" s="1388"/>
      <c r="N45" s="1389"/>
      <c r="O45" s="988"/>
      <c r="P45" s="869"/>
      <c r="Q45" s="869"/>
      <c r="R45" s="869"/>
      <c r="S45" s="869"/>
      <c r="T45" s="869"/>
      <c r="U45" s="869"/>
      <c r="V45" s="869"/>
      <c r="W45" s="869"/>
      <c r="X45" s="869"/>
      <c r="Y45" s="869"/>
      <c r="Z45" s="869"/>
      <c r="AA45" s="869"/>
      <c r="AB45" s="1714"/>
      <c r="AC45" s="1408"/>
      <c r="AD45" s="2144"/>
      <c r="AE45" s="2144"/>
      <c r="AF45" s="2144"/>
      <c r="AG45" s="2144"/>
      <c r="AH45" s="2144"/>
      <c r="AI45" s="2144"/>
      <c r="AJ45" s="2144"/>
      <c r="AK45" s="2144"/>
      <c r="AL45" s="1378"/>
      <c r="AM45" s="2"/>
      <c r="AN45" s="2149" t="s">
        <v>5756</v>
      </c>
      <c r="AO45" s="1388"/>
      <c r="AP45" s="1388"/>
      <c r="AQ45" s="1388"/>
      <c r="AR45" s="1388"/>
      <c r="AS45" s="1388"/>
      <c r="AT45" s="1388"/>
      <c r="AU45" s="1388"/>
      <c r="AV45" s="1388"/>
      <c r="AW45" s="1388"/>
      <c r="AX45" s="1389"/>
      <c r="AY45" s="2"/>
      <c r="AZ45" s="1714"/>
      <c r="BA45" s="1408"/>
      <c r="BB45" s="2144"/>
      <c r="BC45" s="2144"/>
      <c r="BD45" s="2144"/>
      <c r="BE45" s="2144"/>
      <c r="BF45" s="2144"/>
      <c r="BG45" s="2144"/>
      <c r="BH45" s="2144"/>
      <c r="BI45" s="2144"/>
      <c r="BJ45" s="1378"/>
    </row>
    <row r="46" spans="4:62" ht="22.05" customHeight="1">
      <c r="D46" s="2151" t="s">
        <v>5757</v>
      </c>
      <c r="E46" s="1388"/>
      <c r="F46" s="1389"/>
      <c r="G46" s="2151"/>
      <c r="H46" s="1388"/>
      <c r="I46" s="1388"/>
      <c r="J46" s="1388"/>
      <c r="K46" s="1388"/>
      <c r="L46" s="1388"/>
      <c r="M46" s="1388"/>
      <c r="N46" s="1389"/>
      <c r="O46" s="988"/>
      <c r="P46" s="869"/>
      <c r="Q46" s="869"/>
      <c r="R46" s="869"/>
      <c r="S46" s="869"/>
      <c r="T46" s="869"/>
      <c r="U46" s="869"/>
      <c r="V46" s="869"/>
      <c r="W46" s="869"/>
      <c r="X46" s="869"/>
      <c r="Y46" s="869"/>
      <c r="Z46" s="869"/>
      <c r="AA46" s="869"/>
      <c r="AB46" s="1714"/>
      <c r="AC46" s="1408"/>
      <c r="AD46" s="2144"/>
      <c r="AE46" s="2144"/>
      <c r="AF46" s="2144"/>
      <c r="AG46" s="2144"/>
      <c r="AH46" s="2144"/>
      <c r="AI46" s="2144"/>
      <c r="AJ46" s="2144"/>
      <c r="AK46" s="2144"/>
      <c r="AL46" s="1378"/>
      <c r="AM46" s="2"/>
      <c r="AN46" s="2145" t="s">
        <v>5669</v>
      </c>
      <c r="AO46" s="2146" t="s">
        <v>5758</v>
      </c>
      <c r="AP46" s="1388"/>
      <c r="AQ46" s="1388"/>
      <c r="AR46" s="1388"/>
      <c r="AS46" s="1388"/>
      <c r="AT46" s="1388"/>
      <c r="AU46" s="1388"/>
      <c r="AV46" s="1388"/>
      <c r="AW46" s="1388"/>
      <c r="AX46" s="1389"/>
      <c r="AY46" s="2"/>
      <c r="AZ46" s="1714"/>
      <c r="BA46" s="1409"/>
      <c r="BB46" s="1410"/>
      <c r="BC46" s="1410"/>
      <c r="BD46" s="1410"/>
      <c r="BE46" s="1410"/>
      <c r="BF46" s="1410"/>
      <c r="BG46" s="1410"/>
      <c r="BH46" s="1410"/>
      <c r="BI46" s="1410"/>
      <c r="BJ46" s="1411"/>
    </row>
    <row r="47" spans="4:62" ht="22.05" customHeight="1">
      <c r="D47" s="2151" t="s">
        <v>5759</v>
      </c>
      <c r="E47" s="1388"/>
      <c r="F47" s="1389"/>
      <c r="G47" s="2151"/>
      <c r="H47" s="1388"/>
      <c r="I47" s="1388"/>
      <c r="J47" s="1388"/>
      <c r="K47" s="1388"/>
      <c r="L47" s="1388"/>
      <c r="M47" s="1388"/>
      <c r="N47" s="1389"/>
      <c r="O47" s="988"/>
      <c r="P47" s="869"/>
      <c r="Q47" s="869"/>
      <c r="R47" s="869"/>
      <c r="S47" s="869"/>
      <c r="T47" s="869"/>
      <c r="U47" s="869"/>
      <c r="V47" s="869"/>
      <c r="W47" s="869"/>
      <c r="X47" s="869"/>
      <c r="Y47" s="869"/>
      <c r="Z47" s="869"/>
      <c r="AA47" s="869"/>
      <c r="AB47" s="1715"/>
      <c r="AC47" s="1409"/>
      <c r="AD47" s="1410"/>
      <c r="AE47" s="1410"/>
      <c r="AF47" s="1410"/>
      <c r="AG47" s="1410"/>
      <c r="AH47" s="1410"/>
      <c r="AI47" s="1410"/>
      <c r="AJ47" s="1410"/>
      <c r="AK47" s="1410"/>
      <c r="AL47" s="1411"/>
      <c r="AM47" s="2"/>
      <c r="AN47" s="1714"/>
      <c r="AO47" s="2146" t="s">
        <v>5760</v>
      </c>
      <c r="AP47" s="1388"/>
      <c r="AQ47" s="1388"/>
      <c r="AR47" s="1388"/>
      <c r="AS47" s="1388"/>
      <c r="AT47" s="1388"/>
      <c r="AU47" s="1388"/>
      <c r="AV47" s="1388"/>
      <c r="AW47" s="1388"/>
      <c r="AX47" s="1389"/>
      <c r="AY47" s="2"/>
      <c r="AZ47" s="1714"/>
      <c r="BA47" s="2147" t="s">
        <v>5761</v>
      </c>
      <c r="BB47" s="1406"/>
      <c r="BC47" s="1406"/>
      <c r="BD47" s="1406"/>
      <c r="BE47" s="1406"/>
      <c r="BF47" s="1406"/>
      <c r="BG47" s="1406"/>
      <c r="BH47" s="1406"/>
      <c r="BI47" s="1406"/>
      <c r="BJ47" s="1407"/>
    </row>
    <row r="48" spans="4:62" ht="22.05" customHeight="1">
      <c r="D48" s="2151" t="s">
        <v>5762</v>
      </c>
      <c r="E48" s="1388"/>
      <c r="F48" s="1389"/>
      <c r="G48" s="2151"/>
      <c r="H48" s="1388"/>
      <c r="I48" s="1388"/>
      <c r="J48" s="1388"/>
      <c r="K48" s="1388"/>
      <c r="L48" s="1388"/>
      <c r="M48" s="1388"/>
      <c r="N48" s="1389"/>
      <c r="O48" s="988"/>
      <c r="P48" s="869"/>
      <c r="Q48" s="869"/>
      <c r="R48" s="869"/>
      <c r="S48" s="869"/>
      <c r="T48" s="869"/>
      <c r="U48" s="869"/>
      <c r="V48" s="869"/>
      <c r="W48" s="869"/>
      <c r="X48" s="869"/>
      <c r="Y48" s="869"/>
      <c r="Z48" s="869"/>
      <c r="AA48" s="869"/>
      <c r="AB48" s="2149" t="s">
        <v>5763</v>
      </c>
      <c r="AC48" s="1388"/>
      <c r="AD48" s="1388"/>
      <c r="AE48" s="1388"/>
      <c r="AF48" s="1388"/>
      <c r="AG48" s="1388"/>
      <c r="AH48" s="1388"/>
      <c r="AI48" s="1388"/>
      <c r="AJ48" s="1388"/>
      <c r="AK48" s="1388"/>
      <c r="AL48" s="1389"/>
      <c r="AM48" s="2"/>
      <c r="AN48" s="1714"/>
      <c r="AO48" s="2153" t="s">
        <v>5764</v>
      </c>
      <c r="AP48" s="1406"/>
      <c r="AQ48" s="1406"/>
      <c r="AR48" s="1406"/>
      <c r="AS48" s="1406"/>
      <c r="AT48" s="1406"/>
      <c r="AU48" s="1406"/>
      <c r="AV48" s="1406"/>
      <c r="AW48" s="1406"/>
      <c r="AX48" s="1407"/>
      <c r="AY48" s="2"/>
      <c r="AZ48" s="1714"/>
      <c r="BA48" s="1408"/>
      <c r="BB48" s="2144"/>
      <c r="BC48" s="2144"/>
      <c r="BD48" s="2144"/>
      <c r="BE48" s="2144"/>
      <c r="BF48" s="2144"/>
      <c r="BG48" s="2144"/>
      <c r="BH48" s="2144"/>
      <c r="BI48" s="2144"/>
      <c r="BJ48" s="1378"/>
    </row>
    <row r="49" spans="4:62" ht="22.05" customHeight="1">
      <c r="D49" s="2151" t="s">
        <v>5765</v>
      </c>
      <c r="E49" s="1388"/>
      <c r="F49" s="1389"/>
      <c r="G49" s="2151"/>
      <c r="H49" s="1388"/>
      <c r="I49" s="1388"/>
      <c r="J49" s="1388"/>
      <c r="K49" s="1388"/>
      <c r="L49" s="1388"/>
      <c r="M49" s="1388"/>
      <c r="N49" s="1389"/>
      <c r="O49" s="988"/>
      <c r="P49" s="869"/>
      <c r="Q49" s="869"/>
      <c r="R49" s="869"/>
      <c r="S49" s="869"/>
      <c r="T49" s="869"/>
      <c r="U49" s="869"/>
      <c r="V49" s="869"/>
      <c r="W49" s="869"/>
      <c r="X49" s="869"/>
      <c r="Y49" s="869"/>
      <c r="Z49" s="869"/>
      <c r="AA49" s="869"/>
      <c r="AB49" s="2145" t="s">
        <v>5667</v>
      </c>
      <c r="AC49" s="2171" t="s">
        <v>5766</v>
      </c>
      <c r="AD49" s="1406"/>
      <c r="AE49" s="1406"/>
      <c r="AF49" s="1406"/>
      <c r="AG49" s="1406"/>
      <c r="AH49" s="1406"/>
      <c r="AI49" s="1406"/>
      <c r="AJ49" s="1406"/>
      <c r="AK49" s="1406"/>
      <c r="AL49" s="1407"/>
      <c r="AM49" s="2"/>
      <c r="AN49" s="1714"/>
      <c r="AO49" s="1408"/>
      <c r="AP49" s="2144"/>
      <c r="AQ49" s="2144"/>
      <c r="AR49" s="2144"/>
      <c r="AS49" s="2144"/>
      <c r="AT49" s="2144"/>
      <c r="AU49" s="2144"/>
      <c r="AV49" s="2144"/>
      <c r="AW49" s="2144"/>
      <c r="AX49" s="1378"/>
      <c r="AY49" s="2"/>
      <c r="AZ49" s="1714"/>
      <c r="BA49" s="1408"/>
      <c r="BB49" s="2144"/>
      <c r="BC49" s="2144"/>
      <c r="BD49" s="2144"/>
      <c r="BE49" s="2144"/>
      <c r="BF49" s="2144"/>
      <c r="BG49" s="2144"/>
      <c r="BH49" s="2144"/>
      <c r="BI49" s="2144"/>
      <c r="BJ49" s="1378"/>
    </row>
    <row r="50" spans="4:62" ht="22.05" customHeight="1">
      <c r="D50" s="2151" t="s">
        <v>5767</v>
      </c>
      <c r="E50" s="1388"/>
      <c r="F50" s="1389"/>
      <c r="G50" s="2151" t="s">
        <v>5768</v>
      </c>
      <c r="H50" s="1388"/>
      <c r="I50" s="1388"/>
      <c r="J50" s="1388"/>
      <c r="K50" s="1388"/>
      <c r="L50" s="1388"/>
      <c r="M50" s="1388"/>
      <c r="N50" s="1389"/>
      <c r="O50" s="988"/>
      <c r="P50" s="869"/>
      <c r="Q50" s="869"/>
      <c r="R50" s="869"/>
      <c r="S50" s="869"/>
      <c r="T50" s="869"/>
      <c r="U50" s="869"/>
      <c r="V50" s="869"/>
      <c r="W50" s="869"/>
      <c r="X50" s="869"/>
      <c r="Y50" s="869"/>
      <c r="Z50" s="869"/>
      <c r="AA50" s="869"/>
      <c r="AB50" s="1714"/>
      <c r="AC50" s="1408"/>
      <c r="AD50" s="2144"/>
      <c r="AE50" s="2144"/>
      <c r="AF50" s="2144"/>
      <c r="AG50" s="2144"/>
      <c r="AH50" s="2144"/>
      <c r="AI50" s="2144"/>
      <c r="AJ50" s="2144"/>
      <c r="AK50" s="2144"/>
      <c r="AL50" s="1378"/>
      <c r="AM50" s="2"/>
      <c r="AN50" s="1714"/>
      <c r="AO50" s="1409"/>
      <c r="AP50" s="1410"/>
      <c r="AQ50" s="1410"/>
      <c r="AR50" s="1410"/>
      <c r="AS50" s="1410"/>
      <c r="AT50" s="1410"/>
      <c r="AU50" s="1410"/>
      <c r="AV50" s="1410"/>
      <c r="AW50" s="1410"/>
      <c r="AX50" s="1411"/>
      <c r="AY50" s="2"/>
      <c r="AZ50" s="1714"/>
      <c r="BA50" s="1408"/>
      <c r="BB50" s="2144"/>
      <c r="BC50" s="2144"/>
      <c r="BD50" s="2144"/>
      <c r="BE50" s="2144"/>
      <c r="BF50" s="2144"/>
      <c r="BG50" s="2144"/>
      <c r="BH50" s="2144"/>
      <c r="BI50" s="2144"/>
      <c r="BJ50" s="1378"/>
    </row>
    <row r="51" spans="4:62" ht="22.05" customHeight="1">
      <c r="D51" s="2151" t="s">
        <v>5769</v>
      </c>
      <c r="E51" s="1388"/>
      <c r="F51" s="1389"/>
      <c r="G51" s="2151"/>
      <c r="H51" s="1388"/>
      <c r="I51" s="1388"/>
      <c r="J51" s="1388"/>
      <c r="K51" s="1388"/>
      <c r="L51" s="1388"/>
      <c r="M51" s="1388"/>
      <c r="N51" s="1389"/>
      <c r="O51" s="988"/>
      <c r="P51" s="869"/>
      <c r="Q51" s="869"/>
      <c r="R51" s="869"/>
      <c r="S51" s="869"/>
      <c r="T51" s="869"/>
      <c r="U51" s="869"/>
      <c r="V51" s="869"/>
      <c r="W51" s="869"/>
      <c r="X51" s="869"/>
      <c r="Y51" s="869"/>
      <c r="Z51" s="869"/>
      <c r="AA51" s="869"/>
      <c r="AB51" s="1714"/>
      <c r="AC51" s="1408"/>
      <c r="AD51" s="2144"/>
      <c r="AE51" s="2144"/>
      <c r="AF51" s="2144"/>
      <c r="AG51" s="2144"/>
      <c r="AH51" s="2144"/>
      <c r="AI51" s="2144"/>
      <c r="AJ51" s="2144"/>
      <c r="AK51" s="2144"/>
      <c r="AL51" s="1378"/>
      <c r="AM51" s="2"/>
      <c r="AN51" s="1714"/>
      <c r="AO51" s="2153" t="s">
        <v>5770</v>
      </c>
      <c r="AP51" s="1406"/>
      <c r="AQ51" s="1406"/>
      <c r="AR51" s="1406"/>
      <c r="AS51" s="1406"/>
      <c r="AT51" s="1406"/>
      <c r="AU51" s="1406"/>
      <c r="AV51" s="1406"/>
      <c r="AW51" s="1406"/>
      <c r="AX51" s="1407"/>
      <c r="AY51" s="2"/>
      <c r="AZ51" s="1715"/>
      <c r="BA51" s="1409"/>
      <c r="BB51" s="1410"/>
      <c r="BC51" s="1410"/>
      <c r="BD51" s="1410"/>
      <c r="BE51" s="1410"/>
      <c r="BF51" s="1410"/>
      <c r="BG51" s="1410"/>
      <c r="BH51" s="1410"/>
      <c r="BI51" s="1410"/>
      <c r="BJ51" s="1411"/>
    </row>
    <row r="52" spans="4:62" ht="22.05" customHeight="1">
      <c r="D52" s="2151" t="s">
        <v>5771</v>
      </c>
      <c r="E52" s="1388"/>
      <c r="F52" s="1389"/>
      <c r="G52" s="2151"/>
      <c r="H52" s="1388"/>
      <c r="I52" s="1388"/>
      <c r="J52" s="1388"/>
      <c r="K52" s="1388"/>
      <c r="L52" s="1388"/>
      <c r="M52" s="1388"/>
      <c r="N52" s="1389"/>
      <c r="O52" s="988"/>
      <c r="P52" s="869"/>
      <c r="Q52" s="869"/>
      <c r="R52" s="869"/>
      <c r="S52" s="869"/>
      <c r="T52" s="869"/>
      <c r="U52" s="869"/>
      <c r="V52" s="869"/>
      <c r="W52" s="869"/>
      <c r="X52" s="869"/>
      <c r="Y52" s="869"/>
      <c r="Z52" s="869"/>
      <c r="AA52" s="869"/>
      <c r="AB52" s="1715"/>
      <c r="AC52" s="1409"/>
      <c r="AD52" s="1410"/>
      <c r="AE52" s="1410"/>
      <c r="AF52" s="1410"/>
      <c r="AG52" s="1410"/>
      <c r="AH52" s="1410"/>
      <c r="AI52" s="1410"/>
      <c r="AJ52" s="1410"/>
      <c r="AK52" s="1410"/>
      <c r="AL52" s="1411"/>
      <c r="AM52" s="2"/>
      <c r="AN52" s="1714"/>
      <c r="AO52" s="1408"/>
      <c r="AP52" s="2144"/>
      <c r="AQ52" s="2144"/>
      <c r="AR52" s="2144"/>
      <c r="AS52" s="2144"/>
      <c r="AT52" s="2144"/>
      <c r="AU52" s="2144"/>
      <c r="AV52" s="2144"/>
      <c r="AW52" s="2144"/>
      <c r="AX52" s="1378"/>
      <c r="AY52" s="2"/>
      <c r="AZ52" s="2148" t="s">
        <v>5772</v>
      </c>
      <c r="BA52" s="2146" t="s">
        <v>5773</v>
      </c>
      <c r="BB52" s="1388"/>
      <c r="BC52" s="1388"/>
      <c r="BD52" s="1388"/>
      <c r="BE52" s="1388"/>
      <c r="BF52" s="1388"/>
      <c r="BG52" s="1388"/>
      <c r="BH52" s="1388"/>
      <c r="BI52" s="1388"/>
      <c r="BJ52" s="1389"/>
    </row>
    <row r="53" spans="4:62" ht="22.05" customHeight="1">
      <c r="D53" s="2151" t="s">
        <v>5774</v>
      </c>
      <c r="E53" s="1388"/>
      <c r="F53" s="1389"/>
      <c r="G53" s="2151"/>
      <c r="H53" s="1388"/>
      <c r="I53" s="1388"/>
      <c r="J53" s="1388"/>
      <c r="K53" s="1388"/>
      <c r="L53" s="1388"/>
      <c r="M53" s="1388"/>
      <c r="N53" s="1389"/>
      <c r="O53" s="988"/>
      <c r="P53" s="869"/>
      <c r="Q53" s="869"/>
      <c r="R53" s="869"/>
      <c r="S53" s="869"/>
      <c r="T53" s="869"/>
      <c r="U53" s="869"/>
      <c r="V53" s="869"/>
      <c r="W53" s="869"/>
      <c r="X53" s="869"/>
      <c r="Y53" s="869"/>
      <c r="Z53" s="869"/>
      <c r="AA53" s="869"/>
      <c r="AB53" s="2149" t="s">
        <v>5775</v>
      </c>
      <c r="AC53" s="1388"/>
      <c r="AD53" s="1388"/>
      <c r="AE53" s="1388"/>
      <c r="AF53" s="1388"/>
      <c r="AG53" s="1388"/>
      <c r="AH53" s="1388"/>
      <c r="AI53" s="1388"/>
      <c r="AJ53" s="1388"/>
      <c r="AK53" s="1388"/>
      <c r="AL53" s="1389"/>
      <c r="AM53" s="2"/>
      <c r="AN53" s="1714"/>
      <c r="AO53" s="1409"/>
      <c r="AP53" s="1410"/>
      <c r="AQ53" s="1410"/>
      <c r="AR53" s="1410"/>
      <c r="AS53" s="1410"/>
      <c r="AT53" s="1410"/>
      <c r="AU53" s="1410"/>
      <c r="AV53" s="1410"/>
      <c r="AW53" s="1410"/>
      <c r="AX53" s="1411"/>
      <c r="AY53" s="2"/>
      <c r="AZ53" s="1714"/>
      <c r="BA53" s="2147" t="s">
        <v>5776</v>
      </c>
      <c r="BB53" s="1406"/>
      <c r="BC53" s="1406"/>
      <c r="BD53" s="1406"/>
      <c r="BE53" s="1406"/>
      <c r="BF53" s="1406"/>
      <c r="BG53" s="1406"/>
      <c r="BH53" s="1406"/>
      <c r="BI53" s="1406"/>
      <c r="BJ53" s="1407"/>
    </row>
    <row r="54" spans="4:62" ht="22.05" customHeight="1">
      <c r="D54" s="2151" t="s">
        <v>5777</v>
      </c>
      <c r="E54" s="1388"/>
      <c r="F54" s="1389"/>
      <c r="G54" s="2151"/>
      <c r="H54" s="1388"/>
      <c r="I54" s="1388"/>
      <c r="J54" s="1388"/>
      <c r="K54" s="1388"/>
      <c r="L54" s="1388"/>
      <c r="M54" s="1388"/>
      <c r="N54" s="1389"/>
      <c r="O54" s="988"/>
      <c r="P54" s="869"/>
      <c r="Q54" s="869"/>
      <c r="R54" s="869"/>
      <c r="S54" s="869"/>
      <c r="T54" s="869"/>
      <c r="U54" s="869"/>
      <c r="V54" s="869"/>
      <c r="W54" s="869"/>
      <c r="X54" s="869"/>
      <c r="Y54" s="869"/>
      <c r="Z54" s="869"/>
      <c r="AA54" s="869"/>
      <c r="AB54" s="2145" t="s">
        <v>5667</v>
      </c>
      <c r="AC54" s="2171" t="s">
        <v>5778</v>
      </c>
      <c r="AD54" s="1406"/>
      <c r="AE54" s="1406"/>
      <c r="AF54" s="1406"/>
      <c r="AG54" s="1406"/>
      <c r="AH54" s="1406"/>
      <c r="AI54" s="1406"/>
      <c r="AJ54" s="1406"/>
      <c r="AK54" s="1406"/>
      <c r="AL54" s="1407"/>
      <c r="AM54" s="2"/>
      <c r="AN54" s="1714"/>
      <c r="AO54" s="2146" t="s">
        <v>5779</v>
      </c>
      <c r="AP54" s="1388"/>
      <c r="AQ54" s="1388"/>
      <c r="AR54" s="1388"/>
      <c r="AS54" s="1388"/>
      <c r="AT54" s="1388"/>
      <c r="AU54" s="1388"/>
      <c r="AV54" s="1388"/>
      <c r="AW54" s="1388"/>
      <c r="AX54" s="1389"/>
      <c r="AY54" s="2"/>
      <c r="AZ54" s="1714"/>
      <c r="BA54" s="1408"/>
      <c r="BB54" s="2144"/>
      <c r="BC54" s="2144"/>
      <c r="BD54" s="2144"/>
      <c r="BE54" s="2144"/>
      <c r="BF54" s="2144"/>
      <c r="BG54" s="2144"/>
      <c r="BH54" s="2144"/>
      <c r="BI54" s="2144"/>
      <c r="BJ54" s="1378"/>
    </row>
    <row r="55" spans="4:62" ht="22.05" customHeight="1">
      <c r="D55" s="2151" t="s">
        <v>5780</v>
      </c>
      <c r="E55" s="1388"/>
      <c r="F55" s="1389"/>
      <c r="G55" s="2151" t="s">
        <v>5781</v>
      </c>
      <c r="H55" s="1388"/>
      <c r="I55" s="1388"/>
      <c r="J55" s="1388"/>
      <c r="K55" s="1388"/>
      <c r="L55" s="1388"/>
      <c r="M55" s="1388"/>
      <c r="N55" s="1389"/>
      <c r="O55" s="988"/>
      <c r="P55" s="869"/>
      <c r="Q55" s="869"/>
      <c r="R55" s="869"/>
      <c r="S55" s="869"/>
      <c r="T55" s="869"/>
      <c r="U55" s="869"/>
      <c r="V55" s="869"/>
      <c r="W55" s="869"/>
      <c r="X55" s="869"/>
      <c r="Y55" s="869"/>
      <c r="Z55" s="869"/>
      <c r="AA55" s="869"/>
      <c r="AB55" s="1714"/>
      <c r="AC55" s="1408"/>
      <c r="AD55" s="2144"/>
      <c r="AE55" s="2144"/>
      <c r="AF55" s="2144"/>
      <c r="AG55" s="2144"/>
      <c r="AH55" s="2144"/>
      <c r="AI55" s="2144"/>
      <c r="AJ55" s="2144"/>
      <c r="AK55" s="2144"/>
      <c r="AL55" s="1378"/>
      <c r="AM55" s="2"/>
      <c r="AN55" s="1714"/>
      <c r="AO55" s="2153" t="s">
        <v>5782</v>
      </c>
      <c r="AP55" s="1406"/>
      <c r="AQ55" s="1406"/>
      <c r="AR55" s="1406"/>
      <c r="AS55" s="1406"/>
      <c r="AT55" s="1406"/>
      <c r="AU55" s="1406"/>
      <c r="AV55" s="1406"/>
      <c r="AW55" s="1406"/>
      <c r="AX55" s="1407"/>
      <c r="AY55" s="2"/>
      <c r="AZ55" s="1714"/>
      <c r="BA55" s="1408"/>
      <c r="BB55" s="2144"/>
      <c r="BC55" s="2144"/>
      <c r="BD55" s="2144"/>
      <c r="BE55" s="2144"/>
      <c r="BF55" s="2144"/>
      <c r="BG55" s="2144"/>
      <c r="BH55" s="2144"/>
      <c r="BI55" s="2144"/>
      <c r="BJ55" s="1378"/>
    </row>
    <row r="56" spans="4:62" ht="22.05" customHeight="1">
      <c r="D56" s="2151" t="s">
        <v>5783</v>
      </c>
      <c r="E56" s="1388"/>
      <c r="F56" s="1389"/>
      <c r="G56" s="2151" t="s">
        <v>5784</v>
      </c>
      <c r="H56" s="1388"/>
      <c r="I56" s="1388"/>
      <c r="J56" s="1388"/>
      <c r="K56" s="1388"/>
      <c r="L56" s="1388"/>
      <c r="M56" s="1388"/>
      <c r="N56" s="1389"/>
      <c r="O56" s="988"/>
      <c r="AA56" s="869"/>
      <c r="AB56" s="1714"/>
      <c r="AC56" s="1408"/>
      <c r="AD56" s="2144"/>
      <c r="AE56" s="2144"/>
      <c r="AF56" s="2144"/>
      <c r="AG56" s="2144"/>
      <c r="AH56" s="2144"/>
      <c r="AI56" s="2144"/>
      <c r="AJ56" s="2144"/>
      <c r="AK56" s="2144"/>
      <c r="AL56" s="1378"/>
      <c r="AM56" s="2"/>
      <c r="AN56" s="1714"/>
      <c r="AO56" s="1408"/>
      <c r="AP56" s="2144"/>
      <c r="AQ56" s="2144"/>
      <c r="AR56" s="2144"/>
      <c r="AS56" s="2144"/>
      <c r="AT56" s="2144"/>
      <c r="AU56" s="2144"/>
      <c r="AV56" s="2144"/>
      <c r="AW56" s="2144"/>
      <c r="AX56" s="1378"/>
      <c r="AY56" s="2"/>
      <c r="AZ56" s="1714"/>
      <c r="BA56" s="1408"/>
      <c r="BB56" s="2144"/>
      <c r="BC56" s="2144"/>
      <c r="BD56" s="2144"/>
      <c r="BE56" s="2144"/>
      <c r="BF56" s="2144"/>
      <c r="BG56" s="2144"/>
      <c r="BH56" s="2144"/>
      <c r="BI56" s="2144"/>
      <c r="BJ56" s="1378"/>
    </row>
    <row r="57" spans="4:62" ht="22.05" customHeight="1">
      <c r="D57" s="2151" t="s">
        <v>5785</v>
      </c>
      <c r="E57" s="1388"/>
      <c r="F57" s="1389"/>
      <c r="G57" s="2151"/>
      <c r="H57" s="1388"/>
      <c r="I57" s="1388"/>
      <c r="J57" s="1388"/>
      <c r="K57" s="1388"/>
      <c r="L57" s="1388"/>
      <c r="M57" s="1388"/>
      <c r="N57" s="1389"/>
      <c r="O57" s="988"/>
      <c r="AA57" s="869"/>
      <c r="AB57" s="1715"/>
      <c r="AC57" s="1409"/>
      <c r="AD57" s="1410"/>
      <c r="AE57" s="1410"/>
      <c r="AF57" s="1410"/>
      <c r="AG57" s="1410"/>
      <c r="AH57" s="1410"/>
      <c r="AI57" s="1410"/>
      <c r="AJ57" s="1410"/>
      <c r="AK57" s="1410"/>
      <c r="AL57" s="1411"/>
      <c r="AM57" s="2"/>
      <c r="AN57" s="1714"/>
      <c r="AO57" s="1408"/>
      <c r="AP57" s="2144"/>
      <c r="AQ57" s="2144"/>
      <c r="AR57" s="2144"/>
      <c r="AS57" s="2144"/>
      <c r="AT57" s="2144"/>
      <c r="AU57" s="2144"/>
      <c r="AV57" s="2144"/>
      <c r="AW57" s="2144"/>
      <c r="AX57" s="1378"/>
      <c r="AY57" s="2"/>
      <c r="AZ57" s="1714"/>
      <c r="BA57" s="1408"/>
      <c r="BB57" s="2144"/>
      <c r="BC57" s="2144"/>
      <c r="BD57" s="2144"/>
      <c r="BE57" s="2144"/>
      <c r="BF57" s="2144"/>
      <c r="BG57" s="2144"/>
      <c r="BH57" s="2144"/>
      <c r="BI57" s="2144"/>
      <c r="BJ57" s="1378"/>
    </row>
    <row r="58" spans="4:62" ht="22.05" customHeight="1">
      <c r="D58" s="2151" t="s">
        <v>5786</v>
      </c>
      <c r="E58" s="1388"/>
      <c r="F58" s="1389"/>
      <c r="G58" s="2151"/>
      <c r="H58" s="1388"/>
      <c r="I58" s="1388"/>
      <c r="J58" s="1388"/>
      <c r="K58" s="1388"/>
      <c r="L58" s="1388"/>
      <c r="M58" s="1388"/>
      <c r="N58" s="1389"/>
      <c r="O58" s="988"/>
      <c r="AA58" s="869"/>
      <c r="AB58" s="2145" t="s">
        <v>108</v>
      </c>
      <c r="AC58" s="2171" t="s">
        <v>5787</v>
      </c>
      <c r="AD58" s="1406"/>
      <c r="AE58" s="1406"/>
      <c r="AF58" s="1406"/>
      <c r="AG58" s="1406"/>
      <c r="AH58" s="1406"/>
      <c r="AI58" s="1406"/>
      <c r="AJ58" s="1406"/>
      <c r="AK58" s="1406"/>
      <c r="AL58" s="1407"/>
      <c r="AM58" s="2"/>
      <c r="AN58" s="1714"/>
      <c r="AO58" s="1408"/>
      <c r="AP58" s="2144"/>
      <c r="AQ58" s="2144"/>
      <c r="AR58" s="2144"/>
      <c r="AS58" s="2144"/>
      <c r="AT58" s="2144"/>
      <c r="AU58" s="2144"/>
      <c r="AV58" s="2144"/>
      <c r="AW58" s="2144"/>
      <c r="AX58" s="1378"/>
      <c r="AY58" s="2"/>
      <c r="AZ58" s="1714"/>
      <c r="BA58" s="1408"/>
      <c r="BB58" s="2144"/>
      <c r="BC58" s="2144"/>
      <c r="BD58" s="2144"/>
      <c r="BE58" s="2144"/>
      <c r="BF58" s="2144"/>
      <c r="BG58" s="2144"/>
      <c r="BH58" s="2144"/>
      <c r="BI58" s="2144"/>
      <c r="BJ58" s="1378"/>
    </row>
    <row r="59" spans="4:62" ht="22.05" customHeight="1">
      <c r="D59" s="2151"/>
      <c r="E59" s="1388"/>
      <c r="F59" s="1389"/>
      <c r="G59" s="2151"/>
      <c r="H59" s="1388"/>
      <c r="I59" s="1388"/>
      <c r="J59" s="1388"/>
      <c r="K59" s="1388"/>
      <c r="L59" s="1388"/>
      <c r="M59" s="1388"/>
      <c r="N59" s="1389"/>
      <c r="O59" s="988"/>
      <c r="AA59" s="869"/>
      <c r="AB59" s="1714"/>
      <c r="AC59" s="1408"/>
      <c r="AD59" s="2144"/>
      <c r="AE59" s="2144"/>
      <c r="AF59" s="2144"/>
      <c r="AG59" s="2144"/>
      <c r="AH59" s="2144"/>
      <c r="AI59" s="2144"/>
      <c r="AJ59" s="2144"/>
      <c r="AK59" s="2144"/>
      <c r="AL59" s="1378"/>
      <c r="AM59" s="2"/>
      <c r="AN59" s="1714"/>
      <c r="AO59" s="1409"/>
      <c r="AP59" s="1410"/>
      <c r="AQ59" s="1410"/>
      <c r="AR59" s="1410"/>
      <c r="AS59" s="1410"/>
      <c r="AT59" s="1410"/>
      <c r="AU59" s="1410"/>
      <c r="AV59" s="1410"/>
      <c r="AW59" s="1410"/>
      <c r="AX59" s="1411"/>
      <c r="AY59" s="2"/>
      <c r="AZ59" s="1714"/>
      <c r="BA59" s="1408"/>
      <c r="BB59" s="2144"/>
      <c r="BC59" s="2144"/>
      <c r="BD59" s="2144"/>
      <c r="BE59" s="2144"/>
      <c r="BF59" s="2144"/>
      <c r="BG59" s="2144"/>
      <c r="BH59" s="2144"/>
      <c r="BI59" s="2144"/>
      <c r="BJ59" s="1378"/>
    </row>
    <row r="60" spans="4:62" ht="22.05" customHeight="1">
      <c r="D60" s="2151"/>
      <c r="E60" s="1388"/>
      <c r="F60" s="1389"/>
      <c r="G60" s="2151"/>
      <c r="H60" s="1388"/>
      <c r="I60" s="1388"/>
      <c r="J60" s="1388"/>
      <c r="K60" s="1388"/>
      <c r="L60" s="1388"/>
      <c r="M60" s="1388"/>
      <c r="N60" s="1389"/>
      <c r="O60" s="988"/>
      <c r="AA60" s="869"/>
      <c r="AB60" s="1714"/>
      <c r="AC60" s="1408"/>
      <c r="AD60" s="2144"/>
      <c r="AE60" s="2144"/>
      <c r="AF60" s="2144"/>
      <c r="AG60" s="2144"/>
      <c r="AH60" s="2144"/>
      <c r="AI60" s="2144"/>
      <c r="AJ60" s="2144"/>
      <c r="AK60" s="2144"/>
      <c r="AL60" s="1378"/>
      <c r="AM60" s="2"/>
      <c r="AN60" s="1714"/>
      <c r="AO60" s="2146" t="s">
        <v>5788</v>
      </c>
      <c r="AP60" s="1388"/>
      <c r="AQ60" s="1388"/>
      <c r="AR60" s="1388"/>
      <c r="AS60" s="1388"/>
      <c r="AT60" s="1388"/>
      <c r="AU60" s="1388"/>
      <c r="AV60" s="1388"/>
      <c r="AW60" s="1388"/>
      <c r="AX60" s="1389"/>
      <c r="AY60" s="2"/>
      <c r="AZ60" s="1714"/>
      <c r="BA60" s="1408"/>
      <c r="BB60" s="2144"/>
      <c r="BC60" s="2144"/>
      <c r="BD60" s="2144"/>
      <c r="BE60" s="2144"/>
      <c r="BF60" s="2144"/>
      <c r="BG60" s="2144"/>
      <c r="BH60" s="2144"/>
      <c r="BI60" s="2144"/>
      <c r="BJ60" s="1378"/>
    </row>
    <row r="61" spans="4:62" ht="22.05" customHeight="1">
      <c r="D61" s="2151"/>
      <c r="E61" s="1388"/>
      <c r="F61" s="1389"/>
      <c r="G61" s="2151"/>
      <c r="H61" s="1388"/>
      <c r="I61" s="1388"/>
      <c r="J61" s="1388"/>
      <c r="K61" s="1388"/>
      <c r="L61" s="1388"/>
      <c r="M61" s="1388"/>
      <c r="N61" s="1389"/>
      <c r="O61" s="988"/>
      <c r="AA61" s="869"/>
      <c r="AB61" s="1715"/>
      <c r="AC61" s="1409"/>
      <c r="AD61" s="1410"/>
      <c r="AE61" s="1410"/>
      <c r="AF61" s="1410"/>
      <c r="AG61" s="1410"/>
      <c r="AH61" s="1410"/>
      <c r="AI61" s="1410"/>
      <c r="AJ61" s="1410"/>
      <c r="AK61" s="1410"/>
      <c r="AL61" s="1411"/>
      <c r="AM61" s="2"/>
      <c r="AN61" s="1714"/>
      <c r="AO61" s="2146" t="s">
        <v>5789</v>
      </c>
      <c r="AP61" s="1388"/>
      <c r="AQ61" s="1388"/>
      <c r="AR61" s="1388"/>
      <c r="AS61" s="1388"/>
      <c r="AT61" s="1388"/>
      <c r="AU61" s="1388"/>
      <c r="AV61" s="1388"/>
      <c r="AW61" s="1388"/>
      <c r="AX61" s="1389"/>
      <c r="AY61" s="2"/>
      <c r="AZ61" s="1714"/>
      <c r="BA61" s="1408"/>
      <c r="BB61" s="2144"/>
      <c r="BC61" s="2144"/>
      <c r="BD61" s="2144"/>
      <c r="BE61" s="2144"/>
      <c r="BF61" s="2144"/>
      <c r="BG61" s="2144"/>
      <c r="BH61" s="2144"/>
      <c r="BI61" s="2144"/>
      <c r="BJ61" s="1378"/>
    </row>
    <row r="62" spans="4:62" ht="22.05" customHeight="1">
      <c r="O62" s="988"/>
      <c r="AA62" s="869"/>
      <c r="AB62" s="2149" t="s">
        <v>5790</v>
      </c>
      <c r="AC62" s="1388"/>
      <c r="AD62" s="1388"/>
      <c r="AE62" s="1388"/>
      <c r="AF62" s="1388"/>
      <c r="AG62" s="1388"/>
      <c r="AH62" s="1388"/>
      <c r="AI62" s="1388"/>
      <c r="AJ62" s="1388"/>
      <c r="AK62" s="1388"/>
      <c r="AL62" s="1389"/>
      <c r="AM62" s="2"/>
      <c r="AN62" s="1714"/>
      <c r="AO62" s="2147" t="s">
        <v>5791</v>
      </c>
      <c r="AP62" s="1406"/>
      <c r="AQ62" s="1406"/>
      <c r="AR62" s="1406"/>
      <c r="AS62" s="1406"/>
      <c r="AT62" s="1406"/>
      <c r="AU62" s="1406"/>
      <c r="AV62" s="1406"/>
      <c r="AW62" s="1406"/>
      <c r="AX62" s="1407"/>
      <c r="AY62" s="2"/>
      <c r="AZ62" s="1715"/>
      <c r="BA62" s="1409"/>
      <c r="BB62" s="1410"/>
      <c r="BC62" s="1410"/>
      <c r="BD62" s="1410"/>
      <c r="BE62" s="1410"/>
      <c r="BF62" s="1410"/>
      <c r="BG62" s="1410"/>
      <c r="BH62" s="1410"/>
      <c r="BI62" s="1410"/>
      <c r="BJ62" s="1411"/>
    </row>
    <row r="63" spans="4:62" ht="22.05" customHeight="1">
      <c r="O63" s="988"/>
      <c r="AA63" s="869"/>
      <c r="AB63" s="2145" t="s">
        <v>5667</v>
      </c>
      <c r="AC63" s="2171" t="s">
        <v>5792</v>
      </c>
      <c r="AD63" s="1406"/>
      <c r="AE63" s="1406"/>
      <c r="AF63" s="1406"/>
      <c r="AG63" s="1406"/>
      <c r="AH63" s="1406"/>
      <c r="AI63" s="1406"/>
      <c r="AJ63" s="1406"/>
      <c r="AK63" s="1406"/>
      <c r="AL63" s="1407"/>
      <c r="AM63" s="2"/>
      <c r="AN63" s="1714"/>
      <c r="AO63" s="1408"/>
      <c r="AP63" s="2144"/>
      <c r="AQ63" s="2144"/>
      <c r="AR63" s="2144"/>
      <c r="AS63" s="2144"/>
      <c r="AT63" s="2144"/>
      <c r="AU63" s="2144"/>
      <c r="AV63" s="2144"/>
      <c r="AW63" s="2144"/>
      <c r="AX63" s="1378"/>
      <c r="AY63" s="2"/>
      <c r="AZ63" s="2148" t="s">
        <v>5793</v>
      </c>
      <c r="BA63" s="2147" t="s">
        <v>5794</v>
      </c>
      <c r="BB63" s="1388"/>
      <c r="BC63" s="1388"/>
      <c r="BD63" s="1388"/>
      <c r="BE63" s="1388"/>
      <c r="BF63" s="1388"/>
      <c r="BG63" s="1388"/>
      <c r="BH63" s="1388"/>
      <c r="BI63" s="1388"/>
      <c r="BJ63" s="1389"/>
    </row>
    <row r="64" spans="4:62" ht="22.05" customHeight="1">
      <c r="O64" s="988"/>
      <c r="AA64" s="869"/>
      <c r="AB64" s="1714"/>
      <c r="AC64" s="1408"/>
      <c r="AD64" s="2144"/>
      <c r="AE64" s="2144"/>
      <c r="AF64" s="2144"/>
      <c r="AG64" s="2144"/>
      <c r="AH64" s="2144"/>
      <c r="AI64" s="2144"/>
      <c r="AJ64" s="2144"/>
      <c r="AK64" s="2144"/>
      <c r="AL64" s="1378"/>
      <c r="AM64" s="2"/>
      <c r="AN64" s="1715"/>
      <c r="AO64" s="1409"/>
      <c r="AP64" s="1410"/>
      <c r="AQ64" s="1410"/>
      <c r="AR64" s="1410"/>
      <c r="AS64" s="1410"/>
      <c r="AT64" s="1410"/>
      <c r="AU64" s="1410"/>
      <c r="AV64" s="1410"/>
      <c r="AW64" s="1410"/>
      <c r="AX64" s="1411"/>
      <c r="AY64" s="2"/>
      <c r="AZ64" s="1714"/>
      <c r="BA64" s="2147" t="s">
        <v>5795</v>
      </c>
      <c r="BB64" s="1406"/>
      <c r="BC64" s="1406"/>
      <c r="BD64" s="1406"/>
      <c r="BE64" s="1406"/>
      <c r="BF64" s="1406"/>
      <c r="BG64" s="1406"/>
      <c r="BH64" s="1406"/>
      <c r="BI64" s="1406"/>
      <c r="BJ64" s="1407"/>
    </row>
    <row r="65" spans="28:62" ht="22.05" customHeight="1">
      <c r="AB65" s="1714"/>
      <c r="AC65" s="1408"/>
      <c r="AD65" s="2144"/>
      <c r="AE65" s="2144"/>
      <c r="AF65" s="2144"/>
      <c r="AG65" s="2144"/>
      <c r="AH65" s="2144"/>
      <c r="AI65" s="2144"/>
      <c r="AJ65" s="2144"/>
      <c r="AK65" s="2144"/>
      <c r="AL65" s="1378"/>
      <c r="AM65" s="2"/>
      <c r="AN65" s="2184" t="s">
        <v>5699</v>
      </c>
      <c r="AO65" s="2147" t="s">
        <v>5796</v>
      </c>
      <c r="AP65" s="1406"/>
      <c r="AQ65" s="1406"/>
      <c r="AR65" s="1406"/>
      <c r="AS65" s="1406"/>
      <c r="AT65" s="1406"/>
      <c r="AU65" s="1406"/>
      <c r="AV65" s="1406"/>
      <c r="AW65" s="1406"/>
      <c r="AX65" s="1407"/>
      <c r="AY65" s="2"/>
      <c r="AZ65" s="1714"/>
      <c r="BA65" s="1409"/>
      <c r="BB65" s="1410"/>
      <c r="BC65" s="1410"/>
      <c r="BD65" s="1410"/>
      <c r="BE65" s="1410"/>
      <c r="BF65" s="1410"/>
      <c r="BG65" s="1410"/>
      <c r="BH65" s="1410"/>
      <c r="BI65" s="1410"/>
      <c r="BJ65" s="1411"/>
    </row>
    <row r="66" spans="28:62" ht="22.05" customHeight="1">
      <c r="AB66" s="1715"/>
      <c r="AC66" s="1409"/>
      <c r="AD66" s="1410"/>
      <c r="AE66" s="1410"/>
      <c r="AF66" s="1410"/>
      <c r="AG66" s="1410"/>
      <c r="AH66" s="1410"/>
      <c r="AI66" s="1410"/>
      <c r="AJ66" s="1410"/>
      <c r="AK66" s="1410"/>
      <c r="AL66" s="1411"/>
      <c r="AM66" s="2"/>
      <c r="AN66" s="1714"/>
      <c r="AO66" s="1408"/>
      <c r="AP66" s="2144"/>
      <c r="AQ66" s="2144"/>
      <c r="AR66" s="2144"/>
      <c r="AS66" s="2144"/>
      <c r="AT66" s="2144"/>
      <c r="AU66" s="2144"/>
      <c r="AV66" s="2144"/>
      <c r="AW66" s="2144"/>
      <c r="AX66" s="1378"/>
      <c r="AY66" s="2"/>
      <c r="AZ66" s="1714"/>
      <c r="BA66" s="2147" t="s">
        <v>5797</v>
      </c>
      <c r="BB66" s="1406"/>
      <c r="BC66" s="1406"/>
      <c r="BD66" s="1406"/>
      <c r="BE66" s="1406"/>
      <c r="BF66" s="1406"/>
      <c r="BG66" s="1406"/>
      <c r="BH66" s="1406"/>
      <c r="BI66" s="1406"/>
      <c r="BJ66" s="1407"/>
    </row>
    <row r="67" spans="28:62" ht="22.05" customHeight="1">
      <c r="AB67" s="2145" t="s">
        <v>108</v>
      </c>
      <c r="AC67" s="2171" t="s">
        <v>5798</v>
      </c>
      <c r="AD67" s="1406"/>
      <c r="AE67" s="1406"/>
      <c r="AF67" s="1406"/>
      <c r="AG67" s="1406"/>
      <c r="AH67" s="1406"/>
      <c r="AI67" s="1406"/>
      <c r="AJ67" s="1406"/>
      <c r="AK67" s="1406"/>
      <c r="AL67" s="1407"/>
      <c r="AM67" s="2"/>
      <c r="AN67" s="1715"/>
      <c r="AO67" s="1409"/>
      <c r="AP67" s="1410"/>
      <c r="AQ67" s="1410"/>
      <c r="AR67" s="1410"/>
      <c r="AS67" s="1410"/>
      <c r="AT67" s="1410"/>
      <c r="AU67" s="1410"/>
      <c r="AV67" s="1410"/>
      <c r="AW67" s="1410"/>
      <c r="AX67" s="1411"/>
      <c r="AY67" s="2"/>
      <c r="AZ67" s="1714"/>
      <c r="BA67" s="1408"/>
      <c r="BB67" s="2144"/>
      <c r="BC67" s="2144"/>
      <c r="BD67" s="2144"/>
      <c r="BE67" s="2144"/>
      <c r="BF67" s="2144"/>
      <c r="BG67" s="2144"/>
      <c r="BH67" s="2144"/>
      <c r="BI67" s="2144"/>
      <c r="BJ67" s="1378"/>
    </row>
    <row r="68" spans="28:62" ht="22.05" customHeight="1">
      <c r="AB68" s="1714"/>
      <c r="AC68" s="1408"/>
      <c r="AD68" s="2144"/>
      <c r="AE68" s="2144"/>
      <c r="AF68" s="2144"/>
      <c r="AG68" s="2144"/>
      <c r="AH68" s="2144"/>
      <c r="AI68" s="2144"/>
      <c r="AJ68" s="2144"/>
      <c r="AK68" s="2144"/>
      <c r="AL68" s="1378"/>
      <c r="AM68" s="2"/>
      <c r="AN68" s="6" t="s">
        <v>5799</v>
      </c>
      <c r="AO68" s="2147" t="s">
        <v>5800</v>
      </c>
      <c r="AP68" s="1388"/>
      <c r="AQ68" s="1388"/>
      <c r="AR68" s="1388"/>
      <c r="AS68" s="1388"/>
      <c r="AT68" s="1388"/>
      <c r="AU68" s="1388"/>
      <c r="AV68" s="1388"/>
      <c r="AW68" s="1388"/>
      <c r="AX68" s="1389"/>
      <c r="AY68" s="2"/>
      <c r="AZ68" s="1714"/>
      <c r="BA68" s="1409"/>
      <c r="BB68" s="1410"/>
      <c r="BC68" s="1410"/>
      <c r="BD68" s="1410"/>
      <c r="BE68" s="1410"/>
      <c r="BF68" s="1410"/>
      <c r="BG68" s="1410"/>
      <c r="BH68" s="1410"/>
      <c r="BI68" s="1410"/>
      <c r="BJ68" s="1411"/>
    </row>
    <row r="69" spans="28:62" ht="22.05" customHeight="1">
      <c r="AB69" s="1714"/>
      <c r="AC69" s="1408"/>
      <c r="AD69" s="2144"/>
      <c r="AE69" s="2144"/>
      <c r="AF69" s="2144"/>
      <c r="AG69" s="2144"/>
      <c r="AH69" s="2144"/>
      <c r="AI69" s="2144"/>
      <c r="AJ69" s="2144"/>
      <c r="AK69" s="2144"/>
      <c r="AL69" s="1378"/>
      <c r="AM69" s="2"/>
      <c r="AN69" s="2149" t="s">
        <v>5801</v>
      </c>
      <c r="AO69" s="1388"/>
      <c r="AP69" s="1388"/>
      <c r="AQ69" s="1388"/>
      <c r="AR69" s="1388"/>
      <c r="AS69" s="1388"/>
      <c r="AT69" s="1388"/>
      <c r="AU69" s="1388"/>
      <c r="AV69" s="1388"/>
      <c r="AW69" s="1388"/>
      <c r="AX69" s="1389"/>
      <c r="AY69" s="2"/>
      <c r="AZ69" s="1714"/>
      <c r="BA69" s="2147" t="s">
        <v>5802</v>
      </c>
      <c r="BB69" s="1406"/>
      <c r="BC69" s="1406"/>
      <c r="BD69" s="1406"/>
      <c r="BE69" s="1406"/>
      <c r="BF69" s="1406"/>
      <c r="BG69" s="1406"/>
      <c r="BH69" s="1406"/>
      <c r="BI69" s="1406"/>
      <c r="BJ69" s="1407"/>
    </row>
    <row r="70" spans="28:62" ht="22.05" customHeight="1">
      <c r="AB70" s="1715"/>
      <c r="AC70" s="1409"/>
      <c r="AD70" s="1410"/>
      <c r="AE70" s="1410"/>
      <c r="AF70" s="1410"/>
      <c r="AG70" s="1410"/>
      <c r="AH70" s="1410"/>
      <c r="AI70" s="1410"/>
      <c r="AJ70" s="1410"/>
      <c r="AK70" s="1410"/>
      <c r="AL70" s="1411"/>
      <c r="AM70" s="2"/>
      <c r="AN70" s="2188" t="s">
        <v>5669</v>
      </c>
      <c r="AO70" s="2146" t="s">
        <v>5803</v>
      </c>
      <c r="AP70" s="1388"/>
      <c r="AQ70" s="1388"/>
      <c r="AR70" s="1388"/>
      <c r="AS70" s="1388"/>
      <c r="AT70" s="1388"/>
      <c r="AU70" s="1388"/>
      <c r="AV70" s="1388"/>
      <c r="AW70" s="1388"/>
      <c r="AX70" s="1389"/>
      <c r="AY70" s="2"/>
      <c r="AZ70" s="1714"/>
      <c r="BA70" s="1408"/>
      <c r="BB70" s="2144"/>
      <c r="BC70" s="2144"/>
      <c r="BD70" s="2144"/>
      <c r="BE70" s="2144"/>
      <c r="BF70" s="2144"/>
      <c r="BG70" s="2144"/>
      <c r="BH70" s="2144"/>
      <c r="BI70" s="2144"/>
      <c r="BJ70" s="1378"/>
    </row>
    <row r="71" spans="28:62" ht="22.05" customHeight="1">
      <c r="AB71" s="2149" t="s">
        <v>5804</v>
      </c>
      <c r="AC71" s="1388"/>
      <c r="AD71" s="1388"/>
      <c r="AE71" s="1388"/>
      <c r="AF71" s="1388"/>
      <c r="AG71" s="1388"/>
      <c r="AH71" s="1388"/>
      <c r="AI71" s="1388"/>
      <c r="AJ71" s="1388"/>
      <c r="AK71" s="1388"/>
      <c r="AL71" s="1389"/>
      <c r="AM71" s="2"/>
      <c r="AN71" s="1714"/>
      <c r="AO71" s="2146" t="s">
        <v>5805</v>
      </c>
      <c r="AP71" s="1388"/>
      <c r="AQ71" s="1388"/>
      <c r="AR71" s="1388"/>
      <c r="AS71" s="1388"/>
      <c r="AT71" s="1388"/>
      <c r="AU71" s="1388"/>
      <c r="AV71" s="1388"/>
      <c r="AW71" s="1388"/>
      <c r="AX71" s="1389"/>
      <c r="AY71" s="2"/>
      <c r="AZ71" s="1714"/>
      <c r="BA71" s="1408"/>
      <c r="BB71" s="2144"/>
      <c r="BC71" s="2144"/>
      <c r="BD71" s="2144"/>
      <c r="BE71" s="2144"/>
      <c r="BF71" s="2144"/>
      <c r="BG71" s="2144"/>
      <c r="BH71" s="2144"/>
      <c r="BI71" s="2144"/>
      <c r="BJ71" s="1378"/>
    </row>
    <row r="72" spans="28:62" ht="22.05" customHeight="1">
      <c r="AB72" s="2145" t="s">
        <v>5667</v>
      </c>
      <c r="AC72" s="2171" t="s">
        <v>5806</v>
      </c>
      <c r="AD72" s="1406"/>
      <c r="AE72" s="1406"/>
      <c r="AF72" s="1406"/>
      <c r="AG72" s="1406"/>
      <c r="AH72" s="1406"/>
      <c r="AI72" s="1406"/>
      <c r="AJ72" s="1406"/>
      <c r="AK72" s="1406"/>
      <c r="AL72" s="1407"/>
      <c r="AM72" s="2"/>
      <c r="AN72" s="1715"/>
      <c r="AO72" s="2146" t="s">
        <v>5807</v>
      </c>
      <c r="AP72" s="1388"/>
      <c r="AQ72" s="1388"/>
      <c r="AR72" s="1388"/>
      <c r="AS72" s="1388"/>
      <c r="AT72" s="1388"/>
      <c r="AU72" s="1388"/>
      <c r="AV72" s="1388"/>
      <c r="AW72" s="1388"/>
      <c r="AX72" s="1389"/>
      <c r="AY72" s="2"/>
      <c r="AZ72" s="1714"/>
      <c r="BA72" s="1408"/>
      <c r="BB72" s="2144"/>
      <c r="BC72" s="2144"/>
      <c r="BD72" s="2144"/>
      <c r="BE72" s="2144"/>
      <c r="BF72" s="2144"/>
      <c r="BG72" s="2144"/>
      <c r="BH72" s="2144"/>
      <c r="BI72" s="2144"/>
      <c r="BJ72" s="1378"/>
    </row>
    <row r="73" spans="28:62" ht="22.05" customHeight="1">
      <c r="AB73" s="1714"/>
      <c r="AC73" s="1408"/>
      <c r="AD73" s="2144"/>
      <c r="AE73" s="2144"/>
      <c r="AF73" s="2144"/>
      <c r="AG73" s="2144"/>
      <c r="AH73" s="2144"/>
      <c r="AI73" s="2144"/>
      <c r="AJ73" s="2144"/>
      <c r="AK73" s="2144"/>
      <c r="AL73" s="1378"/>
      <c r="AM73" s="2"/>
      <c r="AN73" s="7" t="s">
        <v>5799</v>
      </c>
      <c r="AO73" s="2146" t="s">
        <v>5808</v>
      </c>
      <c r="AP73" s="1388"/>
      <c r="AQ73" s="1388"/>
      <c r="AR73" s="1388"/>
      <c r="AS73" s="1388"/>
      <c r="AT73" s="1388"/>
      <c r="AU73" s="1388"/>
      <c r="AV73" s="1388"/>
      <c r="AW73" s="1388"/>
      <c r="AX73" s="1389"/>
      <c r="AY73" s="2"/>
      <c r="AZ73" s="1714"/>
      <c r="BA73" s="1408"/>
      <c r="BB73" s="2144"/>
      <c r="BC73" s="2144"/>
      <c r="BD73" s="2144"/>
      <c r="BE73" s="2144"/>
      <c r="BF73" s="2144"/>
      <c r="BG73" s="2144"/>
      <c r="BH73" s="2144"/>
      <c r="BI73" s="2144"/>
      <c r="BJ73" s="1378"/>
    </row>
    <row r="74" spans="28:62" ht="22.05" customHeight="1">
      <c r="AB74" s="1714"/>
      <c r="AC74" s="1408"/>
      <c r="AD74" s="2144"/>
      <c r="AE74" s="2144"/>
      <c r="AF74" s="2144"/>
      <c r="AG74" s="2144"/>
      <c r="AH74" s="2144"/>
      <c r="AI74" s="2144"/>
      <c r="AJ74" s="2144"/>
      <c r="AK74" s="2144"/>
      <c r="AL74" s="1378"/>
      <c r="AM74" s="2"/>
      <c r="AN74" s="2148" t="s">
        <v>108</v>
      </c>
      <c r="AO74" s="2177"/>
      <c r="AP74" s="1406"/>
      <c r="AQ74" s="1406"/>
      <c r="AR74" s="1406"/>
      <c r="AS74" s="1406"/>
      <c r="AT74" s="1406"/>
      <c r="AU74" s="1406"/>
      <c r="AV74" s="1406"/>
      <c r="AW74" s="1406"/>
      <c r="AX74" s="1407"/>
      <c r="AY74" s="2"/>
      <c r="AZ74" s="1714"/>
      <c r="BA74" s="1408"/>
      <c r="BB74" s="2144"/>
      <c r="BC74" s="2144"/>
      <c r="BD74" s="2144"/>
      <c r="BE74" s="2144"/>
      <c r="BF74" s="2144"/>
      <c r="BG74" s="2144"/>
      <c r="BH74" s="2144"/>
      <c r="BI74" s="2144"/>
      <c r="BJ74" s="1378"/>
    </row>
    <row r="75" spans="28:62" ht="22.05" customHeight="1">
      <c r="AB75" s="1714"/>
      <c r="AC75" s="1408"/>
      <c r="AD75" s="2144"/>
      <c r="AE75" s="2144"/>
      <c r="AF75" s="2144"/>
      <c r="AG75" s="2144"/>
      <c r="AH75" s="2144"/>
      <c r="AI75" s="2144"/>
      <c r="AJ75" s="2144"/>
      <c r="AK75" s="2144"/>
      <c r="AL75" s="1378"/>
      <c r="AM75" s="2"/>
      <c r="AN75" s="1715"/>
      <c r="AO75" s="1409"/>
      <c r="AP75" s="1410"/>
      <c r="AQ75" s="1410"/>
      <c r="AR75" s="1410"/>
      <c r="AS75" s="1410"/>
      <c r="AT75" s="1410"/>
      <c r="AU75" s="1410"/>
      <c r="AV75" s="1410"/>
      <c r="AW75" s="1410"/>
      <c r="AX75" s="1411"/>
      <c r="AY75" s="2"/>
      <c r="AZ75" s="1714"/>
      <c r="BA75" s="1408"/>
      <c r="BB75" s="2144"/>
      <c r="BC75" s="2144"/>
      <c r="BD75" s="2144"/>
      <c r="BE75" s="2144"/>
      <c r="BF75" s="2144"/>
      <c r="BG75" s="2144"/>
      <c r="BH75" s="2144"/>
      <c r="BI75" s="2144"/>
      <c r="BJ75" s="1378"/>
    </row>
    <row r="76" spans="28:62" ht="22.05" customHeight="1">
      <c r="AB76" s="1715"/>
      <c r="AC76" s="1409"/>
      <c r="AD76" s="1410"/>
      <c r="AE76" s="1410"/>
      <c r="AF76" s="1410"/>
      <c r="AG76" s="1410"/>
      <c r="AH76" s="1410"/>
      <c r="AI76" s="1410"/>
      <c r="AJ76" s="1410"/>
      <c r="AK76" s="1410"/>
      <c r="AL76" s="1411"/>
      <c r="AM76" s="2"/>
      <c r="AN76" s="2149" t="s">
        <v>5809</v>
      </c>
      <c r="AO76" s="1388"/>
      <c r="AP76" s="1388"/>
      <c r="AQ76" s="1388"/>
      <c r="AR76" s="1388"/>
      <c r="AS76" s="1388"/>
      <c r="AT76" s="1388"/>
      <c r="AU76" s="1388"/>
      <c r="AV76" s="1388"/>
      <c r="AW76" s="1388"/>
      <c r="AX76" s="1389"/>
      <c r="AY76" s="2"/>
      <c r="AZ76" s="1714"/>
      <c r="BA76" s="1408"/>
      <c r="BB76" s="2144"/>
      <c r="BC76" s="2144"/>
      <c r="BD76" s="2144"/>
      <c r="BE76" s="2144"/>
      <c r="BF76" s="2144"/>
      <c r="BG76" s="2144"/>
      <c r="BH76" s="2144"/>
      <c r="BI76" s="2144"/>
      <c r="BJ76" s="1378"/>
    </row>
    <row r="77" spans="28:62" ht="22.05" customHeight="1">
      <c r="AB77" s="2145" t="s">
        <v>108</v>
      </c>
      <c r="AC77" s="2171" t="s">
        <v>5810</v>
      </c>
      <c r="AD77" s="1406"/>
      <c r="AE77" s="1406"/>
      <c r="AF77" s="1406"/>
      <c r="AG77" s="1406"/>
      <c r="AH77" s="1406"/>
      <c r="AI77" s="1406"/>
      <c r="AJ77" s="1406"/>
      <c r="AK77" s="1406"/>
      <c r="AL77" s="1407"/>
      <c r="AM77" s="2"/>
      <c r="AN77" s="2162" t="s">
        <v>5669</v>
      </c>
      <c r="AO77" s="2153" t="s">
        <v>5811</v>
      </c>
      <c r="AP77" s="1406"/>
      <c r="AQ77" s="1406"/>
      <c r="AR77" s="1406"/>
      <c r="AS77" s="1406"/>
      <c r="AT77" s="1406"/>
      <c r="AU77" s="1406"/>
      <c r="AV77" s="1406"/>
      <c r="AW77" s="1406"/>
      <c r="AX77" s="1407"/>
      <c r="AY77" s="2"/>
      <c r="AZ77" s="1714"/>
      <c r="BA77" s="1408"/>
      <c r="BB77" s="2144"/>
      <c r="BC77" s="2144"/>
      <c r="BD77" s="2144"/>
      <c r="BE77" s="2144"/>
      <c r="BF77" s="2144"/>
      <c r="BG77" s="2144"/>
      <c r="BH77" s="2144"/>
      <c r="BI77" s="2144"/>
      <c r="BJ77" s="1378"/>
    </row>
    <row r="78" spans="28:62" ht="22.05" customHeight="1">
      <c r="AB78" s="1714"/>
      <c r="AC78" s="1408"/>
      <c r="AD78" s="2144"/>
      <c r="AE78" s="2144"/>
      <c r="AF78" s="2144"/>
      <c r="AG78" s="2144"/>
      <c r="AH78" s="2144"/>
      <c r="AI78" s="2144"/>
      <c r="AJ78" s="2144"/>
      <c r="AK78" s="2144"/>
      <c r="AL78" s="1378"/>
      <c r="AM78" s="2"/>
      <c r="AN78" s="1714"/>
      <c r="AO78" s="1408"/>
      <c r="AP78" s="2144"/>
      <c r="AQ78" s="2144"/>
      <c r="AR78" s="2144"/>
      <c r="AS78" s="2144"/>
      <c r="AT78" s="2144"/>
      <c r="AU78" s="2144"/>
      <c r="AV78" s="2144"/>
      <c r="AW78" s="2144"/>
      <c r="AX78" s="1378"/>
      <c r="AY78" s="2"/>
      <c r="AZ78" s="1714"/>
      <c r="BA78" s="1408"/>
      <c r="BB78" s="2144"/>
      <c r="BC78" s="2144"/>
      <c r="BD78" s="2144"/>
      <c r="BE78" s="2144"/>
      <c r="BF78" s="2144"/>
      <c r="BG78" s="2144"/>
      <c r="BH78" s="2144"/>
      <c r="BI78" s="2144"/>
      <c r="BJ78" s="1378"/>
    </row>
    <row r="79" spans="28:62" ht="22.05" customHeight="1">
      <c r="AB79" s="1715"/>
      <c r="AC79" s="1409"/>
      <c r="AD79" s="1410"/>
      <c r="AE79" s="1410"/>
      <c r="AF79" s="1410"/>
      <c r="AG79" s="1410"/>
      <c r="AH79" s="1410"/>
      <c r="AI79" s="1410"/>
      <c r="AJ79" s="1410"/>
      <c r="AK79" s="1410"/>
      <c r="AL79" s="1411"/>
      <c r="AM79" s="2"/>
      <c r="AN79" s="1714"/>
      <c r="AO79" s="1408"/>
      <c r="AP79" s="2144"/>
      <c r="AQ79" s="2144"/>
      <c r="AR79" s="2144"/>
      <c r="AS79" s="2144"/>
      <c r="AT79" s="2144"/>
      <c r="AU79" s="2144"/>
      <c r="AV79" s="2144"/>
      <c r="AW79" s="2144"/>
      <c r="AX79" s="1378"/>
      <c r="AY79" s="2"/>
      <c r="AZ79" s="1714"/>
      <c r="BA79" s="1408"/>
      <c r="BB79" s="2144"/>
      <c r="BC79" s="2144"/>
      <c r="BD79" s="2144"/>
      <c r="BE79" s="2144"/>
      <c r="BF79" s="2144"/>
      <c r="BG79" s="2144"/>
      <c r="BH79" s="2144"/>
      <c r="BI79" s="2144"/>
      <c r="BJ79" s="1378"/>
    </row>
    <row r="80" spans="28:62" ht="22.05" customHeight="1">
      <c r="AB80" s="2149" t="s">
        <v>5812</v>
      </c>
      <c r="AC80" s="1388"/>
      <c r="AD80" s="1388"/>
      <c r="AE80" s="1388"/>
      <c r="AF80" s="1388"/>
      <c r="AG80" s="1388"/>
      <c r="AH80" s="1388"/>
      <c r="AI80" s="1388"/>
      <c r="AJ80" s="1388"/>
      <c r="AK80" s="1388"/>
      <c r="AL80" s="1389"/>
      <c r="AM80" s="2"/>
      <c r="AN80" s="1714"/>
      <c r="AO80" s="1408"/>
      <c r="AP80" s="2144"/>
      <c r="AQ80" s="2144"/>
      <c r="AR80" s="2144"/>
      <c r="AS80" s="2144"/>
      <c r="AT80" s="2144"/>
      <c r="AU80" s="2144"/>
      <c r="AV80" s="2144"/>
      <c r="AW80" s="2144"/>
      <c r="AX80" s="1378"/>
      <c r="AY80" s="2"/>
      <c r="AZ80" s="1714"/>
      <c r="BA80" s="1409"/>
      <c r="BB80" s="1410"/>
      <c r="BC80" s="1410"/>
      <c r="BD80" s="1410"/>
      <c r="BE80" s="1410"/>
      <c r="BF80" s="1410"/>
      <c r="BG80" s="1410"/>
      <c r="BH80" s="1410"/>
      <c r="BI80" s="1410"/>
      <c r="BJ80" s="1411"/>
    </row>
    <row r="81" spans="28:62" ht="22.05" customHeight="1">
      <c r="AB81" s="2145" t="s">
        <v>5667</v>
      </c>
      <c r="AC81" s="2163" t="s">
        <v>5813</v>
      </c>
      <c r="AD81" s="1406"/>
      <c r="AE81" s="1406"/>
      <c r="AF81" s="1406"/>
      <c r="AG81" s="1406"/>
      <c r="AH81" s="1406"/>
      <c r="AI81" s="1406"/>
      <c r="AJ81" s="1406"/>
      <c r="AK81" s="1406"/>
      <c r="AL81" s="1407"/>
      <c r="AM81" s="2"/>
      <c r="AN81" s="1714"/>
      <c r="AO81" s="1409"/>
      <c r="AP81" s="1410"/>
      <c r="AQ81" s="1410"/>
      <c r="AR81" s="1410"/>
      <c r="AS81" s="1410"/>
      <c r="AT81" s="1410"/>
      <c r="AU81" s="1410"/>
      <c r="AV81" s="1410"/>
      <c r="AW81" s="1410"/>
      <c r="AX81" s="1411"/>
      <c r="AY81" s="2"/>
      <c r="AZ81" s="1714"/>
      <c r="BA81" s="2147" t="s">
        <v>5814</v>
      </c>
      <c r="BB81" s="1406"/>
      <c r="BC81" s="1406"/>
      <c r="BD81" s="1406"/>
      <c r="BE81" s="1406"/>
      <c r="BF81" s="1406"/>
      <c r="BG81" s="1406"/>
      <c r="BH81" s="1406"/>
      <c r="BI81" s="1406"/>
      <c r="BJ81" s="1407"/>
    </row>
    <row r="82" spans="28:62" ht="22.05" customHeight="1">
      <c r="AB82" s="1714"/>
      <c r="AC82" s="1408"/>
      <c r="AD82" s="2144"/>
      <c r="AE82" s="2144"/>
      <c r="AF82" s="2144"/>
      <c r="AG82" s="2144"/>
      <c r="AH82" s="2144"/>
      <c r="AI82" s="2144"/>
      <c r="AJ82" s="2144"/>
      <c r="AK82" s="2144"/>
      <c r="AL82" s="1378"/>
      <c r="AM82" s="2"/>
      <c r="AN82" s="1714"/>
      <c r="AO82" s="2153" t="s">
        <v>5815</v>
      </c>
      <c r="AP82" s="1406"/>
      <c r="AQ82" s="1406"/>
      <c r="AR82" s="1406"/>
      <c r="AS82" s="1406"/>
      <c r="AT82" s="1406"/>
      <c r="AU82" s="1406"/>
      <c r="AV82" s="1406"/>
      <c r="AW82" s="1406"/>
      <c r="AX82" s="1407"/>
      <c r="AY82" s="2"/>
      <c r="AZ82" s="1714"/>
      <c r="BA82" s="1408"/>
      <c r="BB82" s="2144"/>
      <c r="BC82" s="2144"/>
      <c r="BD82" s="2144"/>
      <c r="BE82" s="2144"/>
      <c r="BF82" s="2144"/>
      <c r="BG82" s="2144"/>
      <c r="BH82" s="2144"/>
      <c r="BI82" s="2144"/>
      <c r="BJ82" s="1378"/>
    </row>
    <row r="83" spans="28:62" ht="22.05" customHeight="1">
      <c r="AB83" s="1715"/>
      <c r="AC83" s="1409"/>
      <c r="AD83" s="1410"/>
      <c r="AE83" s="1410"/>
      <c r="AF83" s="1410"/>
      <c r="AG83" s="1410"/>
      <c r="AH83" s="1410"/>
      <c r="AI83" s="1410"/>
      <c r="AJ83" s="1410"/>
      <c r="AK83" s="1410"/>
      <c r="AL83" s="1411"/>
      <c r="AM83" s="2"/>
      <c r="AN83" s="1714"/>
      <c r="AO83" s="1409"/>
      <c r="AP83" s="1410"/>
      <c r="AQ83" s="1410"/>
      <c r="AR83" s="1410"/>
      <c r="AS83" s="1410"/>
      <c r="AT83" s="1410"/>
      <c r="AU83" s="1410"/>
      <c r="AV83" s="1410"/>
      <c r="AW83" s="1410"/>
      <c r="AX83" s="1411"/>
      <c r="AY83" s="2"/>
      <c r="AZ83" s="1714"/>
      <c r="BA83" s="1408"/>
      <c r="BB83" s="2144"/>
      <c r="BC83" s="2144"/>
      <c r="BD83" s="2144"/>
      <c r="BE83" s="2144"/>
      <c r="BF83" s="2144"/>
      <c r="BG83" s="2144"/>
      <c r="BH83" s="2144"/>
      <c r="BI83" s="2144"/>
      <c r="BJ83" s="1378"/>
    </row>
    <row r="84" spans="28:62" ht="22.05" customHeight="1">
      <c r="AB84" s="2145" t="s">
        <v>108</v>
      </c>
      <c r="AC84" s="2171" t="s">
        <v>5816</v>
      </c>
      <c r="AD84" s="1406"/>
      <c r="AE84" s="1406"/>
      <c r="AF84" s="1406"/>
      <c r="AG84" s="1406"/>
      <c r="AH84" s="1406"/>
      <c r="AI84" s="1406"/>
      <c r="AJ84" s="1406"/>
      <c r="AK84" s="1406"/>
      <c r="AL84" s="1407"/>
      <c r="AM84" s="2"/>
      <c r="AN84" s="1714"/>
      <c r="AO84" s="2146" t="s">
        <v>5817</v>
      </c>
      <c r="AP84" s="1388"/>
      <c r="AQ84" s="1388"/>
      <c r="AR84" s="1388"/>
      <c r="AS84" s="1388"/>
      <c r="AT84" s="1388"/>
      <c r="AU84" s="1388"/>
      <c r="AV84" s="1388"/>
      <c r="AW84" s="1388"/>
      <c r="AX84" s="1389"/>
      <c r="AY84" s="2"/>
      <c r="AZ84" s="1714"/>
      <c r="BA84" s="1408"/>
      <c r="BB84" s="2144"/>
      <c r="BC84" s="2144"/>
      <c r="BD84" s="2144"/>
      <c r="BE84" s="2144"/>
      <c r="BF84" s="2144"/>
      <c r="BG84" s="2144"/>
      <c r="BH84" s="2144"/>
      <c r="BI84" s="2144"/>
      <c r="BJ84" s="1378"/>
    </row>
    <row r="85" spans="28:62" ht="22.05" customHeight="1">
      <c r="AB85" s="1714"/>
      <c r="AC85" s="1408"/>
      <c r="AD85" s="2144"/>
      <c r="AE85" s="2144"/>
      <c r="AF85" s="2144"/>
      <c r="AG85" s="2144"/>
      <c r="AH85" s="2144"/>
      <c r="AI85" s="2144"/>
      <c r="AJ85" s="2144"/>
      <c r="AK85" s="2144"/>
      <c r="AL85" s="1378"/>
      <c r="AM85" s="2"/>
      <c r="AN85" s="1714"/>
      <c r="AO85" s="2146" t="s">
        <v>5779</v>
      </c>
      <c r="AP85" s="1388"/>
      <c r="AQ85" s="1388"/>
      <c r="AR85" s="1388"/>
      <c r="AS85" s="1388"/>
      <c r="AT85" s="1388"/>
      <c r="AU85" s="1388"/>
      <c r="AV85" s="1388"/>
      <c r="AW85" s="1388"/>
      <c r="AX85" s="1389"/>
      <c r="AY85" s="2"/>
      <c r="AZ85" s="1715"/>
      <c r="BA85" s="1409"/>
      <c r="BB85" s="1410"/>
      <c r="BC85" s="1410"/>
      <c r="BD85" s="1410"/>
      <c r="BE85" s="1410"/>
      <c r="BF85" s="1410"/>
      <c r="BG85" s="1410"/>
      <c r="BH85" s="1410"/>
      <c r="BI85" s="1410"/>
      <c r="BJ85" s="1411"/>
    </row>
    <row r="86" spans="28:62" ht="22.05" customHeight="1">
      <c r="AB86" s="1714"/>
      <c r="AC86" s="1408"/>
      <c r="AD86" s="2144"/>
      <c r="AE86" s="2144"/>
      <c r="AF86" s="2144"/>
      <c r="AG86" s="2144"/>
      <c r="AH86" s="2144"/>
      <c r="AI86" s="2144"/>
      <c r="AJ86" s="2144"/>
      <c r="AK86" s="2144"/>
      <c r="AL86" s="1378"/>
      <c r="AM86" s="2"/>
      <c r="AN86" s="1714"/>
      <c r="AO86" s="2146" t="s">
        <v>5818</v>
      </c>
      <c r="AP86" s="1388"/>
      <c r="AQ86" s="1388"/>
      <c r="AR86" s="1388"/>
      <c r="AS86" s="1388"/>
      <c r="AT86" s="1388"/>
      <c r="AU86" s="1388"/>
      <c r="AV86" s="1388"/>
      <c r="AW86" s="1388"/>
      <c r="AX86" s="1389"/>
      <c r="AY86" s="2"/>
    </row>
    <row r="87" spans="28:62" ht="22.05" customHeight="1">
      <c r="AB87" s="1714"/>
      <c r="AC87" s="1408"/>
      <c r="AD87" s="2144"/>
      <c r="AE87" s="2144"/>
      <c r="AF87" s="2144"/>
      <c r="AG87" s="2144"/>
      <c r="AH87" s="2144"/>
      <c r="AI87" s="2144"/>
      <c r="AJ87" s="2144"/>
      <c r="AK87" s="2144"/>
      <c r="AL87" s="1378"/>
      <c r="AM87" s="2"/>
      <c r="AN87" s="1714"/>
      <c r="AO87" s="2146" t="s">
        <v>5819</v>
      </c>
      <c r="AP87" s="1388"/>
      <c r="AQ87" s="1388"/>
      <c r="AR87" s="1388"/>
      <c r="AS87" s="1388"/>
      <c r="AT87" s="1388"/>
      <c r="AU87" s="1388"/>
      <c r="AV87" s="1388"/>
      <c r="AW87" s="1388"/>
      <c r="AX87" s="1389"/>
      <c r="AY87" s="2"/>
    </row>
    <row r="88" spans="28:62" ht="22.05" customHeight="1">
      <c r="AB88" s="1715"/>
      <c r="AC88" s="1409"/>
      <c r="AD88" s="1410"/>
      <c r="AE88" s="1410"/>
      <c r="AF88" s="1410"/>
      <c r="AG88" s="1410"/>
      <c r="AH88" s="1410"/>
      <c r="AI88" s="1410"/>
      <c r="AJ88" s="1410"/>
      <c r="AK88" s="1410"/>
      <c r="AL88" s="1411"/>
      <c r="AM88" s="2"/>
      <c r="AN88" s="1714"/>
      <c r="AO88" s="2146" t="s">
        <v>5820</v>
      </c>
      <c r="AP88" s="1388"/>
      <c r="AQ88" s="1388"/>
      <c r="AR88" s="1388"/>
      <c r="AS88" s="1388"/>
      <c r="AT88" s="1388"/>
      <c r="AU88" s="1388"/>
      <c r="AV88" s="1388"/>
      <c r="AW88" s="1388"/>
      <c r="AX88" s="1389"/>
      <c r="AY88" s="2"/>
    </row>
    <row r="89" spans="28:62" ht="22.05" customHeight="1">
      <c r="AB89" s="2149" t="s">
        <v>5821</v>
      </c>
      <c r="AC89" s="1388"/>
      <c r="AD89" s="1388"/>
      <c r="AE89" s="1388"/>
      <c r="AF89" s="1388"/>
      <c r="AG89" s="1388"/>
      <c r="AH89" s="1388"/>
      <c r="AI89" s="1388"/>
      <c r="AJ89" s="1388"/>
      <c r="AK89" s="1388"/>
      <c r="AL89" s="1389"/>
      <c r="AM89" s="2"/>
      <c r="AN89" s="1714"/>
      <c r="AO89" s="2146" t="s">
        <v>5818</v>
      </c>
      <c r="AP89" s="1388"/>
      <c r="AQ89" s="1388"/>
      <c r="AR89" s="1388"/>
      <c r="AS89" s="1388"/>
      <c r="AT89" s="1388"/>
      <c r="AU89" s="1388"/>
      <c r="AV89" s="1388"/>
      <c r="AW89" s="1388"/>
      <c r="AX89" s="1389"/>
      <c r="AY89" s="2"/>
    </row>
    <row r="90" spans="28:62" ht="22.05" customHeight="1">
      <c r="AB90" s="2145" t="s">
        <v>5667</v>
      </c>
      <c r="AC90" s="2163" t="s">
        <v>5822</v>
      </c>
      <c r="AD90" s="1406"/>
      <c r="AE90" s="1406"/>
      <c r="AF90" s="1406"/>
      <c r="AG90" s="1406"/>
      <c r="AH90" s="1406"/>
      <c r="AI90" s="1406"/>
      <c r="AJ90" s="1406"/>
      <c r="AK90" s="1406"/>
      <c r="AL90" s="1407"/>
      <c r="AM90" s="2"/>
      <c r="AN90" s="1714"/>
      <c r="AO90" s="2146" t="s">
        <v>5823</v>
      </c>
      <c r="AP90" s="1388"/>
      <c r="AQ90" s="1388"/>
      <c r="AR90" s="1388"/>
      <c r="AS90" s="1388"/>
      <c r="AT90" s="1388"/>
      <c r="AU90" s="1388"/>
      <c r="AV90" s="1388"/>
      <c r="AW90" s="1388"/>
      <c r="AX90" s="1389"/>
      <c r="AY90" s="2"/>
    </row>
    <row r="91" spans="28:62" ht="22.05" customHeight="1">
      <c r="AB91" s="1714"/>
      <c r="AC91" s="1408"/>
      <c r="AD91" s="2144"/>
      <c r="AE91" s="2144"/>
      <c r="AF91" s="2144"/>
      <c r="AG91" s="2144"/>
      <c r="AH91" s="2144"/>
      <c r="AI91" s="2144"/>
      <c r="AJ91" s="2144"/>
      <c r="AK91" s="2144"/>
      <c r="AL91" s="1378"/>
      <c r="AM91" s="2"/>
      <c r="AN91" s="1714"/>
      <c r="AO91" s="2146" t="s">
        <v>5824</v>
      </c>
      <c r="AP91" s="1388"/>
      <c r="AQ91" s="1388"/>
      <c r="AR91" s="1388"/>
      <c r="AS91" s="1388"/>
      <c r="AT91" s="1388"/>
      <c r="AU91" s="1388"/>
      <c r="AV91" s="1388"/>
      <c r="AW91" s="1388"/>
      <c r="AX91" s="1389"/>
      <c r="AY91" s="2"/>
    </row>
    <row r="92" spans="28:62" ht="22.05" customHeight="1">
      <c r="AB92" s="1715"/>
      <c r="AC92" s="1409"/>
      <c r="AD92" s="1410"/>
      <c r="AE92" s="1410"/>
      <c r="AF92" s="1410"/>
      <c r="AG92" s="1410"/>
      <c r="AH92" s="1410"/>
      <c r="AI92" s="1410"/>
      <c r="AJ92" s="1410"/>
      <c r="AK92" s="1410"/>
      <c r="AL92" s="1411"/>
      <c r="AM92" s="2"/>
      <c r="AN92" s="1714"/>
      <c r="AO92" s="2146" t="s">
        <v>5825</v>
      </c>
      <c r="AP92" s="1388"/>
      <c r="AQ92" s="1388"/>
      <c r="AR92" s="1388"/>
      <c r="AS92" s="1388"/>
      <c r="AT92" s="1388"/>
      <c r="AU92" s="1388"/>
      <c r="AV92" s="1388"/>
      <c r="AW92" s="1388"/>
      <c r="AX92" s="1389"/>
      <c r="AY92" s="2"/>
    </row>
    <row r="93" spans="28:62" ht="22.05" customHeight="1">
      <c r="AB93" s="2149" t="s">
        <v>5826</v>
      </c>
      <c r="AC93" s="1388"/>
      <c r="AD93" s="1388"/>
      <c r="AE93" s="1388"/>
      <c r="AF93" s="1388"/>
      <c r="AG93" s="1388"/>
      <c r="AH93" s="1388"/>
      <c r="AI93" s="1388"/>
      <c r="AJ93" s="1388"/>
      <c r="AK93" s="1388"/>
      <c r="AL93" s="1389"/>
      <c r="AM93" s="2"/>
      <c r="AN93" s="1714"/>
      <c r="AO93" s="2146" t="s">
        <v>5827</v>
      </c>
      <c r="AP93" s="1388"/>
      <c r="AQ93" s="1388"/>
      <c r="AR93" s="1388"/>
      <c r="AS93" s="1388"/>
      <c r="AT93" s="1388"/>
      <c r="AU93" s="1388"/>
      <c r="AV93" s="1388"/>
      <c r="AW93" s="1388"/>
      <c r="AX93" s="1389"/>
      <c r="AY93" s="2"/>
    </row>
    <row r="94" spans="28:62" ht="22.05" customHeight="1">
      <c r="AB94" s="2145" t="s">
        <v>5667</v>
      </c>
      <c r="AC94" s="2163" t="s">
        <v>5828</v>
      </c>
      <c r="AD94" s="1406"/>
      <c r="AE94" s="1406"/>
      <c r="AF94" s="1406"/>
      <c r="AG94" s="1406"/>
      <c r="AH94" s="1406"/>
      <c r="AI94" s="1406"/>
      <c r="AJ94" s="1406"/>
      <c r="AK94" s="1406"/>
      <c r="AL94" s="1407"/>
      <c r="AM94" s="2"/>
      <c r="AN94" s="1715"/>
      <c r="AO94" s="2146" t="s">
        <v>5829</v>
      </c>
      <c r="AP94" s="1388"/>
      <c r="AQ94" s="1388"/>
      <c r="AR94" s="1388"/>
      <c r="AS94" s="1388"/>
      <c r="AT94" s="1388"/>
      <c r="AU94" s="1388"/>
      <c r="AV94" s="1388"/>
      <c r="AW94" s="1388"/>
      <c r="AX94" s="1389"/>
      <c r="AY94" s="2"/>
    </row>
    <row r="95" spans="28:62" ht="22.05" customHeight="1">
      <c r="AB95" s="1714"/>
      <c r="AC95" s="1408"/>
      <c r="AD95" s="2144"/>
      <c r="AE95" s="2144"/>
      <c r="AF95" s="2144"/>
      <c r="AG95" s="2144"/>
      <c r="AH95" s="2144"/>
      <c r="AI95" s="2144"/>
      <c r="AJ95" s="2144"/>
      <c r="AK95" s="2144"/>
      <c r="AL95" s="1378"/>
      <c r="AM95" s="2"/>
      <c r="AN95" s="2148" t="s">
        <v>5830</v>
      </c>
      <c r="AO95" s="2147" t="s">
        <v>5831</v>
      </c>
      <c r="AP95" s="1388"/>
      <c r="AQ95" s="1388"/>
      <c r="AR95" s="1388"/>
      <c r="AS95" s="1388"/>
      <c r="AT95" s="1388"/>
      <c r="AU95" s="1388"/>
      <c r="AV95" s="1388"/>
      <c r="AW95" s="1388"/>
      <c r="AX95" s="1389"/>
      <c r="AY95" s="2"/>
    </row>
    <row r="96" spans="28:62" ht="22.05" customHeight="1">
      <c r="AB96" s="1715"/>
      <c r="AC96" s="1409"/>
      <c r="AD96" s="1410"/>
      <c r="AE96" s="1410"/>
      <c r="AF96" s="1410"/>
      <c r="AG96" s="1410"/>
      <c r="AH96" s="1410"/>
      <c r="AI96" s="1410"/>
      <c r="AJ96" s="1410"/>
      <c r="AK96" s="1410"/>
      <c r="AL96" s="1411"/>
      <c r="AM96" s="2"/>
      <c r="AN96" s="1714"/>
      <c r="AO96" s="2147" t="s">
        <v>5832</v>
      </c>
      <c r="AP96" s="1388"/>
      <c r="AQ96" s="1388"/>
      <c r="AR96" s="1388"/>
      <c r="AS96" s="1388"/>
      <c r="AT96" s="1388"/>
      <c r="AU96" s="1388"/>
      <c r="AV96" s="1388"/>
      <c r="AW96" s="1388"/>
      <c r="AX96" s="1389"/>
      <c r="AY96" s="2"/>
    </row>
    <row r="97" spans="28:50" ht="22.05" customHeight="1">
      <c r="AB97" s="2149" t="s">
        <v>5833</v>
      </c>
      <c r="AC97" s="1388"/>
      <c r="AD97" s="1388"/>
      <c r="AE97" s="1388"/>
      <c r="AF97" s="1388"/>
      <c r="AG97" s="1388"/>
      <c r="AH97" s="1388"/>
      <c r="AI97" s="1388"/>
      <c r="AJ97" s="1388"/>
      <c r="AK97" s="1388"/>
      <c r="AL97" s="1389"/>
      <c r="AM97" s="2"/>
      <c r="AN97" s="1715"/>
      <c r="AO97" s="2146" t="s">
        <v>5834</v>
      </c>
      <c r="AP97" s="1388"/>
      <c r="AQ97" s="1388"/>
      <c r="AR97" s="1388"/>
      <c r="AS97" s="1388"/>
      <c r="AT97" s="1388"/>
      <c r="AU97" s="1388"/>
      <c r="AV97" s="1388"/>
      <c r="AW97" s="1388"/>
      <c r="AX97" s="1389"/>
    </row>
    <row r="98" spans="28:50" ht="22.05" customHeight="1">
      <c r="AB98" s="2145" t="s">
        <v>5667</v>
      </c>
      <c r="AC98" s="2163" t="s">
        <v>5835</v>
      </c>
      <c r="AD98" s="1406"/>
      <c r="AE98" s="1406"/>
      <c r="AF98" s="1406"/>
      <c r="AG98" s="1406"/>
      <c r="AH98" s="1406"/>
      <c r="AI98" s="1406"/>
      <c r="AJ98" s="1406"/>
      <c r="AK98" s="1406"/>
      <c r="AL98" s="1407"/>
      <c r="AM98" s="2"/>
      <c r="AN98" s="2148" t="s">
        <v>5686</v>
      </c>
      <c r="AO98" s="2167" t="s">
        <v>5836</v>
      </c>
      <c r="AP98" s="1388"/>
      <c r="AQ98" s="1388"/>
      <c r="AR98" s="1388"/>
      <c r="AS98" s="1388"/>
      <c r="AT98" s="1388"/>
      <c r="AU98" s="1388"/>
      <c r="AV98" s="1388"/>
      <c r="AW98" s="1388"/>
      <c r="AX98" s="1389"/>
    </row>
    <row r="99" spans="28:50" ht="22.05" customHeight="1">
      <c r="AB99" s="1714"/>
      <c r="AC99" s="1408"/>
      <c r="AD99" s="2144"/>
      <c r="AE99" s="2144"/>
      <c r="AF99" s="2144"/>
      <c r="AG99" s="2144"/>
      <c r="AH99" s="2144"/>
      <c r="AI99" s="2144"/>
      <c r="AJ99" s="2144"/>
      <c r="AK99" s="2144"/>
      <c r="AL99" s="1378"/>
      <c r="AM99" s="2"/>
      <c r="AN99" s="1715"/>
      <c r="AO99" s="2146" t="s">
        <v>5837</v>
      </c>
      <c r="AP99" s="1388"/>
      <c r="AQ99" s="1388"/>
      <c r="AR99" s="1388"/>
      <c r="AS99" s="1388"/>
      <c r="AT99" s="1388"/>
      <c r="AU99" s="1388"/>
      <c r="AV99" s="1388"/>
      <c r="AW99" s="1388"/>
      <c r="AX99" s="1389"/>
    </row>
    <row r="100" spans="28:50" ht="22.05" customHeight="1">
      <c r="AB100" s="1715"/>
      <c r="AC100" s="1409"/>
      <c r="AD100" s="1410"/>
      <c r="AE100" s="1410"/>
      <c r="AF100" s="1410"/>
      <c r="AG100" s="1410"/>
      <c r="AH100" s="1410"/>
      <c r="AI100" s="1410"/>
      <c r="AJ100" s="1410"/>
      <c r="AK100" s="1410"/>
      <c r="AL100" s="1411"/>
      <c r="AM100" s="2"/>
      <c r="AN100" s="2148" t="s">
        <v>5694</v>
      </c>
      <c r="AO100" s="2146" t="s">
        <v>5838</v>
      </c>
      <c r="AP100" s="1388"/>
      <c r="AQ100" s="1388"/>
      <c r="AR100" s="1388"/>
      <c r="AS100" s="1388"/>
      <c r="AT100" s="1388"/>
      <c r="AU100" s="1388"/>
      <c r="AV100" s="1388"/>
      <c r="AW100" s="1388"/>
      <c r="AX100" s="1389"/>
    </row>
    <row r="101" spans="28:50" ht="22.05" customHeight="1">
      <c r="AB101" s="2149" t="s">
        <v>5839</v>
      </c>
      <c r="AC101" s="1388"/>
      <c r="AD101" s="1388"/>
      <c r="AE101" s="1388"/>
      <c r="AF101" s="1388"/>
      <c r="AG101" s="1388"/>
      <c r="AH101" s="1388"/>
      <c r="AI101" s="1388"/>
      <c r="AJ101" s="1388"/>
      <c r="AK101" s="1388"/>
      <c r="AL101" s="1389"/>
      <c r="AM101" s="2"/>
      <c r="AN101" s="1714"/>
      <c r="AO101" s="2146" t="s">
        <v>5840</v>
      </c>
      <c r="AP101" s="1388"/>
      <c r="AQ101" s="1388"/>
      <c r="AR101" s="1388"/>
      <c r="AS101" s="1388"/>
      <c r="AT101" s="1388"/>
      <c r="AU101" s="1388"/>
      <c r="AV101" s="1388"/>
      <c r="AW101" s="1388"/>
      <c r="AX101" s="1389"/>
    </row>
    <row r="102" spans="28:50" ht="22.05" customHeight="1">
      <c r="AB102" s="2145" t="s">
        <v>5841</v>
      </c>
      <c r="AC102" s="2163" t="s">
        <v>5842</v>
      </c>
      <c r="AD102" s="1406"/>
      <c r="AE102" s="1406"/>
      <c r="AF102" s="1406"/>
      <c r="AG102" s="1406"/>
      <c r="AH102" s="1406"/>
      <c r="AI102" s="1406"/>
      <c r="AJ102" s="1406"/>
      <c r="AK102" s="1406"/>
      <c r="AL102" s="1407"/>
      <c r="AM102" s="2"/>
      <c r="AN102" s="1715"/>
      <c r="AO102" s="2146" t="s">
        <v>5843</v>
      </c>
      <c r="AP102" s="1388"/>
      <c r="AQ102" s="1388"/>
      <c r="AR102" s="1388"/>
      <c r="AS102" s="1388"/>
      <c r="AT102" s="1388"/>
      <c r="AU102" s="1388"/>
      <c r="AV102" s="1388"/>
      <c r="AW102" s="1388"/>
      <c r="AX102" s="1389"/>
    </row>
    <row r="103" spans="28:50" ht="22.05" customHeight="1">
      <c r="AB103" s="1714"/>
      <c r="AC103" s="1408"/>
      <c r="AD103" s="2144"/>
      <c r="AE103" s="2144"/>
      <c r="AF103" s="2144"/>
      <c r="AG103" s="2144"/>
      <c r="AH103" s="2144"/>
      <c r="AI103" s="2144"/>
      <c r="AJ103" s="2144"/>
      <c r="AK103" s="2144"/>
      <c r="AL103" s="1378"/>
      <c r="AM103" s="2"/>
      <c r="AN103" s="2148" t="s">
        <v>5696</v>
      </c>
      <c r="AO103" s="2146" t="s">
        <v>5844</v>
      </c>
      <c r="AP103" s="1388"/>
      <c r="AQ103" s="1388"/>
      <c r="AR103" s="1388"/>
      <c r="AS103" s="1388"/>
      <c r="AT103" s="1388"/>
      <c r="AU103" s="1388"/>
      <c r="AV103" s="1388"/>
      <c r="AW103" s="1388"/>
      <c r="AX103" s="1389"/>
    </row>
    <row r="104" spans="28:50" ht="22.05" customHeight="1">
      <c r="AB104" s="1715"/>
      <c r="AC104" s="1409"/>
      <c r="AD104" s="1410"/>
      <c r="AE104" s="1410"/>
      <c r="AF104" s="1410"/>
      <c r="AG104" s="1410"/>
      <c r="AH104" s="1410"/>
      <c r="AI104" s="1410"/>
      <c r="AJ104" s="1410"/>
      <c r="AK104" s="1410"/>
      <c r="AL104" s="1411"/>
      <c r="AM104" s="2"/>
      <c r="AN104" s="1714"/>
      <c r="AO104" s="2147" t="s">
        <v>5845</v>
      </c>
      <c r="AP104" s="1406"/>
      <c r="AQ104" s="1406"/>
      <c r="AR104" s="1406"/>
      <c r="AS104" s="1406"/>
      <c r="AT104" s="1406"/>
      <c r="AU104" s="1406"/>
      <c r="AV104" s="1406"/>
      <c r="AW104" s="1406"/>
      <c r="AX104" s="1407"/>
    </row>
    <row r="105" spans="28:50" ht="22.05" customHeight="1">
      <c r="AB105" s="2145" t="s">
        <v>5846</v>
      </c>
      <c r="AC105" s="2163" t="s">
        <v>5847</v>
      </c>
      <c r="AD105" s="1406"/>
      <c r="AE105" s="1406"/>
      <c r="AF105" s="1406"/>
      <c r="AG105" s="1406"/>
      <c r="AH105" s="1406"/>
      <c r="AI105" s="1406"/>
      <c r="AJ105" s="1406"/>
      <c r="AK105" s="1406"/>
      <c r="AL105" s="1407"/>
      <c r="AM105" s="2"/>
      <c r="AN105" s="1714"/>
      <c r="AO105" s="1409"/>
      <c r="AP105" s="1410"/>
      <c r="AQ105" s="1410"/>
      <c r="AR105" s="1410"/>
      <c r="AS105" s="1410"/>
      <c r="AT105" s="1410"/>
      <c r="AU105" s="1410"/>
      <c r="AV105" s="1410"/>
      <c r="AW105" s="1410"/>
      <c r="AX105" s="1411"/>
    </row>
    <row r="106" spans="28:50" ht="22.05" customHeight="1">
      <c r="AB106" s="1714"/>
      <c r="AC106" s="1408"/>
      <c r="AD106" s="2144"/>
      <c r="AE106" s="2144"/>
      <c r="AF106" s="2144"/>
      <c r="AG106" s="2144"/>
      <c r="AH106" s="2144"/>
      <c r="AI106" s="2144"/>
      <c r="AJ106" s="2144"/>
      <c r="AK106" s="2144"/>
      <c r="AL106" s="1378"/>
      <c r="AM106" s="2"/>
      <c r="AN106" s="1715"/>
      <c r="AO106" s="2146" t="s">
        <v>5848</v>
      </c>
      <c r="AP106" s="1388"/>
      <c r="AQ106" s="1388"/>
      <c r="AR106" s="1388"/>
      <c r="AS106" s="1388"/>
      <c r="AT106" s="1388"/>
      <c r="AU106" s="1388"/>
      <c r="AV106" s="1388"/>
      <c r="AW106" s="1388"/>
      <c r="AX106" s="1389"/>
    </row>
    <row r="107" spans="28:50" ht="22.05" customHeight="1">
      <c r="AB107" s="1715"/>
      <c r="AC107" s="1409"/>
      <c r="AD107" s="1410"/>
      <c r="AE107" s="1410"/>
      <c r="AF107" s="1410"/>
      <c r="AG107" s="1410"/>
      <c r="AH107" s="1410"/>
      <c r="AI107" s="1410"/>
      <c r="AJ107" s="1410"/>
      <c r="AK107" s="1410"/>
      <c r="AL107" s="1411"/>
      <c r="AM107" s="2"/>
      <c r="AN107" s="2148" t="s">
        <v>5849</v>
      </c>
      <c r="AO107" s="2146" t="s">
        <v>5850</v>
      </c>
      <c r="AP107" s="1388"/>
      <c r="AQ107" s="1388"/>
      <c r="AR107" s="1388"/>
      <c r="AS107" s="1388"/>
      <c r="AT107" s="1388"/>
      <c r="AU107" s="1388"/>
      <c r="AV107" s="1388"/>
      <c r="AW107" s="1388"/>
      <c r="AX107" s="1389"/>
    </row>
    <row r="108" spans="28:50" ht="22.05" customHeight="1">
      <c r="AB108" s="2145" t="s">
        <v>5851</v>
      </c>
      <c r="AC108" s="2163" t="s">
        <v>5852</v>
      </c>
      <c r="AD108" s="1406"/>
      <c r="AE108" s="1406"/>
      <c r="AF108" s="1406"/>
      <c r="AG108" s="1406"/>
      <c r="AH108" s="1406"/>
      <c r="AI108" s="1406"/>
      <c r="AJ108" s="1406"/>
      <c r="AK108" s="1406"/>
      <c r="AL108" s="1407"/>
      <c r="AM108" s="2"/>
      <c r="AN108" s="1714"/>
      <c r="AO108" s="2146" t="s">
        <v>5853</v>
      </c>
      <c r="AP108" s="1388"/>
      <c r="AQ108" s="1388"/>
      <c r="AR108" s="1388"/>
      <c r="AS108" s="1388"/>
      <c r="AT108" s="1388"/>
      <c r="AU108" s="1388"/>
      <c r="AV108" s="1388"/>
      <c r="AW108" s="1388"/>
      <c r="AX108" s="1389"/>
    </row>
    <row r="109" spans="28:50" ht="22.05" customHeight="1">
      <c r="AB109" s="1715"/>
      <c r="AC109" s="1409"/>
      <c r="AD109" s="1410"/>
      <c r="AE109" s="1410"/>
      <c r="AF109" s="1410"/>
      <c r="AG109" s="1410"/>
      <c r="AH109" s="1410"/>
      <c r="AI109" s="1410"/>
      <c r="AJ109" s="1410"/>
      <c r="AK109" s="1410"/>
      <c r="AL109" s="1411"/>
      <c r="AM109" s="2"/>
      <c r="AN109" s="1714"/>
      <c r="AO109" s="2146" t="s">
        <v>5854</v>
      </c>
      <c r="AP109" s="1388"/>
      <c r="AQ109" s="1388"/>
      <c r="AR109" s="1388"/>
      <c r="AS109" s="1388"/>
      <c r="AT109" s="1388"/>
      <c r="AU109" s="1388"/>
      <c r="AV109" s="1388"/>
      <c r="AW109" s="1388"/>
      <c r="AX109" s="1389"/>
    </row>
    <row r="110" spans="28:50" ht="22.05" customHeight="1">
      <c r="AB110" s="2145" t="s">
        <v>108</v>
      </c>
      <c r="AC110" s="2161" t="s">
        <v>5855</v>
      </c>
      <c r="AD110" s="1406"/>
      <c r="AE110" s="1406"/>
      <c r="AF110" s="1406"/>
      <c r="AG110" s="1406"/>
      <c r="AH110" s="1406"/>
      <c r="AI110" s="1406"/>
      <c r="AJ110" s="1406"/>
      <c r="AK110" s="1406"/>
      <c r="AL110" s="1407"/>
      <c r="AM110" s="2"/>
      <c r="AN110" s="1715"/>
      <c r="AO110" s="2146" t="s">
        <v>5856</v>
      </c>
      <c r="AP110" s="1388"/>
      <c r="AQ110" s="1388"/>
      <c r="AR110" s="1388"/>
      <c r="AS110" s="1388"/>
      <c r="AT110" s="1388"/>
      <c r="AU110" s="1388"/>
      <c r="AV110" s="1388"/>
      <c r="AW110" s="1388"/>
      <c r="AX110" s="1389"/>
    </row>
    <row r="111" spans="28:50" ht="22.05" customHeight="1">
      <c r="AB111" s="1715"/>
      <c r="AC111" s="1409"/>
      <c r="AD111" s="1410"/>
      <c r="AE111" s="1410"/>
      <c r="AF111" s="1410"/>
      <c r="AG111" s="1410"/>
      <c r="AH111" s="1410"/>
      <c r="AI111" s="1410"/>
      <c r="AJ111" s="1410"/>
      <c r="AK111" s="1410"/>
      <c r="AL111" s="1411"/>
      <c r="AM111" s="2"/>
      <c r="AN111" s="2155" t="s">
        <v>5799</v>
      </c>
      <c r="AO111" s="2154" t="s">
        <v>5857</v>
      </c>
      <c r="AP111" s="1388"/>
      <c r="AQ111" s="1388"/>
      <c r="AR111" s="1388"/>
      <c r="AS111" s="1388"/>
      <c r="AT111" s="1388"/>
      <c r="AU111" s="1388"/>
      <c r="AV111" s="1388"/>
      <c r="AW111" s="1388"/>
      <c r="AX111" s="1389"/>
    </row>
    <row r="112" spans="28:50" ht="22.05" customHeight="1">
      <c r="AB112" s="2149" t="s">
        <v>5858</v>
      </c>
      <c r="AC112" s="1388"/>
      <c r="AD112" s="1388"/>
      <c r="AE112" s="1388"/>
      <c r="AF112" s="1388"/>
      <c r="AG112" s="1388"/>
      <c r="AH112" s="1388"/>
      <c r="AI112" s="1388"/>
      <c r="AJ112" s="1388"/>
      <c r="AK112" s="1388"/>
      <c r="AL112" s="1389"/>
      <c r="AM112" s="2"/>
      <c r="AN112" s="1714"/>
      <c r="AO112" s="2146" t="s">
        <v>5859</v>
      </c>
      <c r="AP112" s="1388"/>
      <c r="AQ112" s="1388"/>
      <c r="AR112" s="1388"/>
      <c r="AS112" s="1388"/>
      <c r="AT112" s="1388"/>
      <c r="AU112" s="1388"/>
      <c r="AV112" s="1388"/>
      <c r="AW112" s="1388"/>
      <c r="AX112" s="1389"/>
    </row>
    <row r="113" spans="28:50" ht="22.05" customHeight="1">
      <c r="AB113" s="2145" t="s">
        <v>5841</v>
      </c>
      <c r="AC113" s="2163" t="s">
        <v>5860</v>
      </c>
      <c r="AD113" s="1406"/>
      <c r="AE113" s="1406"/>
      <c r="AF113" s="1406"/>
      <c r="AG113" s="1406"/>
      <c r="AH113" s="1406"/>
      <c r="AI113" s="1406"/>
      <c r="AJ113" s="1406"/>
      <c r="AK113" s="1406"/>
      <c r="AL113" s="1407"/>
      <c r="AM113" s="2"/>
      <c r="AN113" s="1714"/>
      <c r="AO113" s="2146" t="s">
        <v>5861</v>
      </c>
      <c r="AP113" s="1388"/>
      <c r="AQ113" s="1388"/>
      <c r="AR113" s="1388"/>
      <c r="AS113" s="1388"/>
      <c r="AT113" s="1388"/>
      <c r="AU113" s="1388"/>
      <c r="AV113" s="1388"/>
      <c r="AW113" s="1388"/>
      <c r="AX113" s="1389"/>
    </row>
    <row r="114" spans="28:50" ht="22.05" customHeight="1">
      <c r="AB114" s="1714"/>
      <c r="AC114" s="1408"/>
      <c r="AD114" s="2144"/>
      <c r="AE114" s="2144"/>
      <c r="AF114" s="2144"/>
      <c r="AG114" s="2144"/>
      <c r="AH114" s="2144"/>
      <c r="AI114" s="2144"/>
      <c r="AJ114" s="2144"/>
      <c r="AK114" s="2144"/>
      <c r="AL114" s="1378"/>
      <c r="AM114" s="2"/>
      <c r="AN114" s="1715"/>
      <c r="AO114" s="2146" t="s">
        <v>5862</v>
      </c>
      <c r="AP114" s="1388"/>
      <c r="AQ114" s="1388"/>
      <c r="AR114" s="1388"/>
      <c r="AS114" s="1388"/>
      <c r="AT114" s="1388"/>
      <c r="AU114" s="1388"/>
      <c r="AV114" s="1388"/>
      <c r="AW114" s="1388"/>
      <c r="AX114" s="1389"/>
    </row>
    <row r="115" spans="28:50" ht="22.05" customHeight="1">
      <c r="AB115" s="1715"/>
      <c r="AC115" s="1409"/>
      <c r="AD115" s="1410"/>
      <c r="AE115" s="1410"/>
      <c r="AF115" s="1410"/>
      <c r="AG115" s="1410"/>
      <c r="AH115" s="1410"/>
      <c r="AI115" s="1410"/>
      <c r="AJ115" s="1410"/>
      <c r="AK115" s="1410"/>
      <c r="AL115" s="1411"/>
      <c r="AM115" s="2"/>
      <c r="AN115" s="2149" t="s">
        <v>5863</v>
      </c>
      <c r="AO115" s="1388"/>
      <c r="AP115" s="1388"/>
      <c r="AQ115" s="1388"/>
      <c r="AR115" s="1388"/>
      <c r="AS115" s="1388"/>
      <c r="AT115" s="1388"/>
      <c r="AU115" s="1388"/>
      <c r="AV115" s="1388"/>
      <c r="AW115" s="1388"/>
      <c r="AX115" s="1389"/>
    </row>
    <row r="116" spans="28:50" ht="22.05" customHeight="1">
      <c r="AB116" s="2145" t="s">
        <v>5686</v>
      </c>
      <c r="AC116" s="2163" t="s">
        <v>5864</v>
      </c>
      <c r="AD116" s="1406"/>
      <c r="AE116" s="1406"/>
      <c r="AF116" s="1406"/>
      <c r="AG116" s="1406"/>
      <c r="AH116" s="1406"/>
      <c r="AI116" s="1406"/>
      <c r="AJ116" s="1406"/>
      <c r="AK116" s="1406"/>
      <c r="AL116" s="1407"/>
      <c r="AM116" s="2"/>
      <c r="AN116" s="2188" t="s">
        <v>5669</v>
      </c>
      <c r="AO116" s="2147" t="s">
        <v>5865</v>
      </c>
      <c r="AP116" s="1388"/>
      <c r="AQ116" s="1388"/>
      <c r="AR116" s="1388"/>
      <c r="AS116" s="1388"/>
      <c r="AT116" s="1388"/>
      <c r="AU116" s="1388"/>
      <c r="AV116" s="1388"/>
      <c r="AW116" s="1388"/>
      <c r="AX116" s="1389"/>
    </row>
    <row r="117" spans="28:50" ht="22.05" customHeight="1">
      <c r="AB117" s="1714"/>
      <c r="AC117" s="1408"/>
      <c r="AD117" s="2144"/>
      <c r="AE117" s="2144"/>
      <c r="AF117" s="2144"/>
      <c r="AG117" s="2144"/>
      <c r="AH117" s="2144"/>
      <c r="AI117" s="2144"/>
      <c r="AJ117" s="2144"/>
      <c r="AK117" s="2144"/>
      <c r="AL117" s="1378"/>
      <c r="AM117" s="2"/>
      <c r="AN117" s="1715"/>
      <c r="AO117" s="2147" t="s">
        <v>5866</v>
      </c>
      <c r="AP117" s="1388"/>
      <c r="AQ117" s="1388"/>
      <c r="AR117" s="1388"/>
      <c r="AS117" s="1388"/>
      <c r="AT117" s="1388"/>
      <c r="AU117" s="1388"/>
      <c r="AV117" s="1388"/>
      <c r="AW117" s="1388"/>
      <c r="AX117" s="1389"/>
    </row>
    <row r="118" spans="28:50" ht="22.05" customHeight="1">
      <c r="AB118" s="1715"/>
      <c r="AC118" s="1409"/>
      <c r="AD118" s="1410"/>
      <c r="AE118" s="1410"/>
      <c r="AF118" s="1410"/>
      <c r="AG118" s="1410"/>
      <c r="AH118" s="1410"/>
      <c r="AI118" s="1410"/>
      <c r="AJ118" s="1410"/>
      <c r="AK118" s="1410"/>
      <c r="AL118" s="1411"/>
      <c r="AM118" s="2"/>
      <c r="AN118" s="8" t="s">
        <v>5851</v>
      </c>
      <c r="AO118" s="2146" t="s">
        <v>394</v>
      </c>
      <c r="AP118" s="1388"/>
      <c r="AQ118" s="1388"/>
      <c r="AR118" s="1388"/>
      <c r="AS118" s="1388"/>
      <c r="AT118" s="1388"/>
      <c r="AU118" s="1388"/>
      <c r="AV118" s="1388"/>
      <c r="AW118" s="1388"/>
      <c r="AX118" s="1389"/>
    </row>
    <row r="119" spans="28:50" ht="22.05" customHeight="1">
      <c r="AB119" s="2145" t="s">
        <v>5694</v>
      </c>
      <c r="AC119" s="2163" t="s">
        <v>5867</v>
      </c>
      <c r="AD119" s="1406"/>
      <c r="AE119" s="1406"/>
      <c r="AF119" s="1406"/>
      <c r="AG119" s="1406"/>
      <c r="AH119" s="1406"/>
      <c r="AI119" s="1406"/>
      <c r="AJ119" s="1406"/>
      <c r="AK119" s="1406"/>
      <c r="AL119" s="1407"/>
      <c r="AM119" s="2"/>
      <c r="AN119" s="2209" t="s">
        <v>5868</v>
      </c>
      <c r="AO119" s="2147" t="s">
        <v>5869</v>
      </c>
      <c r="AP119" s="1406"/>
      <c r="AQ119" s="1406"/>
      <c r="AR119" s="1406"/>
      <c r="AS119" s="1406"/>
      <c r="AT119" s="1406"/>
      <c r="AU119" s="1406"/>
      <c r="AV119" s="1406"/>
      <c r="AW119" s="1406"/>
      <c r="AX119" s="1407"/>
    </row>
    <row r="120" spans="28:50" ht="22.05" customHeight="1">
      <c r="AB120" s="1715"/>
      <c r="AC120" s="1409"/>
      <c r="AD120" s="1410"/>
      <c r="AE120" s="1410"/>
      <c r="AF120" s="1410"/>
      <c r="AG120" s="1410"/>
      <c r="AH120" s="1410"/>
      <c r="AI120" s="1410"/>
      <c r="AJ120" s="1410"/>
      <c r="AK120" s="1410"/>
      <c r="AL120" s="1411"/>
      <c r="AM120" s="2"/>
      <c r="AN120" s="1714"/>
      <c r="AO120" s="1408"/>
      <c r="AP120" s="2144"/>
      <c r="AQ120" s="2144"/>
      <c r="AR120" s="2144"/>
      <c r="AS120" s="2144"/>
      <c r="AT120" s="2144"/>
      <c r="AU120" s="2144"/>
      <c r="AV120" s="2144"/>
      <c r="AW120" s="2144"/>
      <c r="AX120" s="1378"/>
    </row>
    <row r="121" spans="28:50" ht="22.05" customHeight="1">
      <c r="AB121" s="2145" t="s">
        <v>108</v>
      </c>
      <c r="AC121" s="2161" t="s">
        <v>5870</v>
      </c>
      <c r="AD121" s="1406"/>
      <c r="AE121" s="1406"/>
      <c r="AF121" s="1406"/>
      <c r="AG121" s="1406"/>
      <c r="AH121" s="1406"/>
      <c r="AI121" s="1406"/>
      <c r="AJ121" s="1406"/>
      <c r="AK121" s="1406"/>
      <c r="AL121" s="1407"/>
      <c r="AM121" s="2"/>
      <c r="AN121" s="1714"/>
      <c r="AO121" s="1408"/>
      <c r="AP121" s="2144"/>
      <c r="AQ121" s="2144"/>
      <c r="AR121" s="2144"/>
      <c r="AS121" s="2144"/>
      <c r="AT121" s="2144"/>
      <c r="AU121" s="2144"/>
      <c r="AV121" s="2144"/>
      <c r="AW121" s="2144"/>
      <c r="AX121" s="1378"/>
    </row>
    <row r="122" spans="28:50" ht="22.05" customHeight="1">
      <c r="AB122" s="1715"/>
      <c r="AC122" s="1409"/>
      <c r="AD122" s="1410"/>
      <c r="AE122" s="1410"/>
      <c r="AF122" s="1410"/>
      <c r="AG122" s="1410"/>
      <c r="AH122" s="1410"/>
      <c r="AI122" s="1410"/>
      <c r="AJ122" s="1410"/>
      <c r="AK122" s="1410"/>
      <c r="AL122" s="1411"/>
      <c r="AM122" s="2"/>
      <c r="AN122" s="1714"/>
      <c r="AO122" s="1409"/>
      <c r="AP122" s="1410"/>
      <c r="AQ122" s="1410"/>
      <c r="AR122" s="1410"/>
      <c r="AS122" s="1410"/>
      <c r="AT122" s="1410"/>
      <c r="AU122" s="1410"/>
      <c r="AV122" s="1410"/>
      <c r="AW122" s="1410"/>
      <c r="AX122" s="1411"/>
    </row>
    <row r="123" spans="28:50" ht="22.05" customHeight="1">
      <c r="AB123" s="2149" t="s">
        <v>5871</v>
      </c>
      <c r="AC123" s="1388"/>
      <c r="AD123" s="1388"/>
      <c r="AE123" s="1388"/>
      <c r="AF123" s="1388"/>
      <c r="AG123" s="1388"/>
      <c r="AH123" s="1388"/>
      <c r="AI123" s="1388"/>
      <c r="AJ123" s="1388"/>
      <c r="AK123" s="1388"/>
      <c r="AL123" s="1389"/>
      <c r="AM123" s="2"/>
      <c r="AN123" s="1714"/>
      <c r="AO123" s="2146" t="s">
        <v>5872</v>
      </c>
      <c r="AP123" s="1388"/>
      <c r="AQ123" s="1388"/>
      <c r="AR123" s="1388"/>
      <c r="AS123" s="1388"/>
      <c r="AT123" s="1388"/>
      <c r="AU123" s="1388"/>
      <c r="AV123" s="1388"/>
      <c r="AW123" s="1388"/>
      <c r="AX123" s="1389"/>
    </row>
    <row r="124" spans="28:50" ht="22.05" customHeight="1">
      <c r="AB124" s="2145" t="s">
        <v>5667</v>
      </c>
      <c r="AC124" s="2163" t="s">
        <v>5873</v>
      </c>
      <c r="AD124" s="1406"/>
      <c r="AE124" s="1406"/>
      <c r="AF124" s="1406"/>
      <c r="AG124" s="1406"/>
      <c r="AH124" s="1406"/>
      <c r="AI124" s="1406"/>
      <c r="AJ124" s="1406"/>
      <c r="AK124" s="1406"/>
      <c r="AL124" s="1407"/>
      <c r="AM124" s="2"/>
      <c r="AN124" s="1714"/>
      <c r="AO124" s="2147" t="s">
        <v>5874</v>
      </c>
      <c r="AP124" s="1406"/>
      <c r="AQ124" s="1406"/>
      <c r="AR124" s="1406"/>
      <c r="AS124" s="1406"/>
      <c r="AT124" s="1406"/>
      <c r="AU124" s="1406"/>
      <c r="AV124" s="1406"/>
      <c r="AW124" s="1406"/>
      <c r="AX124" s="1407"/>
    </row>
    <row r="125" spans="28:50" ht="22.05" customHeight="1">
      <c r="AB125" s="1714"/>
      <c r="AC125" s="1408"/>
      <c r="AD125" s="2144"/>
      <c r="AE125" s="2144"/>
      <c r="AF125" s="2144"/>
      <c r="AG125" s="2144"/>
      <c r="AH125" s="2144"/>
      <c r="AI125" s="2144"/>
      <c r="AJ125" s="2144"/>
      <c r="AK125" s="2144"/>
      <c r="AL125" s="1378"/>
      <c r="AM125" s="2"/>
      <c r="AN125" s="1714"/>
      <c r="AO125" s="1408"/>
      <c r="AP125" s="2144"/>
      <c r="AQ125" s="2144"/>
      <c r="AR125" s="2144"/>
      <c r="AS125" s="2144"/>
      <c r="AT125" s="2144"/>
      <c r="AU125" s="2144"/>
      <c r="AV125" s="2144"/>
      <c r="AW125" s="2144"/>
      <c r="AX125" s="1378"/>
    </row>
    <row r="126" spans="28:50" ht="22.05" customHeight="1">
      <c r="AB126" s="1714"/>
      <c r="AC126" s="1408"/>
      <c r="AD126" s="2144"/>
      <c r="AE126" s="2144"/>
      <c r="AF126" s="2144"/>
      <c r="AG126" s="2144"/>
      <c r="AH126" s="2144"/>
      <c r="AI126" s="2144"/>
      <c r="AJ126" s="2144"/>
      <c r="AK126" s="2144"/>
      <c r="AL126" s="1378"/>
      <c r="AM126" s="2"/>
      <c r="AN126" s="1715"/>
      <c r="AO126" s="1409"/>
      <c r="AP126" s="1410"/>
      <c r="AQ126" s="1410"/>
      <c r="AR126" s="1410"/>
      <c r="AS126" s="1410"/>
      <c r="AT126" s="1410"/>
      <c r="AU126" s="1410"/>
      <c r="AV126" s="1410"/>
      <c r="AW126" s="1410"/>
      <c r="AX126" s="1411"/>
    </row>
    <row r="127" spans="28:50" ht="22.05" customHeight="1">
      <c r="AB127" s="1714"/>
      <c r="AC127" s="1408"/>
      <c r="AD127" s="2144"/>
      <c r="AE127" s="2144"/>
      <c r="AF127" s="2144"/>
      <c r="AG127" s="2144"/>
      <c r="AH127" s="2144"/>
      <c r="AI127" s="2144"/>
      <c r="AJ127" s="2144"/>
      <c r="AK127" s="2144"/>
      <c r="AL127" s="1378"/>
      <c r="AM127" s="2"/>
      <c r="AN127" s="2148" t="s">
        <v>5875</v>
      </c>
      <c r="AO127" s="2146" t="s">
        <v>5876</v>
      </c>
      <c r="AP127" s="1388"/>
      <c r="AQ127" s="1388"/>
      <c r="AR127" s="1388"/>
      <c r="AS127" s="1388"/>
      <c r="AT127" s="1388"/>
      <c r="AU127" s="1388"/>
      <c r="AV127" s="1388"/>
      <c r="AW127" s="1388"/>
      <c r="AX127" s="1389"/>
    </row>
    <row r="128" spans="28:50" ht="22.05" customHeight="1">
      <c r="AB128" s="1714"/>
      <c r="AC128" s="1408"/>
      <c r="AD128" s="2144"/>
      <c r="AE128" s="2144"/>
      <c r="AF128" s="2144"/>
      <c r="AG128" s="2144"/>
      <c r="AH128" s="2144"/>
      <c r="AI128" s="2144"/>
      <c r="AJ128" s="2144"/>
      <c r="AK128" s="2144"/>
      <c r="AL128" s="1378"/>
      <c r="AM128" s="2"/>
      <c r="AN128" s="1714"/>
      <c r="AO128" s="2146" t="s">
        <v>5877</v>
      </c>
      <c r="AP128" s="1388"/>
      <c r="AQ128" s="1388"/>
      <c r="AR128" s="1388"/>
      <c r="AS128" s="1388"/>
      <c r="AT128" s="1388"/>
      <c r="AU128" s="1388"/>
      <c r="AV128" s="1388"/>
      <c r="AW128" s="1388"/>
      <c r="AX128" s="1389"/>
    </row>
    <row r="129" spans="28:50" ht="22.05" customHeight="1">
      <c r="AB129" s="1714"/>
      <c r="AC129" s="1408"/>
      <c r="AD129" s="2144"/>
      <c r="AE129" s="2144"/>
      <c r="AF129" s="2144"/>
      <c r="AG129" s="2144"/>
      <c r="AH129" s="2144"/>
      <c r="AI129" s="2144"/>
      <c r="AJ129" s="2144"/>
      <c r="AK129" s="2144"/>
      <c r="AL129" s="1378"/>
      <c r="AM129" s="2"/>
      <c r="AN129" s="1714"/>
      <c r="AO129" s="2146" t="s">
        <v>5878</v>
      </c>
      <c r="AP129" s="1388"/>
      <c r="AQ129" s="1388"/>
      <c r="AR129" s="1388"/>
      <c r="AS129" s="1388"/>
      <c r="AT129" s="1388"/>
      <c r="AU129" s="1388"/>
      <c r="AV129" s="1388"/>
      <c r="AW129" s="1388"/>
      <c r="AX129" s="1389"/>
    </row>
    <row r="130" spans="28:50" ht="22.05" customHeight="1">
      <c r="AB130" s="1714"/>
      <c r="AC130" s="1408"/>
      <c r="AD130" s="2144"/>
      <c r="AE130" s="2144"/>
      <c r="AF130" s="2144"/>
      <c r="AG130" s="2144"/>
      <c r="AH130" s="2144"/>
      <c r="AI130" s="2144"/>
      <c r="AJ130" s="2144"/>
      <c r="AK130" s="2144"/>
      <c r="AL130" s="1378"/>
      <c r="AM130" s="2"/>
      <c r="AN130" s="1715"/>
      <c r="AO130" s="2146" t="s">
        <v>5879</v>
      </c>
      <c r="AP130" s="1388"/>
      <c r="AQ130" s="1388"/>
      <c r="AR130" s="1388"/>
      <c r="AS130" s="1388"/>
      <c r="AT130" s="1388"/>
      <c r="AU130" s="1388"/>
      <c r="AV130" s="1388"/>
      <c r="AW130" s="1388"/>
      <c r="AX130" s="1389"/>
    </row>
    <row r="131" spans="28:50" ht="22.05" customHeight="1">
      <c r="AB131" s="1714"/>
      <c r="AC131" s="1408"/>
      <c r="AD131" s="2144"/>
      <c r="AE131" s="2144"/>
      <c r="AF131" s="2144"/>
      <c r="AG131" s="2144"/>
      <c r="AH131" s="2144"/>
      <c r="AI131" s="2144"/>
      <c r="AJ131" s="2144"/>
      <c r="AK131" s="2144"/>
      <c r="AL131" s="1378"/>
      <c r="AM131" s="2"/>
      <c r="AN131" s="2148" t="s">
        <v>5696</v>
      </c>
      <c r="AO131" s="2147" t="s">
        <v>5880</v>
      </c>
      <c r="AP131" s="1406"/>
      <c r="AQ131" s="1406"/>
      <c r="AR131" s="1406"/>
      <c r="AS131" s="1406"/>
      <c r="AT131" s="1406"/>
      <c r="AU131" s="1406"/>
      <c r="AV131" s="1406"/>
      <c r="AW131" s="1406"/>
      <c r="AX131" s="1407"/>
    </row>
    <row r="132" spans="28:50" ht="22.05" customHeight="1">
      <c r="AB132" s="1714"/>
      <c r="AC132" s="1408"/>
      <c r="AD132" s="2144"/>
      <c r="AE132" s="2144"/>
      <c r="AF132" s="2144"/>
      <c r="AG132" s="2144"/>
      <c r="AH132" s="2144"/>
      <c r="AI132" s="2144"/>
      <c r="AJ132" s="2144"/>
      <c r="AK132" s="2144"/>
      <c r="AL132" s="1378"/>
      <c r="AM132" s="2"/>
      <c r="AN132" s="1714"/>
      <c r="AO132" s="1408"/>
      <c r="AP132" s="2144"/>
      <c r="AQ132" s="2144"/>
      <c r="AR132" s="2144"/>
      <c r="AS132" s="2144"/>
      <c r="AT132" s="2144"/>
      <c r="AU132" s="2144"/>
      <c r="AV132" s="2144"/>
      <c r="AW132" s="2144"/>
      <c r="AX132" s="1378"/>
    </row>
    <row r="133" spans="28:50" ht="22.05" customHeight="1">
      <c r="AB133" s="1714"/>
      <c r="AC133" s="1408"/>
      <c r="AD133" s="2144"/>
      <c r="AE133" s="2144"/>
      <c r="AF133" s="2144"/>
      <c r="AG133" s="2144"/>
      <c r="AH133" s="2144"/>
      <c r="AI133" s="2144"/>
      <c r="AJ133" s="2144"/>
      <c r="AK133" s="2144"/>
      <c r="AL133" s="1378"/>
      <c r="AM133" s="2"/>
      <c r="AN133" s="1714"/>
      <c r="AO133" s="1408"/>
      <c r="AP133" s="2144"/>
      <c r="AQ133" s="2144"/>
      <c r="AR133" s="2144"/>
      <c r="AS133" s="2144"/>
      <c r="AT133" s="2144"/>
      <c r="AU133" s="2144"/>
      <c r="AV133" s="2144"/>
      <c r="AW133" s="2144"/>
      <c r="AX133" s="1378"/>
    </row>
    <row r="134" spans="28:50" ht="22.05" customHeight="1">
      <c r="AB134" s="1714"/>
      <c r="AC134" s="1408"/>
      <c r="AD134" s="2144"/>
      <c r="AE134" s="2144"/>
      <c r="AF134" s="2144"/>
      <c r="AG134" s="2144"/>
      <c r="AH134" s="2144"/>
      <c r="AI134" s="2144"/>
      <c r="AJ134" s="2144"/>
      <c r="AK134" s="2144"/>
      <c r="AL134" s="1378"/>
      <c r="AM134" s="2"/>
      <c r="AN134" s="1714"/>
      <c r="AO134" s="1409"/>
      <c r="AP134" s="1410"/>
      <c r="AQ134" s="1410"/>
      <c r="AR134" s="1410"/>
      <c r="AS134" s="1410"/>
      <c r="AT134" s="1410"/>
      <c r="AU134" s="1410"/>
      <c r="AV134" s="1410"/>
      <c r="AW134" s="1410"/>
      <c r="AX134" s="1411"/>
    </row>
    <row r="135" spans="28:50" ht="22.05" customHeight="1">
      <c r="AB135" s="1714"/>
      <c r="AC135" s="1408"/>
      <c r="AD135" s="2144"/>
      <c r="AE135" s="2144"/>
      <c r="AF135" s="2144"/>
      <c r="AG135" s="2144"/>
      <c r="AH135" s="2144"/>
      <c r="AI135" s="2144"/>
      <c r="AJ135" s="2144"/>
      <c r="AK135" s="2144"/>
      <c r="AL135" s="1378"/>
      <c r="AM135" s="2"/>
      <c r="AN135" s="1714"/>
      <c r="AO135" s="2147" t="s">
        <v>5881</v>
      </c>
      <c r="AP135" s="1406"/>
      <c r="AQ135" s="1406"/>
      <c r="AR135" s="1406"/>
      <c r="AS135" s="1406"/>
      <c r="AT135" s="1406"/>
      <c r="AU135" s="1406"/>
      <c r="AV135" s="1406"/>
      <c r="AW135" s="1406"/>
      <c r="AX135" s="1407"/>
    </row>
    <row r="136" spans="28:50" ht="22.05" customHeight="1">
      <c r="AB136" s="1714"/>
      <c r="AC136" s="1408"/>
      <c r="AD136" s="2144"/>
      <c r="AE136" s="2144"/>
      <c r="AF136" s="2144"/>
      <c r="AG136" s="2144"/>
      <c r="AH136" s="2144"/>
      <c r="AI136" s="2144"/>
      <c r="AJ136" s="2144"/>
      <c r="AK136" s="2144"/>
      <c r="AL136" s="1378"/>
      <c r="AM136" s="2"/>
      <c r="AN136" s="1714"/>
      <c r="AO136" s="1408"/>
      <c r="AP136" s="2144"/>
      <c r="AQ136" s="2144"/>
      <c r="AR136" s="2144"/>
      <c r="AS136" s="2144"/>
      <c r="AT136" s="2144"/>
      <c r="AU136" s="2144"/>
      <c r="AV136" s="2144"/>
      <c r="AW136" s="2144"/>
      <c r="AX136" s="1378"/>
    </row>
    <row r="137" spans="28:50" ht="22.05" customHeight="1">
      <c r="AB137" s="1714"/>
      <c r="AC137" s="1408"/>
      <c r="AD137" s="2144"/>
      <c r="AE137" s="2144"/>
      <c r="AF137" s="2144"/>
      <c r="AG137" s="2144"/>
      <c r="AH137" s="2144"/>
      <c r="AI137" s="2144"/>
      <c r="AJ137" s="2144"/>
      <c r="AK137" s="2144"/>
      <c r="AL137" s="1378"/>
      <c r="AM137" s="2"/>
      <c r="AN137" s="1714"/>
      <c r="AO137" s="1409"/>
      <c r="AP137" s="1410"/>
      <c r="AQ137" s="1410"/>
      <c r="AR137" s="1410"/>
      <c r="AS137" s="1410"/>
      <c r="AT137" s="1410"/>
      <c r="AU137" s="1410"/>
      <c r="AV137" s="1410"/>
      <c r="AW137" s="1410"/>
      <c r="AX137" s="1411"/>
    </row>
    <row r="138" spans="28:50" ht="22.05" customHeight="1">
      <c r="AB138" s="1715"/>
      <c r="AC138" s="1409"/>
      <c r="AD138" s="1410"/>
      <c r="AE138" s="1410"/>
      <c r="AF138" s="1410"/>
      <c r="AG138" s="1410"/>
      <c r="AH138" s="1410"/>
      <c r="AI138" s="1410"/>
      <c r="AJ138" s="1410"/>
      <c r="AK138" s="1410"/>
      <c r="AL138" s="1411"/>
      <c r="AM138" s="2"/>
      <c r="AN138" s="1714"/>
      <c r="AO138" s="2147" t="s">
        <v>5882</v>
      </c>
      <c r="AP138" s="1388"/>
      <c r="AQ138" s="1388"/>
      <c r="AR138" s="1388"/>
      <c r="AS138" s="1388"/>
      <c r="AT138" s="1388"/>
      <c r="AU138" s="1388"/>
      <c r="AV138" s="1388"/>
      <c r="AW138" s="1388"/>
      <c r="AX138" s="1389"/>
    </row>
    <row r="139" spans="28:50" ht="22.05" customHeight="1">
      <c r="AB139" s="2145" t="s">
        <v>108</v>
      </c>
      <c r="AC139" s="2172" t="s">
        <v>5883</v>
      </c>
      <c r="AD139" s="1406"/>
      <c r="AE139" s="1406"/>
      <c r="AF139" s="1406"/>
      <c r="AG139" s="1406"/>
      <c r="AH139" s="1406"/>
      <c r="AI139" s="1406"/>
      <c r="AJ139" s="1406"/>
      <c r="AK139" s="1406"/>
      <c r="AL139" s="1407"/>
      <c r="AM139" s="2"/>
      <c r="AN139" s="1715"/>
      <c r="AO139" s="2147" t="s">
        <v>5884</v>
      </c>
      <c r="AP139" s="1388"/>
      <c r="AQ139" s="1388"/>
      <c r="AR139" s="1388"/>
      <c r="AS139" s="1388"/>
      <c r="AT139" s="1388"/>
      <c r="AU139" s="1388"/>
      <c r="AV139" s="1388"/>
      <c r="AW139" s="1388"/>
      <c r="AX139" s="1389"/>
    </row>
    <row r="140" spans="28:50" ht="22.05" customHeight="1">
      <c r="AB140" s="1715"/>
      <c r="AC140" s="1409"/>
      <c r="AD140" s="1410"/>
      <c r="AE140" s="1410"/>
      <c r="AF140" s="1410"/>
      <c r="AG140" s="1410"/>
      <c r="AH140" s="1410"/>
      <c r="AI140" s="1410"/>
      <c r="AJ140" s="1410"/>
      <c r="AK140" s="1410"/>
      <c r="AL140" s="1411"/>
      <c r="AM140" s="2"/>
      <c r="AN140" s="2148" t="s">
        <v>5849</v>
      </c>
      <c r="AO140" s="2147" t="s">
        <v>5885</v>
      </c>
      <c r="AP140" s="1406"/>
      <c r="AQ140" s="1406"/>
      <c r="AR140" s="1406"/>
      <c r="AS140" s="1406"/>
      <c r="AT140" s="1406"/>
      <c r="AU140" s="1406"/>
      <c r="AV140" s="1406"/>
      <c r="AW140" s="1406"/>
      <c r="AX140" s="1407"/>
    </row>
    <row r="141" spans="28:50" ht="22.05" customHeight="1">
      <c r="AB141" s="2149" t="s">
        <v>5886</v>
      </c>
      <c r="AC141" s="1388"/>
      <c r="AD141" s="1388"/>
      <c r="AE141" s="1388"/>
      <c r="AF141" s="1388"/>
      <c r="AG141" s="1388"/>
      <c r="AH141" s="1388"/>
      <c r="AI141" s="1388"/>
      <c r="AJ141" s="1388"/>
      <c r="AK141" s="1388"/>
      <c r="AL141" s="1389"/>
      <c r="AM141" s="2"/>
      <c r="AN141" s="1714"/>
      <c r="AO141" s="1408"/>
      <c r="AP141" s="2144"/>
      <c r="AQ141" s="2144"/>
      <c r="AR141" s="2144"/>
      <c r="AS141" s="2144"/>
      <c r="AT141" s="2144"/>
      <c r="AU141" s="2144"/>
      <c r="AV141" s="2144"/>
      <c r="AW141" s="2144"/>
      <c r="AX141" s="1378"/>
    </row>
    <row r="142" spans="28:50" ht="22.05" customHeight="1">
      <c r="AB142" s="2145" t="s">
        <v>5841</v>
      </c>
      <c r="AC142" s="2159" t="s">
        <v>5887</v>
      </c>
      <c r="AD142" s="1406"/>
      <c r="AE142" s="1406"/>
      <c r="AF142" s="1406"/>
      <c r="AG142" s="1406"/>
      <c r="AH142" s="1406"/>
      <c r="AI142" s="1406"/>
      <c r="AJ142" s="1406"/>
      <c r="AK142" s="1406"/>
      <c r="AL142" s="1407"/>
      <c r="AM142" s="2"/>
      <c r="AN142" s="1714"/>
      <c r="AO142" s="1408"/>
      <c r="AP142" s="2144"/>
      <c r="AQ142" s="2144"/>
      <c r="AR142" s="2144"/>
      <c r="AS142" s="2144"/>
      <c r="AT142" s="2144"/>
      <c r="AU142" s="2144"/>
      <c r="AV142" s="2144"/>
      <c r="AW142" s="2144"/>
      <c r="AX142" s="1378"/>
    </row>
    <row r="143" spans="28:50" ht="22.05" customHeight="1">
      <c r="AB143" s="1714"/>
      <c r="AC143" s="1409"/>
      <c r="AD143" s="1410"/>
      <c r="AE143" s="1410"/>
      <c r="AF143" s="1410"/>
      <c r="AG143" s="1410"/>
      <c r="AH143" s="1410"/>
      <c r="AI143" s="1410"/>
      <c r="AJ143" s="1410"/>
      <c r="AK143" s="1410"/>
      <c r="AL143" s="1411"/>
      <c r="AM143" s="2"/>
      <c r="AN143" s="1714"/>
      <c r="AO143" s="1408"/>
      <c r="AP143" s="2144"/>
      <c r="AQ143" s="2144"/>
      <c r="AR143" s="2144"/>
      <c r="AS143" s="2144"/>
      <c r="AT143" s="2144"/>
      <c r="AU143" s="2144"/>
      <c r="AV143" s="2144"/>
      <c r="AW143" s="2144"/>
      <c r="AX143" s="1378"/>
    </row>
    <row r="144" spans="28:50" ht="22.05" customHeight="1">
      <c r="AB144" s="1714"/>
      <c r="AC144" s="2158" t="s">
        <v>5888</v>
      </c>
      <c r="AD144" s="1406"/>
      <c r="AE144" s="1406"/>
      <c r="AF144" s="1406"/>
      <c r="AG144" s="1406"/>
      <c r="AH144" s="1406"/>
      <c r="AI144" s="1406"/>
      <c r="AJ144" s="1406"/>
      <c r="AK144" s="1406"/>
      <c r="AL144" s="1407"/>
      <c r="AM144" s="2"/>
      <c r="AN144" s="1714"/>
      <c r="AO144" s="1408"/>
      <c r="AP144" s="2144"/>
      <c r="AQ144" s="2144"/>
      <c r="AR144" s="2144"/>
      <c r="AS144" s="2144"/>
      <c r="AT144" s="2144"/>
      <c r="AU144" s="2144"/>
      <c r="AV144" s="2144"/>
      <c r="AW144" s="2144"/>
      <c r="AX144" s="1378"/>
    </row>
    <row r="145" spans="28:50" ht="22.05" customHeight="1">
      <c r="AB145" s="1715"/>
      <c r="AC145" s="1409"/>
      <c r="AD145" s="1410"/>
      <c r="AE145" s="1410"/>
      <c r="AF145" s="1410"/>
      <c r="AG145" s="1410"/>
      <c r="AH145" s="1410"/>
      <c r="AI145" s="1410"/>
      <c r="AJ145" s="1410"/>
      <c r="AK145" s="1410"/>
      <c r="AL145" s="1411"/>
      <c r="AM145" s="2"/>
      <c r="AN145" s="1714"/>
      <c r="AO145" s="1408"/>
      <c r="AP145" s="2144"/>
      <c r="AQ145" s="2144"/>
      <c r="AR145" s="2144"/>
      <c r="AS145" s="2144"/>
      <c r="AT145" s="2144"/>
      <c r="AU145" s="2144"/>
      <c r="AV145" s="2144"/>
      <c r="AW145" s="2144"/>
      <c r="AX145" s="1378"/>
    </row>
    <row r="146" spans="28:50" ht="22.05" customHeight="1">
      <c r="AB146" s="2145" t="s">
        <v>5686</v>
      </c>
      <c r="AC146" s="2147" t="s">
        <v>5889</v>
      </c>
      <c r="AD146" s="1406"/>
      <c r="AE146" s="1406"/>
      <c r="AF146" s="1406"/>
      <c r="AG146" s="1406"/>
      <c r="AH146" s="1406"/>
      <c r="AI146" s="1406"/>
      <c r="AJ146" s="1406"/>
      <c r="AK146" s="1406"/>
      <c r="AL146" s="1407"/>
      <c r="AM146" s="2"/>
      <c r="AN146" s="1714"/>
      <c r="AO146" s="1408"/>
      <c r="AP146" s="2144"/>
      <c r="AQ146" s="2144"/>
      <c r="AR146" s="2144"/>
      <c r="AS146" s="2144"/>
      <c r="AT146" s="2144"/>
      <c r="AU146" s="2144"/>
      <c r="AV146" s="2144"/>
      <c r="AW146" s="2144"/>
      <c r="AX146" s="1378"/>
    </row>
    <row r="147" spans="28:50" ht="22.05" customHeight="1">
      <c r="AB147" s="1714"/>
      <c r="AC147" s="1409"/>
      <c r="AD147" s="1410"/>
      <c r="AE147" s="1410"/>
      <c r="AF147" s="1410"/>
      <c r="AG147" s="1410"/>
      <c r="AH147" s="1410"/>
      <c r="AI147" s="1410"/>
      <c r="AJ147" s="1410"/>
      <c r="AK147" s="1410"/>
      <c r="AL147" s="1411"/>
      <c r="AM147" s="2"/>
      <c r="AN147" s="1714"/>
      <c r="AO147" s="1408"/>
      <c r="AP147" s="2144"/>
      <c r="AQ147" s="2144"/>
      <c r="AR147" s="2144"/>
      <c r="AS147" s="2144"/>
      <c r="AT147" s="2144"/>
      <c r="AU147" s="2144"/>
      <c r="AV147" s="2144"/>
      <c r="AW147" s="2144"/>
      <c r="AX147" s="1378"/>
    </row>
    <row r="148" spans="28:50" ht="22.05" customHeight="1">
      <c r="AB148" s="1714"/>
      <c r="AC148" s="2147" t="s">
        <v>5890</v>
      </c>
      <c r="AD148" s="1406"/>
      <c r="AE148" s="1406"/>
      <c r="AF148" s="1406"/>
      <c r="AG148" s="1406"/>
      <c r="AH148" s="1406"/>
      <c r="AI148" s="1406"/>
      <c r="AJ148" s="1406"/>
      <c r="AK148" s="1406"/>
      <c r="AL148" s="1407"/>
      <c r="AM148" s="2"/>
      <c r="AN148" s="1714"/>
      <c r="AO148" s="1408"/>
      <c r="AP148" s="2144"/>
      <c r="AQ148" s="2144"/>
      <c r="AR148" s="2144"/>
      <c r="AS148" s="2144"/>
      <c r="AT148" s="2144"/>
      <c r="AU148" s="2144"/>
      <c r="AV148" s="2144"/>
      <c r="AW148" s="2144"/>
      <c r="AX148" s="1378"/>
    </row>
    <row r="149" spans="28:50" ht="22.05" customHeight="1">
      <c r="AB149" s="1715"/>
      <c r="AC149" s="1409"/>
      <c r="AD149" s="1410"/>
      <c r="AE149" s="1410"/>
      <c r="AF149" s="1410"/>
      <c r="AG149" s="1410"/>
      <c r="AH149" s="1410"/>
      <c r="AI149" s="1410"/>
      <c r="AJ149" s="1410"/>
      <c r="AK149" s="1410"/>
      <c r="AL149" s="1411"/>
      <c r="AM149" s="2"/>
      <c r="AN149" s="1714"/>
      <c r="AO149" s="1409"/>
      <c r="AP149" s="1410"/>
      <c r="AQ149" s="1410"/>
      <c r="AR149" s="1410"/>
      <c r="AS149" s="1410"/>
      <c r="AT149" s="1410"/>
      <c r="AU149" s="1410"/>
      <c r="AV149" s="1410"/>
      <c r="AW149" s="1410"/>
      <c r="AX149" s="1411"/>
    </row>
    <row r="150" spans="28:50" ht="22.05" customHeight="1">
      <c r="AB150" s="2145" t="s">
        <v>5875</v>
      </c>
      <c r="AC150" s="2159" t="s">
        <v>5891</v>
      </c>
      <c r="AD150" s="1406"/>
      <c r="AE150" s="1406"/>
      <c r="AF150" s="1406"/>
      <c r="AG150" s="1406"/>
      <c r="AH150" s="1406"/>
      <c r="AI150" s="1406"/>
      <c r="AJ150" s="1406"/>
      <c r="AK150" s="1406"/>
      <c r="AL150" s="1407"/>
      <c r="AM150" s="2"/>
      <c r="AN150" s="1714"/>
      <c r="AO150" s="2147" t="s">
        <v>5892</v>
      </c>
      <c r="AP150" s="1406"/>
      <c r="AQ150" s="1406"/>
      <c r="AR150" s="1406"/>
      <c r="AS150" s="1406"/>
      <c r="AT150" s="1406"/>
      <c r="AU150" s="1406"/>
      <c r="AV150" s="1406"/>
      <c r="AW150" s="1406"/>
      <c r="AX150" s="1407"/>
    </row>
    <row r="151" spans="28:50" ht="22.05" customHeight="1">
      <c r="AB151" s="1714"/>
      <c r="AC151" s="1408"/>
      <c r="AD151" s="2144"/>
      <c r="AE151" s="2144"/>
      <c r="AF151" s="2144"/>
      <c r="AG151" s="2144"/>
      <c r="AH151" s="2144"/>
      <c r="AI151" s="2144"/>
      <c r="AJ151" s="2144"/>
      <c r="AK151" s="2144"/>
      <c r="AL151" s="1378"/>
      <c r="AM151" s="2"/>
      <c r="AN151" s="1714"/>
      <c r="AO151" s="1408"/>
      <c r="AP151" s="2144"/>
      <c r="AQ151" s="2144"/>
      <c r="AR151" s="2144"/>
      <c r="AS151" s="2144"/>
      <c r="AT151" s="2144"/>
      <c r="AU151" s="2144"/>
      <c r="AV151" s="2144"/>
      <c r="AW151" s="2144"/>
      <c r="AX151" s="1378"/>
    </row>
    <row r="152" spans="28:50" ht="22.05" customHeight="1">
      <c r="AB152" s="1715"/>
      <c r="AC152" s="1409"/>
      <c r="AD152" s="1410"/>
      <c r="AE152" s="1410"/>
      <c r="AF152" s="1410"/>
      <c r="AG152" s="1410"/>
      <c r="AH152" s="1410"/>
      <c r="AI152" s="1410"/>
      <c r="AJ152" s="1410"/>
      <c r="AK152" s="1410"/>
      <c r="AL152" s="1411"/>
      <c r="AM152" s="2"/>
      <c r="AN152" s="1714"/>
      <c r="AO152" s="1408"/>
      <c r="AP152" s="2144"/>
      <c r="AQ152" s="2144"/>
      <c r="AR152" s="2144"/>
      <c r="AS152" s="2144"/>
      <c r="AT152" s="2144"/>
      <c r="AU152" s="2144"/>
      <c r="AV152" s="2144"/>
      <c r="AW152" s="2144"/>
      <c r="AX152" s="1378"/>
    </row>
    <row r="153" spans="28:50" ht="22.05" customHeight="1">
      <c r="AB153" s="2145" t="s">
        <v>5699</v>
      </c>
      <c r="AC153" s="2159" t="s">
        <v>5893</v>
      </c>
      <c r="AD153" s="1406"/>
      <c r="AE153" s="1406"/>
      <c r="AF153" s="1406"/>
      <c r="AG153" s="1406"/>
      <c r="AH153" s="1406"/>
      <c r="AI153" s="1406"/>
      <c r="AJ153" s="1406"/>
      <c r="AK153" s="1406"/>
      <c r="AL153" s="1407"/>
      <c r="AM153" s="2"/>
      <c r="AN153" s="1714"/>
      <c r="AO153" s="1408"/>
      <c r="AP153" s="2144"/>
      <c r="AQ153" s="2144"/>
      <c r="AR153" s="2144"/>
      <c r="AS153" s="2144"/>
      <c r="AT153" s="2144"/>
      <c r="AU153" s="2144"/>
      <c r="AV153" s="2144"/>
      <c r="AW153" s="2144"/>
      <c r="AX153" s="1378"/>
    </row>
    <row r="154" spans="28:50" ht="22.05" customHeight="1">
      <c r="AB154" s="1715"/>
      <c r="AC154" s="1409"/>
      <c r="AD154" s="1410"/>
      <c r="AE154" s="1410"/>
      <c r="AF154" s="1410"/>
      <c r="AG154" s="1410"/>
      <c r="AH154" s="1410"/>
      <c r="AI154" s="1410"/>
      <c r="AJ154" s="1410"/>
      <c r="AK154" s="1410"/>
      <c r="AL154" s="1411"/>
      <c r="AM154" s="2"/>
      <c r="AN154" s="1714"/>
      <c r="AO154" s="1409"/>
      <c r="AP154" s="1410"/>
      <c r="AQ154" s="1410"/>
      <c r="AR154" s="1410"/>
      <c r="AS154" s="1410"/>
      <c r="AT154" s="1410"/>
      <c r="AU154" s="1410"/>
      <c r="AV154" s="1410"/>
      <c r="AW154" s="1410"/>
      <c r="AX154" s="1411"/>
    </row>
    <row r="155" spans="28:50" ht="22.05" customHeight="1">
      <c r="AB155" s="2145" t="s">
        <v>5799</v>
      </c>
      <c r="AC155" s="2159" t="s">
        <v>5894</v>
      </c>
      <c r="AD155" s="1406"/>
      <c r="AE155" s="1406"/>
      <c r="AF155" s="1406"/>
      <c r="AG155" s="1406"/>
      <c r="AH155" s="1406"/>
      <c r="AI155" s="1406"/>
      <c r="AJ155" s="1406"/>
      <c r="AK155" s="1406"/>
      <c r="AL155" s="1407"/>
      <c r="AM155" s="2"/>
      <c r="AN155" s="1714"/>
      <c r="AO155" s="2146" t="s">
        <v>5895</v>
      </c>
      <c r="AP155" s="1388"/>
      <c r="AQ155" s="1388"/>
      <c r="AR155" s="1388"/>
      <c r="AS155" s="1388"/>
      <c r="AT155" s="1388"/>
      <c r="AU155" s="1388"/>
      <c r="AV155" s="1388"/>
      <c r="AW155" s="1388"/>
      <c r="AX155" s="1389"/>
    </row>
    <row r="156" spans="28:50" ht="22.05" customHeight="1">
      <c r="AB156" s="1715"/>
      <c r="AC156" s="1409"/>
      <c r="AD156" s="1410"/>
      <c r="AE156" s="1410"/>
      <c r="AF156" s="1410"/>
      <c r="AG156" s="1410"/>
      <c r="AH156" s="1410"/>
      <c r="AI156" s="1410"/>
      <c r="AJ156" s="1410"/>
      <c r="AK156" s="1410"/>
      <c r="AL156" s="1411"/>
      <c r="AM156" s="2"/>
      <c r="AN156" s="1715"/>
      <c r="AO156" s="2146" t="s">
        <v>5896</v>
      </c>
      <c r="AP156" s="1388"/>
      <c r="AQ156" s="1388"/>
      <c r="AR156" s="1388"/>
      <c r="AS156" s="1388"/>
      <c r="AT156" s="1388"/>
      <c r="AU156" s="1388"/>
      <c r="AV156" s="1388"/>
      <c r="AW156" s="1388"/>
      <c r="AX156" s="1389"/>
    </row>
    <row r="157" spans="28:50" ht="22.05" customHeight="1">
      <c r="AB157" s="2145" t="s">
        <v>108</v>
      </c>
      <c r="AC157" s="2172" t="s">
        <v>5897</v>
      </c>
      <c r="AD157" s="1406"/>
      <c r="AE157" s="1406"/>
      <c r="AF157" s="1406"/>
      <c r="AG157" s="1406"/>
      <c r="AH157" s="1406"/>
      <c r="AI157" s="1406"/>
      <c r="AJ157" s="1406"/>
      <c r="AK157" s="1406"/>
      <c r="AL157" s="1407"/>
      <c r="AM157" s="2"/>
      <c r="AN157" s="2178" t="s">
        <v>5699</v>
      </c>
      <c r="AO157" s="2146" t="s">
        <v>5898</v>
      </c>
      <c r="AP157" s="1388"/>
      <c r="AQ157" s="1388"/>
      <c r="AR157" s="1388"/>
      <c r="AS157" s="1388"/>
      <c r="AT157" s="1388"/>
      <c r="AU157" s="1388"/>
      <c r="AV157" s="1388"/>
      <c r="AW157" s="1388"/>
      <c r="AX157" s="1389"/>
    </row>
    <row r="158" spans="28:50" ht="22.05" customHeight="1">
      <c r="AB158" s="1715"/>
      <c r="AC158" s="1409"/>
      <c r="AD158" s="1410"/>
      <c r="AE158" s="1410"/>
      <c r="AF158" s="1410"/>
      <c r="AG158" s="1410"/>
      <c r="AH158" s="1410"/>
      <c r="AI158" s="1410"/>
      <c r="AJ158" s="1410"/>
      <c r="AK158" s="1410"/>
      <c r="AL158" s="1411"/>
      <c r="AM158" s="2"/>
      <c r="AN158" s="1715"/>
      <c r="AO158" s="2146" t="s">
        <v>5899</v>
      </c>
      <c r="AP158" s="1388"/>
      <c r="AQ158" s="1388"/>
      <c r="AR158" s="1388"/>
      <c r="AS158" s="1388"/>
      <c r="AT158" s="1388"/>
      <c r="AU158" s="1388"/>
      <c r="AV158" s="1388"/>
      <c r="AW158" s="1388"/>
      <c r="AX158" s="1389"/>
    </row>
    <row r="159" spans="28:50" ht="22.05" customHeight="1">
      <c r="AB159" s="2165" t="s">
        <v>5900</v>
      </c>
      <c r="AC159" s="1410"/>
      <c r="AD159" s="1410"/>
      <c r="AE159" s="1410"/>
      <c r="AF159" s="1410"/>
      <c r="AG159" s="1410"/>
      <c r="AH159" s="1410"/>
      <c r="AI159" s="1410"/>
      <c r="AJ159" s="1410"/>
      <c r="AK159" s="1410"/>
      <c r="AL159" s="1411"/>
      <c r="AM159" s="2"/>
      <c r="AN159" s="2149" t="s">
        <v>5901</v>
      </c>
      <c r="AO159" s="1388"/>
      <c r="AP159" s="1388"/>
      <c r="AQ159" s="1388"/>
      <c r="AR159" s="1388"/>
      <c r="AS159" s="1388"/>
      <c r="AT159" s="1388"/>
      <c r="AU159" s="1388"/>
      <c r="AV159" s="1388"/>
      <c r="AW159" s="1388"/>
      <c r="AX159" s="1389"/>
    </row>
    <row r="160" spans="28:50" ht="22.05" customHeight="1">
      <c r="AB160" s="2145" t="s">
        <v>5669</v>
      </c>
      <c r="AC160" s="2147" t="s">
        <v>5902</v>
      </c>
      <c r="AD160" s="1406"/>
      <c r="AE160" s="1406"/>
      <c r="AF160" s="1406"/>
      <c r="AG160" s="1406"/>
      <c r="AH160" s="1406"/>
      <c r="AI160" s="1406"/>
      <c r="AJ160" s="1406"/>
      <c r="AK160" s="1406"/>
      <c r="AL160" s="1407"/>
      <c r="AM160" s="2"/>
      <c r="AN160" s="9" t="s">
        <v>5669</v>
      </c>
      <c r="AO160" s="2146" t="s">
        <v>5903</v>
      </c>
      <c r="AP160" s="1388"/>
      <c r="AQ160" s="1388"/>
      <c r="AR160" s="1388"/>
      <c r="AS160" s="1388"/>
      <c r="AT160" s="1388"/>
      <c r="AU160" s="1388"/>
      <c r="AV160" s="1388"/>
      <c r="AW160" s="1388"/>
      <c r="AX160" s="1389"/>
    </row>
    <row r="161" spans="28:50" ht="22.05" customHeight="1">
      <c r="AB161" s="1715"/>
      <c r="AC161" s="1409"/>
      <c r="AD161" s="1410"/>
      <c r="AE161" s="1410"/>
      <c r="AF161" s="1410"/>
      <c r="AG161" s="1410"/>
      <c r="AH161" s="1410"/>
      <c r="AI161" s="1410"/>
      <c r="AJ161" s="1410"/>
      <c r="AK161" s="1410"/>
      <c r="AL161" s="1411"/>
      <c r="AM161" s="2"/>
      <c r="AN161" s="4" t="s">
        <v>5696</v>
      </c>
      <c r="AO161" s="2146" t="s">
        <v>5904</v>
      </c>
      <c r="AP161" s="1388"/>
      <c r="AQ161" s="1388"/>
      <c r="AR161" s="1388"/>
      <c r="AS161" s="1388"/>
      <c r="AT161" s="1388"/>
      <c r="AU161" s="1388"/>
      <c r="AV161" s="1388"/>
      <c r="AW161" s="1388"/>
      <c r="AX161" s="1389"/>
    </row>
    <row r="162" spans="28:50" ht="22.05" customHeight="1">
      <c r="AB162" s="2145" t="s">
        <v>5851</v>
      </c>
      <c r="AC162" s="2147" t="s">
        <v>5905</v>
      </c>
      <c r="AD162" s="1406"/>
      <c r="AE162" s="1406"/>
      <c r="AF162" s="1406"/>
      <c r="AG162" s="1406"/>
      <c r="AH162" s="1406"/>
      <c r="AI162" s="1406"/>
      <c r="AJ162" s="1406"/>
      <c r="AK162" s="1406"/>
      <c r="AL162" s="1407"/>
      <c r="AM162" s="2"/>
      <c r="AN162" s="2149" t="s">
        <v>5906</v>
      </c>
      <c r="AO162" s="1388"/>
      <c r="AP162" s="1388"/>
      <c r="AQ162" s="1388"/>
      <c r="AR162" s="1388"/>
      <c r="AS162" s="1388"/>
      <c r="AT162" s="1388"/>
      <c r="AU162" s="1388"/>
      <c r="AV162" s="1388"/>
      <c r="AW162" s="1388"/>
      <c r="AX162" s="1389"/>
    </row>
    <row r="163" spans="28:50" ht="22.05" customHeight="1">
      <c r="AB163" s="1715"/>
      <c r="AC163" s="1409"/>
      <c r="AD163" s="1410"/>
      <c r="AE163" s="1410"/>
      <c r="AF163" s="1410"/>
      <c r="AG163" s="1410"/>
      <c r="AH163" s="1410"/>
      <c r="AI163" s="1410"/>
      <c r="AJ163" s="1410"/>
      <c r="AK163" s="1410"/>
      <c r="AL163" s="1411"/>
      <c r="AM163" s="2"/>
      <c r="AN163" s="6" t="s">
        <v>5799</v>
      </c>
      <c r="AO163" s="2169" t="s">
        <v>5907</v>
      </c>
      <c r="AP163" s="1388"/>
      <c r="AQ163" s="1388"/>
      <c r="AR163" s="1388"/>
      <c r="AS163" s="1388"/>
      <c r="AT163" s="1388"/>
      <c r="AU163" s="1388"/>
      <c r="AV163" s="1388"/>
      <c r="AW163" s="1388"/>
      <c r="AX163" s="1389"/>
    </row>
    <row r="164" spans="28:50" ht="22.05" customHeight="1">
      <c r="AB164" s="2145" t="s">
        <v>5686</v>
      </c>
      <c r="AC164" s="2147" t="s">
        <v>5908</v>
      </c>
      <c r="AD164" s="1406"/>
      <c r="AE164" s="1406"/>
      <c r="AF164" s="1406"/>
      <c r="AG164" s="1406"/>
      <c r="AH164" s="1406"/>
      <c r="AI164" s="1406"/>
      <c r="AJ164" s="1406"/>
      <c r="AK164" s="1406"/>
      <c r="AL164" s="1407"/>
      <c r="AM164" s="2"/>
      <c r="AN164" s="2149" t="s">
        <v>5909</v>
      </c>
      <c r="AO164" s="1388"/>
      <c r="AP164" s="1388"/>
      <c r="AQ164" s="1388"/>
      <c r="AR164" s="1388"/>
      <c r="AS164" s="1388"/>
      <c r="AT164" s="1388"/>
      <c r="AU164" s="1388"/>
      <c r="AV164" s="1388"/>
      <c r="AW164" s="1388"/>
      <c r="AX164" s="1389"/>
    </row>
    <row r="165" spans="28:50" ht="22.05" customHeight="1">
      <c r="AB165" s="1715"/>
      <c r="AC165" s="1409"/>
      <c r="AD165" s="1410"/>
      <c r="AE165" s="1410"/>
      <c r="AF165" s="1410"/>
      <c r="AG165" s="1410"/>
      <c r="AH165" s="1410"/>
      <c r="AI165" s="1410"/>
      <c r="AJ165" s="1410"/>
      <c r="AK165" s="1410"/>
      <c r="AL165" s="1411"/>
      <c r="AM165" s="2"/>
      <c r="AN165" s="2148" t="s">
        <v>5669</v>
      </c>
      <c r="AO165" s="2147" t="s">
        <v>5910</v>
      </c>
      <c r="AP165" s="1406"/>
      <c r="AQ165" s="1406"/>
      <c r="AR165" s="1406"/>
      <c r="AS165" s="1406"/>
      <c r="AT165" s="1406"/>
      <c r="AU165" s="1406"/>
      <c r="AV165" s="1406"/>
      <c r="AW165" s="1406"/>
      <c r="AX165" s="1407"/>
    </row>
    <row r="166" spans="28:50" ht="22.05" customHeight="1">
      <c r="AB166" s="2145" t="s">
        <v>5699</v>
      </c>
      <c r="AC166" s="2187" t="s">
        <v>5911</v>
      </c>
      <c r="AD166" s="1406"/>
      <c r="AE166" s="1406"/>
      <c r="AF166" s="1406"/>
      <c r="AG166" s="1406"/>
      <c r="AH166" s="1406"/>
      <c r="AI166" s="1406"/>
      <c r="AJ166" s="1406"/>
      <c r="AK166" s="1406"/>
      <c r="AL166" s="1407"/>
      <c r="AM166" s="2"/>
      <c r="AN166" s="1714"/>
      <c r="AO166" s="1408"/>
      <c r="AP166" s="2144"/>
      <c r="AQ166" s="2144"/>
      <c r="AR166" s="2144"/>
      <c r="AS166" s="2144"/>
      <c r="AT166" s="2144"/>
      <c r="AU166" s="2144"/>
      <c r="AV166" s="2144"/>
      <c r="AW166" s="2144"/>
      <c r="AX166" s="1378"/>
    </row>
    <row r="167" spans="28:50" ht="22.05" customHeight="1">
      <c r="AB167" s="1715"/>
      <c r="AC167" s="1409"/>
      <c r="AD167" s="1410"/>
      <c r="AE167" s="1410"/>
      <c r="AF167" s="1410"/>
      <c r="AG167" s="1410"/>
      <c r="AH167" s="1410"/>
      <c r="AI167" s="1410"/>
      <c r="AJ167" s="1410"/>
      <c r="AK167" s="1410"/>
      <c r="AL167" s="1411"/>
      <c r="AM167" s="2"/>
      <c r="AN167" s="1714"/>
      <c r="AO167" s="1409"/>
      <c r="AP167" s="1410"/>
      <c r="AQ167" s="1410"/>
      <c r="AR167" s="1410"/>
      <c r="AS167" s="1410"/>
      <c r="AT167" s="1410"/>
      <c r="AU167" s="1410"/>
      <c r="AV167" s="1410"/>
      <c r="AW167" s="1410"/>
      <c r="AX167" s="1411"/>
    </row>
    <row r="168" spans="28:50" ht="22.05" customHeight="1">
      <c r="AB168" s="2145" t="s">
        <v>5799</v>
      </c>
      <c r="AC168" s="2159" t="s">
        <v>5912</v>
      </c>
      <c r="AD168" s="1406"/>
      <c r="AE168" s="1406"/>
      <c r="AF168" s="1406"/>
      <c r="AG168" s="1406"/>
      <c r="AH168" s="1406"/>
      <c r="AI168" s="1406"/>
      <c r="AJ168" s="1406"/>
      <c r="AK168" s="1406"/>
      <c r="AL168" s="1407"/>
      <c r="AM168" s="2"/>
      <c r="AN168" s="1714"/>
      <c r="AO168" s="2147" t="s">
        <v>5913</v>
      </c>
      <c r="AP168" s="1406"/>
      <c r="AQ168" s="1406"/>
      <c r="AR168" s="1406"/>
      <c r="AS168" s="1406"/>
      <c r="AT168" s="1406"/>
      <c r="AU168" s="1406"/>
      <c r="AV168" s="1406"/>
      <c r="AW168" s="1406"/>
      <c r="AX168" s="1407"/>
    </row>
    <row r="169" spans="28:50" ht="22.05" customHeight="1">
      <c r="AB169" s="1715"/>
      <c r="AC169" s="1409"/>
      <c r="AD169" s="1410"/>
      <c r="AE169" s="1410"/>
      <c r="AF169" s="1410"/>
      <c r="AG169" s="1410"/>
      <c r="AH169" s="1410"/>
      <c r="AI169" s="1410"/>
      <c r="AJ169" s="1410"/>
      <c r="AK169" s="1410"/>
      <c r="AL169" s="1411"/>
      <c r="AM169" s="2"/>
      <c r="AN169" s="1714"/>
      <c r="AO169" s="1409"/>
      <c r="AP169" s="1410"/>
      <c r="AQ169" s="1410"/>
      <c r="AR169" s="1410"/>
      <c r="AS169" s="1410"/>
      <c r="AT169" s="1410"/>
      <c r="AU169" s="1410"/>
      <c r="AV169" s="1410"/>
      <c r="AW169" s="1410"/>
      <c r="AX169" s="1411"/>
    </row>
    <row r="170" spans="28:50" ht="22.05" customHeight="1">
      <c r="AB170" s="2145" t="s">
        <v>108</v>
      </c>
      <c r="AC170" s="2172" t="s">
        <v>5914</v>
      </c>
      <c r="AD170" s="1406"/>
      <c r="AE170" s="1406"/>
      <c r="AF170" s="1406"/>
      <c r="AG170" s="1406"/>
      <c r="AH170" s="1406"/>
      <c r="AI170" s="1406"/>
      <c r="AJ170" s="1406"/>
      <c r="AK170" s="1406"/>
      <c r="AL170" s="1407"/>
      <c r="AM170" s="2"/>
      <c r="AN170" s="1714"/>
      <c r="AO170" s="2147" t="s">
        <v>5915</v>
      </c>
      <c r="AP170" s="1406"/>
      <c r="AQ170" s="1406"/>
      <c r="AR170" s="1406"/>
      <c r="AS170" s="1406"/>
      <c r="AT170" s="1406"/>
      <c r="AU170" s="1406"/>
      <c r="AV170" s="1406"/>
      <c r="AW170" s="1406"/>
      <c r="AX170" s="1407"/>
    </row>
    <row r="171" spans="28:50" ht="22.05" customHeight="1">
      <c r="AB171" s="1714"/>
      <c r="AC171" s="1408"/>
      <c r="AD171" s="2144"/>
      <c r="AE171" s="2144"/>
      <c r="AF171" s="2144"/>
      <c r="AG171" s="2144"/>
      <c r="AH171" s="2144"/>
      <c r="AI171" s="2144"/>
      <c r="AJ171" s="2144"/>
      <c r="AK171" s="2144"/>
      <c r="AL171" s="1378"/>
      <c r="AM171" s="2"/>
      <c r="AN171" s="1714"/>
      <c r="AO171" s="1409"/>
      <c r="AP171" s="1410"/>
      <c r="AQ171" s="1410"/>
      <c r="AR171" s="1410"/>
      <c r="AS171" s="1410"/>
      <c r="AT171" s="1410"/>
      <c r="AU171" s="1410"/>
      <c r="AV171" s="1410"/>
      <c r="AW171" s="1410"/>
      <c r="AX171" s="1411"/>
    </row>
    <row r="172" spans="28:50" ht="22.05" customHeight="1">
      <c r="AB172" s="1715"/>
      <c r="AC172" s="1409"/>
      <c r="AD172" s="1410"/>
      <c r="AE172" s="1410"/>
      <c r="AF172" s="1410"/>
      <c r="AG172" s="1410"/>
      <c r="AH172" s="1410"/>
      <c r="AI172" s="1410"/>
      <c r="AJ172" s="1410"/>
      <c r="AK172" s="1410"/>
      <c r="AL172" s="1411"/>
      <c r="AM172" s="2"/>
      <c r="AN172" s="1714"/>
      <c r="AO172" s="2147" t="s">
        <v>5916</v>
      </c>
      <c r="AP172" s="1406"/>
      <c r="AQ172" s="1406"/>
      <c r="AR172" s="1406"/>
      <c r="AS172" s="1406"/>
      <c r="AT172" s="1406"/>
      <c r="AU172" s="1406"/>
      <c r="AV172" s="1406"/>
      <c r="AW172" s="1406"/>
      <c r="AX172" s="1407"/>
    </row>
    <row r="173" spans="28:50" ht="22.05" customHeight="1">
      <c r="AB173" s="2149" t="s">
        <v>5917</v>
      </c>
      <c r="AC173" s="1388"/>
      <c r="AD173" s="1388"/>
      <c r="AE173" s="1388"/>
      <c r="AF173" s="1388"/>
      <c r="AG173" s="1388"/>
      <c r="AH173" s="1388"/>
      <c r="AI173" s="1388"/>
      <c r="AJ173" s="1388"/>
      <c r="AK173" s="1388"/>
      <c r="AL173" s="1389"/>
      <c r="AM173" s="2"/>
      <c r="AN173" s="1714"/>
      <c r="AO173" s="1409"/>
      <c r="AP173" s="1410"/>
      <c r="AQ173" s="1410"/>
      <c r="AR173" s="1410"/>
      <c r="AS173" s="1410"/>
      <c r="AT173" s="1410"/>
      <c r="AU173" s="1410"/>
      <c r="AV173" s="1410"/>
      <c r="AW173" s="1410"/>
      <c r="AX173" s="1411"/>
    </row>
    <row r="174" spans="28:50" ht="22.05" customHeight="1">
      <c r="AB174" s="2145" t="s">
        <v>5669</v>
      </c>
      <c r="AC174" s="2147" t="s">
        <v>5918</v>
      </c>
      <c r="AD174" s="1406"/>
      <c r="AE174" s="1406"/>
      <c r="AF174" s="1406"/>
      <c r="AG174" s="1406"/>
      <c r="AH174" s="1406"/>
      <c r="AI174" s="1406"/>
      <c r="AJ174" s="1406"/>
      <c r="AK174" s="1406"/>
      <c r="AL174" s="1407"/>
      <c r="AM174" s="2"/>
      <c r="AN174" s="1714"/>
      <c r="AO174" s="2146" t="s">
        <v>5919</v>
      </c>
      <c r="AP174" s="1388"/>
      <c r="AQ174" s="1388"/>
      <c r="AR174" s="1388"/>
      <c r="AS174" s="1388"/>
      <c r="AT174" s="1388"/>
      <c r="AU174" s="1388"/>
      <c r="AV174" s="1388"/>
      <c r="AW174" s="1388"/>
      <c r="AX174" s="1389"/>
    </row>
    <row r="175" spans="28:50" ht="22.05" customHeight="1">
      <c r="AB175" s="1714"/>
      <c r="AC175" s="1409"/>
      <c r="AD175" s="1410"/>
      <c r="AE175" s="1410"/>
      <c r="AF175" s="1410"/>
      <c r="AG175" s="1410"/>
      <c r="AH175" s="1410"/>
      <c r="AI175" s="1410"/>
      <c r="AJ175" s="1410"/>
      <c r="AK175" s="1410"/>
      <c r="AL175" s="1411"/>
      <c r="AM175" s="2"/>
      <c r="AN175" s="1714"/>
      <c r="AO175" s="2146" t="s">
        <v>5920</v>
      </c>
      <c r="AP175" s="1388"/>
      <c r="AQ175" s="1388"/>
      <c r="AR175" s="1388"/>
      <c r="AS175" s="1388"/>
      <c r="AT175" s="1388"/>
      <c r="AU175" s="1388"/>
      <c r="AV175" s="1388"/>
      <c r="AW175" s="1388"/>
      <c r="AX175" s="1389"/>
    </row>
    <row r="176" spans="28:50" ht="22.05" customHeight="1">
      <c r="AB176" s="1714"/>
      <c r="AC176" s="2147" t="s">
        <v>5921</v>
      </c>
      <c r="AD176" s="1406"/>
      <c r="AE176" s="1406"/>
      <c r="AF176" s="1406"/>
      <c r="AG176" s="1406"/>
      <c r="AH176" s="1406"/>
      <c r="AI176" s="1406"/>
      <c r="AJ176" s="1406"/>
      <c r="AK176" s="1406"/>
      <c r="AL176" s="1407"/>
      <c r="AM176" s="2"/>
      <c r="AN176" s="1714"/>
      <c r="AO176" s="2146" t="s">
        <v>5922</v>
      </c>
      <c r="AP176" s="1388"/>
      <c r="AQ176" s="1388"/>
      <c r="AR176" s="1388"/>
      <c r="AS176" s="1388"/>
      <c r="AT176" s="1388"/>
      <c r="AU176" s="1388"/>
      <c r="AV176" s="1388"/>
      <c r="AW176" s="1388"/>
      <c r="AX176" s="1389"/>
    </row>
    <row r="177" spans="28:50" ht="22.05" customHeight="1">
      <c r="AB177" s="1714"/>
      <c r="AC177" s="1408"/>
      <c r="AD177" s="2144"/>
      <c r="AE177" s="2144"/>
      <c r="AF177" s="2144"/>
      <c r="AG177" s="2144"/>
      <c r="AH177" s="2144"/>
      <c r="AI177" s="2144"/>
      <c r="AJ177" s="2144"/>
      <c r="AK177" s="2144"/>
      <c r="AL177" s="1378"/>
      <c r="AM177" s="2"/>
      <c r="AN177" s="1714"/>
      <c r="AO177" s="2146" t="s">
        <v>5923</v>
      </c>
      <c r="AP177" s="1388"/>
      <c r="AQ177" s="1388"/>
      <c r="AR177" s="1388"/>
      <c r="AS177" s="1388"/>
      <c r="AT177" s="1388"/>
      <c r="AU177" s="1388"/>
      <c r="AV177" s="1388"/>
      <c r="AW177" s="1388"/>
      <c r="AX177" s="1389"/>
    </row>
    <row r="178" spans="28:50" ht="22.05" customHeight="1">
      <c r="AB178" s="1715"/>
      <c r="AC178" s="1409"/>
      <c r="AD178" s="1410"/>
      <c r="AE178" s="1410"/>
      <c r="AF178" s="1410"/>
      <c r="AG178" s="1410"/>
      <c r="AH178" s="1410"/>
      <c r="AI178" s="1410"/>
      <c r="AJ178" s="1410"/>
      <c r="AK178" s="1410"/>
      <c r="AL178" s="1411"/>
      <c r="AM178" s="2"/>
      <c r="AN178" s="1714"/>
      <c r="AO178" s="2147" t="s">
        <v>5924</v>
      </c>
      <c r="AP178" s="1406"/>
      <c r="AQ178" s="1406"/>
      <c r="AR178" s="1406"/>
      <c r="AS178" s="1406"/>
      <c r="AT178" s="1406"/>
      <c r="AU178" s="1406"/>
      <c r="AV178" s="1406"/>
      <c r="AW178" s="1406"/>
      <c r="AX178" s="1407"/>
    </row>
    <row r="179" spans="28:50" ht="22.05" customHeight="1">
      <c r="AB179" s="2145" t="s">
        <v>5799</v>
      </c>
      <c r="AC179" s="2187" t="s">
        <v>5925</v>
      </c>
      <c r="AD179" s="1406"/>
      <c r="AE179" s="1406"/>
      <c r="AF179" s="1406"/>
      <c r="AG179" s="1406"/>
      <c r="AH179" s="1406"/>
      <c r="AI179" s="1406"/>
      <c r="AJ179" s="1406"/>
      <c r="AK179" s="1406"/>
      <c r="AL179" s="1407"/>
      <c r="AM179" s="2"/>
      <c r="AN179" s="1714"/>
      <c r="AO179" s="1408"/>
      <c r="AP179" s="2144"/>
      <c r="AQ179" s="2144"/>
      <c r="AR179" s="2144"/>
      <c r="AS179" s="2144"/>
      <c r="AT179" s="2144"/>
      <c r="AU179" s="2144"/>
      <c r="AV179" s="2144"/>
      <c r="AW179" s="2144"/>
      <c r="AX179" s="1378"/>
    </row>
    <row r="180" spans="28:50" ht="22.05" customHeight="1">
      <c r="AB180" s="1714"/>
      <c r="AC180" s="1409"/>
      <c r="AD180" s="1410"/>
      <c r="AE180" s="1410"/>
      <c r="AF180" s="1410"/>
      <c r="AG180" s="1410"/>
      <c r="AH180" s="1410"/>
      <c r="AI180" s="1410"/>
      <c r="AJ180" s="1410"/>
      <c r="AK180" s="1410"/>
      <c r="AL180" s="1411"/>
      <c r="AM180" s="2"/>
      <c r="AN180" s="1715"/>
      <c r="AO180" s="1409"/>
      <c r="AP180" s="1410"/>
      <c r="AQ180" s="1410"/>
      <c r="AR180" s="1410"/>
      <c r="AS180" s="1410"/>
      <c r="AT180" s="1410"/>
      <c r="AU180" s="1410"/>
      <c r="AV180" s="1410"/>
      <c r="AW180" s="1410"/>
      <c r="AX180" s="1411"/>
    </row>
    <row r="181" spans="28:50" ht="22.05" customHeight="1">
      <c r="AB181" s="1714"/>
      <c r="AC181" s="2172" t="s">
        <v>5926</v>
      </c>
      <c r="AD181" s="1406"/>
      <c r="AE181" s="1406"/>
      <c r="AF181" s="1406"/>
      <c r="AG181" s="1406"/>
      <c r="AH181" s="1406"/>
      <c r="AI181" s="1406"/>
      <c r="AJ181" s="1406"/>
      <c r="AK181" s="1406"/>
      <c r="AL181" s="1407"/>
      <c r="AM181" s="2"/>
      <c r="AN181" s="6" t="s">
        <v>5715</v>
      </c>
      <c r="AO181" s="2146" t="s">
        <v>5927</v>
      </c>
      <c r="AP181" s="1388"/>
      <c r="AQ181" s="1388"/>
      <c r="AR181" s="1388"/>
      <c r="AS181" s="1388"/>
      <c r="AT181" s="1388"/>
      <c r="AU181" s="1388"/>
      <c r="AV181" s="1388"/>
      <c r="AW181" s="1388"/>
      <c r="AX181" s="1389"/>
    </row>
    <row r="182" spans="28:50" ht="22.05" customHeight="1">
      <c r="AB182" s="1715"/>
      <c r="AC182" s="1409"/>
      <c r="AD182" s="1410"/>
      <c r="AE182" s="1410"/>
      <c r="AF182" s="1410"/>
      <c r="AG182" s="1410"/>
      <c r="AH182" s="1410"/>
      <c r="AI182" s="1410"/>
      <c r="AJ182" s="1410"/>
      <c r="AK182" s="1410"/>
      <c r="AL182" s="1411"/>
      <c r="AM182" s="2"/>
      <c r="AN182" s="2145" t="s">
        <v>5928</v>
      </c>
      <c r="AO182" s="2146" t="s">
        <v>5929</v>
      </c>
      <c r="AP182" s="1388"/>
      <c r="AQ182" s="1388"/>
      <c r="AR182" s="1388"/>
      <c r="AS182" s="1388"/>
      <c r="AT182" s="1388"/>
      <c r="AU182" s="1388"/>
      <c r="AV182" s="1388"/>
      <c r="AW182" s="1388"/>
      <c r="AX182" s="1389"/>
    </row>
    <row r="183" spans="28:50" ht="22.05" customHeight="1">
      <c r="AB183" s="2148" t="s">
        <v>108</v>
      </c>
      <c r="AC183" s="2177" t="s">
        <v>5930</v>
      </c>
      <c r="AD183" s="1406"/>
      <c r="AE183" s="1406"/>
      <c r="AF183" s="1406"/>
      <c r="AG183" s="1406"/>
      <c r="AH183" s="1406"/>
      <c r="AI183" s="1406"/>
      <c r="AJ183" s="1406"/>
      <c r="AK183" s="1406"/>
      <c r="AL183" s="1407"/>
      <c r="AM183" s="2"/>
      <c r="AN183" s="1714"/>
      <c r="AO183" s="2146" t="s">
        <v>5931</v>
      </c>
      <c r="AP183" s="1388"/>
      <c r="AQ183" s="1388"/>
      <c r="AR183" s="1388"/>
      <c r="AS183" s="1388"/>
      <c r="AT183" s="1388"/>
      <c r="AU183" s="1388"/>
      <c r="AV183" s="1388"/>
      <c r="AW183" s="1388"/>
      <c r="AX183" s="1389"/>
    </row>
    <row r="184" spans="28:50" ht="22.05" customHeight="1">
      <c r="AB184" s="1714"/>
      <c r="AC184" s="1408"/>
      <c r="AD184" s="2144"/>
      <c r="AE184" s="2144"/>
      <c r="AF184" s="2144"/>
      <c r="AG184" s="2144"/>
      <c r="AH184" s="2144"/>
      <c r="AI184" s="2144"/>
      <c r="AJ184" s="2144"/>
      <c r="AK184" s="2144"/>
      <c r="AL184" s="1378"/>
      <c r="AM184" s="2"/>
      <c r="AN184" s="1714"/>
      <c r="AO184" s="2146" t="s">
        <v>5932</v>
      </c>
      <c r="AP184" s="1388"/>
      <c r="AQ184" s="1388"/>
      <c r="AR184" s="1388"/>
      <c r="AS184" s="1388"/>
      <c r="AT184" s="1388"/>
      <c r="AU184" s="1388"/>
      <c r="AV184" s="1388"/>
      <c r="AW184" s="1388"/>
      <c r="AX184" s="1389"/>
    </row>
    <row r="185" spans="28:50" ht="22.05" customHeight="1">
      <c r="AB185" s="1714"/>
      <c r="AC185" s="1408"/>
      <c r="AD185" s="2144"/>
      <c r="AE185" s="2144"/>
      <c r="AF185" s="2144"/>
      <c r="AG185" s="2144"/>
      <c r="AH185" s="2144"/>
      <c r="AI185" s="2144"/>
      <c r="AJ185" s="2144"/>
      <c r="AK185" s="2144"/>
      <c r="AL185" s="1378"/>
      <c r="AM185" s="2"/>
      <c r="AN185" s="1714"/>
      <c r="AO185" s="2146" t="s">
        <v>5933</v>
      </c>
      <c r="AP185" s="1388"/>
      <c r="AQ185" s="1388"/>
      <c r="AR185" s="1388"/>
      <c r="AS185" s="1388"/>
      <c r="AT185" s="1388"/>
      <c r="AU185" s="1388"/>
      <c r="AV185" s="1388"/>
      <c r="AW185" s="1388"/>
      <c r="AX185" s="1389"/>
    </row>
    <row r="186" spans="28:50" ht="22.05" customHeight="1">
      <c r="AB186" s="1714"/>
      <c r="AC186" s="1408"/>
      <c r="AD186" s="2144"/>
      <c r="AE186" s="2144"/>
      <c r="AF186" s="2144"/>
      <c r="AG186" s="2144"/>
      <c r="AH186" s="2144"/>
      <c r="AI186" s="2144"/>
      <c r="AJ186" s="2144"/>
      <c r="AK186" s="2144"/>
      <c r="AL186" s="1378"/>
      <c r="AM186" s="2"/>
      <c r="AN186" s="1715"/>
      <c r="AO186" s="2210" t="s">
        <v>5934</v>
      </c>
      <c r="AP186" s="1388"/>
      <c r="AQ186" s="1388"/>
      <c r="AR186" s="1388"/>
      <c r="AS186" s="1388"/>
      <c r="AT186" s="1388"/>
      <c r="AU186" s="1388"/>
      <c r="AV186" s="1388"/>
      <c r="AW186" s="1388"/>
      <c r="AX186" s="1389"/>
    </row>
    <row r="187" spans="28:50" ht="22.05" customHeight="1">
      <c r="AB187" s="1715"/>
      <c r="AC187" s="1409"/>
      <c r="AD187" s="1410"/>
      <c r="AE187" s="1410"/>
      <c r="AF187" s="1410"/>
      <c r="AG187" s="1410"/>
      <c r="AH187" s="1410"/>
      <c r="AI187" s="1410"/>
      <c r="AJ187" s="1410"/>
      <c r="AK187" s="1410"/>
      <c r="AL187" s="1411"/>
      <c r="AM187" s="2"/>
      <c r="AN187" s="2149" t="s">
        <v>5935</v>
      </c>
      <c r="AO187" s="1388"/>
      <c r="AP187" s="1388"/>
      <c r="AQ187" s="1388"/>
      <c r="AR187" s="1388"/>
      <c r="AS187" s="1388"/>
      <c r="AT187" s="1388"/>
      <c r="AU187" s="1388"/>
      <c r="AV187" s="1388"/>
      <c r="AW187" s="1388"/>
      <c r="AX187" s="1389"/>
    </row>
    <row r="188" spans="28:50" ht="22.05" customHeight="1">
      <c r="AB188" s="2165" t="s">
        <v>5936</v>
      </c>
      <c r="AC188" s="1410"/>
      <c r="AD188" s="1410"/>
      <c r="AE188" s="1410"/>
      <c r="AF188" s="1410"/>
      <c r="AG188" s="1410"/>
      <c r="AH188" s="1410"/>
      <c r="AI188" s="1410"/>
      <c r="AJ188" s="1410"/>
      <c r="AK188" s="1410"/>
      <c r="AL188" s="1411"/>
      <c r="AM188" s="2"/>
      <c r="AN188" s="2148" t="s">
        <v>5669</v>
      </c>
      <c r="AO188" s="2146" t="s">
        <v>5937</v>
      </c>
      <c r="AP188" s="1388"/>
      <c r="AQ188" s="1388"/>
      <c r="AR188" s="1388"/>
      <c r="AS188" s="1388"/>
      <c r="AT188" s="1388"/>
      <c r="AU188" s="1388"/>
      <c r="AV188" s="1388"/>
      <c r="AW188" s="1388"/>
      <c r="AX188" s="1389"/>
    </row>
    <row r="189" spans="28:50" ht="22.05" customHeight="1">
      <c r="AB189" s="2145" t="s">
        <v>5669</v>
      </c>
      <c r="AC189" s="2146" t="s">
        <v>5938</v>
      </c>
      <c r="AD189" s="1406"/>
      <c r="AE189" s="1406"/>
      <c r="AF189" s="1406"/>
      <c r="AG189" s="1406"/>
      <c r="AH189" s="1406"/>
      <c r="AI189" s="1406"/>
      <c r="AJ189" s="1406"/>
      <c r="AK189" s="1406"/>
      <c r="AL189" s="1407"/>
      <c r="AM189" s="2"/>
      <c r="AN189" s="1714"/>
      <c r="AO189" s="2153" t="s">
        <v>5939</v>
      </c>
      <c r="AP189" s="1406"/>
      <c r="AQ189" s="1406"/>
      <c r="AR189" s="1406"/>
      <c r="AS189" s="1406"/>
      <c r="AT189" s="1406"/>
      <c r="AU189" s="1406"/>
      <c r="AV189" s="1406"/>
      <c r="AW189" s="1406"/>
      <c r="AX189" s="1407"/>
    </row>
    <row r="190" spans="28:50" ht="22.05" customHeight="1">
      <c r="AB190" s="1714"/>
      <c r="AC190" s="1409"/>
      <c r="AD190" s="1410"/>
      <c r="AE190" s="1410"/>
      <c r="AF190" s="1410"/>
      <c r="AG190" s="1410"/>
      <c r="AH190" s="1410"/>
      <c r="AI190" s="1410"/>
      <c r="AJ190" s="1410"/>
      <c r="AK190" s="1410"/>
      <c r="AL190" s="1411"/>
      <c r="AM190" s="2"/>
      <c r="AN190" s="1714"/>
      <c r="AO190" s="1409"/>
      <c r="AP190" s="1410"/>
      <c r="AQ190" s="1410"/>
      <c r="AR190" s="1410"/>
      <c r="AS190" s="1410"/>
      <c r="AT190" s="1410"/>
      <c r="AU190" s="1410"/>
      <c r="AV190" s="1410"/>
      <c r="AW190" s="1410"/>
      <c r="AX190" s="1411"/>
    </row>
    <row r="191" spans="28:50" ht="22.05" customHeight="1">
      <c r="AB191" s="1714"/>
      <c r="AC191" s="2147" t="s">
        <v>5940</v>
      </c>
      <c r="AD191" s="1406"/>
      <c r="AE191" s="1406"/>
      <c r="AF191" s="1406"/>
      <c r="AG191" s="1406"/>
      <c r="AH191" s="1406"/>
      <c r="AI191" s="1406"/>
      <c r="AJ191" s="1406"/>
      <c r="AK191" s="1406"/>
      <c r="AL191" s="1407"/>
      <c r="AM191" s="2"/>
      <c r="AN191" s="1714"/>
      <c r="AO191" s="2146" t="s">
        <v>5941</v>
      </c>
      <c r="AP191" s="1388"/>
      <c r="AQ191" s="1388"/>
      <c r="AR191" s="1388"/>
      <c r="AS191" s="1388"/>
      <c r="AT191" s="1388"/>
      <c r="AU191" s="1388"/>
      <c r="AV191" s="1388"/>
      <c r="AW191" s="1388"/>
      <c r="AX191" s="1389"/>
    </row>
    <row r="192" spans="28:50" ht="22.05" customHeight="1">
      <c r="AB192" s="1714"/>
      <c r="AC192" s="1409"/>
      <c r="AD192" s="1410"/>
      <c r="AE192" s="1410"/>
      <c r="AF192" s="1410"/>
      <c r="AG192" s="1410"/>
      <c r="AH192" s="1410"/>
      <c r="AI192" s="1410"/>
      <c r="AJ192" s="1410"/>
      <c r="AK192" s="1410"/>
      <c r="AL192" s="1411"/>
      <c r="AM192" s="2"/>
      <c r="AN192" s="1714"/>
      <c r="AO192" s="2146" t="s">
        <v>5942</v>
      </c>
      <c r="AP192" s="1388"/>
      <c r="AQ192" s="1388"/>
      <c r="AR192" s="1388"/>
      <c r="AS192" s="1388"/>
      <c r="AT192" s="1388"/>
      <c r="AU192" s="1388"/>
      <c r="AV192" s="1388"/>
      <c r="AW192" s="1388"/>
      <c r="AX192" s="1389"/>
    </row>
    <row r="193" spans="28:50" ht="22.05" customHeight="1">
      <c r="AB193" s="1714"/>
      <c r="AC193" s="2147" t="s">
        <v>5943</v>
      </c>
      <c r="AD193" s="1406"/>
      <c r="AE193" s="1406"/>
      <c r="AF193" s="1406"/>
      <c r="AG193" s="1406"/>
      <c r="AH193" s="1406"/>
      <c r="AI193" s="1406"/>
      <c r="AJ193" s="1406"/>
      <c r="AK193" s="1406"/>
      <c r="AL193" s="1407"/>
      <c r="AM193" s="2"/>
      <c r="AN193" s="1715"/>
      <c r="AO193" s="2146" t="s">
        <v>5779</v>
      </c>
      <c r="AP193" s="1388"/>
      <c r="AQ193" s="1388"/>
      <c r="AR193" s="1388"/>
      <c r="AS193" s="1388"/>
      <c r="AT193" s="1388"/>
      <c r="AU193" s="1388"/>
      <c r="AV193" s="1388"/>
      <c r="AW193" s="1388"/>
      <c r="AX193" s="1389"/>
    </row>
    <row r="194" spans="28:50" ht="22.05" customHeight="1">
      <c r="AB194" s="1715"/>
      <c r="AC194" s="1409"/>
      <c r="AD194" s="1410"/>
      <c r="AE194" s="1410"/>
      <c r="AF194" s="1410"/>
      <c r="AG194" s="1410"/>
      <c r="AH194" s="1410"/>
      <c r="AI194" s="1410"/>
      <c r="AJ194" s="1410"/>
      <c r="AK194" s="1410"/>
      <c r="AL194" s="1411"/>
      <c r="AM194" s="2"/>
      <c r="AN194" s="4" t="s">
        <v>5686</v>
      </c>
      <c r="AO194" s="2146" t="s">
        <v>5944</v>
      </c>
      <c r="AP194" s="1388"/>
      <c r="AQ194" s="1388"/>
      <c r="AR194" s="1388"/>
      <c r="AS194" s="1388"/>
      <c r="AT194" s="1388"/>
      <c r="AU194" s="1388"/>
      <c r="AV194" s="1388"/>
      <c r="AW194" s="1388"/>
      <c r="AX194" s="1389"/>
    </row>
    <row r="195" spans="28:50" ht="22.05" customHeight="1">
      <c r="AB195" s="2145" t="s">
        <v>5851</v>
      </c>
      <c r="AC195" s="2147" t="s">
        <v>5945</v>
      </c>
      <c r="AD195" s="1406"/>
      <c r="AE195" s="1406"/>
      <c r="AF195" s="1406"/>
      <c r="AG195" s="1406"/>
      <c r="AH195" s="1406"/>
      <c r="AI195" s="1406"/>
      <c r="AJ195" s="1406"/>
      <c r="AK195" s="1406"/>
      <c r="AL195" s="1407"/>
      <c r="AM195" s="2"/>
      <c r="AN195" s="9" t="s">
        <v>5851</v>
      </c>
      <c r="AO195" s="2146" t="s">
        <v>5946</v>
      </c>
      <c r="AP195" s="1388"/>
      <c r="AQ195" s="1388"/>
      <c r="AR195" s="1388"/>
      <c r="AS195" s="1388"/>
      <c r="AT195" s="1388"/>
      <c r="AU195" s="1388"/>
      <c r="AV195" s="1388"/>
      <c r="AW195" s="1388"/>
      <c r="AX195" s="1389"/>
    </row>
    <row r="196" spans="28:50" ht="22.05" customHeight="1">
      <c r="AB196" s="1714"/>
      <c r="AC196" s="1409"/>
      <c r="AD196" s="1410"/>
      <c r="AE196" s="1410"/>
      <c r="AF196" s="1410"/>
      <c r="AG196" s="1410"/>
      <c r="AH196" s="1410"/>
      <c r="AI196" s="1410"/>
      <c r="AJ196" s="1410"/>
      <c r="AK196" s="1410"/>
      <c r="AL196" s="1411"/>
      <c r="AM196" s="2"/>
      <c r="AN196" s="10" t="s">
        <v>5947</v>
      </c>
      <c r="AO196" s="2146" t="s">
        <v>5948</v>
      </c>
      <c r="AP196" s="1388"/>
      <c r="AQ196" s="1388"/>
      <c r="AR196" s="1388"/>
      <c r="AS196" s="1388"/>
      <c r="AT196" s="1388"/>
      <c r="AU196" s="1388"/>
      <c r="AV196" s="1388"/>
      <c r="AW196" s="1388"/>
      <c r="AX196" s="1389"/>
    </row>
    <row r="197" spans="28:50" ht="22.05" customHeight="1">
      <c r="AB197" s="1714"/>
      <c r="AC197" s="2170" t="s">
        <v>5949</v>
      </c>
      <c r="AD197" s="1406"/>
      <c r="AE197" s="1406"/>
      <c r="AF197" s="1406"/>
      <c r="AG197" s="1406"/>
      <c r="AH197" s="1406"/>
      <c r="AI197" s="1406"/>
      <c r="AJ197" s="1406"/>
      <c r="AK197" s="1406"/>
      <c r="AL197" s="1407"/>
      <c r="AM197" s="2"/>
      <c r="AN197" s="2164" t="s">
        <v>5696</v>
      </c>
      <c r="AO197" s="2146" t="s">
        <v>5948</v>
      </c>
      <c r="AP197" s="1388"/>
      <c r="AQ197" s="1388"/>
      <c r="AR197" s="1388"/>
      <c r="AS197" s="1388"/>
      <c r="AT197" s="1388"/>
      <c r="AU197" s="1388"/>
      <c r="AV197" s="1388"/>
      <c r="AW197" s="1388"/>
      <c r="AX197" s="1389"/>
    </row>
    <row r="198" spans="28:50" ht="22.05" customHeight="1">
      <c r="AB198" s="1715"/>
      <c r="AC198" s="1409"/>
      <c r="AD198" s="1410"/>
      <c r="AE198" s="1410"/>
      <c r="AF198" s="1410"/>
      <c r="AG198" s="1410"/>
      <c r="AH198" s="1410"/>
      <c r="AI198" s="1410"/>
      <c r="AJ198" s="1410"/>
      <c r="AK198" s="1410"/>
      <c r="AL198" s="1411"/>
      <c r="AM198" s="2"/>
      <c r="AN198" s="1715"/>
      <c r="AO198" s="2146" t="s">
        <v>5950</v>
      </c>
      <c r="AP198" s="1388"/>
      <c r="AQ198" s="1388"/>
      <c r="AR198" s="1388"/>
      <c r="AS198" s="1388"/>
      <c r="AT198" s="1388"/>
      <c r="AU198" s="1388"/>
      <c r="AV198" s="1388"/>
      <c r="AW198" s="1388"/>
      <c r="AX198" s="1389"/>
    </row>
    <row r="199" spans="28:50" ht="22.05" customHeight="1">
      <c r="AB199" s="2148" t="s">
        <v>108</v>
      </c>
      <c r="AC199" s="2177" t="s">
        <v>5951</v>
      </c>
      <c r="AD199" s="1406"/>
      <c r="AE199" s="1406"/>
      <c r="AF199" s="1406"/>
      <c r="AG199" s="1406"/>
      <c r="AH199" s="1406"/>
      <c r="AI199" s="1406"/>
      <c r="AJ199" s="1406"/>
      <c r="AK199" s="1406"/>
      <c r="AL199" s="1407"/>
      <c r="AM199" s="2"/>
      <c r="AN199" s="2149" t="s">
        <v>5952</v>
      </c>
      <c r="AO199" s="1388"/>
      <c r="AP199" s="1388"/>
      <c r="AQ199" s="1388"/>
      <c r="AR199" s="1388"/>
      <c r="AS199" s="1388"/>
      <c r="AT199" s="1388"/>
      <c r="AU199" s="1388"/>
      <c r="AV199" s="1388"/>
      <c r="AW199" s="1388"/>
      <c r="AX199" s="1389"/>
    </row>
    <row r="200" spans="28:50" ht="22.05" customHeight="1">
      <c r="AB200" s="1714"/>
      <c r="AC200" s="1408"/>
      <c r="AD200" s="2144"/>
      <c r="AE200" s="2144"/>
      <c r="AF200" s="2144"/>
      <c r="AG200" s="2144"/>
      <c r="AH200" s="2144"/>
      <c r="AI200" s="2144"/>
      <c r="AJ200" s="2144"/>
      <c r="AK200" s="2144"/>
      <c r="AL200" s="1378"/>
      <c r="AM200" s="2"/>
      <c r="AN200" s="2155" t="s">
        <v>5669</v>
      </c>
      <c r="AO200" s="2146" t="s">
        <v>5953</v>
      </c>
      <c r="AP200" s="1388"/>
      <c r="AQ200" s="1388"/>
      <c r="AR200" s="1388"/>
      <c r="AS200" s="1388"/>
      <c r="AT200" s="1388"/>
      <c r="AU200" s="1388"/>
      <c r="AV200" s="1388"/>
      <c r="AW200" s="1388"/>
      <c r="AX200" s="1389"/>
    </row>
    <row r="201" spans="28:50" ht="22.05" customHeight="1">
      <c r="AB201" s="1715"/>
      <c r="AC201" s="1409"/>
      <c r="AD201" s="1410"/>
      <c r="AE201" s="1410"/>
      <c r="AF201" s="1410"/>
      <c r="AG201" s="1410"/>
      <c r="AH201" s="1410"/>
      <c r="AI201" s="1410"/>
      <c r="AJ201" s="1410"/>
      <c r="AK201" s="1410"/>
      <c r="AL201" s="1411"/>
      <c r="AM201" s="2"/>
      <c r="AN201" s="1714"/>
      <c r="AO201" s="2146" t="s">
        <v>5954</v>
      </c>
      <c r="AP201" s="1388"/>
      <c r="AQ201" s="1388"/>
      <c r="AR201" s="1388"/>
      <c r="AS201" s="1388"/>
      <c r="AT201" s="1388"/>
      <c r="AU201" s="1388"/>
      <c r="AV201" s="1388"/>
      <c r="AW201" s="1388"/>
      <c r="AX201" s="1389"/>
    </row>
    <row r="202" spans="28:50" ht="22.05" customHeight="1">
      <c r="AB202" s="2149" t="s">
        <v>5955</v>
      </c>
      <c r="AC202" s="1388"/>
      <c r="AD202" s="1388"/>
      <c r="AE202" s="1388"/>
      <c r="AF202" s="1388"/>
      <c r="AG202" s="1388"/>
      <c r="AH202" s="1388"/>
      <c r="AI202" s="1388"/>
      <c r="AJ202" s="1388"/>
      <c r="AK202" s="1388"/>
      <c r="AL202" s="1389"/>
      <c r="AM202" s="2"/>
      <c r="AN202" s="1714"/>
      <c r="AO202" s="2146" t="s">
        <v>5956</v>
      </c>
      <c r="AP202" s="1388"/>
      <c r="AQ202" s="1388"/>
      <c r="AR202" s="1388"/>
      <c r="AS202" s="1388"/>
      <c r="AT202" s="1388"/>
      <c r="AU202" s="1388"/>
      <c r="AV202" s="1388"/>
      <c r="AW202" s="1388"/>
      <c r="AX202" s="1389"/>
    </row>
    <row r="203" spans="28:50" ht="22.05" customHeight="1">
      <c r="AB203" s="2145" t="s">
        <v>5669</v>
      </c>
      <c r="AC203" s="2147" t="s">
        <v>5957</v>
      </c>
      <c r="AD203" s="1406"/>
      <c r="AE203" s="1406"/>
      <c r="AF203" s="1406"/>
      <c r="AG203" s="1406"/>
      <c r="AH203" s="1406"/>
      <c r="AI203" s="1406"/>
      <c r="AJ203" s="1406"/>
      <c r="AK203" s="1406"/>
      <c r="AL203" s="1407"/>
      <c r="AM203" s="2"/>
      <c r="AN203" s="1714"/>
      <c r="AO203" s="2147" t="s">
        <v>5958</v>
      </c>
      <c r="AP203" s="1406"/>
      <c r="AQ203" s="1406"/>
      <c r="AR203" s="1406"/>
      <c r="AS203" s="1406"/>
      <c r="AT203" s="1406"/>
      <c r="AU203" s="1406"/>
      <c r="AV203" s="1406"/>
      <c r="AW203" s="1406"/>
      <c r="AX203" s="1407"/>
    </row>
    <row r="204" spans="28:50" ht="22.05" customHeight="1">
      <c r="AB204" s="1714"/>
      <c r="AC204" s="1408"/>
      <c r="AD204" s="2144"/>
      <c r="AE204" s="2144"/>
      <c r="AF204" s="2144"/>
      <c r="AG204" s="2144"/>
      <c r="AH204" s="2144"/>
      <c r="AI204" s="2144"/>
      <c r="AJ204" s="2144"/>
      <c r="AK204" s="2144"/>
      <c r="AL204" s="1378"/>
      <c r="AM204" s="2"/>
      <c r="AN204" s="1714"/>
      <c r="AO204" s="1409"/>
      <c r="AP204" s="1410"/>
      <c r="AQ204" s="1410"/>
      <c r="AR204" s="1410"/>
      <c r="AS204" s="1410"/>
      <c r="AT204" s="1410"/>
      <c r="AU204" s="1410"/>
      <c r="AV204" s="1410"/>
      <c r="AW204" s="1410"/>
      <c r="AX204" s="1411"/>
    </row>
    <row r="205" spans="28:50" ht="22.05" customHeight="1">
      <c r="AB205" s="1715"/>
      <c r="AC205" s="1409"/>
      <c r="AD205" s="1410"/>
      <c r="AE205" s="1410"/>
      <c r="AF205" s="1410"/>
      <c r="AG205" s="1410"/>
      <c r="AH205" s="1410"/>
      <c r="AI205" s="1410"/>
      <c r="AJ205" s="1410"/>
      <c r="AK205" s="1410"/>
      <c r="AL205" s="1411"/>
      <c r="AM205" s="2"/>
      <c r="AN205" s="1715"/>
      <c r="AO205" s="2146" t="s">
        <v>5959</v>
      </c>
      <c r="AP205" s="1388"/>
      <c r="AQ205" s="1388"/>
      <c r="AR205" s="1388"/>
      <c r="AS205" s="1388"/>
      <c r="AT205" s="1388"/>
      <c r="AU205" s="1388"/>
      <c r="AV205" s="1388"/>
      <c r="AW205" s="1388"/>
      <c r="AX205" s="1389"/>
    </row>
    <row r="206" spans="28:50" ht="22.05" customHeight="1">
      <c r="AB206" s="2176" t="s">
        <v>5851</v>
      </c>
      <c r="AC206" s="2170" t="s">
        <v>5960</v>
      </c>
      <c r="AD206" s="1406"/>
      <c r="AE206" s="1406"/>
      <c r="AF206" s="1406"/>
      <c r="AG206" s="1406"/>
      <c r="AH206" s="1406"/>
      <c r="AI206" s="1406"/>
      <c r="AJ206" s="1406"/>
      <c r="AK206" s="1406"/>
      <c r="AL206" s="1407"/>
      <c r="AM206" s="2"/>
      <c r="AN206" s="2145" t="s">
        <v>5715</v>
      </c>
      <c r="AO206" s="2146" t="s">
        <v>5961</v>
      </c>
      <c r="AP206" s="1388"/>
      <c r="AQ206" s="1388"/>
      <c r="AR206" s="1388"/>
      <c r="AS206" s="1388"/>
      <c r="AT206" s="1388"/>
      <c r="AU206" s="1388"/>
      <c r="AV206" s="1388"/>
      <c r="AW206" s="1388"/>
      <c r="AX206" s="1389"/>
    </row>
    <row r="207" spans="28:50" ht="22.05" customHeight="1">
      <c r="AB207" s="1715"/>
      <c r="AC207" s="1409"/>
      <c r="AD207" s="1410"/>
      <c r="AE207" s="1410"/>
      <c r="AF207" s="1410"/>
      <c r="AG207" s="1410"/>
      <c r="AH207" s="1410"/>
      <c r="AI207" s="1410"/>
      <c r="AJ207" s="1410"/>
      <c r="AK207" s="1410"/>
      <c r="AL207" s="1411"/>
      <c r="AM207" s="2"/>
      <c r="AN207" s="1714"/>
      <c r="AO207" s="2153" t="s">
        <v>5962</v>
      </c>
      <c r="AP207" s="1406"/>
      <c r="AQ207" s="1406"/>
      <c r="AR207" s="1406"/>
      <c r="AS207" s="1406"/>
      <c r="AT207" s="1406"/>
      <c r="AU207" s="1406"/>
      <c r="AV207" s="1406"/>
      <c r="AW207" s="1406"/>
      <c r="AX207" s="1407"/>
    </row>
    <row r="208" spans="28:50" ht="22.05" customHeight="1">
      <c r="AB208" s="2148" t="s">
        <v>108</v>
      </c>
      <c r="AC208" s="2177" t="s">
        <v>5963</v>
      </c>
      <c r="AD208" s="1406"/>
      <c r="AE208" s="1406"/>
      <c r="AF208" s="1406"/>
      <c r="AG208" s="1406"/>
      <c r="AH208" s="1406"/>
      <c r="AI208" s="1406"/>
      <c r="AJ208" s="1406"/>
      <c r="AK208" s="1406"/>
      <c r="AL208" s="1407"/>
      <c r="AM208" s="2"/>
      <c r="AN208" s="1714"/>
      <c r="AO208" s="1408"/>
      <c r="AP208" s="2144"/>
      <c r="AQ208" s="2144"/>
      <c r="AR208" s="2144"/>
      <c r="AS208" s="2144"/>
      <c r="AT208" s="2144"/>
      <c r="AU208" s="2144"/>
      <c r="AV208" s="2144"/>
      <c r="AW208" s="2144"/>
      <c r="AX208" s="1378"/>
    </row>
    <row r="209" spans="28:50" ht="22.05" customHeight="1">
      <c r="AB209" s="1714"/>
      <c r="AC209" s="1408"/>
      <c r="AD209" s="2144"/>
      <c r="AE209" s="2144"/>
      <c r="AF209" s="2144"/>
      <c r="AG209" s="2144"/>
      <c r="AH209" s="2144"/>
      <c r="AI209" s="2144"/>
      <c r="AJ209" s="2144"/>
      <c r="AK209" s="2144"/>
      <c r="AL209" s="1378"/>
      <c r="AM209" s="2"/>
      <c r="AN209" s="1714"/>
      <c r="AO209" s="1409"/>
      <c r="AP209" s="1410"/>
      <c r="AQ209" s="1410"/>
      <c r="AR209" s="1410"/>
      <c r="AS209" s="1410"/>
      <c r="AT209" s="1410"/>
      <c r="AU209" s="1410"/>
      <c r="AV209" s="1410"/>
      <c r="AW209" s="1410"/>
      <c r="AX209" s="1411"/>
    </row>
    <row r="210" spans="28:50" ht="22.05" customHeight="1">
      <c r="AB210" s="1714"/>
      <c r="AC210" s="1408"/>
      <c r="AD210" s="2144"/>
      <c r="AE210" s="2144"/>
      <c r="AF210" s="2144"/>
      <c r="AG210" s="2144"/>
      <c r="AH210" s="2144"/>
      <c r="AI210" s="2144"/>
      <c r="AJ210" s="2144"/>
      <c r="AK210" s="2144"/>
      <c r="AL210" s="1378"/>
      <c r="AM210" s="2"/>
      <c r="AN210" s="1714"/>
      <c r="AO210" s="2146" t="s">
        <v>5964</v>
      </c>
      <c r="AP210" s="1388"/>
      <c r="AQ210" s="1388"/>
      <c r="AR210" s="1388"/>
      <c r="AS210" s="1388"/>
      <c r="AT210" s="1388"/>
      <c r="AU210" s="1388"/>
      <c r="AV210" s="1388"/>
      <c r="AW210" s="1388"/>
      <c r="AX210" s="1389"/>
    </row>
    <row r="211" spans="28:50" ht="22.05" customHeight="1">
      <c r="AB211" s="1714"/>
      <c r="AC211" s="1408"/>
      <c r="AD211" s="2144"/>
      <c r="AE211" s="2144"/>
      <c r="AF211" s="2144"/>
      <c r="AG211" s="2144"/>
      <c r="AH211" s="2144"/>
      <c r="AI211" s="2144"/>
      <c r="AJ211" s="2144"/>
      <c r="AK211" s="2144"/>
      <c r="AL211" s="1378"/>
      <c r="AM211" s="2"/>
      <c r="AN211" s="1714"/>
      <c r="AO211" s="2147" t="s">
        <v>5965</v>
      </c>
      <c r="AP211" s="1406"/>
      <c r="AQ211" s="1406"/>
      <c r="AR211" s="1406"/>
      <c r="AS211" s="1406"/>
      <c r="AT211" s="1406"/>
      <c r="AU211" s="1406"/>
      <c r="AV211" s="1406"/>
      <c r="AW211" s="1406"/>
      <c r="AX211" s="1407"/>
    </row>
    <row r="212" spans="28:50" ht="22.05" customHeight="1">
      <c r="AB212" s="1715"/>
      <c r="AC212" s="1409"/>
      <c r="AD212" s="1410"/>
      <c r="AE212" s="1410"/>
      <c r="AF212" s="1410"/>
      <c r="AG212" s="1410"/>
      <c r="AH212" s="1410"/>
      <c r="AI212" s="1410"/>
      <c r="AJ212" s="1410"/>
      <c r="AK212" s="1410"/>
      <c r="AL212" s="1411"/>
      <c r="AM212" s="2"/>
      <c r="AN212" s="1714"/>
      <c r="AO212" s="1408"/>
      <c r="AP212" s="2144"/>
      <c r="AQ212" s="2144"/>
      <c r="AR212" s="2144"/>
      <c r="AS212" s="2144"/>
      <c r="AT212" s="2144"/>
      <c r="AU212" s="2144"/>
      <c r="AV212" s="2144"/>
      <c r="AW212" s="2144"/>
      <c r="AX212" s="1378"/>
    </row>
    <row r="213" spans="28:50" ht="22.05" customHeight="1">
      <c r="AB213" s="2149" t="s">
        <v>5966</v>
      </c>
      <c r="AC213" s="1388"/>
      <c r="AD213" s="1388"/>
      <c r="AE213" s="1388"/>
      <c r="AF213" s="1388"/>
      <c r="AG213" s="1388"/>
      <c r="AH213" s="1388"/>
      <c r="AI213" s="1388"/>
      <c r="AJ213" s="1388"/>
      <c r="AK213" s="1388"/>
      <c r="AL213" s="1389"/>
      <c r="AM213" s="2"/>
      <c r="AN213" s="1714"/>
      <c r="AO213" s="1408"/>
      <c r="AP213" s="2144"/>
      <c r="AQ213" s="2144"/>
      <c r="AR213" s="2144"/>
      <c r="AS213" s="2144"/>
      <c r="AT213" s="2144"/>
      <c r="AU213" s="2144"/>
      <c r="AV213" s="2144"/>
      <c r="AW213" s="2144"/>
      <c r="AX213" s="1378"/>
    </row>
    <row r="214" spans="28:50" ht="22.05" customHeight="1">
      <c r="AB214" s="2145" t="s">
        <v>5669</v>
      </c>
      <c r="AC214" s="2146" t="s">
        <v>5967</v>
      </c>
      <c r="AD214" s="1406"/>
      <c r="AE214" s="1406"/>
      <c r="AF214" s="1406"/>
      <c r="AG214" s="1406"/>
      <c r="AH214" s="1406"/>
      <c r="AI214" s="1406"/>
      <c r="AJ214" s="1406"/>
      <c r="AK214" s="1406"/>
      <c r="AL214" s="1407"/>
      <c r="AM214" s="2"/>
      <c r="AN214" s="1714"/>
      <c r="AO214" s="1408"/>
      <c r="AP214" s="2144"/>
      <c r="AQ214" s="2144"/>
      <c r="AR214" s="2144"/>
      <c r="AS214" s="2144"/>
      <c r="AT214" s="2144"/>
      <c r="AU214" s="2144"/>
      <c r="AV214" s="2144"/>
      <c r="AW214" s="2144"/>
      <c r="AX214" s="1378"/>
    </row>
    <row r="215" spans="28:50" ht="22.05" customHeight="1">
      <c r="AB215" s="1714"/>
      <c r="AC215" s="1409"/>
      <c r="AD215" s="1410"/>
      <c r="AE215" s="1410"/>
      <c r="AF215" s="1410"/>
      <c r="AG215" s="1410"/>
      <c r="AH215" s="1410"/>
      <c r="AI215" s="1410"/>
      <c r="AJ215" s="1410"/>
      <c r="AK215" s="1410"/>
      <c r="AL215" s="1411"/>
      <c r="AM215" s="2"/>
      <c r="AN215" s="1714"/>
      <c r="AO215" s="1409"/>
      <c r="AP215" s="1410"/>
      <c r="AQ215" s="1410"/>
      <c r="AR215" s="1410"/>
      <c r="AS215" s="1410"/>
      <c r="AT215" s="1410"/>
      <c r="AU215" s="1410"/>
      <c r="AV215" s="1410"/>
      <c r="AW215" s="1410"/>
      <c r="AX215" s="1411"/>
    </row>
    <row r="216" spans="28:50" ht="22.05" customHeight="1">
      <c r="AB216" s="1714"/>
      <c r="AC216" s="2147" t="s">
        <v>5968</v>
      </c>
      <c r="AD216" s="1406"/>
      <c r="AE216" s="1406"/>
      <c r="AF216" s="1406"/>
      <c r="AG216" s="1406"/>
      <c r="AH216" s="1406"/>
      <c r="AI216" s="1406"/>
      <c r="AJ216" s="1406"/>
      <c r="AK216" s="1406"/>
      <c r="AL216" s="1407"/>
      <c r="AM216" s="2"/>
      <c r="AN216" s="1714"/>
      <c r="AO216" s="2146" t="s">
        <v>5969</v>
      </c>
      <c r="AP216" s="1388"/>
      <c r="AQ216" s="1388"/>
      <c r="AR216" s="1388"/>
      <c r="AS216" s="1388"/>
      <c r="AT216" s="1388"/>
      <c r="AU216" s="1388"/>
      <c r="AV216" s="1388"/>
      <c r="AW216" s="1388"/>
      <c r="AX216" s="1389"/>
    </row>
    <row r="217" spans="28:50" ht="22.05" customHeight="1">
      <c r="AB217" s="1714"/>
      <c r="AC217" s="1408"/>
      <c r="AD217" s="2144"/>
      <c r="AE217" s="2144"/>
      <c r="AF217" s="2144"/>
      <c r="AG217" s="2144"/>
      <c r="AH217" s="2144"/>
      <c r="AI217" s="2144"/>
      <c r="AJ217" s="2144"/>
      <c r="AK217" s="2144"/>
      <c r="AL217" s="1378"/>
      <c r="AM217" s="2"/>
      <c r="AN217" s="1715"/>
      <c r="AO217" s="2146" t="s">
        <v>5970</v>
      </c>
      <c r="AP217" s="1388"/>
      <c r="AQ217" s="1388"/>
      <c r="AR217" s="1388"/>
      <c r="AS217" s="1388"/>
      <c r="AT217" s="1388"/>
      <c r="AU217" s="1388"/>
      <c r="AV217" s="1388"/>
      <c r="AW217" s="1388"/>
      <c r="AX217" s="1389"/>
    </row>
    <row r="218" spans="28:50" ht="22.05" customHeight="1">
      <c r="AB218" s="1714"/>
      <c r="AC218" s="1409"/>
      <c r="AD218" s="1410"/>
      <c r="AE218" s="1410"/>
      <c r="AF218" s="1410"/>
      <c r="AG218" s="1410"/>
      <c r="AH218" s="1410"/>
      <c r="AI218" s="1410"/>
      <c r="AJ218" s="1410"/>
      <c r="AK218" s="1410"/>
      <c r="AL218" s="1411"/>
      <c r="AM218" s="2"/>
      <c r="AN218" s="2155" t="s">
        <v>5686</v>
      </c>
      <c r="AO218" s="2146" t="s">
        <v>5971</v>
      </c>
      <c r="AP218" s="1388"/>
      <c r="AQ218" s="1388"/>
      <c r="AR218" s="1388"/>
      <c r="AS218" s="1388"/>
      <c r="AT218" s="1388"/>
      <c r="AU218" s="1388"/>
      <c r="AV218" s="1388"/>
      <c r="AW218" s="1388"/>
      <c r="AX218" s="1389"/>
    </row>
    <row r="219" spans="28:50" ht="22.05" customHeight="1">
      <c r="AB219" s="1714"/>
      <c r="AC219" s="2147" t="s">
        <v>5972</v>
      </c>
      <c r="AD219" s="1406"/>
      <c r="AE219" s="1406"/>
      <c r="AF219" s="1406"/>
      <c r="AG219" s="1406"/>
      <c r="AH219" s="1406"/>
      <c r="AI219" s="1406"/>
      <c r="AJ219" s="1406"/>
      <c r="AK219" s="1406"/>
      <c r="AL219" s="1407"/>
      <c r="AM219" s="2"/>
      <c r="AN219" s="1714"/>
      <c r="AO219" s="2147" t="s">
        <v>5973</v>
      </c>
      <c r="AP219" s="1406"/>
      <c r="AQ219" s="1406"/>
      <c r="AR219" s="1406"/>
      <c r="AS219" s="1406"/>
      <c r="AT219" s="1406"/>
      <c r="AU219" s="1406"/>
      <c r="AV219" s="1406"/>
      <c r="AW219" s="1406"/>
      <c r="AX219" s="1407"/>
    </row>
    <row r="220" spans="28:50" ht="22.05" customHeight="1">
      <c r="AB220" s="1714"/>
      <c r="AC220" s="1409"/>
      <c r="AD220" s="1410"/>
      <c r="AE220" s="1410"/>
      <c r="AF220" s="1410"/>
      <c r="AG220" s="1410"/>
      <c r="AH220" s="1410"/>
      <c r="AI220" s="1410"/>
      <c r="AJ220" s="1410"/>
      <c r="AK220" s="1410"/>
      <c r="AL220" s="1411"/>
      <c r="AM220" s="2"/>
      <c r="AN220" s="1715"/>
      <c r="AO220" s="1409"/>
      <c r="AP220" s="1410"/>
      <c r="AQ220" s="1410"/>
      <c r="AR220" s="1410"/>
      <c r="AS220" s="1410"/>
      <c r="AT220" s="1410"/>
      <c r="AU220" s="1410"/>
      <c r="AV220" s="1410"/>
      <c r="AW220" s="1410"/>
      <c r="AX220" s="1411"/>
    </row>
    <row r="221" spans="28:50" ht="22.05" customHeight="1">
      <c r="AB221" s="1715"/>
      <c r="AC221" s="2158" t="s">
        <v>5974</v>
      </c>
      <c r="AD221" s="1388"/>
      <c r="AE221" s="1388"/>
      <c r="AF221" s="1388"/>
      <c r="AG221" s="1388"/>
      <c r="AH221" s="1388"/>
      <c r="AI221" s="1388"/>
      <c r="AJ221" s="1388"/>
      <c r="AK221" s="1388"/>
      <c r="AL221" s="1389"/>
      <c r="AM221" s="2"/>
      <c r="AN221" s="4" t="s">
        <v>5696</v>
      </c>
      <c r="AO221" s="2147" t="s">
        <v>5975</v>
      </c>
      <c r="AP221" s="1388"/>
      <c r="AQ221" s="1388"/>
      <c r="AR221" s="1388"/>
      <c r="AS221" s="1388"/>
      <c r="AT221" s="1388"/>
      <c r="AU221" s="1388"/>
      <c r="AV221" s="1388"/>
      <c r="AW221" s="1388"/>
      <c r="AX221" s="1389"/>
    </row>
    <row r="222" spans="28:50" ht="22.05" customHeight="1">
      <c r="AB222" s="2148" t="s">
        <v>108</v>
      </c>
      <c r="AC222" s="2177" t="s">
        <v>5976</v>
      </c>
      <c r="AD222" s="1406"/>
      <c r="AE222" s="1406"/>
      <c r="AF222" s="1406"/>
      <c r="AG222" s="1406"/>
      <c r="AH222" s="1406"/>
      <c r="AI222" s="1406"/>
      <c r="AJ222" s="1406"/>
      <c r="AK222" s="1406"/>
      <c r="AL222" s="1407"/>
      <c r="AM222" s="2"/>
      <c r="AN222" s="2148" t="s">
        <v>5849</v>
      </c>
      <c r="AO222" s="2147" t="s">
        <v>5977</v>
      </c>
      <c r="AP222" s="1388"/>
      <c r="AQ222" s="1388"/>
      <c r="AR222" s="1388"/>
      <c r="AS222" s="1388"/>
      <c r="AT222" s="1388"/>
      <c r="AU222" s="1388"/>
      <c r="AV222" s="1388"/>
      <c r="AW222" s="1388"/>
      <c r="AX222" s="1389"/>
    </row>
    <row r="223" spans="28:50" ht="22.05" customHeight="1">
      <c r="AB223" s="1714"/>
      <c r="AC223" s="1408"/>
      <c r="AD223" s="2144"/>
      <c r="AE223" s="2144"/>
      <c r="AF223" s="2144"/>
      <c r="AG223" s="2144"/>
      <c r="AH223" s="2144"/>
      <c r="AI223" s="2144"/>
      <c r="AJ223" s="2144"/>
      <c r="AK223" s="2144"/>
      <c r="AL223" s="1378"/>
      <c r="AM223" s="2"/>
      <c r="AN223" s="1714"/>
      <c r="AO223" s="2147" t="s">
        <v>5978</v>
      </c>
      <c r="AP223" s="1406"/>
      <c r="AQ223" s="1406"/>
      <c r="AR223" s="1406"/>
      <c r="AS223" s="1406"/>
      <c r="AT223" s="1406"/>
      <c r="AU223" s="1406"/>
      <c r="AV223" s="1406"/>
      <c r="AW223" s="1406"/>
      <c r="AX223" s="1407"/>
    </row>
    <row r="224" spans="28:50" ht="22.05" customHeight="1">
      <c r="AB224" s="1714"/>
      <c r="AC224" s="1408"/>
      <c r="AD224" s="2144"/>
      <c r="AE224" s="2144"/>
      <c r="AF224" s="2144"/>
      <c r="AG224" s="2144"/>
      <c r="AH224" s="2144"/>
      <c r="AI224" s="2144"/>
      <c r="AJ224" s="2144"/>
      <c r="AK224" s="2144"/>
      <c r="AL224" s="1378"/>
      <c r="AM224" s="2"/>
      <c r="AN224" s="1714"/>
      <c r="AO224" s="1408"/>
      <c r="AP224" s="2144"/>
      <c r="AQ224" s="2144"/>
      <c r="AR224" s="2144"/>
      <c r="AS224" s="2144"/>
      <c r="AT224" s="2144"/>
      <c r="AU224" s="2144"/>
      <c r="AV224" s="2144"/>
      <c r="AW224" s="2144"/>
      <c r="AX224" s="1378"/>
    </row>
    <row r="225" spans="28:50" ht="22.05" customHeight="1">
      <c r="AB225" s="1714"/>
      <c r="AC225" s="1408"/>
      <c r="AD225" s="2144"/>
      <c r="AE225" s="2144"/>
      <c r="AF225" s="2144"/>
      <c r="AG225" s="2144"/>
      <c r="AH225" s="2144"/>
      <c r="AI225" s="2144"/>
      <c r="AJ225" s="2144"/>
      <c r="AK225" s="2144"/>
      <c r="AL225" s="1378"/>
      <c r="AM225" s="2"/>
      <c r="AN225" s="1714"/>
      <c r="AO225" s="1409"/>
      <c r="AP225" s="1410"/>
      <c r="AQ225" s="1410"/>
      <c r="AR225" s="1410"/>
      <c r="AS225" s="1410"/>
      <c r="AT225" s="1410"/>
      <c r="AU225" s="1410"/>
      <c r="AV225" s="1410"/>
      <c r="AW225" s="1410"/>
      <c r="AX225" s="1411"/>
    </row>
    <row r="226" spans="28:50" ht="22.05" customHeight="1">
      <c r="AB226" s="1715"/>
      <c r="AC226" s="1409"/>
      <c r="AD226" s="1410"/>
      <c r="AE226" s="1410"/>
      <c r="AF226" s="1410"/>
      <c r="AG226" s="1410"/>
      <c r="AH226" s="1410"/>
      <c r="AI226" s="1410"/>
      <c r="AJ226" s="1410"/>
      <c r="AK226" s="1410"/>
      <c r="AL226" s="1411"/>
      <c r="AM226" s="2"/>
      <c r="AN226" s="1715"/>
      <c r="AO226" s="2147" t="s">
        <v>5979</v>
      </c>
      <c r="AP226" s="1388"/>
      <c r="AQ226" s="1388"/>
      <c r="AR226" s="1388"/>
      <c r="AS226" s="1388"/>
      <c r="AT226" s="1388"/>
      <c r="AU226" s="1388"/>
      <c r="AV226" s="1388"/>
      <c r="AW226" s="1388"/>
      <c r="AX226" s="1389"/>
    </row>
    <row r="227" spans="28:50" ht="22.05" customHeight="1">
      <c r="AB227" s="2201" t="s">
        <v>5980</v>
      </c>
      <c r="AC227" s="1406"/>
      <c r="AD227" s="1406"/>
      <c r="AE227" s="1406"/>
      <c r="AF227" s="1406"/>
      <c r="AG227" s="1406"/>
      <c r="AH227" s="1406"/>
      <c r="AI227" s="1406"/>
      <c r="AJ227" s="1406"/>
      <c r="AK227" s="1406"/>
      <c r="AL227" s="1407"/>
      <c r="AM227" s="2"/>
      <c r="AN227" s="2149" t="s">
        <v>5981</v>
      </c>
      <c r="AO227" s="1388"/>
      <c r="AP227" s="1388"/>
      <c r="AQ227" s="1388"/>
      <c r="AR227" s="1388"/>
      <c r="AS227" s="1388"/>
      <c r="AT227" s="1388"/>
      <c r="AU227" s="1388"/>
      <c r="AV227" s="1388"/>
      <c r="AW227" s="1388"/>
      <c r="AX227" s="1389"/>
    </row>
    <row r="228" spans="28:50" ht="22.05" customHeight="1">
      <c r="AB228" s="2145" t="s">
        <v>5669</v>
      </c>
      <c r="AC228" s="2146" t="s">
        <v>5982</v>
      </c>
      <c r="AD228" s="1406"/>
      <c r="AE228" s="1406"/>
      <c r="AF228" s="1406"/>
      <c r="AG228" s="1406"/>
      <c r="AH228" s="1406"/>
      <c r="AI228" s="1406"/>
      <c r="AJ228" s="1406"/>
      <c r="AK228" s="1406"/>
      <c r="AL228" s="1407"/>
      <c r="AM228" s="2"/>
      <c r="AN228" s="2155" t="s">
        <v>5669</v>
      </c>
      <c r="AO228" s="2146" t="s">
        <v>5983</v>
      </c>
      <c r="AP228" s="1388"/>
      <c r="AQ228" s="1388"/>
      <c r="AR228" s="1388"/>
      <c r="AS228" s="1388"/>
      <c r="AT228" s="1388"/>
      <c r="AU228" s="1388"/>
      <c r="AV228" s="1388"/>
      <c r="AW228" s="1388"/>
      <c r="AX228" s="1389"/>
    </row>
    <row r="229" spans="28:50" ht="22.05" customHeight="1">
      <c r="AB229" s="1714"/>
      <c r="AC229" s="1408"/>
      <c r="AD229" s="2144"/>
      <c r="AE229" s="2144"/>
      <c r="AF229" s="2144"/>
      <c r="AG229" s="2144"/>
      <c r="AH229" s="2144"/>
      <c r="AI229" s="2144"/>
      <c r="AJ229" s="2144"/>
      <c r="AK229" s="2144"/>
      <c r="AL229" s="1378"/>
      <c r="AM229" s="2"/>
      <c r="AN229" s="1714"/>
      <c r="AO229" s="2147" t="s">
        <v>5984</v>
      </c>
      <c r="AP229" s="1406"/>
      <c r="AQ229" s="1406"/>
      <c r="AR229" s="1406"/>
      <c r="AS229" s="1406"/>
      <c r="AT229" s="1406"/>
      <c r="AU229" s="1406"/>
      <c r="AV229" s="1406"/>
      <c r="AW229" s="1406"/>
      <c r="AX229" s="1407"/>
    </row>
    <row r="230" spans="28:50" ht="22.05" customHeight="1">
      <c r="AB230" s="1715"/>
      <c r="AC230" s="1409"/>
      <c r="AD230" s="1410"/>
      <c r="AE230" s="1410"/>
      <c r="AF230" s="1410"/>
      <c r="AG230" s="1410"/>
      <c r="AH230" s="1410"/>
      <c r="AI230" s="1410"/>
      <c r="AJ230" s="1410"/>
      <c r="AK230" s="1410"/>
      <c r="AL230" s="1411"/>
      <c r="AM230" s="2"/>
      <c r="AN230" s="1714"/>
      <c r="AO230" s="1409"/>
      <c r="AP230" s="1410"/>
      <c r="AQ230" s="1410"/>
      <c r="AR230" s="1410"/>
      <c r="AS230" s="1410"/>
      <c r="AT230" s="1410"/>
      <c r="AU230" s="1410"/>
      <c r="AV230" s="1410"/>
      <c r="AW230" s="1410"/>
      <c r="AX230" s="1411"/>
    </row>
    <row r="231" spans="28:50" ht="22.05" customHeight="1">
      <c r="AB231" s="2149" t="s">
        <v>5985</v>
      </c>
      <c r="AC231" s="1388"/>
      <c r="AD231" s="1388"/>
      <c r="AE231" s="1388"/>
      <c r="AF231" s="1388"/>
      <c r="AG231" s="1388"/>
      <c r="AH231" s="1388"/>
      <c r="AI231" s="1388"/>
      <c r="AJ231" s="1388"/>
      <c r="AK231" s="1388"/>
      <c r="AL231" s="1389"/>
      <c r="AM231" s="2"/>
      <c r="AN231" s="1714"/>
      <c r="AO231" s="2146" t="s">
        <v>5986</v>
      </c>
      <c r="AP231" s="1388"/>
      <c r="AQ231" s="1388"/>
      <c r="AR231" s="1388"/>
      <c r="AS231" s="1388"/>
      <c r="AT231" s="1388"/>
      <c r="AU231" s="1388"/>
      <c r="AV231" s="1388"/>
      <c r="AW231" s="1388"/>
      <c r="AX231" s="1389"/>
    </row>
    <row r="232" spans="28:50" ht="22.05" customHeight="1">
      <c r="AB232" s="2145" t="s">
        <v>5669</v>
      </c>
      <c r="AC232" s="2203" t="s">
        <v>5987</v>
      </c>
      <c r="AD232" s="1388"/>
      <c r="AE232" s="1388"/>
      <c r="AF232" s="1388"/>
      <c r="AG232" s="1388"/>
      <c r="AH232" s="1388"/>
      <c r="AI232" s="1388"/>
      <c r="AJ232" s="1388"/>
      <c r="AK232" s="1388"/>
      <c r="AL232" s="1389"/>
      <c r="AM232" s="2"/>
      <c r="AN232" s="1714"/>
      <c r="AO232" s="2147" t="s">
        <v>5988</v>
      </c>
      <c r="AP232" s="1406"/>
      <c r="AQ232" s="1406"/>
      <c r="AR232" s="1406"/>
      <c r="AS232" s="1406"/>
      <c r="AT232" s="1406"/>
      <c r="AU232" s="1406"/>
      <c r="AV232" s="1406"/>
      <c r="AW232" s="1406"/>
      <c r="AX232" s="1407"/>
    </row>
    <row r="233" spans="28:50" ht="22.05" customHeight="1">
      <c r="AB233" s="1714"/>
      <c r="AC233" s="2166" t="s">
        <v>5989</v>
      </c>
      <c r="AD233" s="1406"/>
      <c r="AE233" s="1406"/>
      <c r="AF233" s="1406"/>
      <c r="AG233" s="1406"/>
      <c r="AH233" s="1406"/>
      <c r="AI233" s="1406"/>
      <c r="AJ233" s="1406"/>
      <c r="AK233" s="1406"/>
      <c r="AL233" s="1407"/>
      <c r="AM233" s="2"/>
      <c r="AN233" s="1714"/>
      <c r="AO233" s="1408"/>
      <c r="AP233" s="2144"/>
      <c r="AQ233" s="2144"/>
      <c r="AR233" s="2144"/>
      <c r="AS233" s="2144"/>
      <c r="AT233" s="2144"/>
      <c r="AU233" s="2144"/>
      <c r="AV233" s="2144"/>
      <c r="AW233" s="2144"/>
      <c r="AX233" s="1378"/>
    </row>
    <row r="234" spans="28:50" ht="22.05" customHeight="1">
      <c r="AB234" s="1714"/>
      <c r="AC234" s="1410"/>
      <c r="AD234" s="1410"/>
      <c r="AE234" s="1410"/>
      <c r="AF234" s="1410"/>
      <c r="AG234" s="1410"/>
      <c r="AH234" s="1410"/>
      <c r="AI234" s="1410"/>
      <c r="AJ234" s="1410"/>
      <c r="AK234" s="1410"/>
      <c r="AL234" s="1411"/>
      <c r="AN234" s="1714"/>
      <c r="AO234" s="1408"/>
      <c r="AP234" s="2144"/>
      <c r="AQ234" s="2144"/>
      <c r="AR234" s="2144"/>
      <c r="AS234" s="2144"/>
      <c r="AT234" s="2144"/>
      <c r="AU234" s="2144"/>
      <c r="AV234" s="2144"/>
      <c r="AW234" s="2144"/>
      <c r="AX234" s="1378"/>
    </row>
    <row r="235" spans="28:50" ht="22.05" customHeight="1">
      <c r="AB235" s="1714"/>
      <c r="AC235" s="2186" t="s">
        <v>5990</v>
      </c>
      <c r="AD235" s="1406"/>
      <c r="AE235" s="1406"/>
      <c r="AF235" s="1406"/>
      <c r="AG235" s="1406"/>
      <c r="AH235" s="1406"/>
      <c r="AI235" s="1406"/>
      <c r="AJ235" s="1406"/>
      <c r="AK235" s="1406"/>
      <c r="AL235" s="1407"/>
      <c r="AN235" s="1714"/>
      <c r="AO235" s="1408"/>
      <c r="AP235" s="2144"/>
      <c r="AQ235" s="2144"/>
      <c r="AR235" s="2144"/>
      <c r="AS235" s="2144"/>
      <c r="AT235" s="2144"/>
      <c r="AU235" s="2144"/>
      <c r="AV235" s="2144"/>
      <c r="AW235" s="2144"/>
      <c r="AX235" s="1378"/>
    </row>
    <row r="236" spans="28:50" ht="22.05" customHeight="1">
      <c r="AB236" s="1714"/>
      <c r="AC236" s="2144"/>
      <c r="AD236" s="2144"/>
      <c r="AE236" s="2144"/>
      <c r="AF236" s="2144"/>
      <c r="AG236" s="2144"/>
      <c r="AH236" s="2144"/>
      <c r="AI236" s="2144"/>
      <c r="AJ236" s="2144"/>
      <c r="AK236" s="2144"/>
      <c r="AL236" s="1378"/>
      <c r="AN236" s="1714"/>
      <c r="AO236" s="1408"/>
      <c r="AP236" s="2144"/>
      <c r="AQ236" s="2144"/>
      <c r="AR236" s="2144"/>
      <c r="AS236" s="2144"/>
      <c r="AT236" s="2144"/>
      <c r="AU236" s="2144"/>
      <c r="AV236" s="2144"/>
      <c r="AW236" s="2144"/>
      <c r="AX236" s="1378"/>
    </row>
    <row r="237" spans="28:50" ht="22.05" customHeight="1">
      <c r="AB237" s="1714"/>
      <c r="AC237" s="2147" t="s">
        <v>5991</v>
      </c>
      <c r="AD237" s="1406"/>
      <c r="AE237" s="1406"/>
      <c r="AF237" s="1406"/>
      <c r="AG237" s="1406"/>
      <c r="AH237" s="1406"/>
      <c r="AI237" s="1406"/>
      <c r="AJ237" s="1406"/>
      <c r="AK237" s="1406"/>
      <c r="AL237" s="1407"/>
      <c r="AN237" s="1715"/>
      <c r="AO237" s="1409"/>
      <c r="AP237" s="1410"/>
      <c r="AQ237" s="1410"/>
      <c r="AR237" s="1410"/>
      <c r="AS237" s="1410"/>
      <c r="AT237" s="1410"/>
      <c r="AU237" s="1410"/>
      <c r="AV237" s="1410"/>
      <c r="AW237" s="1410"/>
      <c r="AX237" s="1411"/>
    </row>
    <row r="238" spans="28:50" ht="22.05" customHeight="1">
      <c r="AB238" s="1714"/>
      <c r="AC238" s="1408"/>
      <c r="AD238" s="2144"/>
      <c r="AE238" s="2144"/>
      <c r="AF238" s="2144"/>
      <c r="AG238" s="2144"/>
      <c r="AH238" s="2144"/>
      <c r="AI238" s="2144"/>
      <c r="AJ238" s="2144"/>
      <c r="AK238" s="2144"/>
      <c r="AL238" s="1378"/>
      <c r="AN238" s="2155" t="s">
        <v>5851</v>
      </c>
      <c r="AO238" s="2146" t="s">
        <v>5992</v>
      </c>
      <c r="AP238" s="1388"/>
      <c r="AQ238" s="1388"/>
      <c r="AR238" s="1388"/>
      <c r="AS238" s="1388"/>
      <c r="AT238" s="1388"/>
      <c r="AU238" s="1388"/>
      <c r="AV238" s="1388"/>
      <c r="AW238" s="1388"/>
      <c r="AX238" s="1389"/>
    </row>
    <row r="239" spans="28:50" ht="22.05" customHeight="1">
      <c r="AB239" s="1715"/>
      <c r="AC239" s="1409"/>
      <c r="AD239" s="1410"/>
      <c r="AE239" s="1410"/>
      <c r="AF239" s="1410"/>
      <c r="AG239" s="1410"/>
      <c r="AH239" s="1410"/>
      <c r="AI239" s="1410"/>
      <c r="AJ239" s="1410"/>
      <c r="AK239" s="1410"/>
      <c r="AL239" s="1411"/>
      <c r="AN239" s="1714"/>
      <c r="AO239" s="2147" t="s">
        <v>5993</v>
      </c>
      <c r="AP239" s="1406"/>
      <c r="AQ239" s="1406"/>
      <c r="AR239" s="1406"/>
      <c r="AS239" s="1406"/>
      <c r="AT239" s="1406"/>
      <c r="AU239" s="1406"/>
      <c r="AV239" s="1406"/>
      <c r="AW239" s="1406"/>
      <c r="AX239" s="1407"/>
    </row>
    <row r="240" spans="28:50" ht="22.05" customHeight="1">
      <c r="AB240" s="2211" t="s">
        <v>5686</v>
      </c>
      <c r="AC240" s="2207" t="s">
        <v>5994</v>
      </c>
      <c r="AD240" s="2144"/>
      <c r="AE240" s="2144"/>
      <c r="AF240" s="2144"/>
      <c r="AG240" s="2144"/>
      <c r="AH240" s="2144"/>
      <c r="AI240" s="2144"/>
      <c r="AJ240" s="2144"/>
      <c r="AK240" s="2144"/>
      <c r="AL240" s="1378"/>
      <c r="AN240" s="1714"/>
      <c r="AO240" s="1408"/>
      <c r="AP240" s="2144"/>
      <c r="AQ240" s="2144"/>
      <c r="AR240" s="2144"/>
      <c r="AS240" s="2144"/>
      <c r="AT240" s="2144"/>
      <c r="AU240" s="2144"/>
      <c r="AV240" s="2144"/>
      <c r="AW240" s="2144"/>
      <c r="AX240" s="1378"/>
    </row>
    <row r="241" spans="28:50" ht="22.05" customHeight="1">
      <c r="AB241" s="1714"/>
      <c r="AC241" s="1408"/>
      <c r="AD241" s="2144"/>
      <c r="AE241" s="2144"/>
      <c r="AF241" s="2144"/>
      <c r="AG241" s="2144"/>
      <c r="AH241" s="2144"/>
      <c r="AI241" s="2144"/>
      <c r="AJ241" s="2144"/>
      <c r="AK241" s="2144"/>
      <c r="AL241" s="1378"/>
      <c r="AN241" s="1714"/>
      <c r="AO241" s="1408"/>
      <c r="AP241" s="2144"/>
      <c r="AQ241" s="2144"/>
      <c r="AR241" s="2144"/>
      <c r="AS241" s="2144"/>
      <c r="AT241" s="2144"/>
      <c r="AU241" s="2144"/>
      <c r="AV241" s="2144"/>
      <c r="AW241" s="2144"/>
      <c r="AX241" s="1378"/>
    </row>
    <row r="242" spans="28:50" ht="22.05" customHeight="1">
      <c r="AB242" s="1715"/>
      <c r="AC242" s="1409"/>
      <c r="AD242" s="1410"/>
      <c r="AE242" s="1410"/>
      <c r="AF242" s="1410"/>
      <c r="AG242" s="1410"/>
      <c r="AH242" s="1410"/>
      <c r="AI242" s="1410"/>
      <c r="AJ242" s="1410"/>
      <c r="AK242" s="1410"/>
      <c r="AL242" s="1411"/>
      <c r="AN242" s="1714"/>
      <c r="AO242" s="1408"/>
      <c r="AP242" s="2144"/>
      <c r="AQ242" s="2144"/>
      <c r="AR242" s="2144"/>
      <c r="AS242" s="2144"/>
      <c r="AT242" s="2144"/>
      <c r="AU242" s="2144"/>
      <c r="AV242" s="2144"/>
      <c r="AW242" s="2144"/>
      <c r="AX242" s="1378"/>
    </row>
    <row r="243" spans="28:50" ht="22.05" customHeight="1">
      <c r="AB243" s="2176" t="s">
        <v>5851</v>
      </c>
      <c r="AC243" s="2213" t="s">
        <v>5995</v>
      </c>
      <c r="AD243" s="1406"/>
      <c r="AE243" s="1406"/>
      <c r="AF243" s="1406"/>
      <c r="AG243" s="1406"/>
      <c r="AH243" s="1406"/>
      <c r="AI243" s="1406"/>
      <c r="AJ243" s="1406"/>
      <c r="AK243" s="1406"/>
      <c r="AL243" s="1407"/>
      <c r="AN243" s="1715"/>
      <c r="AO243" s="1409"/>
      <c r="AP243" s="1410"/>
      <c r="AQ243" s="1410"/>
      <c r="AR243" s="1410"/>
      <c r="AS243" s="1410"/>
      <c r="AT243" s="1410"/>
      <c r="AU243" s="1410"/>
      <c r="AV243" s="1410"/>
      <c r="AW243" s="1410"/>
      <c r="AX243" s="1411"/>
    </row>
    <row r="244" spans="28:50" ht="22.05" customHeight="1">
      <c r="AB244" s="1715"/>
      <c r="AC244" s="1409"/>
      <c r="AD244" s="1410"/>
      <c r="AE244" s="1410"/>
      <c r="AF244" s="1410"/>
      <c r="AG244" s="1410"/>
      <c r="AH244" s="1410"/>
      <c r="AI244" s="1410"/>
      <c r="AJ244" s="1410"/>
      <c r="AK244" s="1410"/>
      <c r="AL244" s="1411"/>
      <c r="AN244" s="2212" t="s">
        <v>5947</v>
      </c>
      <c r="AO244" s="2146" t="s">
        <v>5996</v>
      </c>
      <c r="AP244" s="1388"/>
      <c r="AQ244" s="1388"/>
      <c r="AR244" s="1388"/>
      <c r="AS244" s="1388"/>
      <c r="AT244" s="1388"/>
      <c r="AU244" s="1388"/>
      <c r="AV244" s="1388"/>
      <c r="AW244" s="1388"/>
      <c r="AX244" s="1389"/>
    </row>
    <row r="245" spans="28:50" ht="22.05" customHeight="1">
      <c r="AB245" s="2176" t="s">
        <v>5699</v>
      </c>
      <c r="AC245" s="2147" t="s">
        <v>5997</v>
      </c>
      <c r="AD245" s="1406"/>
      <c r="AE245" s="1406"/>
      <c r="AF245" s="1406"/>
      <c r="AG245" s="1406"/>
      <c r="AH245" s="1406"/>
      <c r="AI245" s="1406"/>
      <c r="AJ245" s="1406"/>
      <c r="AK245" s="1406"/>
      <c r="AL245" s="1407"/>
      <c r="AN245" s="1714"/>
      <c r="AO245" s="2147" t="s">
        <v>5998</v>
      </c>
      <c r="AP245" s="1406"/>
      <c r="AQ245" s="1406"/>
      <c r="AR245" s="1406"/>
      <c r="AS245" s="1406"/>
      <c r="AT245" s="1406"/>
      <c r="AU245" s="1406"/>
      <c r="AV245" s="1406"/>
      <c r="AW245" s="1406"/>
      <c r="AX245" s="1407"/>
    </row>
    <row r="246" spans="28:50" ht="22.05" customHeight="1">
      <c r="AB246" s="1715"/>
      <c r="AC246" s="1409"/>
      <c r="AD246" s="1410"/>
      <c r="AE246" s="1410"/>
      <c r="AF246" s="1410"/>
      <c r="AG246" s="1410"/>
      <c r="AH246" s="1410"/>
      <c r="AI246" s="1410"/>
      <c r="AJ246" s="1410"/>
      <c r="AK246" s="1410"/>
      <c r="AL246" s="1411"/>
      <c r="AN246" s="1714"/>
      <c r="AO246" s="1408"/>
      <c r="AP246" s="2144"/>
      <c r="AQ246" s="2144"/>
      <c r="AR246" s="2144"/>
      <c r="AS246" s="2144"/>
      <c r="AT246" s="2144"/>
      <c r="AU246" s="2144"/>
      <c r="AV246" s="2144"/>
      <c r="AW246" s="2144"/>
      <c r="AX246" s="1378"/>
    </row>
    <row r="247" spans="28:50" ht="22.05" customHeight="1">
      <c r="AB247" s="2148" t="s">
        <v>108</v>
      </c>
      <c r="AC247" s="2177" t="s">
        <v>5999</v>
      </c>
      <c r="AD247" s="1406"/>
      <c r="AE247" s="1406"/>
      <c r="AF247" s="1406"/>
      <c r="AG247" s="1406"/>
      <c r="AH247" s="1406"/>
      <c r="AI247" s="1406"/>
      <c r="AJ247" s="1406"/>
      <c r="AK247" s="1406"/>
      <c r="AL247" s="1407"/>
      <c r="AN247" s="1714"/>
      <c r="AO247" s="1409"/>
      <c r="AP247" s="1410"/>
      <c r="AQ247" s="1410"/>
      <c r="AR247" s="1410"/>
      <c r="AS247" s="1410"/>
      <c r="AT247" s="1410"/>
      <c r="AU247" s="1410"/>
      <c r="AV247" s="1410"/>
      <c r="AW247" s="1410"/>
      <c r="AX247" s="1411"/>
    </row>
    <row r="248" spans="28:50" ht="22.05" customHeight="1">
      <c r="AB248" s="1714"/>
      <c r="AC248" s="1408"/>
      <c r="AD248" s="2144"/>
      <c r="AE248" s="2144"/>
      <c r="AF248" s="2144"/>
      <c r="AG248" s="2144"/>
      <c r="AH248" s="2144"/>
      <c r="AI248" s="2144"/>
      <c r="AJ248" s="2144"/>
      <c r="AK248" s="2144"/>
      <c r="AL248" s="1378"/>
      <c r="AN248" s="1714"/>
      <c r="AO248" s="2146" t="s">
        <v>5986</v>
      </c>
      <c r="AP248" s="1388"/>
      <c r="AQ248" s="1388"/>
      <c r="AR248" s="1388"/>
      <c r="AS248" s="1388"/>
      <c r="AT248" s="1388"/>
      <c r="AU248" s="1388"/>
      <c r="AV248" s="1388"/>
      <c r="AW248" s="1388"/>
      <c r="AX248" s="1389"/>
    </row>
    <row r="249" spans="28:50" ht="22.05" customHeight="1">
      <c r="AB249" s="1714"/>
      <c r="AC249" s="1408"/>
      <c r="AD249" s="2144"/>
      <c r="AE249" s="2144"/>
      <c r="AF249" s="2144"/>
      <c r="AG249" s="2144"/>
      <c r="AH249" s="2144"/>
      <c r="AI249" s="2144"/>
      <c r="AJ249" s="2144"/>
      <c r="AK249" s="2144"/>
      <c r="AL249" s="1378"/>
      <c r="AN249" s="1714"/>
      <c r="AO249" s="2147" t="s">
        <v>6000</v>
      </c>
      <c r="AP249" s="1406"/>
      <c r="AQ249" s="1406"/>
      <c r="AR249" s="1406"/>
      <c r="AS249" s="1406"/>
      <c r="AT249" s="1406"/>
      <c r="AU249" s="1406"/>
      <c r="AV249" s="1406"/>
      <c r="AW249" s="1406"/>
      <c r="AX249" s="1407"/>
    </row>
    <row r="250" spans="28:50" ht="22.05" customHeight="1">
      <c r="AB250" s="1714"/>
      <c r="AC250" s="1408"/>
      <c r="AD250" s="2144"/>
      <c r="AE250" s="2144"/>
      <c r="AF250" s="2144"/>
      <c r="AG250" s="2144"/>
      <c r="AH250" s="2144"/>
      <c r="AI250" s="2144"/>
      <c r="AJ250" s="2144"/>
      <c r="AK250" s="2144"/>
      <c r="AL250" s="1378"/>
      <c r="AN250" s="1714"/>
      <c r="AO250" s="1409"/>
      <c r="AP250" s="1410"/>
      <c r="AQ250" s="1410"/>
      <c r="AR250" s="1410"/>
      <c r="AS250" s="1410"/>
      <c r="AT250" s="1410"/>
      <c r="AU250" s="1410"/>
      <c r="AV250" s="1410"/>
      <c r="AW250" s="1410"/>
      <c r="AX250" s="1411"/>
    </row>
    <row r="251" spans="28:50" ht="22.05" customHeight="1">
      <c r="AB251" s="1715"/>
      <c r="AC251" s="1409"/>
      <c r="AD251" s="1410"/>
      <c r="AE251" s="1410"/>
      <c r="AF251" s="1410"/>
      <c r="AG251" s="1410"/>
      <c r="AH251" s="1410"/>
      <c r="AI251" s="1410"/>
      <c r="AJ251" s="1410"/>
      <c r="AK251" s="1410"/>
      <c r="AL251" s="1411"/>
      <c r="AN251" s="1714"/>
      <c r="AO251" s="2147" t="s">
        <v>6001</v>
      </c>
      <c r="AP251" s="1406"/>
      <c r="AQ251" s="1406"/>
      <c r="AR251" s="1406"/>
      <c r="AS251" s="1406"/>
      <c r="AT251" s="1406"/>
      <c r="AU251" s="1406"/>
      <c r="AV251" s="1406"/>
      <c r="AW251" s="1406"/>
      <c r="AX251" s="1407"/>
    </row>
    <row r="252" spans="28:50" ht="22.05" customHeight="1">
      <c r="AN252" s="1714"/>
      <c r="AO252" s="1408"/>
      <c r="AP252" s="2144"/>
      <c r="AQ252" s="2144"/>
      <c r="AR252" s="2144"/>
      <c r="AS252" s="2144"/>
      <c r="AT252" s="2144"/>
      <c r="AU252" s="2144"/>
      <c r="AV252" s="2144"/>
      <c r="AW252" s="2144"/>
      <c r="AX252" s="1378"/>
    </row>
    <row r="253" spans="28:50" ht="22.05" customHeight="1">
      <c r="AN253" s="1714"/>
      <c r="AO253" s="1408"/>
      <c r="AP253" s="2144"/>
      <c r="AQ253" s="2144"/>
      <c r="AR253" s="2144"/>
      <c r="AS253" s="2144"/>
      <c r="AT253" s="2144"/>
      <c r="AU253" s="2144"/>
      <c r="AV253" s="2144"/>
      <c r="AW253" s="2144"/>
      <c r="AX253" s="1378"/>
    </row>
    <row r="254" spans="28:50" ht="22.05" customHeight="1">
      <c r="AN254" s="1714"/>
      <c r="AO254" s="1408"/>
      <c r="AP254" s="2144"/>
      <c r="AQ254" s="2144"/>
      <c r="AR254" s="2144"/>
      <c r="AS254" s="2144"/>
      <c r="AT254" s="2144"/>
      <c r="AU254" s="2144"/>
      <c r="AV254" s="2144"/>
      <c r="AW254" s="2144"/>
      <c r="AX254" s="1378"/>
    </row>
    <row r="255" spans="28:50" ht="22.05" customHeight="1">
      <c r="AN255" s="1715"/>
      <c r="AO255" s="1409"/>
      <c r="AP255" s="1410"/>
      <c r="AQ255" s="1410"/>
      <c r="AR255" s="1410"/>
      <c r="AS255" s="1410"/>
      <c r="AT255" s="1410"/>
      <c r="AU255" s="1410"/>
      <c r="AV255" s="1410"/>
      <c r="AW255" s="1410"/>
      <c r="AX255" s="1411"/>
    </row>
    <row r="256" spans="28:50" ht="22.05" customHeight="1">
      <c r="AN256" s="2178" t="s">
        <v>6002</v>
      </c>
      <c r="AO256" s="2146" t="s">
        <v>6003</v>
      </c>
      <c r="AP256" s="1388"/>
      <c r="AQ256" s="1388"/>
      <c r="AR256" s="1388"/>
      <c r="AS256" s="1388"/>
      <c r="AT256" s="1388"/>
      <c r="AU256" s="1388"/>
      <c r="AV256" s="1388"/>
      <c r="AW256" s="1388"/>
      <c r="AX256" s="1389"/>
    </row>
    <row r="257" spans="40:50" ht="22.05" customHeight="1">
      <c r="AN257" s="1715"/>
      <c r="AO257" s="2146" t="s">
        <v>6004</v>
      </c>
      <c r="AP257" s="1388"/>
      <c r="AQ257" s="1388"/>
      <c r="AR257" s="1388"/>
      <c r="AS257" s="1388"/>
      <c r="AT257" s="1388"/>
      <c r="AU257" s="1388"/>
      <c r="AV257" s="1388"/>
      <c r="AW257" s="1388"/>
      <c r="AX257" s="1389"/>
    </row>
    <row r="258" spans="40:50" ht="22.05" customHeight="1">
      <c r="AN258" s="2149" t="s">
        <v>6005</v>
      </c>
      <c r="AO258" s="1388"/>
      <c r="AP258" s="1388"/>
      <c r="AQ258" s="1388"/>
      <c r="AR258" s="1388"/>
      <c r="AS258" s="1388"/>
      <c r="AT258" s="1388"/>
      <c r="AU258" s="1388"/>
      <c r="AV258" s="1388"/>
      <c r="AW258" s="1388"/>
      <c r="AX258" s="1389"/>
    </row>
    <row r="259" spans="40:50" ht="22.05" customHeight="1">
      <c r="AN259" s="2164" t="s">
        <v>5669</v>
      </c>
      <c r="AO259" s="2146" t="s">
        <v>6006</v>
      </c>
      <c r="AP259" s="1388"/>
      <c r="AQ259" s="1388"/>
      <c r="AR259" s="1388"/>
      <c r="AS259" s="1388"/>
      <c r="AT259" s="1388"/>
      <c r="AU259" s="1388"/>
      <c r="AV259" s="1388"/>
      <c r="AW259" s="1388"/>
      <c r="AX259" s="1389"/>
    </row>
    <row r="260" spans="40:50" ht="22.05" customHeight="1">
      <c r="AN260" s="1714"/>
      <c r="AO260" s="2146" t="s">
        <v>6007</v>
      </c>
      <c r="AP260" s="1388"/>
      <c r="AQ260" s="1388"/>
      <c r="AR260" s="1388"/>
      <c r="AS260" s="1388"/>
      <c r="AT260" s="1388"/>
      <c r="AU260" s="1388"/>
      <c r="AV260" s="1388"/>
      <c r="AW260" s="1388"/>
      <c r="AX260" s="1389"/>
    </row>
    <row r="261" spans="40:50" ht="22.05" customHeight="1">
      <c r="AN261" s="1715"/>
      <c r="AO261" s="2146" t="s">
        <v>6008</v>
      </c>
      <c r="AP261" s="1388"/>
      <c r="AQ261" s="1388"/>
      <c r="AR261" s="1388"/>
      <c r="AS261" s="1388"/>
      <c r="AT261" s="1388"/>
      <c r="AU261" s="1388"/>
      <c r="AV261" s="1388"/>
      <c r="AW261" s="1388"/>
      <c r="AX261" s="1389"/>
    </row>
    <row r="262" spans="40:50" ht="22.05" customHeight="1">
      <c r="AN262" s="10" t="s">
        <v>5947</v>
      </c>
      <c r="AO262" s="2146" t="s">
        <v>6009</v>
      </c>
      <c r="AP262" s="1388"/>
      <c r="AQ262" s="1388"/>
      <c r="AR262" s="1388"/>
      <c r="AS262" s="1388"/>
      <c r="AT262" s="1388"/>
      <c r="AU262" s="1388"/>
      <c r="AV262" s="1388"/>
      <c r="AW262" s="1388"/>
      <c r="AX262" s="1389"/>
    </row>
    <row r="263" spans="40:50" ht="22.05" customHeight="1">
      <c r="AN263" s="2164" t="s">
        <v>6010</v>
      </c>
      <c r="AO263" s="2147" t="s">
        <v>6011</v>
      </c>
      <c r="AP263" s="1406"/>
      <c r="AQ263" s="1406"/>
      <c r="AR263" s="1406"/>
      <c r="AS263" s="1406"/>
      <c r="AT263" s="1406"/>
      <c r="AU263" s="1406"/>
      <c r="AV263" s="1406"/>
      <c r="AW263" s="1406"/>
      <c r="AX263" s="1407"/>
    </row>
    <row r="264" spans="40:50" ht="22.05" customHeight="1">
      <c r="AN264" s="1715"/>
      <c r="AO264" s="1409"/>
      <c r="AP264" s="1410"/>
      <c r="AQ264" s="1410"/>
      <c r="AR264" s="1410"/>
      <c r="AS264" s="1410"/>
      <c r="AT264" s="1410"/>
      <c r="AU264" s="1410"/>
      <c r="AV264" s="1410"/>
      <c r="AW264" s="1410"/>
      <c r="AX264" s="1411"/>
    </row>
    <row r="265" spans="40:50" ht="22.05" customHeight="1">
      <c r="AN265" s="2149" t="s">
        <v>6012</v>
      </c>
      <c r="AO265" s="1388"/>
      <c r="AP265" s="1388"/>
      <c r="AQ265" s="1388"/>
      <c r="AR265" s="1388"/>
      <c r="AS265" s="1388"/>
      <c r="AT265" s="1388"/>
      <c r="AU265" s="1388"/>
      <c r="AV265" s="1388"/>
      <c r="AW265" s="1388"/>
      <c r="AX265" s="1389"/>
    </row>
    <row r="266" spans="40:50" ht="22.05" customHeight="1">
      <c r="AN266" s="2164" t="s">
        <v>5669</v>
      </c>
      <c r="AO266" s="2147" t="s">
        <v>6013</v>
      </c>
      <c r="AP266" s="1388"/>
      <c r="AQ266" s="1388"/>
      <c r="AR266" s="1388"/>
      <c r="AS266" s="1388"/>
      <c r="AT266" s="1388"/>
      <c r="AU266" s="1388"/>
      <c r="AV266" s="1388"/>
      <c r="AW266" s="1388"/>
      <c r="AX266" s="1389"/>
    </row>
    <row r="267" spans="40:50" ht="22.05" customHeight="1">
      <c r="AN267" s="1714"/>
      <c r="AO267" s="2147" t="s">
        <v>6014</v>
      </c>
      <c r="AP267" s="1406"/>
      <c r="AQ267" s="1406"/>
      <c r="AR267" s="1406"/>
      <c r="AS267" s="1406"/>
      <c r="AT267" s="1406"/>
      <c r="AU267" s="1406"/>
      <c r="AV267" s="1406"/>
      <c r="AW267" s="1406"/>
      <c r="AX267" s="1407"/>
    </row>
    <row r="268" spans="40:50" ht="22.05" customHeight="1">
      <c r="AN268" s="1714"/>
      <c r="AO268" s="1409"/>
      <c r="AP268" s="1410"/>
      <c r="AQ268" s="1410"/>
      <c r="AR268" s="1410"/>
      <c r="AS268" s="1410"/>
      <c r="AT268" s="1410"/>
      <c r="AU268" s="1410"/>
      <c r="AV268" s="1410"/>
      <c r="AW268" s="1410"/>
      <c r="AX268" s="1411"/>
    </row>
    <row r="269" spans="40:50" ht="22.05" customHeight="1">
      <c r="AN269" s="1714"/>
      <c r="AO269" s="2146" t="s">
        <v>6015</v>
      </c>
      <c r="AP269" s="1388"/>
      <c r="AQ269" s="1388"/>
      <c r="AR269" s="1388"/>
      <c r="AS269" s="1388"/>
      <c r="AT269" s="1388"/>
      <c r="AU269" s="1388"/>
      <c r="AV269" s="1388"/>
      <c r="AW269" s="1388"/>
      <c r="AX269" s="1389"/>
    </row>
    <row r="270" spans="40:50" ht="22.05" customHeight="1">
      <c r="AN270" s="1714"/>
      <c r="AO270" s="2147" t="s">
        <v>6016</v>
      </c>
      <c r="AP270" s="1406"/>
      <c r="AQ270" s="1406"/>
      <c r="AR270" s="1406"/>
      <c r="AS270" s="1406"/>
      <c r="AT270" s="1406"/>
      <c r="AU270" s="1406"/>
      <c r="AV270" s="1406"/>
      <c r="AW270" s="1406"/>
      <c r="AX270" s="1407"/>
    </row>
    <row r="271" spans="40:50" ht="22.05" customHeight="1">
      <c r="AN271" s="1714"/>
      <c r="AO271" s="1409"/>
      <c r="AP271" s="1410"/>
      <c r="AQ271" s="1410"/>
      <c r="AR271" s="1410"/>
      <c r="AS271" s="1410"/>
      <c r="AT271" s="1410"/>
      <c r="AU271" s="1410"/>
      <c r="AV271" s="1410"/>
      <c r="AW271" s="1410"/>
      <c r="AX271" s="1411"/>
    </row>
    <row r="272" spans="40:50" ht="22.05" customHeight="1">
      <c r="AN272" s="1714"/>
      <c r="AO272" s="2153" t="s">
        <v>6017</v>
      </c>
      <c r="AP272" s="1406"/>
      <c r="AQ272" s="1406"/>
      <c r="AR272" s="1406"/>
      <c r="AS272" s="1406"/>
      <c r="AT272" s="1406"/>
      <c r="AU272" s="1406"/>
      <c r="AV272" s="1406"/>
      <c r="AW272" s="1406"/>
      <c r="AX272" s="1407"/>
    </row>
    <row r="273" spans="40:50" ht="22.05" customHeight="1">
      <c r="AN273" s="1714"/>
      <c r="AO273" s="1408"/>
      <c r="AP273" s="2144"/>
      <c r="AQ273" s="2144"/>
      <c r="AR273" s="2144"/>
      <c r="AS273" s="2144"/>
      <c r="AT273" s="2144"/>
      <c r="AU273" s="2144"/>
      <c r="AV273" s="2144"/>
      <c r="AW273" s="2144"/>
      <c r="AX273" s="1378"/>
    </row>
    <row r="274" spans="40:50" ht="22.05" customHeight="1">
      <c r="AN274" s="1714"/>
      <c r="AO274" s="1408"/>
      <c r="AP274" s="2144"/>
      <c r="AQ274" s="2144"/>
      <c r="AR274" s="2144"/>
      <c r="AS274" s="2144"/>
      <c r="AT274" s="2144"/>
      <c r="AU274" s="2144"/>
      <c r="AV274" s="2144"/>
      <c r="AW274" s="2144"/>
      <c r="AX274" s="1378"/>
    </row>
    <row r="275" spans="40:50" ht="22.05" customHeight="1">
      <c r="AN275" s="1715"/>
      <c r="AO275" s="1409"/>
      <c r="AP275" s="1410"/>
      <c r="AQ275" s="1410"/>
      <c r="AR275" s="1410"/>
      <c r="AS275" s="1410"/>
      <c r="AT275" s="1410"/>
      <c r="AU275" s="1410"/>
      <c r="AV275" s="1410"/>
      <c r="AW275" s="1410"/>
      <c r="AX275" s="1411"/>
    </row>
    <row r="276" spans="40:50" ht="22.05" customHeight="1">
      <c r="AN276" s="4" t="s">
        <v>5715</v>
      </c>
      <c r="AO276" s="2147" t="s">
        <v>6018</v>
      </c>
      <c r="AP276" s="1388"/>
      <c r="AQ276" s="1388"/>
      <c r="AR276" s="1388"/>
      <c r="AS276" s="1388"/>
      <c r="AT276" s="1388"/>
      <c r="AU276" s="1388"/>
      <c r="AV276" s="1388"/>
      <c r="AW276" s="1388"/>
      <c r="AX276" s="1389"/>
    </row>
    <row r="277" spans="40:50" ht="22.05" customHeight="1">
      <c r="AN277" s="11" t="s">
        <v>6002</v>
      </c>
      <c r="AO277" s="2146" t="s">
        <v>6019</v>
      </c>
      <c r="AP277" s="1388"/>
      <c r="AQ277" s="1388"/>
      <c r="AR277" s="1388"/>
      <c r="AS277" s="1388"/>
      <c r="AT277" s="1388"/>
      <c r="AU277" s="1388"/>
      <c r="AV277" s="1388"/>
      <c r="AW277" s="1388"/>
      <c r="AX277" s="1389"/>
    </row>
    <row r="278" spans="40:50" ht="22.05" customHeight="1">
      <c r="AN278" s="10" t="s">
        <v>5947</v>
      </c>
      <c r="AO278" s="2146" t="s">
        <v>6020</v>
      </c>
      <c r="AP278" s="1388"/>
      <c r="AQ278" s="1388"/>
      <c r="AR278" s="1388"/>
      <c r="AS278" s="1388"/>
      <c r="AT278" s="1388"/>
      <c r="AU278" s="1388"/>
      <c r="AV278" s="1388"/>
      <c r="AW278" s="1388"/>
      <c r="AX278" s="1389"/>
    </row>
    <row r="279" spans="40:50" ht="22.05" customHeight="1">
      <c r="AN279" s="2149" t="s">
        <v>6021</v>
      </c>
      <c r="AO279" s="1388"/>
      <c r="AP279" s="1388"/>
      <c r="AQ279" s="1388"/>
      <c r="AR279" s="1388"/>
      <c r="AS279" s="1388"/>
      <c r="AT279" s="1388"/>
      <c r="AU279" s="1388"/>
      <c r="AV279" s="1388"/>
      <c r="AW279" s="1388"/>
      <c r="AX279" s="1389"/>
    </row>
    <row r="280" spans="40:50" ht="22.05" customHeight="1">
      <c r="AN280" s="12" t="s">
        <v>5799</v>
      </c>
      <c r="AO280" s="2146" t="s">
        <v>6022</v>
      </c>
      <c r="AP280" s="1388"/>
      <c r="AQ280" s="1388"/>
      <c r="AR280" s="1388"/>
      <c r="AS280" s="1388"/>
      <c r="AT280" s="1388"/>
      <c r="AU280" s="1388"/>
      <c r="AV280" s="1388"/>
      <c r="AW280" s="1388"/>
      <c r="AX280" s="1389"/>
    </row>
    <row r="281" spans="40:50" ht="22.05" customHeight="1">
      <c r="AN281" s="2164" t="s">
        <v>5669</v>
      </c>
      <c r="AO281" s="2147" t="s">
        <v>6023</v>
      </c>
      <c r="AP281" s="1388"/>
      <c r="AQ281" s="1388"/>
      <c r="AR281" s="1388"/>
      <c r="AS281" s="1388"/>
      <c r="AT281" s="1388"/>
      <c r="AU281" s="1388"/>
      <c r="AV281" s="1388"/>
      <c r="AW281" s="1388"/>
      <c r="AX281" s="1389"/>
    </row>
    <row r="282" spans="40:50" ht="22.05" customHeight="1">
      <c r="AN282" s="1714"/>
      <c r="AO282" s="2146" t="s">
        <v>6024</v>
      </c>
      <c r="AP282" s="1388"/>
      <c r="AQ282" s="1388"/>
      <c r="AR282" s="1388"/>
      <c r="AS282" s="1388"/>
      <c r="AT282" s="1388"/>
      <c r="AU282" s="1388"/>
      <c r="AV282" s="1388"/>
      <c r="AW282" s="1388"/>
      <c r="AX282" s="1389"/>
    </row>
    <row r="283" spans="40:50" ht="22.05" customHeight="1">
      <c r="AN283" s="1714"/>
      <c r="AO283" s="2146" t="s">
        <v>6025</v>
      </c>
      <c r="AP283" s="1388"/>
      <c r="AQ283" s="1388"/>
      <c r="AR283" s="1388"/>
      <c r="AS283" s="1388"/>
      <c r="AT283" s="1388"/>
      <c r="AU283" s="1388"/>
      <c r="AV283" s="1388"/>
      <c r="AW283" s="1388"/>
      <c r="AX283" s="1389"/>
    </row>
    <row r="284" spans="40:50" ht="22.05" customHeight="1">
      <c r="AN284" s="1715"/>
      <c r="AO284" s="2146" t="s">
        <v>6026</v>
      </c>
      <c r="AP284" s="1388"/>
      <c r="AQ284" s="1388"/>
      <c r="AR284" s="1388"/>
      <c r="AS284" s="1388"/>
      <c r="AT284" s="1388"/>
      <c r="AU284" s="1388"/>
      <c r="AV284" s="1388"/>
      <c r="AW284" s="1388"/>
      <c r="AX284" s="1389"/>
    </row>
    <row r="285" spans="40:50" ht="22.05" customHeight="1">
      <c r="AN285" s="2148" t="s">
        <v>5696</v>
      </c>
      <c r="AO285" s="2147" t="s">
        <v>6027</v>
      </c>
      <c r="AP285" s="1406"/>
      <c r="AQ285" s="1406"/>
      <c r="AR285" s="1406"/>
      <c r="AS285" s="1406"/>
      <c r="AT285" s="1406"/>
      <c r="AU285" s="1406"/>
      <c r="AV285" s="1406"/>
      <c r="AW285" s="1406"/>
      <c r="AX285" s="1407"/>
    </row>
    <row r="286" spans="40:50" ht="22.05" customHeight="1">
      <c r="AN286" s="1714"/>
      <c r="AO286" s="1408"/>
      <c r="AP286" s="2144"/>
      <c r="AQ286" s="2144"/>
      <c r="AR286" s="2144"/>
      <c r="AS286" s="2144"/>
      <c r="AT286" s="2144"/>
      <c r="AU286" s="2144"/>
      <c r="AV286" s="2144"/>
      <c r="AW286" s="2144"/>
      <c r="AX286" s="1378"/>
    </row>
    <row r="287" spans="40:50" ht="22.05" customHeight="1">
      <c r="AN287" s="1714"/>
      <c r="AO287" s="1408"/>
      <c r="AP287" s="2144"/>
      <c r="AQ287" s="2144"/>
      <c r="AR287" s="2144"/>
      <c r="AS287" s="2144"/>
      <c r="AT287" s="2144"/>
      <c r="AU287" s="2144"/>
      <c r="AV287" s="2144"/>
      <c r="AW287" s="2144"/>
      <c r="AX287" s="1378"/>
    </row>
    <row r="288" spans="40:50" ht="22.05" customHeight="1">
      <c r="AN288" s="1714"/>
      <c r="AO288" s="1408"/>
      <c r="AP288" s="2144"/>
      <c r="AQ288" s="2144"/>
      <c r="AR288" s="2144"/>
      <c r="AS288" s="2144"/>
      <c r="AT288" s="2144"/>
      <c r="AU288" s="2144"/>
      <c r="AV288" s="2144"/>
      <c r="AW288" s="2144"/>
      <c r="AX288" s="1378"/>
    </row>
    <row r="289" spans="40:50" ht="22.05" customHeight="1">
      <c r="AN289" s="1714"/>
      <c r="AO289" s="1408"/>
      <c r="AP289" s="2144"/>
      <c r="AQ289" s="2144"/>
      <c r="AR289" s="2144"/>
      <c r="AS289" s="2144"/>
      <c r="AT289" s="2144"/>
      <c r="AU289" s="2144"/>
      <c r="AV289" s="2144"/>
      <c r="AW289" s="2144"/>
      <c r="AX289" s="1378"/>
    </row>
    <row r="290" spans="40:50" ht="22.05" customHeight="1">
      <c r="AN290" s="1714"/>
      <c r="AO290" s="1408"/>
      <c r="AP290" s="2144"/>
      <c r="AQ290" s="2144"/>
      <c r="AR290" s="2144"/>
      <c r="AS290" s="2144"/>
      <c r="AT290" s="2144"/>
      <c r="AU290" s="2144"/>
      <c r="AV290" s="2144"/>
      <c r="AW290" s="2144"/>
      <c r="AX290" s="1378"/>
    </row>
    <row r="291" spans="40:50" ht="22.05" customHeight="1">
      <c r="AN291" s="1715"/>
      <c r="AO291" s="1409"/>
      <c r="AP291" s="1410"/>
      <c r="AQ291" s="1410"/>
      <c r="AR291" s="1410"/>
      <c r="AS291" s="1410"/>
      <c r="AT291" s="1410"/>
      <c r="AU291" s="1410"/>
      <c r="AV291" s="1410"/>
      <c r="AW291" s="1410"/>
      <c r="AX291" s="1411"/>
    </row>
    <row r="292" spans="40:50" ht="22.05" customHeight="1">
      <c r="AN292" s="4" t="s">
        <v>5868</v>
      </c>
      <c r="AO292" s="2146" t="s">
        <v>6028</v>
      </c>
      <c r="AP292" s="1388"/>
      <c r="AQ292" s="1388"/>
      <c r="AR292" s="1388"/>
      <c r="AS292" s="1388"/>
      <c r="AT292" s="1388"/>
      <c r="AU292" s="1388"/>
      <c r="AV292" s="1388"/>
      <c r="AW292" s="1388"/>
      <c r="AX292" s="1389"/>
    </row>
    <row r="293" spans="40:50" ht="22.05" customHeight="1">
      <c r="AN293" s="2149" t="s">
        <v>6029</v>
      </c>
      <c r="AO293" s="1388"/>
      <c r="AP293" s="1388"/>
      <c r="AQ293" s="1388"/>
      <c r="AR293" s="1388"/>
      <c r="AS293" s="1388"/>
      <c r="AT293" s="1388"/>
      <c r="AU293" s="1388"/>
      <c r="AV293" s="1388"/>
      <c r="AW293" s="1388"/>
      <c r="AX293" s="1389"/>
    </row>
    <row r="294" spans="40:50" ht="22.05" customHeight="1">
      <c r="AN294" s="2148" t="s">
        <v>6030</v>
      </c>
      <c r="AO294" s="2147" t="s">
        <v>6031</v>
      </c>
      <c r="AP294" s="1388"/>
      <c r="AQ294" s="1388"/>
      <c r="AR294" s="1388"/>
      <c r="AS294" s="1388"/>
      <c r="AT294" s="1388"/>
      <c r="AU294" s="1388"/>
      <c r="AV294" s="1388"/>
      <c r="AW294" s="1388"/>
      <c r="AX294" s="1389"/>
    </row>
    <row r="295" spans="40:50" ht="22.05" customHeight="1">
      <c r="AN295" s="1714"/>
      <c r="AO295" s="2147" t="s">
        <v>6032</v>
      </c>
      <c r="AP295" s="1406"/>
      <c r="AQ295" s="1406"/>
      <c r="AR295" s="1406"/>
      <c r="AS295" s="1406"/>
      <c r="AT295" s="1406"/>
      <c r="AU295" s="1406"/>
      <c r="AV295" s="1406"/>
      <c r="AW295" s="1406"/>
      <c r="AX295" s="1407"/>
    </row>
    <row r="296" spans="40:50" ht="22.05" customHeight="1">
      <c r="AN296" s="1714"/>
      <c r="AO296" s="1408"/>
      <c r="AP296" s="2144"/>
      <c r="AQ296" s="2144"/>
      <c r="AR296" s="2144"/>
      <c r="AS296" s="2144"/>
      <c r="AT296" s="2144"/>
      <c r="AU296" s="2144"/>
      <c r="AV296" s="2144"/>
      <c r="AW296" s="2144"/>
      <c r="AX296" s="1378"/>
    </row>
    <row r="297" spans="40:50" ht="22.05" customHeight="1">
      <c r="AN297" s="1714"/>
      <c r="AO297" s="1408"/>
      <c r="AP297" s="2144"/>
      <c r="AQ297" s="2144"/>
      <c r="AR297" s="2144"/>
      <c r="AS297" s="2144"/>
      <c r="AT297" s="2144"/>
      <c r="AU297" s="2144"/>
      <c r="AV297" s="2144"/>
      <c r="AW297" s="2144"/>
      <c r="AX297" s="1378"/>
    </row>
    <row r="298" spans="40:50" ht="22.05" customHeight="1">
      <c r="AN298" s="1714"/>
      <c r="AO298" s="1409"/>
      <c r="AP298" s="1410"/>
      <c r="AQ298" s="1410"/>
      <c r="AR298" s="1410"/>
      <c r="AS298" s="1410"/>
      <c r="AT298" s="1410"/>
      <c r="AU298" s="1410"/>
      <c r="AV298" s="1410"/>
      <c r="AW298" s="1410"/>
      <c r="AX298" s="1411"/>
    </row>
    <row r="299" spans="40:50" ht="22.05" customHeight="1">
      <c r="AN299" s="1714"/>
      <c r="AO299" s="2147" t="s">
        <v>6033</v>
      </c>
      <c r="AP299" s="1388"/>
      <c r="AQ299" s="1388"/>
      <c r="AR299" s="1388"/>
      <c r="AS299" s="1388"/>
      <c r="AT299" s="1388"/>
      <c r="AU299" s="1388"/>
      <c r="AV299" s="1388"/>
      <c r="AW299" s="1388"/>
      <c r="AX299" s="1389"/>
    </row>
    <row r="300" spans="40:50" ht="22.05" customHeight="1">
      <c r="AN300" s="1714"/>
      <c r="AO300" s="2146" t="s">
        <v>6034</v>
      </c>
      <c r="AP300" s="1388"/>
      <c r="AQ300" s="1388"/>
      <c r="AR300" s="1388"/>
      <c r="AS300" s="1388"/>
      <c r="AT300" s="1388"/>
      <c r="AU300" s="1388"/>
      <c r="AV300" s="1388"/>
      <c r="AW300" s="1388"/>
      <c r="AX300" s="1389"/>
    </row>
    <row r="301" spans="40:50" ht="22.05" customHeight="1">
      <c r="AN301" s="1714"/>
      <c r="AO301" s="2146" t="s">
        <v>6035</v>
      </c>
      <c r="AP301" s="1388"/>
      <c r="AQ301" s="1388"/>
      <c r="AR301" s="1388"/>
      <c r="AS301" s="1388"/>
      <c r="AT301" s="1388"/>
      <c r="AU301" s="1388"/>
      <c r="AV301" s="1388"/>
      <c r="AW301" s="1388"/>
      <c r="AX301" s="1389"/>
    </row>
    <row r="302" spans="40:50" ht="22.05" customHeight="1">
      <c r="AN302" s="1714"/>
      <c r="AO302" s="2146" t="s">
        <v>6036</v>
      </c>
      <c r="AP302" s="1388"/>
      <c r="AQ302" s="1388"/>
      <c r="AR302" s="1388"/>
      <c r="AS302" s="1388"/>
      <c r="AT302" s="1388"/>
      <c r="AU302" s="1388"/>
      <c r="AV302" s="1388"/>
      <c r="AW302" s="1388"/>
      <c r="AX302" s="1389"/>
    </row>
    <row r="303" spans="40:50" ht="22.05" customHeight="1">
      <c r="AN303" s="1714"/>
      <c r="AO303" s="2147" t="s">
        <v>6037</v>
      </c>
      <c r="AP303" s="1406"/>
      <c r="AQ303" s="1406"/>
      <c r="AR303" s="1406"/>
      <c r="AS303" s="1406"/>
      <c r="AT303" s="1406"/>
      <c r="AU303" s="1406"/>
      <c r="AV303" s="1406"/>
      <c r="AW303" s="1406"/>
      <c r="AX303" s="1407"/>
    </row>
    <row r="304" spans="40:50" ht="22.05" customHeight="1">
      <c r="AN304" s="1714"/>
      <c r="AO304" s="1409"/>
      <c r="AP304" s="1410"/>
      <c r="AQ304" s="1410"/>
      <c r="AR304" s="1410"/>
      <c r="AS304" s="1410"/>
      <c r="AT304" s="1410"/>
      <c r="AU304" s="1410"/>
      <c r="AV304" s="1410"/>
      <c r="AW304" s="1410"/>
      <c r="AX304" s="1411"/>
    </row>
    <row r="305" spans="40:50" ht="22.05" customHeight="1">
      <c r="AN305" s="1714"/>
      <c r="AO305" s="2147" t="s">
        <v>6038</v>
      </c>
      <c r="AP305" s="1388"/>
      <c r="AQ305" s="1388"/>
      <c r="AR305" s="1388"/>
      <c r="AS305" s="1388"/>
      <c r="AT305" s="1388"/>
      <c r="AU305" s="1388"/>
      <c r="AV305" s="1388"/>
      <c r="AW305" s="1388"/>
      <c r="AX305" s="1389"/>
    </row>
    <row r="306" spans="40:50" ht="22.05" customHeight="1">
      <c r="AN306" s="1714"/>
      <c r="AO306" s="2147" t="s">
        <v>6039</v>
      </c>
      <c r="AP306" s="1388"/>
      <c r="AQ306" s="1388"/>
      <c r="AR306" s="1388"/>
      <c r="AS306" s="1388"/>
      <c r="AT306" s="1388"/>
      <c r="AU306" s="1388"/>
      <c r="AV306" s="1388"/>
      <c r="AW306" s="1388"/>
      <c r="AX306" s="1389"/>
    </row>
    <row r="307" spans="40:50" ht="22.05" customHeight="1">
      <c r="AN307" s="1714"/>
      <c r="AO307" s="2146" t="s">
        <v>6040</v>
      </c>
      <c r="AP307" s="1388"/>
      <c r="AQ307" s="1388"/>
      <c r="AR307" s="1388"/>
      <c r="AS307" s="1388"/>
      <c r="AT307" s="1388"/>
      <c r="AU307" s="1388"/>
      <c r="AV307" s="1388"/>
      <c r="AW307" s="1388"/>
      <c r="AX307" s="1389"/>
    </row>
    <row r="308" spans="40:50" ht="22.05" customHeight="1">
      <c r="AN308" s="1714"/>
      <c r="AO308" s="2147" t="s">
        <v>6041</v>
      </c>
      <c r="AP308" s="1406"/>
      <c r="AQ308" s="1406"/>
      <c r="AR308" s="1406"/>
      <c r="AS308" s="1406"/>
      <c r="AT308" s="1406"/>
      <c r="AU308" s="1406"/>
      <c r="AV308" s="1406"/>
      <c r="AW308" s="1406"/>
      <c r="AX308" s="1407"/>
    </row>
    <row r="309" spans="40:50" ht="22.05" customHeight="1">
      <c r="AN309" s="1715"/>
      <c r="AO309" s="1409"/>
      <c r="AP309" s="1410"/>
      <c r="AQ309" s="1410"/>
      <c r="AR309" s="1410"/>
      <c r="AS309" s="1410"/>
      <c r="AT309" s="1410"/>
      <c r="AU309" s="1410"/>
      <c r="AV309" s="1410"/>
      <c r="AW309" s="1410"/>
      <c r="AX309" s="1411"/>
    </row>
    <row r="310" spans="40:50" ht="22.05" customHeight="1">
      <c r="AN310" s="2148" t="s">
        <v>5696</v>
      </c>
      <c r="AO310" s="2146" t="s">
        <v>6042</v>
      </c>
      <c r="AP310" s="1388"/>
      <c r="AQ310" s="1388"/>
      <c r="AR310" s="1388"/>
      <c r="AS310" s="1388"/>
      <c r="AT310" s="1388"/>
      <c r="AU310" s="1388"/>
      <c r="AV310" s="1388"/>
      <c r="AW310" s="1388"/>
      <c r="AX310" s="1389"/>
    </row>
    <row r="311" spans="40:50" ht="22.05" customHeight="1">
      <c r="AN311" s="1714"/>
      <c r="AO311" s="2147" t="s">
        <v>6043</v>
      </c>
      <c r="AP311" s="1406"/>
      <c r="AQ311" s="1406"/>
      <c r="AR311" s="1406"/>
      <c r="AS311" s="1406"/>
      <c r="AT311" s="1406"/>
      <c r="AU311" s="1406"/>
      <c r="AV311" s="1406"/>
      <c r="AW311" s="1406"/>
      <c r="AX311" s="1407"/>
    </row>
    <row r="312" spans="40:50" ht="22.05" customHeight="1">
      <c r="AN312" s="1714"/>
      <c r="AO312" s="1409"/>
      <c r="AP312" s="1410"/>
      <c r="AQ312" s="1410"/>
      <c r="AR312" s="1410"/>
      <c r="AS312" s="1410"/>
      <c r="AT312" s="1410"/>
      <c r="AU312" s="1410"/>
      <c r="AV312" s="1410"/>
      <c r="AW312" s="1410"/>
      <c r="AX312" s="1411"/>
    </row>
    <row r="313" spans="40:50" ht="22.05" customHeight="1">
      <c r="AN313" s="1715"/>
      <c r="AO313" s="2146" t="s">
        <v>6044</v>
      </c>
      <c r="AP313" s="1388"/>
      <c r="AQ313" s="1388"/>
      <c r="AR313" s="1388"/>
      <c r="AS313" s="1388"/>
      <c r="AT313" s="1388"/>
      <c r="AU313" s="1388"/>
      <c r="AV313" s="1388"/>
      <c r="AW313" s="1388"/>
      <c r="AX313" s="1389"/>
    </row>
    <row r="314" spans="40:50" ht="22.05" customHeight="1">
      <c r="AN314" s="2178" t="s">
        <v>5849</v>
      </c>
      <c r="AO314" s="2146" t="s">
        <v>6045</v>
      </c>
      <c r="AP314" s="1388"/>
      <c r="AQ314" s="1388"/>
      <c r="AR314" s="1388"/>
      <c r="AS314" s="1388"/>
      <c r="AT314" s="1388"/>
      <c r="AU314" s="1388"/>
      <c r="AV314" s="1388"/>
      <c r="AW314" s="1388"/>
      <c r="AX314" s="1389"/>
    </row>
    <row r="315" spans="40:50" ht="22.05" customHeight="1">
      <c r="AN315" s="1715"/>
      <c r="AO315" s="2146" t="s">
        <v>6046</v>
      </c>
      <c r="AP315" s="1388"/>
      <c r="AQ315" s="1388"/>
      <c r="AR315" s="1388"/>
      <c r="AS315" s="1388"/>
      <c r="AT315" s="1388"/>
      <c r="AU315" s="1388"/>
      <c r="AV315" s="1388"/>
      <c r="AW315" s="1388"/>
      <c r="AX315" s="1389"/>
    </row>
    <row r="316" spans="40:50" ht="22.05" customHeight="1">
      <c r="AN316" s="11" t="s">
        <v>6002</v>
      </c>
      <c r="AO316" s="2146" t="s">
        <v>6047</v>
      </c>
      <c r="AP316" s="1388"/>
      <c r="AQ316" s="1388"/>
      <c r="AR316" s="1388"/>
      <c r="AS316" s="1388"/>
      <c r="AT316" s="1388"/>
      <c r="AU316" s="1388"/>
      <c r="AV316" s="1388"/>
      <c r="AW316" s="1388"/>
      <c r="AX316" s="1389"/>
    </row>
    <row r="317" spans="40:50" ht="22.05" customHeight="1">
      <c r="AN317" s="2148" t="s">
        <v>6048</v>
      </c>
      <c r="AO317" s="2147" t="s">
        <v>6049</v>
      </c>
      <c r="AP317" s="1406"/>
      <c r="AQ317" s="1406"/>
      <c r="AR317" s="1406"/>
      <c r="AS317" s="1406"/>
      <c r="AT317" s="1406"/>
      <c r="AU317" s="1406"/>
      <c r="AV317" s="1406"/>
      <c r="AW317" s="1406"/>
      <c r="AX317" s="1407"/>
    </row>
    <row r="318" spans="40:50" ht="22.05" customHeight="1">
      <c r="AN318" s="1714"/>
      <c r="AO318" s="1408"/>
      <c r="AP318" s="2144"/>
      <c r="AQ318" s="2144"/>
      <c r="AR318" s="2144"/>
      <c r="AS318" s="2144"/>
      <c r="AT318" s="2144"/>
      <c r="AU318" s="2144"/>
      <c r="AV318" s="2144"/>
      <c r="AW318" s="2144"/>
      <c r="AX318" s="1378"/>
    </row>
    <row r="319" spans="40:50" ht="22.05" customHeight="1">
      <c r="AN319" s="1714"/>
      <c r="AO319" s="1408"/>
      <c r="AP319" s="2144"/>
      <c r="AQ319" s="2144"/>
      <c r="AR319" s="2144"/>
      <c r="AS319" s="2144"/>
      <c r="AT319" s="2144"/>
      <c r="AU319" s="2144"/>
      <c r="AV319" s="2144"/>
      <c r="AW319" s="2144"/>
      <c r="AX319" s="1378"/>
    </row>
    <row r="320" spans="40:50" ht="22.05" customHeight="1">
      <c r="AN320" s="1714"/>
      <c r="AO320" s="1408"/>
      <c r="AP320" s="2144"/>
      <c r="AQ320" s="2144"/>
      <c r="AR320" s="2144"/>
      <c r="AS320" s="2144"/>
      <c r="AT320" s="2144"/>
      <c r="AU320" s="2144"/>
      <c r="AV320" s="2144"/>
      <c r="AW320" s="2144"/>
      <c r="AX320" s="1378"/>
    </row>
    <row r="321" spans="40:50" ht="22.05" customHeight="1">
      <c r="AN321" s="1715"/>
      <c r="AO321" s="1409"/>
      <c r="AP321" s="1410"/>
      <c r="AQ321" s="1410"/>
      <c r="AR321" s="1410"/>
      <c r="AS321" s="1410"/>
      <c r="AT321" s="1410"/>
      <c r="AU321" s="1410"/>
      <c r="AV321" s="1410"/>
      <c r="AW321" s="1410"/>
      <c r="AX321" s="1411"/>
    </row>
    <row r="322" spans="40:50" ht="22.05" customHeight="1">
      <c r="AN322" s="2148" t="s">
        <v>6050</v>
      </c>
      <c r="AO322" s="2147" t="s">
        <v>6051</v>
      </c>
      <c r="AP322" s="1406"/>
      <c r="AQ322" s="1406"/>
      <c r="AR322" s="1406"/>
      <c r="AS322" s="1406"/>
      <c r="AT322" s="1406"/>
      <c r="AU322" s="1406"/>
      <c r="AV322" s="1406"/>
      <c r="AW322" s="1406"/>
      <c r="AX322" s="1407"/>
    </row>
    <row r="323" spans="40:50" ht="22.05" customHeight="1">
      <c r="AN323" s="1714"/>
      <c r="AO323" s="1408"/>
      <c r="AP323" s="2144"/>
      <c r="AQ323" s="2144"/>
      <c r="AR323" s="2144"/>
      <c r="AS323" s="2144"/>
      <c r="AT323" s="2144"/>
      <c r="AU323" s="2144"/>
      <c r="AV323" s="2144"/>
      <c r="AW323" s="2144"/>
      <c r="AX323" s="1378"/>
    </row>
    <row r="324" spans="40:50" ht="22.05" customHeight="1">
      <c r="AN324" s="1714"/>
      <c r="AO324" s="1408"/>
      <c r="AP324" s="2144"/>
      <c r="AQ324" s="2144"/>
      <c r="AR324" s="2144"/>
      <c r="AS324" s="2144"/>
      <c r="AT324" s="2144"/>
      <c r="AU324" s="2144"/>
      <c r="AV324" s="2144"/>
      <c r="AW324" s="2144"/>
      <c r="AX324" s="1378"/>
    </row>
    <row r="325" spans="40:50" ht="22.05" customHeight="1">
      <c r="AN325" s="1714"/>
      <c r="AO325" s="1408"/>
      <c r="AP325" s="2144"/>
      <c r="AQ325" s="2144"/>
      <c r="AR325" s="2144"/>
      <c r="AS325" s="2144"/>
      <c r="AT325" s="2144"/>
      <c r="AU325" s="2144"/>
      <c r="AV325" s="2144"/>
      <c r="AW325" s="2144"/>
      <c r="AX325" s="1378"/>
    </row>
    <row r="326" spans="40:50" ht="22.05" customHeight="1">
      <c r="AN326" s="1714"/>
      <c r="AO326" s="1408"/>
      <c r="AP326" s="2144"/>
      <c r="AQ326" s="2144"/>
      <c r="AR326" s="2144"/>
      <c r="AS326" s="2144"/>
      <c r="AT326" s="2144"/>
      <c r="AU326" s="2144"/>
      <c r="AV326" s="2144"/>
      <c r="AW326" s="2144"/>
      <c r="AX326" s="1378"/>
    </row>
    <row r="327" spans="40:50" ht="22.05" customHeight="1">
      <c r="AN327" s="1715"/>
      <c r="AO327" s="1409"/>
      <c r="AP327" s="1410"/>
      <c r="AQ327" s="1410"/>
      <c r="AR327" s="1410"/>
      <c r="AS327" s="1410"/>
      <c r="AT327" s="1410"/>
      <c r="AU327" s="1410"/>
      <c r="AV327" s="1410"/>
      <c r="AW327" s="1410"/>
      <c r="AX327" s="1411"/>
    </row>
    <row r="328" spans="40:50" ht="22.05" customHeight="1">
      <c r="AN328" s="2149" t="s">
        <v>6052</v>
      </c>
      <c r="AO328" s="1388"/>
      <c r="AP328" s="1388"/>
      <c r="AQ328" s="1388"/>
      <c r="AR328" s="1388"/>
      <c r="AS328" s="1388"/>
      <c r="AT328" s="1388"/>
      <c r="AU328" s="1388"/>
      <c r="AV328" s="1388"/>
      <c r="AW328" s="1388"/>
      <c r="AX328" s="1389"/>
    </row>
    <row r="329" spans="40:50" ht="22.05" customHeight="1">
      <c r="AN329" s="13" t="s">
        <v>5799</v>
      </c>
      <c r="AO329" s="2146" t="s">
        <v>6053</v>
      </c>
      <c r="AP329" s="1388"/>
      <c r="AQ329" s="1388"/>
      <c r="AR329" s="1388"/>
      <c r="AS329" s="1388"/>
      <c r="AT329" s="1388"/>
      <c r="AU329" s="1388"/>
      <c r="AV329" s="1388"/>
      <c r="AW329" s="1388"/>
      <c r="AX329" s="1389"/>
    </row>
    <row r="330" spans="40:50" ht="22.05" customHeight="1">
      <c r="AN330" s="2148" t="s">
        <v>6054</v>
      </c>
      <c r="AO330" s="2146" t="s">
        <v>6055</v>
      </c>
      <c r="AP330" s="1388"/>
      <c r="AQ330" s="1388"/>
      <c r="AR330" s="1388"/>
      <c r="AS330" s="1388"/>
      <c r="AT330" s="1388"/>
      <c r="AU330" s="1388"/>
      <c r="AV330" s="1388"/>
      <c r="AW330" s="1388"/>
      <c r="AX330" s="1389"/>
    </row>
    <row r="331" spans="40:50" ht="22.05" customHeight="1">
      <c r="AN331" s="1714"/>
      <c r="AO331" s="2146" t="s">
        <v>6056</v>
      </c>
      <c r="AP331" s="1388"/>
      <c r="AQ331" s="1388"/>
      <c r="AR331" s="1388"/>
      <c r="AS331" s="1388"/>
      <c r="AT331" s="1388"/>
      <c r="AU331" s="1388"/>
      <c r="AV331" s="1388"/>
      <c r="AW331" s="1388"/>
      <c r="AX331" s="1389"/>
    </row>
    <row r="332" spans="40:50" ht="22.05" customHeight="1">
      <c r="AN332" s="1714"/>
      <c r="AO332" s="2146" t="s">
        <v>6057</v>
      </c>
      <c r="AP332" s="1388"/>
      <c r="AQ332" s="1388"/>
      <c r="AR332" s="1388"/>
      <c r="AS332" s="1388"/>
      <c r="AT332" s="1388"/>
      <c r="AU332" s="1388"/>
      <c r="AV332" s="1388"/>
      <c r="AW332" s="1388"/>
      <c r="AX332" s="1389"/>
    </row>
    <row r="333" spans="40:50" ht="22.05" customHeight="1">
      <c r="AN333" s="1714"/>
      <c r="AO333" s="2147" t="s">
        <v>6058</v>
      </c>
      <c r="AP333" s="1406"/>
      <c r="AQ333" s="1406"/>
      <c r="AR333" s="1406"/>
      <c r="AS333" s="1406"/>
      <c r="AT333" s="1406"/>
      <c r="AU333" s="1406"/>
      <c r="AV333" s="1406"/>
      <c r="AW333" s="1406"/>
      <c r="AX333" s="1407"/>
    </row>
    <row r="334" spans="40:50" ht="22.05" customHeight="1">
      <c r="AN334" s="1714"/>
      <c r="AO334" s="1408"/>
      <c r="AP334" s="2144"/>
      <c r="AQ334" s="2144"/>
      <c r="AR334" s="2144"/>
      <c r="AS334" s="2144"/>
      <c r="AT334" s="2144"/>
      <c r="AU334" s="2144"/>
      <c r="AV334" s="2144"/>
      <c r="AW334" s="2144"/>
      <c r="AX334" s="1378"/>
    </row>
    <row r="335" spans="40:50" ht="22.05" customHeight="1">
      <c r="AN335" s="1714"/>
      <c r="AO335" s="1409"/>
      <c r="AP335" s="1410"/>
      <c r="AQ335" s="1410"/>
      <c r="AR335" s="1410"/>
      <c r="AS335" s="1410"/>
      <c r="AT335" s="1410"/>
      <c r="AU335" s="1410"/>
      <c r="AV335" s="1410"/>
      <c r="AW335" s="1410"/>
      <c r="AX335" s="1411"/>
    </row>
    <row r="336" spans="40:50" ht="22.05" customHeight="1">
      <c r="AN336" s="1714"/>
      <c r="AO336" s="2146" t="s">
        <v>6059</v>
      </c>
      <c r="AP336" s="1388"/>
      <c r="AQ336" s="1388"/>
      <c r="AR336" s="1388"/>
      <c r="AS336" s="1388"/>
      <c r="AT336" s="1388"/>
      <c r="AU336" s="1388"/>
      <c r="AV336" s="1388"/>
      <c r="AW336" s="1388"/>
      <c r="AX336" s="1389"/>
    </row>
    <row r="337" spans="40:50" ht="22.05" customHeight="1">
      <c r="AN337" s="1714"/>
      <c r="AO337" s="2146" t="s">
        <v>6060</v>
      </c>
      <c r="AP337" s="1388"/>
      <c r="AQ337" s="1388"/>
      <c r="AR337" s="1388"/>
      <c r="AS337" s="1388"/>
      <c r="AT337" s="1388"/>
      <c r="AU337" s="1388"/>
      <c r="AV337" s="1388"/>
      <c r="AW337" s="1388"/>
      <c r="AX337" s="1389"/>
    </row>
    <row r="338" spans="40:50" ht="22.05" customHeight="1">
      <c r="AN338" s="1714"/>
      <c r="AO338" s="2146" t="s">
        <v>6061</v>
      </c>
      <c r="AP338" s="1388"/>
      <c r="AQ338" s="1388"/>
      <c r="AR338" s="1388"/>
      <c r="AS338" s="1388"/>
      <c r="AT338" s="1388"/>
      <c r="AU338" s="1388"/>
      <c r="AV338" s="1388"/>
      <c r="AW338" s="1388"/>
      <c r="AX338" s="1389"/>
    </row>
    <row r="339" spans="40:50" ht="22.05" customHeight="1">
      <c r="AN339" s="1714"/>
      <c r="AO339" s="2147" t="s">
        <v>6062</v>
      </c>
      <c r="AP339" s="1406"/>
      <c r="AQ339" s="1406"/>
      <c r="AR339" s="1406"/>
      <c r="AS339" s="1406"/>
      <c r="AT339" s="1406"/>
      <c r="AU339" s="1406"/>
      <c r="AV339" s="1406"/>
      <c r="AW339" s="1406"/>
      <c r="AX339" s="1407"/>
    </row>
    <row r="340" spans="40:50" ht="22.05" customHeight="1">
      <c r="AN340" s="1714"/>
      <c r="AO340" s="1409"/>
      <c r="AP340" s="1410"/>
      <c r="AQ340" s="1410"/>
      <c r="AR340" s="1410"/>
      <c r="AS340" s="1410"/>
      <c r="AT340" s="1410"/>
      <c r="AU340" s="1410"/>
      <c r="AV340" s="1410"/>
      <c r="AW340" s="1410"/>
      <c r="AX340" s="1411"/>
    </row>
    <row r="341" spans="40:50" ht="22.05" customHeight="1">
      <c r="AN341" s="1714"/>
      <c r="AO341" s="2146" t="s">
        <v>6063</v>
      </c>
      <c r="AP341" s="1388"/>
      <c r="AQ341" s="1388"/>
      <c r="AR341" s="1388"/>
      <c r="AS341" s="1388"/>
      <c r="AT341" s="1388"/>
      <c r="AU341" s="1388"/>
      <c r="AV341" s="1388"/>
      <c r="AW341" s="1388"/>
      <c r="AX341" s="1389"/>
    </row>
    <row r="342" spans="40:50" ht="22.05" customHeight="1">
      <c r="AN342" s="1714"/>
      <c r="AO342" s="2147" t="s">
        <v>6064</v>
      </c>
      <c r="AP342" s="1406"/>
      <c r="AQ342" s="1406"/>
      <c r="AR342" s="1406"/>
      <c r="AS342" s="1406"/>
      <c r="AT342" s="1406"/>
      <c r="AU342" s="1406"/>
      <c r="AV342" s="1406"/>
      <c r="AW342" s="1406"/>
      <c r="AX342" s="1407"/>
    </row>
    <row r="343" spans="40:50" ht="22.05" customHeight="1">
      <c r="AN343" s="1714"/>
      <c r="AO343" s="1409"/>
      <c r="AP343" s="1410"/>
      <c r="AQ343" s="1410"/>
      <c r="AR343" s="1410"/>
      <c r="AS343" s="1410"/>
      <c r="AT343" s="1410"/>
      <c r="AU343" s="1410"/>
      <c r="AV343" s="1410"/>
      <c r="AW343" s="1410"/>
      <c r="AX343" s="1411"/>
    </row>
    <row r="344" spans="40:50" ht="22.05" customHeight="1">
      <c r="AN344" s="1714"/>
      <c r="AO344" s="2146" t="s">
        <v>6065</v>
      </c>
      <c r="AP344" s="1388"/>
      <c r="AQ344" s="1388"/>
      <c r="AR344" s="1388"/>
      <c r="AS344" s="1388"/>
      <c r="AT344" s="1388"/>
      <c r="AU344" s="1388"/>
      <c r="AV344" s="1388"/>
      <c r="AW344" s="1388"/>
      <c r="AX344" s="1389"/>
    </row>
    <row r="345" spans="40:50" ht="22.05" customHeight="1">
      <c r="AN345" s="1714"/>
      <c r="AO345" s="2146" t="s">
        <v>6066</v>
      </c>
      <c r="AP345" s="1388"/>
      <c r="AQ345" s="1388"/>
      <c r="AR345" s="1388"/>
      <c r="AS345" s="1388"/>
      <c r="AT345" s="1388"/>
      <c r="AU345" s="1388"/>
      <c r="AV345" s="1388"/>
      <c r="AW345" s="1388"/>
      <c r="AX345" s="1389"/>
    </row>
    <row r="346" spans="40:50" ht="22.05" customHeight="1">
      <c r="AN346" s="1714"/>
      <c r="AO346" s="2147" t="s">
        <v>6067</v>
      </c>
      <c r="AP346" s="1406"/>
      <c r="AQ346" s="1406"/>
      <c r="AR346" s="1406"/>
      <c r="AS346" s="1406"/>
      <c r="AT346" s="1406"/>
      <c r="AU346" s="1406"/>
      <c r="AV346" s="1406"/>
      <c r="AW346" s="1406"/>
      <c r="AX346" s="1407"/>
    </row>
    <row r="347" spans="40:50" ht="22.05" customHeight="1">
      <c r="AN347" s="1714"/>
      <c r="AO347" s="1409"/>
      <c r="AP347" s="1410"/>
      <c r="AQ347" s="1410"/>
      <c r="AR347" s="1410"/>
      <c r="AS347" s="1410"/>
      <c r="AT347" s="1410"/>
      <c r="AU347" s="1410"/>
      <c r="AV347" s="1410"/>
      <c r="AW347" s="1410"/>
      <c r="AX347" s="1411"/>
    </row>
    <row r="348" spans="40:50" ht="22.05" customHeight="1">
      <c r="AN348" s="1715"/>
      <c r="AO348" s="2146" t="s">
        <v>6068</v>
      </c>
      <c r="AP348" s="1388"/>
      <c r="AQ348" s="1388"/>
      <c r="AR348" s="1388"/>
      <c r="AS348" s="1388"/>
      <c r="AT348" s="1388"/>
      <c r="AU348" s="1388"/>
      <c r="AV348" s="1388"/>
      <c r="AW348" s="1388"/>
      <c r="AX348" s="1389"/>
    </row>
    <row r="349" spans="40:50" ht="22.05" customHeight="1">
      <c r="AN349" s="2178" t="s">
        <v>6002</v>
      </c>
      <c r="AO349" s="2147" t="s">
        <v>6069</v>
      </c>
      <c r="AP349" s="1406"/>
      <c r="AQ349" s="1406"/>
      <c r="AR349" s="1406"/>
      <c r="AS349" s="1406"/>
      <c r="AT349" s="1406"/>
      <c r="AU349" s="1406"/>
      <c r="AV349" s="1406"/>
      <c r="AW349" s="1406"/>
      <c r="AX349" s="1407"/>
    </row>
    <row r="350" spans="40:50" ht="22.05" customHeight="1">
      <c r="AN350" s="1715"/>
      <c r="AO350" s="1409"/>
      <c r="AP350" s="1410"/>
      <c r="AQ350" s="1410"/>
      <c r="AR350" s="1410"/>
      <c r="AS350" s="1410"/>
      <c r="AT350" s="1410"/>
      <c r="AU350" s="1410"/>
      <c r="AV350" s="1410"/>
      <c r="AW350" s="1410"/>
      <c r="AX350" s="1411"/>
    </row>
    <row r="351" spans="40:50" ht="22.05" customHeight="1">
      <c r="AN351" s="2184" t="s">
        <v>6070</v>
      </c>
      <c r="AO351" s="2147" t="s">
        <v>6071</v>
      </c>
      <c r="AP351" s="1406"/>
      <c r="AQ351" s="1406"/>
      <c r="AR351" s="1406"/>
      <c r="AS351" s="1406"/>
      <c r="AT351" s="1406"/>
      <c r="AU351" s="1406"/>
      <c r="AV351" s="1406"/>
      <c r="AW351" s="1406"/>
      <c r="AX351" s="1407"/>
    </row>
    <row r="352" spans="40:50" ht="22.05" customHeight="1">
      <c r="AN352" s="1715"/>
      <c r="AO352" s="1409"/>
      <c r="AP352" s="1410"/>
      <c r="AQ352" s="1410"/>
      <c r="AR352" s="1410"/>
      <c r="AS352" s="1410"/>
      <c r="AT352" s="1410"/>
      <c r="AU352" s="1410"/>
      <c r="AV352" s="1410"/>
      <c r="AW352" s="1410"/>
      <c r="AX352" s="1411"/>
    </row>
    <row r="353" spans="40:50" ht="22.05" customHeight="1">
      <c r="AN353" s="2149" t="s">
        <v>6072</v>
      </c>
      <c r="AO353" s="1388"/>
      <c r="AP353" s="1388"/>
      <c r="AQ353" s="1388"/>
      <c r="AR353" s="1388"/>
      <c r="AS353" s="1388"/>
      <c r="AT353" s="1388"/>
      <c r="AU353" s="1388"/>
      <c r="AV353" s="1388"/>
      <c r="AW353" s="1388"/>
      <c r="AX353" s="1389"/>
    </row>
    <row r="354" spans="40:50" ht="22.05" customHeight="1">
      <c r="AN354" s="2148" t="s">
        <v>6054</v>
      </c>
      <c r="AO354" s="2147" t="s">
        <v>6073</v>
      </c>
      <c r="AP354" s="1406"/>
      <c r="AQ354" s="1406"/>
      <c r="AR354" s="1406"/>
      <c r="AS354" s="1406"/>
      <c r="AT354" s="1406"/>
      <c r="AU354" s="1406"/>
      <c r="AV354" s="1406"/>
      <c r="AW354" s="1406"/>
      <c r="AX354" s="1407"/>
    </row>
    <row r="355" spans="40:50" ht="22.05" customHeight="1">
      <c r="AN355" s="1714"/>
      <c r="AO355" s="1409"/>
      <c r="AP355" s="1410"/>
      <c r="AQ355" s="1410"/>
      <c r="AR355" s="1410"/>
      <c r="AS355" s="1410"/>
      <c r="AT355" s="1410"/>
      <c r="AU355" s="1410"/>
      <c r="AV355" s="1410"/>
      <c r="AW355" s="1410"/>
      <c r="AX355" s="1411"/>
    </row>
    <row r="356" spans="40:50" ht="22.05" customHeight="1">
      <c r="AN356" s="1714"/>
      <c r="AO356" s="2146" t="s">
        <v>6074</v>
      </c>
      <c r="AP356" s="1388"/>
      <c r="AQ356" s="1388"/>
      <c r="AR356" s="1388"/>
      <c r="AS356" s="1388"/>
      <c r="AT356" s="1388"/>
      <c r="AU356" s="1388"/>
      <c r="AV356" s="1388"/>
      <c r="AW356" s="1388"/>
      <c r="AX356" s="1389"/>
    </row>
    <row r="357" spans="40:50" ht="22.05" customHeight="1">
      <c r="AN357" s="1714"/>
      <c r="AO357" s="2146" t="s">
        <v>6075</v>
      </c>
      <c r="AP357" s="1388"/>
      <c r="AQ357" s="1388"/>
      <c r="AR357" s="1388"/>
      <c r="AS357" s="1388"/>
      <c r="AT357" s="1388"/>
      <c r="AU357" s="1388"/>
      <c r="AV357" s="1388"/>
      <c r="AW357" s="1388"/>
      <c r="AX357" s="1389"/>
    </row>
    <row r="358" spans="40:50" ht="22.05" customHeight="1">
      <c r="AN358" s="1714"/>
      <c r="AO358" s="2147" t="s">
        <v>6076</v>
      </c>
      <c r="AP358" s="1406"/>
      <c r="AQ358" s="1406"/>
      <c r="AR358" s="1406"/>
      <c r="AS358" s="1406"/>
      <c r="AT358" s="1406"/>
      <c r="AU358" s="1406"/>
      <c r="AV358" s="1406"/>
      <c r="AW358" s="1406"/>
      <c r="AX358" s="1407"/>
    </row>
    <row r="359" spans="40:50" ht="22.05" customHeight="1">
      <c r="AN359" s="1714"/>
      <c r="AO359" s="1408"/>
      <c r="AP359" s="2144"/>
      <c r="AQ359" s="2144"/>
      <c r="AR359" s="2144"/>
      <c r="AS359" s="2144"/>
      <c r="AT359" s="2144"/>
      <c r="AU359" s="2144"/>
      <c r="AV359" s="2144"/>
      <c r="AW359" s="2144"/>
      <c r="AX359" s="1378"/>
    </row>
    <row r="360" spans="40:50" ht="22.05" customHeight="1">
      <c r="AN360" s="1714"/>
      <c r="AO360" s="1409"/>
      <c r="AP360" s="1410"/>
      <c r="AQ360" s="1410"/>
      <c r="AR360" s="1410"/>
      <c r="AS360" s="1410"/>
      <c r="AT360" s="1410"/>
      <c r="AU360" s="1410"/>
      <c r="AV360" s="1410"/>
      <c r="AW360" s="1410"/>
      <c r="AX360" s="1411"/>
    </row>
    <row r="361" spans="40:50" ht="22.05" customHeight="1">
      <c r="AN361" s="1714"/>
      <c r="AO361" s="2146" t="s">
        <v>6077</v>
      </c>
      <c r="AP361" s="1388"/>
      <c r="AQ361" s="1388"/>
      <c r="AR361" s="1388"/>
      <c r="AS361" s="1388"/>
      <c r="AT361" s="1388"/>
      <c r="AU361" s="1388"/>
      <c r="AV361" s="1388"/>
      <c r="AW361" s="1388"/>
      <c r="AX361" s="1389"/>
    </row>
    <row r="362" spans="40:50" ht="22.05" customHeight="1">
      <c r="AN362" s="1715"/>
      <c r="AO362" s="2146" t="s">
        <v>6078</v>
      </c>
      <c r="AP362" s="1388"/>
      <c r="AQ362" s="1388"/>
      <c r="AR362" s="1388"/>
      <c r="AS362" s="1388"/>
      <c r="AT362" s="1388"/>
      <c r="AU362" s="1388"/>
      <c r="AV362" s="1388"/>
      <c r="AW362" s="1388"/>
      <c r="AX362" s="1389"/>
    </row>
    <row r="363" spans="40:50" ht="22.05" customHeight="1">
      <c r="AN363" s="2148" t="s">
        <v>5696</v>
      </c>
      <c r="AO363" s="2146" t="s">
        <v>6079</v>
      </c>
      <c r="AP363" s="1388"/>
      <c r="AQ363" s="1388"/>
      <c r="AR363" s="1388"/>
      <c r="AS363" s="1388"/>
      <c r="AT363" s="1388"/>
      <c r="AU363" s="1388"/>
      <c r="AV363" s="1388"/>
      <c r="AW363" s="1388"/>
      <c r="AX363" s="1389"/>
    </row>
    <row r="364" spans="40:50" ht="22.05" customHeight="1">
      <c r="AN364" s="1714"/>
      <c r="AO364" s="2146" t="s">
        <v>6080</v>
      </c>
      <c r="AP364" s="1388"/>
      <c r="AQ364" s="1388"/>
      <c r="AR364" s="1388"/>
      <c r="AS364" s="1388"/>
      <c r="AT364" s="1388"/>
      <c r="AU364" s="1388"/>
      <c r="AV364" s="1388"/>
      <c r="AW364" s="1388"/>
      <c r="AX364" s="1389"/>
    </row>
    <row r="365" spans="40:50" ht="22.05" customHeight="1">
      <c r="AN365" s="1715"/>
      <c r="AO365" s="2146" t="s">
        <v>6081</v>
      </c>
      <c r="AP365" s="1388"/>
      <c r="AQ365" s="1388"/>
      <c r="AR365" s="1388"/>
      <c r="AS365" s="1388"/>
      <c r="AT365" s="1388"/>
      <c r="AU365" s="1388"/>
      <c r="AV365" s="1388"/>
      <c r="AW365" s="1388"/>
      <c r="AX365" s="1389"/>
    </row>
    <row r="366" spans="40:50" ht="22.05" customHeight="1">
      <c r="AN366" s="4" t="s">
        <v>6010</v>
      </c>
      <c r="AO366" s="2146" t="s">
        <v>6082</v>
      </c>
      <c r="AP366" s="1388"/>
      <c r="AQ366" s="1388"/>
      <c r="AR366" s="1388"/>
      <c r="AS366" s="1388"/>
      <c r="AT366" s="1388"/>
      <c r="AU366" s="1388"/>
      <c r="AV366" s="1388"/>
      <c r="AW366" s="1388"/>
      <c r="AX366" s="1389"/>
    </row>
    <row r="367" spans="40:50" ht="22.05" customHeight="1">
      <c r="AN367" s="2148" t="s">
        <v>6083</v>
      </c>
      <c r="AO367" s="2146" t="s">
        <v>6084</v>
      </c>
      <c r="AP367" s="1388"/>
      <c r="AQ367" s="1388"/>
      <c r="AR367" s="1388"/>
      <c r="AS367" s="1388"/>
      <c r="AT367" s="1388"/>
      <c r="AU367" s="1388"/>
      <c r="AV367" s="1388"/>
      <c r="AW367" s="1388"/>
      <c r="AX367" s="1389"/>
    </row>
    <row r="368" spans="40:50" ht="22.05" customHeight="1">
      <c r="AN368" s="1714"/>
      <c r="AO368" s="2147" t="s">
        <v>6085</v>
      </c>
      <c r="AP368" s="1406"/>
      <c r="AQ368" s="1406"/>
      <c r="AR368" s="1406"/>
      <c r="AS368" s="1406"/>
      <c r="AT368" s="1406"/>
      <c r="AU368" s="1406"/>
      <c r="AV368" s="1406"/>
      <c r="AW368" s="1406"/>
      <c r="AX368" s="1407"/>
    </row>
    <row r="369" spans="40:50" ht="22.05" customHeight="1">
      <c r="AN369" s="1714"/>
      <c r="AO369" s="1408"/>
      <c r="AP369" s="2144"/>
      <c r="AQ369" s="2144"/>
      <c r="AR369" s="2144"/>
      <c r="AS369" s="2144"/>
      <c r="AT369" s="2144"/>
      <c r="AU369" s="2144"/>
      <c r="AV369" s="2144"/>
      <c r="AW369" s="2144"/>
      <c r="AX369" s="1378"/>
    </row>
    <row r="370" spans="40:50" ht="22.05" customHeight="1">
      <c r="AN370" s="1714"/>
      <c r="AO370" s="1408"/>
      <c r="AP370" s="2144"/>
      <c r="AQ370" s="2144"/>
      <c r="AR370" s="2144"/>
      <c r="AS370" s="2144"/>
      <c r="AT370" s="2144"/>
      <c r="AU370" s="2144"/>
      <c r="AV370" s="2144"/>
      <c r="AW370" s="2144"/>
      <c r="AX370" s="1378"/>
    </row>
    <row r="371" spans="40:50" ht="22.05" customHeight="1">
      <c r="AN371" s="1714"/>
      <c r="AO371" s="1409"/>
      <c r="AP371" s="1410"/>
      <c r="AQ371" s="1410"/>
      <c r="AR371" s="1410"/>
      <c r="AS371" s="1410"/>
      <c r="AT371" s="1410"/>
      <c r="AU371" s="1410"/>
      <c r="AV371" s="1410"/>
      <c r="AW371" s="1410"/>
      <c r="AX371" s="1411"/>
    </row>
    <row r="372" spans="40:50" ht="22.05" customHeight="1">
      <c r="AN372" s="1715"/>
      <c r="AO372" s="2156" t="s">
        <v>6086</v>
      </c>
      <c r="AP372" s="1388"/>
      <c r="AQ372" s="1388"/>
      <c r="AR372" s="1388"/>
      <c r="AS372" s="1388"/>
      <c r="AT372" s="1388"/>
      <c r="AU372" s="1388"/>
      <c r="AV372" s="1388"/>
      <c r="AW372" s="1388"/>
      <c r="AX372" s="1389"/>
    </row>
    <row r="373" spans="40:50" ht="22.05" customHeight="1">
      <c r="AN373" s="2149" t="s">
        <v>6087</v>
      </c>
      <c r="AO373" s="1388"/>
      <c r="AP373" s="1388"/>
      <c r="AQ373" s="1388"/>
      <c r="AR373" s="1388"/>
      <c r="AS373" s="1388"/>
      <c r="AT373" s="1388"/>
      <c r="AU373" s="1388"/>
      <c r="AV373" s="1388"/>
      <c r="AW373" s="1388"/>
      <c r="AX373" s="1389"/>
    </row>
    <row r="374" spans="40:50" ht="22.05" customHeight="1">
      <c r="AN374" s="2148" t="s">
        <v>6054</v>
      </c>
      <c r="AO374" s="2187" t="s">
        <v>6088</v>
      </c>
      <c r="AP374" s="1406"/>
      <c r="AQ374" s="1406"/>
      <c r="AR374" s="1406"/>
      <c r="AS374" s="1406"/>
      <c r="AT374" s="1406"/>
      <c r="AU374" s="1406"/>
      <c r="AV374" s="1406"/>
      <c r="AW374" s="1406"/>
      <c r="AX374" s="1407"/>
    </row>
    <row r="375" spans="40:50" ht="22.05" customHeight="1">
      <c r="AN375" s="1714"/>
      <c r="AO375" s="1409"/>
      <c r="AP375" s="1410"/>
      <c r="AQ375" s="1410"/>
      <c r="AR375" s="1410"/>
      <c r="AS375" s="1410"/>
      <c r="AT375" s="1410"/>
      <c r="AU375" s="1410"/>
      <c r="AV375" s="1410"/>
      <c r="AW375" s="1410"/>
      <c r="AX375" s="1411"/>
    </row>
    <row r="376" spans="40:50" ht="22.05" customHeight="1">
      <c r="AN376" s="1714"/>
      <c r="AO376" s="2143" t="s">
        <v>6089</v>
      </c>
      <c r="AP376" s="1406"/>
      <c r="AQ376" s="1406"/>
      <c r="AR376" s="1406"/>
      <c r="AS376" s="1406"/>
      <c r="AT376" s="1406"/>
      <c r="AU376" s="1406"/>
      <c r="AV376" s="1406"/>
      <c r="AW376" s="1406"/>
      <c r="AX376" s="1407"/>
    </row>
    <row r="377" spans="40:50" ht="22.05" customHeight="1">
      <c r="AN377" s="1714"/>
      <c r="AO377" s="1408"/>
      <c r="AP377" s="2144"/>
      <c r="AQ377" s="2144"/>
      <c r="AR377" s="2144"/>
      <c r="AS377" s="2144"/>
      <c r="AT377" s="2144"/>
      <c r="AU377" s="2144"/>
      <c r="AV377" s="2144"/>
      <c r="AW377" s="2144"/>
      <c r="AX377" s="1378"/>
    </row>
    <row r="378" spans="40:50" ht="22.05" customHeight="1">
      <c r="AN378" s="1714"/>
      <c r="AO378" s="1409"/>
      <c r="AP378" s="1410"/>
      <c r="AQ378" s="1410"/>
      <c r="AR378" s="1410"/>
      <c r="AS378" s="1410"/>
      <c r="AT378" s="1410"/>
      <c r="AU378" s="1410"/>
      <c r="AV378" s="1410"/>
      <c r="AW378" s="1410"/>
      <c r="AX378" s="1411"/>
    </row>
    <row r="379" spans="40:50" ht="22.05" customHeight="1">
      <c r="AN379" s="1714"/>
      <c r="AO379" s="2147" t="s">
        <v>6090</v>
      </c>
      <c r="AP379" s="1406"/>
      <c r="AQ379" s="1406"/>
      <c r="AR379" s="1406"/>
      <c r="AS379" s="1406"/>
      <c r="AT379" s="1406"/>
      <c r="AU379" s="1406"/>
      <c r="AV379" s="1406"/>
      <c r="AW379" s="1406"/>
      <c r="AX379" s="1407"/>
    </row>
    <row r="380" spans="40:50" ht="22.05" customHeight="1">
      <c r="AN380" s="1714"/>
      <c r="AO380" s="1409"/>
      <c r="AP380" s="1410"/>
      <c r="AQ380" s="1410"/>
      <c r="AR380" s="1410"/>
      <c r="AS380" s="1410"/>
      <c r="AT380" s="1410"/>
      <c r="AU380" s="1410"/>
      <c r="AV380" s="1410"/>
      <c r="AW380" s="1410"/>
      <c r="AX380" s="1411"/>
    </row>
    <row r="381" spans="40:50" ht="22.05" customHeight="1">
      <c r="AN381" s="1714"/>
      <c r="AO381" s="2146" t="s">
        <v>6091</v>
      </c>
      <c r="AP381" s="1388"/>
      <c r="AQ381" s="1388"/>
      <c r="AR381" s="1388"/>
      <c r="AS381" s="1388"/>
      <c r="AT381" s="1388"/>
      <c r="AU381" s="1388"/>
      <c r="AV381" s="1388"/>
      <c r="AW381" s="1388"/>
      <c r="AX381" s="1389"/>
    </row>
    <row r="382" spans="40:50" ht="22.05" customHeight="1">
      <c r="AN382" s="1714"/>
      <c r="AO382" s="2143" t="s">
        <v>6092</v>
      </c>
      <c r="AP382" s="1406"/>
      <c r="AQ382" s="1406"/>
      <c r="AR382" s="1406"/>
      <c r="AS382" s="1406"/>
      <c r="AT382" s="1406"/>
      <c r="AU382" s="1406"/>
      <c r="AV382" s="1406"/>
      <c r="AW382" s="1406"/>
      <c r="AX382" s="1407"/>
    </row>
    <row r="383" spans="40:50" ht="22.05" customHeight="1">
      <c r="AN383" s="1714"/>
      <c r="AO383" s="1408"/>
      <c r="AP383" s="2144"/>
      <c r="AQ383" s="2144"/>
      <c r="AR383" s="2144"/>
      <c r="AS383" s="2144"/>
      <c r="AT383" s="2144"/>
      <c r="AU383" s="2144"/>
      <c r="AV383" s="2144"/>
      <c r="AW383" s="2144"/>
      <c r="AX383" s="1378"/>
    </row>
    <row r="384" spans="40:50" ht="22.05" customHeight="1">
      <c r="AN384" s="1714"/>
      <c r="AO384" s="1409"/>
      <c r="AP384" s="1410"/>
      <c r="AQ384" s="1410"/>
      <c r="AR384" s="1410"/>
      <c r="AS384" s="1410"/>
      <c r="AT384" s="1410"/>
      <c r="AU384" s="1410"/>
      <c r="AV384" s="1410"/>
      <c r="AW384" s="1410"/>
      <c r="AX384" s="1411"/>
    </row>
    <row r="385" spans="40:50" ht="22.05" customHeight="1">
      <c r="AN385" s="1714"/>
      <c r="AO385" s="2143" t="s">
        <v>6093</v>
      </c>
      <c r="AP385" s="1406"/>
      <c r="AQ385" s="1406"/>
      <c r="AR385" s="1406"/>
      <c r="AS385" s="1406"/>
      <c r="AT385" s="1406"/>
      <c r="AU385" s="1406"/>
      <c r="AV385" s="1406"/>
      <c r="AW385" s="1406"/>
      <c r="AX385" s="1407"/>
    </row>
    <row r="386" spans="40:50" ht="22.05" customHeight="1">
      <c r="AN386" s="1714"/>
      <c r="AO386" s="1408"/>
      <c r="AP386" s="2144"/>
      <c r="AQ386" s="2144"/>
      <c r="AR386" s="2144"/>
      <c r="AS386" s="2144"/>
      <c r="AT386" s="2144"/>
      <c r="AU386" s="2144"/>
      <c r="AV386" s="2144"/>
      <c r="AW386" s="2144"/>
      <c r="AX386" s="1378"/>
    </row>
    <row r="387" spans="40:50" ht="22.05" customHeight="1">
      <c r="AN387" s="1715"/>
      <c r="AO387" s="1409"/>
      <c r="AP387" s="1410"/>
      <c r="AQ387" s="1410"/>
      <c r="AR387" s="1410"/>
      <c r="AS387" s="1410"/>
      <c r="AT387" s="1410"/>
      <c r="AU387" s="1410"/>
      <c r="AV387" s="1410"/>
      <c r="AW387" s="1410"/>
      <c r="AX387" s="1411"/>
    </row>
    <row r="388" spans="40:50" ht="22.05" customHeight="1">
      <c r="AN388" s="2184" t="s">
        <v>6002</v>
      </c>
      <c r="AO388" s="2147" t="s">
        <v>6094</v>
      </c>
      <c r="AP388" s="1406"/>
      <c r="AQ388" s="1406"/>
      <c r="AR388" s="1406"/>
      <c r="AS388" s="1406"/>
      <c r="AT388" s="1406"/>
      <c r="AU388" s="1406"/>
      <c r="AV388" s="1406"/>
      <c r="AW388" s="1406"/>
      <c r="AX388" s="1407"/>
    </row>
    <row r="389" spans="40:50" ht="22.05" customHeight="1">
      <c r="AN389" s="1715"/>
      <c r="AO389" s="1409"/>
      <c r="AP389" s="1410"/>
      <c r="AQ389" s="1410"/>
      <c r="AR389" s="1410"/>
      <c r="AS389" s="1410"/>
      <c r="AT389" s="1410"/>
      <c r="AU389" s="1410"/>
      <c r="AV389" s="1410"/>
      <c r="AW389" s="1410"/>
      <c r="AX389" s="1411"/>
    </row>
    <row r="390" spans="40:50" ht="22.05" customHeight="1">
      <c r="AN390" s="9" t="s">
        <v>5696</v>
      </c>
      <c r="AO390" s="2146" t="s">
        <v>6095</v>
      </c>
      <c r="AP390" s="1388"/>
      <c r="AQ390" s="1388"/>
      <c r="AR390" s="1388"/>
      <c r="AS390" s="1388"/>
      <c r="AT390" s="1388"/>
      <c r="AU390" s="1388"/>
      <c r="AV390" s="1388"/>
      <c r="AW390" s="1388"/>
      <c r="AX390" s="1389"/>
    </row>
    <row r="391" spans="40:50" ht="22.05" customHeight="1">
      <c r="AN391" s="2148" t="s">
        <v>6096</v>
      </c>
      <c r="AO391" s="2146" t="s">
        <v>6097</v>
      </c>
      <c r="AP391" s="1388"/>
      <c r="AQ391" s="1388"/>
      <c r="AR391" s="1388"/>
      <c r="AS391" s="1388"/>
      <c r="AT391" s="1388"/>
      <c r="AU391" s="1388"/>
      <c r="AV391" s="1388"/>
      <c r="AW391" s="1388"/>
      <c r="AX391" s="1389"/>
    </row>
    <row r="392" spans="40:50" ht="22.05" customHeight="1">
      <c r="AN392" s="1715"/>
      <c r="AO392" s="2146" t="s">
        <v>6098</v>
      </c>
      <c r="AP392" s="1388"/>
      <c r="AQ392" s="1388"/>
      <c r="AR392" s="1388"/>
      <c r="AS392" s="1388"/>
      <c r="AT392" s="1388"/>
      <c r="AU392" s="1388"/>
      <c r="AV392" s="1388"/>
      <c r="AW392" s="1388"/>
      <c r="AX392" s="1389"/>
    </row>
  </sheetData>
  <mergeCells count="573">
    <mergeCell ref="AC243:AL244"/>
    <mergeCell ref="AB49:AB52"/>
    <mergeCell ref="G43:N43"/>
    <mergeCell ref="AB33:AB35"/>
    <mergeCell ref="P17:P20"/>
    <mergeCell ref="D28:N28"/>
    <mergeCell ref="G34:N34"/>
    <mergeCell ref="F7:N8"/>
    <mergeCell ref="D9:E10"/>
    <mergeCell ref="G45:N45"/>
    <mergeCell ref="AB141:AL141"/>
    <mergeCell ref="AC164:AL165"/>
    <mergeCell ref="AB13:AB16"/>
    <mergeCell ref="AC116:AL118"/>
    <mergeCell ref="G47:N47"/>
    <mergeCell ref="AB32:AL32"/>
    <mergeCell ref="AB188:AL188"/>
    <mergeCell ref="AO176:AX176"/>
    <mergeCell ref="AO306:AX306"/>
    <mergeCell ref="AB77:AB79"/>
    <mergeCell ref="AO88:AX88"/>
    <mergeCell ref="AC176:AL178"/>
    <mergeCell ref="G36:N36"/>
    <mergeCell ref="AB240:AB242"/>
    <mergeCell ref="AO228:AX228"/>
    <mergeCell ref="AN266:AN275"/>
    <mergeCell ref="AO256:AX256"/>
    <mergeCell ref="AB228:AB230"/>
    <mergeCell ref="AO285:AX291"/>
    <mergeCell ref="AO231:AX231"/>
    <mergeCell ref="AC245:AL246"/>
    <mergeCell ref="AN244:AN255"/>
    <mergeCell ref="AN285:AN291"/>
    <mergeCell ref="AC170:AL172"/>
    <mergeCell ref="AO101:AX101"/>
    <mergeCell ref="AC208:AL212"/>
    <mergeCell ref="AB101:AL101"/>
    <mergeCell ref="AO130:AX130"/>
    <mergeCell ref="AO283:AX283"/>
    <mergeCell ref="AO217:AX217"/>
    <mergeCell ref="AC33:AL35"/>
    <mergeCell ref="AC110:AL111"/>
    <mergeCell ref="AN1:AX2"/>
    <mergeCell ref="AO20:AX20"/>
    <mergeCell ref="AO112:AX112"/>
    <mergeCell ref="AO183:AX183"/>
    <mergeCell ref="D41:F41"/>
    <mergeCell ref="AB174:AB178"/>
    <mergeCell ref="AB112:AL112"/>
    <mergeCell ref="AB62:AL62"/>
    <mergeCell ref="D13:E14"/>
    <mergeCell ref="AO181:AX181"/>
    <mergeCell ref="AB119:AB120"/>
    <mergeCell ref="AO165:AX167"/>
    <mergeCell ref="D53:F53"/>
    <mergeCell ref="AB110:AB111"/>
    <mergeCell ref="D47:F47"/>
    <mergeCell ref="AO139:AX139"/>
    <mergeCell ref="D51:F51"/>
    <mergeCell ref="AO379:AX380"/>
    <mergeCell ref="AO84:AX84"/>
    <mergeCell ref="AO193:AX193"/>
    <mergeCell ref="AO127:AX127"/>
    <mergeCell ref="AO22:AX22"/>
    <mergeCell ref="AO108:AX108"/>
    <mergeCell ref="BA4:BJ15"/>
    <mergeCell ref="D43:F43"/>
    <mergeCell ref="AO109:AX109"/>
    <mergeCell ref="G57:N57"/>
    <mergeCell ref="AC247:AL251"/>
    <mergeCell ref="AN25:AX25"/>
    <mergeCell ref="D55:F55"/>
    <mergeCell ref="AO138:AX138"/>
    <mergeCell ref="AN119:AN126"/>
    <mergeCell ref="AB179:AB182"/>
    <mergeCell ref="AB214:AB221"/>
    <mergeCell ref="AO368:AX371"/>
    <mergeCell ref="AB222:AB226"/>
    <mergeCell ref="G58:N58"/>
    <mergeCell ref="AO186:AX186"/>
    <mergeCell ref="AO269:AX269"/>
    <mergeCell ref="AO374:AX375"/>
    <mergeCell ref="AO244:AX244"/>
    <mergeCell ref="AN373:AX373"/>
    <mergeCell ref="AO345:AX345"/>
    <mergeCell ref="AB63:AB66"/>
    <mergeCell ref="AO229:AX230"/>
    <mergeCell ref="AO351:AX352"/>
    <mergeCell ref="AO99:AX99"/>
    <mergeCell ref="AO223:AX225"/>
    <mergeCell ref="AO257:AX257"/>
    <mergeCell ref="AO191:AX191"/>
    <mergeCell ref="AO367:AX367"/>
    <mergeCell ref="AO200:AX200"/>
    <mergeCell ref="AN351:AN352"/>
    <mergeCell ref="AO278:AX278"/>
    <mergeCell ref="AO262:AX262"/>
    <mergeCell ref="AO322:AX327"/>
    <mergeCell ref="AO270:AX271"/>
    <mergeCell ref="AC240:AL242"/>
    <mergeCell ref="AN218:AN220"/>
    <mergeCell ref="AC113:AL115"/>
    <mergeCell ref="AC203:AL205"/>
    <mergeCell ref="AC63:AL66"/>
    <mergeCell ref="AO226:AX226"/>
    <mergeCell ref="AO201:AX201"/>
    <mergeCell ref="AO114:AX114"/>
    <mergeCell ref="D16:N16"/>
    <mergeCell ref="AC108:AL109"/>
    <mergeCell ref="AB1:AL2"/>
    <mergeCell ref="AO168:AX169"/>
    <mergeCell ref="AO161:AX161"/>
    <mergeCell ref="AC144:AL145"/>
    <mergeCell ref="AB245:AB246"/>
    <mergeCell ref="AB124:AB138"/>
    <mergeCell ref="AB105:AB107"/>
    <mergeCell ref="AB170:AB172"/>
    <mergeCell ref="AB208:AB212"/>
    <mergeCell ref="F9:N10"/>
    <mergeCell ref="AN70:AN72"/>
    <mergeCell ref="AC232:AL232"/>
    <mergeCell ref="AB98:AB100"/>
    <mergeCell ref="AO55:AX59"/>
    <mergeCell ref="P13:P16"/>
    <mergeCell ref="AB48:AL48"/>
    <mergeCell ref="D36:F36"/>
    <mergeCell ref="F13:N14"/>
    <mergeCell ref="D1:N2"/>
    <mergeCell ref="AN199:AX199"/>
    <mergeCell ref="AC26:AL31"/>
    <mergeCell ref="AO19:AX19"/>
    <mergeCell ref="AZ1:BJ2"/>
    <mergeCell ref="AO128:AX128"/>
    <mergeCell ref="AO72:AX72"/>
    <mergeCell ref="AO364:AX364"/>
    <mergeCell ref="AN98:AN99"/>
    <mergeCell ref="BA17:BJ21"/>
    <mergeCell ref="AZ44:AZ51"/>
    <mergeCell ref="BA47:BJ51"/>
    <mergeCell ref="BA24:BJ26"/>
    <mergeCell ref="AO206:AX206"/>
    <mergeCell ref="AN127:AN130"/>
    <mergeCell ref="AN197:AN198"/>
    <mergeCell ref="AO251:AX255"/>
    <mergeCell ref="AO4:AX4"/>
    <mergeCell ref="AO266:AX266"/>
    <mergeCell ref="AO70:AX70"/>
    <mergeCell ref="BA23:BJ23"/>
    <mergeCell ref="AO47:AX47"/>
    <mergeCell ref="AO338:AX338"/>
    <mergeCell ref="AN328:AX328"/>
    <mergeCell ref="AO277:AX277"/>
    <mergeCell ref="AN238:AN243"/>
    <mergeCell ref="AO376:AX378"/>
    <mergeCell ref="G60:N60"/>
    <mergeCell ref="AO54:AX54"/>
    <mergeCell ref="AN256:AN257"/>
    <mergeCell ref="AO219:AX220"/>
    <mergeCell ref="AO41:AX41"/>
    <mergeCell ref="AO346:AX347"/>
    <mergeCell ref="AC189:AL190"/>
    <mergeCell ref="AN165:AN180"/>
    <mergeCell ref="AC139:AL140"/>
    <mergeCell ref="AO276:AX276"/>
    <mergeCell ref="AO341:AX341"/>
    <mergeCell ref="AC105:AL107"/>
    <mergeCell ref="AB227:AL227"/>
    <mergeCell ref="AO85:AX85"/>
    <mergeCell ref="AO211:AX215"/>
    <mergeCell ref="AN200:AN205"/>
    <mergeCell ref="AO60:AX60"/>
    <mergeCell ref="AN65:AN67"/>
    <mergeCell ref="AO222:AX222"/>
    <mergeCell ref="AB231:AL231"/>
    <mergeCell ref="AO177:AX177"/>
    <mergeCell ref="AC160:AL161"/>
    <mergeCell ref="AC216:AL218"/>
    <mergeCell ref="AO391:AX391"/>
    <mergeCell ref="AO292:AX292"/>
    <mergeCell ref="AO245:AX247"/>
    <mergeCell ref="AB168:AB169"/>
    <mergeCell ref="AO357:AX357"/>
    <mergeCell ref="AO86:AX86"/>
    <mergeCell ref="AO77:AX81"/>
    <mergeCell ref="AN4:AN10"/>
    <mergeCell ref="AN182:AN186"/>
    <mergeCell ref="AC17:AL20"/>
    <mergeCell ref="AO366:AX366"/>
    <mergeCell ref="AO363:AX363"/>
    <mergeCell ref="AB199:AB201"/>
    <mergeCell ref="AO388:AX389"/>
    <mergeCell ref="AO294:AX294"/>
    <mergeCell ref="AB17:AB20"/>
    <mergeCell ref="AC22:AL25"/>
    <mergeCell ref="AO15:AX15"/>
    <mergeCell ref="AO349:AX350"/>
    <mergeCell ref="AN228:AN237"/>
    <mergeCell ref="AO302:AX302"/>
    <mergeCell ref="AO267:AX268"/>
    <mergeCell ref="AN353:AX353"/>
    <mergeCell ref="AO198:AX198"/>
    <mergeCell ref="AZ63:AZ85"/>
    <mergeCell ref="AO157:AX157"/>
    <mergeCell ref="G44:N44"/>
    <mergeCell ref="F11:N12"/>
    <mergeCell ref="AO202:AX202"/>
    <mergeCell ref="AC195:AL196"/>
    <mergeCell ref="D37:F37"/>
    <mergeCell ref="AC197:AL198"/>
    <mergeCell ref="AO74:AX75"/>
    <mergeCell ref="AZ17:AZ38"/>
    <mergeCell ref="AB183:AB187"/>
    <mergeCell ref="G56:N56"/>
    <mergeCell ref="G54:N54"/>
    <mergeCell ref="D58:F58"/>
    <mergeCell ref="AO90:AX90"/>
    <mergeCell ref="D54:F54"/>
    <mergeCell ref="AO104:AX105"/>
    <mergeCell ref="AN116:AN117"/>
    <mergeCell ref="D42:F42"/>
    <mergeCell ref="Q17:Z20"/>
    <mergeCell ref="P8:P11"/>
    <mergeCell ref="Q8:Z11"/>
    <mergeCell ref="P12:Z12"/>
    <mergeCell ref="Q13:Z16"/>
    <mergeCell ref="AO392:AX392"/>
    <mergeCell ref="AO221:AX221"/>
    <mergeCell ref="AC102:AL104"/>
    <mergeCell ref="AO26:AX28"/>
    <mergeCell ref="AO124:AX126"/>
    <mergeCell ref="AC214:AL215"/>
    <mergeCell ref="AC166:AL167"/>
    <mergeCell ref="AO218:AX218"/>
    <mergeCell ref="G49:N49"/>
    <mergeCell ref="AC168:AL169"/>
    <mergeCell ref="AO140:AX149"/>
    <mergeCell ref="AN330:AN348"/>
    <mergeCell ref="AO354:AX355"/>
    <mergeCell ref="AO314:AX314"/>
    <mergeCell ref="AC148:AL149"/>
    <mergeCell ref="AC219:AL220"/>
    <mergeCell ref="AB146:AB149"/>
    <mergeCell ref="AO313:AX313"/>
    <mergeCell ref="AO307:AX307"/>
    <mergeCell ref="AO107:AX107"/>
    <mergeCell ref="AN100:AN102"/>
    <mergeCell ref="AN107:AN110"/>
    <mergeCell ref="AO203:AX204"/>
    <mergeCell ref="AO73:AX73"/>
    <mergeCell ref="AB97:AL97"/>
    <mergeCell ref="AC49:AL52"/>
    <mergeCell ref="AC157:AL158"/>
    <mergeCell ref="D7:E8"/>
    <mergeCell ref="D61:F61"/>
    <mergeCell ref="AO102:AX102"/>
    <mergeCell ref="AN131:AN139"/>
    <mergeCell ref="AB173:AL173"/>
    <mergeCell ref="D48:F48"/>
    <mergeCell ref="G39:N39"/>
    <mergeCell ref="AC36:AL47"/>
    <mergeCell ref="D56:F56"/>
    <mergeCell ref="G50:N50"/>
    <mergeCell ref="D49:F49"/>
    <mergeCell ref="G52:N52"/>
    <mergeCell ref="AC119:AL120"/>
    <mergeCell ref="AB81:AB83"/>
    <mergeCell ref="AO92:AX92"/>
    <mergeCell ref="AB139:AB140"/>
    <mergeCell ref="G48:N48"/>
    <mergeCell ref="AC67:AL70"/>
    <mergeCell ref="AC142:AL143"/>
    <mergeCell ref="AO135:AX137"/>
    <mergeCell ref="D25:N26"/>
    <mergeCell ref="AN374:AN387"/>
    <mergeCell ref="AN26:AN39"/>
    <mergeCell ref="AO97:AX97"/>
    <mergeCell ref="AB206:AB207"/>
    <mergeCell ref="AN103:AN106"/>
    <mergeCell ref="AO317:AX321"/>
    <mergeCell ref="AC94:AL96"/>
    <mergeCell ref="AC233:AL234"/>
    <mergeCell ref="AO184:AX184"/>
    <mergeCell ref="AO344:AX344"/>
    <mergeCell ref="AO382:AX384"/>
    <mergeCell ref="AO316:AX316"/>
    <mergeCell ref="AN317:AN321"/>
    <mergeCell ref="AO42:AX42"/>
    <mergeCell ref="AO62:AX64"/>
    <mergeCell ref="AC150:AL152"/>
    <mergeCell ref="AN293:AX293"/>
    <mergeCell ref="AO175:AX175"/>
    <mergeCell ref="AC228:AL230"/>
    <mergeCell ref="AN265:AX265"/>
    <mergeCell ref="AB67:AB70"/>
    <mergeCell ref="AB166:AB167"/>
    <mergeCell ref="AO155:AX155"/>
    <mergeCell ref="AB160:AB161"/>
    <mergeCell ref="D3:E4"/>
    <mergeCell ref="AN3:AX3"/>
    <mergeCell ref="AO315:AX315"/>
    <mergeCell ref="AC72:AL76"/>
    <mergeCell ref="AO94:AX94"/>
    <mergeCell ref="AO192:AX192"/>
    <mergeCell ref="AO21:AX21"/>
    <mergeCell ref="AN18:AN22"/>
    <mergeCell ref="AC235:AL236"/>
    <mergeCell ref="AO7:AX10"/>
    <mergeCell ref="AC98:AL100"/>
    <mergeCell ref="AB22:AB25"/>
    <mergeCell ref="AO123:AX123"/>
    <mergeCell ref="AO110:AX110"/>
    <mergeCell ref="D39:F39"/>
    <mergeCell ref="AB202:AL202"/>
    <mergeCell ref="AO16:AX16"/>
    <mergeCell ref="AC54:AL57"/>
    <mergeCell ref="AB189:AB194"/>
    <mergeCell ref="AO174:AX174"/>
    <mergeCell ref="AN140:AN156"/>
    <mergeCell ref="AB150:AB152"/>
    <mergeCell ref="G55:N55"/>
    <mergeCell ref="G61:N61"/>
    <mergeCell ref="AN388:AN389"/>
    <mergeCell ref="D57:F57"/>
    <mergeCell ref="AB36:AB47"/>
    <mergeCell ref="AO44:AX44"/>
    <mergeCell ref="AO329:AX329"/>
    <mergeCell ref="AN322:AN327"/>
    <mergeCell ref="AB123:AL123"/>
    <mergeCell ref="AN391:AN392"/>
    <mergeCell ref="D5:E6"/>
    <mergeCell ref="AN76:AX76"/>
    <mergeCell ref="AC4:AL7"/>
    <mergeCell ref="G53:N53"/>
    <mergeCell ref="AO129:AX129"/>
    <mergeCell ref="AO194:AX194"/>
    <mergeCell ref="AC81:AL83"/>
    <mergeCell ref="AB12:AL12"/>
    <mergeCell ref="AO48:AX50"/>
    <mergeCell ref="D60:F60"/>
    <mergeCell ref="AB94:AB96"/>
    <mergeCell ref="AO195:AX195"/>
    <mergeCell ref="AN157:AN158"/>
    <mergeCell ref="AO24:AX24"/>
    <mergeCell ref="AO18:AX18"/>
    <mergeCell ref="AO260:AX260"/>
    <mergeCell ref="D59:F59"/>
    <mergeCell ref="D34:F34"/>
    <mergeCell ref="AN188:AN193"/>
    <mergeCell ref="BA40:BJ43"/>
    <mergeCell ref="AN258:AX258"/>
    <mergeCell ref="AO113:AX113"/>
    <mergeCell ref="AO82:AX83"/>
    <mergeCell ref="AO205:AX205"/>
    <mergeCell ref="AO336:AX336"/>
    <mergeCell ref="AB54:AB57"/>
    <mergeCell ref="AB153:AB154"/>
    <mergeCell ref="AZ39:AZ43"/>
    <mergeCell ref="AC222:AL226"/>
    <mergeCell ref="BA52:BJ52"/>
    <mergeCell ref="AN95:AN97"/>
    <mergeCell ref="AC199:AL201"/>
    <mergeCell ref="AO95:AX95"/>
    <mergeCell ref="AN46:AN64"/>
    <mergeCell ref="BA63:BJ63"/>
    <mergeCell ref="BA39:BJ39"/>
    <mergeCell ref="BA64:BJ65"/>
    <mergeCell ref="AO238:AX238"/>
    <mergeCell ref="AO263:AX264"/>
    <mergeCell ref="AO188:AX188"/>
    <mergeCell ref="D50:F50"/>
    <mergeCell ref="D44:F44"/>
    <mergeCell ref="G35:N35"/>
    <mergeCell ref="G46:N46"/>
    <mergeCell ref="G40:N40"/>
    <mergeCell ref="D24:N24"/>
    <mergeCell ref="D29:N30"/>
    <mergeCell ref="D31:N32"/>
    <mergeCell ref="D46:F46"/>
    <mergeCell ref="D40:F40"/>
    <mergeCell ref="D35:F35"/>
    <mergeCell ref="G38:N38"/>
    <mergeCell ref="AZ3:BJ3"/>
    <mergeCell ref="BA27:BJ38"/>
    <mergeCell ref="AN263:AN264"/>
    <mergeCell ref="AC153:AL154"/>
    <mergeCell ref="AB108:AB109"/>
    <mergeCell ref="AB102:AB104"/>
    <mergeCell ref="AO284:AX284"/>
    <mergeCell ref="AO259:AX259"/>
    <mergeCell ref="AO330:AX330"/>
    <mergeCell ref="AO197:AX197"/>
    <mergeCell ref="AO232:AX237"/>
    <mergeCell ref="AB4:AB7"/>
    <mergeCell ref="AB213:AL213"/>
    <mergeCell ref="AO131:AX134"/>
    <mergeCell ref="AB80:AL80"/>
    <mergeCell ref="AO261:AX261"/>
    <mergeCell ref="AO117:AX117"/>
    <mergeCell ref="AO40:AX40"/>
    <mergeCell ref="AB195:AB198"/>
    <mergeCell ref="AN314:AN315"/>
    <mergeCell ref="AZ4:AZ15"/>
    <mergeCell ref="AZ52:AZ62"/>
    <mergeCell ref="AO31:AX32"/>
    <mergeCell ref="AO65:AX67"/>
    <mergeCell ref="F5:N6"/>
    <mergeCell ref="AC193:AL194"/>
    <mergeCell ref="BA22:BJ22"/>
    <mergeCell ref="AB113:AB115"/>
    <mergeCell ref="AZ16:BJ16"/>
    <mergeCell ref="AO356:AX356"/>
    <mergeCell ref="AC77:AL79"/>
    <mergeCell ref="AC183:AL187"/>
    <mergeCell ref="AC191:AL192"/>
    <mergeCell ref="G51:N51"/>
    <mergeCell ref="AB162:AB163"/>
    <mergeCell ref="AO216:AX216"/>
    <mergeCell ref="AN349:AN350"/>
    <mergeCell ref="AB90:AB92"/>
    <mergeCell ref="BA53:BJ62"/>
    <mergeCell ref="G42:N42"/>
    <mergeCell ref="AO61:AX61"/>
    <mergeCell ref="Q4:Z7"/>
    <mergeCell ref="AC84:AL88"/>
    <mergeCell ref="AO178:AX180"/>
    <mergeCell ref="AO337:AX337"/>
    <mergeCell ref="AO331:AX331"/>
    <mergeCell ref="AO11:AX13"/>
    <mergeCell ref="D19:N20"/>
    <mergeCell ref="AO381:AX381"/>
    <mergeCell ref="AO210:AX210"/>
    <mergeCell ref="AB164:AB165"/>
    <mergeCell ref="AB58:AB61"/>
    <mergeCell ref="AB3:AL3"/>
    <mergeCell ref="AB116:AB118"/>
    <mergeCell ref="AO119:AX122"/>
    <mergeCell ref="AN187:AX187"/>
    <mergeCell ref="AO150:AX154"/>
    <mergeCell ref="AN310:AN313"/>
    <mergeCell ref="AC13:AL16"/>
    <mergeCell ref="AN279:AX279"/>
    <mergeCell ref="AN11:AN13"/>
    <mergeCell ref="AO305:AX305"/>
    <mergeCell ref="AO300:AX300"/>
    <mergeCell ref="AO272:AX275"/>
    <mergeCell ref="AB232:AB239"/>
    <mergeCell ref="AO348:AX348"/>
    <mergeCell ref="AO280:AX280"/>
    <mergeCell ref="AO249:AX250"/>
    <mergeCell ref="AO46:AX46"/>
    <mergeCell ref="AB155:AB156"/>
    <mergeCell ref="AB26:AB31"/>
    <mergeCell ref="AO282:AX282"/>
    <mergeCell ref="Q1:Z2"/>
    <mergeCell ref="AN45:AX45"/>
    <mergeCell ref="BA44:BJ46"/>
    <mergeCell ref="AO71:AX71"/>
    <mergeCell ref="AO163:AX163"/>
    <mergeCell ref="AO170:AX171"/>
    <mergeCell ref="AC206:AL207"/>
    <mergeCell ref="AC8:AL11"/>
    <mergeCell ref="G37:N37"/>
    <mergeCell ref="AC181:AL182"/>
    <mergeCell ref="AO100:AX100"/>
    <mergeCell ref="AO172:AX173"/>
    <mergeCell ref="AB157:AB158"/>
    <mergeCell ref="AB21:AL21"/>
    <mergeCell ref="AO158:AX158"/>
    <mergeCell ref="AB72:AB76"/>
    <mergeCell ref="AO68:AX68"/>
    <mergeCell ref="AO160:AX160"/>
    <mergeCell ref="AO43:AX43"/>
    <mergeCell ref="D33:N33"/>
    <mergeCell ref="AB89:AL89"/>
    <mergeCell ref="AN162:AX162"/>
    <mergeCell ref="F3:N4"/>
    <mergeCell ref="AO51:AX53"/>
    <mergeCell ref="AO5:AX6"/>
    <mergeCell ref="AO23:AX23"/>
    <mergeCell ref="AB8:AB11"/>
    <mergeCell ref="AO39:AX39"/>
    <mergeCell ref="AO310:AX310"/>
    <mergeCell ref="AB84:AB88"/>
    <mergeCell ref="AB142:AB145"/>
    <mergeCell ref="AO116:AX116"/>
    <mergeCell ref="AB247:AB251"/>
    <mergeCell ref="AO103:AX103"/>
    <mergeCell ref="AO308:AX309"/>
    <mergeCell ref="AO96:AX96"/>
    <mergeCell ref="AO87:AX87"/>
    <mergeCell ref="AO98:AX98"/>
    <mergeCell ref="AC58:AL61"/>
    <mergeCell ref="AN159:AX159"/>
    <mergeCell ref="AB243:AB244"/>
    <mergeCell ref="AO281:AX281"/>
    <mergeCell ref="AN115:AX115"/>
    <mergeCell ref="AN294:AN309"/>
    <mergeCell ref="AO185:AX185"/>
    <mergeCell ref="AB53:AL53"/>
    <mergeCell ref="AN227:AX227"/>
    <mergeCell ref="AO182:AX182"/>
    <mergeCell ref="AN367:AN372"/>
    <mergeCell ref="AO333:AX335"/>
    <mergeCell ref="AO118:AX118"/>
    <mergeCell ref="AN259:AN261"/>
    <mergeCell ref="AC146:AL147"/>
    <mergeCell ref="AB159:AL159"/>
    <mergeCell ref="AN281:AN284"/>
    <mergeCell ref="AO303:AX304"/>
    <mergeCell ref="AC162:AL163"/>
    <mergeCell ref="AN206:AN217"/>
    <mergeCell ref="AB203:AB205"/>
    <mergeCell ref="AO295:AX298"/>
    <mergeCell ref="AO365:AX365"/>
    <mergeCell ref="AN222:AN226"/>
    <mergeCell ref="AO361:AX361"/>
    <mergeCell ref="AO332:AX332"/>
    <mergeCell ref="AO342:AX343"/>
    <mergeCell ref="AO358:AX360"/>
    <mergeCell ref="AO196:AX196"/>
    <mergeCell ref="AC179:AL180"/>
    <mergeCell ref="AN354:AN362"/>
    <mergeCell ref="AN363:AN365"/>
    <mergeCell ref="AC174:AL175"/>
    <mergeCell ref="AC237:AL239"/>
    <mergeCell ref="P3:Z3"/>
    <mergeCell ref="AO390:AX390"/>
    <mergeCell ref="AO89:AX89"/>
    <mergeCell ref="D21:N22"/>
    <mergeCell ref="D45:F45"/>
    <mergeCell ref="AO91:AX91"/>
    <mergeCell ref="AO362:AX362"/>
    <mergeCell ref="AO156:AX156"/>
    <mergeCell ref="BA81:BJ85"/>
    <mergeCell ref="AC221:AL221"/>
    <mergeCell ref="AO106:AX106"/>
    <mergeCell ref="BA69:BJ80"/>
    <mergeCell ref="AO299:AX299"/>
    <mergeCell ref="AC155:AL156"/>
    <mergeCell ref="AN69:AX69"/>
    <mergeCell ref="G59:N59"/>
    <mergeCell ref="AO93:AX93"/>
    <mergeCell ref="P4:P7"/>
    <mergeCell ref="AC121:AL122"/>
    <mergeCell ref="AO189:AX190"/>
    <mergeCell ref="AN77:AN94"/>
    <mergeCell ref="AC90:AL92"/>
    <mergeCell ref="AO301:AX301"/>
    <mergeCell ref="AC124:AL138"/>
    <mergeCell ref="AO385:AX387"/>
    <mergeCell ref="AB121:AB122"/>
    <mergeCell ref="AO248:AX248"/>
    <mergeCell ref="AO239:AX243"/>
    <mergeCell ref="BA66:BJ68"/>
    <mergeCell ref="AN41:AN43"/>
    <mergeCell ref="AN17:AX17"/>
    <mergeCell ref="AO14:AX14"/>
    <mergeCell ref="D11:E12"/>
    <mergeCell ref="G41:N41"/>
    <mergeCell ref="D17:N18"/>
    <mergeCell ref="AN74:AN75"/>
    <mergeCell ref="D52:F52"/>
    <mergeCell ref="AB93:AL93"/>
    <mergeCell ref="D38:F38"/>
    <mergeCell ref="AO207:AX209"/>
    <mergeCell ref="AN164:AX164"/>
    <mergeCell ref="AB71:AL71"/>
    <mergeCell ref="AO33:AX38"/>
    <mergeCell ref="AO339:AX340"/>
    <mergeCell ref="AO111:AX111"/>
    <mergeCell ref="AO311:AX312"/>
    <mergeCell ref="AN111:AN114"/>
    <mergeCell ref="AO372:AX372"/>
  </mergeCells>
  <phoneticPr fontId="16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14</vt:i4>
      </vt:variant>
      <vt:variant>
        <vt:lpstr>命名范围</vt:lpstr>
      </vt:variant>
      <vt:variant>
        <vt:i4>11</vt:i4>
      </vt:variant>
    </vt:vector>
  </HeadingPairs>
  <TitlesOfParts>
    <vt:vector size="25" baseType="lpstr">
      <vt:lpstr>人物卡</vt:lpstr>
      <vt:lpstr>简化卡 骰娘导入</vt:lpstr>
      <vt:lpstr>职业列表</vt:lpstr>
      <vt:lpstr>成长表（测试）</vt:lpstr>
      <vt:lpstr>本职技能</vt:lpstr>
      <vt:lpstr>附表</vt:lpstr>
      <vt:lpstr>技能注释</vt:lpstr>
      <vt:lpstr>属性注释</vt:lpstr>
      <vt:lpstr>资产及物价参考</vt:lpstr>
      <vt:lpstr>武器列表 战斗</vt:lpstr>
      <vt:lpstr>防具表 载具表</vt:lpstr>
      <vt:lpstr>疯狂表</vt:lpstr>
      <vt:lpstr>货币汇率</vt:lpstr>
      <vt:lpstr>更新说明</vt:lpstr>
      <vt:lpstr>APP</vt:lpstr>
      <vt:lpstr>CON</vt:lpstr>
      <vt:lpstr>DEX</vt:lpstr>
      <vt:lpstr>EDU</vt:lpstr>
      <vt:lpstr>INT</vt:lpstr>
      <vt:lpstr>Luck</vt:lpstr>
      <vt:lpstr>MP</vt:lpstr>
      <vt:lpstr>POW</vt:lpstr>
      <vt:lpstr>货币汇率!Print_Area</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冰谧</dc:creator>
  <cp:lastModifiedBy>Yuankun He</cp:lastModifiedBy>
  <dcterms:created xsi:type="dcterms:W3CDTF">2026-06-07T17:46:27Z</dcterms:created>
  <dcterms:modified xsi:type="dcterms:W3CDTF">2026-09-06T20:36:04Z</dcterms:modified>
</cp:coreProperties>
</file>